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105" documentId="13_ncr:1_{D573A92B-FBD5-4FBC-AFE5-BB89534DCCFF}" xr6:coauthVersionLast="47" xr6:coauthVersionMax="47" xr10:uidLastSave="{BEDF804F-AB4A-4A35-BC31-0FAF48865DD1}"/>
  <bookViews>
    <workbookView xWindow="-28920" yWindow="7725" windowWidth="29040" windowHeight="15720" tabRatio="866" firstSheet="34" activeTab="34" xr2:uid="{00000000-000D-0000-FFFF-FFFF00000000}"/>
  </bookViews>
  <sheets>
    <sheet name="YTD Total 2024" sheetId="34" r:id="rId1"/>
    <sheet name="1st Quarter 2024" sheetId="1" r:id="rId2"/>
    <sheet name="2nd Quarter 2024" sheetId="18" r:id="rId3"/>
    <sheet name="3rd Quarter 2024" sheetId="29" r:id="rId4"/>
    <sheet name="4th Quarter 2024" sheetId="30" r:id="rId5"/>
    <sheet name="01-2024" sheetId="2" r:id="rId6"/>
    <sheet name="02-2024" sheetId="3" r:id="rId7"/>
    <sheet name="03-2024" sheetId="4" r:id="rId8"/>
    <sheet name="04-2024" sheetId="21" r:id="rId9"/>
    <sheet name="05-2024" sheetId="20" r:id="rId10"/>
    <sheet name="06-2024" sheetId="19" r:id="rId11"/>
    <sheet name="07-2024" sheetId="26" r:id="rId12"/>
    <sheet name="08-2024" sheetId="27" r:id="rId13"/>
    <sheet name="09-2024" sheetId="28" r:id="rId14"/>
    <sheet name="10-2024" sheetId="31" r:id="rId15"/>
    <sheet name="11-2024" sheetId="32" r:id="rId16"/>
    <sheet name="12-2024" sheetId="33" r:id="rId17"/>
    <sheet name="Sites" sheetId="68" r:id="rId18"/>
    <sheet name="Williamsburg A" sheetId="5" r:id="rId19"/>
    <sheet name="Orange A KB" sheetId="69" r:id="rId20"/>
    <sheet name="Goshen A" sheetId="79" r:id="rId21"/>
    <sheet name="Phillipston A KB" sheetId="78" r:id="rId22"/>
    <sheet name="Uxbridge D" sheetId="77" r:id="rId23"/>
    <sheet name="West Bridgewater A&amp;B" sheetId="76" r:id="rId24"/>
    <sheet name="Sutton A" sheetId="75" r:id="rId25"/>
    <sheet name="North Adams A" sheetId="74" r:id="rId26"/>
    <sheet name="North Adams B" sheetId="73" r:id="rId27"/>
    <sheet name="Clarksburg A" sheetId="80" r:id="rId28"/>
    <sheet name="Swansea B" sheetId="72" r:id="rId29"/>
    <sheet name="Wareham 2" sheetId="71" r:id="rId30"/>
    <sheet name="Kingston 1 KB" sheetId="70" r:id="rId31"/>
    <sheet name="Kingston 2 KB" sheetId="81" r:id="rId32"/>
    <sheet name="Holliston B" sheetId="82" r:id="rId33"/>
    <sheet name="Fairhaven C" sheetId="83" r:id="rId34"/>
    <sheet name="Plympton A-2" sheetId="84" r:id="rId35"/>
  </sheets>
  <definedNames>
    <definedName name="_xlnm._FilterDatabase" localSheetId="5" hidden="1">'01-2024'!$A$2:$I$2</definedName>
    <definedName name="_xlnm._FilterDatabase" localSheetId="6" hidden="1">'02-2024'!$A$2:$I$2</definedName>
    <definedName name="_xlnm._FilterDatabase" localSheetId="7" hidden="1">'03-2024'!$A$2:$I$2</definedName>
    <definedName name="_xlnm._FilterDatabase" localSheetId="8" hidden="1">'04-2024'!$A$2:$I$2</definedName>
    <definedName name="_xlnm._FilterDatabase" localSheetId="9" hidden="1">'05-2024'!$A$2:$I$2</definedName>
    <definedName name="_xlnm._FilterDatabase" localSheetId="10" hidden="1">'06-2024'!$A$2:$I$2</definedName>
    <definedName name="_xlnm._FilterDatabase" localSheetId="11" hidden="1">'07-2024'!$A$2:$I$2</definedName>
    <definedName name="_xlnm._FilterDatabase" localSheetId="12" hidden="1">'08-2024'!$A$2:$I$2</definedName>
    <definedName name="_xlnm._FilterDatabase" localSheetId="13" hidden="1">'09-2024'!$A$2:$I$2</definedName>
    <definedName name="_xlnm._FilterDatabase" localSheetId="14" hidden="1">'10-2024'!$A$2:$I$2</definedName>
    <definedName name="_xlnm._FilterDatabase" localSheetId="15" hidden="1">'11-2024'!$A$2:$I$2</definedName>
    <definedName name="_xlnm._FilterDatabase" localSheetId="16" hidden="1">'12-2024'!$A$2:$I$2</definedName>
    <definedName name="_xlnm._FilterDatabase" localSheetId="1" hidden="1">'1st Quarter 2024'!$A$2:$I$2</definedName>
    <definedName name="_xlnm._FilterDatabase" localSheetId="2" hidden="1">'2nd Quarter 2024'!$A$2:$I$2</definedName>
    <definedName name="_xlnm._FilterDatabase" localSheetId="3" hidden="1">'3rd Quarter 2024'!$A$2:$I$2</definedName>
    <definedName name="_xlnm._FilterDatabase" localSheetId="4" hidden="1">'4th Quarter 2024'!$A$2:$I$2</definedName>
    <definedName name="_xlnm._FilterDatabase" localSheetId="0" hidden="1">'YTD Total 2024'!$A$2:$I$2</definedName>
    <definedName name="JanActual">'01-2024'!$C$3:$C$15</definedName>
    <definedName name="JanActual2">'01-2024'!#REF!</definedName>
    <definedName name="JanExpected">'01-2024'!$D$3:$D$15</definedName>
    <definedName name="JanExpectedDelta">'01-2024'!$E$3:$E$15</definedName>
    <definedName name="JanExpectedPercent">'01-2024'!$F$3:$F$15</definedName>
    <definedName name="JanExpPercent">'01-2024'!$F$3:$F$15</definedName>
    <definedName name="JanForecasted">'01-2024'!$G$3:$G$15</definedName>
    <definedName name="JanForecastedDelta">'01-2024'!$H$3:$H$15</definedName>
    <definedName name="JanForecastedPercent">'01-2024'!$I$3:$I$15</definedName>
    <definedName name="portfolio">Sites!$B$1:$B$1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71" l="1"/>
  <c r="H5" i="71" s="1"/>
  <c r="B3" i="2" a="1"/>
  <c r="B3" i="2" s="1"/>
  <c r="A3" i="2" a="1"/>
  <c r="A1" i="2" a="1"/>
  <c r="A1" i="2" s="1"/>
  <c r="B3" i="3"/>
  <c r="B3" i="3" a="1"/>
  <c r="A3" i="3" a="1"/>
  <c r="A1" i="3" a="1"/>
  <c r="A1" i="3" s="1"/>
  <c r="B3" i="4" a="1"/>
  <c r="B3" i="4" s="1"/>
  <c r="A3" i="4" a="1"/>
  <c r="A1" i="4" a="1"/>
  <c r="A1" i="4" s="1"/>
  <c r="B3" i="21" a="1"/>
  <c r="B3" i="21" s="1"/>
  <c r="A3" i="21" a="1"/>
  <c r="A1" i="21" a="1"/>
  <c r="A1" i="21" s="1"/>
  <c r="B3" i="20" a="1"/>
  <c r="B3" i="20" s="1"/>
  <c r="A3" i="20" a="1"/>
  <c r="A1" i="20" a="1"/>
  <c r="A1" i="20" s="1"/>
  <c r="B3" i="19" a="1"/>
  <c r="B3" i="19" s="1"/>
  <c r="A3" i="19" a="1"/>
  <c r="A1" i="19" a="1"/>
  <c r="A1" i="19" s="1"/>
  <c r="B3" i="26" a="1"/>
  <c r="B3" i="26" s="1"/>
  <c r="A3" i="26"/>
  <c r="A3" i="26" a="1"/>
  <c r="A1" i="26" a="1"/>
  <c r="A1" i="26" s="1"/>
  <c r="B3" i="27" a="1"/>
  <c r="B3" i="27" s="1"/>
  <c r="A3" i="27" a="1"/>
  <c r="A1" i="27" a="1"/>
  <c r="A1" i="27" s="1"/>
  <c r="B3" i="28" a="1"/>
  <c r="B3" i="28" s="1"/>
  <c r="A3" i="28" a="1"/>
  <c r="A1" i="28" a="1"/>
  <c r="A1" i="28" s="1"/>
  <c r="B3" i="31" a="1"/>
  <c r="B3" i="31" s="1"/>
  <c r="A3" i="31" a="1"/>
  <c r="A1" i="31" a="1"/>
  <c r="A1" i="31" s="1"/>
  <c r="B3" i="32" a="1"/>
  <c r="B3" i="32" s="1"/>
  <c r="A3" i="32"/>
  <c r="A3" i="32" a="1"/>
  <c r="A1" i="32" a="1"/>
  <c r="A1" i="32" s="1"/>
  <c r="F17" i="84"/>
  <c r="C17" i="84"/>
  <c r="B17" i="84"/>
  <c r="G16" i="84"/>
  <c r="H16" i="84" s="1"/>
  <c r="D16" i="84"/>
  <c r="E16" i="84" s="1"/>
  <c r="G15" i="84"/>
  <c r="H15" i="84" s="1"/>
  <c r="D15" i="84"/>
  <c r="E15" i="84" s="1"/>
  <c r="G14" i="84"/>
  <c r="H14" i="84" s="1"/>
  <c r="D14" i="84"/>
  <c r="E14" i="84" s="1"/>
  <c r="G13" i="84"/>
  <c r="H13" i="84" s="1"/>
  <c r="D13" i="84"/>
  <c r="E13" i="84" s="1"/>
  <c r="G12" i="84"/>
  <c r="H12" i="84" s="1"/>
  <c r="D12" i="84"/>
  <c r="E12" i="84" s="1"/>
  <c r="G11" i="84"/>
  <c r="H11" i="84" s="1"/>
  <c r="D11" i="84"/>
  <c r="E11" i="84" s="1"/>
  <c r="G10" i="84"/>
  <c r="H10" i="84" s="1"/>
  <c r="D10" i="84"/>
  <c r="G9" i="84"/>
  <c r="H9" i="84" s="1"/>
  <c r="D9" i="84"/>
  <c r="G8" i="84"/>
  <c r="H8" i="84" s="1"/>
  <c r="D8" i="84"/>
  <c r="G7" i="84"/>
  <c r="H7" i="84" s="1"/>
  <c r="D7" i="84"/>
  <c r="G6" i="84"/>
  <c r="H6" i="84" s="1"/>
  <c r="D6" i="84"/>
  <c r="E6" i="84" s="1"/>
  <c r="G5" i="84"/>
  <c r="H5" i="84" s="1"/>
  <c r="D5" i="84"/>
  <c r="F17" i="83"/>
  <c r="C17" i="83"/>
  <c r="B17" i="83"/>
  <c r="G16" i="83"/>
  <c r="H16" i="83" s="1"/>
  <c r="D16" i="83"/>
  <c r="E16" i="83" s="1"/>
  <c r="G15" i="83"/>
  <c r="H15" i="83" s="1"/>
  <c r="D15" i="83"/>
  <c r="E15" i="83" s="1"/>
  <c r="G14" i="83"/>
  <c r="H14" i="83" s="1"/>
  <c r="D14" i="83"/>
  <c r="E14" i="83" s="1"/>
  <c r="G13" i="83"/>
  <c r="H13" i="83" s="1"/>
  <c r="D13" i="83"/>
  <c r="E13" i="83" s="1"/>
  <c r="G12" i="83"/>
  <c r="H12" i="83" s="1"/>
  <c r="D12" i="83"/>
  <c r="E12" i="83" s="1"/>
  <c r="G11" i="83"/>
  <c r="H11" i="83" s="1"/>
  <c r="D11" i="83"/>
  <c r="E11" i="83" s="1"/>
  <c r="G10" i="83"/>
  <c r="H10" i="83" s="1"/>
  <c r="D10" i="83"/>
  <c r="G9" i="83"/>
  <c r="H9" i="83" s="1"/>
  <c r="D9" i="83"/>
  <c r="G8" i="83"/>
  <c r="H8" i="83" s="1"/>
  <c r="D8" i="83"/>
  <c r="G7" i="83"/>
  <c r="H7" i="83" s="1"/>
  <c r="D7" i="83"/>
  <c r="G6" i="83"/>
  <c r="H6" i="83" s="1"/>
  <c r="D6" i="83"/>
  <c r="E6" i="83" s="1"/>
  <c r="G5" i="83"/>
  <c r="H5" i="83" s="1"/>
  <c r="D5" i="83"/>
  <c r="F17" i="82"/>
  <c r="C17" i="82"/>
  <c r="B17" i="82"/>
  <c r="G16" i="82"/>
  <c r="H16" i="82" s="1"/>
  <c r="D16" i="82"/>
  <c r="E16" i="82" s="1"/>
  <c r="G15" i="82"/>
  <c r="H15" i="82" s="1"/>
  <c r="D15" i="82"/>
  <c r="E15" i="82" s="1"/>
  <c r="G14" i="82"/>
  <c r="H14" i="82" s="1"/>
  <c r="D14" i="82"/>
  <c r="E14" i="82" s="1"/>
  <c r="G13" i="82"/>
  <c r="H13" i="82" s="1"/>
  <c r="D13" i="82"/>
  <c r="E13" i="82" s="1"/>
  <c r="G12" i="82"/>
  <c r="H12" i="82" s="1"/>
  <c r="D12" i="82"/>
  <c r="E12" i="82" s="1"/>
  <c r="G11" i="82"/>
  <c r="H11" i="82" s="1"/>
  <c r="D11" i="82"/>
  <c r="E11" i="82" s="1"/>
  <c r="G10" i="82"/>
  <c r="H10" i="82" s="1"/>
  <c r="D10" i="82"/>
  <c r="G9" i="82"/>
  <c r="H9" i="82" s="1"/>
  <c r="D9" i="82"/>
  <c r="G8" i="82"/>
  <c r="H8" i="82" s="1"/>
  <c r="D8" i="82"/>
  <c r="G7" i="82"/>
  <c r="H7" i="82" s="1"/>
  <c r="D7" i="82"/>
  <c r="G6" i="82"/>
  <c r="H6" i="82" s="1"/>
  <c r="D6" i="82"/>
  <c r="E6" i="82" s="1"/>
  <c r="G5" i="82"/>
  <c r="H5" i="82" s="1"/>
  <c r="D5" i="82"/>
  <c r="F17" i="81"/>
  <c r="C17" i="81"/>
  <c r="B17" i="81"/>
  <c r="G16" i="81"/>
  <c r="H16" i="81" s="1"/>
  <c r="D16" i="81"/>
  <c r="E16" i="81" s="1"/>
  <c r="G15" i="81"/>
  <c r="H15" i="81" s="1"/>
  <c r="D15" i="81"/>
  <c r="E15" i="81" s="1"/>
  <c r="G14" i="81"/>
  <c r="H14" i="81" s="1"/>
  <c r="D14" i="81"/>
  <c r="E14" i="81" s="1"/>
  <c r="G13" i="81"/>
  <c r="H13" i="81" s="1"/>
  <c r="D13" i="81"/>
  <c r="E13" i="81" s="1"/>
  <c r="G12" i="81"/>
  <c r="H12" i="81" s="1"/>
  <c r="D12" i="81"/>
  <c r="E12" i="81" s="1"/>
  <c r="G11" i="81"/>
  <c r="H11" i="81" s="1"/>
  <c r="D11" i="81"/>
  <c r="E11" i="81" s="1"/>
  <c r="G10" i="81"/>
  <c r="H10" i="81" s="1"/>
  <c r="D10" i="81"/>
  <c r="G9" i="81"/>
  <c r="H9" i="81" s="1"/>
  <c r="D9" i="81"/>
  <c r="G8" i="81"/>
  <c r="H8" i="81" s="1"/>
  <c r="D8" i="81"/>
  <c r="G7" i="81"/>
  <c r="H7" i="81" s="1"/>
  <c r="D7" i="81"/>
  <c r="G6" i="81"/>
  <c r="H6" i="81" s="1"/>
  <c r="D6" i="81"/>
  <c r="E6" i="81" s="1"/>
  <c r="G5" i="81"/>
  <c r="H5" i="81" s="1"/>
  <c r="D5" i="81"/>
  <c r="B3" i="34" a="1"/>
  <c r="B3" i="34" s="1"/>
  <c r="A3" i="34" a="1"/>
  <c r="A3" i="34" s="1"/>
  <c r="A1" i="34" a="1"/>
  <c r="A1" i="34" s="1"/>
  <c r="B3" i="30" a="1"/>
  <c r="B3" i="30" s="1"/>
  <c r="A3" i="30" a="1"/>
  <c r="A3" i="30" s="1"/>
  <c r="A1" i="30" a="1"/>
  <c r="A1" i="30" s="1"/>
  <c r="B3" i="29" a="1"/>
  <c r="B3" i="29" s="1"/>
  <c r="A3" i="29" a="1"/>
  <c r="A3" i="29" s="1"/>
  <c r="A1" i="29" a="1"/>
  <c r="A1" i="29" s="1"/>
  <c r="B3" i="18" a="1"/>
  <c r="B3" i="18" s="1"/>
  <c r="A3" i="18" a="1"/>
  <c r="A3" i="18" s="1"/>
  <c r="A1" i="18" a="1"/>
  <c r="A1" i="18" s="1"/>
  <c r="B3" i="1" a="1"/>
  <c r="B3" i="1" s="1"/>
  <c r="A3" i="1" a="1"/>
  <c r="A1" i="1" a="1"/>
  <c r="A1" i="1" s="1"/>
  <c r="B3" i="33" a="1"/>
  <c r="B3" i="33" s="1"/>
  <c r="A3" i="33" a="1"/>
  <c r="A1" i="33" a="1"/>
  <c r="A1" i="33" s="1"/>
  <c r="F17" i="80"/>
  <c r="C17" i="80"/>
  <c r="B17" i="80"/>
  <c r="G16" i="80"/>
  <c r="H16" i="80" s="1"/>
  <c r="D16" i="80"/>
  <c r="E16" i="80" s="1"/>
  <c r="G15" i="80"/>
  <c r="H15" i="80" s="1"/>
  <c r="D15" i="80"/>
  <c r="E15" i="80" s="1"/>
  <c r="G14" i="80"/>
  <c r="H14" i="80" s="1"/>
  <c r="D14" i="80"/>
  <c r="E14" i="80" s="1"/>
  <c r="G13" i="80"/>
  <c r="H13" i="80" s="1"/>
  <c r="D13" i="80"/>
  <c r="E13" i="80" s="1"/>
  <c r="G12" i="80"/>
  <c r="H12" i="80" s="1"/>
  <c r="D12" i="80"/>
  <c r="E12" i="80" s="1"/>
  <c r="G11" i="80"/>
  <c r="H11" i="80" s="1"/>
  <c r="D11" i="80"/>
  <c r="E11" i="80" s="1"/>
  <c r="G10" i="80"/>
  <c r="H10" i="80" s="1"/>
  <c r="D10" i="80"/>
  <c r="G9" i="80"/>
  <c r="H9" i="80" s="1"/>
  <c r="D9" i="80"/>
  <c r="G8" i="80"/>
  <c r="H8" i="80" s="1"/>
  <c r="D8" i="80"/>
  <c r="G7" i="80"/>
  <c r="H7" i="80" s="1"/>
  <c r="D7" i="80"/>
  <c r="G6" i="80"/>
  <c r="H6" i="80" s="1"/>
  <c r="D6" i="80"/>
  <c r="E6" i="80" s="1"/>
  <c r="G5" i="80"/>
  <c r="H5" i="80" s="1"/>
  <c r="D5" i="80"/>
  <c r="F17" i="79"/>
  <c r="C17" i="79"/>
  <c r="B17" i="79"/>
  <c r="G16" i="79"/>
  <c r="H16" i="79" s="1"/>
  <c r="D16" i="79"/>
  <c r="E16" i="79" s="1"/>
  <c r="G15" i="79"/>
  <c r="H15" i="79" s="1"/>
  <c r="D15" i="79"/>
  <c r="E15" i="79" s="1"/>
  <c r="G14" i="79"/>
  <c r="H14" i="79" s="1"/>
  <c r="D14" i="79"/>
  <c r="E14" i="79" s="1"/>
  <c r="G13" i="79"/>
  <c r="H13" i="79" s="1"/>
  <c r="D13" i="79"/>
  <c r="E13" i="79" s="1"/>
  <c r="G12" i="79"/>
  <c r="H12" i="79" s="1"/>
  <c r="D12" i="79"/>
  <c r="E12" i="79" s="1"/>
  <c r="G11" i="79"/>
  <c r="H11" i="79" s="1"/>
  <c r="D11" i="79"/>
  <c r="E11" i="79" s="1"/>
  <c r="G10" i="79"/>
  <c r="H10" i="79" s="1"/>
  <c r="D10" i="79"/>
  <c r="G9" i="79"/>
  <c r="H9" i="79" s="1"/>
  <c r="D9" i="79"/>
  <c r="G8" i="79"/>
  <c r="H8" i="79" s="1"/>
  <c r="D8" i="79"/>
  <c r="G7" i="79"/>
  <c r="H7" i="79" s="1"/>
  <c r="D7" i="79"/>
  <c r="G6" i="79"/>
  <c r="H6" i="79" s="1"/>
  <c r="D6" i="79"/>
  <c r="E6" i="79" s="1"/>
  <c r="G5" i="79"/>
  <c r="H5" i="79" s="1"/>
  <c r="D5" i="79"/>
  <c r="F17" i="78"/>
  <c r="C17" i="78"/>
  <c r="B17" i="78"/>
  <c r="G16" i="78"/>
  <c r="H16" i="78" s="1"/>
  <c r="D16" i="78"/>
  <c r="E16" i="78" s="1"/>
  <c r="G15" i="78"/>
  <c r="H15" i="78" s="1"/>
  <c r="D15" i="78"/>
  <c r="E15" i="78" s="1"/>
  <c r="G14" i="78"/>
  <c r="H14" i="78" s="1"/>
  <c r="D14" i="78"/>
  <c r="E14" i="78" s="1"/>
  <c r="G13" i="78"/>
  <c r="H13" i="78" s="1"/>
  <c r="D13" i="78"/>
  <c r="E13" i="78" s="1"/>
  <c r="G12" i="78"/>
  <c r="H12" i="78" s="1"/>
  <c r="D12" i="78"/>
  <c r="E12" i="78" s="1"/>
  <c r="G11" i="78"/>
  <c r="H11" i="78" s="1"/>
  <c r="D11" i="78"/>
  <c r="E11" i="78" s="1"/>
  <c r="G10" i="78"/>
  <c r="H10" i="78" s="1"/>
  <c r="D10" i="78"/>
  <c r="G9" i="78"/>
  <c r="H9" i="78" s="1"/>
  <c r="D9" i="78"/>
  <c r="G8" i="78"/>
  <c r="H8" i="78" s="1"/>
  <c r="D8" i="78"/>
  <c r="G7" i="78"/>
  <c r="H7" i="78" s="1"/>
  <c r="D7" i="78"/>
  <c r="G6" i="78"/>
  <c r="H6" i="78" s="1"/>
  <c r="D6" i="78"/>
  <c r="E6" i="78" s="1"/>
  <c r="G5" i="78"/>
  <c r="H5" i="78" s="1"/>
  <c r="D5" i="78"/>
  <c r="F17" i="77"/>
  <c r="C17" i="77"/>
  <c r="B17" i="77"/>
  <c r="G16" i="77"/>
  <c r="H16" i="77" s="1"/>
  <c r="D16" i="77"/>
  <c r="E16" i="77" s="1"/>
  <c r="G15" i="77"/>
  <c r="H15" i="77" s="1"/>
  <c r="D15" i="77"/>
  <c r="E15" i="77" s="1"/>
  <c r="G14" i="77"/>
  <c r="H14" i="77" s="1"/>
  <c r="D14" i="77"/>
  <c r="E14" i="77" s="1"/>
  <c r="G13" i="77"/>
  <c r="H13" i="77" s="1"/>
  <c r="D13" i="77"/>
  <c r="E13" i="77" s="1"/>
  <c r="G12" i="77"/>
  <c r="H12" i="77" s="1"/>
  <c r="D12" i="77"/>
  <c r="E12" i="77" s="1"/>
  <c r="G11" i="77"/>
  <c r="H11" i="77" s="1"/>
  <c r="D11" i="77"/>
  <c r="E11" i="77" s="1"/>
  <c r="G10" i="77"/>
  <c r="H10" i="77" s="1"/>
  <c r="D10" i="77"/>
  <c r="G9" i="77"/>
  <c r="H9" i="77" s="1"/>
  <c r="D9" i="77"/>
  <c r="G8" i="77"/>
  <c r="H8" i="77" s="1"/>
  <c r="D8" i="77"/>
  <c r="G7" i="77"/>
  <c r="H7" i="77" s="1"/>
  <c r="D7" i="77"/>
  <c r="G6" i="77"/>
  <c r="H6" i="77" s="1"/>
  <c r="D6" i="77"/>
  <c r="E6" i="77" s="1"/>
  <c r="G5" i="77"/>
  <c r="H5" i="77" s="1"/>
  <c r="D5" i="77"/>
  <c r="F17" i="76"/>
  <c r="C17" i="76"/>
  <c r="B17" i="76"/>
  <c r="G16" i="76"/>
  <c r="H16" i="76" s="1"/>
  <c r="D16" i="76"/>
  <c r="E16" i="76" s="1"/>
  <c r="G15" i="76"/>
  <c r="H15" i="76" s="1"/>
  <c r="D15" i="76"/>
  <c r="E15" i="76" s="1"/>
  <c r="G14" i="76"/>
  <c r="H14" i="76" s="1"/>
  <c r="D14" i="76"/>
  <c r="E14" i="76" s="1"/>
  <c r="G13" i="76"/>
  <c r="H13" i="76" s="1"/>
  <c r="D13" i="76"/>
  <c r="E13" i="76" s="1"/>
  <c r="G12" i="76"/>
  <c r="H12" i="76" s="1"/>
  <c r="D12" i="76"/>
  <c r="E12" i="76" s="1"/>
  <c r="G11" i="76"/>
  <c r="H11" i="76" s="1"/>
  <c r="D11" i="76"/>
  <c r="E11" i="76" s="1"/>
  <c r="G10" i="76"/>
  <c r="H10" i="76" s="1"/>
  <c r="D10" i="76"/>
  <c r="G9" i="76"/>
  <c r="H9" i="76" s="1"/>
  <c r="D9" i="76"/>
  <c r="G8" i="76"/>
  <c r="H8" i="76" s="1"/>
  <c r="D8" i="76"/>
  <c r="G7" i="76"/>
  <c r="H7" i="76" s="1"/>
  <c r="D7" i="76"/>
  <c r="G6" i="76"/>
  <c r="H6" i="76" s="1"/>
  <c r="D6" i="76"/>
  <c r="E6" i="76" s="1"/>
  <c r="G5" i="76"/>
  <c r="H5" i="76" s="1"/>
  <c r="D5" i="76"/>
  <c r="F17" i="75"/>
  <c r="C17" i="75"/>
  <c r="B17" i="75"/>
  <c r="G16" i="75"/>
  <c r="H16" i="75" s="1"/>
  <c r="D16" i="75"/>
  <c r="E16" i="75" s="1"/>
  <c r="G15" i="75"/>
  <c r="H15" i="75" s="1"/>
  <c r="D15" i="75"/>
  <c r="E15" i="75" s="1"/>
  <c r="G14" i="75"/>
  <c r="H14" i="75" s="1"/>
  <c r="D14" i="75"/>
  <c r="E14" i="75" s="1"/>
  <c r="G13" i="75"/>
  <c r="H13" i="75" s="1"/>
  <c r="D13" i="75"/>
  <c r="E13" i="75" s="1"/>
  <c r="G12" i="75"/>
  <c r="H12" i="75" s="1"/>
  <c r="D12" i="75"/>
  <c r="E12" i="75" s="1"/>
  <c r="G11" i="75"/>
  <c r="H11" i="75" s="1"/>
  <c r="D11" i="75"/>
  <c r="E11" i="75" s="1"/>
  <c r="G10" i="75"/>
  <c r="H10" i="75" s="1"/>
  <c r="D10" i="75"/>
  <c r="G9" i="75"/>
  <c r="H9" i="75" s="1"/>
  <c r="D9" i="75"/>
  <c r="G8" i="75"/>
  <c r="H8" i="75" s="1"/>
  <c r="D8" i="75"/>
  <c r="G7" i="75"/>
  <c r="H7" i="75" s="1"/>
  <c r="D7" i="75"/>
  <c r="G6" i="75"/>
  <c r="H6" i="75" s="1"/>
  <c r="D6" i="75"/>
  <c r="E6" i="75" s="1"/>
  <c r="G5" i="75"/>
  <c r="H5" i="75" s="1"/>
  <c r="D5" i="75"/>
  <c r="F17" i="74"/>
  <c r="C17" i="74"/>
  <c r="B17" i="74"/>
  <c r="G16" i="74"/>
  <c r="H16" i="74" s="1"/>
  <c r="D16" i="74"/>
  <c r="E16" i="74" s="1"/>
  <c r="G15" i="74"/>
  <c r="H15" i="74" s="1"/>
  <c r="D15" i="74"/>
  <c r="E15" i="74" s="1"/>
  <c r="G14" i="74"/>
  <c r="H14" i="74" s="1"/>
  <c r="D14" i="74"/>
  <c r="E14" i="74" s="1"/>
  <c r="G13" i="74"/>
  <c r="H13" i="74" s="1"/>
  <c r="D13" i="74"/>
  <c r="E13" i="74" s="1"/>
  <c r="G12" i="74"/>
  <c r="H12" i="74" s="1"/>
  <c r="D12" i="74"/>
  <c r="E12" i="74" s="1"/>
  <c r="G11" i="74"/>
  <c r="H11" i="74" s="1"/>
  <c r="D11" i="74"/>
  <c r="E11" i="74" s="1"/>
  <c r="G10" i="74"/>
  <c r="H10" i="74" s="1"/>
  <c r="D10" i="74"/>
  <c r="G9" i="74"/>
  <c r="H9" i="74" s="1"/>
  <c r="D9" i="74"/>
  <c r="G8" i="74"/>
  <c r="H8" i="74" s="1"/>
  <c r="D8" i="74"/>
  <c r="G7" i="74"/>
  <c r="H7" i="74" s="1"/>
  <c r="D7" i="74"/>
  <c r="G6" i="74"/>
  <c r="H6" i="74" s="1"/>
  <c r="D6" i="74"/>
  <c r="E6" i="74" s="1"/>
  <c r="G5" i="74"/>
  <c r="H5" i="74" s="1"/>
  <c r="D5" i="74"/>
  <c r="F17" i="73"/>
  <c r="C17" i="73"/>
  <c r="B17" i="73"/>
  <c r="G16" i="73"/>
  <c r="H16" i="73" s="1"/>
  <c r="D16" i="73"/>
  <c r="E16" i="73" s="1"/>
  <c r="G15" i="73"/>
  <c r="H15" i="73" s="1"/>
  <c r="D15" i="73"/>
  <c r="E15" i="73" s="1"/>
  <c r="G14" i="73"/>
  <c r="H14" i="73" s="1"/>
  <c r="D14" i="73"/>
  <c r="E14" i="73" s="1"/>
  <c r="G13" i="73"/>
  <c r="H13" i="73" s="1"/>
  <c r="D13" i="73"/>
  <c r="E13" i="73" s="1"/>
  <c r="G12" i="73"/>
  <c r="H12" i="73" s="1"/>
  <c r="D12" i="73"/>
  <c r="E12" i="73" s="1"/>
  <c r="G11" i="73"/>
  <c r="H11" i="73" s="1"/>
  <c r="D11" i="73"/>
  <c r="E11" i="73" s="1"/>
  <c r="G10" i="73"/>
  <c r="H10" i="73" s="1"/>
  <c r="D10" i="73"/>
  <c r="G9" i="73"/>
  <c r="H9" i="73" s="1"/>
  <c r="D9" i="73"/>
  <c r="G8" i="73"/>
  <c r="H8" i="73" s="1"/>
  <c r="D8" i="73"/>
  <c r="G7" i="73"/>
  <c r="H7" i="73" s="1"/>
  <c r="D7" i="73"/>
  <c r="G6" i="73"/>
  <c r="H6" i="73" s="1"/>
  <c r="D6" i="73"/>
  <c r="E6" i="73" s="1"/>
  <c r="G5" i="73"/>
  <c r="H5" i="73" s="1"/>
  <c r="D5" i="73"/>
  <c r="F17" i="72"/>
  <c r="C17" i="72"/>
  <c r="B17" i="72"/>
  <c r="G16" i="72"/>
  <c r="H16" i="72" s="1"/>
  <c r="D16" i="72"/>
  <c r="E16" i="72" s="1"/>
  <c r="G15" i="72"/>
  <c r="H15" i="72" s="1"/>
  <c r="D15" i="72"/>
  <c r="E15" i="72" s="1"/>
  <c r="G14" i="72"/>
  <c r="H14" i="72" s="1"/>
  <c r="D14" i="72"/>
  <c r="E14" i="72" s="1"/>
  <c r="G13" i="72"/>
  <c r="H13" i="72" s="1"/>
  <c r="D13" i="72"/>
  <c r="E13" i="72" s="1"/>
  <c r="G12" i="72"/>
  <c r="H12" i="72" s="1"/>
  <c r="D12" i="72"/>
  <c r="E12" i="72" s="1"/>
  <c r="G11" i="72"/>
  <c r="H11" i="72" s="1"/>
  <c r="D11" i="72"/>
  <c r="E11" i="72" s="1"/>
  <c r="G10" i="72"/>
  <c r="H10" i="72" s="1"/>
  <c r="D10" i="72"/>
  <c r="G9" i="72"/>
  <c r="H9" i="72" s="1"/>
  <c r="D9" i="72"/>
  <c r="G8" i="72"/>
  <c r="H8" i="72" s="1"/>
  <c r="D8" i="72"/>
  <c r="G7" i="72"/>
  <c r="H7" i="72" s="1"/>
  <c r="D7" i="72"/>
  <c r="G6" i="72"/>
  <c r="H6" i="72" s="1"/>
  <c r="D6" i="72"/>
  <c r="E6" i="72" s="1"/>
  <c r="G5" i="72"/>
  <c r="H5" i="72" s="1"/>
  <c r="D5" i="72"/>
  <c r="F17" i="71"/>
  <c r="C17" i="71"/>
  <c r="B17" i="71"/>
  <c r="G16" i="71"/>
  <c r="H16" i="71" s="1"/>
  <c r="D16" i="71"/>
  <c r="E16" i="71" s="1"/>
  <c r="G15" i="71"/>
  <c r="H15" i="71" s="1"/>
  <c r="D15" i="71"/>
  <c r="E15" i="71" s="1"/>
  <c r="G14" i="71"/>
  <c r="H14" i="71" s="1"/>
  <c r="D14" i="71"/>
  <c r="E14" i="71" s="1"/>
  <c r="G13" i="71"/>
  <c r="H13" i="71" s="1"/>
  <c r="D13" i="71"/>
  <c r="E13" i="71" s="1"/>
  <c r="G12" i="71"/>
  <c r="H12" i="71" s="1"/>
  <c r="D12" i="71"/>
  <c r="E12" i="71" s="1"/>
  <c r="G11" i="71"/>
  <c r="H11" i="71" s="1"/>
  <c r="D11" i="71"/>
  <c r="E11" i="71" s="1"/>
  <c r="G10" i="71"/>
  <c r="H10" i="71" s="1"/>
  <c r="D10" i="71"/>
  <c r="G9" i="71"/>
  <c r="H9" i="71" s="1"/>
  <c r="D9" i="71"/>
  <c r="G8" i="71"/>
  <c r="H8" i="71" s="1"/>
  <c r="D8" i="71"/>
  <c r="G7" i="71"/>
  <c r="H7" i="71" s="1"/>
  <c r="D7" i="71"/>
  <c r="G6" i="71"/>
  <c r="H6" i="71" s="1"/>
  <c r="D6" i="71"/>
  <c r="E6" i="71" s="1"/>
  <c r="D5" i="71"/>
  <c r="F17" i="70"/>
  <c r="C17" i="70"/>
  <c r="B17" i="70"/>
  <c r="G16" i="70"/>
  <c r="H16" i="70" s="1"/>
  <c r="D16" i="70"/>
  <c r="E16" i="70" s="1"/>
  <c r="G15" i="70"/>
  <c r="H15" i="70" s="1"/>
  <c r="D15" i="70"/>
  <c r="E15" i="70" s="1"/>
  <c r="G14" i="70"/>
  <c r="H14" i="70" s="1"/>
  <c r="D14" i="70"/>
  <c r="E14" i="70" s="1"/>
  <c r="G13" i="70"/>
  <c r="H13" i="70" s="1"/>
  <c r="D13" i="70"/>
  <c r="E13" i="70" s="1"/>
  <c r="G12" i="70"/>
  <c r="H12" i="70" s="1"/>
  <c r="D12" i="70"/>
  <c r="E12" i="70" s="1"/>
  <c r="G11" i="70"/>
  <c r="H11" i="70" s="1"/>
  <c r="D11" i="70"/>
  <c r="E11" i="70" s="1"/>
  <c r="G10" i="70"/>
  <c r="H10" i="70" s="1"/>
  <c r="D10" i="70"/>
  <c r="G9" i="70"/>
  <c r="H9" i="70" s="1"/>
  <c r="D9" i="70"/>
  <c r="G8" i="70"/>
  <c r="H8" i="70" s="1"/>
  <c r="D8" i="70"/>
  <c r="G7" i="70"/>
  <c r="H7" i="70" s="1"/>
  <c r="D7" i="70"/>
  <c r="G6" i="70"/>
  <c r="H6" i="70" s="1"/>
  <c r="D6" i="70"/>
  <c r="E6" i="70" s="1"/>
  <c r="G5" i="70"/>
  <c r="H5" i="70" s="1"/>
  <c r="D5" i="70"/>
  <c r="F17" i="69"/>
  <c r="C17" i="69"/>
  <c r="B17" i="69"/>
  <c r="G16" i="69"/>
  <c r="H16" i="69" s="1"/>
  <c r="D16" i="69"/>
  <c r="E16" i="69" s="1"/>
  <c r="G15" i="69"/>
  <c r="H15" i="69" s="1"/>
  <c r="D15" i="69"/>
  <c r="E15" i="69" s="1"/>
  <c r="G14" i="69"/>
  <c r="H14" i="69" s="1"/>
  <c r="D14" i="69"/>
  <c r="E14" i="69" s="1"/>
  <c r="G13" i="69"/>
  <c r="H13" i="69" s="1"/>
  <c r="D13" i="69"/>
  <c r="E13" i="69" s="1"/>
  <c r="G12" i="69"/>
  <c r="H12" i="69" s="1"/>
  <c r="D12" i="69"/>
  <c r="E12" i="69" s="1"/>
  <c r="G11" i="69"/>
  <c r="H11" i="69" s="1"/>
  <c r="D11" i="69"/>
  <c r="E11" i="69" s="1"/>
  <c r="G10" i="69"/>
  <c r="H10" i="69" s="1"/>
  <c r="D10" i="69"/>
  <c r="G9" i="69"/>
  <c r="H9" i="69" s="1"/>
  <c r="D9" i="69"/>
  <c r="G8" i="69"/>
  <c r="H8" i="69" s="1"/>
  <c r="D8" i="69"/>
  <c r="G7" i="69"/>
  <c r="H7" i="69" s="1"/>
  <c r="D7" i="69"/>
  <c r="G6" i="69"/>
  <c r="H6" i="69" s="1"/>
  <c r="D6" i="69"/>
  <c r="E6" i="69" s="1"/>
  <c r="G5" i="69"/>
  <c r="H5" i="69" s="1"/>
  <c r="D5" i="69"/>
  <c r="F17" i="5"/>
  <c r="C17" i="5"/>
  <c r="B17" i="5"/>
  <c r="G16" i="5"/>
  <c r="H16" i="5" s="1"/>
  <c r="D16" i="5"/>
  <c r="E16" i="5" s="1"/>
  <c r="G15" i="5"/>
  <c r="H15" i="5" s="1"/>
  <c r="D15" i="5"/>
  <c r="E15" i="5" s="1"/>
  <c r="G14" i="5"/>
  <c r="H14" i="5" s="1"/>
  <c r="D14" i="5"/>
  <c r="E14" i="5" s="1"/>
  <c r="G13" i="5"/>
  <c r="H13" i="5" s="1"/>
  <c r="D13" i="5"/>
  <c r="E13" i="5" s="1"/>
  <c r="G12" i="5"/>
  <c r="H12" i="5" s="1"/>
  <c r="D12" i="5"/>
  <c r="E12" i="5" s="1"/>
  <c r="G11" i="5"/>
  <c r="H11" i="5" s="1"/>
  <c r="D11" i="5"/>
  <c r="E11" i="5" s="1"/>
  <c r="G10" i="5"/>
  <c r="H10" i="5" s="1"/>
  <c r="D10" i="5"/>
  <c r="G9" i="5"/>
  <c r="H9" i="5" s="1"/>
  <c r="D9" i="5"/>
  <c r="E9" i="5" s="1"/>
  <c r="G8" i="5"/>
  <c r="H8" i="5" s="1"/>
  <c r="D8" i="5"/>
  <c r="E8" i="5" s="1"/>
  <c r="G7" i="5"/>
  <c r="H7" i="5" s="1"/>
  <c r="D7" i="5"/>
  <c r="E7" i="5" s="1"/>
  <c r="G6" i="5"/>
  <c r="H6" i="5" s="1"/>
  <c r="D6" i="5"/>
  <c r="E6" i="5" s="1"/>
  <c r="G5" i="5"/>
  <c r="H5" i="5" s="1"/>
  <c r="D5" i="5"/>
  <c r="E5" i="5" s="1"/>
  <c r="C16" i="27" a="1"/>
  <c r="C18" i="28" a="1"/>
  <c r="C11" i="27" a="1"/>
  <c r="C11" i="32" a="1"/>
  <c r="C19" i="27" a="1"/>
  <c r="C10" i="26" a="1"/>
  <c r="C6" i="33" a="1"/>
  <c r="C5" i="33" a="1"/>
  <c r="C8" i="27" a="1"/>
  <c r="C16" i="32" a="1"/>
  <c r="C17" i="3" a="1"/>
  <c r="C14" i="33" a="1"/>
  <c r="C4" i="33" a="1"/>
  <c r="C7" i="27" a="1"/>
  <c r="C15" i="27" a="1"/>
  <c r="C18" i="32" a="1"/>
  <c r="C9" i="28" a="1"/>
  <c r="C16" i="26" a="1"/>
  <c r="C15" i="26" a="1"/>
  <c r="C11" i="31" a="1"/>
  <c r="C14" i="27" a="1"/>
  <c r="C11" i="26" a="1"/>
  <c r="C3" i="28" a="1"/>
  <c r="C19" i="26" a="1"/>
  <c r="C10" i="32" a="1"/>
  <c r="C8" i="32" a="1"/>
  <c r="C17" i="31" a="1"/>
  <c r="C18" i="27" a="1"/>
  <c r="C4" i="32" a="1"/>
  <c r="C3" i="2" a="1"/>
  <c r="C6" i="27" a="1"/>
  <c r="C3" i="26" a="1"/>
  <c r="C17" i="28" a="1"/>
  <c r="C12" i="32" a="1"/>
  <c r="C9" i="26" a="1"/>
  <c r="C3" i="4" a="1"/>
  <c r="C6" i="28" a="1"/>
  <c r="C12" i="26" a="1"/>
  <c r="C4" i="26" a="1"/>
  <c r="C4" i="27" a="1"/>
  <c r="C9" i="33" a="1"/>
  <c r="C7" i="33" a="1"/>
  <c r="C3" i="33" a="1"/>
  <c r="C19" i="32" a="1"/>
  <c r="C19" i="28" a="1"/>
  <c r="C8" i="33" a="1"/>
  <c r="C14" i="32" a="1"/>
  <c r="C13" i="27" a="1"/>
  <c r="C6" i="32" a="1"/>
  <c r="C9" i="32" a="1"/>
  <c r="C13" i="32" a="1"/>
  <c r="C17" i="33" a="1"/>
  <c r="C6" i="31" a="1"/>
  <c r="C3" i="32" a="1"/>
  <c r="C9" i="31" a="1"/>
  <c r="C16" i="33" a="1"/>
  <c r="C13" i="31" a="1"/>
  <c r="C3" i="20" a="1"/>
  <c r="C5" i="28" a="1"/>
  <c r="C14" i="28" a="1"/>
  <c r="C16" i="31" a="1"/>
  <c r="C11" i="33" a="1"/>
  <c r="C4" i="3" a="1"/>
  <c r="C12" i="33" a="1"/>
  <c r="C7" i="26" a="1"/>
  <c r="C16" i="28" a="1"/>
  <c r="C10" i="33" a="1"/>
  <c r="C4" i="31" a="1"/>
  <c r="C18" i="26" a="1"/>
  <c r="C5" i="26" a="1"/>
  <c r="C15" i="31" a="1"/>
  <c r="C11" i="28" a="1"/>
  <c r="C17" i="27" a="1"/>
  <c r="C14" i="26" a="1"/>
  <c r="C6" i="26" a="1"/>
  <c r="C12" i="27" a="1"/>
  <c r="C18" i="31" a="1"/>
  <c r="C5" i="31" a="1"/>
  <c r="C3" i="31" a="1"/>
  <c r="C19" i="33" a="1"/>
  <c r="C9" i="27" a="1"/>
  <c r="C13" i="28" a="1"/>
  <c r="C15" i="28" a="1"/>
  <c r="C4" i="28" a="1"/>
  <c r="C12" i="28" a="1"/>
  <c r="C19" i="3" a="1"/>
  <c r="C8" i="26" a="1"/>
  <c r="C13" i="26" a="1"/>
  <c r="C17" i="26" a="1"/>
  <c r="C5" i="27" a="1"/>
  <c r="C17" i="32" a="1"/>
  <c r="C7" i="32" a="1"/>
  <c r="C3" i="21" a="1"/>
  <c r="C19" i="31" a="1"/>
  <c r="C5" i="32" a="1"/>
  <c r="C3" i="27" a="1"/>
  <c r="C8" i="28" a="1"/>
  <c r="C10" i="27" a="1"/>
  <c r="C12" i="31" a="1"/>
  <c r="C18" i="33" a="1"/>
  <c r="C10" i="28" a="1"/>
  <c r="C8" i="31" a="1"/>
  <c r="C15" i="33" a="1"/>
  <c r="C7" i="31" a="1"/>
  <c r="C7" i="28" a="1"/>
  <c r="C14" i="31" a="1"/>
  <c r="C10" i="31" a="1"/>
  <c r="C13" i="33" a="1"/>
  <c r="C15" i="32" a="1"/>
  <c r="G17" i="84" l="1"/>
  <c r="H17" i="84" s="1"/>
  <c r="G17" i="83"/>
  <c r="H17" i="83" s="1"/>
  <c r="C13" i="26"/>
  <c r="C12" i="27"/>
  <c r="C6" i="28"/>
  <c r="C6" i="31"/>
  <c r="C6" i="33"/>
  <c r="C15" i="27"/>
  <c r="C3" i="26"/>
  <c r="C3" i="27"/>
  <c r="C3" i="33"/>
  <c r="C12" i="26"/>
  <c r="C8" i="26"/>
  <c r="C4" i="26"/>
  <c r="C16" i="27"/>
  <c r="C11" i="27"/>
  <c r="C7" i="27"/>
  <c r="C13" i="28"/>
  <c r="C9" i="28"/>
  <c r="C5" i="28"/>
  <c r="C17" i="31"/>
  <c r="C13" i="31"/>
  <c r="C9" i="31"/>
  <c r="C5" i="31"/>
  <c r="C17" i="32"/>
  <c r="C13" i="32"/>
  <c r="C9" i="32"/>
  <c r="C5" i="32"/>
  <c r="C17" i="33"/>
  <c r="C13" i="33"/>
  <c r="C9" i="33"/>
  <c r="C5" i="33"/>
  <c r="C3" i="32"/>
  <c r="C4" i="27"/>
  <c r="C10" i="31"/>
  <c r="C14" i="32"/>
  <c r="C10" i="32"/>
  <c r="C6" i="32"/>
  <c r="C17" i="28"/>
  <c r="C17" i="3"/>
  <c r="C16" i="28"/>
  <c r="C17" i="26"/>
  <c r="C9" i="26"/>
  <c r="C8" i="27"/>
  <c r="C14" i="31"/>
  <c r="C14" i="33"/>
  <c r="C3" i="4"/>
  <c r="C11" i="26"/>
  <c r="C10" i="27"/>
  <c r="C8" i="28"/>
  <c r="C12" i="31"/>
  <c r="C16" i="32"/>
  <c r="C4" i="32"/>
  <c r="C12" i="33"/>
  <c r="C19" i="28"/>
  <c r="C15" i="28"/>
  <c r="C16" i="26"/>
  <c r="C3" i="2"/>
  <c r="C5" i="26"/>
  <c r="C10" i="28"/>
  <c r="C18" i="32"/>
  <c r="C10" i="33"/>
  <c r="C19" i="26"/>
  <c r="C19" i="27"/>
  <c r="C6" i="27"/>
  <c r="C4" i="28"/>
  <c r="C8" i="31"/>
  <c r="C12" i="32"/>
  <c r="C16" i="33"/>
  <c r="C4" i="33"/>
  <c r="C3" i="21"/>
  <c r="C3" i="31"/>
  <c r="C18" i="26"/>
  <c r="C10" i="26"/>
  <c r="C6" i="26"/>
  <c r="C18" i="27"/>
  <c r="C13" i="27"/>
  <c r="C9" i="27"/>
  <c r="C5" i="27"/>
  <c r="C11" i="28"/>
  <c r="C7" i="28"/>
  <c r="G19" i="30"/>
  <c r="C19" i="31"/>
  <c r="C15" i="31"/>
  <c r="C11" i="31"/>
  <c r="C7" i="31"/>
  <c r="C19" i="32"/>
  <c r="C15" i="32"/>
  <c r="C11" i="32"/>
  <c r="C7" i="32"/>
  <c r="C19" i="33"/>
  <c r="C15" i="33"/>
  <c r="C11" i="33"/>
  <c r="C7" i="33"/>
  <c r="C3" i="20"/>
  <c r="C17" i="27"/>
  <c r="G18" i="30"/>
  <c r="C18" i="31"/>
  <c r="C18" i="33"/>
  <c r="C3" i="28"/>
  <c r="C7" i="26"/>
  <c r="C14" i="27"/>
  <c r="C12" i="28"/>
  <c r="C16" i="31"/>
  <c r="C4" i="31"/>
  <c r="C8" i="32"/>
  <c r="C8" i="33"/>
  <c r="C18" i="28"/>
  <c r="C14" i="28"/>
  <c r="C15" i="26"/>
  <c r="C14" i="26"/>
  <c r="D20" i="33"/>
  <c r="G20" i="33"/>
  <c r="D20" i="32"/>
  <c r="G20" i="32"/>
  <c r="D20" i="31"/>
  <c r="G20" i="31"/>
  <c r="D20" i="28"/>
  <c r="G20" i="28"/>
  <c r="D20" i="27"/>
  <c r="G20" i="27"/>
  <c r="D20" i="26"/>
  <c r="G20" i="26"/>
  <c r="E10" i="5"/>
  <c r="D19" i="29"/>
  <c r="G19" i="29"/>
  <c r="D18" i="29"/>
  <c r="G18" i="29"/>
  <c r="E5" i="69"/>
  <c r="E7" i="69"/>
  <c r="E8" i="69"/>
  <c r="E9" i="69"/>
  <c r="E10" i="69"/>
  <c r="E5" i="79"/>
  <c r="E7" i="79"/>
  <c r="E8" i="79"/>
  <c r="E9" i="79"/>
  <c r="E10" i="79"/>
  <c r="E5" i="78"/>
  <c r="E7" i="78"/>
  <c r="E8" i="78"/>
  <c r="E9" i="78"/>
  <c r="E10" i="78"/>
  <c r="E5" i="77"/>
  <c r="E7" i="77"/>
  <c r="E8" i="77"/>
  <c r="E9" i="77"/>
  <c r="E10" i="77"/>
  <c r="E5" i="76"/>
  <c r="E7" i="76"/>
  <c r="E8" i="76"/>
  <c r="E9" i="76"/>
  <c r="E10" i="76"/>
  <c r="E5" i="75"/>
  <c r="E7" i="75"/>
  <c r="E8" i="75"/>
  <c r="E9" i="75"/>
  <c r="E10" i="75"/>
  <c r="E5" i="74"/>
  <c r="E7" i="74"/>
  <c r="E8" i="74"/>
  <c r="E9" i="74"/>
  <c r="E10" i="74"/>
  <c r="E5" i="73"/>
  <c r="E7" i="73"/>
  <c r="E8" i="73"/>
  <c r="E9" i="73"/>
  <c r="E10" i="73"/>
  <c r="E5" i="80"/>
  <c r="E7" i="80"/>
  <c r="E8" i="80"/>
  <c r="E9" i="80"/>
  <c r="E10" i="80"/>
  <c r="E5" i="72"/>
  <c r="E7" i="72"/>
  <c r="E8" i="72"/>
  <c r="E9" i="72"/>
  <c r="E10" i="72"/>
  <c r="E5" i="71"/>
  <c r="E7" i="71"/>
  <c r="E8" i="71"/>
  <c r="E9" i="71"/>
  <c r="E10" i="71"/>
  <c r="E5" i="70"/>
  <c r="E7" i="70"/>
  <c r="E8" i="70"/>
  <c r="E9" i="70"/>
  <c r="E10" i="70"/>
  <c r="E5" i="81"/>
  <c r="E7" i="81"/>
  <c r="E8" i="81"/>
  <c r="E9" i="81"/>
  <c r="E10" i="81"/>
  <c r="E5" i="82"/>
  <c r="E7" i="82"/>
  <c r="E8" i="82"/>
  <c r="E9" i="82"/>
  <c r="E10" i="82"/>
  <c r="E5" i="83"/>
  <c r="E7" i="83"/>
  <c r="E8" i="83"/>
  <c r="E9" i="83"/>
  <c r="E10" i="83"/>
  <c r="E5" i="84"/>
  <c r="E7" i="84"/>
  <c r="E8" i="84"/>
  <c r="E9" i="84"/>
  <c r="E10" i="84"/>
  <c r="G17" i="82"/>
  <c r="H17" i="82" s="1"/>
  <c r="G17" i="81"/>
  <c r="H17" i="81" s="1"/>
  <c r="D16" i="29"/>
  <c r="G16" i="29"/>
  <c r="A3" i="2"/>
  <c r="C19" i="3"/>
  <c r="C4" i="3"/>
  <c r="A3" i="3"/>
  <c r="A3" i="4"/>
  <c r="A3" i="21"/>
  <c r="A3" i="20"/>
  <c r="A3" i="19"/>
  <c r="A3" i="27"/>
  <c r="A3" i="28"/>
  <c r="D19" i="30"/>
  <c r="A3" i="31"/>
  <c r="D17" i="84"/>
  <c r="E17" i="84" s="1"/>
  <c r="D17" i="83"/>
  <c r="E17" i="83" s="1"/>
  <c r="D17" i="82"/>
  <c r="E17" i="82" s="1"/>
  <c r="D17" i="81"/>
  <c r="E17" i="81" s="1"/>
  <c r="A3" i="1"/>
  <c r="A3" i="33"/>
  <c r="G17" i="80"/>
  <c r="H17" i="80" s="1"/>
  <c r="D17" i="80"/>
  <c r="E17" i="80" s="1"/>
  <c r="G17" i="79"/>
  <c r="H17" i="79" s="1"/>
  <c r="D17" i="79"/>
  <c r="E17" i="79" s="1"/>
  <c r="G17" i="78"/>
  <c r="H17" i="78" s="1"/>
  <c r="D17" i="78"/>
  <c r="E17" i="78" s="1"/>
  <c r="G17" i="77"/>
  <c r="H17" i="77" s="1"/>
  <c r="D17" i="77"/>
  <c r="E17" i="77" s="1"/>
  <c r="G17" i="76"/>
  <c r="H17" i="76" s="1"/>
  <c r="D17" i="76"/>
  <c r="E17" i="76" s="1"/>
  <c r="G17" i="75"/>
  <c r="H17" i="75" s="1"/>
  <c r="D17" i="75"/>
  <c r="E17" i="75" s="1"/>
  <c r="G17" i="74"/>
  <c r="H17" i="74" s="1"/>
  <c r="D17" i="74"/>
  <c r="E17" i="74" s="1"/>
  <c r="G17" i="73"/>
  <c r="H17" i="73" s="1"/>
  <c r="D17" i="73"/>
  <c r="E17" i="73" s="1"/>
  <c r="G17" i="72"/>
  <c r="H17" i="72" s="1"/>
  <c r="D17" i="72"/>
  <c r="E17" i="72" s="1"/>
  <c r="G17" i="71"/>
  <c r="H17" i="71" s="1"/>
  <c r="D17" i="71"/>
  <c r="E17" i="71" s="1"/>
  <c r="G17" i="70"/>
  <c r="H17" i="70" s="1"/>
  <c r="D17" i="70"/>
  <c r="E17" i="70" s="1"/>
  <c r="G17" i="69"/>
  <c r="H17" i="69" s="1"/>
  <c r="D17" i="69"/>
  <c r="E17" i="69" s="1"/>
  <c r="G17" i="5"/>
  <c r="H17" i="5" s="1"/>
  <c r="D17" i="5"/>
  <c r="E17" i="5" s="1"/>
  <c r="C17" i="20" a="1"/>
  <c r="C7" i="4" a="1"/>
  <c r="C15" i="3" a="1"/>
  <c r="C19" i="2" a="1"/>
  <c r="C6" i="2" a="1"/>
  <c r="C17" i="19" a="1"/>
  <c r="C10" i="20" a="1"/>
  <c r="C10" i="2" a="1"/>
  <c r="C18" i="2" a="1"/>
  <c r="C12" i="2" a="1"/>
  <c r="C3" i="3" a="1"/>
  <c r="C17" i="21" a="1"/>
  <c r="C10" i="21" a="1"/>
  <c r="C11" i="2" a="1"/>
  <c r="C7" i="21" a="1"/>
  <c r="C14" i="19" a="1"/>
  <c r="C15" i="20" a="1"/>
  <c r="C19" i="19" a="1"/>
  <c r="C13" i="19" a="1"/>
  <c r="C17" i="4" a="1"/>
  <c r="C8" i="3" a="1"/>
  <c r="C8" i="20" a="1"/>
  <c r="C9" i="21" a="1"/>
  <c r="C16" i="4" a="1"/>
  <c r="C14" i="21" a="1"/>
  <c r="C10" i="4" a="1"/>
  <c r="C4" i="21" a="1"/>
  <c r="C5" i="4" a="1"/>
  <c r="C18" i="4" a="1"/>
  <c r="C5" i="3" a="1"/>
  <c r="C18" i="21" a="1"/>
  <c r="C7" i="20" a="1"/>
  <c r="C8" i="21" a="1"/>
  <c r="C9" i="3" a="1"/>
  <c r="C5" i="2" a="1"/>
  <c r="C7" i="3" a="1"/>
  <c r="C4" i="4" a="1"/>
  <c r="C12" i="21" a="1"/>
  <c r="C19" i="21" a="1"/>
  <c r="C7" i="19" a="1"/>
  <c r="C7" i="2" a="1"/>
  <c r="C13" i="3" a="1"/>
  <c r="C9" i="19" a="1"/>
  <c r="C11" i="21" a="1"/>
  <c r="C15" i="21" a="1"/>
  <c r="C15" i="2" a="1"/>
  <c r="C16" i="2" a="1"/>
  <c r="C4" i="2" a="1"/>
  <c r="C18" i="3" a="1"/>
  <c r="C12" i="20" a="1"/>
  <c r="C11" i="20" a="1"/>
  <c r="C18" i="19" a="1"/>
  <c r="C13" i="4" a="1"/>
  <c r="C6" i="19" a="1"/>
  <c r="C6" i="21" a="1"/>
  <c r="C14" i="2" a="1"/>
  <c r="C18" i="20" a="1"/>
  <c r="C8" i="4" a="1"/>
  <c r="C13" i="21" a="1"/>
  <c r="C6" i="3" a="1"/>
  <c r="C5" i="21" a="1"/>
  <c r="C9" i="2" a="1"/>
  <c r="C17" i="2" a="1"/>
  <c r="C16" i="20" a="1"/>
  <c r="C16" i="3" a="1"/>
  <c r="C19" i="20" a="1"/>
  <c r="C11" i="3" a="1"/>
  <c r="C9" i="4" a="1"/>
  <c r="C6" i="20" a="1"/>
  <c r="C6" i="4" a="1"/>
  <c r="C11" i="4" a="1"/>
  <c r="C9" i="20" a="1"/>
  <c r="C8" i="2" a="1"/>
  <c r="C14" i="20" a="1"/>
  <c r="C13" i="20" a="1"/>
  <c r="C12" i="3" a="1"/>
  <c r="C14" i="4" a="1"/>
  <c r="C14" i="3" a="1"/>
  <c r="C13" i="2" a="1"/>
  <c r="C8" i="19" a="1"/>
  <c r="C19" i="4" a="1"/>
  <c r="C5" i="20" a="1"/>
  <c r="C4" i="19" a="1"/>
  <c r="C12" i="4" a="1"/>
  <c r="C15" i="19" a="1"/>
  <c r="C16" i="21" a="1"/>
  <c r="C5" i="19" a="1"/>
  <c r="C3" i="19" a="1"/>
  <c r="C10" i="3" a="1"/>
  <c r="C12" i="19" a="1"/>
  <c r="C15" i="4" a="1"/>
  <c r="C16" i="19" a="1"/>
  <c r="C10" i="19" a="1"/>
  <c r="C4" i="20" a="1"/>
  <c r="C11" i="19" a="1"/>
  <c r="C15" i="19" l="1"/>
  <c r="C17" i="4"/>
  <c r="C17" i="19"/>
  <c r="C17" i="20"/>
  <c r="C17" i="21"/>
  <c r="C15" i="2"/>
  <c r="C20" i="33"/>
  <c r="C15" i="20"/>
  <c r="C19" i="4"/>
  <c r="C16" i="21"/>
  <c r="D16" i="18"/>
  <c r="G16" i="18"/>
  <c r="C14" i="20"/>
  <c r="C13" i="19"/>
  <c r="C13" i="2"/>
  <c r="C12" i="4"/>
  <c r="C11" i="21"/>
  <c r="C10" i="20"/>
  <c r="C9" i="19"/>
  <c r="C9" i="2"/>
  <c r="C8" i="4"/>
  <c r="C7" i="21"/>
  <c r="C6" i="20"/>
  <c r="C5" i="19"/>
  <c r="C5" i="2"/>
  <c r="C15" i="21"/>
  <c r="C18" i="20"/>
  <c r="C11" i="20"/>
  <c r="C18" i="4"/>
  <c r="C13" i="20"/>
  <c r="C10" i="21"/>
  <c r="C8" i="19"/>
  <c r="C6" i="21"/>
  <c r="C5" i="20"/>
  <c r="C4" i="19"/>
  <c r="C13" i="4"/>
  <c r="C16" i="4"/>
  <c r="C12" i="19"/>
  <c r="C8" i="2"/>
  <c r="C15" i="4"/>
  <c r="C14" i="19"/>
  <c r="C19" i="19"/>
  <c r="C14" i="21"/>
  <c r="C11" i="4"/>
  <c r="C9" i="20"/>
  <c r="C5" i="21"/>
  <c r="C16" i="20"/>
  <c r="C12" i="21"/>
  <c r="C17" i="2"/>
  <c r="C12" i="2"/>
  <c r="C7" i="4"/>
  <c r="C19" i="20"/>
  <c r="C18" i="19"/>
  <c r="C16" i="19"/>
  <c r="C16" i="2"/>
  <c r="C14" i="4"/>
  <c r="C13" i="21"/>
  <c r="C12" i="20"/>
  <c r="C11" i="19"/>
  <c r="C11" i="2"/>
  <c r="C10" i="4"/>
  <c r="C9" i="21"/>
  <c r="C8" i="20"/>
  <c r="C7" i="19"/>
  <c r="C7" i="2"/>
  <c r="C6" i="4"/>
  <c r="C14" i="2"/>
  <c r="C10" i="19"/>
  <c r="C10" i="2"/>
  <c r="C9" i="4"/>
  <c r="C8" i="21"/>
  <c r="C7" i="20"/>
  <c r="C6" i="19"/>
  <c r="C6" i="2"/>
  <c r="C5" i="4"/>
  <c r="C20" i="31"/>
  <c r="C20" i="27"/>
  <c r="C20" i="32"/>
  <c r="C20" i="26"/>
  <c r="C20" i="28"/>
  <c r="C3" i="19"/>
  <c r="D20" i="19"/>
  <c r="G20" i="19"/>
  <c r="C4" i="20"/>
  <c r="D20" i="20"/>
  <c r="G20" i="20"/>
  <c r="C4" i="21"/>
  <c r="D20" i="21"/>
  <c r="G20" i="21"/>
  <c r="C4" i="4"/>
  <c r="D20" i="4"/>
  <c r="G20" i="4"/>
  <c r="D20" i="3"/>
  <c r="G20" i="3"/>
  <c r="C4" i="2"/>
  <c r="D20" i="2"/>
  <c r="G20" i="2"/>
  <c r="G19" i="1"/>
  <c r="G18" i="1"/>
  <c r="C19" i="2"/>
  <c r="D19" i="1"/>
  <c r="C18" i="2"/>
  <c r="D18" i="1"/>
  <c r="G19" i="18"/>
  <c r="G18" i="18"/>
  <c r="C19" i="21"/>
  <c r="D19" i="18"/>
  <c r="C18" i="21"/>
  <c r="D18" i="18"/>
  <c r="D15" i="1"/>
  <c r="G15" i="1"/>
  <c r="G16" i="1"/>
  <c r="D16" i="1"/>
  <c r="D14" i="1"/>
  <c r="G14" i="1"/>
  <c r="G17" i="1"/>
  <c r="D17" i="1"/>
  <c r="G17" i="18"/>
  <c r="D17" i="18"/>
  <c r="D14" i="18"/>
  <c r="G14" i="18"/>
  <c r="D15" i="18"/>
  <c r="G15" i="18"/>
  <c r="D15" i="29"/>
  <c r="G15" i="29"/>
  <c r="D17" i="29"/>
  <c r="G17" i="29"/>
  <c r="D14" i="29"/>
  <c r="G14" i="29"/>
  <c r="C3" i="3"/>
  <c r="C3" i="1" s="1"/>
  <c r="C15" i="3"/>
  <c r="C11" i="3"/>
  <c r="C13" i="3"/>
  <c r="C7" i="3"/>
  <c r="C9" i="3"/>
  <c r="C5" i="3"/>
  <c r="C16" i="3"/>
  <c r="C12" i="3"/>
  <c r="C18" i="3"/>
  <c r="C14" i="3"/>
  <c r="C10" i="3"/>
  <c r="C6" i="3"/>
  <c r="C8" i="3"/>
  <c r="C19" i="29"/>
  <c r="G15" i="30"/>
  <c r="G14" i="30"/>
  <c r="G17" i="30"/>
  <c r="G16" i="30"/>
  <c r="D18" i="30"/>
  <c r="D15" i="30"/>
  <c r="D14" i="30"/>
  <c r="D17" i="30"/>
  <c r="D16" i="30"/>
  <c r="C19" i="30"/>
  <c r="C18" i="30"/>
  <c r="C16" i="30"/>
  <c r="D3" i="18"/>
  <c r="G3" i="18"/>
  <c r="D4" i="18"/>
  <c r="G4" i="18"/>
  <c r="D5" i="18"/>
  <c r="G5" i="18"/>
  <c r="D6" i="18"/>
  <c r="G6" i="18"/>
  <c r="D7" i="18"/>
  <c r="G7" i="18"/>
  <c r="D8" i="18"/>
  <c r="G8" i="18"/>
  <c r="D9" i="18"/>
  <c r="G9" i="18"/>
  <c r="D10" i="18"/>
  <c r="G10" i="18"/>
  <c r="D11" i="18"/>
  <c r="G11" i="18"/>
  <c r="D12" i="18"/>
  <c r="G12" i="18"/>
  <c r="D13" i="18"/>
  <c r="G13" i="18"/>
  <c r="D3" i="29"/>
  <c r="G3" i="29"/>
  <c r="D4" i="29"/>
  <c r="G4" i="29"/>
  <c r="D5" i="29"/>
  <c r="G5" i="29"/>
  <c r="D6" i="29"/>
  <c r="G6" i="29"/>
  <c r="D7" i="29"/>
  <c r="G7" i="29"/>
  <c r="D8" i="29"/>
  <c r="G8" i="29"/>
  <c r="D9" i="29"/>
  <c r="G9" i="29"/>
  <c r="D10" i="29"/>
  <c r="G10" i="29"/>
  <c r="D11" i="29"/>
  <c r="G11" i="29"/>
  <c r="D12" i="29"/>
  <c r="G12" i="29"/>
  <c r="D13" i="29"/>
  <c r="G13" i="29"/>
  <c r="D3" i="30"/>
  <c r="G3" i="30"/>
  <c r="D4" i="30"/>
  <c r="G4" i="30"/>
  <c r="D5" i="30"/>
  <c r="G5" i="30"/>
  <c r="D6" i="30"/>
  <c r="G6" i="30"/>
  <c r="D7" i="30"/>
  <c r="G7" i="30"/>
  <c r="D8" i="30"/>
  <c r="G8" i="30"/>
  <c r="D9" i="30"/>
  <c r="G9" i="30"/>
  <c r="D10" i="30"/>
  <c r="G10" i="30"/>
  <c r="D11" i="30"/>
  <c r="G11" i="30"/>
  <c r="D12" i="30"/>
  <c r="G12" i="30"/>
  <c r="D13" i="30"/>
  <c r="G13" i="30"/>
  <c r="C12" i="29"/>
  <c r="G3" i="1"/>
  <c r="D13" i="1"/>
  <c r="G13" i="1"/>
  <c r="D12" i="1"/>
  <c r="G12" i="1"/>
  <c r="D11" i="1"/>
  <c r="G11" i="1"/>
  <c r="D10" i="1"/>
  <c r="G10" i="1"/>
  <c r="D9" i="1"/>
  <c r="G9" i="1"/>
  <c r="D8" i="1"/>
  <c r="G8" i="1"/>
  <c r="D7" i="1"/>
  <c r="G7" i="1"/>
  <c r="D6" i="1"/>
  <c r="G6" i="1"/>
  <c r="D5" i="1"/>
  <c r="G5" i="1"/>
  <c r="D4" i="1"/>
  <c r="G4" i="1"/>
  <c r="D3" i="1"/>
  <c r="H16" i="30" l="1"/>
  <c r="I16" i="30" s="1"/>
  <c r="C18" i="18"/>
  <c r="H18" i="18" s="1"/>
  <c r="C20" i="4"/>
  <c r="H20" i="4" s="1"/>
  <c r="I20" i="4" s="1"/>
  <c r="C19" i="18"/>
  <c r="H19" i="18" s="1"/>
  <c r="C16" i="18"/>
  <c r="E16" i="18" s="1"/>
  <c r="F16" i="18" s="1"/>
  <c r="C16" i="1"/>
  <c r="H16" i="1" s="1"/>
  <c r="I16" i="1" s="1"/>
  <c r="C19" i="1"/>
  <c r="H19" i="1" s="1"/>
  <c r="I19" i="1" s="1"/>
  <c r="C20" i="19"/>
  <c r="H20" i="19" s="1"/>
  <c r="I20" i="19" s="1"/>
  <c r="C18" i="1"/>
  <c r="H18" i="1" s="1"/>
  <c r="I18" i="1" s="1"/>
  <c r="C20" i="20"/>
  <c r="H12" i="29"/>
  <c r="I12" i="29" s="1"/>
  <c r="C20" i="21"/>
  <c r="H20" i="21" s="1"/>
  <c r="I20" i="21" s="1"/>
  <c r="C20" i="3"/>
  <c r="C20" i="2"/>
  <c r="H18" i="30"/>
  <c r="I18" i="30" s="1"/>
  <c r="H19" i="30"/>
  <c r="I19" i="30" s="1"/>
  <c r="H19" i="29"/>
  <c r="I19" i="29" s="1"/>
  <c r="G17" i="34"/>
  <c r="G14" i="34"/>
  <c r="D17" i="34"/>
  <c r="D14" i="34"/>
  <c r="D16" i="34"/>
  <c r="G16" i="34"/>
  <c r="G15" i="34"/>
  <c r="D15" i="34"/>
  <c r="C14" i="1"/>
  <c r="C15" i="1"/>
  <c r="C17" i="1"/>
  <c r="C15" i="18"/>
  <c r="C17" i="18"/>
  <c r="C14" i="18"/>
  <c r="C14" i="29"/>
  <c r="C15" i="29"/>
  <c r="C7" i="29"/>
  <c r="H20" i="26"/>
  <c r="I20" i="26" s="1"/>
  <c r="H20" i="27"/>
  <c r="I20" i="27" s="1"/>
  <c r="C18" i="29"/>
  <c r="C17" i="29"/>
  <c r="H20" i="28"/>
  <c r="I20" i="28" s="1"/>
  <c r="E16" i="30"/>
  <c r="F16" i="30" s="1"/>
  <c r="C17" i="30"/>
  <c r="C15" i="30"/>
  <c r="C14" i="30"/>
  <c r="C12" i="30"/>
  <c r="H20" i="32"/>
  <c r="I20" i="32" s="1"/>
  <c r="C4" i="18"/>
  <c r="C13" i="18"/>
  <c r="C9" i="30"/>
  <c r="C13" i="30"/>
  <c r="C5" i="30"/>
  <c r="C8" i="29"/>
  <c r="C3" i="30"/>
  <c r="H3" i="30" s="1"/>
  <c r="I3" i="30" s="1"/>
  <c r="C7" i="18"/>
  <c r="C11" i="29"/>
  <c r="E19" i="30"/>
  <c r="F19" i="30" s="1"/>
  <c r="C7" i="30"/>
  <c r="D11" i="34"/>
  <c r="E18" i="30"/>
  <c r="F18" i="30" s="1"/>
  <c r="C9" i="29"/>
  <c r="C5" i="18"/>
  <c r="D12" i="34"/>
  <c r="E19" i="29"/>
  <c r="F19" i="29" s="1"/>
  <c r="C11" i="30"/>
  <c r="D20" i="18"/>
  <c r="G20" i="18"/>
  <c r="D20" i="29"/>
  <c r="G20" i="30"/>
  <c r="G20" i="29"/>
  <c r="G5" i="34"/>
  <c r="D10" i="34"/>
  <c r="D20" i="30"/>
  <c r="D5" i="34"/>
  <c r="D13" i="34"/>
  <c r="G3" i="34"/>
  <c r="G20" i="1"/>
  <c r="D8" i="34"/>
  <c r="G11" i="34"/>
  <c r="D3" i="34"/>
  <c r="C12" i="18"/>
  <c r="C4" i="30"/>
  <c r="G9" i="34"/>
  <c r="G4" i="34"/>
  <c r="G12" i="34"/>
  <c r="C10" i="18"/>
  <c r="C10" i="30"/>
  <c r="C3" i="18"/>
  <c r="H3" i="18" s="1"/>
  <c r="I3" i="18" s="1"/>
  <c r="E20" i="33"/>
  <c r="F20" i="33" s="1"/>
  <c r="D4" i="34"/>
  <c r="G7" i="34"/>
  <c r="G19" i="34"/>
  <c r="C9" i="18"/>
  <c r="C13" i="29"/>
  <c r="C5" i="29"/>
  <c r="G6" i="34"/>
  <c r="G18" i="34"/>
  <c r="D6" i="34"/>
  <c r="D18" i="34"/>
  <c r="C11" i="18"/>
  <c r="D9" i="34"/>
  <c r="C6" i="29"/>
  <c r="C3" i="29"/>
  <c r="H3" i="29" s="1"/>
  <c r="I3" i="29" s="1"/>
  <c r="D7" i="34"/>
  <c r="G10" i="34"/>
  <c r="D19" i="34"/>
  <c r="C8" i="18"/>
  <c r="C4" i="29"/>
  <c r="C8" i="30"/>
  <c r="G13" i="34"/>
  <c r="D20" i="1"/>
  <c r="G8" i="34"/>
  <c r="C6" i="18"/>
  <c r="C10" i="29"/>
  <c r="C6" i="30"/>
  <c r="C16" i="29"/>
  <c r="E12" i="29"/>
  <c r="F12" i="29" s="1"/>
  <c r="C4" i="1"/>
  <c r="C5" i="1"/>
  <c r="C6" i="1"/>
  <c r="C7" i="1"/>
  <c r="C8" i="1"/>
  <c r="C9" i="1"/>
  <c r="H9" i="1" s="1"/>
  <c r="I9" i="1" s="1"/>
  <c r="C10" i="1"/>
  <c r="H10" i="1" s="1"/>
  <c r="I10" i="1" s="1"/>
  <c r="C11" i="1"/>
  <c r="C12" i="1"/>
  <c r="C13" i="1"/>
  <c r="H16" i="18" l="1"/>
  <c r="I16" i="18" s="1"/>
  <c r="E16" i="1"/>
  <c r="F16" i="1" s="1"/>
  <c r="H13" i="1"/>
  <c r="I13" i="1" s="1"/>
  <c r="H12" i="1"/>
  <c r="I12" i="1" s="1"/>
  <c r="H11" i="1"/>
  <c r="I11" i="1" s="1"/>
  <c r="H8" i="1"/>
  <c r="I8" i="1" s="1"/>
  <c r="H7" i="1"/>
  <c r="I7" i="1" s="1"/>
  <c r="H6" i="1"/>
  <c r="I6" i="1" s="1"/>
  <c r="H5" i="1"/>
  <c r="I5" i="1" s="1"/>
  <c r="H4" i="1"/>
  <c r="I4" i="1" s="1"/>
  <c r="H17" i="1"/>
  <c r="I17" i="1" s="1"/>
  <c r="H15" i="1"/>
  <c r="I15" i="1" s="1"/>
  <c r="H14" i="1"/>
  <c r="I14" i="1" s="1"/>
  <c r="E6" i="30"/>
  <c r="F6" i="30" s="1"/>
  <c r="H6" i="30"/>
  <c r="I6" i="30" s="1"/>
  <c r="E8" i="30"/>
  <c r="F8" i="30" s="1"/>
  <c r="H8" i="30"/>
  <c r="I8" i="30" s="1"/>
  <c r="E10" i="30"/>
  <c r="F10" i="30" s="1"/>
  <c r="H10" i="30"/>
  <c r="I10" i="30" s="1"/>
  <c r="E4" i="30"/>
  <c r="F4" i="30" s="1"/>
  <c r="H4" i="30"/>
  <c r="I4" i="30" s="1"/>
  <c r="E11" i="30"/>
  <c r="F11" i="30" s="1"/>
  <c r="H11" i="30"/>
  <c r="I11" i="30" s="1"/>
  <c r="E7" i="30"/>
  <c r="F7" i="30" s="1"/>
  <c r="H7" i="30"/>
  <c r="I7" i="30" s="1"/>
  <c r="E5" i="30"/>
  <c r="F5" i="30" s="1"/>
  <c r="H5" i="30"/>
  <c r="I5" i="30" s="1"/>
  <c r="E13" i="30"/>
  <c r="F13" i="30" s="1"/>
  <c r="H13" i="30"/>
  <c r="I13" i="30" s="1"/>
  <c r="E9" i="30"/>
  <c r="F9" i="30" s="1"/>
  <c r="H9" i="30"/>
  <c r="I9" i="30" s="1"/>
  <c r="E12" i="30"/>
  <c r="F12" i="30" s="1"/>
  <c r="H12" i="30"/>
  <c r="I12" i="30" s="1"/>
  <c r="E14" i="30"/>
  <c r="F14" i="30" s="1"/>
  <c r="H14" i="30"/>
  <c r="I14" i="30" s="1"/>
  <c r="E15" i="30"/>
  <c r="F15" i="30" s="1"/>
  <c r="H15" i="30"/>
  <c r="I15" i="30" s="1"/>
  <c r="E17" i="30"/>
  <c r="F17" i="30" s="1"/>
  <c r="H17" i="30"/>
  <c r="I17" i="30" s="1"/>
  <c r="E16" i="29"/>
  <c r="F16" i="29" s="1"/>
  <c r="H16" i="29"/>
  <c r="I16" i="29" s="1"/>
  <c r="E10" i="29"/>
  <c r="F10" i="29" s="1"/>
  <c r="H10" i="29"/>
  <c r="I10" i="29" s="1"/>
  <c r="E4" i="29"/>
  <c r="F4" i="29" s="1"/>
  <c r="H4" i="29"/>
  <c r="I4" i="29" s="1"/>
  <c r="E6" i="29"/>
  <c r="F6" i="29" s="1"/>
  <c r="H6" i="29"/>
  <c r="I6" i="29" s="1"/>
  <c r="E5" i="29"/>
  <c r="F5" i="29" s="1"/>
  <c r="H5" i="29"/>
  <c r="I5" i="29" s="1"/>
  <c r="E13" i="29"/>
  <c r="F13" i="29" s="1"/>
  <c r="H13" i="29"/>
  <c r="I13" i="29" s="1"/>
  <c r="E9" i="29"/>
  <c r="F9" i="29" s="1"/>
  <c r="H9" i="29"/>
  <c r="I9" i="29" s="1"/>
  <c r="E11" i="29"/>
  <c r="F11" i="29" s="1"/>
  <c r="H11" i="29"/>
  <c r="I11" i="29" s="1"/>
  <c r="E8" i="29"/>
  <c r="F8" i="29" s="1"/>
  <c r="H8" i="29"/>
  <c r="I8" i="29" s="1"/>
  <c r="E17" i="29"/>
  <c r="F17" i="29" s="1"/>
  <c r="H17" i="29"/>
  <c r="I17" i="29" s="1"/>
  <c r="E18" i="29"/>
  <c r="F18" i="29" s="1"/>
  <c r="H18" i="29"/>
  <c r="I18" i="29" s="1"/>
  <c r="E7" i="29"/>
  <c r="F7" i="29" s="1"/>
  <c r="H7" i="29"/>
  <c r="I7" i="29" s="1"/>
  <c r="E15" i="29"/>
  <c r="F15" i="29" s="1"/>
  <c r="H15" i="29"/>
  <c r="I15" i="29" s="1"/>
  <c r="E14" i="29"/>
  <c r="F14" i="29" s="1"/>
  <c r="H14" i="29"/>
  <c r="I14" i="29" s="1"/>
  <c r="E6" i="18"/>
  <c r="F6" i="18" s="1"/>
  <c r="H6" i="18"/>
  <c r="I6" i="18" s="1"/>
  <c r="E18" i="18"/>
  <c r="F18" i="18" s="1"/>
  <c r="I18" i="18"/>
  <c r="E8" i="18"/>
  <c r="F8" i="18" s="1"/>
  <c r="H8" i="18"/>
  <c r="I8" i="18" s="1"/>
  <c r="E11" i="18"/>
  <c r="F11" i="18" s="1"/>
  <c r="H11" i="18"/>
  <c r="I11" i="18" s="1"/>
  <c r="E9" i="18"/>
  <c r="F9" i="18" s="1"/>
  <c r="H9" i="18"/>
  <c r="I9" i="18" s="1"/>
  <c r="E10" i="18"/>
  <c r="F10" i="18" s="1"/>
  <c r="H10" i="18"/>
  <c r="I10" i="18" s="1"/>
  <c r="E12" i="18"/>
  <c r="F12" i="18" s="1"/>
  <c r="H12" i="18"/>
  <c r="I12" i="18" s="1"/>
  <c r="E5" i="18"/>
  <c r="F5" i="18" s="1"/>
  <c r="H5" i="18"/>
  <c r="I5" i="18" s="1"/>
  <c r="E7" i="18"/>
  <c r="F7" i="18" s="1"/>
  <c r="H7" i="18"/>
  <c r="I7" i="18" s="1"/>
  <c r="E19" i="18"/>
  <c r="F19" i="18" s="1"/>
  <c r="I19" i="18"/>
  <c r="E13" i="18"/>
  <c r="F13" i="18" s="1"/>
  <c r="H13" i="18"/>
  <c r="I13" i="18" s="1"/>
  <c r="E4" i="18"/>
  <c r="F4" i="18" s="1"/>
  <c r="H4" i="18"/>
  <c r="I4" i="18" s="1"/>
  <c r="E14" i="18"/>
  <c r="F14" i="18" s="1"/>
  <c r="H14" i="18"/>
  <c r="I14" i="18" s="1"/>
  <c r="E17" i="18"/>
  <c r="F17" i="18" s="1"/>
  <c r="H17" i="18"/>
  <c r="I17" i="18" s="1"/>
  <c r="E15" i="18"/>
  <c r="F15" i="18" s="1"/>
  <c r="H15" i="18"/>
  <c r="I15" i="18" s="1"/>
  <c r="E10" i="1"/>
  <c r="F10" i="1" s="1"/>
  <c r="E9" i="1"/>
  <c r="F9" i="1" s="1"/>
  <c r="H3" i="1"/>
  <c r="E15" i="1"/>
  <c r="F15" i="1" s="1"/>
  <c r="C15" i="34"/>
  <c r="E14" i="1"/>
  <c r="F14" i="1" s="1"/>
  <c r="C14" i="34"/>
  <c r="E17" i="1"/>
  <c r="F17" i="1" s="1"/>
  <c r="C17" i="34"/>
  <c r="C16" i="34"/>
  <c r="H20" i="2"/>
  <c r="I20" i="2" s="1"/>
  <c r="E20" i="2"/>
  <c r="F20" i="2" s="1"/>
  <c r="E20" i="21"/>
  <c r="F20" i="21" s="1"/>
  <c r="H20" i="3"/>
  <c r="I20" i="3" s="1"/>
  <c r="E20" i="3"/>
  <c r="F20" i="3" s="1"/>
  <c r="E20" i="4"/>
  <c r="F20" i="4" s="1"/>
  <c r="E20" i="19"/>
  <c r="F20" i="19" s="1"/>
  <c r="E20" i="20"/>
  <c r="F20" i="20" s="1"/>
  <c r="H20" i="20"/>
  <c r="I20" i="20" s="1"/>
  <c r="E20" i="26"/>
  <c r="F20" i="26" s="1"/>
  <c r="E20" i="27"/>
  <c r="F20" i="27" s="1"/>
  <c r="E20" i="28"/>
  <c r="F20" i="28" s="1"/>
  <c r="E20" i="32"/>
  <c r="F20" i="32" s="1"/>
  <c r="H20" i="31"/>
  <c r="I20" i="31" s="1"/>
  <c r="E20" i="31"/>
  <c r="F20" i="31" s="1"/>
  <c r="C4" i="34"/>
  <c r="C5" i="34"/>
  <c r="C7" i="34"/>
  <c r="C8" i="34"/>
  <c r="C12" i="34"/>
  <c r="C11" i="34"/>
  <c r="C6" i="34"/>
  <c r="C19" i="34"/>
  <c r="C13" i="34"/>
  <c r="H20" i="33"/>
  <c r="I20" i="33" s="1"/>
  <c r="E12" i="1"/>
  <c r="F12" i="1" s="1"/>
  <c r="E11" i="1"/>
  <c r="F11" i="1" s="1"/>
  <c r="E4" i="1"/>
  <c r="F4" i="1" s="1"/>
  <c r="D20" i="34"/>
  <c r="G20" i="34"/>
  <c r="C18" i="34"/>
  <c r="E8" i="1"/>
  <c r="F8" i="1" s="1"/>
  <c r="E19" i="1"/>
  <c r="F19" i="1" s="1"/>
  <c r="E7" i="1"/>
  <c r="F7" i="1" s="1"/>
  <c r="C10" i="34"/>
  <c r="C3" i="34"/>
  <c r="E18" i="1"/>
  <c r="F18" i="1" s="1"/>
  <c r="E6" i="1"/>
  <c r="F6" i="1" s="1"/>
  <c r="E13" i="1"/>
  <c r="F13" i="1" s="1"/>
  <c r="E5" i="1"/>
  <c r="F5" i="1" s="1"/>
  <c r="C9" i="34"/>
  <c r="C20" i="30"/>
  <c r="E3" i="30"/>
  <c r="F3" i="30" s="1"/>
  <c r="C20" i="29"/>
  <c r="E3" i="29"/>
  <c r="F3" i="29" s="1"/>
  <c r="C20" i="18"/>
  <c r="E3" i="18"/>
  <c r="F3" i="18" s="1"/>
  <c r="C20" i="1"/>
  <c r="E3" i="1"/>
  <c r="F3" i="1" s="1"/>
  <c r="E9" i="34" l="1"/>
  <c r="F9" i="34" s="1"/>
  <c r="H9" i="34"/>
  <c r="E10" i="34"/>
  <c r="F10" i="34" s="1"/>
  <c r="H10" i="34"/>
  <c r="E18" i="34"/>
  <c r="F18" i="34" s="1"/>
  <c r="H18" i="34"/>
  <c r="E13" i="34"/>
  <c r="F13" i="34" s="1"/>
  <c r="H13" i="34"/>
  <c r="E19" i="34"/>
  <c r="F19" i="34" s="1"/>
  <c r="H19" i="34"/>
  <c r="E6" i="34"/>
  <c r="F6" i="34" s="1"/>
  <c r="H6" i="34"/>
  <c r="E11" i="34"/>
  <c r="F11" i="34" s="1"/>
  <c r="H11" i="34"/>
  <c r="E12" i="34"/>
  <c r="F12" i="34" s="1"/>
  <c r="H12" i="34"/>
  <c r="E8" i="34"/>
  <c r="F8" i="34" s="1"/>
  <c r="H8" i="34"/>
  <c r="E7" i="34"/>
  <c r="F7" i="34" s="1"/>
  <c r="H7" i="34"/>
  <c r="E5" i="34"/>
  <c r="F5" i="34" s="1"/>
  <c r="H5" i="34"/>
  <c r="E4" i="34"/>
  <c r="F4" i="34" s="1"/>
  <c r="H4" i="34"/>
  <c r="E16" i="34"/>
  <c r="F16" i="34" s="1"/>
  <c r="H16" i="34"/>
  <c r="E17" i="34"/>
  <c r="F17" i="34" s="1"/>
  <c r="H17" i="34"/>
  <c r="E14" i="34"/>
  <c r="F14" i="34" s="1"/>
  <c r="H14" i="34"/>
  <c r="E15" i="34"/>
  <c r="F15" i="34" s="1"/>
  <c r="H15" i="34"/>
  <c r="E3" i="34"/>
  <c r="F3" i="34" s="1"/>
  <c r="H3" i="34"/>
  <c r="I3" i="34" s="1"/>
  <c r="I3" i="1"/>
  <c r="C20" i="34"/>
  <c r="H20" i="34" s="1"/>
  <c r="I20" i="34" s="1"/>
  <c r="H20" i="30"/>
  <c r="I20" i="30" s="1"/>
  <c r="E20" i="30"/>
  <c r="F20" i="30" s="1"/>
  <c r="H20" i="29"/>
  <c r="I20" i="29" s="1"/>
  <c r="E20" i="29"/>
  <c r="F20" i="29" s="1"/>
  <c r="H20" i="18"/>
  <c r="I20" i="18" s="1"/>
  <c r="E20" i="18"/>
  <c r="F20" i="18" s="1"/>
  <c r="H20" i="1"/>
  <c r="I20" i="1" s="1"/>
  <c r="E20" i="1"/>
  <c r="F20" i="1" s="1"/>
  <c r="I15" i="34" l="1"/>
  <c r="I14" i="34"/>
  <c r="I17" i="34"/>
  <c r="I16" i="34"/>
  <c r="I4" i="34"/>
  <c r="I5" i="34"/>
  <c r="I7" i="34"/>
  <c r="I8" i="34"/>
  <c r="I12" i="34"/>
  <c r="I6" i="34"/>
  <c r="I19" i="34"/>
  <c r="I18" i="34"/>
  <c r="I10" i="34"/>
  <c r="I9" i="34"/>
  <c r="I13" i="34"/>
  <c r="I11" i="34"/>
  <c r="E20" i="34"/>
  <c r="F20" i="3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<sst xmlns="http://schemas.openxmlformats.org/spreadsheetml/2006/main" count="822" uniqueCount="124">
  <si>
    <t>Year to Date 2024 Actual v. Expected</t>
  </si>
  <si>
    <t xml:space="preserve"> Year to Date 2024 Forecasted</t>
  </si>
  <si>
    <t>NOTES</t>
  </si>
  <si>
    <t>SR</t>
  </si>
  <si>
    <t>Site</t>
  </si>
  <si>
    <t>State</t>
  </si>
  <si>
    <t>Actual</t>
  </si>
  <si>
    <t>Expected</t>
  </si>
  <si>
    <t>Delta</t>
  </si>
  <si>
    <t>%</t>
  </si>
  <si>
    <t>Forecasted</t>
  </si>
  <si>
    <t>Total</t>
  </si>
  <si>
    <t>Values in gold exceed expected or forecasted by 10% or more.</t>
  </si>
  <si>
    <t>Values in red are below expected or forecasted by 10% or more.</t>
  </si>
  <si>
    <t>1st Quarter 2024 Actual v. Expected</t>
  </si>
  <si>
    <t xml:space="preserve"> 1st Quarter 2024 Forecasted</t>
  </si>
  <si>
    <t>2nd Quarter 2024 Actual v. Expected</t>
  </si>
  <si>
    <t xml:space="preserve"> 2nd Quarter 2024 Forecasted</t>
  </si>
  <si>
    <t>3rd Quarter 2024 Actual v. Expected</t>
  </si>
  <si>
    <t xml:space="preserve"> 3rd Quarter 2024 Forecasted</t>
  </si>
  <si>
    <t>4th Quarter 2024 Actual v. Expected</t>
  </si>
  <si>
    <t xml:space="preserve"> 4th Quarter 2024 Forecasted</t>
  </si>
  <si>
    <t>1-2024 Actual v. Expected</t>
  </si>
  <si>
    <t>1-2024 Actual v. Forecasted</t>
  </si>
  <si>
    <t>2-2024 Actual v. Expected</t>
  </si>
  <si>
    <t>2-2024 Actual v. Forecasted</t>
  </si>
  <si>
    <t>3-2024 Actual v. Expected</t>
  </si>
  <si>
    <t>3-2024 Actual v. Forecasted</t>
  </si>
  <si>
    <t>4-2024 Actual v. Expected</t>
  </si>
  <si>
    <t>4-2024 Actual v. Forecasted</t>
  </si>
  <si>
    <t>5-2024 Actual v. Expected</t>
  </si>
  <si>
    <t>5-2024 Actual v. Forecasted</t>
  </si>
  <si>
    <t>6-2024 Actual v. Expected</t>
  </si>
  <si>
    <t>6-2024 Actual v. Forecasted</t>
  </si>
  <si>
    <t>7-2024 Actual v. Expected</t>
  </si>
  <si>
    <t>7-2024 Actual v. Forecasted</t>
  </si>
  <si>
    <t>8-2024 Actual v. Expected</t>
  </si>
  <si>
    <t>8-2024 Actual v. Forecasted</t>
  </si>
  <si>
    <t>9-2024 Actual v. Expected</t>
  </si>
  <si>
    <t>9-2024 Actual v. Forecasted</t>
  </si>
  <si>
    <t>10-2024 Actual v. Expected</t>
  </si>
  <si>
    <t>10-2024 Actual v. Forecasted</t>
  </si>
  <si>
    <t>11-2024 Actual v. Expected</t>
  </si>
  <si>
    <t>11-2024 Actual v. Forecasted</t>
  </si>
  <si>
    <t>12-2024 Actual v. Expected</t>
  </si>
  <si>
    <t>12-2024 Actual v. Forecasted</t>
  </si>
  <si>
    <t>Portfolio:</t>
  </si>
  <si>
    <t>MN8 KEF</t>
  </si>
  <si>
    <t>Site DAS Name</t>
  </si>
  <si>
    <t>Column1</t>
  </si>
  <si>
    <t>MA-11-001 - Williamsburg A #1058</t>
  </si>
  <si>
    <t>Williamsburg A</t>
  </si>
  <si>
    <t>MA</t>
  </si>
  <si>
    <t>AEF</t>
  </si>
  <si>
    <t>MA-11-002 - Orange A KB</t>
  </si>
  <si>
    <t>Orange A KB</t>
  </si>
  <si>
    <t>MA-11-003 - Goshen A #1052</t>
  </si>
  <si>
    <t>Goshen A</t>
  </si>
  <si>
    <t>MA-11-004 - Phillipston A KB</t>
  </si>
  <si>
    <t>Phillipston A KB</t>
  </si>
  <si>
    <t>MA-11-005 - Uxbridge D</t>
  </si>
  <si>
    <t>Uxbridge D</t>
  </si>
  <si>
    <t>MA-11-006 - West Bridgewater A&amp;B #1063</t>
  </si>
  <si>
    <t>West Bridgewater A&amp;B</t>
  </si>
  <si>
    <t>MA-11-007 - Sutton A #1054</t>
  </si>
  <si>
    <t>Sutton A</t>
  </si>
  <si>
    <t>MA-11-008 - North Adams A #1079</t>
  </si>
  <si>
    <t>North Adams A</t>
  </si>
  <si>
    <t>MA-11-009 - North Adams B #1080</t>
  </si>
  <si>
    <t>North Adams B</t>
  </si>
  <si>
    <t>MA-11-010 - Clarksburg A #1081</t>
  </si>
  <si>
    <t>Clarksburg A</t>
  </si>
  <si>
    <t>MA-11-011 - Swansea B #1098</t>
  </si>
  <si>
    <t>Swansea B</t>
  </si>
  <si>
    <t>MA-11-012 - Wareham 2</t>
  </si>
  <si>
    <t>Wareham 2</t>
  </si>
  <si>
    <t>MA-11-013 - Kingston 1 KB</t>
  </si>
  <si>
    <t>Kingston 1 KB</t>
  </si>
  <si>
    <t>MA-11-014 - Kingston 2 KB</t>
  </si>
  <si>
    <t>Kingston 2 KB</t>
  </si>
  <si>
    <t>MA-11-015 - Holliston B</t>
  </si>
  <si>
    <t>Holliston B</t>
  </si>
  <si>
    <t>MA-11-016 - Fairhaven C</t>
  </si>
  <si>
    <t>Fairhaven C</t>
  </si>
  <si>
    <t>MA-11-017 - Plympton A</t>
  </si>
  <si>
    <t>Plympton A-2</t>
  </si>
  <si>
    <t>Actual vs. Expected</t>
  </si>
  <si>
    <t>Actual vs. Forecasted</t>
  </si>
  <si>
    <t>Notes</t>
  </si>
  <si>
    <t>Month</t>
  </si>
  <si>
    <t>Delta Expected</t>
  </si>
  <si>
    <t>% Expected</t>
  </si>
  <si>
    <t>Delta Forecasted</t>
  </si>
  <si>
    <t>% Forecasted</t>
  </si>
  <si>
    <t>Service Request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</si>
  <si>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</si>
  <si>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</si>
  <si>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</si>
  <si>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</si>
  <si>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</si>
  <si>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</si>
  <si>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</si>
  <si>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</si>
  <si>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</si>
  <si>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</si>
  <si>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</si>
  <si>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</si>
  <si>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</si>
  <si>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>1. Site tripped offline on 01/13 multiple times early in the morningand auto-closed shortly after</t>
  </si>
  <si>
    <t>1. SR080185</t>
  </si>
  <si>
    <t>1. Site tripped on 01/14 at 14:30 and later back online on 01/15 at 10:00AM
2. Site tripped offline on 01/25 at 11:06AM and later back online 01/25 at 11:27AM.</t>
  </si>
  <si>
    <t>1. SR080209
2. SR080465</t>
  </si>
  <si>
    <t>1. Inverter 3.3 is offline on 01/13 at 07:00AM, later back online
 on 01/13 at 12:45PM and tripping on and off multiple days on and off.</t>
  </si>
  <si>
    <t>1. SR080193</t>
  </si>
  <si>
    <t>1. Site tripped offline on 01/29 at 16:00 and later back online on 01/30 at 11:15AM.</t>
  </si>
  <si>
    <t>1. SR080590</t>
  </si>
  <si>
    <t>1. Site tripped on 01/14 at 16:45 and later back online on 01/15 at 14:30.
2. Site tripped offline due to utility outage on 01/16 at 11:30AM and utility cleared outage on 01/18 at 07:45AM.</t>
  </si>
  <si>
    <t>1. SR080216
2. SR080258</t>
  </si>
  <si>
    <t>1. SR080217
2. SR080259</t>
  </si>
  <si>
    <t xml:space="preserve"> </t>
  </si>
  <si>
    <t>1. Site tripped offline on 01/11 at 07:00AM and later back online on 01/12 at 07:45AM.
2. Inverter 47 was offline after site re-energize the site on 01/12  and back online on 14:15.</t>
  </si>
  <si>
    <t>1. SR080149
2. SR080171</t>
  </si>
  <si>
    <t>1. Site tripped offline on 01/10 at 03:26AM and later back online on 01/10 at 06:24AM.</t>
  </si>
  <si>
    <t>1. SR080115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</si>
</sst>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8"/>
      <color rgb="FF9C0006"/>
      <name val="Calibri"/>
      <family val="2"/>
    </font>
    <font>
      <sz val="8"/>
      <color rgb="FF9C57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4"/>
      <color rgb="FF333C4D"/>
      <name val="Arial"/>
      <family val="2"/>
    </font>
    <font>
      <sz val="1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7" applyNumberFormat="0" applyAlignment="0" applyProtection="0"/>
    <xf numFmtId="0" fontId="17" fillId="10" borderId="8" applyNumberFormat="0" applyAlignment="0" applyProtection="0"/>
    <xf numFmtId="0" fontId="18" fillId="10" borderId="7" applyNumberFormat="0" applyAlignment="0" applyProtection="0"/>
    <xf numFmtId="0" fontId="19" fillId="0" borderId="9" applyNumberFormat="0" applyFill="0" applyAlignment="0" applyProtection="0"/>
    <xf numFmtId="0" fontId="20" fillId="11" borderId="10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2" borderId="11" applyNumberFormat="0" applyFont="0" applyAlignment="0" applyProtection="0"/>
  </cellStyleXfs>
  <cellXfs count="222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0" fontId="25" fillId="0" borderId="14" xfId="43" applyFont="1" applyBorder="1"/>
    <xf numFmtId="9" fontId="0" fillId="0" borderId="0" xfId="0" applyNumberFormat="1"/>
    <xf numFmtId="0" fontId="3" fillId="3" borderId="16" xfId="0" applyFont="1" applyFill="1" applyBorder="1" applyAlignment="1">
      <alignment horizontal="center" vertical="center" wrapText="1"/>
    </xf>
    <xf numFmtId="9" fontId="5" fillId="3" borderId="16" xfId="2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49" fontId="0" fillId="0" borderId="0" xfId="0" applyNumberFormat="1"/>
    <xf numFmtId="9" fontId="5" fillId="40" borderId="16" xfId="2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0" fillId="0" borderId="14" xfId="0" applyBorder="1"/>
    <xf numFmtId="0" fontId="28" fillId="0" borderId="15" xfId="0" applyFont="1" applyBorder="1" applyAlignment="1">
      <alignment horizontal="left"/>
    </xf>
    <xf numFmtId="0" fontId="0" fillId="0" borderId="30" xfId="0" applyBorder="1"/>
    <xf numFmtId="0" fontId="25" fillId="0" borderId="31" xfId="43" applyFont="1" applyBorder="1"/>
    <xf numFmtId="0" fontId="8" fillId="0" borderId="37" xfId="0" applyFont="1" applyBorder="1" applyAlignment="1">
      <alignment horizontal="left" vertical="center"/>
    </xf>
    <xf numFmtId="9" fontId="30" fillId="43" borderId="2" xfId="2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9" fontId="30" fillId="43" borderId="2" xfId="2" applyFont="1" applyFill="1" applyBorder="1" applyAlignment="1">
      <alignment horizontal="center" vertical="center"/>
    </xf>
    <xf numFmtId="9" fontId="30" fillId="43" borderId="2" xfId="2" applyFont="1" applyFill="1" applyBorder="1" applyAlignment="1">
      <alignment horizontal="left" vertical="top" wrapText="1"/>
    </xf>
    <xf numFmtId="9" fontId="30" fillId="43" borderId="2" xfId="2" applyFont="1" applyFill="1" applyBorder="1" applyAlignment="1">
      <alignment horizontal="left" vertical="top"/>
    </xf>
    <xf numFmtId="0" fontId="29" fillId="0" borderId="3" xfId="0" applyFont="1" applyBorder="1" applyAlignment="1">
      <alignment horizontal="center"/>
    </xf>
    <xf numFmtId="0" fontId="29" fillId="5" borderId="1" xfId="0" applyFont="1" applyFill="1" applyBorder="1" applyAlignment="1">
      <alignment horizontal="center"/>
    </xf>
    <xf numFmtId="3" fontId="29" fillId="5" borderId="1" xfId="0" applyNumberFormat="1" applyFont="1" applyFill="1" applyBorder="1" applyAlignment="1">
      <alignment horizontal="center"/>
    </xf>
    <xf numFmtId="9" fontId="29" fillId="5" borderId="1" xfId="2" applyFont="1" applyFill="1" applyBorder="1" applyAlignment="1">
      <alignment horizontal="center"/>
    </xf>
    <xf numFmtId="9" fontId="29" fillId="5" borderId="1" xfId="0" applyNumberFormat="1" applyFont="1" applyFill="1" applyBorder="1" applyAlignment="1">
      <alignment horizontal="center"/>
    </xf>
    <xf numFmtId="0" fontId="29" fillId="0" borderId="0" xfId="0" applyFont="1"/>
    <xf numFmtId="0" fontId="31" fillId="3" borderId="18" xfId="0" applyFont="1" applyFill="1" applyBorder="1" applyAlignment="1">
      <alignment horizontal="left" vertical="center" wrapText="1"/>
    </xf>
    <xf numFmtId="9" fontId="31" fillId="3" borderId="38" xfId="2" applyFont="1" applyFill="1" applyBorder="1" applyAlignment="1">
      <alignment horizontal="left" vertical="center" wrapText="1"/>
    </xf>
    <xf numFmtId="0" fontId="31" fillId="4" borderId="18" xfId="0" applyFont="1" applyFill="1" applyBorder="1" applyAlignment="1">
      <alignment horizontal="left" vertical="center"/>
    </xf>
    <xf numFmtId="0" fontId="31" fillId="4" borderId="18" xfId="0" applyFont="1" applyFill="1" applyBorder="1" applyAlignment="1">
      <alignment horizontal="left" vertical="center" wrapText="1"/>
    </xf>
    <xf numFmtId="9" fontId="31" fillId="4" borderId="38" xfId="2" applyFont="1" applyFill="1" applyBorder="1" applyAlignment="1">
      <alignment horizontal="left" vertical="center"/>
    </xf>
    <xf numFmtId="9" fontId="31" fillId="43" borderId="39" xfId="2" applyFont="1" applyFill="1" applyBorder="1" applyAlignment="1">
      <alignment horizontal="center" vertical="center"/>
    </xf>
    <xf numFmtId="9" fontId="31" fillId="43" borderId="40" xfId="2" applyFont="1" applyFill="1" applyBorder="1" applyAlignment="1">
      <alignment horizontal="center" vertical="center"/>
    </xf>
    <xf numFmtId="0" fontId="29" fillId="45" borderId="42" xfId="0" applyFont="1" applyFill="1" applyBorder="1" applyAlignment="1">
      <alignment horizontal="center"/>
    </xf>
    <xf numFmtId="0" fontId="29" fillId="45" borderId="1" xfId="0" applyFont="1" applyFill="1" applyBorder="1" applyAlignment="1">
      <alignment horizontal="center"/>
    </xf>
    <xf numFmtId="3" fontId="33" fillId="3" borderId="17" xfId="0" applyNumberFormat="1" applyFont="1" applyFill="1" applyBorder="1" applyAlignment="1">
      <alignment horizontal="right"/>
    </xf>
    <xf numFmtId="9" fontId="33" fillId="3" borderId="17" xfId="2" applyFont="1" applyFill="1" applyBorder="1" applyAlignment="1">
      <alignment horizontal="center"/>
    </xf>
    <xf numFmtId="3" fontId="33" fillId="4" borderId="17" xfId="1" applyNumberFormat="1" applyFont="1" applyFill="1" applyBorder="1"/>
    <xf numFmtId="9" fontId="33" fillId="40" borderId="17" xfId="2" applyFont="1" applyFill="1" applyBorder="1" applyAlignment="1">
      <alignment horizontal="center"/>
    </xf>
    <xf numFmtId="9" fontId="33" fillId="37" borderId="19" xfId="0" applyNumberFormat="1" applyFont="1" applyFill="1" applyBorder="1" applyAlignment="1">
      <alignment horizontal="center" vertical="center"/>
    </xf>
    <xf numFmtId="9" fontId="33" fillId="37" borderId="23" xfId="0" applyNumberFormat="1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left" vertical="center" wrapText="1"/>
    </xf>
    <xf numFmtId="0" fontId="3" fillId="4" borderId="16" xfId="0" applyFont="1" applyFill="1" applyBorder="1" applyAlignment="1">
      <alignment horizontal="left"/>
    </xf>
    <xf numFmtId="0" fontId="34" fillId="2" borderId="16" xfId="0" applyFont="1" applyFill="1" applyBorder="1" applyAlignment="1">
      <alignment horizontal="center" vertical="center" wrapText="1"/>
    </xf>
    <xf numFmtId="0" fontId="34" fillId="2" borderId="16" xfId="0" applyFont="1" applyFill="1" applyBorder="1" applyAlignment="1">
      <alignment horizontal="left" vertical="center" wrapText="1"/>
    </xf>
    <xf numFmtId="0" fontId="36" fillId="45" borderId="42" xfId="0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45" borderId="1" xfId="0" applyFont="1" applyFill="1" applyBorder="1" applyAlignment="1">
      <alignment horizontal="center"/>
    </xf>
    <xf numFmtId="3" fontId="33" fillId="37" borderId="19" xfId="0" applyNumberFormat="1" applyFont="1" applyFill="1" applyBorder="1" applyAlignment="1">
      <alignment horizontal="center" vertical="center"/>
    </xf>
    <xf numFmtId="3" fontId="33" fillId="37" borderId="19" xfId="1" applyNumberFormat="1" applyFont="1" applyFill="1" applyBorder="1" applyAlignment="1">
      <alignment horizontal="center" vertical="center"/>
    </xf>
    <xf numFmtId="9" fontId="30" fillId="43" borderId="13" xfId="2" applyFont="1" applyFill="1" applyBorder="1" applyAlignment="1">
      <alignment horizontal="left" vertical="top" wrapText="1"/>
    </xf>
    <xf numFmtId="0" fontId="34" fillId="2" borderId="43" xfId="0" applyFont="1" applyFill="1" applyBorder="1" applyAlignment="1">
      <alignment horizontal="center" vertical="center" wrapText="1"/>
    </xf>
    <xf numFmtId="0" fontId="34" fillId="2" borderId="43" xfId="0" applyFont="1" applyFill="1" applyBorder="1" applyAlignment="1">
      <alignment horizontal="left" vertical="center" wrapText="1"/>
    </xf>
    <xf numFmtId="0" fontId="3" fillId="3" borderId="43" xfId="0" applyFont="1" applyFill="1" applyBorder="1" applyAlignment="1">
      <alignment horizontal="center" vertical="center" wrapText="1"/>
    </xf>
    <xf numFmtId="0" fontId="3" fillId="3" borderId="43" xfId="0" applyFont="1" applyFill="1" applyBorder="1" applyAlignment="1">
      <alignment horizontal="left" vertical="center" wrapText="1"/>
    </xf>
    <xf numFmtId="9" fontId="5" fillId="3" borderId="43" xfId="2" applyFont="1" applyFill="1" applyBorder="1" applyAlignment="1">
      <alignment horizontal="center" vertical="center" wrapText="1"/>
    </xf>
    <xf numFmtId="0" fontId="3" fillId="4" borderId="43" xfId="0" applyFont="1" applyFill="1" applyBorder="1" applyAlignment="1">
      <alignment horizontal="left"/>
    </xf>
    <xf numFmtId="0" fontId="3" fillId="4" borderId="43" xfId="0" applyFont="1" applyFill="1" applyBorder="1" applyAlignment="1">
      <alignment horizontal="center" vertical="center" wrapText="1"/>
    </xf>
    <xf numFmtId="9" fontId="5" fillId="40" borderId="43" xfId="2" applyFont="1" applyFill="1" applyBorder="1" applyAlignment="1">
      <alignment horizontal="center" vertical="center" wrapText="1"/>
    </xf>
    <xf numFmtId="0" fontId="32" fillId="44" borderId="44" xfId="0" applyFont="1" applyFill="1" applyBorder="1" applyAlignment="1">
      <alignment horizontal="center" vertical="center"/>
    </xf>
    <xf numFmtId="0" fontId="32" fillId="44" borderId="45" xfId="0" applyFont="1" applyFill="1" applyBorder="1" applyAlignment="1">
      <alignment horizontal="center" vertical="center"/>
    </xf>
    <xf numFmtId="3" fontId="33" fillId="37" borderId="18" xfId="0" applyNumberFormat="1" applyFont="1" applyFill="1" applyBorder="1" applyAlignment="1">
      <alignment horizontal="center" vertical="center"/>
    </xf>
    <xf numFmtId="9" fontId="33" fillId="37" borderId="18" xfId="0" applyNumberFormat="1" applyFont="1" applyFill="1" applyBorder="1" applyAlignment="1">
      <alignment horizontal="center" vertical="center"/>
    </xf>
    <xf numFmtId="3" fontId="33" fillId="37" borderId="18" xfId="1" applyNumberFormat="1" applyFont="1" applyFill="1" applyBorder="1" applyAlignment="1">
      <alignment horizontal="center" vertical="center"/>
    </xf>
    <xf numFmtId="9" fontId="33" fillId="37" borderId="46" xfId="0" applyNumberFormat="1" applyFont="1" applyFill="1" applyBorder="1" applyAlignment="1">
      <alignment horizontal="center" vertical="center"/>
    </xf>
    <xf numFmtId="3" fontId="33" fillId="3" borderId="1" xfId="0" applyNumberFormat="1" applyFont="1" applyFill="1" applyBorder="1" applyAlignment="1">
      <alignment horizontal="right"/>
    </xf>
    <xf numFmtId="9" fontId="33" fillId="3" borderId="1" xfId="2" applyFont="1" applyFill="1" applyBorder="1" applyAlignment="1">
      <alignment horizontal="center"/>
    </xf>
    <xf numFmtId="3" fontId="33" fillId="4" borderId="1" xfId="1" applyNumberFormat="1" applyFont="1" applyFill="1" applyBorder="1"/>
    <xf numFmtId="9" fontId="33" fillId="40" borderId="1" xfId="2" applyFont="1" applyFill="1" applyBorder="1" applyAlignment="1">
      <alignment horizontal="center"/>
    </xf>
    <xf numFmtId="0" fontId="36" fillId="46" borderId="1" xfId="0" applyFont="1" applyFill="1" applyBorder="1" applyAlignment="1">
      <alignment horizontal="center"/>
    </xf>
    <xf numFmtId="0" fontId="29" fillId="46" borderId="1" xfId="0" applyFont="1" applyFill="1" applyBorder="1" applyAlignment="1">
      <alignment horizontal="center"/>
    </xf>
    <xf numFmtId="0" fontId="37" fillId="0" borderId="0" xfId="0" applyFont="1"/>
    <xf numFmtId="0" fontId="2" fillId="0" borderId="14" xfId="0" applyFont="1" applyBorder="1"/>
    <xf numFmtId="0" fontId="36" fillId="45" borderId="1" xfId="0" applyFont="1" applyFill="1" applyBorder="1" applyAlignment="1">
      <alignment horizontal="left"/>
    </xf>
    <xf numFmtId="0" fontId="36" fillId="0" borderId="1" xfId="0" applyFont="1" applyBorder="1" applyAlignment="1">
      <alignment horizontal="left"/>
    </xf>
    <xf numFmtId="0" fontId="36" fillId="46" borderId="1" xfId="0" applyFont="1" applyFill="1" applyBorder="1" applyAlignment="1">
      <alignment horizontal="left"/>
    </xf>
    <xf numFmtId="9" fontId="38" fillId="43" borderId="2" xfId="2" applyFont="1" applyFill="1" applyBorder="1" applyAlignment="1">
      <alignment horizontal="left" vertical="top" wrapText="1"/>
    </xf>
    <xf numFmtId="9" fontId="38" fillId="43" borderId="2" xfId="2" applyFont="1" applyFill="1" applyBorder="1" applyAlignment="1">
      <alignment horizontal="left" vertical="top"/>
    </xf>
    <xf numFmtId="3" fontId="38" fillId="4" borderId="2" xfId="1" applyNumberFormat="1" applyFont="1" applyFill="1" applyBorder="1" applyAlignment="1">
      <alignment vertical="center"/>
    </xf>
    <xf numFmtId="3" fontId="38" fillId="3" borderId="29" xfId="0" applyNumberFormat="1" applyFont="1" applyFill="1" applyBorder="1" applyAlignment="1">
      <alignment horizontal="right"/>
    </xf>
    <xf numFmtId="9" fontId="38" fillId="3" borderId="3" xfId="2" applyFont="1" applyFill="1" applyBorder="1" applyAlignment="1">
      <alignment horizontal="center"/>
    </xf>
    <xf numFmtId="3" fontId="38" fillId="4" borderId="41" xfId="1" applyNumberFormat="1" applyFont="1" applyFill="1" applyBorder="1"/>
    <xf numFmtId="3" fontId="38" fillId="4" borderId="29" xfId="1" applyNumberFormat="1" applyFont="1" applyFill="1" applyBorder="1"/>
    <xf numFmtId="9" fontId="38" fillId="4" borderId="29" xfId="2" applyFont="1" applyFill="1" applyBorder="1" applyAlignment="1">
      <alignment horizontal="center"/>
    </xf>
    <xf numFmtId="0" fontId="38" fillId="0" borderId="0" xfId="0" applyFont="1"/>
    <xf numFmtId="9" fontId="38" fillId="43" borderId="29" xfId="2" applyFont="1" applyFill="1" applyBorder="1" applyAlignment="1">
      <alignment horizontal="left" vertical="top"/>
    </xf>
    <xf numFmtId="0" fontId="38" fillId="43" borderId="2" xfId="0" applyFont="1" applyFill="1" applyBorder="1" applyAlignment="1">
      <alignment horizontal="left" vertical="top" wrapText="1"/>
    </xf>
    <xf numFmtId="0" fontId="38" fillId="43" borderId="13" xfId="0" applyFont="1" applyFill="1" applyBorder="1" applyAlignment="1">
      <alignment horizontal="left" vertical="top" wrapText="1"/>
    </xf>
    <xf numFmtId="9" fontId="30" fillId="43" borderId="13" xfId="2" applyFont="1" applyFill="1" applyBorder="1" applyAlignment="1">
      <alignment horizontal="left" vertical="top"/>
    </xf>
    <xf numFmtId="9" fontId="30" fillId="43" borderId="1" xfId="2" applyFont="1" applyFill="1" applyBorder="1" applyAlignment="1">
      <alignment horizontal="left" vertical="top"/>
    </xf>
    <xf numFmtId="3" fontId="33" fillId="3" borderId="1" xfId="0" applyNumberFormat="1" applyFont="1" applyFill="1" applyBorder="1" applyAlignment="1">
      <alignment horizontal="left" vertical="top"/>
    </xf>
    <xf numFmtId="3" fontId="33" fillId="3" borderId="1" xfId="0" applyNumberFormat="1" applyFont="1" applyFill="1" applyBorder="1" applyAlignment="1">
      <alignment horizontal="left" vertical="top" indent="3"/>
    </xf>
    <xf numFmtId="164" fontId="0" fillId="0" borderId="0" xfId="0" applyNumberFormat="1"/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8" fillId="0" borderId="37" xfId="0" applyFont="1" applyBorder="1" applyAlignment="1">
      <alignment horizontal="left" vertical="center" wrapText="1"/>
    </xf>
    <xf numFmtId="9" fontId="31" fillId="4" borderId="38" xfId="2" applyFont="1" applyFill="1" applyBorder="1" applyAlignment="1">
      <alignment horizontal="left" vertical="center" wrapText="1"/>
    </xf>
    <xf numFmtId="9" fontId="31" fillId="43" borderId="39" xfId="2" applyFont="1" applyFill="1" applyBorder="1" applyAlignment="1">
      <alignment horizontal="center" vertical="center" wrapText="1"/>
    </xf>
    <xf numFmtId="9" fontId="31" fillId="43" borderId="40" xfId="2" applyFont="1" applyFill="1" applyBorder="1" applyAlignment="1">
      <alignment horizontal="center" vertical="center" wrapText="1"/>
    </xf>
    <xf numFmtId="9" fontId="0" fillId="0" borderId="0" xfId="0" applyNumberFormat="1" applyAlignment="1">
      <alignment wrapText="1"/>
    </xf>
    <xf numFmtId="3" fontId="38" fillId="4" borderId="2" xfId="1" applyNumberFormat="1" applyFont="1" applyFill="1" applyBorder="1" applyAlignment="1">
      <alignment vertical="center" wrapText="1"/>
    </xf>
    <xf numFmtId="9" fontId="38" fillId="43" borderId="29" xfId="2" applyFont="1" applyFill="1" applyBorder="1" applyAlignment="1">
      <alignment horizontal="left" vertical="top" wrapText="1"/>
    </xf>
    <xf numFmtId="0" fontId="29" fillId="5" borderId="1" xfId="0" applyFont="1" applyFill="1" applyBorder="1" applyAlignment="1">
      <alignment horizontal="center" wrapText="1"/>
    </xf>
    <xf numFmtId="3" fontId="29" fillId="5" borderId="1" xfId="0" applyNumberFormat="1" applyFont="1" applyFill="1" applyBorder="1" applyAlignment="1">
      <alignment horizontal="center" wrapText="1"/>
    </xf>
    <xf numFmtId="9" fontId="29" fillId="5" borderId="1" xfId="2" applyFont="1" applyFill="1" applyBorder="1" applyAlignment="1">
      <alignment horizontal="center" wrapText="1"/>
    </xf>
    <xf numFmtId="9" fontId="29" fillId="5" borderId="1" xfId="0" applyNumberFormat="1" applyFont="1" applyFill="1" applyBorder="1" applyAlignment="1">
      <alignment horizontal="center" wrapText="1"/>
    </xf>
    <xf numFmtId="0" fontId="29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38" fillId="0" borderId="0" xfId="0" applyFont="1" applyAlignment="1">
      <alignment wrapText="1"/>
    </xf>
    <xf numFmtId="3" fontId="0" fillId="0" borderId="0" xfId="0" applyNumberFormat="1" applyAlignment="1">
      <alignment wrapText="1"/>
    </xf>
    <xf numFmtId="9" fontId="30" fillId="43" borderId="1" xfId="2" applyFont="1" applyFill="1" applyBorder="1" applyAlignment="1">
      <alignment horizontal="left" vertical="top" wrapText="1"/>
    </xf>
    <xf numFmtId="9" fontId="30" fillId="43" borderId="1" xfId="2" applyFont="1" applyFill="1" applyBorder="1" applyAlignment="1">
      <alignment vertical="top" wrapText="1"/>
    </xf>
    <xf numFmtId="9" fontId="38" fillId="43" borderId="1" xfId="2" applyFont="1" applyFill="1" applyBorder="1" applyAlignment="1">
      <alignment horizontal="left" vertical="top" wrapText="1"/>
    </xf>
    <xf numFmtId="0" fontId="29" fillId="0" borderId="2" xfId="0" applyFont="1" applyBorder="1" applyAlignment="1">
      <alignment horizontal="center" vertical="center"/>
    </xf>
    <xf numFmtId="3" fontId="38" fillId="38" borderId="17" xfId="0" applyNumberFormat="1" applyFont="1" applyFill="1" applyBorder="1" applyAlignment="1">
      <alignment vertical="center"/>
    </xf>
    <xf numFmtId="164" fontId="38" fillId="38" borderId="47" xfId="0" applyNumberFormat="1" applyFont="1" applyFill="1" applyBorder="1" applyAlignment="1">
      <alignment vertical="center"/>
    </xf>
    <xf numFmtId="3" fontId="38" fillId="3" borderId="2" xfId="0" applyNumberFormat="1" applyFont="1" applyFill="1" applyBorder="1" applyAlignment="1">
      <alignment horizontal="right" vertical="center"/>
    </xf>
    <xf numFmtId="9" fontId="38" fillId="3" borderId="2" xfId="2" applyFont="1" applyFill="1" applyBorder="1" applyAlignment="1">
      <alignment horizontal="center" vertical="center"/>
    </xf>
    <xf numFmtId="3" fontId="38" fillId="39" borderId="17" xfId="0" applyNumberFormat="1" applyFont="1" applyFill="1" applyBorder="1" applyAlignment="1">
      <alignment vertical="center"/>
    </xf>
    <xf numFmtId="9" fontId="38" fillId="4" borderId="2" xfId="2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3" fontId="38" fillId="38" borderId="2" xfId="0" applyNumberFormat="1" applyFont="1" applyFill="1" applyBorder="1" applyAlignment="1">
      <alignment vertical="center"/>
    </xf>
    <xf numFmtId="3" fontId="38" fillId="38" borderId="13" xfId="0" applyNumberFormat="1" applyFont="1" applyFill="1" applyBorder="1" applyAlignment="1">
      <alignment vertical="center"/>
    </xf>
    <xf numFmtId="9" fontId="38" fillId="3" borderId="1" xfId="2" applyFont="1" applyFill="1" applyBorder="1" applyAlignment="1">
      <alignment horizontal="center" vertical="center"/>
    </xf>
    <xf numFmtId="3" fontId="38" fillId="39" borderId="13" xfId="0" applyNumberFormat="1" applyFont="1" applyFill="1" applyBorder="1" applyAlignment="1">
      <alignment vertical="center"/>
    </xf>
    <xf numFmtId="3" fontId="38" fillId="39" borderId="2" xfId="0" applyNumberFormat="1" applyFont="1" applyFill="1" applyBorder="1" applyAlignment="1">
      <alignment vertical="center"/>
    </xf>
    <xf numFmtId="3" fontId="38" fillId="4" borderId="13" xfId="1" applyNumberFormat="1" applyFont="1" applyFill="1" applyBorder="1" applyAlignment="1">
      <alignment vertical="center"/>
    </xf>
    <xf numFmtId="3" fontId="38" fillId="38" borderId="14" xfId="0" applyNumberFormat="1" applyFont="1" applyFill="1" applyBorder="1" applyAlignment="1">
      <alignment vertical="center"/>
    </xf>
    <xf numFmtId="3" fontId="38" fillId="39" borderId="14" xfId="0" applyNumberFormat="1" applyFont="1" applyFill="1" applyBorder="1" applyAlignment="1">
      <alignment vertical="center"/>
    </xf>
    <xf numFmtId="0" fontId="29" fillId="0" borderId="3" xfId="0" applyFont="1" applyBorder="1" applyAlignment="1">
      <alignment horizontal="center" vertical="center"/>
    </xf>
    <xf numFmtId="3" fontId="38" fillId="3" borderId="29" xfId="0" applyNumberFormat="1" applyFont="1" applyFill="1" applyBorder="1" applyAlignment="1">
      <alignment horizontal="right" vertical="center"/>
    </xf>
    <xf numFmtId="9" fontId="38" fillId="3" borderId="3" xfId="2" applyFont="1" applyFill="1" applyBorder="1" applyAlignment="1">
      <alignment horizontal="center" vertical="center"/>
    </xf>
    <xf numFmtId="3" fontId="38" fillId="4" borderId="41" xfId="1" applyNumberFormat="1" applyFont="1" applyFill="1" applyBorder="1" applyAlignment="1">
      <alignment vertical="center"/>
    </xf>
    <xf numFmtId="3" fontId="38" fillId="4" borderId="29" xfId="1" applyNumberFormat="1" applyFont="1" applyFill="1" applyBorder="1" applyAlignment="1">
      <alignment vertical="center"/>
    </xf>
    <xf numFmtId="9" fontId="38" fillId="4" borderId="29" xfId="2" applyFont="1" applyFill="1" applyBorder="1" applyAlignment="1">
      <alignment horizontal="center" vertical="center"/>
    </xf>
    <xf numFmtId="164" fontId="38" fillId="38" borderId="17" xfId="0" applyNumberFormat="1" applyFont="1" applyFill="1" applyBorder="1" applyAlignment="1">
      <alignment vertical="center"/>
    </xf>
    <xf numFmtId="164" fontId="38" fillId="39" borderId="17" xfId="0" applyNumberFormat="1" applyFont="1" applyFill="1" applyBorder="1" applyAlignment="1">
      <alignment vertical="center"/>
    </xf>
    <xf numFmtId="3" fontId="38" fillId="38" borderId="47" xfId="0" applyNumberFormat="1" applyFont="1" applyFill="1" applyBorder="1" applyAlignment="1">
      <alignment vertical="center"/>
    </xf>
    <xf numFmtId="3" fontId="38" fillId="3" borderId="1" xfId="0" applyNumberFormat="1" applyFont="1" applyFill="1" applyBorder="1" applyAlignment="1">
      <alignment horizontal="right" vertical="center"/>
    </xf>
    <xf numFmtId="3" fontId="38" fillId="38" borderId="29" xfId="0" applyNumberFormat="1" applyFont="1" applyFill="1" applyBorder="1" applyAlignment="1">
      <alignment vertical="center"/>
    </xf>
    <xf numFmtId="0" fontId="38" fillId="38" borderId="14" xfId="0" applyFont="1" applyFill="1" applyBorder="1" applyAlignment="1">
      <alignment vertical="center"/>
    </xf>
    <xf numFmtId="3" fontId="38" fillId="39" borderId="17" xfId="0" applyNumberFormat="1" applyFont="1" applyFill="1" applyBorder="1" applyAlignment="1">
      <alignment horizontal="right" vertical="center"/>
    </xf>
    <xf numFmtId="3" fontId="38" fillId="39" borderId="13" xfId="0" applyNumberFormat="1" applyFont="1" applyFill="1" applyBorder="1" applyAlignment="1">
      <alignment horizontal="right" vertical="center"/>
    </xf>
    <xf numFmtId="3" fontId="38" fillId="39" borderId="2" xfId="0" applyNumberFormat="1" applyFont="1" applyFill="1" applyBorder="1" applyAlignment="1">
      <alignment horizontal="right" vertical="center"/>
    </xf>
    <xf numFmtId="3" fontId="38" fillId="4" borderId="13" xfId="1" applyNumberFormat="1" applyFont="1" applyFill="1" applyBorder="1" applyAlignment="1">
      <alignment horizontal="right" vertical="center"/>
    </xf>
    <xf numFmtId="3" fontId="38" fillId="4" borderId="2" xfId="1" applyNumberFormat="1" applyFont="1" applyFill="1" applyBorder="1" applyAlignment="1">
      <alignment horizontal="right" vertical="center"/>
    </xf>
    <xf numFmtId="3" fontId="38" fillId="38" borderId="31" xfId="0" applyNumberFormat="1" applyFont="1" applyFill="1" applyBorder="1" applyAlignment="1">
      <alignment vertical="center"/>
    </xf>
    <xf numFmtId="164" fontId="38" fillId="39" borderId="14" xfId="0" applyNumberFormat="1" applyFont="1" applyFill="1" applyBorder="1" applyAlignment="1">
      <alignment vertical="center"/>
    </xf>
    <xf numFmtId="164" fontId="38" fillId="38" borderId="14" xfId="0" applyNumberFormat="1" applyFont="1" applyFill="1" applyBorder="1" applyAlignment="1">
      <alignment vertical="center"/>
    </xf>
    <xf numFmtId="164" fontId="38" fillId="38" borderId="31" xfId="0" applyNumberFormat="1" applyFont="1" applyFill="1" applyBorder="1" applyAlignment="1">
      <alignment vertical="center"/>
    </xf>
    <xf numFmtId="0" fontId="29" fillId="0" borderId="2" xfId="0" applyFont="1" applyBorder="1" applyAlignment="1">
      <alignment horizontal="center" vertical="center" wrapText="1"/>
    </xf>
    <xf numFmtId="164" fontId="38" fillId="38" borderId="14" xfId="0" applyNumberFormat="1" applyFont="1" applyFill="1" applyBorder="1" applyAlignment="1">
      <alignment vertical="center" wrapText="1"/>
    </xf>
    <xf numFmtId="164" fontId="38" fillId="38" borderId="31" xfId="0" applyNumberFormat="1" applyFont="1" applyFill="1" applyBorder="1" applyAlignment="1">
      <alignment vertical="center" wrapText="1"/>
    </xf>
    <xf numFmtId="3" fontId="38" fillId="3" borderId="2" xfId="0" applyNumberFormat="1" applyFont="1" applyFill="1" applyBorder="1" applyAlignment="1">
      <alignment horizontal="right" vertical="center" wrapText="1"/>
    </xf>
    <xf numFmtId="9" fontId="38" fillId="3" borderId="2" xfId="2" applyFont="1" applyFill="1" applyBorder="1" applyAlignment="1">
      <alignment horizontal="center" vertical="center" wrapText="1"/>
    </xf>
    <xf numFmtId="3" fontId="38" fillId="39" borderId="14" xfId="0" applyNumberFormat="1" applyFont="1" applyFill="1" applyBorder="1" applyAlignment="1">
      <alignment vertical="center" wrapText="1"/>
    </xf>
    <xf numFmtId="9" fontId="38" fillId="4" borderId="2" xfId="2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3" fontId="38" fillId="38" borderId="2" xfId="0" applyNumberFormat="1" applyFont="1" applyFill="1" applyBorder="1" applyAlignment="1">
      <alignment vertical="center" wrapText="1"/>
    </xf>
    <xf numFmtId="3" fontId="38" fillId="38" borderId="13" xfId="0" applyNumberFormat="1" applyFont="1" applyFill="1" applyBorder="1" applyAlignment="1">
      <alignment vertical="center" wrapText="1"/>
    </xf>
    <xf numFmtId="9" fontId="38" fillId="3" borderId="1" xfId="2" applyFont="1" applyFill="1" applyBorder="1" applyAlignment="1">
      <alignment horizontal="center" vertical="center" wrapText="1"/>
    </xf>
    <xf numFmtId="3" fontId="38" fillId="39" borderId="13" xfId="0" applyNumberFormat="1" applyFont="1" applyFill="1" applyBorder="1" applyAlignment="1">
      <alignment vertical="center" wrapText="1"/>
    </xf>
    <xf numFmtId="3" fontId="38" fillId="39" borderId="2" xfId="0" applyNumberFormat="1" applyFont="1" applyFill="1" applyBorder="1" applyAlignment="1">
      <alignment vertical="center" wrapText="1"/>
    </xf>
    <xf numFmtId="3" fontId="38" fillId="39" borderId="29" xfId="0" applyNumberFormat="1" applyFont="1" applyFill="1" applyBorder="1" applyAlignment="1">
      <alignment vertical="center" wrapText="1"/>
    </xf>
    <xf numFmtId="0" fontId="38" fillId="39" borderId="14" xfId="0" applyFont="1" applyFill="1" applyBorder="1" applyAlignment="1">
      <alignment vertical="center" wrapText="1"/>
    </xf>
    <xf numFmtId="3" fontId="38" fillId="39" borderId="17" xfId="0" applyNumberFormat="1" applyFont="1" applyFill="1" applyBorder="1" applyAlignment="1">
      <alignment vertical="center" wrapText="1"/>
    </xf>
    <xf numFmtId="3" fontId="38" fillId="4" borderId="13" xfId="1" applyNumberFormat="1" applyFont="1" applyFill="1" applyBorder="1" applyAlignment="1">
      <alignment vertical="center" wrapText="1"/>
    </xf>
    <xf numFmtId="3" fontId="38" fillId="38" borderId="14" xfId="0" applyNumberFormat="1" applyFont="1" applyFill="1" applyBorder="1" applyAlignment="1">
      <alignment vertical="center" wrapText="1"/>
    </xf>
    <xf numFmtId="0" fontId="29" fillId="0" borderId="3" xfId="0" applyFont="1" applyBorder="1" applyAlignment="1">
      <alignment horizontal="center" vertical="center" wrapText="1"/>
    </xf>
    <xf numFmtId="3" fontId="38" fillId="3" borderId="29" xfId="0" applyNumberFormat="1" applyFont="1" applyFill="1" applyBorder="1" applyAlignment="1">
      <alignment horizontal="right" vertical="center" wrapText="1"/>
    </xf>
    <xf numFmtId="9" fontId="38" fillId="3" borderId="3" xfId="2" applyFont="1" applyFill="1" applyBorder="1" applyAlignment="1">
      <alignment horizontal="center" vertical="center" wrapText="1"/>
    </xf>
    <xf numFmtId="3" fontId="38" fillId="4" borderId="41" xfId="1" applyNumberFormat="1" applyFont="1" applyFill="1" applyBorder="1" applyAlignment="1">
      <alignment vertical="center" wrapText="1"/>
    </xf>
    <xf numFmtId="3" fontId="38" fillId="4" borderId="29" xfId="1" applyNumberFormat="1" applyFont="1" applyFill="1" applyBorder="1" applyAlignment="1">
      <alignment vertical="center" wrapText="1"/>
    </xf>
    <xf numFmtId="9" fontId="38" fillId="4" borderId="29" xfId="2" applyFont="1" applyFill="1" applyBorder="1" applyAlignment="1">
      <alignment horizontal="center" vertical="center" wrapText="1"/>
    </xf>
    <xf numFmtId="164" fontId="38" fillId="39" borderId="14" xfId="0" applyNumberFormat="1" applyFont="1" applyFill="1" applyBorder="1" applyAlignment="1">
      <alignment horizontal="right" vertical="center"/>
    </xf>
    <xf numFmtId="0" fontId="36" fillId="45" borderId="1" xfId="0" applyFont="1" applyFill="1" applyBorder="1" applyAlignment="1">
      <alignment horizontal="center" vertical="center"/>
    </xf>
    <xf numFmtId="0" fontId="29" fillId="45" borderId="1" xfId="0" applyFont="1" applyFill="1" applyBorder="1" applyAlignment="1">
      <alignment horizontal="center" vertical="center"/>
    </xf>
    <xf numFmtId="3" fontId="33" fillId="3" borderId="1" xfId="0" applyNumberFormat="1" applyFont="1" applyFill="1" applyBorder="1" applyAlignment="1">
      <alignment horizontal="right" vertical="center"/>
    </xf>
    <xf numFmtId="9" fontId="33" fillId="3" borderId="1" xfId="2" applyFont="1" applyFill="1" applyBorder="1" applyAlignment="1">
      <alignment horizontal="center" vertical="center"/>
    </xf>
    <xf numFmtId="3" fontId="33" fillId="4" borderId="1" xfId="1" applyNumberFormat="1" applyFont="1" applyFill="1" applyBorder="1" applyAlignment="1">
      <alignment vertical="center"/>
    </xf>
    <xf numFmtId="9" fontId="33" fillId="40" borderId="1" xfId="2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46" borderId="1" xfId="0" applyFont="1" applyFill="1" applyBorder="1" applyAlignment="1">
      <alignment horizontal="center" vertical="center"/>
    </xf>
    <xf numFmtId="0" fontId="29" fillId="46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wrapText="1"/>
    </xf>
    <xf numFmtId="0" fontId="7" fillId="5" borderId="33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32" fillId="44" borderId="24" xfId="0" applyFont="1" applyFill="1" applyBorder="1" applyAlignment="1">
      <alignment horizontal="center" vertical="center"/>
    </xf>
    <xf numFmtId="0" fontId="32" fillId="44" borderId="25" xfId="0" applyFont="1" applyFill="1" applyBorder="1" applyAlignment="1">
      <alignment horizontal="center" vertical="center"/>
    </xf>
    <xf numFmtId="0" fontId="27" fillId="41" borderId="0" xfId="0" applyFont="1" applyFill="1" applyAlignment="1">
      <alignment horizontal="center" wrapText="1"/>
    </xf>
    <xf numFmtId="0" fontId="26" fillId="42" borderId="0" xfId="0" applyFont="1" applyFill="1" applyAlignment="1">
      <alignment horizontal="center" wrapText="1"/>
    </xf>
    <xf numFmtId="0" fontId="35" fillId="2" borderId="26" xfId="0" applyFont="1" applyFill="1" applyBorder="1" applyAlignment="1">
      <alignment horizontal="center" vertical="center" wrapText="1"/>
    </xf>
    <xf numFmtId="0" fontId="35" fillId="2" borderId="27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 vertical="center"/>
    </xf>
    <xf numFmtId="0" fontId="7" fillId="5" borderId="32" xfId="0" applyFont="1" applyFill="1" applyBorder="1" applyAlignment="1">
      <alignment horizontal="center"/>
    </xf>
    <xf numFmtId="0" fontId="7" fillId="5" borderId="33" xfId="0" applyFont="1" applyFill="1" applyBorder="1" applyAlignment="1">
      <alignment horizontal="center"/>
    </xf>
    <xf numFmtId="0" fontId="7" fillId="5" borderId="34" xfId="0" applyFont="1" applyFill="1" applyBorder="1" applyAlignment="1">
      <alignment horizontal="center"/>
    </xf>
    <xf numFmtId="0" fontId="7" fillId="5" borderId="20" xfId="0" applyFont="1" applyFill="1" applyBorder="1" applyAlignment="1">
      <alignment horizontal="center"/>
    </xf>
    <xf numFmtId="0" fontId="7" fillId="5" borderId="21" xfId="0" applyFont="1" applyFill="1" applyBorder="1" applyAlignment="1">
      <alignment horizontal="center"/>
    </xf>
    <xf numFmtId="0" fontId="7" fillId="5" borderId="22" xfId="0" applyFont="1" applyFill="1" applyBorder="1" applyAlignment="1">
      <alignment horizontal="center"/>
    </xf>
    <xf numFmtId="0" fontId="7" fillId="5" borderId="35" xfId="0" applyFont="1" applyFill="1" applyBorder="1" applyAlignment="1">
      <alignment horizontal="center"/>
    </xf>
    <xf numFmtId="0" fontId="7" fillId="5" borderId="36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5" borderId="32" xfId="0" applyFont="1" applyFill="1" applyBorder="1" applyAlignment="1">
      <alignment horizontal="center" wrapText="1"/>
    </xf>
    <xf numFmtId="0" fontId="7" fillId="5" borderId="33" xfId="0" applyFont="1" applyFill="1" applyBorder="1" applyAlignment="1">
      <alignment horizontal="center" wrapText="1"/>
    </xf>
    <xf numFmtId="0" fontId="7" fillId="5" borderId="34" xfId="0" applyFont="1" applyFill="1" applyBorder="1" applyAlignment="1">
      <alignment horizontal="center" wrapText="1"/>
    </xf>
    <xf numFmtId="0" fontId="7" fillId="5" borderId="20" xfId="0" applyFont="1" applyFill="1" applyBorder="1" applyAlignment="1">
      <alignment horizontal="center" wrapText="1"/>
    </xf>
    <xf numFmtId="0" fontId="7" fillId="5" borderId="21" xfId="0" applyFont="1" applyFill="1" applyBorder="1" applyAlignment="1">
      <alignment horizontal="center" wrapText="1"/>
    </xf>
    <xf numFmtId="0" fontId="7" fillId="5" borderId="22" xfId="0" applyFont="1" applyFill="1" applyBorder="1" applyAlignment="1">
      <alignment horizontal="center" wrapText="1"/>
    </xf>
    <xf numFmtId="0" fontId="7" fillId="5" borderId="35" xfId="0" applyFont="1" applyFill="1" applyBorder="1" applyAlignment="1">
      <alignment horizontal="center" wrapText="1"/>
    </xf>
    <xf numFmtId="0" fontId="7" fillId="5" borderId="36" xfId="0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E1F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1" indent="0" justifyLastLine="0" shrinkToFit="0" readingOrder="0"/>
    </dxf>
    <dxf>
      <font>
        <sz val="9"/>
      </font>
      <alignment wrapText="1"/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>
        <bottom style="medium">
          <color rgb="FF000000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eetMetadata" Target="metadata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A40F5E-D45A-46FE-9183-4A31296D93F1}" name="Sites" displayName="Sites" ref="A2:D19" totalsRowShown="0" headerRowBorderDxfId="276">
  <autoFilter ref="A2:D19" xr:uid="{66A40F5E-D45A-46FE-9183-4A31296D93F1}"/>
  <sortState xmlns:xlrd2="http://schemas.microsoft.com/office/spreadsheetml/2017/richdata2" ref="A3:D15">
    <sortCondition ref="C2:C15"/>
  </sortState>
  <tableColumns count="4">
    <tableColumn id="3" xr3:uid="{BFC0214A-8820-4A19-81D0-852548EDA4BC}" name="Site DAS Name" dataDxfId="275" dataCellStyle="Normal 2"/>
    <tableColumn id="1" xr3:uid="{2ECEDF7A-47C1-4159-BC3D-6E76D6492D27}" name="Site" dataDxfId="274" dataCellStyle="Normal 2"/>
    <tableColumn id="2" xr3:uid="{2C9662E7-9933-4E8D-97A6-DB7E03BCDC09}" name="State" dataDxfId="273" dataCellStyle="Normal 2"/>
    <tableColumn id="5" xr3:uid="{F1D3BF47-C530-4653-922C-CDF1211AB5F9}" name="Column1" dataDxfId="27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A959C2-52B2-422A-A87A-BC08BBF40681}" name="Data" displayName="Data" ref="A4:J16" totalsRowShown="0" headerRowDxfId="269" dataDxfId="268" headerRowBorderDxfId="266" tableBorderDxfId="267">
  <autoFilter ref="A4:J16" xr:uid="{59A959C2-52B2-422A-A87A-BC08BBF40681}"/>
  <tableColumns count="10">
    <tableColumn id="1" xr3:uid="{5546520C-DCC9-49E9-9FB3-CE316D4944DA}" name="Month" dataDxfId="265"/>
    <tableColumn id="2" xr3:uid="{DDF452E8-4CE6-4DD7-83F1-6C18FAC64F53}" name="Actual" dataDxfId="264"/>
    <tableColumn id="3" xr3:uid="{854FA685-1E8D-434A-A191-70ED326137F6}" name="Expected" dataDxfId="263"/>
    <tableColumn id="4" xr3:uid="{5C3F4DED-9A03-4256-AB35-C17DABA79D2D}" name="Delta Expected" dataDxfId="262">
      <calculatedColumnFormula>B5-C5</calculatedColumnFormula>
    </tableColumn>
    <tableColumn id="5" xr3:uid="{41D24EBB-4EC4-4943-84C6-B4913606DB53}" name="% Expected" dataDxfId="261">
      <calculatedColumnFormula>IFERROR(D5/C5, 0)</calculatedColumnFormula>
    </tableColumn>
    <tableColumn id="6" xr3:uid="{BD395EF8-0433-4B53-BE3C-227C7BC36415}" name="Forecasted" dataDxfId="260"/>
    <tableColumn id="7" xr3:uid="{72B64D61-E6FB-4C48-8CEB-D343DF097E3E}" name="Delta Forecasted" dataDxfId="259" dataCellStyle="Comma">
      <calculatedColumnFormula>B5-F5</calculatedColumnFormula>
    </tableColumn>
    <tableColumn id="8" xr3:uid="{27F4C8CA-7E0A-46AD-8278-F15F669646B7}" name="% Forecasted" dataDxfId="258">
      <calculatedColumnFormula>IFERROR(G5/F5, 0)</calculatedColumnFormula>
    </tableColumn>
    <tableColumn id="9" xr3:uid="{623D8263-ADF2-4E83-A133-77A77ECF5573}" name="Notes" dataDxfId="257"/>
    <tableColumn id="10" xr3:uid="{D21843AC-EB45-41B5-BBF8-600127984792}" name="Service Request" dataDxfId="2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CEE00CD-CFB6-4527-B7BB-68F63BD397FD}" name="Data18" displayName="Data18" ref="A4:J16" totalsRowShown="0" headerRowDxfId="253" dataDxfId="252" headerRowBorderDxfId="250" tableBorderDxfId="251">
  <autoFilter ref="A4:J16" xr:uid="{59A959C2-52B2-422A-A87A-BC08BBF40681}"/>
  <tableColumns count="10">
    <tableColumn id="1" xr3:uid="{300F2B93-3E43-4029-9602-E5303206602D}" name="Month" dataDxfId="249"/>
    <tableColumn id="2" xr3:uid="{37FF0282-4483-4A16-B4CD-FA5C5D2AAB66}" name="Actual" dataDxfId="248"/>
    <tableColumn id="3" xr3:uid="{4B1572C6-48CA-4285-A895-59F55B5B6A3F}" name="Expected" dataDxfId="247"/>
    <tableColumn id="4" xr3:uid="{05CC6563-3045-40DE-A32C-A03045F46221}" name="Delta Expected" dataDxfId="246">
      <calculatedColumnFormula>B5-C5</calculatedColumnFormula>
    </tableColumn>
    <tableColumn id="5" xr3:uid="{0112F9D3-7673-407D-B2C0-617699B4EADA}" name="% Expected" dataDxfId="245">
      <calculatedColumnFormula>IFERROR(D5/C5, 0)</calculatedColumnFormula>
    </tableColumn>
    <tableColumn id="6" xr3:uid="{66AF3356-8A8A-4469-9904-982EE44943E2}" name="Forecasted" dataDxfId="244"/>
    <tableColumn id="7" xr3:uid="{C6527BC9-FA83-465E-9209-CCE13ABEDC9D}" name="Delta Forecasted" dataDxfId="243" dataCellStyle="Comma">
      <calculatedColumnFormula>B5-F5</calculatedColumnFormula>
    </tableColumn>
    <tableColumn id="8" xr3:uid="{FA6C6671-F650-4018-910D-2FFB550B3762}" name="% Forecasted" dataDxfId="242">
      <calculatedColumnFormula>IFERROR(G5/F5, 0)</calculatedColumnFormula>
    </tableColumn>
    <tableColumn id="9" xr3:uid="{2783C74E-2CBC-4809-B11D-46D4F8FBBA31}" name="Notes" dataDxfId="241"/>
    <tableColumn id="10" xr3:uid="{0D13FC05-4475-4C0F-ACFE-D5CA9083D091}" name="Service Request" dataDxfId="24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46876FA-EAED-4A4C-ACC8-1B2053B2BE30}" name="Data1819202122232425262728" displayName="Data1819202122232425262728" ref="A4:J16" totalsRowShown="0" headerRowDxfId="237" dataDxfId="236" headerRowBorderDxfId="234" tableBorderDxfId="235">
  <autoFilter ref="A4:J16" xr:uid="{59A959C2-52B2-422A-A87A-BC08BBF40681}"/>
  <tableColumns count="10">
    <tableColumn id="1" xr3:uid="{0C8C5D2C-22CD-4B1A-AA89-7DF9CC077053}" name="Month" dataDxfId="233"/>
    <tableColumn id="2" xr3:uid="{1504A410-2AFF-45D8-B05D-3003630C6253}" name="Actual" dataDxfId="232"/>
    <tableColumn id="3" xr3:uid="{E4620953-7DAB-4FED-A94B-5ED1A18BA51C}" name="Expected" dataDxfId="231"/>
    <tableColumn id="4" xr3:uid="{0E2D487F-5D52-4EF3-93FA-9263831DB0A2}" name="Delta Expected" dataDxfId="230">
      <calculatedColumnFormula>B5-C5</calculatedColumnFormula>
    </tableColumn>
    <tableColumn id="5" xr3:uid="{4E7B4ABC-A69B-400D-B5B2-832C6832F796}" name="% Expected" dataDxfId="229">
      <calculatedColumnFormula>IFERROR(D5/C5, 0)</calculatedColumnFormula>
    </tableColumn>
    <tableColumn id="6" xr3:uid="{01863DDF-3CCB-4609-8F75-0B0C278BB83F}" name="Forecasted" dataDxfId="228"/>
    <tableColumn id="7" xr3:uid="{8D07CC50-2E6D-421F-97CE-C028BAC10737}" name="Delta Forecasted" dataDxfId="227" dataCellStyle="Comma">
      <calculatedColumnFormula>B5-F5</calculatedColumnFormula>
    </tableColumn>
    <tableColumn id="8" xr3:uid="{4AC223A0-5E24-439A-AE0C-C81A96EC683F}" name="% Forecasted" dataDxfId="226">
      <calculatedColumnFormula>IFERROR(G5/F5, 0)</calculatedColumnFormula>
    </tableColumn>
    <tableColumn id="9" xr3:uid="{B21D21F1-1D16-4710-8885-CDF7B8E73B1F}" name="Notes" dataDxfId="225"/>
    <tableColumn id="10" xr3:uid="{7153195E-F3DA-438B-8DCB-CED54F61277D}" name="Service Request" dataDxfId="22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C07257C-BFB6-4805-8596-0866AA78AA5C}" name="Data18192021222324252627" displayName="Data18192021222324252627" ref="A4:J16" totalsRowShown="0" headerRowDxfId="221" dataDxfId="220" headerRowBorderDxfId="218" tableBorderDxfId="219">
  <autoFilter ref="A4:J16" xr:uid="{59A959C2-52B2-422A-A87A-BC08BBF40681}"/>
  <tableColumns count="10">
    <tableColumn id="1" xr3:uid="{838083B7-0287-4C21-9A6F-17E6A9A57D22}" name="Month" dataDxfId="217"/>
    <tableColumn id="2" xr3:uid="{247316F2-665B-4CB8-AE98-B160EDC17CD1}" name="Actual" dataDxfId="216"/>
    <tableColumn id="3" xr3:uid="{28F7712E-DE86-4EF2-A5CF-1CC2167EC41E}" name="Expected" dataDxfId="215"/>
    <tableColumn id="4" xr3:uid="{D3B59548-44B6-4CD4-9C83-00A146E8357F}" name="Delta Expected" dataDxfId="214">
      <calculatedColumnFormula>B5-C5</calculatedColumnFormula>
    </tableColumn>
    <tableColumn id="5" xr3:uid="{0F77CB24-DF7E-44EB-8F7A-EF266ED592AE}" name="% Expected" dataDxfId="213">
      <calculatedColumnFormula>IFERROR(D5/C5, 0)</calculatedColumnFormula>
    </tableColumn>
    <tableColumn id="6" xr3:uid="{8C639BB8-17D1-4724-86F9-E040B1E62A03}" name="Forecasted" dataDxfId="212"/>
    <tableColumn id="7" xr3:uid="{44F5CABC-A9BD-4E7B-9A00-6B48C98165F9}" name="Delta Forecasted" dataDxfId="211" dataCellStyle="Comma">
      <calculatedColumnFormula>B5-F5</calculatedColumnFormula>
    </tableColumn>
    <tableColumn id="8" xr3:uid="{2C2956C7-5C1E-43AF-BBA2-759C09FFD0D8}" name="% Forecasted" dataDxfId="210">
      <calculatedColumnFormula>IFERROR(G5/F5, 0)</calculatedColumnFormula>
    </tableColumn>
    <tableColumn id="9" xr3:uid="{482A0B3D-F68B-4980-A8D8-A77870F1CACE}" name="Notes" dataDxfId="209"/>
    <tableColumn id="10" xr3:uid="{8EDA506D-EE14-4152-8B4C-D3AEABA8ED99}" name="Service Request" dataDxfId="20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7F7EA7-3DE4-4425-ADD4-2BDD7BFD814D}" name="Data181920212223242526" displayName="Data181920212223242526" ref="A4:J16" totalsRowShown="0" headerRowDxfId="205" dataDxfId="204" headerRowBorderDxfId="202" tableBorderDxfId="203">
  <autoFilter ref="A4:J16" xr:uid="{59A959C2-52B2-422A-A87A-BC08BBF40681}"/>
  <tableColumns count="10">
    <tableColumn id="1" xr3:uid="{118AA2FE-E7D2-4206-B16A-6CCC68775996}" name="Month" dataDxfId="201"/>
    <tableColumn id="2" xr3:uid="{8A368234-EDD7-4E42-B9AD-515668818627}" name="Actual" dataDxfId="200"/>
    <tableColumn id="3" xr3:uid="{73D95621-FBC9-4CA1-AC2E-D1C96DE36B70}" name="Expected" dataDxfId="199"/>
    <tableColumn id="4" xr3:uid="{48DCF5B7-C57B-4CF9-A49C-382C49997254}" name="Delta Expected" dataDxfId="198">
      <calculatedColumnFormula>B5-C5</calculatedColumnFormula>
    </tableColumn>
    <tableColumn id="5" xr3:uid="{5063409C-2F70-4B9F-84DC-2C5F3812BB27}" name="% Expected" dataDxfId="197">
      <calculatedColumnFormula>IFERROR(D5/C5, 0)</calculatedColumnFormula>
    </tableColumn>
    <tableColumn id="6" xr3:uid="{81C000AC-8AC1-4109-A3D9-07363868E241}" name="Forecasted" dataDxfId="196"/>
    <tableColumn id="7" xr3:uid="{FE7AC5F1-C3C2-4907-9BD3-BF7CE8EFF4D8}" name="Delta Forecasted" dataDxfId="195" dataCellStyle="Comma">
      <calculatedColumnFormula>B5-F5</calculatedColumnFormula>
    </tableColumn>
    <tableColumn id="8" xr3:uid="{504FC4D5-CE5F-4A3D-8704-2F10443078A7}" name="% Forecasted" dataDxfId="194">
      <calculatedColumnFormula>IFERROR(G5/F5, 0)</calculatedColumnFormula>
    </tableColumn>
    <tableColumn id="9" xr3:uid="{FBC18841-E5E5-4300-A44D-DAAA6A23EC2A}" name="Notes" dataDxfId="193"/>
    <tableColumn id="10" xr3:uid="{9FDCDDFC-003E-4741-A2BA-7A020C5F93E1}" name="Service Request" dataDxfId="1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A9A3C44-577B-4C40-8F57-7207CDD719E6}" name="Data1819202122232425" displayName="Data1819202122232425" ref="A4:J16" totalsRowShown="0" headerRowDxfId="189" dataDxfId="188" headerRowBorderDxfId="186" tableBorderDxfId="187">
  <autoFilter ref="A4:J16" xr:uid="{59A959C2-52B2-422A-A87A-BC08BBF40681}"/>
  <tableColumns count="10">
    <tableColumn id="1" xr3:uid="{3A3EEF0D-D014-4E53-901F-CA7C928A30A1}" name="Month" dataDxfId="185"/>
    <tableColumn id="2" xr3:uid="{ACE88E48-6015-4F1C-B2B4-901B0FB7A72E}" name="Actual" dataDxfId="184"/>
    <tableColumn id="3" xr3:uid="{C450CF17-55EB-41DF-86BF-0F90B2B17116}" name="Expected" dataDxfId="183"/>
    <tableColumn id="4" xr3:uid="{D328879F-AF67-4769-A8A0-1C5A45E099F0}" name="Delta Expected" dataDxfId="182">
      <calculatedColumnFormula>B5-C5</calculatedColumnFormula>
    </tableColumn>
    <tableColumn id="5" xr3:uid="{5A328FC1-E240-4800-9AF2-110C4A4ECC65}" name="% Expected" dataDxfId="181">
      <calculatedColumnFormula>IFERROR(D5/C5, 0)</calculatedColumnFormula>
    </tableColumn>
    <tableColumn id="6" xr3:uid="{7C79FD01-0775-4035-A0D4-C688561910F6}" name="Forecasted" dataDxfId="180"/>
    <tableColumn id="7" xr3:uid="{9B11E4B3-2FEA-48ED-B46E-5AD64770E9EF}" name="Delta Forecasted" dataDxfId="179" dataCellStyle="Comma">
      <calculatedColumnFormula>B5-F5</calculatedColumnFormula>
    </tableColumn>
    <tableColumn id="8" xr3:uid="{E2E6FD63-076A-4431-AAB9-BC1A2E2B8105}" name="% Forecasted" dataDxfId="178">
      <calculatedColumnFormula>IFERROR(G5/F5, 0)</calculatedColumnFormula>
    </tableColumn>
    <tableColumn id="9" xr3:uid="{CCA03326-3B22-4649-B671-18B331CFCFC9}" name="Notes" dataDxfId="177"/>
    <tableColumn id="10" xr3:uid="{6C921FF4-9FBC-47A9-B98A-CB58C94F10C5}" name="Service Request" dataDxfId="17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C40BF71-B37D-403C-8ED2-970FEFC4E1F8}" name="Data18192021222324" displayName="Data18192021222324" ref="A4:J16" totalsRowShown="0" headerRowDxfId="173" dataDxfId="172" headerRowBorderDxfId="170" tableBorderDxfId="171">
  <autoFilter ref="A4:J16" xr:uid="{59A959C2-52B2-422A-A87A-BC08BBF40681}"/>
  <tableColumns count="10">
    <tableColumn id="1" xr3:uid="{F9004329-C93B-4933-AB9F-534ED42FFD10}" name="Month" dataDxfId="169"/>
    <tableColumn id="2" xr3:uid="{432C2987-91D2-4E70-8181-8CD8A6D67978}" name="Actual" dataDxfId="168"/>
    <tableColumn id="3" xr3:uid="{BF6EC749-C28A-4B1B-9CA2-88C8EED0F545}" name="Expected" dataDxfId="167"/>
    <tableColumn id="4" xr3:uid="{8666E9BF-D657-45F6-BA3D-1E281BF0D8A2}" name="Delta Expected" dataDxfId="166">
      <calculatedColumnFormula>B5-C5</calculatedColumnFormula>
    </tableColumn>
    <tableColumn id="5" xr3:uid="{690EED91-B2CC-423E-A46D-0467A03087EB}" name="% Expected" dataDxfId="165">
      <calculatedColumnFormula>IFERROR(D5/C5, 0)</calculatedColumnFormula>
    </tableColumn>
    <tableColumn id="6" xr3:uid="{985AE196-ED6A-49D0-9CF5-38363D80BF1C}" name="Forecasted" dataDxfId="164"/>
    <tableColumn id="7" xr3:uid="{B3189039-676E-4B7F-B804-B61300C3AC2B}" name="Delta Forecasted" dataDxfId="163" dataCellStyle="Comma">
      <calculatedColumnFormula>B5-F5</calculatedColumnFormula>
    </tableColumn>
    <tableColumn id="8" xr3:uid="{3C865CF1-C516-404B-BD49-7AF88A316696}" name="% Forecasted" dataDxfId="162">
      <calculatedColumnFormula>IFERROR(G5/F5, 0)</calculatedColumnFormula>
    </tableColumn>
    <tableColumn id="9" xr3:uid="{A8E110DC-2AD0-4532-BAB3-F25A93C8FA14}" name="Notes" dataDxfId="161"/>
    <tableColumn id="10" xr3:uid="{6B03DC8E-AFEA-4605-83B2-335A63A6E612}" name="Service Request" dataDxfId="16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BA82670-369B-4C3A-82B7-2FD5C4776195}" name="Data181920212223" displayName="Data181920212223" ref="A4:J16" totalsRowShown="0" headerRowDxfId="157" dataDxfId="156" headerRowBorderDxfId="154" tableBorderDxfId="155">
  <autoFilter ref="A4:J16" xr:uid="{59A959C2-52B2-422A-A87A-BC08BBF40681}"/>
  <tableColumns count="10">
    <tableColumn id="1" xr3:uid="{8D8CAC86-1F92-428A-978A-419573E60EDA}" name="Month" dataDxfId="153"/>
    <tableColumn id="2" xr3:uid="{223FDFFC-2B96-4B49-A3DA-3CE9110E23BA}" name="Actual" dataDxfId="152"/>
    <tableColumn id="3" xr3:uid="{697166FB-0846-4476-A3B9-F5E3CD1A5484}" name="Expected" dataDxfId="151"/>
    <tableColumn id="4" xr3:uid="{19183987-F433-4DF0-B9DB-E51E150F6A35}" name="Delta Expected" dataDxfId="150">
      <calculatedColumnFormula>B5-C5</calculatedColumnFormula>
    </tableColumn>
    <tableColumn id="5" xr3:uid="{E16DBE60-5B92-446F-8AB1-18813170F80A}" name="% Expected" dataDxfId="149">
      <calculatedColumnFormula>IFERROR(D5/C5, 0)</calculatedColumnFormula>
    </tableColumn>
    <tableColumn id="6" xr3:uid="{9C65936D-3A2D-49C0-A20F-C0BCB81436F3}" name="Forecasted" dataDxfId="148"/>
    <tableColumn id="7" xr3:uid="{CCF7E1D2-D7A4-481E-A184-00FF7C45982A}" name="Delta Forecasted" dataDxfId="147" dataCellStyle="Comma">
      <calculatedColumnFormula>B5-F5</calculatedColumnFormula>
    </tableColumn>
    <tableColumn id="8" xr3:uid="{00CEF032-E306-4FD4-BF8E-2BA66ADCE3C9}" name="% Forecasted" dataDxfId="146">
      <calculatedColumnFormula>IFERROR(G5/F5, 0)</calculatedColumnFormula>
    </tableColumn>
    <tableColumn id="9" xr3:uid="{317641D1-0E53-4EE1-8813-736213A5B2A2}" name="Notes" dataDxfId="145"/>
    <tableColumn id="10" xr3:uid="{23757325-21CC-4B19-856B-0A394E6508D4}" name="Service Request" dataDxfId="14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83D6B4A-9416-4379-8BD6-AD0B1630A41D}" name="Data1819202122" displayName="Data1819202122" ref="A4:J16" totalsRowShown="0" headerRowDxfId="141" dataDxfId="140" headerRowBorderDxfId="138" tableBorderDxfId="139">
  <autoFilter ref="A4:J16" xr:uid="{59A959C2-52B2-422A-A87A-BC08BBF40681}"/>
  <tableColumns count="10">
    <tableColumn id="1" xr3:uid="{347C7D3C-FD82-46F9-BEBD-8735F2193CE9}" name="Month" dataDxfId="137"/>
    <tableColumn id="2" xr3:uid="{199C91A5-15D1-40E0-8621-51A592031F8A}" name="Actual" dataDxfId="136"/>
    <tableColumn id="3" xr3:uid="{7A6FD5D4-0F5A-4349-BB04-3685AC1C21F9}" name="Expected" dataDxfId="135"/>
    <tableColumn id="4" xr3:uid="{37A4EBAC-FCA0-45AD-A30B-96A8319A8E0C}" name="Delta Expected" dataDxfId="134">
      <calculatedColumnFormula>B5-C5</calculatedColumnFormula>
    </tableColumn>
    <tableColumn id="5" xr3:uid="{49F0FD00-E5C0-4904-AFDC-2209D8270C83}" name="% Expected" dataDxfId="133">
      <calculatedColumnFormula>IFERROR(D5/C5, 0)</calculatedColumnFormula>
    </tableColumn>
    <tableColumn id="6" xr3:uid="{435BBA7F-11D8-4DB8-88B6-3C87B3349883}" name="Forecasted" dataDxfId="132"/>
    <tableColumn id="7" xr3:uid="{57D2837A-D5C4-4D5B-A637-2DBB8F89E7B7}" name="Delta Forecasted" dataDxfId="131" dataCellStyle="Comma">
      <calculatedColumnFormula>B5-F5</calculatedColumnFormula>
    </tableColumn>
    <tableColumn id="8" xr3:uid="{D5D39AF6-24F2-48A2-B19B-F5FADCA2161A}" name="% Forecasted" dataDxfId="130">
      <calculatedColumnFormula>IFERROR(G5/F5, 0)</calculatedColumnFormula>
    </tableColumn>
    <tableColumn id="9" xr3:uid="{BDCD9932-214E-402F-BB90-9556552F7689}" name="Notes" dataDxfId="129"/>
    <tableColumn id="10" xr3:uid="{6961543E-6754-46C0-ABF0-4377D20747FD}" name="Service Request" dataDxfId="12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5F8F4CC-F9DF-4064-A109-D677019A6B4A}" name="Data1819202129" displayName="Data1819202129" ref="A4:J16" totalsRowShown="0" headerRowDxfId="125" dataDxfId="124" headerRowBorderDxfId="122" tableBorderDxfId="123">
  <autoFilter ref="A4:J16" xr:uid="{59A959C2-52B2-422A-A87A-BC08BBF40681}"/>
  <tableColumns count="10">
    <tableColumn id="1" xr3:uid="{5E6E1DF3-291C-4317-8B90-B38224AE85B4}" name="Month" dataDxfId="121"/>
    <tableColumn id="2" xr3:uid="{FD726984-5758-4C54-9CD2-641DEE206A55}" name="Actual" dataDxfId="120"/>
    <tableColumn id="3" xr3:uid="{0BF58DCD-6379-4A26-8254-BBFE2FFDB990}" name="Expected" dataDxfId="119"/>
    <tableColumn id="4" xr3:uid="{E6BD6D5A-EA9D-401B-8AA1-9430D80C0943}" name="Delta Expected" dataDxfId="118">
      <calculatedColumnFormula>B5-C5</calculatedColumnFormula>
    </tableColumn>
    <tableColumn id="5" xr3:uid="{CE84C08A-509D-448F-82D3-3F5FFB720A54}" name="% Expected" dataDxfId="117">
      <calculatedColumnFormula>IFERROR(D5/C5, 0)</calculatedColumnFormula>
    </tableColumn>
    <tableColumn id="6" xr3:uid="{5551BF92-6B60-4C37-A1AF-34332FF7E18F}" name="Forecasted" dataDxfId="116"/>
    <tableColumn id="7" xr3:uid="{090BB86A-DFAA-4458-8739-3FECCC845861}" name="Delta Forecasted" dataDxfId="115" dataCellStyle="Comma">
      <calculatedColumnFormula>B5-F5</calculatedColumnFormula>
    </tableColumn>
    <tableColumn id="8" xr3:uid="{A0F704B9-D9BC-4C25-9B01-EEF4CDBB244D}" name="% Forecasted" dataDxfId="114">
      <calculatedColumnFormula>IFERROR(G5/F5, 0)</calculatedColumnFormula>
    </tableColumn>
    <tableColumn id="9" xr3:uid="{013B8AF9-6C0E-4448-A9BE-F72AA4D66478}" name="Notes" dataDxfId="113"/>
    <tableColumn id="10" xr3:uid="{AF00D379-93D4-49A0-AA91-86B8B0653CB5}" name="Service Request" dataDxfId="11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2B0B743-DC6E-44E5-8EAA-B173BB52D67E}" name="Data18192021" displayName="Data18192021" ref="A4:J16" totalsRowShown="0" headerRowDxfId="109" dataDxfId="108" headerRowBorderDxfId="106" tableBorderDxfId="107">
  <autoFilter ref="A4:J16" xr:uid="{59A959C2-52B2-422A-A87A-BC08BBF40681}"/>
  <tableColumns count="10">
    <tableColumn id="1" xr3:uid="{02CBB29B-8FA5-4F92-8AF1-3ACF6DE0405A}" name="Month" dataDxfId="105"/>
    <tableColumn id="2" xr3:uid="{9F3DD7A4-1E93-48C9-865C-6884066E1FF6}" name="Actual" dataDxfId="104"/>
    <tableColumn id="3" xr3:uid="{19F29B76-B230-4627-9560-E871FAA1F939}" name="Expected" dataDxfId="103"/>
    <tableColumn id="4" xr3:uid="{816FC8AC-921F-4501-A77B-C19037E643D9}" name="Delta Expected" dataDxfId="102">
      <calculatedColumnFormula>B5-C5</calculatedColumnFormula>
    </tableColumn>
    <tableColumn id="5" xr3:uid="{D36857E3-4341-4AFF-A150-8993BE8FDE37}" name="% Expected" dataDxfId="101">
      <calculatedColumnFormula>IFERROR(D5/C5, 0)</calculatedColumnFormula>
    </tableColumn>
    <tableColumn id="6" xr3:uid="{AE4608B8-75F0-4E4F-91A6-C0556D119D4E}" name="Forecasted" dataDxfId="100"/>
    <tableColumn id="7" xr3:uid="{333D3E1E-F642-46CC-9C6B-93D4AA6809B4}" name="Delta Forecasted" dataDxfId="99" dataCellStyle="Comma">
      <calculatedColumnFormula>B5-F5</calculatedColumnFormula>
    </tableColumn>
    <tableColumn id="8" xr3:uid="{8761E2DE-58C9-41CE-A033-5FE829C1BA70}" name="% Forecasted" dataDxfId="98">
      <calculatedColumnFormula>IFERROR(G5/F5, 0)</calculatedColumnFormula>
    </tableColumn>
    <tableColumn id="9" xr3:uid="{DA86E462-D5CA-47CC-BB6F-E306D0C644A1}" name="Notes" dataDxfId="97"/>
    <tableColumn id="10" xr3:uid="{A116F92D-16FB-49E5-A53A-E4A92439DF62}" name="Service Request" dataDxfId="9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74CD59E-9089-431D-9329-7C988049D2AF}" name="Data181920" displayName="Data181920" ref="A4:J16" totalsRowShown="0" headerRowDxfId="93" dataDxfId="92" headerRowBorderDxfId="90" tableBorderDxfId="91">
  <autoFilter ref="A4:J16" xr:uid="{59A959C2-52B2-422A-A87A-BC08BBF40681}"/>
  <tableColumns count="10">
    <tableColumn id="1" xr3:uid="{D53E7D57-D771-4FAF-BC06-C05F5D88D9D4}" name="Month" dataDxfId="89"/>
    <tableColumn id="2" xr3:uid="{5E323DE3-0FEC-4C47-AA50-FB5FE8C8C25A}" name="Actual" dataDxfId="88"/>
    <tableColumn id="3" xr3:uid="{5B1E3641-7C82-4E82-974B-559132EE9A5F}" name="Expected" dataDxfId="87"/>
    <tableColumn id="4" xr3:uid="{281D7FFF-2047-475F-9DC6-60F0A760A82D}" name="Delta Expected" dataDxfId="86">
      <calculatedColumnFormula>B5-C5</calculatedColumnFormula>
    </tableColumn>
    <tableColumn id="5" xr3:uid="{0D02AC61-E298-4329-95FE-FB778AE1B7E4}" name="% Expected" dataDxfId="85">
      <calculatedColumnFormula>IFERROR(D5/C5, 0)</calculatedColumnFormula>
    </tableColumn>
    <tableColumn id="6" xr3:uid="{D737330F-7883-4D93-A5BD-961AE8C37A29}" name="Forecasted" dataDxfId="84"/>
    <tableColumn id="7" xr3:uid="{0D60582B-2476-4C79-8EA5-5AF64BA55860}" name="Delta Forecasted" dataDxfId="83" dataCellStyle="Comma">
      <calculatedColumnFormula>B5-F5</calculatedColumnFormula>
    </tableColumn>
    <tableColumn id="8" xr3:uid="{905D0CB4-F479-4BE7-AB1C-C4EFE56D101C}" name="% Forecasted" dataDxfId="82">
      <calculatedColumnFormula>IFERROR(G5/F5, 0)</calculatedColumnFormula>
    </tableColumn>
    <tableColumn id="9" xr3:uid="{93950D5B-A4A4-4E97-BCFD-C55D117C244E}" name="Notes" dataDxfId="81"/>
    <tableColumn id="10" xr3:uid="{1722AA17-AA2C-45F0-AB0A-AA19B15E174C}" name="Service Request" dataDxfId="8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227315E-3D45-4F14-8850-6D6F6067DADF}" name="Data1819" displayName="Data1819" ref="A4:J16" totalsRowShown="0" headerRowDxfId="77" dataDxfId="76" headerRowBorderDxfId="74" tableBorderDxfId="75">
  <autoFilter ref="A4:J16" xr:uid="{59A959C2-52B2-422A-A87A-BC08BBF40681}"/>
  <tableColumns count="10">
    <tableColumn id="1" xr3:uid="{77E6FAAF-0999-49E3-99CA-07D98C9A302A}" name="Month" dataDxfId="73"/>
    <tableColumn id="2" xr3:uid="{59B2FACE-FD04-4B01-9769-1826A4BFD80D}" name="Actual" dataDxfId="72"/>
    <tableColumn id="3" xr3:uid="{DD87B9A3-2D37-45A6-9CDD-6537DF23AD7E}" name="Expected" dataDxfId="71"/>
    <tableColumn id="4" xr3:uid="{39BA3CEA-CBCA-4E6F-A0CA-4FA3B466A116}" name="Delta Expected" dataDxfId="70">
      <calculatedColumnFormula>B5-C5</calculatedColumnFormula>
    </tableColumn>
    <tableColumn id="5" xr3:uid="{DB5ACD05-6D0B-47C1-9519-E2B6FF709AD5}" name="% Expected" dataDxfId="69">
      <calculatedColumnFormula>IFERROR(D5/C5, 0)</calculatedColumnFormula>
    </tableColumn>
    <tableColumn id="6" xr3:uid="{B193E813-1C65-4930-8970-A32E7C27509E}" name="Forecasted" dataDxfId="68"/>
    <tableColumn id="7" xr3:uid="{C6C06131-4F24-45CB-BB1F-B32FA41C796F}" name="Delta Forecasted" dataDxfId="67" dataCellStyle="Comma">
      <calculatedColumnFormula>B5-F5</calculatedColumnFormula>
    </tableColumn>
    <tableColumn id="8" xr3:uid="{6E033078-CE54-4928-B0CD-8B04664AB929}" name="% Forecasted" dataDxfId="66">
      <calculatedColumnFormula>IFERROR(G5/F5, 0)</calculatedColumnFormula>
    </tableColumn>
    <tableColumn id="9" xr3:uid="{0859B2AD-AA89-4C25-A003-2FC4E3A6AFF9}" name="Notes" dataDxfId="65"/>
    <tableColumn id="10" xr3:uid="{F24B3FC5-F17E-42AE-B8E7-5C6B1CD32D85}" name="Service Request" dataDxfId="64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903203-733A-4BCB-B259-064CFBD79D46}" name="Data18194" displayName="Data18194" ref="A4:J16" totalsRowShown="0" headerRowDxfId="61" dataDxfId="60" headerRowBorderDxfId="58" tableBorderDxfId="59">
  <autoFilter ref="A4:J16" xr:uid="{59A959C2-52B2-422A-A87A-BC08BBF40681}"/>
  <tableColumns count="10">
    <tableColumn id="1" xr3:uid="{83B09C63-9547-490D-9F14-2A0F79494087}" name="Month" dataDxfId="57"/>
    <tableColumn id="2" xr3:uid="{5C6FC344-F4F0-4542-9DD4-15B7E36A1979}" name="Actual" dataDxfId="56"/>
    <tableColumn id="3" xr3:uid="{CFBFA928-4DA1-4E1E-A0CA-1C9825C2F833}" name="Expected" dataDxfId="55"/>
    <tableColumn id="4" xr3:uid="{B4486C7F-82BD-498B-802C-02C50E1F0BFA}" name="Delta Expected" dataDxfId="54">
      <calculatedColumnFormula>B5-C5</calculatedColumnFormula>
    </tableColumn>
    <tableColumn id="5" xr3:uid="{4C886B74-FB2E-41CC-AEBD-126D5BCA1A92}" name="% Expected" dataDxfId="53">
      <calculatedColumnFormula>IFERROR(D5/C5, 0)</calculatedColumnFormula>
    </tableColumn>
    <tableColumn id="6" xr3:uid="{FA387D4E-035B-4060-B86F-CB25498BF8B3}" name="Forecasted" dataDxfId="52"/>
    <tableColumn id="7" xr3:uid="{973CD768-52FF-4244-9D94-E3055129D5C8}" name="Delta Forecasted" dataDxfId="51" dataCellStyle="Comma">
      <calculatedColumnFormula>B5-F5</calculatedColumnFormula>
    </tableColumn>
    <tableColumn id="8" xr3:uid="{222DFBA6-55FB-4480-9025-96259D257A9D}" name="% Forecasted" dataDxfId="50">
      <calculatedColumnFormula>IFERROR(G5/F5, 0)</calculatedColumnFormula>
    </tableColumn>
    <tableColumn id="9" xr3:uid="{FDDF7FA2-1387-4493-BECD-025FB41DB24C}" name="Notes" dataDxfId="49"/>
    <tableColumn id="10" xr3:uid="{78640E63-0D55-48CF-8E5A-D65E4D35175D}" name="Service Request" dataDxfId="48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875647-C450-4251-AAEA-FF25A580A53C}" name="Data181945" displayName="Data181945" ref="A4:J16" totalsRowShown="0" headerRowDxfId="45" dataDxfId="44" headerRowBorderDxfId="42" tableBorderDxfId="43">
  <autoFilter ref="A4:J16" xr:uid="{59A959C2-52B2-422A-A87A-BC08BBF40681}"/>
  <tableColumns count="10">
    <tableColumn id="1" xr3:uid="{7FF77B9F-577A-4B47-A990-F173BC6C56E7}" name="Month" dataDxfId="41"/>
    <tableColumn id="2" xr3:uid="{4002D20F-2315-4338-9E22-BE19F54DC547}" name="Actual" dataDxfId="40"/>
    <tableColumn id="3" xr3:uid="{C42F4949-A9F7-46C2-BCFD-06B34B53FE0C}" name="Expected" dataDxfId="39"/>
    <tableColumn id="4" xr3:uid="{5A4F1587-6877-473D-9938-0274BD2B79C7}" name="Delta Expected" dataDxfId="38">
      <calculatedColumnFormula>B5-C5</calculatedColumnFormula>
    </tableColumn>
    <tableColumn id="5" xr3:uid="{24341374-8C89-4D0B-A3FF-4413B2264689}" name="% Expected" dataDxfId="37">
      <calculatedColumnFormula>IFERROR(D5/C5, 0)</calculatedColumnFormula>
    </tableColumn>
    <tableColumn id="6" xr3:uid="{96243978-A3A8-4674-B1FF-0B079EFA64A1}" name="Forecasted" dataDxfId="36"/>
    <tableColumn id="7" xr3:uid="{0965801C-7834-4B48-A492-1D82E6006B2E}" name="Delta Forecasted" dataDxfId="35" dataCellStyle="Comma">
      <calculatedColumnFormula>B5-F5</calculatedColumnFormula>
    </tableColumn>
    <tableColumn id="8" xr3:uid="{C169FD47-B173-41B3-985F-BA8195653951}" name="% Forecasted" dataDxfId="34">
      <calculatedColumnFormula>IFERROR(G5/F5, 0)</calculatedColumnFormula>
    </tableColumn>
    <tableColumn id="9" xr3:uid="{4B3B4D3D-377F-443C-B9B3-C62DDDF656EF}" name="Notes" dataDxfId="33"/>
    <tableColumn id="10" xr3:uid="{97C8E114-D009-4769-8895-C1205F997B4A}" name="Service Request" dataDxfId="3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1CE8A9-8821-4EBE-A8C8-58977CA01417}" name="Data1819456" displayName="Data1819456" ref="A4:J16" totalsRowShown="0" headerRowDxfId="29" dataDxfId="28" headerRowBorderDxfId="26" tableBorderDxfId="27">
  <autoFilter ref="A4:J16" xr:uid="{59A959C2-52B2-422A-A87A-BC08BBF40681}"/>
  <tableColumns count="10">
    <tableColumn id="1" xr3:uid="{0D7DF58B-76B0-4BBF-93E5-F3B3A4D00A25}" name="Month" dataDxfId="25"/>
    <tableColumn id="2" xr3:uid="{D500A81E-B7AB-4959-8BAD-38665CEBCFE1}" name="Actual" dataDxfId="24"/>
    <tableColumn id="3" xr3:uid="{11D4D3D1-232B-4E65-9593-98723BF52499}" name="Expected" dataDxfId="23"/>
    <tableColumn id="4" xr3:uid="{BBF83AB6-C2CC-442D-A4D2-7A0A4E64F5E3}" name="Delta Expected" dataDxfId="22">
      <calculatedColumnFormula>B5-C5</calculatedColumnFormula>
    </tableColumn>
    <tableColumn id="5" xr3:uid="{CA078066-D5C7-4F68-92D0-82CB5AD40434}" name="% Expected" dataDxfId="21">
      <calculatedColumnFormula>IFERROR(D5/C5, 0)</calculatedColumnFormula>
    </tableColumn>
    <tableColumn id="6" xr3:uid="{364AAF54-F699-45E1-8282-409DBE7499FD}" name="Forecasted" dataDxfId="20"/>
    <tableColumn id="7" xr3:uid="{381455FF-CE33-4937-A841-DAD46E72ACA1}" name="Delta Forecasted" dataDxfId="19" dataCellStyle="Comma">
      <calculatedColumnFormula>B5-F5</calculatedColumnFormula>
    </tableColumn>
    <tableColumn id="8" xr3:uid="{6730D86B-7CFD-42BC-9B1E-9D8B99B6A08F}" name="% Forecasted" dataDxfId="18">
      <calculatedColumnFormula>IFERROR(G5/F5, 0)</calculatedColumnFormula>
    </tableColumn>
    <tableColumn id="9" xr3:uid="{717A8C62-5B61-45A4-83E9-B1D6B779C8A8}" name="Notes" dataDxfId="17"/>
    <tableColumn id="10" xr3:uid="{04FE49B1-6C0A-4913-A5C1-8B9822CB484C}" name="Service Request" dataDxfId="1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588D81E-FDB4-4E2F-919B-811BCAC9B103}" name="Data18194567" displayName="Data18194567" ref="A4:J16" totalsRowShown="0" headerRowDxfId="13" dataDxfId="12" headerRowBorderDxfId="10" tableBorderDxfId="11">
  <autoFilter ref="A4:J16" xr:uid="{59A959C2-52B2-422A-A87A-BC08BBF40681}"/>
  <tableColumns count="10">
    <tableColumn id="1" xr3:uid="{C4A409F1-109A-44CD-A128-25CDF312DDB9}" name="Month" dataDxfId="9"/>
    <tableColumn id="2" xr3:uid="{C0DC69FD-567D-47AC-9E50-4CB1AB2161F3}" name="Actual" dataDxfId="8"/>
    <tableColumn id="3" xr3:uid="{1063D46D-2E07-4E11-B6A8-FDBBB3448A82}" name="Expected" dataDxfId="7"/>
    <tableColumn id="4" xr3:uid="{29B1B726-D10E-4304-9533-1795B6CBD2B7}" name="Delta Expected" dataDxfId="6">
      <calculatedColumnFormula>B5-C5</calculatedColumnFormula>
    </tableColumn>
    <tableColumn id="5" xr3:uid="{69153F38-09DA-4AB1-90FF-8B693B26B92A}" name="% Expected" dataDxfId="5">
      <calculatedColumnFormula>IFERROR(D5/C5, 0)</calculatedColumnFormula>
    </tableColumn>
    <tableColumn id="6" xr3:uid="{C9FAA06A-17E6-4F4B-BE55-59B7CB7EA30A}" name="Forecasted" dataDxfId="4"/>
    <tableColumn id="7" xr3:uid="{DA88BFC1-0BD4-4342-A017-7146FD486AB8}" name="Delta Forecasted" dataDxfId="3" dataCellStyle="Comma">
      <calculatedColumnFormula>B5-F5</calculatedColumnFormula>
    </tableColumn>
    <tableColumn id="8" xr3:uid="{D56C760D-A46C-43BE-B54A-D03018C26269}" name="% Forecasted" dataDxfId="2">
      <calculatedColumnFormula>IFERROR(G5/F5, 0)</calculatedColumnFormula>
    </tableColumn>
    <tableColumn id="9" xr3:uid="{1EFE57AD-831D-4C3C-921E-9548721A7BBF}" name="Notes" dataDxfId="1"/>
    <tableColumn id="10" xr3:uid="{DD8966CB-1717-4C32-9688-94B695195C97}" name="Service Reque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pageSetUpPr fitToPage="1"/>
  </sheetPr>
  <dimension ref="A1:K26"/>
  <sheetViews>
    <sheetView workbookViewId="0">
      <pane ySplit="2" topLeftCell="A25" activePane="bottomLeft" state="frozen"/>
      <selection pane="bottomLeft" activeCell="D25" sqref="D25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21.5703125" style="1" customWidth="1"/>
    <col min="10" max="10" width="71.5703125" customWidth="1"/>
    <col min="11" max="11" width="19.42578125" customWidth="1"/>
  </cols>
  <sheetData>
    <row r="1" spans="1:11" ht="19.5" customHeight="1">
      <c r="A1" s="196" t="str" cm="1">
        <f t="array" ref="A1">portfolio</f>
        <v>MN8 KEF</v>
      </c>
      <c r="B1" s="197"/>
      <c r="C1" s="198" t="s">
        <v>0</v>
      </c>
      <c r="D1" s="199"/>
      <c r="E1" s="199"/>
      <c r="F1" s="200"/>
      <c r="G1" s="201" t="s">
        <v>1</v>
      </c>
      <c r="H1" s="201"/>
      <c r="I1" s="202"/>
      <c r="J1" s="190" t="s">
        <v>2</v>
      </c>
      <c r="K1" s="190" t="s">
        <v>3</v>
      </c>
    </row>
    <row r="2" spans="1:11" ht="14.25" customHeight="1">
      <c r="A2" s="47" t="s">
        <v>4</v>
      </c>
      <c r="B2" s="48" t="s">
        <v>5</v>
      </c>
      <c r="C2" s="6" t="s">
        <v>6</v>
      </c>
      <c r="D2" s="45" t="s">
        <v>7</v>
      </c>
      <c r="E2" s="6" t="s">
        <v>8</v>
      </c>
      <c r="F2" s="7" t="s">
        <v>9</v>
      </c>
      <c r="G2" s="46" t="s">
        <v>10</v>
      </c>
      <c r="H2" s="8" t="s">
        <v>8</v>
      </c>
      <c r="I2" s="10" t="s">
        <v>9</v>
      </c>
      <c r="J2" s="191"/>
      <c r="K2" s="191"/>
    </row>
    <row r="3" spans="1:11" ht="15.75">
      <c r="A3" s="49" t="str" cm="1">
        <f t="array" ref="A3:A19">Sites[Site]</f>
        <v>Williamsburg A</v>
      </c>
      <c r="B3" s="37" t="str" cm="1">
        <f t="array" ref="B3:B19">Sites[State]</f>
        <v>MA</v>
      </c>
      <c r="C3" s="39">
        <f ca="1">SUM('1st Quarter 2024'!C3, '2nd Quarter 2024'!C3, '3rd Quarter 2024'!C3, '4th Quarter 2024'!C3)</f>
        <v>34976.740458011598</v>
      </c>
      <c r="D3" s="39">
        <f ca="1">SUM('1st Quarter 2024'!D3, '2nd Quarter 2024'!D3, '3rd Quarter 2024'!D3, '4th Quarter 2024'!D3)</f>
        <v>63711.839999999997</v>
      </c>
      <c r="E3" s="39">
        <f ca="1">C3-D3</f>
        <v>-28735.099541988398</v>
      </c>
      <c r="F3" s="40">
        <f ca="1">IFERROR(E3/D3, 0)</f>
        <v>-0.45101663273244658</v>
      </c>
      <c r="G3" s="41">
        <f ca="1">SUM('1st Quarter 2024'!G3, '2nd Quarter 2024'!G3, '3rd Quarter 2024'!G3, '4th Quarter 2024'!G3)</f>
        <v>96254.79</v>
      </c>
      <c r="H3" s="41">
        <f ca="1">C3-G3</f>
        <v>-61278.049541988396</v>
      </c>
      <c r="I3" s="42">
        <f ca="1">IFERROR(H3/G3, 0)</f>
        <v>-0.63662337782866074</v>
      </c>
      <c r="J3" s="19"/>
      <c r="K3" s="19"/>
    </row>
    <row r="4" spans="1:11" ht="15.75">
      <c r="A4" s="50" t="str">
        <v>Orange A KB</v>
      </c>
      <c r="B4" s="20" t="str">
        <v>MA</v>
      </c>
      <c r="C4" s="39">
        <f ca="1">SUM('1st Quarter 2024'!C4, '2nd Quarter 2024'!C4, '3rd Quarter 2024'!C4, '4th Quarter 2024'!C4)</f>
        <v>36812.441304211497</v>
      </c>
      <c r="D4" s="39">
        <f ca="1">SUM('1st Quarter 2024'!D4, '2nd Quarter 2024'!D4, '3rd Quarter 2024'!D4, '4th Quarter 2024'!D4)</f>
        <v>50249.95</v>
      </c>
      <c r="E4" s="39">
        <f t="shared" ref="E4:E19" ca="1" si="0">C4-D4</f>
        <v>-13437.5086957885</v>
      </c>
      <c r="F4" s="40">
        <f t="shared" ref="F4:F19" ca="1" si="1">IFERROR(E4/D4, 0)</f>
        <v>-0.26741337445686014</v>
      </c>
      <c r="G4" s="41">
        <f ca="1">SUM('1st Quarter 2024'!G4, '2nd Quarter 2024'!G4, '3rd Quarter 2024'!G4, '4th Quarter 2024'!G4)</f>
        <v>78902.03</v>
      </c>
      <c r="H4" s="41">
        <f t="shared" ref="H4:H19" ca="1" si="2">C4-G4</f>
        <v>-42089.588695788501</v>
      </c>
      <c r="I4" s="42">
        <f t="shared" ref="I4:I19" ca="1" si="3">IFERROR(H4/G4, 0)</f>
        <v>-0.53344113827981998</v>
      </c>
      <c r="J4" s="19"/>
      <c r="K4" s="19"/>
    </row>
    <row r="5" spans="1:11" ht="15.75">
      <c r="A5" s="51" t="str">
        <v>Goshen A</v>
      </c>
      <c r="B5" s="38" t="str">
        <v>MA</v>
      </c>
      <c r="C5" s="39">
        <f ca="1">SUM('1st Quarter 2024'!C5, '2nd Quarter 2024'!C5, '3rd Quarter 2024'!C5, '4th Quarter 2024'!C5)</f>
        <v>25506</v>
      </c>
      <c r="D5" s="39">
        <f ca="1">SUM('1st Quarter 2024'!D5, '2nd Quarter 2024'!D5, '3rd Quarter 2024'!D5, '4th Quarter 2024'!D5)</f>
        <v>57487.3</v>
      </c>
      <c r="E5" s="39">
        <f t="shared" ca="1" si="0"/>
        <v>-31981.300000000003</v>
      </c>
      <c r="F5" s="40">
        <f t="shared" ca="1" si="1"/>
        <v>-0.55631939576219447</v>
      </c>
      <c r="G5" s="41">
        <f ca="1">SUM('1st Quarter 2024'!G5, '2nd Quarter 2024'!G5, '3rd Quarter 2024'!G5, '4th Quarter 2024'!G5)</f>
        <v>45574.37</v>
      </c>
      <c r="H5" s="41">
        <f t="shared" ca="1" si="2"/>
        <v>-20068.370000000003</v>
      </c>
      <c r="I5" s="42">
        <f t="shared" ca="1" si="3"/>
        <v>-0.44034333332528791</v>
      </c>
      <c r="J5" s="19"/>
      <c r="K5" s="19"/>
    </row>
    <row r="6" spans="1:11" ht="15.75">
      <c r="A6" s="50" t="str">
        <v>Phillipston A KB</v>
      </c>
      <c r="B6" s="20" t="str">
        <v>MA</v>
      </c>
      <c r="C6" s="39">
        <f ca="1">SUM('1st Quarter 2024'!C6, '2nd Quarter 2024'!C6, '3rd Quarter 2024'!C6, '4th Quarter 2024'!C6)</f>
        <v>28771</v>
      </c>
      <c r="D6" s="39">
        <f ca="1">SUM('1st Quarter 2024'!D6, '2nd Quarter 2024'!D6, '3rd Quarter 2024'!D6, '4th Quarter 2024'!D6)</f>
        <v>81174.38</v>
      </c>
      <c r="E6" s="39">
        <f t="shared" ca="1" si="0"/>
        <v>-52403.380000000005</v>
      </c>
      <c r="F6" s="40">
        <f t="shared" ca="1" si="1"/>
        <v>-0.64556550970885151</v>
      </c>
      <c r="G6" s="41">
        <f ca="1">SUM('1st Quarter 2024'!G6, '2nd Quarter 2024'!G6, '3rd Quarter 2024'!G6, '4th Quarter 2024'!G6)</f>
        <v>48828.99</v>
      </c>
      <c r="H6" s="41">
        <f t="shared" ca="1" si="2"/>
        <v>-20057.989999999998</v>
      </c>
      <c r="I6" s="42">
        <f t="shared" ca="1" si="3"/>
        <v>-0.41078035814379937</v>
      </c>
      <c r="J6" s="19"/>
      <c r="K6" s="19"/>
    </row>
    <row r="7" spans="1:11" ht="15.75">
      <c r="A7" s="51" t="str">
        <v>Uxbridge D</v>
      </c>
      <c r="B7" s="38" t="str">
        <v>MA</v>
      </c>
      <c r="C7" s="39">
        <f ca="1">SUM('1st Quarter 2024'!C7, '2nd Quarter 2024'!C7, '3rd Quarter 2024'!C7, '4th Quarter 2024'!C7)</f>
        <v>42944</v>
      </c>
      <c r="D7" s="39">
        <f ca="1">SUM('1st Quarter 2024'!D7, '2nd Quarter 2024'!D7, '3rd Quarter 2024'!D7, '4th Quarter 2024'!D7)</f>
        <v>75174.5</v>
      </c>
      <c r="E7" s="39">
        <f t="shared" ca="1" si="0"/>
        <v>-32230.5</v>
      </c>
      <c r="F7" s="40">
        <f t="shared" ca="1" si="1"/>
        <v>-0.42874245921156773</v>
      </c>
      <c r="G7" s="41">
        <f ca="1">SUM('1st Quarter 2024'!G7, '2nd Quarter 2024'!G7, '3rd Quarter 2024'!G7, '4th Quarter 2024'!G7)</f>
        <v>103260</v>
      </c>
      <c r="H7" s="41">
        <f t="shared" ca="1" si="2"/>
        <v>-60316</v>
      </c>
      <c r="I7" s="42">
        <f t="shared" ca="1" si="3"/>
        <v>-0.58411776099167156</v>
      </c>
      <c r="J7" s="21"/>
      <c r="K7" s="21"/>
    </row>
    <row r="8" spans="1:11" ht="15.75">
      <c r="A8" s="50" t="str">
        <v>West Bridgewater A&amp;B</v>
      </c>
      <c r="B8" s="20" t="str">
        <v>MA</v>
      </c>
      <c r="C8" s="39">
        <f ca="1">SUM('1st Quarter 2024'!C8, '2nd Quarter 2024'!C8, '3rd Quarter 2024'!C8, '4th Quarter 2024'!C8)</f>
        <v>84322</v>
      </c>
      <c r="D8" s="39">
        <f ca="1">SUM('1st Quarter 2024'!D8, '2nd Quarter 2024'!D8, '3rd Quarter 2024'!D8, '4th Quarter 2024'!D8)</f>
        <v>126671.7</v>
      </c>
      <c r="E8" s="39">
        <f t="shared" ca="1" si="0"/>
        <v>-42349.7</v>
      </c>
      <c r="F8" s="40">
        <f t="shared" ca="1" si="1"/>
        <v>-0.33432645176467984</v>
      </c>
      <c r="G8" s="41">
        <f ca="1">SUM('1st Quarter 2024'!G8, '2nd Quarter 2024'!G8, '3rd Quarter 2024'!G8, '4th Quarter 2024'!G8)</f>
        <v>169067.9</v>
      </c>
      <c r="H8" s="41">
        <f t="shared" ca="1" si="2"/>
        <v>-84745.9</v>
      </c>
      <c r="I8" s="42">
        <f t="shared" ca="1" si="3"/>
        <v>-0.50125363833110836</v>
      </c>
      <c r="J8" s="19"/>
      <c r="K8" s="19"/>
    </row>
    <row r="9" spans="1:11" ht="15.75">
      <c r="A9" s="51" t="str">
        <v>Sutton A</v>
      </c>
      <c r="B9" s="38" t="str">
        <v>MA</v>
      </c>
      <c r="C9" s="39">
        <f ca="1">SUM('1st Quarter 2024'!C9, '2nd Quarter 2024'!C9, '3rd Quarter 2024'!C9, '4th Quarter 2024'!C9)</f>
        <v>30226</v>
      </c>
      <c r="D9" s="39">
        <f ca="1">SUM('1st Quarter 2024'!D9, '2nd Quarter 2024'!D9, '3rd Quarter 2024'!D9, '4th Quarter 2024'!D9)</f>
        <v>57946.25</v>
      </c>
      <c r="E9" s="39">
        <f t="shared" ca="1" si="0"/>
        <v>-27720.25</v>
      </c>
      <c r="F9" s="40">
        <f t="shared" ca="1" si="1"/>
        <v>-0.47837866988804278</v>
      </c>
      <c r="G9" s="41">
        <f ca="1">SUM('1st Quarter 2024'!G9, '2nd Quarter 2024'!G9, '3rd Quarter 2024'!G9, '4th Quarter 2024'!G9)</f>
        <v>93432.82</v>
      </c>
      <c r="H9" s="41">
        <f t="shared" ca="1" si="2"/>
        <v>-63206.820000000007</v>
      </c>
      <c r="I9" s="42">
        <f t="shared" ca="1" si="3"/>
        <v>-0.67649483340008365</v>
      </c>
      <c r="J9" s="22"/>
      <c r="K9" s="23"/>
    </row>
    <row r="10" spans="1:11" ht="15.75">
      <c r="A10" s="50" t="str">
        <v>North Adams A</v>
      </c>
      <c r="B10" s="20" t="str">
        <v>MA</v>
      </c>
      <c r="C10" s="39">
        <f ca="1">SUM('1st Quarter 2024'!C10, '2nd Quarter 2024'!C10, '3rd Quarter 2024'!C10, '4th Quarter 2024'!C10)</f>
        <v>33659</v>
      </c>
      <c r="D10" s="39">
        <f ca="1">SUM('1st Quarter 2024'!D10, '2nd Quarter 2024'!D10, '3rd Quarter 2024'!D10, '4th Quarter 2024'!D10)</f>
        <v>55008.74</v>
      </c>
      <c r="E10" s="39">
        <f t="shared" ca="1" si="0"/>
        <v>-21349.739999999998</v>
      </c>
      <c r="F10" s="40">
        <f t="shared" ca="1" si="1"/>
        <v>-0.38811541584119175</v>
      </c>
      <c r="G10" s="41">
        <f ca="1">SUM('1st Quarter 2024'!G10, '2nd Quarter 2024'!G10, '3rd Quarter 2024'!G10, '4th Quarter 2024'!G10)</f>
        <v>98462.86</v>
      </c>
      <c r="H10" s="41">
        <f t="shared" ca="1" si="2"/>
        <v>-64803.86</v>
      </c>
      <c r="I10" s="42">
        <f t="shared" ca="1" si="3"/>
        <v>-0.6581553694459007</v>
      </c>
      <c r="J10" s="19"/>
      <c r="K10" s="19"/>
    </row>
    <row r="11" spans="1:11" ht="15.75">
      <c r="A11" s="51" t="str">
        <v>North Adams B</v>
      </c>
      <c r="B11" s="38" t="str">
        <v>MA</v>
      </c>
      <c r="C11" s="39">
        <f ca="1">SUM('1st Quarter 2024'!C11, '2nd Quarter 2024'!C11, '3rd Quarter 2024'!C11, '4th Quarter 2024'!C11)</f>
        <v>25714</v>
      </c>
      <c r="D11" s="39">
        <f ca="1">SUM('1st Quarter 2024'!D11, '2nd Quarter 2024'!D11, '3rd Quarter 2024'!D11, '4th Quarter 2024'!D11)</f>
        <v>47004.33</v>
      </c>
      <c r="E11" s="39">
        <f t="shared" ca="1" si="0"/>
        <v>-21290.33</v>
      </c>
      <c r="F11" s="40">
        <f t="shared" ca="1" si="1"/>
        <v>-0.45294401600873796</v>
      </c>
      <c r="G11" s="41">
        <f ca="1">SUM('1st Quarter 2024'!G11, '2nd Quarter 2024'!G11, '3rd Quarter 2024'!G11, '4th Quarter 2024'!G11)</f>
        <v>98462.86</v>
      </c>
      <c r="H11" s="41">
        <f t="shared" ca="1" si="2"/>
        <v>-72748.86</v>
      </c>
      <c r="I11" s="42">
        <f t="shared" ca="1" si="3"/>
        <v>-0.73884569268046851</v>
      </c>
      <c r="J11" s="19"/>
      <c r="K11" s="19"/>
    </row>
    <row r="12" spans="1:11" ht="15.75">
      <c r="A12" s="50" t="str">
        <v>Clarksburg A</v>
      </c>
      <c r="B12" s="20" t="str">
        <v>MA</v>
      </c>
      <c r="C12" s="39">
        <f ca="1">SUM('1st Quarter 2024'!C12, '2nd Quarter 2024'!C12, '3rd Quarter 2024'!C12, '4th Quarter 2024'!C12)</f>
        <v>25169</v>
      </c>
      <c r="D12" s="39">
        <f ca="1">SUM('1st Quarter 2024'!D12, '2nd Quarter 2024'!D12, '3rd Quarter 2024'!D12, '4th Quarter 2024'!D12)</f>
        <v>48116.73</v>
      </c>
      <c r="E12" s="39">
        <f t="shared" ca="1" si="0"/>
        <v>-22947.730000000003</v>
      </c>
      <c r="F12" s="40">
        <f t="shared" ca="1" si="1"/>
        <v>-0.47691790360650033</v>
      </c>
      <c r="G12" s="41">
        <f ca="1">SUM('1st Quarter 2024'!G12, '2nd Quarter 2024'!G12, '3rd Quarter 2024'!G12, '4th Quarter 2024'!G12)</f>
        <v>98015.59</v>
      </c>
      <c r="H12" s="41">
        <f t="shared" ca="1" si="2"/>
        <v>-72846.59</v>
      </c>
      <c r="I12" s="42">
        <f t="shared" ca="1" si="3"/>
        <v>-0.74321431927308701</v>
      </c>
      <c r="J12" s="21"/>
      <c r="K12" s="21"/>
    </row>
    <row r="13" spans="1:11" ht="15.75">
      <c r="A13" s="51" t="str">
        <v>Swansea B</v>
      </c>
      <c r="B13" s="38" t="str">
        <v>MA</v>
      </c>
      <c r="C13" s="39">
        <f ca="1">SUM('1st Quarter 2024'!C13, '2nd Quarter 2024'!C13, '3rd Quarter 2024'!C13, '4th Quarter 2024'!C13)</f>
        <v>54645</v>
      </c>
      <c r="D13" s="39">
        <f ca="1">SUM('1st Quarter 2024'!D13, '2nd Quarter 2024'!D13, '3rd Quarter 2024'!D13, '4th Quarter 2024'!D13)</f>
        <v>81330.64</v>
      </c>
      <c r="E13" s="39">
        <f t="shared" ca="1" si="0"/>
        <v>-26685.64</v>
      </c>
      <c r="F13" s="40">
        <f t="shared" ca="1" si="1"/>
        <v>-0.32811299652873749</v>
      </c>
      <c r="G13" s="41">
        <f ca="1">SUM('1st Quarter 2024'!G13, '2nd Quarter 2024'!G13, '3rd Quarter 2024'!G13, '4th Quarter 2024'!G13)</f>
        <v>50080.160000000003</v>
      </c>
      <c r="H13" s="41">
        <f t="shared" ca="1" si="2"/>
        <v>4564.8399999999965</v>
      </c>
      <c r="I13" s="42">
        <f t="shared" ca="1" si="3"/>
        <v>9.11506672502643E-2</v>
      </c>
      <c r="J13" s="19"/>
      <c r="K13" s="19"/>
    </row>
    <row r="14" spans="1:11" ht="15.75">
      <c r="A14" s="73" t="str">
        <v>Wareham 2</v>
      </c>
      <c r="B14" s="74" t="str">
        <v>MA</v>
      </c>
      <c r="C14" s="39">
        <f ca="1">SUM('1st Quarter 2024'!C14, '2nd Quarter 2024'!C14, '3rd Quarter 2024'!C14, '4th Quarter 2024'!C14)</f>
        <v>59387.25</v>
      </c>
      <c r="D14" s="39">
        <f ca="1">SUM('1st Quarter 2024'!D14, '2nd Quarter 2024'!D14, '3rd Quarter 2024'!D14, '4th Quarter 2024'!D14)</f>
        <v>65302.43</v>
      </c>
      <c r="E14" s="39">
        <f t="shared" ref="E14:E17" ca="1" si="4">C14-D14</f>
        <v>-5915.18</v>
      </c>
      <c r="F14" s="40">
        <f t="shared" ca="1" si="1"/>
        <v>-9.0581315274178925E-2</v>
      </c>
      <c r="G14" s="41">
        <f ca="1">SUM('1st Quarter 2024'!G14, '2nd Quarter 2024'!G14, '3rd Quarter 2024'!G14, '4th Quarter 2024'!G14)</f>
        <v>103231.1</v>
      </c>
      <c r="H14" s="41">
        <f t="shared" ca="1" si="2"/>
        <v>-43843.850000000006</v>
      </c>
      <c r="I14" s="42">
        <f t="shared" ca="1" si="3"/>
        <v>-0.42471551693239734</v>
      </c>
      <c r="J14" s="19"/>
      <c r="K14" s="19"/>
    </row>
    <row r="15" spans="1:11" ht="15.75">
      <c r="A15" s="51" t="str">
        <v>Kingston 1 KB</v>
      </c>
      <c r="B15" s="38" t="str">
        <v>MA</v>
      </c>
      <c r="C15" s="39">
        <f ca="1">SUM('1st Quarter 2024'!C15, '2nd Quarter 2024'!C15, '3rd Quarter 2024'!C15, '4th Quarter 2024'!C15)</f>
        <v>46172</v>
      </c>
      <c r="D15" s="39">
        <f ca="1">SUM('1st Quarter 2024'!D15, '2nd Quarter 2024'!D15, '3rd Quarter 2024'!D15, '4th Quarter 2024'!D15)</f>
        <v>64095.79</v>
      </c>
      <c r="E15" s="39">
        <f t="shared" ca="1" si="4"/>
        <v>-17923.79</v>
      </c>
      <c r="F15" s="40">
        <f t="shared" ca="1" si="1"/>
        <v>-0.27964067530800385</v>
      </c>
      <c r="G15" s="41">
        <f ca="1">SUM('1st Quarter 2024'!G15, '2nd Quarter 2024'!G15, '3rd Quarter 2024'!G15, '4th Quarter 2024'!G15)</f>
        <v>78554.16</v>
      </c>
      <c r="H15" s="41">
        <f t="shared" ca="1" si="2"/>
        <v>-32382.160000000003</v>
      </c>
      <c r="I15" s="42">
        <f t="shared" ca="1" si="3"/>
        <v>-0.41222718185771451</v>
      </c>
      <c r="J15" s="19"/>
      <c r="K15" s="19"/>
    </row>
    <row r="16" spans="1:11" ht="15.75">
      <c r="A16" s="73" t="str">
        <v>Kingston 2 KB</v>
      </c>
      <c r="B16" s="74" t="str">
        <v>MA</v>
      </c>
      <c r="C16" s="39">
        <f ca="1">SUM('1st Quarter 2024'!C16, '2nd Quarter 2024'!C16, '3rd Quarter 2024'!C16, '4th Quarter 2024'!C16)</f>
        <v>38326</v>
      </c>
      <c r="D16" s="39">
        <f ca="1">SUM('1st Quarter 2024'!D16, '2nd Quarter 2024'!D16, '3rd Quarter 2024'!D16, '4th Quarter 2024'!D16)</f>
        <v>38638.25</v>
      </c>
      <c r="E16" s="39">
        <f t="shared" ca="1" si="4"/>
        <v>-312.25</v>
      </c>
      <c r="F16" s="40">
        <f t="shared" ca="1" si="1"/>
        <v>-8.0813701448693969E-3</v>
      </c>
      <c r="G16" s="41">
        <f ca="1">SUM('1st Quarter 2024'!G16, '2nd Quarter 2024'!G16, '3rd Quarter 2024'!G16, '4th Quarter 2024'!G16)</f>
        <v>63052.82</v>
      </c>
      <c r="H16" s="41">
        <f t="shared" ca="1" si="2"/>
        <v>-24726.82</v>
      </c>
      <c r="I16" s="42">
        <f t="shared" ca="1" si="3"/>
        <v>-0.39216041407822838</v>
      </c>
      <c r="J16" s="19"/>
      <c r="K16" s="19"/>
    </row>
    <row r="17" spans="1:11" ht="15.75">
      <c r="A17" s="51" t="str">
        <v>Holliston B</v>
      </c>
      <c r="B17" s="38" t="str">
        <v>MA</v>
      </c>
      <c r="C17" s="39">
        <f ca="1">SUM('1st Quarter 2024'!C17, '2nd Quarter 2024'!C17, '3rd Quarter 2024'!C17, '4th Quarter 2024'!C17)</f>
        <v>32229</v>
      </c>
      <c r="D17" s="39">
        <f ca="1">SUM('1st Quarter 2024'!D17, '2nd Quarter 2024'!D17, '3rd Quarter 2024'!D17, '4th Quarter 2024'!D17)</f>
        <v>61034.62</v>
      </c>
      <c r="E17" s="39">
        <f t="shared" ca="1" si="4"/>
        <v>-28805.620000000003</v>
      </c>
      <c r="F17" s="40">
        <f t="shared" ca="1" si="1"/>
        <v>-0.47195542464260448</v>
      </c>
      <c r="G17" s="41">
        <f ca="1">SUM('1st Quarter 2024'!G17, '2nd Quarter 2024'!G17, '3rd Quarter 2024'!G17, '4th Quarter 2024'!G17)</f>
        <v>98146.17</v>
      </c>
      <c r="H17" s="41">
        <f t="shared" ca="1" si="2"/>
        <v>-65917.17</v>
      </c>
      <c r="I17" s="42">
        <f t="shared" ca="1" si="3"/>
        <v>-0.67162243824695345</v>
      </c>
      <c r="J17" s="19"/>
      <c r="K17" s="19"/>
    </row>
    <row r="18" spans="1:11" ht="15.75">
      <c r="A18" s="50" t="str">
        <v>Fairhaven C</v>
      </c>
      <c r="B18" s="20" t="str">
        <v>MA</v>
      </c>
      <c r="C18" s="39">
        <f ca="1">SUM('1st Quarter 2024'!C18, '2nd Quarter 2024'!C18, '3rd Quarter 2024'!C18, '4th Quarter 2024'!C18)</f>
        <v>120080</v>
      </c>
      <c r="D18" s="39">
        <f ca="1">SUM('1st Quarter 2024'!D18, '2nd Quarter 2024'!D18, '3rd Quarter 2024'!D18, '4th Quarter 2024'!D18)</f>
        <v>148303.4</v>
      </c>
      <c r="E18" s="39">
        <f t="shared" ca="1" si="0"/>
        <v>-28223.399999999994</v>
      </c>
      <c r="F18" s="40">
        <f t="shared" ca="1" si="1"/>
        <v>-0.19030851619045819</v>
      </c>
      <c r="G18" s="41">
        <f ca="1">SUM('1st Quarter 2024'!G18, '2nd Quarter 2024'!G18, '3rd Quarter 2024'!G18, '4th Quarter 2024'!G18)</f>
        <v>176726.2</v>
      </c>
      <c r="H18" s="41">
        <f t="shared" ca="1" si="2"/>
        <v>-56646.200000000012</v>
      </c>
      <c r="I18" s="42">
        <f t="shared" ca="1" si="3"/>
        <v>-0.32053085507412032</v>
      </c>
      <c r="J18" s="22"/>
      <c r="K18" s="23"/>
    </row>
    <row r="19" spans="1:11" ht="16.149999999999999" thickBot="1">
      <c r="A19" s="51" t="str">
        <v>Plympton A-2</v>
      </c>
      <c r="B19" s="38" t="str">
        <v>MA</v>
      </c>
      <c r="C19" s="39">
        <f ca="1">SUM('1st Quarter 2024'!C19, '2nd Quarter 2024'!C19, '3rd Quarter 2024'!C19, '4th Quarter 2024'!C19)</f>
        <v>60641</v>
      </c>
      <c r="D19" s="39">
        <f ca="1">SUM('1st Quarter 2024'!D19, '2nd Quarter 2024'!D19, '3rd Quarter 2024'!D19, '4th Quarter 2024'!D19)</f>
        <v>77649.14</v>
      </c>
      <c r="E19" s="39">
        <f t="shared" ca="1" si="0"/>
        <v>-17008.14</v>
      </c>
      <c r="F19" s="40">
        <f t="shared" ca="1" si="1"/>
        <v>-0.21903835638102365</v>
      </c>
      <c r="G19" s="41">
        <f ca="1">SUM('1st Quarter 2024'!G19, '2nd Quarter 2024'!G19, '3rd Quarter 2024'!G19, '4th Quarter 2024'!G19)</f>
        <v>98644.24</v>
      </c>
      <c r="H19" s="41">
        <f t="shared" ca="1" si="2"/>
        <v>-38003.240000000005</v>
      </c>
      <c r="I19" s="42">
        <f t="shared" ca="1" si="3"/>
        <v>-0.38525554051610111</v>
      </c>
      <c r="J19" s="19"/>
      <c r="K19" s="19"/>
    </row>
    <row r="20" spans="1:11" ht="24.75" customHeight="1">
      <c r="A20" s="192" t="s">
        <v>11</v>
      </c>
      <c r="B20" s="193"/>
      <c r="C20" s="52">
        <f ca="1">SUM(C3:C19)</f>
        <v>779580.43176222313</v>
      </c>
      <c r="D20" s="52">
        <f ca="1">SUM(D3:D19)</f>
        <v>1198899.99</v>
      </c>
      <c r="E20" s="52">
        <f ca="1">C20-D20</f>
        <v>-419319.55823777686</v>
      </c>
      <c r="F20" s="43">
        <f ca="1">IFERROR(E20/D20, 0)</f>
        <v>-0.34975357555702113</v>
      </c>
      <c r="G20" s="52">
        <f ca="1">SUM(G3:G19)</f>
        <v>1598697.0599999998</v>
      </c>
      <c r="H20" s="53">
        <f ca="1">C20-G20</f>
        <v>-819116.62823777669</v>
      </c>
      <c r="I20" s="44">
        <f ca="1">IFERROR(H20/G20, 0)</f>
        <v>-0.51236513078830381</v>
      </c>
      <c r="J20" s="9"/>
    </row>
    <row r="21" spans="1:11">
      <c r="J21" s="9"/>
    </row>
    <row r="22" spans="1:11" ht="12.75" customHeight="1">
      <c r="A22" s="194" t="s">
        <v>12</v>
      </c>
      <c r="J22" s="9"/>
    </row>
    <row r="23" spans="1:11">
      <c r="A23" s="194"/>
      <c r="J23" s="9"/>
    </row>
    <row r="24" spans="1:11">
      <c r="A24" s="195" t="s">
        <v>13</v>
      </c>
      <c r="J24" s="9"/>
    </row>
    <row r="25" spans="1:11" ht="12.75" customHeight="1">
      <c r="A25" s="195"/>
      <c r="J25" s="9"/>
    </row>
    <row r="26" spans="1:11">
      <c r="J26" s="9"/>
    </row>
  </sheetData>
  <autoFilter ref="A2:I2" xr:uid="{D5C25034-9971-4A61-864F-C938F31EB1B8}"/>
  <mergeCells count="8">
    <mergeCell ref="K1:K2"/>
    <mergeCell ref="A20:B20"/>
    <mergeCell ref="A22:A23"/>
    <mergeCell ref="A24:A25"/>
    <mergeCell ref="A1:B1"/>
    <mergeCell ref="C1:F1"/>
    <mergeCell ref="G1:I1"/>
    <mergeCell ref="J1:J2"/>
  </mergeCells>
  <conditionalFormatting sqref="F3:F20 I3:I20">
    <cfRule type="cellIs" dxfId="310" priority="1" operator="lessThanOrEqual">
      <formula>-0.1</formula>
    </cfRule>
    <cfRule type="cellIs" dxfId="309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P26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15.85546875" style="1" customWidth="1"/>
    <col min="10" max="10" width="71.5703125" customWidth="1"/>
    <col min="11" max="11" width="19.42578125" customWidth="1"/>
  </cols>
  <sheetData>
    <row r="1" spans="1:16" ht="19.5" customHeight="1">
      <c r="A1" s="196" t="str" cm="1">
        <f t="array" ref="A1">portfolio</f>
        <v>MN8 KEF</v>
      </c>
      <c r="B1" s="197"/>
      <c r="C1" s="198" t="s">
        <v>14</v>
      </c>
      <c r="D1" s="199"/>
      <c r="E1" s="199"/>
      <c r="F1" s="200"/>
      <c r="G1" s="201" t="s">
        <v>15</v>
      </c>
      <c r="H1" s="201"/>
      <c r="I1" s="202"/>
      <c r="J1" s="190" t="s">
        <v>2</v>
      </c>
      <c r="K1" s="190" t="s">
        <v>3</v>
      </c>
    </row>
    <row r="2" spans="1:16" ht="14.25" customHeight="1">
      <c r="A2" s="47" t="s">
        <v>4</v>
      </c>
      <c r="B2" s="48" t="s">
        <v>5</v>
      </c>
      <c r="C2" s="6" t="s">
        <v>6</v>
      </c>
      <c r="D2" s="45" t="s">
        <v>7</v>
      </c>
      <c r="E2" s="6" t="s">
        <v>8</v>
      </c>
      <c r="F2" s="7" t="s">
        <v>9</v>
      </c>
      <c r="G2" s="46" t="s">
        <v>10</v>
      </c>
      <c r="H2" s="8" t="s">
        <v>8</v>
      </c>
      <c r="I2" s="10" t="s">
        <v>9</v>
      </c>
      <c r="J2" s="191"/>
      <c r="K2" s="191"/>
    </row>
    <row r="3" spans="1:16" ht="15.75">
      <c r="A3" s="49" t="str" cm="1">
        <f t="array" ref="A3:A19">Sites[Site]</f>
        <v>Williamsburg A</v>
      </c>
      <c r="B3" s="37" t="str" cm="1">
        <f t="array" ref="B3:B19">Sites[State]</f>
        <v>MA</v>
      </c>
      <c r="C3" s="39">
        <f ca="1">SUM('01-2024'!C3, '02-2024'!C3, '03-2024'!C3)</f>
        <v>34976.740458011598</v>
      </c>
      <c r="D3" s="39">
        <f ca="1">SUM('01-2024'!D3, '02-2024'!D3, '03-2024'!D3)</f>
        <v>63711.839999999997</v>
      </c>
      <c r="E3" s="39">
        <f ca="1">C3-D3</f>
        <v>-28735.099541988398</v>
      </c>
      <c r="F3" s="40">
        <f ca="1">IFERROR(E3/D3, 0)</f>
        <v>-0.45101663273244658</v>
      </c>
      <c r="G3" s="41">
        <f ca="1">SUM('01-2024'!G3, '02-2024'!G3, '03-2024'!G3)</f>
        <v>96254.79</v>
      </c>
      <c r="H3" s="41">
        <f ca="1">C3-G3</f>
        <v>-61278.049541988396</v>
      </c>
      <c r="I3" s="42">
        <f ca="1">IFERROR(H3/G3, 0)</f>
        <v>-0.63662337782866074</v>
      </c>
      <c r="J3" s="19"/>
      <c r="K3" s="19"/>
    </row>
    <row r="4" spans="1:16" ht="15.75">
      <c r="A4" s="50" t="str">
        <v>Orange A KB</v>
      </c>
      <c r="B4" s="20" t="str">
        <v>MA</v>
      </c>
      <c r="C4" s="39">
        <f ca="1">SUM('01-2024'!C4, '02-2024'!C4, '03-2024'!C4)</f>
        <v>36812.441304211497</v>
      </c>
      <c r="D4" s="39">
        <f ca="1">SUM('01-2024'!D4, '02-2024'!D4, '03-2024'!D4)</f>
        <v>50249.95</v>
      </c>
      <c r="E4" s="39">
        <f t="shared" ref="E4:E19" ca="1" si="0">C4-D4</f>
        <v>-13437.5086957885</v>
      </c>
      <c r="F4" s="40">
        <f t="shared" ref="F4:F19" ca="1" si="1">IFERROR(E4/D4, 0)</f>
        <v>-0.26741337445686014</v>
      </c>
      <c r="G4" s="41">
        <f ca="1">SUM('01-2024'!G4, '02-2024'!G4, '03-2024'!G4)</f>
        <v>78902.03</v>
      </c>
      <c r="H4" s="41">
        <f t="shared" ref="H4:H19" ca="1" si="2">C4-G4</f>
        <v>-42089.588695788501</v>
      </c>
      <c r="I4" s="42">
        <f t="shared" ref="I4:I19" ca="1" si="3">IFERROR(H4/G4, 0)</f>
        <v>-0.53344113827981998</v>
      </c>
      <c r="J4" s="19"/>
      <c r="K4" s="19"/>
    </row>
    <row r="5" spans="1:16" ht="15.75">
      <c r="A5" s="51" t="str">
        <v>Goshen A</v>
      </c>
      <c r="B5" s="38" t="str">
        <v>MA</v>
      </c>
      <c r="C5" s="39">
        <f ca="1">SUM('01-2024'!C5, '02-2024'!C5, '03-2024'!C5)</f>
        <v>25506</v>
      </c>
      <c r="D5" s="39">
        <f ca="1">SUM('01-2024'!D5, '02-2024'!D5, '03-2024'!D5)</f>
        <v>57487.3</v>
      </c>
      <c r="E5" s="39">
        <f t="shared" ca="1" si="0"/>
        <v>-31981.300000000003</v>
      </c>
      <c r="F5" s="40">
        <f t="shared" ca="1" si="1"/>
        <v>-0.55631939576219447</v>
      </c>
      <c r="G5" s="41">
        <f ca="1">SUM('01-2024'!G5, '02-2024'!G5, '03-2024'!G5)</f>
        <v>45574.37</v>
      </c>
      <c r="H5" s="41">
        <f t="shared" ca="1" si="2"/>
        <v>-20068.370000000003</v>
      </c>
      <c r="I5" s="42">
        <f t="shared" ca="1" si="3"/>
        <v>-0.44034333332528791</v>
      </c>
      <c r="J5" s="19"/>
      <c r="K5" s="19"/>
    </row>
    <row r="6" spans="1:16" ht="15.75">
      <c r="A6" s="50" t="str">
        <v>Phillipston A KB</v>
      </c>
      <c r="B6" s="20" t="str">
        <v>MA</v>
      </c>
      <c r="C6" s="39">
        <f ca="1">SUM('01-2024'!C6, '02-2024'!C6, '03-2024'!C6)</f>
        <v>28771</v>
      </c>
      <c r="D6" s="39">
        <f ca="1">SUM('01-2024'!D6, '02-2024'!D6, '03-2024'!D6)</f>
        <v>81174.38</v>
      </c>
      <c r="E6" s="39">
        <f t="shared" ca="1" si="0"/>
        <v>-52403.380000000005</v>
      </c>
      <c r="F6" s="40">
        <f t="shared" ca="1" si="1"/>
        <v>-0.64556550970885151</v>
      </c>
      <c r="G6" s="41">
        <f ca="1">SUM('01-2024'!G6, '02-2024'!G6, '03-2024'!G6)</f>
        <v>48828.99</v>
      </c>
      <c r="H6" s="41">
        <f t="shared" ca="1" si="2"/>
        <v>-20057.989999999998</v>
      </c>
      <c r="I6" s="42">
        <f t="shared" ca="1" si="3"/>
        <v>-0.41078035814379937</v>
      </c>
      <c r="J6" s="19"/>
      <c r="K6" s="19"/>
    </row>
    <row r="7" spans="1:16" ht="15.75">
      <c r="A7" s="51" t="str">
        <v>Uxbridge D</v>
      </c>
      <c r="B7" s="38" t="str">
        <v>MA</v>
      </c>
      <c r="C7" s="39">
        <f ca="1">SUM('01-2024'!C7, '02-2024'!C7, '03-2024'!C7)</f>
        <v>42944</v>
      </c>
      <c r="D7" s="39">
        <f ca="1">SUM('01-2024'!D7, '02-2024'!D7, '03-2024'!D7)</f>
        <v>75174.5</v>
      </c>
      <c r="E7" s="39">
        <f t="shared" ca="1" si="0"/>
        <v>-32230.5</v>
      </c>
      <c r="F7" s="40">
        <f t="shared" ca="1" si="1"/>
        <v>-0.42874245921156773</v>
      </c>
      <c r="G7" s="41">
        <f ca="1">SUM('01-2024'!G7, '02-2024'!G7, '03-2024'!G7)</f>
        <v>103260</v>
      </c>
      <c r="H7" s="41">
        <f t="shared" ca="1" si="2"/>
        <v>-60316</v>
      </c>
      <c r="I7" s="42">
        <f t="shared" ca="1" si="3"/>
        <v>-0.58411776099167156</v>
      </c>
      <c r="J7" s="21"/>
      <c r="K7" s="21"/>
    </row>
    <row r="8" spans="1:16" ht="15.75">
      <c r="A8" s="50" t="str">
        <v>West Bridgewater A&amp;B</v>
      </c>
      <c r="B8" s="20" t="str">
        <v>MA</v>
      </c>
      <c r="C8" s="39">
        <f ca="1">SUM('01-2024'!C8, '02-2024'!C8, '03-2024'!C8)</f>
        <v>84322</v>
      </c>
      <c r="D8" s="39">
        <f ca="1">SUM('01-2024'!D8, '02-2024'!D8, '03-2024'!D8)</f>
        <v>126671.7</v>
      </c>
      <c r="E8" s="39">
        <f t="shared" ca="1" si="0"/>
        <v>-42349.7</v>
      </c>
      <c r="F8" s="40">
        <f t="shared" ca="1" si="1"/>
        <v>-0.33432645176467984</v>
      </c>
      <c r="G8" s="41">
        <f ca="1">SUM('01-2024'!G8, '02-2024'!G8, '03-2024'!G8)</f>
        <v>169067.9</v>
      </c>
      <c r="H8" s="41">
        <f t="shared" ca="1" si="2"/>
        <v>-84745.9</v>
      </c>
      <c r="I8" s="42">
        <f t="shared" ca="1" si="3"/>
        <v>-0.50125363833110836</v>
      </c>
      <c r="J8" s="19"/>
      <c r="K8" s="19"/>
    </row>
    <row r="9" spans="1:16" ht="15.75">
      <c r="A9" s="51" t="str">
        <v>Sutton A</v>
      </c>
      <c r="B9" s="38" t="str">
        <v>MA</v>
      </c>
      <c r="C9" s="39">
        <f ca="1">SUM('01-2024'!C9, '02-2024'!C9, '03-2024'!C9)</f>
        <v>30226</v>
      </c>
      <c r="D9" s="39">
        <f ca="1">SUM('01-2024'!D9, '02-2024'!D9, '03-2024'!D9)</f>
        <v>57946.25</v>
      </c>
      <c r="E9" s="39">
        <f t="shared" ca="1" si="0"/>
        <v>-27720.25</v>
      </c>
      <c r="F9" s="40">
        <f t="shared" ca="1" si="1"/>
        <v>-0.47837866988804278</v>
      </c>
      <c r="G9" s="41">
        <f ca="1">SUM('01-2024'!G9, '02-2024'!G9, '03-2024'!G9)</f>
        <v>93432.82</v>
      </c>
      <c r="H9" s="41">
        <f t="shared" ca="1" si="2"/>
        <v>-63206.820000000007</v>
      </c>
      <c r="I9" s="42">
        <f t="shared" ca="1" si="3"/>
        <v>-0.67649483340008365</v>
      </c>
      <c r="J9" s="22"/>
      <c r="K9" s="23"/>
    </row>
    <row r="10" spans="1:16" ht="15.75">
      <c r="A10" s="50" t="str">
        <v>North Adams A</v>
      </c>
      <c r="B10" s="20" t="str">
        <v>MA</v>
      </c>
      <c r="C10" s="39">
        <f ca="1">SUM('01-2024'!C10, '02-2024'!C10, '03-2024'!C10)</f>
        <v>33659</v>
      </c>
      <c r="D10" s="39">
        <f ca="1">SUM('01-2024'!D10, '02-2024'!D10, '03-2024'!D10)</f>
        <v>55008.74</v>
      </c>
      <c r="E10" s="39">
        <f t="shared" ca="1" si="0"/>
        <v>-21349.739999999998</v>
      </c>
      <c r="F10" s="40">
        <f t="shared" ca="1" si="1"/>
        <v>-0.38811541584119175</v>
      </c>
      <c r="G10" s="41">
        <f ca="1">SUM('01-2024'!G10, '02-2024'!G10, '03-2024'!G10)</f>
        <v>98462.86</v>
      </c>
      <c r="H10" s="41">
        <f t="shared" ca="1" si="2"/>
        <v>-64803.86</v>
      </c>
      <c r="I10" s="42">
        <f t="shared" ca="1" si="3"/>
        <v>-0.6581553694459007</v>
      </c>
      <c r="J10" s="19"/>
      <c r="K10" s="19"/>
      <c r="P10" s="3"/>
    </row>
    <row r="11" spans="1:16" ht="15.75">
      <c r="A11" s="51" t="str">
        <v>North Adams B</v>
      </c>
      <c r="B11" s="38" t="str">
        <v>MA</v>
      </c>
      <c r="C11" s="39">
        <f ca="1">SUM('01-2024'!C11, '02-2024'!C11, '03-2024'!C11)</f>
        <v>25714</v>
      </c>
      <c r="D11" s="39">
        <f ca="1">SUM('01-2024'!D11, '02-2024'!D11, '03-2024'!D11)</f>
        <v>47004.33</v>
      </c>
      <c r="E11" s="39">
        <f t="shared" ca="1" si="0"/>
        <v>-21290.33</v>
      </c>
      <c r="F11" s="40">
        <f t="shared" ca="1" si="1"/>
        <v>-0.45294401600873796</v>
      </c>
      <c r="G11" s="41">
        <f ca="1">SUM('01-2024'!G11, '02-2024'!G11, '03-2024'!G11)</f>
        <v>98462.86</v>
      </c>
      <c r="H11" s="41">
        <f t="shared" ca="1" si="2"/>
        <v>-72748.86</v>
      </c>
      <c r="I11" s="42">
        <f t="shared" ca="1" si="3"/>
        <v>-0.73884569268046851</v>
      </c>
      <c r="J11" s="19"/>
      <c r="K11" s="19"/>
    </row>
    <row r="12" spans="1:16" ht="15.75">
      <c r="A12" s="50" t="str">
        <v>Clarksburg A</v>
      </c>
      <c r="B12" s="20" t="str">
        <v>MA</v>
      </c>
      <c r="C12" s="39">
        <f ca="1">SUM('01-2024'!C12, '02-2024'!C12, '03-2024'!C12)</f>
        <v>25169</v>
      </c>
      <c r="D12" s="39">
        <f ca="1">SUM('01-2024'!D12, '02-2024'!D12, '03-2024'!D12)</f>
        <v>48116.73</v>
      </c>
      <c r="E12" s="39">
        <f t="shared" ca="1" si="0"/>
        <v>-22947.730000000003</v>
      </c>
      <c r="F12" s="40">
        <f t="shared" ca="1" si="1"/>
        <v>-0.47691790360650033</v>
      </c>
      <c r="G12" s="41">
        <f ca="1">SUM('01-2024'!G12, '02-2024'!G12, '03-2024'!G12)</f>
        <v>98015.59</v>
      </c>
      <c r="H12" s="41">
        <f t="shared" ca="1" si="2"/>
        <v>-72846.59</v>
      </c>
      <c r="I12" s="42">
        <f t="shared" ca="1" si="3"/>
        <v>-0.74321431927308701</v>
      </c>
      <c r="J12" s="21"/>
      <c r="K12" s="21"/>
    </row>
    <row r="13" spans="1:16" ht="15.75">
      <c r="A13" s="51" t="str">
        <v>Swansea B</v>
      </c>
      <c r="B13" s="38" t="str">
        <v>MA</v>
      </c>
      <c r="C13" s="39">
        <f ca="1">SUM('01-2024'!C13, '02-2024'!C13, '03-2024'!C13)</f>
        <v>54645</v>
      </c>
      <c r="D13" s="39">
        <f ca="1">SUM('01-2024'!D13, '02-2024'!D13, '03-2024'!D13)</f>
        <v>81330.64</v>
      </c>
      <c r="E13" s="39">
        <f t="shared" ca="1" si="0"/>
        <v>-26685.64</v>
      </c>
      <c r="F13" s="40">
        <f t="shared" ca="1" si="1"/>
        <v>-0.32811299652873749</v>
      </c>
      <c r="G13" s="41">
        <f ca="1">SUM('01-2024'!G13, '02-2024'!G13, '03-2024'!G13)</f>
        <v>50080.160000000003</v>
      </c>
      <c r="H13" s="41">
        <f t="shared" ca="1" si="2"/>
        <v>4564.8399999999965</v>
      </c>
      <c r="I13" s="42">
        <f t="shared" ca="1" si="3"/>
        <v>9.11506672502643E-2</v>
      </c>
      <c r="J13" s="19"/>
      <c r="K13" s="19"/>
    </row>
    <row r="14" spans="1:16" ht="15.75">
      <c r="A14" s="73" t="str">
        <v>Wareham 2</v>
      </c>
      <c r="B14" s="74" t="str">
        <v>MA</v>
      </c>
      <c r="C14" s="39">
        <f ca="1">SUM('01-2024'!C14, '02-2024'!C14, '03-2024'!C14)</f>
        <v>59387.25</v>
      </c>
      <c r="D14" s="39">
        <f ca="1">SUM('01-2024'!D14, '02-2024'!D14, '03-2024'!D14)</f>
        <v>65302.43</v>
      </c>
      <c r="E14" s="39">
        <f t="shared" ref="E14:E17" ca="1" si="4">C14-D14</f>
        <v>-5915.18</v>
      </c>
      <c r="F14" s="40">
        <f t="shared" ca="1" si="1"/>
        <v>-9.0581315274178925E-2</v>
      </c>
      <c r="G14" s="41">
        <f ca="1">SUM('01-2024'!G14, '02-2024'!G14, '03-2024'!G14)</f>
        <v>103231.1</v>
      </c>
      <c r="H14" s="41">
        <f t="shared" ca="1" si="2"/>
        <v>-43843.850000000006</v>
      </c>
      <c r="I14" s="42">
        <f t="shared" ca="1" si="3"/>
        <v>-0.42471551693239734</v>
      </c>
      <c r="J14" s="19"/>
      <c r="K14" s="19"/>
    </row>
    <row r="15" spans="1:16" ht="15.75">
      <c r="A15" s="51" t="str">
        <v>Kingston 1 KB</v>
      </c>
      <c r="B15" s="38" t="str">
        <v>MA</v>
      </c>
      <c r="C15" s="39">
        <f ca="1">SUM('01-2024'!C15, '02-2024'!C15, '03-2024'!C15)</f>
        <v>46172</v>
      </c>
      <c r="D15" s="39">
        <f ca="1">SUM('01-2024'!D15, '02-2024'!D15, '03-2024'!D15)</f>
        <v>64095.79</v>
      </c>
      <c r="E15" s="39">
        <f t="shared" ca="1" si="4"/>
        <v>-17923.79</v>
      </c>
      <c r="F15" s="40">
        <f t="shared" ca="1" si="1"/>
        <v>-0.27964067530800385</v>
      </c>
      <c r="G15" s="41">
        <f ca="1">SUM('01-2024'!G15, '02-2024'!G15, '03-2024'!G15)</f>
        <v>78554.16</v>
      </c>
      <c r="H15" s="41">
        <f t="shared" ca="1" si="2"/>
        <v>-32382.160000000003</v>
      </c>
      <c r="I15" s="42">
        <f t="shared" ca="1" si="3"/>
        <v>-0.41222718185771451</v>
      </c>
      <c r="J15" s="19"/>
      <c r="K15" s="19"/>
    </row>
    <row r="16" spans="1:16" ht="15.75">
      <c r="A16" s="73" t="str">
        <v>Kingston 2 KB</v>
      </c>
      <c r="B16" s="74" t="str">
        <v>MA</v>
      </c>
      <c r="C16" s="39">
        <f ca="1">SUM('01-2024'!C16, '02-2024'!C16, '03-2024'!C16)</f>
        <v>38326</v>
      </c>
      <c r="D16" s="39">
        <f ca="1">SUM('01-2024'!D16, '02-2024'!D16, '03-2024'!D16)</f>
        <v>38638.25</v>
      </c>
      <c r="E16" s="39">
        <f t="shared" ca="1" si="4"/>
        <v>-312.25</v>
      </c>
      <c r="F16" s="40">
        <f t="shared" ca="1" si="1"/>
        <v>-8.0813701448693969E-3</v>
      </c>
      <c r="G16" s="41">
        <f ca="1">SUM('01-2024'!G16, '02-2024'!G16, '03-2024'!G16)</f>
        <v>63052.82</v>
      </c>
      <c r="H16" s="41">
        <f t="shared" ca="1" si="2"/>
        <v>-24726.82</v>
      </c>
      <c r="I16" s="42">
        <f t="shared" ca="1" si="3"/>
        <v>-0.39216041407822838</v>
      </c>
      <c r="J16" s="19"/>
      <c r="K16" s="19"/>
    </row>
    <row r="17" spans="1:11" ht="15.75">
      <c r="A17" s="51" t="str">
        <v>Holliston B</v>
      </c>
      <c r="B17" s="38" t="str">
        <v>MA</v>
      </c>
      <c r="C17" s="39">
        <f ca="1">SUM('01-2024'!C17, '02-2024'!C17, '03-2024'!C17)</f>
        <v>32229</v>
      </c>
      <c r="D17" s="39">
        <f ca="1">SUM('01-2024'!D17, '02-2024'!D17, '03-2024'!D17)</f>
        <v>61034.62</v>
      </c>
      <c r="E17" s="39">
        <f t="shared" ca="1" si="4"/>
        <v>-28805.620000000003</v>
      </c>
      <c r="F17" s="40">
        <f t="shared" ca="1" si="1"/>
        <v>-0.47195542464260448</v>
      </c>
      <c r="G17" s="41">
        <f ca="1">SUM('01-2024'!G17, '02-2024'!G17, '03-2024'!G17)</f>
        <v>98146.17</v>
      </c>
      <c r="H17" s="41">
        <f t="shared" ca="1" si="2"/>
        <v>-65917.17</v>
      </c>
      <c r="I17" s="42">
        <f t="shared" ca="1" si="3"/>
        <v>-0.67162243824695345</v>
      </c>
      <c r="J17" s="19"/>
      <c r="K17" s="19"/>
    </row>
    <row r="18" spans="1:11" ht="15.75">
      <c r="A18" s="50" t="str">
        <v>Fairhaven C</v>
      </c>
      <c r="B18" s="20" t="str">
        <v>MA</v>
      </c>
      <c r="C18" s="39">
        <f ca="1">SUM('01-2024'!C18, '02-2024'!C18, '03-2024'!C18)</f>
        <v>120080</v>
      </c>
      <c r="D18" s="39">
        <f ca="1">SUM('01-2024'!D18, '02-2024'!D18, '03-2024'!D18)</f>
        <v>148303.4</v>
      </c>
      <c r="E18" s="39">
        <f t="shared" ca="1" si="0"/>
        <v>-28223.399999999994</v>
      </c>
      <c r="F18" s="40">
        <f t="shared" ca="1" si="1"/>
        <v>-0.19030851619045819</v>
      </c>
      <c r="G18" s="41">
        <f ca="1">SUM('01-2024'!G18, '02-2024'!G18, '03-2024'!G18)</f>
        <v>176726.2</v>
      </c>
      <c r="H18" s="41">
        <f t="shared" ca="1" si="2"/>
        <v>-56646.200000000012</v>
      </c>
      <c r="I18" s="42">
        <f t="shared" ca="1" si="3"/>
        <v>-0.32053085507412032</v>
      </c>
      <c r="J18" s="22"/>
      <c r="K18" s="23"/>
    </row>
    <row r="19" spans="1:11" ht="15.75">
      <c r="A19" s="51" t="str">
        <v>Plympton A-2</v>
      </c>
      <c r="B19" s="38" t="str">
        <v>MA</v>
      </c>
      <c r="C19" s="39">
        <f ca="1">SUM('01-2024'!C19, '02-2024'!C19, '03-2024'!C19)</f>
        <v>60641</v>
      </c>
      <c r="D19" s="39">
        <f ca="1">SUM('01-2024'!D19, '02-2024'!D19, '03-2024'!D19)</f>
        <v>77649.14</v>
      </c>
      <c r="E19" s="39">
        <f t="shared" ca="1" si="0"/>
        <v>-17008.14</v>
      </c>
      <c r="F19" s="40">
        <f t="shared" ca="1" si="1"/>
        <v>-0.21903835638102365</v>
      </c>
      <c r="G19" s="41">
        <f ca="1">SUM('01-2024'!G19, '02-2024'!G19, '03-2024'!G19)</f>
        <v>98644.24</v>
      </c>
      <c r="H19" s="41">
        <f t="shared" ca="1" si="2"/>
        <v>-38003.240000000005</v>
      </c>
      <c r="I19" s="42">
        <f t="shared" ca="1" si="3"/>
        <v>-0.38525554051610111</v>
      </c>
      <c r="J19" s="19"/>
      <c r="K19" s="19"/>
    </row>
    <row r="20" spans="1:11" ht="24.75" customHeight="1">
      <c r="A20" s="192" t="s">
        <v>11</v>
      </c>
      <c r="B20" s="193"/>
      <c r="C20" s="52">
        <f ca="1">SUM(C3:C19)</f>
        <v>779580.43176222313</v>
      </c>
      <c r="D20" s="52">
        <f ca="1">SUM(D3:D19)</f>
        <v>1198899.99</v>
      </c>
      <c r="E20" s="52">
        <f ca="1">C20-D20</f>
        <v>-419319.55823777686</v>
      </c>
      <c r="F20" s="43">
        <f ca="1">IFERROR(E20/D20, 0)</f>
        <v>-0.34975357555702113</v>
      </c>
      <c r="G20" s="52">
        <f ca="1">SUM(G3:G19)</f>
        <v>1598697.0599999998</v>
      </c>
      <c r="H20" s="53">
        <f ca="1">C20-G20</f>
        <v>-819116.62823777669</v>
      </c>
      <c r="I20" s="44">
        <f ca="1">IFERROR(H20/G20, 0)</f>
        <v>-0.51236513078830381</v>
      </c>
      <c r="J20" s="9"/>
    </row>
    <row r="21" spans="1:11">
      <c r="J21" s="9"/>
    </row>
    <row r="22" spans="1:11" ht="12.75" customHeight="1">
      <c r="A22" s="194" t="s">
        <v>12</v>
      </c>
      <c r="J22" s="9"/>
    </row>
    <row r="23" spans="1:11">
      <c r="A23" s="194"/>
      <c r="J23" s="9"/>
    </row>
    <row r="24" spans="1:11">
      <c r="A24" s="195" t="s">
        <v>13</v>
      </c>
      <c r="J24" s="9"/>
    </row>
    <row r="25" spans="1:11" ht="12.75" customHeight="1">
      <c r="A25" s="195"/>
      <c r="J25" s="9"/>
    </row>
    <row r="26" spans="1:11">
      <c r="J26" s="9"/>
    </row>
  </sheetData>
  <autoFilter ref="A2:I2" xr:uid="{00000000-0001-0000-0000-000000000000}"/>
  <sortState xmlns:xlrd2="http://schemas.microsoft.com/office/spreadsheetml/2017/richdata2" ref="A3:J3">
    <sortCondition ref="A3"/>
  </sortState>
  <mergeCells count="8">
    <mergeCell ref="K1:K2"/>
    <mergeCell ref="A20:B20"/>
    <mergeCell ref="A22:A23"/>
    <mergeCell ref="A24:A25"/>
    <mergeCell ref="A1:B1"/>
    <mergeCell ref="C1:F1"/>
    <mergeCell ref="G1:I1"/>
    <mergeCell ref="J1:J2"/>
  </mergeCells>
  <conditionalFormatting sqref="F3:F20 I3:I20">
    <cfRule type="cellIs" dxfId="308" priority="1" operator="lessThanOrEqual">
      <formula>-0.1</formula>
    </cfRule>
    <cfRule type="cellIs" dxfId="307" priority="2" operator="greaterThanOrEqual">
      <formula>0.1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K26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18.85546875" style="1" customWidth="1"/>
    <col min="10" max="10" width="71.5703125" customWidth="1"/>
    <col min="11" max="11" width="19.42578125" customWidth="1"/>
  </cols>
  <sheetData>
    <row r="1" spans="1:11" ht="19.5" customHeight="1">
      <c r="A1" s="196" t="str" cm="1">
        <f t="array" ref="A1">portfolio</f>
        <v>MN8 KEF</v>
      </c>
      <c r="B1" s="197"/>
      <c r="C1" s="198" t="s">
        <v>16</v>
      </c>
      <c r="D1" s="199"/>
      <c r="E1" s="199"/>
      <c r="F1" s="200"/>
      <c r="G1" s="201" t="s">
        <v>17</v>
      </c>
      <c r="H1" s="201"/>
      <c r="I1" s="202"/>
      <c r="J1" s="190" t="s">
        <v>2</v>
      </c>
      <c r="K1" s="190" t="s">
        <v>3</v>
      </c>
    </row>
    <row r="2" spans="1:11" ht="14.25" customHeight="1">
      <c r="A2" s="47" t="s">
        <v>4</v>
      </c>
      <c r="B2" s="48" t="s">
        <v>5</v>
      </c>
      <c r="C2" s="6" t="s">
        <v>6</v>
      </c>
      <c r="D2" s="45" t="s">
        <v>7</v>
      </c>
      <c r="E2" s="6" t="s">
        <v>8</v>
      </c>
      <c r="F2" s="7" t="s">
        <v>9</v>
      </c>
      <c r="G2" s="46" t="s">
        <v>10</v>
      </c>
      <c r="H2" s="8" t="s">
        <v>8</v>
      </c>
      <c r="I2" s="10" t="s">
        <v>9</v>
      </c>
      <c r="J2" s="191"/>
      <c r="K2" s="191"/>
    </row>
    <row r="3" spans="1:11" ht="15.75">
      <c r="A3" s="49" t="str" cm="1">
        <f t="array" ref="A3:A19">Sites[Site]</f>
        <v>Williamsburg A</v>
      </c>
      <c r="B3" s="37" t="str" cm="1">
        <f t="array" ref="B3:B19">Sites[State]</f>
        <v>MA</v>
      </c>
      <c r="C3" s="39">
        <f ca="1">SUM('04-2024'!C3, '05-2024'!C3, '06-2024'!C3)</f>
        <v>0</v>
      </c>
      <c r="D3" s="39">
        <f ca="1">SUM('04-2024'!D3, '05-2024'!D3, '06-2024'!D3)</f>
        <v>0</v>
      </c>
      <c r="E3" s="39">
        <f ca="1">C3-D3</f>
        <v>0</v>
      </c>
      <c r="F3" s="40">
        <f ca="1">IFERROR(E3/D3, 0)</f>
        <v>0</v>
      </c>
      <c r="G3" s="41">
        <f ca="1">SUM('04-2024'!G3, '05-2024'!G3, '06-2024'!G3)</f>
        <v>0</v>
      </c>
      <c r="H3" s="41">
        <f ca="1">C3-G3</f>
        <v>0</v>
      </c>
      <c r="I3" s="42">
        <f ca="1">IFERROR(H3/G3, 0)</f>
        <v>0</v>
      </c>
      <c r="J3" s="19"/>
      <c r="K3" s="19"/>
    </row>
    <row r="4" spans="1:11" ht="15.75">
      <c r="A4" s="50" t="str">
        <v>Orange A KB</v>
      </c>
      <c r="B4" s="20" t="str">
        <v>MA</v>
      </c>
      <c r="C4" s="39">
        <f ca="1">SUM('04-2024'!C4, '05-2024'!C4, '06-2024'!C4)</f>
        <v>0</v>
      </c>
      <c r="D4" s="39">
        <f ca="1">SUM('04-2024'!D4, '05-2024'!D4, '06-2024'!D4)</f>
        <v>0</v>
      </c>
      <c r="E4" s="39">
        <f t="shared" ref="E4:E19" ca="1" si="0">C4-D4</f>
        <v>0</v>
      </c>
      <c r="F4" s="40">
        <f t="shared" ref="F4:F19" ca="1" si="1">IFERROR(E4/D4, 0)</f>
        <v>0</v>
      </c>
      <c r="G4" s="41">
        <f ca="1">SUM('04-2024'!G4, '05-2024'!G4, '06-2024'!G4)</f>
        <v>0</v>
      </c>
      <c r="H4" s="41">
        <f t="shared" ref="H4:H19" ca="1" si="2">C4-G4</f>
        <v>0</v>
      </c>
      <c r="I4" s="42">
        <f t="shared" ref="I4:I19" ca="1" si="3">IFERROR(H4/G4, 0)</f>
        <v>0</v>
      </c>
      <c r="J4" s="19"/>
      <c r="K4" s="19"/>
    </row>
    <row r="5" spans="1:11" ht="15.75">
      <c r="A5" s="51" t="str">
        <v>Goshen A</v>
      </c>
      <c r="B5" s="38" t="str">
        <v>MA</v>
      </c>
      <c r="C5" s="39">
        <f ca="1">SUM('04-2024'!C5, '05-2024'!C5, '06-2024'!C5)</f>
        <v>0</v>
      </c>
      <c r="D5" s="39">
        <f ca="1">SUM('04-2024'!D5, '05-2024'!D5, '06-2024'!D5)</f>
        <v>0</v>
      </c>
      <c r="E5" s="39">
        <f t="shared" ca="1" si="0"/>
        <v>0</v>
      </c>
      <c r="F5" s="40">
        <f t="shared" ca="1" si="1"/>
        <v>0</v>
      </c>
      <c r="G5" s="41">
        <f ca="1">SUM('04-2024'!G5, '05-2024'!G5, '06-2024'!G5)</f>
        <v>0</v>
      </c>
      <c r="H5" s="41">
        <f t="shared" ca="1" si="2"/>
        <v>0</v>
      </c>
      <c r="I5" s="42">
        <f t="shared" ca="1" si="3"/>
        <v>0</v>
      </c>
      <c r="J5" s="19"/>
      <c r="K5" s="19"/>
    </row>
    <row r="6" spans="1:11" ht="15.75">
      <c r="A6" s="50" t="str">
        <v>Phillipston A KB</v>
      </c>
      <c r="B6" s="20" t="str">
        <v>MA</v>
      </c>
      <c r="C6" s="39">
        <f ca="1">SUM('04-2024'!C6, '05-2024'!C6, '06-2024'!C6)</f>
        <v>0</v>
      </c>
      <c r="D6" s="39">
        <f ca="1">SUM('04-2024'!D6, '05-2024'!D6, '06-2024'!D6)</f>
        <v>0</v>
      </c>
      <c r="E6" s="39">
        <f t="shared" ca="1" si="0"/>
        <v>0</v>
      </c>
      <c r="F6" s="40">
        <f t="shared" ca="1" si="1"/>
        <v>0</v>
      </c>
      <c r="G6" s="41">
        <f ca="1">SUM('04-2024'!G6, '05-2024'!G6, '06-2024'!G6)</f>
        <v>0</v>
      </c>
      <c r="H6" s="41">
        <f t="shared" ca="1" si="2"/>
        <v>0</v>
      </c>
      <c r="I6" s="42">
        <f t="shared" ca="1" si="3"/>
        <v>0</v>
      </c>
      <c r="J6" s="19"/>
      <c r="K6" s="19"/>
    </row>
    <row r="7" spans="1:11" ht="15.75">
      <c r="A7" s="51" t="str">
        <v>Uxbridge D</v>
      </c>
      <c r="B7" s="38" t="str">
        <v>MA</v>
      </c>
      <c r="C7" s="39">
        <f ca="1">SUM('04-2024'!C7, '05-2024'!C7, '06-2024'!C7)</f>
        <v>0</v>
      </c>
      <c r="D7" s="39">
        <f ca="1">SUM('04-2024'!D7, '05-2024'!D7, '06-2024'!D7)</f>
        <v>0</v>
      </c>
      <c r="E7" s="39">
        <f t="shared" ca="1" si="0"/>
        <v>0</v>
      </c>
      <c r="F7" s="40">
        <f t="shared" ca="1" si="1"/>
        <v>0</v>
      </c>
      <c r="G7" s="41">
        <f ca="1">SUM('04-2024'!G7, '05-2024'!G7, '06-2024'!G7)</f>
        <v>0</v>
      </c>
      <c r="H7" s="41">
        <f t="shared" ca="1" si="2"/>
        <v>0</v>
      </c>
      <c r="I7" s="42">
        <f t="shared" ca="1" si="3"/>
        <v>0</v>
      </c>
      <c r="J7" s="21"/>
      <c r="K7" s="21"/>
    </row>
    <row r="8" spans="1:11" ht="15.75">
      <c r="A8" s="50" t="str">
        <v>West Bridgewater A&amp;B</v>
      </c>
      <c r="B8" s="20" t="str">
        <v>MA</v>
      </c>
      <c r="C8" s="39">
        <f ca="1">SUM('04-2024'!C8, '05-2024'!C8, '06-2024'!C8)</f>
        <v>0</v>
      </c>
      <c r="D8" s="39">
        <f ca="1">SUM('04-2024'!D8, '05-2024'!D8, '06-2024'!D8)</f>
        <v>0</v>
      </c>
      <c r="E8" s="39">
        <f t="shared" ca="1" si="0"/>
        <v>0</v>
      </c>
      <c r="F8" s="40">
        <f t="shared" ca="1" si="1"/>
        <v>0</v>
      </c>
      <c r="G8" s="41">
        <f ca="1">SUM('04-2024'!G8, '05-2024'!G8, '06-2024'!G8)</f>
        <v>0</v>
      </c>
      <c r="H8" s="41">
        <f t="shared" ca="1" si="2"/>
        <v>0</v>
      </c>
      <c r="I8" s="42">
        <f t="shared" ca="1" si="3"/>
        <v>0</v>
      </c>
      <c r="J8" s="19"/>
      <c r="K8" s="19"/>
    </row>
    <row r="9" spans="1:11" ht="15.75">
      <c r="A9" s="51" t="str">
        <v>Sutton A</v>
      </c>
      <c r="B9" s="38" t="str">
        <v>MA</v>
      </c>
      <c r="C9" s="39">
        <f ca="1">SUM('04-2024'!C9, '05-2024'!C9, '06-2024'!C9)</f>
        <v>0</v>
      </c>
      <c r="D9" s="39">
        <f ca="1">SUM('04-2024'!D9, '05-2024'!D9, '06-2024'!D9)</f>
        <v>0</v>
      </c>
      <c r="E9" s="39">
        <f t="shared" ca="1" si="0"/>
        <v>0</v>
      </c>
      <c r="F9" s="40">
        <f t="shared" ca="1" si="1"/>
        <v>0</v>
      </c>
      <c r="G9" s="41">
        <f ca="1">SUM('04-2024'!G9, '05-2024'!G9, '06-2024'!G9)</f>
        <v>0</v>
      </c>
      <c r="H9" s="41">
        <f t="shared" ca="1" si="2"/>
        <v>0</v>
      </c>
      <c r="I9" s="42">
        <f t="shared" ca="1" si="3"/>
        <v>0</v>
      </c>
      <c r="J9" s="22"/>
      <c r="K9" s="23"/>
    </row>
    <row r="10" spans="1:11" ht="15.75">
      <c r="A10" s="50" t="str">
        <v>North Adams A</v>
      </c>
      <c r="B10" s="20" t="str">
        <v>MA</v>
      </c>
      <c r="C10" s="39">
        <f ca="1">SUM('04-2024'!C10, '05-2024'!C10, '06-2024'!C10)</f>
        <v>0</v>
      </c>
      <c r="D10" s="39">
        <f ca="1">SUM('04-2024'!D10, '05-2024'!D10, '06-2024'!D10)</f>
        <v>0</v>
      </c>
      <c r="E10" s="39">
        <f t="shared" ca="1" si="0"/>
        <v>0</v>
      </c>
      <c r="F10" s="40">
        <f t="shared" ca="1" si="1"/>
        <v>0</v>
      </c>
      <c r="G10" s="41">
        <f ca="1">SUM('04-2024'!G10, '05-2024'!G10, '06-2024'!G10)</f>
        <v>0</v>
      </c>
      <c r="H10" s="41">
        <f t="shared" ca="1" si="2"/>
        <v>0</v>
      </c>
      <c r="I10" s="42">
        <f t="shared" ca="1" si="3"/>
        <v>0</v>
      </c>
      <c r="J10" s="19"/>
      <c r="K10" s="19"/>
    </row>
    <row r="11" spans="1:11" ht="15.75">
      <c r="A11" s="51" t="str">
        <v>North Adams B</v>
      </c>
      <c r="B11" s="38" t="str">
        <v>MA</v>
      </c>
      <c r="C11" s="39">
        <f ca="1">SUM('04-2024'!C11, '05-2024'!C11, '06-2024'!C11)</f>
        <v>0</v>
      </c>
      <c r="D11" s="39">
        <f ca="1">SUM('04-2024'!D11, '05-2024'!D11, '06-2024'!D11)</f>
        <v>0</v>
      </c>
      <c r="E11" s="39">
        <f t="shared" ca="1" si="0"/>
        <v>0</v>
      </c>
      <c r="F11" s="40">
        <f t="shared" ca="1" si="1"/>
        <v>0</v>
      </c>
      <c r="G11" s="41">
        <f ca="1">SUM('04-2024'!G11, '05-2024'!G11, '06-2024'!G11)</f>
        <v>0</v>
      </c>
      <c r="H11" s="41">
        <f t="shared" ca="1" si="2"/>
        <v>0</v>
      </c>
      <c r="I11" s="42">
        <f t="shared" ca="1" si="3"/>
        <v>0</v>
      </c>
      <c r="J11" s="19"/>
      <c r="K11" s="19"/>
    </row>
    <row r="12" spans="1:11" ht="15.75">
      <c r="A12" s="50" t="str">
        <v>Clarksburg A</v>
      </c>
      <c r="B12" s="20" t="str">
        <v>MA</v>
      </c>
      <c r="C12" s="39">
        <f ca="1">SUM('04-2024'!C12, '05-2024'!C12, '06-2024'!C12)</f>
        <v>0</v>
      </c>
      <c r="D12" s="39">
        <f ca="1">SUM('04-2024'!D12, '05-2024'!D12, '06-2024'!D12)</f>
        <v>0</v>
      </c>
      <c r="E12" s="39">
        <f t="shared" ca="1" si="0"/>
        <v>0</v>
      </c>
      <c r="F12" s="40">
        <f t="shared" ca="1" si="1"/>
        <v>0</v>
      </c>
      <c r="G12" s="41">
        <f ca="1">SUM('04-2024'!G12, '05-2024'!G12, '06-2024'!G12)</f>
        <v>0</v>
      </c>
      <c r="H12" s="41">
        <f t="shared" ca="1" si="2"/>
        <v>0</v>
      </c>
      <c r="I12" s="42">
        <f t="shared" ca="1" si="3"/>
        <v>0</v>
      </c>
      <c r="J12" s="21"/>
      <c r="K12" s="21"/>
    </row>
    <row r="13" spans="1:11" ht="15.75">
      <c r="A13" s="51" t="str">
        <v>Swansea B</v>
      </c>
      <c r="B13" s="38" t="str">
        <v>MA</v>
      </c>
      <c r="C13" s="39">
        <f ca="1">SUM('04-2024'!C13, '05-2024'!C13, '06-2024'!C13)</f>
        <v>0</v>
      </c>
      <c r="D13" s="39">
        <f ca="1">SUM('04-2024'!D13, '05-2024'!D13, '06-2024'!D13)</f>
        <v>0</v>
      </c>
      <c r="E13" s="39">
        <f t="shared" ca="1" si="0"/>
        <v>0</v>
      </c>
      <c r="F13" s="40">
        <f t="shared" ca="1" si="1"/>
        <v>0</v>
      </c>
      <c r="G13" s="41">
        <f ca="1">SUM('04-2024'!G13, '05-2024'!G13, '06-2024'!G13)</f>
        <v>0</v>
      </c>
      <c r="H13" s="41">
        <f t="shared" ca="1" si="2"/>
        <v>0</v>
      </c>
      <c r="I13" s="42">
        <f t="shared" ca="1" si="3"/>
        <v>0</v>
      </c>
      <c r="J13" s="19"/>
      <c r="K13" s="19"/>
    </row>
    <row r="14" spans="1:11" ht="15.75">
      <c r="A14" s="73" t="str">
        <v>Wareham 2</v>
      </c>
      <c r="B14" s="74" t="str">
        <v>MA</v>
      </c>
      <c r="C14" s="39">
        <f ca="1">SUM('04-2024'!C14, '05-2024'!C14, '06-2024'!C14)</f>
        <v>0</v>
      </c>
      <c r="D14" s="39">
        <f ca="1">SUM('04-2024'!D14, '05-2024'!D14, '06-2024'!D14)</f>
        <v>0</v>
      </c>
      <c r="E14" s="39">
        <f t="shared" ref="E14:E17" ca="1" si="4">C14-D14</f>
        <v>0</v>
      </c>
      <c r="F14" s="40">
        <f t="shared" ca="1" si="1"/>
        <v>0</v>
      </c>
      <c r="G14" s="41">
        <f ca="1">SUM('04-2024'!G14, '05-2024'!G14, '06-2024'!G14)</f>
        <v>0</v>
      </c>
      <c r="H14" s="41">
        <f t="shared" ca="1" si="2"/>
        <v>0</v>
      </c>
      <c r="I14" s="42">
        <f t="shared" ca="1" si="3"/>
        <v>0</v>
      </c>
      <c r="J14" s="19"/>
      <c r="K14" s="19"/>
    </row>
    <row r="15" spans="1:11" ht="15.75">
      <c r="A15" s="51" t="str">
        <v>Kingston 1 KB</v>
      </c>
      <c r="B15" s="38" t="str">
        <v>MA</v>
      </c>
      <c r="C15" s="39">
        <f ca="1">SUM('04-2024'!C15, '05-2024'!C15, '06-2024'!C15)</f>
        <v>0</v>
      </c>
      <c r="D15" s="39">
        <f ca="1">SUM('04-2024'!D15, '05-2024'!D15, '06-2024'!D15)</f>
        <v>0</v>
      </c>
      <c r="E15" s="39">
        <f t="shared" ca="1" si="4"/>
        <v>0</v>
      </c>
      <c r="F15" s="40">
        <f t="shared" ca="1" si="1"/>
        <v>0</v>
      </c>
      <c r="G15" s="41">
        <f ca="1">SUM('04-2024'!G15, '05-2024'!G15, '06-2024'!G15)</f>
        <v>0</v>
      </c>
      <c r="H15" s="41">
        <f t="shared" ca="1" si="2"/>
        <v>0</v>
      </c>
      <c r="I15" s="42">
        <f t="shared" ca="1" si="3"/>
        <v>0</v>
      </c>
      <c r="J15" s="19"/>
      <c r="K15" s="19"/>
    </row>
    <row r="16" spans="1:11" ht="15.75">
      <c r="A16" s="73" t="str">
        <v>Kingston 2 KB</v>
      </c>
      <c r="B16" s="74" t="str">
        <v>MA</v>
      </c>
      <c r="C16" s="39">
        <f ca="1">SUM('04-2024'!C16, '05-2024'!C16, '06-2024'!C16)</f>
        <v>0</v>
      </c>
      <c r="D16" s="39">
        <f ca="1">SUM('04-2024'!D16, '05-2024'!D16, '06-2024'!D16)</f>
        <v>0</v>
      </c>
      <c r="E16" s="39">
        <f t="shared" ca="1" si="4"/>
        <v>0</v>
      </c>
      <c r="F16" s="40">
        <f t="shared" ca="1" si="1"/>
        <v>0</v>
      </c>
      <c r="G16" s="41">
        <f ca="1">SUM('04-2024'!G16, '05-2024'!G16, '06-2024'!G16)</f>
        <v>0</v>
      </c>
      <c r="H16" s="41">
        <f t="shared" ca="1" si="2"/>
        <v>0</v>
      </c>
      <c r="I16" s="42">
        <f t="shared" ca="1" si="3"/>
        <v>0</v>
      </c>
      <c r="J16" s="19"/>
      <c r="K16" s="19"/>
    </row>
    <row r="17" spans="1:11" ht="15.75">
      <c r="A17" s="51" t="str">
        <v>Holliston B</v>
      </c>
      <c r="B17" s="38" t="str">
        <v>MA</v>
      </c>
      <c r="C17" s="39">
        <f ca="1">SUM('04-2024'!C17, '05-2024'!C17, '06-2024'!C17)</f>
        <v>0</v>
      </c>
      <c r="D17" s="39">
        <f ca="1">SUM('04-2024'!D17, '05-2024'!D17, '06-2024'!D17)</f>
        <v>0</v>
      </c>
      <c r="E17" s="39">
        <f t="shared" ca="1" si="4"/>
        <v>0</v>
      </c>
      <c r="F17" s="40">
        <f t="shared" ca="1" si="1"/>
        <v>0</v>
      </c>
      <c r="G17" s="41">
        <f ca="1">SUM('04-2024'!G17, '05-2024'!G17, '06-2024'!G17)</f>
        <v>0</v>
      </c>
      <c r="H17" s="41">
        <f t="shared" ca="1" si="2"/>
        <v>0</v>
      </c>
      <c r="I17" s="42">
        <f t="shared" ca="1" si="3"/>
        <v>0</v>
      </c>
      <c r="J17" s="19"/>
      <c r="K17" s="19"/>
    </row>
    <row r="18" spans="1:11" ht="15.75">
      <c r="A18" s="50" t="str">
        <v>Fairhaven C</v>
      </c>
      <c r="B18" s="20" t="str">
        <v>MA</v>
      </c>
      <c r="C18" s="39">
        <f ca="1">SUM('04-2024'!C18, '05-2024'!C18, '06-2024'!C18)</f>
        <v>0</v>
      </c>
      <c r="D18" s="39">
        <f ca="1">SUM('04-2024'!D18, '05-2024'!D18, '06-2024'!D18)</f>
        <v>0</v>
      </c>
      <c r="E18" s="39">
        <f t="shared" ca="1" si="0"/>
        <v>0</v>
      </c>
      <c r="F18" s="40">
        <f t="shared" ca="1" si="1"/>
        <v>0</v>
      </c>
      <c r="G18" s="41">
        <f ca="1">SUM('04-2024'!G18, '05-2024'!G18, '06-2024'!G18)</f>
        <v>0</v>
      </c>
      <c r="H18" s="41">
        <f t="shared" ca="1" si="2"/>
        <v>0</v>
      </c>
      <c r="I18" s="42">
        <f t="shared" ca="1" si="3"/>
        <v>0</v>
      </c>
      <c r="J18" s="22"/>
      <c r="K18" s="23"/>
    </row>
    <row r="19" spans="1:11" ht="15.75">
      <c r="A19" s="51" t="str">
        <v>Plympton A-2</v>
      </c>
      <c r="B19" s="38" t="str">
        <v>MA</v>
      </c>
      <c r="C19" s="39">
        <f ca="1">SUM('04-2024'!C19, '05-2024'!C19, '06-2024'!C19)</f>
        <v>0</v>
      </c>
      <c r="D19" s="39">
        <f ca="1">SUM('04-2024'!D19, '05-2024'!D19, '06-2024'!D19)</f>
        <v>0</v>
      </c>
      <c r="E19" s="39">
        <f t="shared" ca="1" si="0"/>
        <v>0</v>
      </c>
      <c r="F19" s="40">
        <f t="shared" ca="1" si="1"/>
        <v>0</v>
      </c>
      <c r="G19" s="41">
        <f ca="1">SUM('04-2024'!G19, '05-2024'!G19, '06-2024'!G19)</f>
        <v>0</v>
      </c>
      <c r="H19" s="41">
        <f t="shared" ca="1" si="2"/>
        <v>0</v>
      </c>
      <c r="I19" s="42">
        <f t="shared" ca="1" si="3"/>
        <v>0</v>
      </c>
      <c r="J19" s="19"/>
      <c r="K19" s="19"/>
    </row>
    <row r="20" spans="1:11" ht="24.75" customHeight="1">
      <c r="A20" s="192" t="s">
        <v>11</v>
      </c>
      <c r="B20" s="193"/>
      <c r="C20" s="52">
        <f ca="1">SUM(C3:C19)</f>
        <v>0</v>
      </c>
      <c r="D20" s="52">
        <f ca="1">SUM(D3:D19)</f>
        <v>0</v>
      </c>
      <c r="E20" s="52">
        <f ca="1">C20-D20</f>
        <v>0</v>
      </c>
      <c r="F20" s="43">
        <f ca="1">IFERROR(E20/D20, 0)</f>
        <v>0</v>
      </c>
      <c r="G20" s="52">
        <f ca="1">SUM(G3:G19)</f>
        <v>0</v>
      </c>
      <c r="H20" s="53">
        <f ca="1">C20-G20</f>
        <v>0</v>
      </c>
      <c r="I20" s="44">
        <f ca="1">IFERROR(H20/G20, 0)</f>
        <v>0</v>
      </c>
      <c r="J20" s="9"/>
    </row>
    <row r="21" spans="1:11">
      <c r="J21" s="9"/>
    </row>
    <row r="22" spans="1:11" ht="12.75" customHeight="1">
      <c r="A22" s="194" t="s">
        <v>12</v>
      </c>
      <c r="J22" s="9"/>
    </row>
    <row r="23" spans="1:11">
      <c r="A23" s="194"/>
      <c r="J23" s="9"/>
    </row>
    <row r="24" spans="1:11">
      <c r="A24" s="195" t="s">
        <v>13</v>
      </c>
      <c r="J24" s="9"/>
    </row>
    <row r="25" spans="1:11" ht="12.75" customHeight="1">
      <c r="A25" s="195"/>
      <c r="J25" s="9"/>
    </row>
    <row r="26" spans="1:11">
      <c r="J26" s="9"/>
    </row>
  </sheetData>
  <autoFilter ref="A2:I2" xr:uid="{38E74E64-E3A4-43F8-9B1A-78F26543F23E}"/>
  <sortState xmlns:xlrd2="http://schemas.microsoft.com/office/spreadsheetml/2017/richdata2" ref="A3:J4">
    <sortCondition ref="A3:A4"/>
  </sortState>
  <mergeCells count="8">
    <mergeCell ref="K1:K2"/>
    <mergeCell ref="A20:B20"/>
    <mergeCell ref="A22:A23"/>
    <mergeCell ref="A24:A25"/>
    <mergeCell ref="A1:B1"/>
    <mergeCell ref="C1:F1"/>
    <mergeCell ref="G1:I1"/>
    <mergeCell ref="J1:J2"/>
  </mergeCells>
  <conditionalFormatting sqref="F3:F20 I3:I20">
    <cfRule type="cellIs" dxfId="306" priority="1" operator="lessThanOrEqual">
      <formula>-0.1</formula>
    </cfRule>
    <cfRule type="cellIs" dxfId="30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K25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96" t="str" cm="1">
        <f t="array" ref="A1">portfolio</f>
        <v>MN8 KEF</v>
      </c>
      <c r="B1" s="197"/>
      <c r="C1" s="198" t="s">
        <v>18</v>
      </c>
      <c r="D1" s="199"/>
      <c r="E1" s="199"/>
      <c r="F1" s="200"/>
      <c r="G1" s="201" t="s">
        <v>19</v>
      </c>
      <c r="H1" s="201"/>
      <c r="I1" s="202"/>
      <c r="J1" s="190" t="s">
        <v>2</v>
      </c>
      <c r="K1" s="190" t="s">
        <v>3</v>
      </c>
    </row>
    <row r="2" spans="1:11" ht="14.25" customHeight="1">
      <c r="A2" s="47" t="s">
        <v>4</v>
      </c>
      <c r="B2" s="48" t="s">
        <v>5</v>
      </c>
      <c r="C2" s="6" t="s">
        <v>6</v>
      </c>
      <c r="D2" s="45" t="s">
        <v>7</v>
      </c>
      <c r="E2" s="6" t="s">
        <v>8</v>
      </c>
      <c r="F2" s="7" t="s">
        <v>9</v>
      </c>
      <c r="G2" s="46" t="s">
        <v>10</v>
      </c>
      <c r="H2" s="8" t="s">
        <v>8</v>
      </c>
      <c r="I2" s="10" t="s">
        <v>9</v>
      </c>
      <c r="J2" s="191"/>
      <c r="K2" s="191"/>
    </row>
    <row r="3" spans="1:11" ht="15.75">
      <c r="A3" s="49" t="str" cm="1">
        <f t="array" ref="A3:A19">Sites[Site]</f>
        <v>Williamsburg A</v>
      </c>
      <c r="B3" s="37" t="str" cm="1">
        <f t="array" ref="B3:B19">Sites[State]</f>
        <v>MA</v>
      </c>
      <c r="C3" s="39">
        <f ca="1">SUM('07-2024'!C3, '08-2024'!C3, '09-2024'!C3)</f>
        <v>0</v>
      </c>
      <c r="D3" s="39">
        <f ca="1">SUM('07-2024'!D3, '08-2024'!D3, '09-2024'!D3)</f>
        <v>0</v>
      </c>
      <c r="E3" s="39">
        <f ca="1">C3-D3</f>
        <v>0</v>
      </c>
      <c r="F3" s="40">
        <f ca="1">IFERROR(E3/D3, 0)</f>
        <v>0</v>
      </c>
      <c r="G3" s="41">
        <f ca="1">SUM('07-2024'!G3, '08-2024'!G3, '09-2024'!G3)</f>
        <v>0</v>
      </c>
      <c r="H3" s="41">
        <f ca="1">C3-G3</f>
        <v>0</v>
      </c>
      <c r="I3" s="42">
        <f ca="1">IFERROR(H3/G3, 0)</f>
        <v>0</v>
      </c>
      <c r="J3" s="19"/>
      <c r="K3" s="19"/>
    </row>
    <row r="4" spans="1:11" ht="15.75">
      <c r="A4" s="50" t="str">
        <v>Orange A KB</v>
      </c>
      <c r="B4" s="20" t="str">
        <v>MA</v>
      </c>
      <c r="C4" s="39">
        <f ca="1">SUM('07-2024'!C4, '08-2024'!C4, '09-2024'!C4)</f>
        <v>0</v>
      </c>
      <c r="D4" s="39">
        <f ca="1">SUM('07-2024'!D4, '08-2024'!D4, '09-2024'!D4)</f>
        <v>0</v>
      </c>
      <c r="E4" s="39">
        <f t="shared" ref="E4:E19" ca="1" si="0">C4-D4</f>
        <v>0</v>
      </c>
      <c r="F4" s="40">
        <f t="shared" ref="F4:F19" ca="1" si="1">IFERROR(E4/D4, 0)</f>
        <v>0</v>
      </c>
      <c r="G4" s="41">
        <f ca="1">SUM('07-2024'!G4, '08-2024'!G4, '09-2024'!G4)</f>
        <v>0</v>
      </c>
      <c r="H4" s="41">
        <f t="shared" ref="H4:H19" ca="1" si="2">C4-G4</f>
        <v>0</v>
      </c>
      <c r="I4" s="42">
        <f t="shared" ref="I4:I19" ca="1" si="3">IFERROR(H4/G4, 0)</f>
        <v>0</v>
      </c>
      <c r="J4" s="19"/>
      <c r="K4" s="19"/>
    </row>
    <row r="5" spans="1:11" ht="15.75">
      <c r="A5" s="51" t="str">
        <v>Goshen A</v>
      </c>
      <c r="B5" s="38" t="str">
        <v>MA</v>
      </c>
      <c r="C5" s="39">
        <f ca="1">SUM('07-2024'!C5, '08-2024'!C5, '09-2024'!C5)</f>
        <v>0</v>
      </c>
      <c r="D5" s="39">
        <f ca="1">SUM('07-2024'!D5, '08-2024'!D5, '09-2024'!D5)</f>
        <v>0</v>
      </c>
      <c r="E5" s="39">
        <f t="shared" ca="1" si="0"/>
        <v>0</v>
      </c>
      <c r="F5" s="40">
        <f t="shared" ca="1" si="1"/>
        <v>0</v>
      </c>
      <c r="G5" s="41">
        <f ca="1">SUM('07-2024'!G5, '08-2024'!G5, '09-2024'!G5)</f>
        <v>0</v>
      </c>
      <c r="H5" s="41">
        <f t="shared" ca="1" si="2"/>
        <v>0</v>
      </c>
      <c r="I5" s="42">
        <f t="shared" ca="1" si="3"/>
        <v>0</v>
      </c>
      <c r="J5" s="19"/>
      <c r="K5" s="19"/>
    </row>
    <row r="6" spans="1:11" ht="15.75">
      <c r="A6" s="50" t="str">
        <v>Phillipston A KB</v>
      </c>
      <c r="B6" s="20" t="str">
        <v>MA</v>
      </c>
      <c r="C6" s="39">
        <f ca="1">SUM('07-2024'!C6, '08-2024'!C6, '09-2024'!C6)</f>
        <v>0</v>
      </c>
      <c r="D6" s="39">
        <f ca="1">SUM('07-2024'!D6, '08-2024'!D6, '09-2024'!D6)</f>
        <v>0</v>
      </c>
      <c r="E6" s="39">
        <f t="shared" ca="1" si="0"/>
        <v>0</v>
      </c>
      <c r="F6" s="40">
        <f t="shared" ca="1" si="1"/>
        <v>0</v>
      </c>
      <c r="G6" s="41">
        <f ca="1">SUM('07-2024'!G6, '08-2024'!G6, '09-2024'!G6)</f>
        <v>0</v>
      </c>
      <c r="H6" s="41">
        <f t="shared" ca="1" si="2"/>
        <v>0</v>
      </c>
      <c r="I6" s="42">
        <f t="shared" ca="1" si="3"/>
        <v>0</v>
      </c>
      <c r="J6" s="19"/>
      <c r="K6" s="19"/>
    </row>
    <row r="7" spans="1:11" ht="15.75">
      <c r="A7" s="51" t="str">
        <v>Uxbridge D</v>
      </c>
      <c r="B7" s="38" t="str">
        <v>MA</v>
      </c>
      <c r="C7" s="39">
        <f ca="1">SUM('07-2024'!C7, '08-2024'!C7, '09-2024'!C7)</f>
        <v>0</v>
      </c>
      <c r="D7" s="39">
        <f ca="1">SUM('07-2024'!D7, '08-2024'!D7, '09-2024'!D7)</f>
        <v>0</v>
      </c>
      <c r="E7" s="39">
        <f t="shared" ca="1" si="0"/>
        <v>0</v>
      </c>
      <c r="F7" s="40">
        <f t="shared" ca="1" si="1"/>
        <v>0</v>
      </c>
      <c r="G7" s="41">
        <f ca="1">SUM('07-2024'!G7, '08-2024'!G7, '09-2024'!G7)</f>
        <v>0</v>
      </c>
      <c r="H7" s="41">
        <f t="shared" ca="1" si="2"/>
        <v>0</v>
      </c>
      <c r="I7" s="42">
        <f t="shared" ca="1" si="3"/>
        <v>0</v>
      </c>
      <c r="J7" s="21"/>
      <c r="K7" s="21"/>
    </row>
    <row r="8" spans="1:11" ht="15.75">
      <c r="A8" s="50" t="str">
        <v>West Bridgewater A&amp;B</v>
      </c>
      <c r="B8" s="20" t="str">
        <v>MA</v>
      </c>
      <c r="C8" s="39">
        <f ca="1">SUM('07-2024'!C8, '08-2024'!C8, '09-2024'!C8)</f>
        <v>0</v>
      </c>
      <c r="D8" s="39">
        <f ca="1">SUM('07-2024'!D8, '08-2024'!D8, '09-2024'!D8)</f>
        <v>0</v>
      </c>
      <c r="E8" s="39">
        <f t="shared" ca="1" si="0"/>
        <v>0</v>
      </c>
      <c r="F8" s="40">
        <f t="shared" ca="1" si="1"/>
        <v>0</v>
      </c>
      <c r="G8" s="41">
        <f ca="1">SUM('07-2024'!G8, '08-2024'!G8, '09-2024'!G8)</f>
        <v>0</v>
      </c>
      <c r="H8" s="41">
        <f t="shared" ca="1" si="2"/>
        <v>0</v>
      </c>
      <c r="I8" s="42">
        <f t="shared" ca="1" si="3"/>
        <v>0</v>
      </c>
      <c r="J8" s="19"/>
      <c r="K8" s="19"/>
    </row>
    <row r="9" spans="1:11" ht="15.75">
      <c r="A9" s="51" t="str">
        <v>Sutton A</v>
      </c>
      <c r="B9" s="38" t="str">
        <v>MA</v>
      </c>
      <c r="C9" s="39">
        <f ca="1">SUM('07-2024'!C9, '08-2024'!C9, '09-2024'!C9)</f>
        <v>0</v>
      </c>
      <c r="D9" s="39">
        <f ca="1">SUM('07-2024'!D9, '08-2024'!D9, '09-2024'!D9)</f>
        <v>0</v>
      </c>
      <c r="E9" s="39">
        <f t="shared" ca="1" si="0"/>
        <v>0</v>
      </c>
      <c r="F9" s="40">
        <f t="shared" ca="1" si="1"/>
        <v>0</v>
      </c>
      <c r="G9" s="41">
        <f ca="1">SUM('07-2024'!G9, '08-2024'!G9, '09-2024'!G9)</f>
        <v>0</v>
      </c>
      <c r="H9" s="41">
        <f t="shared" ca="1" si="2"/>
        <v>0</v>
      </c>
      <c r="I9" s="42">
        <f t="shared" ca="1" si="3"/>
        <v>0</v>
      </c>
      <c r="J9" s="22"/>
      <c r="K9" s="23"/>
    </row>
    <row r="10" spans="1:11" ht="15.75">
      <c r="A10" s="50" t="str">
        <v>North Adams A</v>
      </c>
      <c r="B10" s="20" t="str">
        <v>MA</v>
      </c>
      <c r="C10" s="39">
        <f ca="1">SUM('07-2024'!C10, '08-2024'!C10, '09-2024'!C10)</f>
        <v>0</v>
      </c>
      <c r="D10" s="39">
        <f ca="1">SUM('07-2024'!D10, '08-2024'!D10, '09-2024'!D10)</f>
        <v>0</v>
      </c>
      <c r="E10" s="39">
        <f t="shared" ca="1" si="0"/>
        <v>0</v>
      </c>
      <c r="F10" s="40">
        <f t="shared" ca="1" si="1"/>
        <v>0</v>
      </c>
      <c r="G10" s="41">
        <f ca="1">SUM('07-2024'!G10, '08-2024'!G10, '09-2024'!G10)</f>
        <v>0</v>
      </c>
      <c r="H10" s="41">
        <f t="shared" ca="1" si="2"/>
        <v>0</v>
      </c>
      <c r="I10" s="42">
        <f t="shared" ca="1" si="3"/>
        <v>0</v>
      </c>
      <c r="J10" s="19"/>
      <c r="K10" s="19"/>
    </row>
    <row r="11" spans="1:11" ht="15.75">
      <c r="A11" s="51" t="str">
        <v>North Adams B</v>
      </c>
      <c r="B11" s="38" t="str">
        <v>MA</v>
      </c>
      <c r="C11" s="39">
        <f ca="1">SUM('07-2024'!C11, '08-2024'!C11, '09-2024'!C11)</f>
        <v>0</v>
      </c>
      <c r="D11" s="39">
        <f ca="1">SUM('07-2024'!D11, '08-2024'!D11, '09-2024'!D11)</f>
        <v>0</v>
      </c>
      <c r="E11" s="39">
        <f t="shared" ca="1" si="0"/>
        <v>0</v>
      </c>
      <c r="F11" s="40">
        <f t="shared" ca="1" si="1"/>
        <v>0</v>
      </c>
      <c r="G11" s="41">
        <f ca="1">SUM('07-2024'!G11, '08-2024'!G11, '09-2024'!G11)</f>
        <v>0</v>
      </c>
      <c r="H11" s="41">
        <f t="shared" ca="1" si="2"/>
        <v>0</v>
      </c>
      <c r="I11" s="42">
        <f t="shared" ca="1" si="3"/>
        <v>0</v>
      </c>
      <c r="J11" s="19"/>
      <c r="K11" s="19"/>
    </row>
    <row r="12" spans="1:11" ht="15.75">
      <c r="A12" s="50" t="str">
        <v>Clarksburg A</v>
      </c>
      <c r="B12" s="20" t="str">
        <v>MA</v>
      </c>
      <c r="C12" s="39">
        <f ca="1">SUM('07-2024'!C12, '08-2024'!C12, '09-2024'!C12)</f>
        <v>0</v>
      </c>
      <c r="D12" s="39">
        <f ca="1">SUM('07-2024'!D12, '08-2024'!D12, '09-2024'!D12)</f>
        <v>0</v>
      </c>
      <c r="E12" s="39">
        <f t="shared" ca="1" si="0"/>
        <v>0</v>
      </c>
      <c r="F12" s="40">
        <f t="shared" ca="1" si="1"/>
        <v>0</v>
      </c>
      <c r="G12" s="41">
        <f ca="1">SUM('07-2024'!G12, '08-2024'!G12, '09-2024'!G12)</f>
        <v>0</v>
      </c>
      <c r="H12" s="41">
        <f t="shared" ca="1" si="2"/>
        <v>0</v>
      </c>
      <c r="I12" s="42">
        <f t="shared" ca="1" si="3"/>
        <v>0</v>
      </c>
      <c r="J12" s="21"/>
      <c r="K12" s="21"/>
    </row>
    <row r="13" spans="1:11" ht="15.75">
      <c r="A13" s="51" t="str">
        <v>Swansea B</v>
      </c>
      <c r="B13" s="38" t="str">
        <v>MA</v>
      </c>
      <c r="C13" s="39">
        <f ca="1">SUM('07-2024'!C13, '08-2024'!C13, '09-2024'!C13)</f>
        <v>0</v>
      </c>
      <c r="D13" s="39">
        <f ca="1">SUM('07-2024'!D13, '08-2024'!D13, '09-2024'!D13)</f>
        <v>0</v>
      </c>
      <c r="E13" s="39">
        <f t="shared" ca="1" si="0"/>
        <v>0</v>
      </c>
      <c r="F13" s="40">
        <f t="shared" ca="1" si="1"/>
        <v>0</v>
      </c>
      <c r="G13" s="41">
        <f ca="1">SUM('07-2024'!G13, '08-2024'!G13, '09-2024'!G13)</f>
        <v>0</v>
      </c>
      <c r="H13" s="41">
        <f t="shared" ca="1" si="2"/>
        <v>0</v>
      </c>
      <c r="I13" s="42">
        <f t="shared" ca="1" si="3"/>
        <v>0</v>
      </c>
      <c r="J13" s="19"/>
      <c r="K13" s="19"/>
    </row>
    <row r="14" spans="1:11" ht="15.75">
      <c r="A14" s="73" t="str">
        <v>Wareham 2</v>
      </c>
      <c r="B14" s="74" t="str">
        <v>MA</v>
      </c>
      <c r="C14" s="39">
        <f ca="1">SUM('07-2024'!C14, '08-2024'!C14, '09-2024'!C14)</f>
        <v>0</v>
      </c>
      <c r="D14" s="39">
        <f ca="1">SUM('07-2024'!D14, '08-2024'!D14, '09-2024'!D14)</f>
        <v>0</v>
      </c>
      <c r="E14" s="39">
        <f t="shared" ref="E14:E17" ca="1" si="4">C14-D14</f>
        <v>0</v>
      </c>
      <c r="F14" s="40">
        <f t="shared" ca="1" si="1"/>
        <v>0</v>
      </c>
      <c r="G14" s="41">
        <f ca="1">SUM('07-2024'!G14, '08-2024'!G14, '09-2024'!G14)</f>
        <v>0</v>
      </c>
      <c r="H14" s="41">
        <f t="shared" ca="1" si="2"/>
        <v>0</v>
      </c>
      <c r="I14" s="42">
        <f t="shared" ca="1" si="3"/>
        <v>0</v>
      </c>
      <c r="J14" s="19"/>
      <c r="K14" s="19"/>
    </row>
    <row r="15" spans="1:11" ht="15.75">
      <c r="A15" s="51" t="str">
        <v>Kingston 1 KB</v>
      </c>
      <c r="B15" s="38" t="str">
        <v>MA</v>
      </c>
      <c r="C15" s="39">
        <f ca="1">SUM('07-2024'!C15, '08-2024'!C15, '09-2024'!C15)</f>
        <v>0</v>
      </c>
      <c r="D15" s="39">
        <f ca="1">SUM('07-2024'!D15, '08-2024'!D15, '09-2024'!D15)</f>
        <v>0</v>
      </c>
      <c r="E15" s="39">
        <f t="shared" ca="1" si="4"/>
        <v>0</v>
      </c>
      <c r="F15" s="40">
        <f t="shared" ca="1" si="1"/>
        <v>0</v>
      </c>
      <c r="G15" s="41">
        <f ca="1">SUM('07-2024'!G15, '08-2024'!G15, '09-2024'!G15)</f>
        <v>0</v>
      </c>
      <c r="H15" s="41">
        <f t="shared" ca="1" si="2"/>
        <v>0</v>
      </c>
      <c r="I15" s="42">
        <f t="shared" ca="1" si="3"/>
        <v>0</v>
      </c>
      <c r="J15" s="19"/>
      <c r="K15" s="19"/>
    </row>
    <row r="16" spans="1:11" ht="15.75">
      <c r="A16" s="73" t="str">
        <v>Kingston 2 KB</v>
      </c>
      <c r="B16" s="74" t="str">
        <v>MA</v>
      </c>
      <c r="C16" s="39">
        <f ca="1">SUM('07-2024'!C16, '08-2024'!C16, '09-2024'!C16)</f>
        <v>0</v>
      </c>
      <c r="D16" s="39">
        <f ca="1">SUM('07-2024'!D16, '08-2024'!D16, '09-2024'!D16)</f>
        <v>0</v>
      </c>
      <c r="E16" s="39">
        <f t="shared" ca="1" si="4"/>
        <v>0</v>
      </c>
      <c r="F16" s="40">
        <f t="shared" ca="1" si="1"/>
        <v>0</v>
      </c>
      <c r="G16" s="41">
        <f ca="1">SUM('07-2024'!G16, '08-2024'!G16, '09-2024'!G16)</f>
        <v>0</v>
      </c>
      <c r="H16" s="41">
        <f t="shared" ca="1" si="2"/>
        <v>0</v>
      </c>
      <c r="I16" s="42">
        <f t="shared" ca="1" si="3"/>
        <v>0</v>
      </c>
      <c r="J16" s="19"/>
      <c r="K16" s="19"/>
    </row>
    <row r="17" spans="1:11" ht="15.75">
      <c r="A17" s="51" t="str">
        <v>Holliston B</v>
      </c>
      <c r="B17" s="38" t="str">
        <v>MA</v>
      </c>
      <c r="C17" s="39">
        <f ca="1">SUM('07-2024'!C17, '08-2024'!C17, '09-2024'!C17)</f>
        <v>0</v>
      </c>
      <c r="D17" s="39">
        <f ca="1">SUM('07-2024'!D17, '08-2024'!D17, '09-2024'!D17)</f>
        <v>0</v>
      </c>
      <c r="E17" s="39">
        <f t="shared" ca="1" si="4"/>
        <v>0</v>
      </c>
      <c r="F17" s="40">
        <f t="shared" ca="1" si="1"/>
        <v>0</v>
      </c>
      <c r="G17" s="41">
        <f ca="1">SUM('07-2024'!G17, '08-2024'!G17, '09-2024'!G17)</f>
        <v>0</v>
      </c>
      <c r="H17" s="41">
        <f t="shared" ca="1" si="2"/>
        <v>0</v>
      </c>
      <c r="I17" s="42">
        <f t="shared" ca="1" si="3"/>
        <v>0</v>
      </c>
      <c r="J17" s="19"/>
      <c r="K17" s="19"/>
    </row>
    <row r="18" spans="1:11" ht="15.75">
      <c r="A18" s="50" t="str">
        <v>Fairhaven C</v>
      </c>
      <c r="B18" s="20" t="str">
        <v>MA</v>
      </c>
      <c r="C18" s="39">
        <f ca="1">SUM('07-2024'!C18, '08-2024'!C18, '09-2024'!C18)</f>
        <v>0</v>
      </c>
      <c r="D18" s="39">
        <f ca="1">SUM('07-2024'!D18, '08-2024'!D18, '09-2024'!D18)</f>
        <v>0</v>
      </c>
      <c r="E18" s="39">
        <f t="shared" ca="1" si="0"/>
        <v>0</v>
      </c>
      <c r="F18" s="40">
        <f t="shared" ca="1" si="1"/>
        <v>0</v>
      </c>
      <c r="G18" s="41">
        <f ca="1">SUM('07-2024'!G18, '08-2024'!G18, '09-2024'!G18)</f>
        <v>0</v>
      </c>
      <c r="H18" s="41">
        <f t="shared" ca="1" si="2"/>
        <v>0</v>
      </c>
      <c r="I18" s="42">
        <f t="shared" ca="1" si="3"/>
        <v>0</v>
      </c>
      <c r="J18" s="22"/>
      <c r="K18" s="23"/>
    </row>
    <row r="19" spans="1:11" ht="15.75">
      <c r="A19" s="51" t="str">
        <v>Plympton A-2</v>
      </c>
      <c r="B19" s="38" t="str">
        <v>MA</v>
      </c>
      <c r="C19" s="39">
        <f ca="1">SUM('07-2024'!C19, '08-2024'!C19, '09-2024'!C19)</f>
        <v>0</v>
      </c>
      <c r="D19" s="39">
        <f ca="1">SUM('07-2024'!D19, '08-2024'!D19, '09-2024'!D19)</f>
        <v>0</v>
      </c>
      <c r="E19" s="39">
        <f t="shared" ca="1" si="0"/>
        <v>0</v>
      </c>
      <c r="F19" s="40">
        <f t="shared" ca="1" si="1"/>
        <v>0</v>
      </c>
      <c r="G19" s="41">
        <f ca="1">SUM('07-2024'!G19, '08-2024'!G19, '09-2024'!G19)</f>
        <v>0</v>
      </c>
      <c r="H19" s="41">
        <f t="shared" ca="1" si="2"/>
        <v>0</v>
      </c>
      <c r="I19" s="42">
        <f t="shared" ca="1" si="3"/>
        <v>0</v>
      </c>
      <c r="J19" s="19"/>
      <c r="K19" s="19"/>
    </row>
    <row r="20" spans="1:11" ht="24.75" customHeight="1">
      <c r="A20" s="192" t="s">
        <v>11</v>
      </c>
      <c r="B20" s="193"/>
      <c r="C20" s="52">
        <f ca="1">SUM(C3:C19)</f>
        <v>0</v>
      </c>
      <c r="D20" s="52">
        <f ca="1">SUM(D3:D19)</f>
        <v>0</v>
      </c>
      <c r="E20" s="52">
        <f ca="1">C20-D20</f>
        <v>0</v>
      </c>
      <c r="F20" s="43">
        <f ca="1">IFERROR(E20/D20, 0)</f>
        <v>0</v>
      </c>
      <c r="G20" s="52">
        <f ca="1">SUM(G3:G19)</f>
        <v>0</v>
      </c>
      <c r="H20" s="53">
        <f ca="1">C20-G20</f>
        <v>0</v>
      </c>
      <c r="I20" s="44">
        <f ca="1">IFERROR(H20/G20, 0)</f>
        <v>0</v>
      </c>
      <c r="J20" s="9"/>
    </row>
    <row r="21" spans="1:11">
      <c r="J21" s="9"/>
    </row>
    <row r="22" spans="1:11" ht="12.75" customHeight="1">
      <c r="A22" s="194" t="s">
        <v>12</v>
      </c>
      <c r="J22" s="9"/>
    </row>
    <row r="23" spans="1:11">
      <c r="A23" s="194"/>
      <c r="J23" s="9"/>
    </row>
    <row r="24" spans="1:11" ht="12.75" customHeight="1">
      <c r="A24" s="195" t="s">
        <v>13</v>
      </c>
      <c r="J24" s="9"/>
    </row>
    <row r="25" spans="1:11">
      <c r="A25" s="195"/>
      <c r="J25" s="9"/>
    </row>
  </sheetData>
  <autoFilter ref="A2:I2" xr:uid="{CACFAF7D-C0A7-49C0-9FFC-8D8BC8F00BC8}"/>
  <mergeCells count="8">
    <mergeCell ref="K1:K2"/>
    <mergeCell ref="A20:B20"/>
    <mergeCell ref="A22:A23"/>
    <mergeCell ref="A24:A25"/>
    <mergeCell ref="A1:B1"/>
    <mergeCell ref="C1:F1"/>
    <mergeCell ref="G1:I1"/>
    <mergeCell ref="J1:J2"/>
  </mergeCells>
  <conditionalFormatting sqref="F3:F20 I3:I20">
    <cfRule type="cellIs" dxfId="304" priority="1" operator="lessThanOrEqual">
      <formula>-0.1</formula>
    </cfRule>
    <cfRule type="cellIs" dxfId="30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K26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96" t="str" cm="1">
        <f t="array" ref="A1">portfolio</f>
        <v>MN8 KEF</v>
      </c>
      <c r="B1" s="197"/>
      <c r="C1" s="198" t="s">
        <v>20</v>
      </c>
      <c r="D1" s="199"/>
      <c r="E1" s="199"/>
      <c r="F1" s="200"/>
      <c r="G1" s="201" t="s">
        <v>21</v>
      </c>
      <c r="H1" s="201"/>
      <c r="I1" s="202"/>
      <c r="J1" s="190" t="s">
        <v>2</v>
      </c>
      <c r="K1" s="190" t="s">
        <v>3</v>
      </c>
    </row>
    <row r="2" spans="1:11" ht="14.25" customHeight="1">
      <c r="A2" s="47" t="s">
        <v>4</v>
      </c>
      <c r="B2" s="48" t="s">
        <v>5</v>
      </c>
      <c r="C2" s="6" t="s">
        <v>6</v>
      </c>
      <c r="D2" s="45" t="s">
        <v>7</v>
      </c>
      <c r="E2" s="6" t="s">
        <v>8</v>
      </c>
      <c r="F2" s="7" t="s">
        <v>9</v>
      </c>
      <c r="G2" s="46" t="s">
        <v>10</v>
      </c>
      <c r="H2" s="8" t="s">
        <v>8</v>
      </c>
      <c r="I2" s="10" t="s">
        <v>9</v>
      </c>
      <c r="J2" s="191"/>
      <c r="K2" s="191"/>
    </row>
    <row r="3" spans="1:11" ht="15.75">
      <c r="A3" s="49" t="str" cm="1">
        <f t="array" ref="A3:A19">Sites[Site]</f>
        <v>Williamsburg A</v>
      </c>
      <c r="B3" s="37" t="str" cm="1">
        <f t="array" ref="B3:B19">Sites[State]</f>
        <v>MA</v>
      </c>
      <c r="C3" s="39">
        <f ca="1">SUM('10-2024'!C3, '11-2024'!C3, '12-2024'!C3)</f>
        <v>0</v>
      </c>
      <c r="D3" s="39">
        <f ca="1">SUM('10-2024'!D3, '11-2024'!D3, '12-2024'!D3)</f>
        <v>0</v>
      </c>
      <c r="E3" s="39">
        <f ca="1">C3-D3</f>
        <v>0</v>
      </c>
      <c r="F3" s="40">
        <f ca="1">IFERROR(E3/D3, 0)</f>
        <v>0</v>
      </c>
      <c r="G3" s="41">
        <f ca="1">SUM('10-2024'!G3, '11-2024'!G3, '12-2024'!G3)</f>
        <v>0</v>
      </c>
      <c r="H3" s="41">
        <f ca="1">C3-G3</f>
        <v>0</v>
      </c>
      <c r="I3" s="42">
        <f ca="1">IFERROR(H3/G3, 0)</f>
        <v>0</v>
      </c>
      <c r="J3" s="19"/>
      <c r="K3" s="19"/>
    </row>
    <row r="4" spans="1:11" ht="15.75">
      <c r="A4" s="50" t="str">
        <v>Orange A KB</v>
      </c>
      <c r="B4" s="20" t="str">
        <v>MA</v>
      </c>
      <c r="C4" s="39">
        <f ca="1">SUM('10-2024'!C4, '11-2024'!C4, '12-2024'!C4)</f>
        <v>0</v>
      </c>
      <c r="D4" s="39">
        <f ca="1">SUM('10-2024'!D4, '11-2024'!D4, '12-2024'!D4)</f>
        <v>0</v>
      </c>
      <c r="E4" s="39">
        <f t="shared" ref="E4:E19" ca="1" si="0">C4-D4</f>
        <v>0</v>
      </c>
      <c r="F4" s="40">
        <f t="shared" ref="F4:F19" ca="1" si="1">IFERROR(E4/D4, 0)</f>
        <v>0</v>
      </c>
      <c r="G4" s="41">
        <f ca="1">SUM('10-2024'!G4, '11-2024'!G4, '12-2024'!G4)</f>
        <v>0</v>
      </c>
      <c r="H4" s="41">
        <f t="shared" ref="H4:H19" ca="1" si="2">C4-G4</f>
        <v>0</v>
      </c>
      <c r="I4" s="42">
        <f t="shared" ref="I4:I19" ca="1" si="3">IFERROR(H4/G4, 0)</f>
        <v>0</v>
      </c>
      <c r="J4" s="19"/>
      <c r="K4" s="19"/>
    </row>
    <row r="5" spans="1:11" ht="15.75">
      <c r="A5" s="51" t="str">
        <v>Goshen A</v>
      </c>
      <c r="B5" s="38" t="str">
        <v>MA</v>
      </c>
      <c r="C5" s="39">
        <f ca="1">SUM('10-2024'!C5, '11-2024'!C5, '12-2024'!C5)</f>
        <v>0</v>
      </c>
      <c r="D5" s="39">
        <f ca="1">SUM('10-2024'!D5, '11-2024'!D5, '12-2024'!D5)</f>
        <v>0</v>
      </c>
      <c r="E5" s="39">
        <f t="shared" ca="1" si="0"/>
        <v>0</v>
      </c>
      <c r="F5" s="40">
        <f t="shared" ca="1" si="1"/>
        <v>0</v>
      </c>
      <c r="G5" s="41">
        <f ca="1">SUM('10-2024'!G5, '11-2024'!G5, '12-2024'!G5)</f>
        <v>0</v>
      </c>
      <c r="H5" s="41">
        <f t="shared" ca="1" si="2"/>
        <v>0</v>
      </c>
      <c r="I5" s="42">
        <f t="shared" ca="1" si="3"/>
        <v>0</v>
      </c>
      <c r="J5" s="19"/>
      <c r="K5" s="19"/>
    </row>
    <row r="6" spans="1:11" ht="15.75">
      <c r="A6" s="50" t="str">
        <v>Phillipston A KB</v>
      </c>
      <c r="B6" s="20" t="str">
        <v>MA</v>
      </c>
      <c r="C6" s="39">
        <f ca="1">SUM('10-2024'!C6, '11-2024'!C6, '12-2024'!C6)</f>
        <v>0</v>
      </c>
      <c r="D6" s="39">
        <f ca="1">SUM('10-2024'!D6, '11-2024'!D6, '12-2024'!D6)</f>
        <v>0</v>
      </c>
      <c r="E6" s="39">
        <f t="shared" ca="1" si="0"/>
        <v>0</v>
      </c>
      <c r="F6" s="40">
        <f t="shared" ca="1" si="1"/>
        <v>0</v>
      </c>
      <c r="G6" s="41">
        <f ca="1">SUM('10-2024'!G6, '11-2024'!G6, '12-2024'!G6)</f>
        <v>0</v>
      </c>
      <c r="H6" s="41">
        <f t="shared" ca="1" si="2"/>
        <v>0</v>
      </c>
      <c r="I6" s="42">
        <f t="shared" ca="1" si="3"/>
        <v>0</v>
      </c>
      <c r="J6" s="19"/>
      <c r="K6" s="19"/>
    </row>
    <row r="7" spans="1:11" ht="15.75">
      <c r="A7" s="51" t="str">
        <v>Uxbridge D</v>
      </c>
      <c r="B7" s="38" t="str">
        <v>MA</v>
      </c>
      <c r="C7" s="39">
        <f ca="1">SUM('10-2024'!C7, '11-2024'!C7, '12-2024'!C7)</f>
        <v>0</v>
      </c>
      <c r="D7" s="39">
        <f ca="1">SUM('10-2024'!D7, '11-2024'!D7, '12-2024'!D7)</f>
        <v>0</v>
      </c>
      <c r="E7" s="39">
        <f t="shared" ca="1" si="0"/>
        <v>0</v>
      </c>
      <c r="F7" s="40">
        <f t="shared" ca="1" si="1"/>
        <v>0</v>
      </c>
      <c r="G7" s="41">
        <f ca="1">SUM('10-2024'!G7, '11-2024'!G7, '12-2024'!G7)</f>
        <v>0</v>
      </c>
      <c r="H7" s="41">
        <f t="shared" ca="1" si="2"/>
        <v>0</v>
      </c>
      <c r="I7" s="42">
        <f t="shared" ca="1" si="3"/>
        <v>0</v>
      </c>
      <c r="J7" s="21"/>
      <c r="K7" s="21"/>
    </row>
    <row r="8" spans="1:11" ht="15.75">
      <c r="A8" s="50" t="str">
        <v>West Bridgewater A&amp;B</v>
      </c>
      <c r="B8" s="20" t="str">
        <v>MA</v>
      </c>
      <c r="C8" s="39">
        <f ca="1">SUM('10-2024'!C8, '11-2024'!C8, '12-2024'!C8)</f>
        <v>0</v>
      </c>
      <c r="D8" s="39">
        <f ca="1">SUM('10-2024'!D8, '11-2024'!D8, '12-2024'!D8)</f>
        <v>0</v>
      </c>
      <c r="E8" s="39">
        <f t="shared" ca="1" si="0"/>
        <v>0</v>
      </c>
      <c r="F8" s="40">
        <f t="shared" ca="1" si="1"/>
        <v>0</v>
      </c>
      <c r="G8" s="41">
        <f ca="1">SUM('10-2024'!G8, '11-2024'!G8, '12-2024'!G8)</f>
        <v>0</v>
      </c>
      <c r="H8" s="41">
        <f t="shared" ca="1" si="2"/>
        <v>0</v>
      </c>
      <c r="I8" s="42">
        <f t="shared" ca="1" si="3"/>
        <v>0</v>
      </c>
      <c r="J8" s="19"/>
      <c r="K8" s="19"/>
    </row>
    <row r="9" spans="1:11" ht="15.75">
      <c r="A9" s="51" t="str">
        <v>Sutton A</v>
      </c>
      <c r="B9" s="38" t="str">
        <v>MA</v>
      </c>
      <c r="C9" s="39">
        <f ca="1">SUM('10-2024'!C9, '11-2024'!C9, '12-2024'!C9)</f>
        <v>0</v>
      </c>
      <c r="D9" s="39">
        <f ca="1">SUM('10-2024'!D9, '11-2024'!D9, '12-2024'!D9)</f>
        <v>0</v>
      </c>
      <c r="E9" s="39">
        <f t="shared" ca="1" si="0"/>
        <v>0</v>
      </c>
      <c r="F9" s="40">
        <f t="shared" ca="1" si="1"/>
        <v>0</v>
      </c>
      <c r="G9" s="41">
        <f ca="1">SUM('10-2024'!G9, '11-2024'!G9, '12-2024'!G9)</f>
        <v>0</v>
      </c>
      <c r="H9" s="41">
        <f t="shared" ca="1" si="2"/>
        <v>0</v>
      </c>
      <c r="I9" s="42">
        <f t="shared" ca="1" si="3"/>
        <v>0</v>
      </c>
      <c r="J9" s="22"/>
      <c r="K9" s="23"/>
    </row>
    <row r="10" spans="1:11" ht="15.75">
      <c r="A10" s="50" t="str">
        <v>North Adams A</v>
      </c>
      <c r="B10" s="20" t="str">
        <v>MA</v>
      </c>
      <c r="C10" s="39">
        <f ca="1">SUM('10-2024'!C10, '11-2024'!C10, '12-2024'!C10)</f>
        <v>0</v>
      </c>
      <c r="D10" s="39">
        <f ca="1">SUM('10-2024'!D10, '11-2024'!D10, '12-2024'!D10)</f>
        <v>0</v>
      </c>
      <c r="E10" s="39">
        <f t="shared" ca="1" si="0"/>
        <v>0</v>
      </c>
      <c r="F10" s="40">
        <f t="shared" ca="1" si="1"/>
        <v>0</v>
      </c>
      <c r="G10" s="41">
        <f ca="1">SUM('10-2024'!G10, '11-2024'!G10, '12-2024'!G10)</f>
        <v>0</v>
      </c>
      <c r="H10" s="41">
        <f t="shared" ca="1" si="2"/>
        <v>0</v>
      </c>
      <c r="I10" s="42">
        <f t="shared" ca="1" si="3"/>
        <v>0</v>
      </c>
      <c r="J10" s="19"/>
      <c r="K10" s="19"/>
    </row>
    <row r="11" spans="1:11" ht="15.75">
      <c r="A11" s="51" t="str">
        <v>North Adams B</v>
      </c>
      <c r="B11" s="38" t="str">
        <v>MA</v>
      </c>
      <c r="C11" s="39">
        <f ca="1">SUM('10-2024'!C11, '11-2024'!C11, '12-2024'!C11)</f>
        <v>0</v>
      </c>
      <c r="D11" s="39">
        <f ca="1">SUM('10-2024'!D11, '11-2024'!D11, '12-2024'!D11)</f>
        <v>0</v>
      </c>
      <c r="E11" s="39">
        <f t="shared" ca="1" si="0"/>
        <v>0</v>
      </c>
      <c r="F11" s="40">
        <f t="shared" ca="1" si="1"/>
        <v>0</v>
      </c>
      <c r="G11" s="41">
        <f ca="1">SUM('10-2024'!G11, '11-2024'!G11, '12-2024'!G11)</f>
        <v>0</v>
      </c>
      <c r="H11" s="41">
        <f t="shared" ca="1" si="2"/>
        <v>0</v>
      </c>
      <c r="I11" s="42">
        <f t="shared" ca="1" si="3"/>
        <v>0</v>
      </c>
      <c r="J11" s="19"/>
      <c r="K11" s="19"/>
    </row>
    <row r="12" spans="1:11" ht="15.75">
      <c r="A12" s="50" t="str">
        <v>Clarksburg A</v>
      </c>
      <c r="B12" s="20" t="str">
        <v>MA</v>
      </c>
      <c r="C12" s="39">
        <f ca="1">SUM('10-2024'!C12, '11-2024'!C12, '12-2024'!C12)</f>
        <v>0</v>
      </c>
      <c r="D12" s="39">
        <f ca="1">SUM('10-2024'!D12, '11-2024'!D12, '12-2024'!D12)</f>
        <v>0</v>
      </c>
      <c r="E12" s="39">
        <f t="shared" ca="1" si="0"/>
        <v>0</v>
      </c>
      <c r="F12" s="40">
        <f t="shared" ca="1" si="1"/>
        <v>0</v>
      </c>
      <c r="G12" s="41">
        <f ca="1">SUM('10-2024'!G12, '11-2024'!G12, '12-2024'!G12)</f>
        <v>0</v>
      </c>
      <c r="H12" s="41">
        <f t="shared" ca="1" si="2"/>
        <v>0</v>
      </c>
      <c r="I12" s="42">
        <f t="shared" ca="1" si="3"/>
        <v>0</v>
      </c>
      <c r="J12" s="21"/>
      <c r="K12" s="21"/>
    </row>
    <row r="13" spans="1:11" ht="15.75">
      <c r="A13" s="51" t="str">
        <v>Swansea B</v>
      </c>
      <c r="B13" s="38" t="str">
        <v>MA</v>
      </c>
      <c r="C13" s="39">
        <f ca="1">SUM('10-2024'!C13, '11-2024'!C13, '12-2024'!C13)</f>
        <v>0</v>
      </c>
      <c r="D13" s="39">
        <f ca="1">SUM('10-2024'!D13, '11-2024'!D13, '12-2024'!D13)</f>
        <v>0</v>
      </c>
      <c r="E13" s="39">
        <f t="shared" ca="1" si="0"/>
        <v>0</v>
      </c>
      <c r="F13" s="40">
        <f t="shared" ca="1" si="1"/>
        <v>0</v>
      </c>
      <c r="G13" s="41">
        <f ca="1">SUM('10-2024'!G13, '11-2024'!G13, '12-2024'!G13)</f>
        <v>0</v>
      </c>
      <c r="H13" s="41">
        <f t="shared" ca="1" si="2"/>
        <v>0</v>
      </c>
      <c r="I13" s="42">
        <f t="shared" ca="1" si="3"/>
        <v>0</v>
      </c>
      <c r="J13" s="19"/>
      <c r="K13" s="19"/>
    </row>
    <row r="14" spans="1:11" ht="15.75">
      <c r="A14" s="73" t="str">
        <v>Wareham 2</v>
      </c>
      <c r="B14" s="74" t="str">
        <v>MA</v>
      </c>
      <c r="C14" s="39">
        <f ca="1">SUM('10-2024'!C14, '11-2024'!C14, '12-2024'!C14)</f>
        <v>0</v>
      </c>
      <c r="D14" s="39">
        <f ca="1">SUM('10-2024'!D14, '11-2024'!D14, '12-2024'!D14)</f>
        <v>0</v>
      </c>
      <c r="E14" s="39">
        <f t="shared" ca="1" si="0"/>
        <v>0</v>
      </c>
      <c r="F14" s="40">
        <f t="shared" ca="1" si="1"/>
        <v>0</v>
      </c>
      <c r="G14" s="41">
        <f ca="1">SUM('10-2024'!G14, '11-2024'!G14, '12-2024'!G14)</f>
        <v>0</v>
      </c>
      <c r="H14" s="41">
        <f t="shared" ca="1" si="2"/>
        <v>0</v>
      </c>
      <c r="I14" s="42">
        <f t="shared" ca="1" si="3"/>
        <v>0</v>
      </c>
      <c r="J14" s="19"/>
      <c r="K14" s="19"/>
    </row>
    <row r="15" spans="1:11" ht="15.75">
      <c r="A15" s="51" t="str">
        <v>Kingston 1 KB</v>
      </c>
      <c r="B15" s="38" t="str">
        <v>MA</v>
      </c>
      <c r="C15" s="39">
        <f ca="1">SUM('10-2024'!C15, '11-2024'!C15, '12-2024'!C15)</f>
        <v>0</v>
      </c>
      <c r="D15" s="39">
        <f ca="1">SUM('10-2024'!D15, '11-2024'!D15, '12-2024'!D15)</f>
        <v>0</v>
      </c>
      <c r="E15" s="39">
        <f t="shared" ca="1" si="0"/>
        <v>0</v>
      </c>
      <c r="F15" s="40">
        <f t="shared" ca="1" si="1"/>
        <v>0</v>
      </c>
      <c r="G15" s="41">
        <f ca="1">SUM('10-2024'!G15, '11-2024'!G15, '12-2024'!G15)</f>
        <v>0</v>
      </c>
      <c r="H15" s="41">
        <f t="shared" ca="1" si="2"/>
        <v>0</v>
      </c>
      <c r="I15" s="42">
        <f t="shared" ca="1" si="3"/>
        <v>0</v>
      </c>
      <c r="J15" s="19"/>
      <c r="K15" s="19"/>
    </row>
    <row r="16" spans="1:11" ht="15.75">
      <c r="A16" s="73" t="str">
        <v>Kingston 2 KB</v>
      </c>
      <c r="B16" s="74" t="str">
        <v>MA</v>
      </c>
      <c r="C16" s="39">
        <f ca="1">SUM('10-2024'!C16, '11-2024'!C16, '12-2024'!C16)</f>
        <v>0</v>
      </c>
      <c r="D16" s="39">
        <f ca="1">SUM('10-2024'!D16, '11-2024'!D16, '12-2024'!D16)</f>
        <v>0</v>
      </c>
      <c r="E16" s="39">
        <f t="shared" ca="1" si="0"/>
        <v>0</v>
      </c>
      <c r="F16" s="40">
        <f t="shared" ca="1" si="1"/>
        <v>0</v>
      </c>
      <c r="G16" s="41">
        <f ca="1">SUM('10-2024'!G16, '11-2024'!G16, '12-2024'!G16)</f>
        <v>0</v>
      </c>
      <c r="H16" s="41">
        <f t="shared" ca="1" si="2"/>
        <v>0</v>
      </c>
      <c r="I16" s="42">
        <f t="shared" ca="1" si="3"/>
        <v>0</v>
      </c>
      <c r="J16" s="19"/>
      <c r="K16" s="19"/>
    </row>
    <row r="17" spans="1:11" ht="15.75">
      <c r="A17" s="51" t="str">
        <v>Holliston B</v>
      </c>
      <c r="B17" s="38" t="str">
        <v>MA</v>
      </c>
      <c r="C17" s="39">
        <f ca="1">SUM('10-2024'!C17, '11-2024'!C17, '12-2024'!C17)</f>
        <v>0</v>
      </c>
      <c r="D17" s="39">
        <f ca="1">SUM('10-2024'!D17, '11-2024'!D17, '12-2024'!D17)</f>
        <v>0</v>
      </c>
      <c r="E17" s="39">
        <f t="shared" ca="1" si="0"/>
        <v>0</v>
      </c>
      <c r="F17" s="40">
        <f t="shared" ca="1" si="1"/>
        <v>0</v>
      </c>
      <c r="G17" s="41">
        <f ca="1">SUM('10-2024'!G17, '11-2024'!G17, '12-2024'!G17)</f>
        <v>0</v>
      </c>
      <c r="H17" s="41">
        <f t="shared" ca="1" si="2"/>
        <v>0</v>
      </c>
      <c r="I17" s="42">
        <f t="shared" ca="1" si="3"/>
        <v>0</v>
      </c>
      <c r="J17" s="19"/>
      <c r="K17" s="19"/>
    </row>
    <row r="18" spans="1:11" ht="15.75">
      <c r="A18" s="50" t="str">
        <v>Fairhaven C</v>
      </c>
      <c r="B18" s="20" t="str">
        <v>MA</v>
      </c>
      <c r="C18" s="39">
        <f ca="1">SUM('10-2024'!C18, '11-2024'!C18, '12-2024'!C18)</f>
        <v>0</v>
      </c>
      <c r="D18" s="39">
        <f ca="1">SUM('10-2024'!D18, '11-2024'!D18, '12-2024'!D18)</f>
        <v>0</v>
      </c>
      <c r="E18" s="39">
        <f t="shared" ca="1" si="0"/>
        <v>0</v>
      </c>
      <c r="F18" s="40">
        <f t="shared" ca="1" si="1"/>
        <v>0</v>
      </c>
      <c r="G18" s="41">
        <f ca="1">SUM('10-2024'!G18, '11-2024'!G18, '12-2024'!G18)</f>
        <v>0</v>
      </c>
      <c r="H18" s="41">
        <f t="shared" ca="1" si="2"/>
        <v>0</v>
      </c>
      <c r="I18" s="42">
        <f t="shared" ca="1" si="3"/>
        <v>0</v>
      </c>
      <c r="J18" s="22"/>
      <c r="K18" s="23"/>
    </row>
    <row r="19" spans="1:11" ht="15.75">
      <c r="A19" s="51" t="str">
        <v>Plympton A-2</v>
      </c>
      <c r="B19" s="38" t="str">
        <v>MA</v>
      </c>
      <c r="C19" s="39">
        <f ca="1">SUM('10-2024'!C19, '11-2024'!C19, '12-2024'!C19)</f>
        <v>0</v>
      </c>
      <c r="D19" s="39">
        <f ca="1">SUM('10-2024'!D19, '11-2024'!D19, '12-2024'!D19)</f>
        <v>0</v>
      </c>
      <c r="E19" s="39">
        <f t="shared" ca="1" si="0"/>
        <v>0</v>
      </c>
      <c r="F19" s="40">
        <f t="shared" ca="1" si="1"/>
        <v>0</v>
      </c>
      <c r="G19" s="41">
        <f ca="1">SUM('10-2024'!G19, '11-2024'!G19, '12-2024'!G19)</f>
        <v>0</v>
      </c>
      <c r="H19" s="41">
        <f t="shared" ca="1" si="2"/>
        <v>0</v>
      </c>
      <c r="I19" s="42">
        <f t="shared" ca="1" si="3"/>
        <v>0</v>
      </c>
      <c r="J19" s="19"/>
      <c r="K19" s="19"/>
    </row>
    <row r="20" spans="1:11" ht="24.75" customHeight="1">
      <c r="A20" s="192" t="s">
        <v>11</v>
      </c>
      <c r="B20" s="193"/>
      <c r="C20" s="52">
        <f ca="1">SUM(C3:C19)</f>
        <v>0</v>
      </c>
      <c r="D20" s="52">
        <f ca="1">SUM(D3:D19)</f>
        <v>0</v>
      </c>
      <c r="E20" s="52">
        <f ca="1">C20-D20</f>
        <v>0</v>
      </c>
      <c r="F20" s="43">
        <f ca="1">IFERROR(E20/D20, 0)</f>
        <v>0</v>
      </c>
      <c r="G20" s="52">
        <f ca="1">SUM(G3:G19)</f>
        <v>0</v>
      </c>
      <c r="H20" s="53">
        <f ca="1">C20-G20</f>
        <v>0</v>
      </c>
      <c r="I20" s="44">
        <f ca="1">IFERROR(H20/G20, 0)</f>
        <v>0</v>
      </c>
      <c r="J20" s="9"/>
    </row>
    <row r="21" spans="1:11">
      <c r="J21" s="9"/>
    </row>
    <row r="22" spans="1:11" ht="12.75" customHeight="1">
      <c r="A22" s="194" t="s">
        <v>12</v>
      </c>
      <c r="J22" s="9"/>
    </row>
    <row r="23" spans="1:11">
      <c r="A23" s="194"/>
      <c r="J23" s="9"/>
    </row>
    <row r="24" spans="1:11">
      <c r="A24" s="195" t="s">
        <v>13</v>
      </c>
      <c r="J24" s="9"/>
    </row>
    <row r="25" spans="1:11" ht="12.75" customHeight="1">
      <c r="A25" s="195"/>
      <c r="J25" s="9"/>
    </row>
    <row r="26" spans="1:11">
      <c r="J26" s="9"/>
    </row>
  </sheetData>
  <autoFilter ref="A2:I2" xr:uid="{CE62352A-0CAA-4862-87B6-A6A1C7531211}"/>
  <mergeCells count="8">
    <mergeCell ref="K1:K2"/>
    <mergeCell ref="A20:B20"/>
    <mergeCell ref="A22:A23"/>
    <mergeCell ref="A24:A25"/>
    <mergeCell ref="A1:B1"/>
    <mergeCell ref="C1:F1"/>
    <mergeCell ref="G1:I1"/>
    <mergeCell ref="J1:J2"/>
  </mergeCells>
  <conditionalFormatting sqref="F3:F20 I3:I20">
    <cfRule type="cellIs" dxfId="302" priority="1" operator="lessThanOrEqual">
      <formula>-0.1</formula>
    </cfRule>
    <cfRule type="cellIs" dxfId="30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2DDA-D4B4-4F79-9A5D-D43AD85A6C79}">
  <sheetPr codeName="Sheet6">
    <pageSetUpPr fitToPage="1"/>
  </sheetPr>
  <dimension ref="A1:K26"/>
  <sheetViews>
    <sheetView workbookViewId="0">
      <pane ySplit="2" topLeftCell="A3" activePane="bottomLeft" state="frozen"/>
      <selection pane="bottomLeft" activeCell="G25" sqref="G25"/>
      <selection activeCell="C1" sqref="C1:I1"/>
    </sheetView>
  </sheetViews>
  <sheetFormatPr defaultColWidth="8.85546875" defaultRowHeight="12.75" customHeight="1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49.85546875" bestFit="1" customWidth="1"/>
    <col min="11" max="11" width="27.42578125" bestFit="1" customWidth="1"/>
    <col min="12" max="12" width="8.85546875" bestFit="1" customWidth="1"/>
  </cols>
  <sheetData>
    <row r="1" spans="1:11" ht="19.5" customHeight="1">
      <c r="A1" s="196" t="str" cm="1">
        <f t="array" ref="A1">portfolio</f>
        <v>MN8 KEF</v>
      </c>
      <c r="B1" s="197"/>
      <c r="C1" s="198" t="s">
        <v>22</v>
      </c>
      <c r="D1" s="199"/>
      <c r="E1" s="199"/>
      <c r="F1" s="200"/>
      <c r="G1" s="201" t="s">
        <v>23</v>
      </c>
      <c r="H1" s="201"/>
      <c r="I1" s="202"/>
      <c r="J1" s="190" t="s">
        <v>2</v>
      </c>
      <c r="K1" s="190" t="s">
        <v>3</v>
      </c>
    </row>
    <row r="2" spans="1:11" ht="14.25" customHeight="1" thickBot="1">
      <c r="A2" s="55" t="s">
        <v>4</v>
      </c>
      <c r="B2" s="56" t="s">
        <v>5</v>
      </c>
      <c r="C2" s="57" t="s">
        <v>6</v>
      </c>
      <c r="D2" s="58" t="s">
        <v>7</v>
      </c>
      <c r="E2" s="57" t="s">
        <v>8</v>
      </c>
      <c r="F2" s="59" t="s">
        <v>9</v>
      </c>
      <c r="G2" s="60" t="s">
        <v>10</v>
      </c>
      <c r="H2" s="61" t="s">
        <v>8</v>
      </c>
      <c r="I2" s="62" t="s">
        <v>9</v>
      </c>
      <c r="J2" s="191"/>
      <c r="K2" s="191"/>
    </row>
    <row r="3" spans="1:11" ht="15.75">
      <c r="A3" s="51" t="str" cm="1">
        <f t="array" ref="A3:A19">Sites[Site]</f>
        <v>Williamsburg A</v>
      </c>
      <c r="B3" s="38" t="str" cm="1">
        <f t="array" ref="B3:B19">Sites[State]</f>
        <v>MA</v>
      </c>
      <c r="C3" s="69" cm="1">
        <f t="array" aca="1" ref="C3:K3" ca="1">IF(INDIRECT("'" &amp; $A3 &amp; "'!B5:J5")="", "", INDIRECT("'" &amp; $A3 &amp; "'!B5:J5"))</f>
        <v>34976.740458011598</v>
      </c>
      <c r="D3" s="69">
        <f ca="1"/>
        <v>63711.839999999997</v>
      </c>
      <c r="E3" s="69">
        <f ca="1"/>
        <v>-28735.099541988398</v>
      </c>
      <c r="F3" s="70">
        <f ca="1"/>
        <v>-0.45101663273244658</v>
      </c>
      <c r="G3" s="71">
        <f ca="1"/>
        <v>96254.79</v>
      </c>
      <c r="H3" s="71">
        <f ca="1"/>
        <v>-61278.049541988396</v>
      </c>
      <c r="I3" s="72">
        <f ca="1"/>
        <v>-0.63662337782866074</v>
      </c>
      <c r="J3" s="92" t="str">
        <f ca="1"/>
        <v/>
      </c>
      <c r="K3" s="23" t="str">
        <f ca="1"/>
        <v/>
      </c>
    </row>
    <row r="4" spans="1:11" ht="15.75">
      <c r="A4" s="50" t="str">
        <v>Orange A KB</v>
      </c>
      <c r="B4" s="20" t="str">
        <v>MA</v>
      </c>
      <c r="C4" s="69" cm="1">
        <f t="array" aca="1" ref="C4:K4" ca="1">IF(INDIRECT("'" &amp; $A4 &amp; "'!B5:J5")="", "", INDIRECT("'" &amp; $A4 &amp; "'!B5:J5"))</f>
        <v>36812.441304211497</v>
      </c>
      <c r="D4" s="69">
        <f ca="1"/>
        <v>50249.95</v>
      </c>
      <c r="E4" s="69">
        <f ca="1"/>
        <v>-13437.5086957885</v>
      </c>
      <c r="F4" s="70">
        <f ca="1"/>
        <v>-0.26741337445686014</v>
      </c>
      <c r="G4" s="71">
        <f ca="1"/>
        <v>78902.03</v>
      </c>
      <c r="H4" s="71">
        <f ca="1"/>
        <v>-42089.588695788501</v>
      </c>
      <c r="I4" s="72">
        <f ca="1"/>
        <v>-0.53344113827981998</v>
      </c>
      <c r="J4" s="92" t="str">
        <f ca="1"/>
        <v>1. Site tripped offline on 01/13 multiple times early in the morningand auto-closed shortly after</v>
      </c>
      <c r="K4" s="23" t="str">
        <f ca="1"/>
        <v>1. SR080185</v>
      </c>
    </row>
    <row r="5" spans="1:11" ht="57">
      <c r="A5" s="51" t="str">
        <v>Goshen A</v>
      </c>
      <c r="B5" s="38" t="str">
        <v>MA</v>
      </c>
      <c r="C5" s="69" cm="1">
        <f t="array" aca="1" ref="C5:K5" ca="1">IF(INDIRECT("'" &amp; $A5 &amp; "'!B5:J5")="", "", INDIRECT("'" &amp; $A5 &amp; "'!B5:J5"))</f>
        <v>25506</v>
      </c>
      <c r="D5" s="69">
        <f ca="1"/>
        <v>57487.3</v>
      </c>
      <c r="E5" s="69">
        <f ca="1"/>
        <v>-31981.300000000003</v>
      </c>
      <c r="F5" s="70">
        <f ca="1"/>
        <v>-0.55631939576219447</v>
      </c>
      <c r="G5" s="71">
        <f ca="1"/>
        <v>45574.37</v>
      </c>
      <c r="H5" s="71">
        <f ca="1"/>
        <v>-20068.370000000003</v>
      </c>
      <c r="I5" s="72">
        <f ca="1"/>
        <v>-0.44034333332528791</v>
      </c>
      <c r="J5" s="54" t="str">
        <f ca="1"/>
        <v>1. Site tripped on 01/14 at 14:30 and later back online on 01/15 at 10:00AM
2. Site tripped offline on 01/25 at 11:06AM and later back online 01/25 at 11:27AM.</v>
      </c>
      <c r="K5" s="22" t="str">
        <f ca="1"/>
        <v>1. SR080209
2. SR080465</v>
      </c>
    </row>
    <row r="6" spans="1:11" ht="15.75">
      <c r="A6" s="50" t="str">
        <v>Phillipston A KB</v>
      </c>
      <c r="B6" s="20" t="str">
        <v>MA</v>
      </c>
      <c r="C6" s="69" cm="1">
        <f t="array" aca="1" ref="C6:K6" ca="1">IF(INDIRECT("'" &amp; $A6 &amp; "'!B5:J5")="", "", INDIRECT("'" &amp; $A6 &amp; "'!B5:J5"))</f>
        <v>28771</v>
      </c>
      <c r="D6" s="69">
        <f ca="1"/>
        <v>81174.38</v>
      </c>
      <c r="E6" s="69">
        <f ca="1"/>
        <v>-52403.380000000005</v>
      </c>
      <c r="F6" s="70">
        <f ca="1"/>
        <v>-0.64556550970885151</v>
      </c>
      <c r="G6" s="71">
        <f ca="1"/>
        <v>48828.99</v>
      </c>
      <c r="H6" s="71">
        <f ca="1"/>
        <v>-20057.989999999998</v>
      </c>
      <c r="I6" s="72">
        <f ca="1"/>
        <v>-0.41078035814379937</v>
      </c>
      <c r="J6" s="54" t="str">
        <f ca="1"/>
        <v/>
      </c>
      <c r="K6" s="22" t="str">
        <f ca="1"/>
        <v/>
      </c>
    </row>
    <row r="7" spans="1:11" ht="15.75">
      <c r="A7" s="51" t="str">
        <v>Uxbridge D</v>
      </c>
      <c r="B7" s="38" t="str">
        <v>MA</v>
      </c>
      <c r="C7" s="69" cm="1">
        <f t="array" aca="1" ref="C7:K7" ca="1">IF(INDIRECT("'" &amp; $A7 &amp; "'!B5:J5")="", "", INDIRECT("'" &amp; $A7 &amp; "'!B5:J5"))</f>
        <v>42944</v>
      </c>
      <c r="D7" s="69">
        <f ca="1"/>
        <v>75174.5</v>
      </c>
      <c r="E7" s="69">
        <f ca="1"/>
        <v>-32230.5</v>
      </c>
      <c r="F7" s="70">
        <f ca="1"/>
        <v>-0.42874245921156773</v>
      </c>
      <c r="G7" s="71">
        <f ca="1"/>
        <v>103260</v>
      </c>
      <c r="H7" s="71">
        <f ca="1"/>
        <v>-60316</v>
      </c>
      <c r="I7" s="72">
        <f ca="1"/>
        <v>-0.58411776099167156</v>
      </c>
      <c r="J7" s="54" t="str">
        <f ca="1"/>
        <v/>
      </c>
      <c r="K7" s="22" t="str">
        <f ca="1"/>
        <v/>
      </c>
    </row>
    <row r="8" spans="1:11" ht="15.75">
      <c r="A8" s="50" t="str">
        <v>West Bridgewater A&amp;B</v>
      </c>
      <c r="B8" s="20" t="str">
        <v>MA</v>
      </c>
      <c r="C8" s="69" cm="1">
        <f t="array" aca="1" ref="C8:K8" ca="1">IF(INDIRECT("'" &amp; $A8 &amp; "'!B5:J5")="", "", INDIRECT("'" &amp; $A8 &amp; "'!B5:J5"))</f>
        <v>84322</v>
      </c>
      <c r="D8" s="69">
        <f ca="1"/>
        <v>126671.7</v>
      </c>
      <c r="E8" s="69">
        <f ca="1"/>
        <v>-42349.7</v>
      </c>
      <c r="F8" s="70">
        <f ca="1"/>
        <v>-0.33432645176467984</v>
      </c>
      <c r="G8" s="71">
        <f ca="1"/>
        <v>169067.9</v>
      </c>
      <c r="H8" s="71">
        <f ca="1"/>
        <v>-84745.9</v>
      </c>
      <c r="I8" s="72">
        <f ca="1"/>
        <v>-0.50125363833110836</v>
      </c>
      <c r="J8" s="54" t="str">
        <f ca="1"/>
        <v/>
      </c>
      <c r="K8" s="22" t="str">
        <f ca="1"/>
        <v/>
      </c>
    </row>
    <row r="9" spans="1:11" ht="15.75">
      <c r="A9" s="51" t="str">
        <v>Sutton A</v>
      </c>
      <c r="B9" s="38" t="str">
        <v>MA</v>
      </c>
      <c r="C9" s="69" cm="1">
        <f t="array" aca="1" ref="C9:K9" ca="1">IF(INDIRECT("'" &amp; $A9 &amp; "'!B5:J5")="", "", INDIRECT("'" &amp; $A9 &amp; "'!B5:J5"))</f>
        <v>30226</v>
      </c>
      <c r="D9" s="69">
        <f ca="1"/>
        <v>57946.25</v>
      </c>
      <c r="E9" s="69">
        <f ca="1"/>
        <v>-27720.25</v>
      </c>
      <c r="F9" s="70">
        <f ca="1"/>
        <v>-0.47837866988804278</v>
      </c>
      <c r="G9" s="71">
        <f ca="1"/>
        <v>93432.82</v>
      </c>
      <c r="H9" s="71">
        <f ca="1"/>
        <v>-63206.820000000007</v>
      </c>
      <c r="I9" s="72">
        <f ca="1"/>
        <v>-0.67649483340008365</v>
      </c>
      <c r="J9" s="54" t="str">
        <f ca="1"/>
        <v/>
      </c>
      <c r="K9" s="22" t="str">
        <f ca="1"/>
        <v/>
      </c>
    </row>
    <row r="10" spans="1:11" ht="57">
      <c r="A10" s="50" t="str">
        <v>North Adams A</v>
      </c>
      <c r="B10" s="20" t="str">
        <v>MA</v>
      </c>
      <c r="C10" s="69" cm="1">
        <f t="array" aca="1" ref="C10:K10" ca="1">IF(INDIRECT("'" &amp; $A10 &amp; "'!B5:J5")="", "", INDIRECT("'" &amp; $A10 &amp; "'!B5:J5"))</f>
        <v>33659</v>
      </c>
      <c r="D10" s="69">
        <f ca="1"/>
        <v>55008.74</v>
      </c>
      <c r="E10" s="69">
        <f ca="1"/>
        <v>-21349.739999999998</v>
      </c>
      <c r="F10" s="70">
        <f ca="1"/>
        <v>-0.38811541584119175</v>
      </c>
      <c r="G10" s="71">
        <f ca="1"/>
        <v>98462.86</v>
      </c>
      <c r="H10" s="71">
        <f ca="1"/>
        <v>-64803.86</v>
      </c>
      <c r="I10" s="72">
        <f ca="1"/>
        <v>-0.6581553694459007</v>
      </c>
      <c r="J10" s="54" t="str">
        <f ca="1"/>
        <v>1. Inverter 3.3 is offline on 01/13 at 07:00AM, later back online
 on 01/13 at 12:45PM and tripping on and off multiple days on and off.</v>
      </c>
      <c r="K10" s="22" t="str">
        <f ca="1"/>
        <v>1. SR080193</v>
      </c>
    </row>
    <row r="11" spans="1:11" ht="15.75">
      <c r="A11" s="51" t="str">
        <v>North Adams B</v>
      </c>
      <c r="B11" s="38" t="str">
        <v>MA</v>
      </c>
      <c r="C11" s="69" cm="1">
        <f t="array" aca="1" ref="C11:K11" ca="1">IF(INDIRECT("'" &amp; $A11 &amp; "'!B5:J5")="", "", INDIRECT("'" &amp; $A11 &amp; "'!B5:J5"))</f>
        <v>25714</v>
      </c>
      <c r="D11" s="69">
        <f ca="1"/>
        <v>47004.33</v>
      </c>
      <c r="E11" s="69">
        <f ca="1"/>
        <v>-21290.33</v>
      </c>
      <c r="F11" s="70">
        <f ca="1"/>
        <v>-0.45294401600873796</v>
      </c>
      <c r="G11" s="71">
        <f ca="1"/>
        <v>98462.86</v>
      </c>
      <c r="H11" s="71">
        <f ca="1"/>
        <v>-72748.86</v>
      </c>
      <c r="I11" s="72">
        <f ca="1"/>
        <v>-0.73884569268046851</v>
      </c>
      <c r="J11" s="54" t="str">
        <f ca="1"/>
        <v/>
      </c>
      <c r="K11" s="22" t="str">
        <f ca="1"/>
        <v/>
      </c>
    </row>
    <row r="12" spans="1:11" ht="15.75">
      <c r="A12" s="50" t="str">
        <v>Clarksburg A</v>
      </c>
      <c r="B12" s="20" t="str">
        <v>MA</v>
      </c>
      <c r="C12" s="69" cm="1">
        <f t="array" aca="1" ref="C12:K12" ca="1">IF(INDIRECT("'" &amp; $A12 &amp; "'!B5:J5")="", "", INDIRECT("'" &amp; $A12 &amp; "'!B5:J5"))</f>
        <v>25169</v>
      </c>
      <c r="D12" s="69">
        <f ca="1"/>
        <v>48116.73</v>
      </c>
      <c r="E12" s="69">
        <f ca="1"/>
        <v>-22947.730000000003</v>
      </c>
      <c r="F12" s="70">
        <f ca="1"/>
        <v>-0.47691790360650033</v>
      </c>
      <c r="G12" s="71">
        <f ca="1"/>
        <v>98015.59</v>
      </c>
      <c r="H12" s="71">
        <f ca="1"/>
        <v>-72846.59</v>
      </c>
      <c r="I12" s="72">
        <f ca="1"/>
        <v>-0.74321431927308701</v>
      </c>
      <c r="J12" s="54" t="str">
        <f ca="1"/>
        <v/>
      </c>
      <c r="K12" s="22" t="str">
        <f ca="1"/>
        <v/>
      </c>
    </row>
    <row r="13" spans="1:11" ht="42.75">
      <c r="A13" s="51" t="str">
        <v>Swansea B</v>
      </c>
      <c r="B13" s="38" t="str">
        <v>MA</v>
      </c>
      <c r="C13" s="69" cm="1">
        <f t="array" aca="1" ref="C13:K13" ca="1">IF(INDIRECT("'" &amp; $A13 &amp; "'!B5:J5")="", "", INDIRECT("'" &amp; $A13 &amp; "'!B5:J5"))</f>
        <v>54645</v>
      </c>
      <c r="D13" s="69">
        <f ca="1"/>
        <v>81330.64</v>
      </c>
      <c r="E13" s="69">
        <f ca="1"/>
        <v>-26685.64</v>
      </c>
      <c r="F13" s="70">
        <f ca="1"/>
        <v>-0.32811299652873749</v>
      </c>
      <c r="G13" s="71">
        <f ca="1"/>
        <v>50080.160000000003</v>
      </c>
      <c r="H13" s="71">
        <f ca="1"/>
        <v>4564.8399999999965</v>
      </c>
      <c r="I13" s="72">
        <f ca="1"/>
        <v>9.11506672502643E-2</v>
      </c>
      <c r="J13" s="54" t="str">
        <f ca="1"/>
        <v>1. Site tripped offline on 01/29 at 16:00 and later back online on 01/30 at 11:15AM.</v>
      </c>
      <c r="K13" s="22" t="str">
        <f ca="1"/>
        <v>1. SR080590</v>
      </c>
    </row>
    <row r="14" spans="1:11" ht="15.75">
      <c r="A14" s="50" t="str">
        <v>Wareham 2</v>
      </c>
      <c r="B14" s="20" t="str">
        <v>MA</v>
      </c>
      <c r="C14" s="69" cm="1">
        <f t="array" aca="1" ref="C14:K14" ca="1">IF(INDIRECT("'" &amp; $A14 &amp; "'!B5:J5")="", "", INDIRECT("'" &amp; $A14 &amp; "'!B5:J5"))</f>
        <v>59387.25</v>
      </c>
      <c r="D14" s="69">
        <f ca="1"/>
        <v>65302.43</v>
      </c>
      <c r="E14" s="69">
        <f ca="1"/>
        <v>-5915.18</v>
      </c>
      <c r="F14" s="70">
        <f ca="1"/>
        <v>-9.0581315274178925E-2</v>
      </c>
      <c r="G14" s="71">
        <f ca="1"/>
        <v>103231.1</v>
      </c>
      <c r="H14" s="71">
        <f ca="1"/>
        <v>-43843.850000000006</v>
      </c>
      <c r="I14" s="72">
        <f ca="1"/>
        <v>-0.42471551693239734</v>
      </c>
      <c r="J14" s="54" t="str">
        <f ca="1"/>
        <v/>
      </c>
      <c r="K14" s="22" t="str">
        <f ca="1"/>
        <v/>
      </c>
    </row>
    <row r="15" spans="1:11" ht="57">
      <c r="A15" s="51" t="str">
        <v>Kingston 1 KB</v>
      </c>
      <c r="B15" s="38" t="str">
        <v>MA</v>
      </c>
      <c r="C15" s="69" cm="1">
        <f t="array" aca="1" ref="C15:K15" ca="1">IF(INDIRECT("'" &amp; $A15 &amp; "'!B5:J5")="", "", INDIRECT("'" &amp; $A15 &amp; "'!B5:J5"))</f>
        <v>46172</v>
      </c>
      <c r="D15" s="69">
        <f ca="1"/>
        <v>64095.79</v>
      </c>
      <c r="E15" s="69">
        <f ca="1"/>
        <v>-17923.79</v>
      </c>
      <c r="F15" s="70">
        <f ca="1"/>
        <v>-0.27964067530800385</v>
      </c>
      <c r="G15" s="71">
        <f ca="1"/>
        <v>78554.16</v>
      </c>
      <c r="H15" s="71">
        <f ca="1"/>
        <v>-32382.160000000003</v>
      </c>
      <c r="I15" s="72">
        <f ca="1"/>
        <v>-0.41222718185771451</v>
      </c>
      <c r="J15" s="54" t="str">
        <f ca="1"/>
        <v>1. Site tripped on 01/14 at 16:45 and later back online on 01/15 at 14:30.
2. Site tripped offline due to utility outage on 01/16 at 11:30AM and utility cleared outage on 01/18 at 07:45AM.</v>
      </c>
      <c r="K15" s="22" t="str">
        <f ca="1"/>
        <v>1. SR080216
2. SR080258</v>
      </c>
    </row>
    <row r="16" spans="1:11" ht="15.75">
      <c r="A16" s="73" t="str">
        <v>Kingston 2 KB</v>
      </c>
      <c r="B16" s="74" t="str">
        <v>MA</v>
      </c>
      <c r="C16" s="69" cm="1">
        <f t="array" aca="1" ref="C16:K16" ca="1">IF(INDIRECT("'" &amp; $A16 &amp; "'!B5:J5")="", "", INDIRECT("'" &amp; $A16 &amp; "'!B5:J5"))</f>
        <v>38326</v>
      </c>
      <c r="D16" s="69">
        <f ca="1"/>
        <v>38638.25</v>
      </c>
      <c r="E16" s="69">
        <f ca="1"/>
        <v>-312.25</v>
      </c>
      <c r="F16" s="70">
        <f ca="1"/>
        <v>-8.0813701448693969E-3</v>
      </c>
      <c r="G16" s="71">
        <f ca="1"/>
        <v>63052.82</v>
      </c>
      <c r="H16" s="71">
        <f ca="1"/>
        <v>-24726.82</v>
      </c>
      <c r="I16" s="72">
        <f ca="1"/>
        <v>-0.39216041407822838</v>
      </c>
      <c r="J16" s="93" t="str">
        <f ca="1"/>
        <v>1. Site tripped on 01/14 at 16:45 and later back online on 01/15 at 14:30.
2. Site tripped offline due to utility outage on 01/16 at 11:30AM and utility cleared outage on 01/18 at 07:45AM.</v>
      </c>
      <c r="K16" s="93" t="str">
        <f ca="1"/>
        <v>1. SR080217
2. SR080259</v>
      </c>
    </row>
    <row r="17" spans="1:11" ht="15.75">
      <c r="A17" s="51" t="str">
        <v>Holliston B</v>
      </c>
      <c r="B17" s="38" t="str">
        <v>MA</v>
      </c>
      <c r="C17" s="95" cm="1">
        <f t="array" aca="1" ref="C17:K17" ca="1">IF(INDIRECT("'" &amp; $A17 &amp; "'!B5:J5")="", "", INDIRECT("'" &amp; $A17 &amp; "'!B5:J5"))</f>
        <v>32229</v>
      </c>
      <c r="D17" s="69">
        <f ca="1"/>
        <v>61034.62</v>
      </c>
      <c r="E17" s="69">
        <f ca="1"/>
        <v>-28805.620000000003</v>
      </c>
      <c r="F17" s="70">
        <f ca="1"/>
        <v>-0.47195542464260448</v>
      </c>
      <c r="G17" s="71">
        <f ca="1"/>
        <v>98146.17</v>
      </c>
      <c r="H17" s="71">
        <f ca="1"/>
        <v>-65917.17</v>
      </c>
      <c r="I17" s="72">
        <f ca="1"/>
        <v>-0.67162243824695345</v>
      </c>
      <c r="J17" s="93" t="str">
        <f ca="1"/>
        <v/>
      </c>
      <c r="K17" s="93" t="str">
        <f ca="1"/>
        <v/>
      </c>
    </row>
    <row r="18" spans="1:11" ht="15.75">
      <c r="A18" s="73" t="str">
        <v>Fairhaven C</v>
      </c>
      <c r="B18" s="74" t="str">
        <v>MA</v>
      </c>
      <c r="C18" s="69" cm="1">
        <f t="array" aca="1" ref="C18:K18" ca="1">IF(INDIRECT("'" &amp; $A18 &amp; "'!B5:J5")="", "", INDIRECT("'" &amp; $A18 &amp; "'!B5:J5"))</f>
        <v>120080</v>
      </c>
      <c r="D18" s="69">
        <f ca="1"/>
        <v>148303.4</v>
      </c>
      <c r="E18" s="69">
        <f ca="1"/>
        <v>-28223.399999999994</v>
      </c>
      <c r="F18" s="70">
        <f ca="1"/>
        <v>-0.19030851619045819</v>
      </c>
      <c r="G18" s="71">
        <f ca="1"/>
        <v>176726.2</v>
      </c>
      <c r="H18" s="71">
        <f ca="1"/>
        <v>-56646.200000000012</v>
      </c>
      <c r="I18" s="72">
        <f ca="1"/>
        <v>-0.32053085507412032</v>
      </c>
      <c r="J18" s="93" t="str">
        <f ca="1"/>
        <v>1. Site tripped offline on 01/11 at 07:00AM and later back online on 01/12 at 07:45AM.
2. Inverter 47 was offline after site re-energize the site on 01/12  and back online on 14:15.</v>
      </c>
      <c r="K18" s="93" t="str">
        <f ca="1"/>
        <v>1. SR080149
2. SR080171</v>
      </c>
    </row>
    <row r="19" spans="1:11" ht="15.75">
      <c r="A19" s="51" t="str">
        <v>Plympton A-2</v>
      </c>
      <c r="B19" s="38" t="str">
        <v>MA</v>
      </c>
      <c r="C19" s="69" cm="1">
        <f t="array" aca="1" ref="C19:K19" ca="1">IF(INDIRECT("'" &amp; $A19 &amp; "'!B5:J5")="", "", INDIRECT("'" &amp; $A19 &amp; "'!B5:J5"))</f>
        <v>60641</v>
      </c>
      <c r="D19" s="69">
        <f ca="1"/>
        <v>77649.14</v>
      </c>
      <c r="E19" s="69">
        <f ca="1"/>
        <v>-17008.14</v>
      </c>
      <c r="F19" s="70">
        <f ca="1"/>
        <v>-0.21903835638102365</v>
      </c>
      <c r="G19" s="71">
        <f ca="1"/>
        <v>98644.24</v>
      </c>
      <c r="H19" s="71">
        <f ca="1"/>
        <v>-38003.240000000005</v>
      </c>
      <c r="I19" s="72">
        <f ca="1"/>
        <v>-0.38525554051610111</v>
      </c>
      <c r="J19" s="93" t="str">
        <f ca="1"/>
        <v>1. Site tripped offline on 01/10 at 03:26AM and later back online on 01/10 at 06:24AM.</v>
      </c>
      <c r="K19" s="93" t="str">
        <f ca="1"/>
        <v>1. SR080115</v>
      </c>
    </row>
    <row r="20" spans="1:11" ht="24.75" customHeight="1" thickBot="1">
      <c r="A20" s="63" t="s">
        <v>11</v>
      </c>
      <c r="B20" s="64"/>
      <c r="C20" s="65">
        <f ca="1">SUM(C3:C19)</f>
        <v>779580.43176222313</v>
      </c>
      <c r="D20" s="65">
        <f ca="1">SUM(D3:D19)</f>
        <v>1198899.99</v>
      </c>
      <c r="E20" s="65">
        <f ca="1">C20-D20</f>
        <v>-419319.55823777686</v>
      </c>
      <c r="F20" s="66">
        <f ca="1">IFERROR(E20/D20, 0)</f>
        <v>-0.34975357555702113</v>
      </c>
      <c r="G20" s="65">
        <f ca="1">SUM(G3:G19)</f>
        <v>1598697.0599999998</v>
      </c>
      <c r="H20" s="67">
        <f ca="1">C20-G20</f>
        <v>-819116.62823777669</v>
      </c>
      <c r="I20" s="68">
        <f ca="1">IFERROR(H20/G20, 0)</f>
        <v>-0.51236513078830381</v>
      </c>
      <c r="J20" s="9"/>
    </row>
    <row r="21" spans="1:11">
      <c r="J21" s="9"/>
    </row>
    <row r="22" spans="1:11" ht="12.75" customHeight="1">
      <c r="A22" s="194" t="s">
        <v>12</v>
      </c>
      <c r="J22" s="9"/>
    </row>
    <row r="23" spans="1:11">
      <c r="A23" s="194"/>
      <c r="J23" s="9"/>
    </row>
    <row r="24" spans="1:11">
      <c r="A24" s="195" t="s">
        <v>13</v>
      </c>
      <c r="J24" s="9"/>
    </row>
    <row r="25" spans="1:11" ht="12.75" customHeight="1">
      <c r="A25" s="195"/>
      <c r="J25" s="9"/>
    </row>
    <row r="26" spans="1:11">
      <c r="J26" s="9"/>
    </row>
  </sheetData>
  <autoFilter ref="A2:I2" xr:uid="{B0362DDA-D4B4-4F79-9A5D-D43AD85A6C79}"/>
  <mergeCells count="7">
    <mergeCell ref="A22:A23"/>
    <mergeCell ref="A24:A25"/>
    <mergeCell ref="K1:K2"/>
    <mergeCell ref="C1:F1"/>
    <mergeCell ref="G1:I1"/>
    <mergeCell ref="A1:B1"/>
    <mergeCell ref="J1:J2"/>
  </mergeCells>
  <conditionalFormatting sqref="F3:F20 I3:I20">
    <cfRule type="cellIs" dxfId="300" priority="1" operator="lessThanOrEqual">
      <formula>-0.1</formula>
    </cfRule>
    <cfRule type="cellIs" dxfId="29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26"/>
  <sheetViews>
    <sheetView workbookViewId="0">
      <pane ySplit="2" topLeftCell="A3" activePane="bottomLeft" state="frozen"/>
      <selection pane="bottomLeft" activeCell="D24" sqref="D24"/>
      <selection activeCell="D24" sqref="D24"/>
    </sheetView>
  </sheetViews>
  <sheetFormatPr defaultColWidth="8.85546875"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59.140625" bestFit="1" customWidth="1"/>
    <col min="11" max="11" width="11.85546875" bestFit="1" customWidth="1"/>
    <col min="12" max="12" width="8.85546875" bestFit="1" customWidth="1"/>
  </cols>
  <sheetData>
    <row r="1" spans="1:11" ht="19.5" customHeight="1">
      <c r="A1" s="196" t="str" cm="1">
        <f t="array" ref="A1">portfolio</f>
        <v>MN8 KEF</v>
      </c>
      <c r="B1" s="197"/>
      <c r="C1" s="198" t="s">
        <v>24</v>
      </c>
      <c r="D1" s="199"/>
      <c r="E1" s="199"/>
      <c r="F1" s="200"/>
      <c r="G1" s="201" t="s">
        <v>25</v>
      </c>
      <c r="H1" s="201"/>
      <c r="I1" s="202"/>
      <c r="J1" s="190" t="s">
        <v>2</v>
      </c>
      <c r="K1" s="190" t="s">
        <v>3</v>
      </c>
    </row>
    <row r="2" spans="1:11" ht="14.25" customHeight="1" thickBot="1">
      <c r="A2" s="55" t="s">
        <v>4</v>
      </c>
      <c r="B2" s="56" t="s">
        <v>5</v>
      </c>
      <c r="C2" s="57" t="s">
        <v>6</v>
      </c>
      <c r="D2" s="58" t="s">
        <v>7</v>
      </c>
      <c r="E2" s="57" t="s">
        <v>8</v>
      </c>
      <c r="F2" s="59" t="s">
        <v>9</v>
      </c>
      <c r="G2" s="60" t="s">
        <v>10</v>
      </c>
      <c r="H2" s="61" t="s">
        <v>8</v>
      </c>
      <c r="I2" s="62" t="s">
        <v>9</v>
      </c>
      <c r="J2" s="191"/>
      <c r="K2" s="191"/>
    </row>
    <row r="3" spans="1:11" ht="15.75">
      <c r="A3" s="51" t="str" cm="1">
        <f t="array" ref="A3:A19">Sites[Site]</f>
        <v>Williamsburg A</v>
      </c>
      <c r="B3" s="38" t="str" cm="1">
        <f t="array" ref="B3:B19">Sites[State]</f>
        <v>MA</v>
      </c>
      <c r="C3" s="69" t="str" cm="1">
        <f t="array" aca="1" ref="C3:K3" ca="1">IF(INDIRECT("'" &amp; $A3 &amp; "'!B6:J6")="", "", INDIRECT("'" &amp; $A3 &amp; "'!B6:J6"))</f>
        <v/>
      </c>
      <c r="D3" s="69" t="str">
        <f ca="1"/>
        <v/>
      </c>
      <c r="E3" s="69">
        <f ca="1"/>
        <v>0</v>
      </c>
      <c r="F3" s="70">
        <f ca="1"/>
        <v>0</v>
      </c>
      <c r="G3" s="71" t="str">
        <f ca="1"/>
        <v/>
      </c>
      <c r="H3" s="71">
        <f ca="1"/>
        <v>0</v>
      </c>
      <c r="I3" s="72">
        <f ca="1"/>
        <v>0</v>
      </c>
      <c r="J3" s="92" t="str">
        <f ca="1"/>
        <v/>
      </c>
      <c r="K3" s="23" t="str">
        <f ca="1"/>
        <v/>
      </c>
    </row>
    <row r="4" spans="1:11" ht="15.75">
      <c r="A4" s="50" t="str">
        <v>Orange A KB</v>
      </c>
      <c r="B4" s="20" t="str">
        <v>MA</v>
      </c>
      <c r="C4" s="69" t="str" cm="1">
        <f t="array" aca="1" ref="C4:K4" ca="1">IF(INDIRECT("'" &amp; $A4 &amp; "'!B6:J6")="", "", INDIRECT("'" &amp; $A4 &amp; "'!B6:J6"))</f>
        <v/>
      </c>
      <c r="D4" s="69" t="str">
        <f ca="1"/>
        <v/>
      </c>
      <c r="E4" s="69">
        <f ca="1"/>
        <v>0</v>
      </c>
      <c r="F4" s="70">
        <f ca="1"/>
        <v>0</v>
      </c>
      <c r="G4" s="71" t="str">
        <f ca="1"/>
        <v/>
      </c>
      <c r="H4" s="71">
        <f ca="1"/>
        <v>0</v>
      </c>
      <c r="I4" s="72">
        <f ca="1"/>
        <v>0</v>
      </c>
      <c r="J4" s="92" t="str">
        <f ca="1"/>
        <v/>
      </c>
      <c r="K4" s="23" t="str">
        <f ca="1"/>
        <v/>
      </c>
    </row>
    <row r="5" spans="1:11" ht="15.75">
      <c r="A5" s="51" t="str">
        <v>Goshen A</v>
      </c>
      <c r="B5" s="38" t="str">
        <v>MA</v>
      </c>
      <c r="C5" s="69" t="str" cm="1">
        <f t="array" aca="1" ref="C5:K5" ca="1">IF(INDIRECT("'" &amp; $A5 &amp; "'!B6:J6")="", "", INDIRECT("'" &amp; $A5 &amp; "'!B6:J6"))</f>
        <v/>
      </c>
      <c r="D5" s="69" t="str">
        <f ca="1"/>
        <v/>
      </c>
      <c r="E5" s="69">
        <f ca="1"/>
        <v>0</v>
      </c>
      <c r="F5" s="70">
        <f ca="1"/>
        <v>0</v>
      </c>
      <c r="G5" s="71" t="str">
        <f ca="1"/>
        <v/>
      </c>
      <c r="H5" s="71">
        <f ca="1"/>
        <v>0</v>
      </c>
      <c r="I5" s="72">
        <f ca="1"/>
        <v>0</v>
      </c>
      <c r="J5" s="92" t="str">
        <f ca="1"/>
        <v/>
      </c>
      <c r="K5" s="23" t="str">
        <f ca="1"/>
        <v/>
      </c>
    </row>
    <row r="6" spans="1:11" ht="15.75">
      <c r="A6" s="50" t="str">
        <v>Phillipston A KB</v>
      </c>
      <c r="B6" s="20" t="str">
        <v>MA</v>
      </c>
      <c r="C6" s="69" t="str" cm="1">
        <f t="array" aca="1" ref="C6:K6" ca="1">IF(INDIRECT("'" &amp; $A6 &amp; "'!B6:J6")="", "", INDIRECT("'" &amp; $A6 &amp; "'!B6:J6"))</f>
        <v/>
      </c>
      <c r="D6" s="69" t="str">
        <f ca="1"/>
        <v/>
      </c>
      <c r="E6" s="69">
        <f ca="1"/>
        <v>0</v>
      </c>
      <c r="F6" s="70">
        <f ca="1"/>
        <v>0</v>
      </c>
      <c r="G6" s="71" t="str">
        <f ca="1"/>
        <v/>
      </c>
      <c r="H6" s="71">
        <f ca="1"/>
        <v>0</v>
      </c>
      <c r="I6" s="72">
        <f ca="1"/>
        <v>0</v>
      </c>
      <c r="J6" s="92" t="str">
        <f ca="1"/>
        <v/>
      </c>
      <c r="K6" s="23" t="str">
        <f ca="1"/>
        <v/>
      </c>
    </row>
    <row r="7" spans="1:11" ht="15.75">
      <c r="A7" s="51" t="str">
        <v>Uxbridge D</v>
      </c>
      <c r="B7" s="38" t="str">
        <v>MA</v>
      </c>
      <c r="C7" s="69" t="str" cm="1">
        <f t="array" aca="1" ref="C7:K7" ca="1">IF(INDIRECT("'" &amp; $A7 &amp; "'!B6:J6")="", "", INDIRECT("'" &amp; $A7 &amp; "'!B6:J6"))</f>
        <v/>
      </c>
      <c r="D7" s="69" t="str">
        <f ca="1"/>
        <v/>
      </c>
      <c r="E7" s="69">
        <f ca="1"/>
        <v>0</v>
      </c>
      <c r="F7" s="70">
        <f ca="1"/>
        <v>0</v>
      </c>
      <c r="G7" s="71" t="str">
        <f ca="1"/>
        <v/>
      </c>
      <c r="H7" s="71">
        <f ca="1"/>
        <v>0</v>
      </c>
      <c r="I7" s="72">
        <f ca="1"/>
        <v>0</v>
      </c>
      <c r="J7" s="92" t="str">
        <f ca="1"/>
        <v/>
      </c>
      <c r="K7" s="23" t="str">
        <f ca="1"/>
        <v/>
      </c>
    </row>
    <row r="8" spans="1:11" ht="15.75">
      <c r="A8" s="50" t="str">
        <v>West Bridgewater A&amp;B</v>
      </c>
      <c r="B8" s="20" t="str">
        <v>MA</v>
      </c>
      <c r="C8" s="69" t="str" cm="1">
        <f t="array" aca="1" ref="C8:K8" ca="1">IF(INDIRECT("'" &amp; $A8 &amp; "'!B6:J6")="", "", INDIRECT("'" &amp; $A8 &amp; "'!B6:J6"))</f>
        <v/>
      </c>
      <c r="D8" s="69" t="str">
        <f ca="1"/>
        <v/>
      </c>
      <c r="E8" s="69">
        <f ca="1"/>
        <v>0</v>
      </c>
      <c r="F8" s="70">
        <f ca="1"/>
        <v>0</v>
      </c>
      <c r="G8" s="71" t="str">
        <f ca="1"/>
        <v/>
      </c>
      <c r="H8" s="71">
        <f ca="1"/>
        <v>0</v>
      </c>
      <c r="I8" s="72">
        <f ca="1"/>
        <v>0</v>
      </c>
      <c r="J8" s="92" t="str">
        <f ca="1"/>
        <v/>
      </c>
      <c r="K8" s="23" t="str">
        <f ca="1"/>
        <v/>
      </c>
    </row>
    <row r="9" spans="1:11" ht="15.75">
      <c r="A9" s="51" t="str">
        <v>Sutton A</v>
      </c>
      <c r="B9" s="38" t="str">
        <v>MA</v>
      </c>
      <c r="C9" s="69" t="str" cm="1">
        <f t="array" aca="1" ref="C9:K9" ca="1">IF(INDIRECT("'" &amp; $A9 &amp; "'!B6:J6")="", "", INDIRECT("'" &amp; $A9 &amp; "'!B6:J6"))</f>
        <v/>
      </c>
      <c r="D9" s="69" t="str">
        <f ca="1"/>
        <v/>
      </c>
      <c r="E9" s="69">
        <f ca="1"/>
        <v>0</v>
      </c>
      <c r="F9" s="70">
        <f ca="1"/>
        <v>0</v>
      </c>
      <c r="G9" s="71" t="str">
        <f ca="1"/>
        <v/>
      </c>
      <c r="H9" s="71">
        <f ca="1"/>
        <v>0</v>
      </c>
      <c r="I9" s="72">
        <f ca="1"/>
        <v>0</v>
      </c>
      <c r="J9" s="54" t="str">
        <f ca="1"/>
        <v/>
      </c>
      <c r="K9" s="23" t="str">
        <f ca="1"/>
        <v/>
      </c>
    </row>
    <row r="10" spans="1:11" ht="15.75">
      <c r="A10" s="50" t="str">
        <v>North Adams A</v>
      </c>
      <c r="B10" s="20" t="str">
        <v>MA</v>
      </c>
      <c r="C10" s="69" t="str" cm="1">
        <f t="array" aca="1" ref="C10:K10" ca="1">IF(INDIRECT("'" &amp; $A10 &amp; "'!B6:J6")="", "", INDIRECT("'" &amp; $A10 &amp; "'!B6:J6"))</f>
        <v/>
      </c>
      <c r="D10" s="69" t="str">
        <f ca="1"/>
        <v/>
      </c>
      <c r="E10" s="69">
        <f ca="1"/>
        <v>0</v>
      </c>
      <c r="F10" s="70">
        <f ca="1"/>
        <v>0</v>
      </c>
      <c r="G10" s="71" t="str">
        <f ca="1"/>
        <v/>
      </c>
      <c r="H10" s="71">
        <f ca="1"/>
        <v>0</v>
      </c>
      <c r="I10" s="72">
        <f ca="1"/>
        <v>0</v>
      </c>
      <c r="J10" s="92" t="str">
        <f ca="1"/>
        <v/>
      </c>
      <c r="K10" s="23" t="str">
        <f ca="1"/>
        <v/>
      </c>
    </row>
    <row r="11" spans="1:11" ht="15.75">
      <c r="A11" s="51" t="str">
        <v>North Adams B</v>
      </c>
      <c r="B11" s="38" t="str">
        <v>MA</v>
      </c>
      <c r="C11" s="69" t="str" cm="1">
        <f t="array" aca="1" ref="C11:K11" ca="1">IF(INDIRECT("'" &amp; $A11 &amp; "'!B6:J6")="", "", INDIRECT("'" &amp; $A11 &amp; "'!B6:J6"))</f>
        <v/>
      </c>
      <c r="D11" s="69" t="str">
        <f ca="1"/>
        <v/>
      </c>
      <c r="E11" s="69">
        <f ca="1"/>
        <v>0</v>
      </c>
      <c r="F11" s="70">
        <f ca="1"/>
        <v>0</v>
      </c>
      <c r="G11" s="71" t="str">
        <f ca="1"/>
        <v/>
      </c>
      <c r="H11" s="71">
        <f ca="1"/>
        <v>0</v>
      </c>
      <c r="I11" s="72">
        <f ca="1"/>
        <v>0</v>
      </c>
      <c r="J11" s="92" t="str">
        <f ca="1"/>
        <v/>
      </c>
      <c r="K11" s="23" t="str">
        <f ca="1"/>
        <v/>
      </c>
    </row>
    <row r="12" spans="1:11" ht="15.75">
      <c r="A12" s="50" t="str">
        <v>Clarksburg A</v>
      </c>
      <c r="B12" s="20" t="str">
        <v>MA</v>
      </c>
      <c r="C12" s="69" t="str" cm="1">
        <f t="array" aca="1" ref="C12:K12" ca="1">IF(INDIRECT("'" &amp; $A12 &amp; "'!B6:J6")="", "", INDIRECT("'" &amp; $A12 &amp; "'!B6:J6"))</f>
        <v/>
      </c>
      <c r="D12" s="69" t="str">
        <f ca="1"/>
        <v/>
      </c>
      <c r="E12" s="69">
        <f ca="1"/>
        <v>0</v>
      </c>
      <c r="F12" s="70">
        <f ca="1"/>
        <v>0</v>
      </c>
      <c r="G12" s="71" t="str">
        <f ca="1"/>
        <v/>
      </c>
      <c r="H12" s="71">
        <f ca="1"/>
        <v>0</v>
      </c>
      <c r="I12" s="72">
        <f ca="1"/>
        <v>0</v>
      </c>
      <c r="J12" s="54" t="str">
        <f ca="1"/>
        <v/>
      </c>
      <c r="K12" s="22" t="str">
        <f ca="1"/>
        <v/>
      </c>
    </row>
    <row r="13" spans="1:11" ht="15.75">
      <c r="A13" s="51" t="str">
        <v>Swansea B</v>
      </c>
      <c r="B13" s="38" t="str">
        <v>MA</v>
      </c>
      <c r="C13" s="69" t="str" cm="1">
        <f t="array" aca="1" ref="C13:K13" ca="1">IF(INDIRECT("'" &amp; $A13 &amp; "'!B6:J6")="", "", INDIRECT("'" &amp; $A13 &amp; "'!B6:J6"))</f>
        <v/>
      </c>
      <c r="D13" s="69" t="str">
        <f ca="1"/>
        <v/>
      </c>
      <c r="E13" s="69">
        <f ca="1"/>
        <v>0</v>
      </c>
      <c r="F13" s="70">
        <f ca="1"/>
        <v>0</v>
      </c>
      <c r="G13" s="71" t="str">
        <f ca="1"/>
        <v/>
      </c>
      <c r="H13" s="71">
        <f ca="1"/>
        <v>0</v>
      </c>
      <c r="I13" s="72">
        <f ca="1"/>
        <v>0</v>
      </c>
      <c r="J13" s="54" t="str">
        <f ca="1"/>
        <v/>
      </c>
      <c r="K13" s="22" t="str">
        <f ca="1"/>
        <v/>
      </c>
    </row>
    <row r="14" spans="1:11" ht="15.75">
      <c r="A14" s="50" t="str">
        <v>Wareham 2</v>
      </c>
      <c r="B14" s="20" t="str">
        <v>MA</v>
      </c>
      <c r="C14" s="69" t="str" cm="1">
        <f t="array" aca="1" ref="C14:K14" ca="1">IF(INDIRECT("'" &amp; $A14 &amp; "'!B6:J6")="", "", INDIRECT("'" &amp; $A14 &amp; "'!B6:J6"))</f>
        <v/>
      </c>
      <c r="D14" s="69" t="str">
        <f ca="1"/>
        <v/>
      </c>
      <c r="E14" s="69">
        <f ca="1"/>
        <v>0</v>
      </c>
      <c r="F14" s="70">
        <f ca="1"/>
        <v>0</v>
      </c>
      <c r="G14" s="71" t="str">
        <f ca="1"/>
        <v/>
      </c>
      <c r="H14" s="71">
        <f ca="1"/>
        <v>0</v>
      </c>
      <c r="I14" s="72">
        <f ca="1"/>
        <v>0</v>
      </c>
      <c r="J14" s="54" t="str">
        <f ca="1"/>
        <v/>
      </c>
      <c r="K14" s="22" t="str">
        <f ca="1"/>
        <v/>
      </c>
    </row>
    <row r="15" spans="1:11" ht="15.75">
      <c r="A15" s="51" t="str">
        <v>Kingston 1 KB</v>
      </c>
      <c r="B15" s="38" t="str">
        <v>MA</v>
      </c>
      <c r="C15" s="69" t="str" cm="1">
        <f t="array" aca="1" ref="C15:K15" ca="1">IF(INDIRECT("'" &amp; $A15 &amp; "'!B6:J6")="", "", INDIRECT("'" &amp; $A15 &amp; "'!B6:J6"))</f>
        <v/>
      </c>
      <c r="D15" s="69" t="str">
        <f ca="1"/>
        <v/>
      </c>
      <c r="E15" s="69">
        <f ca="1"/>
        <v>0</v>
      </c>
      <c r="F15" s="70">
        <f ca="1"/>
        <v>0</v>
      </c>
      <c r="G15" s="71" t="str">
        <f ca="1"/>
        <v/>
      </c>
      <c r="H15" s="71">
        <f ca="1"/>
        <v>0</v>
      </c>
      <c r="I15" s="72">
        <f ca="1"/>
        <v>0</v>
      </c>
      <c r="J15" s="54" t="str">
        <f ca="1"/>
        <v/>
      </c>
      <c r="K15" s="22" t="str">
        <f ca="1"/>
        <v/>
      </c>
    </row>
    <row r="16" spans="1:11" ht="15.75">
      <c r="A16" s="73" t="str">
        <v>Kingston 2 KB</v>
      </c>
      <c r="B16" s="74" t="str">
        <v>MA</v>
      </c>
      <c r="C16" s="69" t="str" cm="1">
        <f t="array" aca="1" ref="C16:K16" ca="1">IF(INDIRECT("'" &amp; $A16 &amp; "'!B6:J6")="", "", INDIRECT("'" &amp; $A16 &amp; "'!B6:J6"))</f>
        <v/>
      </c>
      <c r="D16" s="69" t="str">
        <f ca="1"/>
        <v/>
      </c>
      <c r="E16" s="69">
        <f ca="1"/>
        <v>0</v>
      </c>
      <c r="F16" s="70">
        <f ca="1"/>
        <v>0</v>
      </c>
      <c r="G16" s="71" t="str">
        <f ca="1"/>
        <v/>
      </c>
      <c r="H16" s="71">
        <f ca="1"/>
        <v>0</v>
      </c>
      <c r="I16" s="72">
        <f ca="1"/>
        <v>0</v>
      </c>
      <c r="J16" s="115" t="str">
        <f ca="1"/>
        <v/>
      </c>
      <c r="K16" s="115" t="str">
        <f ca="1"/>
        <v/>
      </c>
    </row>
    <row r="17" spans="1:11" ht="15.75">
      <c r="A17" s="51" t="str">
        <v>Holliston B</v>
      </c>
      <c r="B17" s="38" t="str">
        <v>MA</v>
      </c>
      <c r="C17" s="69" t="str" cm="1">
        <f t="array" aca="1" ref="C17:K17" ca="1">IF(INDIRECT("'" &amp; $A17 &amp; "'!B6:J6")="", "", INDIRECT("'" &amp; $A17 &amp; "'!B6:J6"))</f>
        <v/>
      </c>
      <c r="D17" s="69" t="str">
        <f ca="1"/>
        <v/>
      </c>
      <c r="E17" s="69">
        <f ca="1"/>
        <v>0</v>
      </c>
      <c r="F17" s="70">
        <f ca="1"/>
        <v>0</v>
      </c>
      <c r="G17" s="71" t="str">
        <f ca="1"/>
        <v/>
      </c>
      <c r="H17" s="71">
        <f ca="1"/>
        <v>0</v>
      </c>
      <c r="I17" s="72">
        <f ca="1"/>
        <v>0</v>
      </c>
      <c r="J17" s="115" t="str">
        <f ca="1"/>
        <v/>
      </c>
      <c r="K17" s="115" t="str">
        <f ca="1"/>
        <v/>
      </c>
    </row>
    <row r="18" spans="1:11" ht="15.75">
      <c r="A18" s="73" t="str">
        <v>Fairhaven C</v>
      </c>
      <c r="B18" s="74" t="str">
        <v>MA</v>
      </c>
      <c r="C18" s="69" t="str" cm="1">
        <f t="array" aca="1" ref="C18:K18" ca="1">IF(INDIRECT("'" &amp; $A18 &amp; "'!B6:J6")="", "", INDIRECT("'" &amp; $A18 &amp; "'!B6:J6"))</f>
        <v/>
      </c>
      <c r="D18" s="69" t="str">
        <f ca="1"/>
        <v/>
      </c>
      <c r="E18" s="69">
        <f ca="1"/>
        <v>0</v>
      </c>
      <c r="F18" s="70">
        <f ca="1"/>
        <v>0</v>
      </c>
      <c r="G18" s="71" t="str">
        <f ca="1"/>
        <v/>
      </c>
      <c r="H18" s="71">
        <f ca="1"/>
        <v>0</v>
      </c>
      <c r="I18" s="72">
        <f ca="1"/>
        <v>0</v>
      </c>
      <c r="J18" s="115" t="str">
        <f ca="1"/>
        <v/>
      </c>
      <c r="K18" s="115" t="str">
        <f ca="1"/>
        <v/>
      </c>
    </row>
    <row r="19" spans="1:11" ht="15.75">
      <c r="A19" s="51" t="str">
        <v>Plympton A-2</v>
      </c>
      <c r="B19" s="38" t="str">
        <v>MA</v>
      </c>
      <c r="C19" s="69" t="str" cm="1">
        <f t="array" aca="1" ref="C19:K19" ca="1">IF(INDIRECT("'" &amp; $A19 &amp; "'!B6:J6")="", "", INDIRECT("'" &amp; $A19 &amp; "'!B6:J6"))</f>
        <v/>
      </c>
      <c r="D19" s="69" t="str">
        <f ca="1"/>
        <v/>
      </c>
      <c r="E19" s="69">
        <f ca="1"/>
        <v>0</v>
      </c>
      <c r="F19" s="70">
        <f ca="1"/>
        <v>0</v>
      </c>
      <c r="G19" s="71" t="str">
        <f ca="1"/>
        <v/>
      </c>
      <c r="H19" s="71">
        <f ca="1"/>
        <v>0</v>
      </c>
      <c r="I19" s="72">
        <f ca="1"/>
        <v>0</v>
      </c>
      <c r="J19" s="115" t="str">
        <f ca="1"/>
        <v/>
      </c>
      <c r="K19" s="115" t="str">
        <f ca="1"/>
        <v/>
      </c>
    </row>
    <row r="20" spans="1:11" ht="24.75" customHeight="1" thickBot="1">
      <c r="A20" s="63" t="s">
        <v>11</v>
      </c>
      <c r="B20" s="64"/>
      <c r="C20" s="65">
        <f ca="1">SUM(C3:C19)</f>
        <v>0</v>
      </c>
      <c r="D20" s="65">
        <f ca="1">SUM(D3:D19)</f>
        <v>0</v>
      </c>
      <c r="E20" s="65">
        <f ca="1">C20-D20</f>
        <v>0</v>
      </c>
      <c r="F20" s="66">
        <f ca="1">IFERROR(E20/D20, 0)</f>
        <v>0</v>
      </c>
      <c r="G20" s="65">
        <f ca="1">SUM(G3:G19)</f>
        <v>0</v>
      </c>
      <c r="H20" s="67">
        <f ca="1">C20-G20</f>
        <v>0</v>
      </c>
      <c r="I20" s="68">
        <f ca="1">IFERROR(H20/G20, 0)</f>
        <v>0</v>
      </c>
      <c r="J20" s="9"/>
    </row>
    <row r="21" spans="1:11">
      <c r="J21" s="9"/>
    </row>
    <row r="22" spans="1:11" ht="12.75" customHeight="1">
      <c r="A22" s="194" t="s">
        <v>12</v>
      </c>
      <c r="J22" s="9"/>
    </row>
    <row r="23" spans="1:11">
      <c r="A23" s="194"/>
      <c r="J23" s="9"/>
    </row>
    <row r="24" spans="1:11">
      <c r="A24" s="195" t="s">
        <v>13</v>
      </c>
      <c r="J24" s="9"/>
    </row>
    <row r="25" spans="1:11" ht="12.75" customHeight="1">
      <c r="A25" s="195"/>
      <c r="J25" s="9"/>
    </row>
    <row r="26" spans="1:11">
      <c r="J26" s="9"/>
    </row>
  </sheetData>
  <autoFilter ref="A2:I2" xr:uid="{CAF24030-967D-40AB-9B78-5C3C0C46A55D}"/>
  <mergeCells count="7">
    <mergeCell ref="A22:A23"/>
    <mergeCell ref="A24:A25"/>
    <mergeCell ref="G1:I1"/>
    <mergeCell ref="J1:J2"/>
    <mergeCell ref="K1:K2"/>
    <mergeCell ref="C1:F1"/>
    <mergeCell ref="A1:B1"/>
  </mergeCells>
  <conditionalFormatting sqref="F3:F20 I3:I20">
    <cfRule type="cellIs" dxfId="298" priority="1" operator="lessThanOrEqual">
      <formula>-0.1</formula>
    </cfRule>
    <cfRule type="cellIs" dxfId="29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26"/>
  <sheetViews>
    <sheetView workbookViewId="0">
      <pane ySplit="2" topLeftCell="A3" activePane="bottomLeft" state="frozen"/>
      <selection pane="bottomLeft" activeCell="D24" sqref="D24"/>
      <selection activeCell="D24" sqref="D24"/>
    </sheetView>
  </sheetViews>
  <sheetFormatPr defaultColWidth="8.85546875"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54.42578125" bestFit="1" customWidth="1"/>
    <col min="11" max="11" width="11.42578125" bestFit="1" customWidth="1"/>
    <col min="12" max="12" width="8.85546875" bestFit="1" customWidth="1"/>
  </cols>
  <sheetData>
    <row r="1" spans="1:11" ht="19.5" customHeight="1">
      <c r="A1" s="196" t="str" cm="1">
        <f t="array" ref="A1">portfolio</f>
        <v>MN8 KEF</v>
      </c>
      <c r="B1" s="197"/>
      <c r="C1" s="198" t="s">
        <v>26</v>
      </c>
      <c r="D1" s="199"/>
      <c r="E1" s="199"/>
      <c r="F1" s="200"/>
      <c r="G1" s="201" t="s">
        <v>27</v>
      </c>
      <c r="H1" s="201"/>
      <c r="I1" s="202"/>
      <c r="J1" s="190" t="s">
        <v>2</v>
      </c>
      <c r="K1" s="190" t="s">
        <v>3</v>
      </c>
    </row>
    <row r="2" spans="1:11" ht="14.25" customHeight="1" thickBot="1">
      <c r="A2" s="55" t="s">
        <v>4</v>
      </c>
      <c r="B2" s="56" t="s">
        <v>5</v>
      </c>
      <c r="C2" s="57" t="s">
        <v>6</v>
      </c>
      <c r="D2" s="58" t="s">
        <v>7</v>
      </c>
      <c r="E2" s="57" t="s">
        <v>8</v>
      </c>
      <c r="F2" s="59" t="s">
        <v>9</v>
      </c>
      <c r="G2" s="60" t="s">
        <v>10</v>
      </c>
      <c r="H2" s="61" t="s">
        <v>8</v>
      </c>
      <c r="I2" s="62" t="s">
        <v>9</v>
      </c>
      <c r="J2" s="191"/>
      <c r="K2" s="191"/>
    </row>
    <row r="3" spans="1:11" ht="15.75">
      <c r="A3" s="51" t="str" cm="1">
        <f t="array" ref="A3:A19">Sites[Site]</f>
        <v>Williamsburg A</v>
      </c>
      <c r="B3" s="38" t="str" cm="1">
        <f t="array" ref="B3:B19">Sites[State]</f>
        <v>MA</v>
      </c>
      <c r="C3" s="69" t="str" cm="1">
        <f t="array" aca="1" ref="C3:K3" ca="1">IF(INDIRECT("'" &amp; $A3 &amp; "'!B7:J7")="", "", INDIRECT("'" &amp; $A3 &amp; "'!B7:J7"))</f>
        <v/>
      </c>
      <c r="D3" s="69" t="str">
        <f ca="1"/>
        <v/>
      </c>
      <c r="E3" s="69">
        <f ca="1"/>
        <v>0</v>
      </c>
      <c r="F3" s="70">
        <f ca="1"/>
        <v>0</v>
      </c>
      <c r="G3" s="71" t="str">
        <f ca="1"/>
        <v/>
      </c>
      <c r="H3" s="71">
        <f ca="1"/>
        <v>0</v>
      </c>
      <c r="I3" s="72">
        <f ca="1"/>
        <v>0</v>
      </c>
      <c r="J3" s="92" t="str">
        <f ca="1"/>
        <v/>
      </c>
      <c r="K3" s="23" t="str">
        <f ca="1"/>
        <v/>
      </c>
    </row>
    <row r="4" spans="1:11" ht="15.75">
      <c r="A4" s="50" t="str">
        <v>Orange A KB</v>
      </c>
      <c r="B4" s="20" t="str">
        <v>MA</v>
      </c>
      <c r="C4" s="69" t="str" cm="1">
        <f t="array" aca="1" ref="C4:K4" ca="1">IF(INDIRECT("'" &amp; $A4 &amp; "'!B7:J7")="", "", INDIRECT("'" &amp; $A4 &amp; "'!B7:J7"))</f>
        <v/>
      </c>
      <c r="D4" s="69" t="str">
        <f ca="1"/>
        <v/>
      </c>
      <c r="E4" s="69">
        <f ca="1"/>
        <v>0</v>
      </c>
      <c r="F4" s="70">
        <f ca="1"/>
        <v>0</v>
      </c>
      <c r="G4" s="71" t="str">
        <f ca="1"/>
        <v/>
      </c>
      <c r="H4" s="71">
        <f ca="1"/>
        <v>0</v>
      </c>
      <c r="I4" s="72">
        <f ca="1"/>
        <v>0</v>
      </c>
      <c r="J4" s="92" t="str">
        <f ca="1"/>
        <v/>
      </c>
      <c r="K4" s="23" t="str">
        <f ca="1"/>
        <v/>
      </c>
    </row>
    <row r="5" spans="1:11" ht="15.75">
      <c r="A5" s="51" t="str">
        <v>Goshen A</v>
      </c>
      <c r="B5" s="38" t="str">
        <v>MA</v>
      </c>
      <c r="C5" s="69" t="str" cm="1">
        <f t="array" aca="1" ref="C5:K5" ca="1">IF(INDIRECT("'" &amp; $A5 &amp; "'!B7:J7")="", "", INDIRECT("'" &amp; $A5 &amp; "'!B7:J7"))</f>
        <v/>
      </c>
      <c r="D5" s="69" t="str">
        <f ca="1"/>
        <v/>
      </c>
      <c r="E5" s="69">
        <f ca="1"/>
        <v>0</v>
      </c>
      <c r="F5" s="70">
        <f ca="1"/>
        <v>0</v>
      </c>
      <c r="G5" s="71" t="str">
        <f ca="1"/>
        <v/>
      </c>
      <c r="H5" s="71">
        <f ca="1"/>
        <v>0</v>
      </c>
      <c r="I5" s="72">
        <f ca="1"/>
        <v>0</v>
      </c>
      <c r="J5" s="54" t="str">
        <f ca="1"/>
        <v/>
      </c>
      <c r="K5" s="22" t="str">
        <f ca="1"/>
        <v/>
      </c>
    </row>
    <row r="6" spans="1:11" ht="15.75">
      <c r="A6" s="50" t="str">
        <v>Phillipston A KB</v>
      </c>
      <c r="B6" s="20" t="str">
        <v>MA</v>
      </c>
      <c r="C6" s="69" t="str" cm="1">
        <f t="array" aca="1" ref="C6:K6" ca="1">IF(INDIRECT("'" &amp; $A6 &amp; "'!B7:J7")="", "", INDIRECT("'" &amp; $A6 &amp; "'!B7:J7"))</f>
        <v/>
      </c>
      <c r="D6" s="69" t="str">
        <f ca="1"/>
        <v/>
      </c>
      <c r="E6" s="69">
        <f ca="1"/>
        <v>0</v>
      </c>
      <c r="F6" s="70">
        <f ca="1"/>
        <v>0</v>
      </c>
      <c r="G6" s="71" t="str">
        <f ca="1"/>
        <v/>
      </c>
      <c r="H6" s="71">
        <f ca="1"/>
        <v>0</v>
      </c>
      <c r="I6" s="72">
        <f ca="1"/>
        <v>0</v>
      </c>
      <c r="J6" s="54" t="str">
        <f ca="1"/>
        <v/>
      </c>
      <c r="K6" s="22" t="str">
        <f ca="1"/>
        <v/>
      </c>
    </row>
    <row r="7" spans="1:11" ht="15.75">
      <c r="A7" s="51" t="str">
        <v>Uxbridge D</v>
      </c>
      <c r="B7" s="38" t="str">
        <v>MA</v>
      </c>
      <c r="C7" s="69" t="str" cm="1">
        <f t="array" aca="1" ref="C7:K7" ca="1">IF(INDIRECT("'" &amp; $A7 &amp; "'!B7:J7")="", "", INDIRECT("'" &amp; $A7 &amp; "'!B7:J7"))</f>
        <v/>
      </c>
      <c r="D7" s="69" t="str">
        <f ca="1"/>
        <v/>
      </c>
      <c r="E7" s="69">
        <f ca="1"/>
        <v>0</v>
      </c>
      <c r="F7" s="70">
        <f ca="1"/>
        <v>0</v>
      </c>
      <c r="G7" s="71" t="str">
        <f ca="1"/>
        <v/>
      </c>
      <c r="H7" s="71">
        <f ca="1"/>
        <v>0</v>
      </c>
      <c r="I7" s="72">
        <f ca="1"/>
        <v>0</v>
      </c>
      <c r="J7" s="54" t="str">
        <f ca="1"/>
        <v/>
      </c>
      <c r="K7" s="22" t="str">
        <f ca="1"/>
        <v/>
      </c>
    </row>
    <row r="8" spans="1:11" ht="15.75">
      <c r="A8" s="50" t="str">
        <v>West Bridgewater A&amp;B</v>
      </c>
      <c r="B8" s="20" t="str">
        <v>MA</v>
      </c>
      <c r="C8" s="69" t="str" cm="1">
        <f t="array" aca="1" ref="C8:K8" ca="1">IF(INDIRECT("'" &amp; $A8 &amp; "'!B7:J7")="", "", INDIRECT("'" &amp; $A8 &amp; "'!B7:J7"))</f>
        <v/>
      </c>
      <c r="D8" s="69" t="str">
        <f ca="1"/>
        <v/>
      </c>
      <c r="E8" s="69">
        <f ca="1"/>
        <v>0</v>
      </c>
      <c r="F8" s="70">
        <f ca="1"/>
        <v>0</v>
      </c>
      <c r="G8" s="71" t="str">
        <f ca="1"/>
        <v/>
      </c>
      <c r="H8" s="71">
        <f ca="1"/>
        <v>0</v>
      </c>
      <c r="I8" s="72">
        <f ca="1"/>
        <v>0</v>
      </c>
      <c r="J8" s="54" t="str">
        <f ca="1"/>
        <v/>
      </c>
      <c r="K8" s="22" t="str">
        <f ca="1"/>
        <v/>
      </c>
    </row>
    <row r="9" spans="1:11" ht="15.75">
      <c r="A9" s="51" t="str">
        <v>Sutton A</v>
      </c>
      <c r="B9" s="38" t="str">
        <v>MA</v>
      </c>
      <c r="C9" s="69" t="str" cm="1">
        <f t="array" aca="1" ref="C9:K9" ca="1">IF(INDIRECT("'" &amp; $A9 &amp; "'!B7:J7")="", "", INDIRECT("'" &amp; $A9 &amp; "'!B7:J7"))</f>
        <v/>
      </c>
      <c r="D9" s="69" t="str">
        <f ca="1"/>
        <v/>
      </c>
      <c r="E9" s="69">
        <f ca="1"/>
        <v>0</v>
      </c>
      <c r="F9" s="70">
        <f ca="1"/>
        <v>0</v>
      </c>
      <c r="G9" s="71" t="str">
        <f ca="1"/>
        <v/>
      </c>
      <c r="H9" s="71">
        <f ca="1"/>
        <v>0</v>
      </c>
      <c r="I9" s="72">
        <f ca="1"/>
        <v>0</v>
      </c>
      <c r="J9" s="54" t="str">
        <f ca="1"/>
        <v/>
      </c>
      <c r="K9" s="22" t="str">
        <f ca="1"/>
        <v/>
      </c>
    </row>
    <row r="10" spans="1:11" ht="15.75">
      <c r="A10" s="50" t="str">
        <v>North Adams A</v>
      </c>
      <c r="B10" s="20" t="str">
        <v>MA</v>
      </c>
      <c r="C10" s="69" t="str" cm="1">
        <f t="array" aca="1" ref="C10:K10" ca="1">IF(INDIRECT("'" &amp; $A10 &amp; "'!B7:J7")="", "", INDIRECT("'" &amp; $A10 &amp; "'!B7:J7"))</f>
        <v/>
      </c>
      <c r="D10" s="69" t="str">
        <f ca="1"/>
        <v/>
      </c>
      <c r="E10" s="69">
        <f ca="1"/>
        <v>0</v>
      </c>
      <c r="F10" s="70">
        <f ca="1"/>
        <v>0</v>
      </c>
      <c r="G10" s="71" t="str">
        <f ca="1"/>
        <v/>
      </c>
      <c r="H10" s="71">
        <f ca="1"/>
        <v>0</v>
      </c>
      <c r="I10" s="72">
        <f ca="1"/>
        <v>0</v>
      </c>
      <c r="J10" s="54" t="str">
        <f ca="1"/>
        <v/>
      </c>
      <c r="K10" s="22" t="str">
        <f ca="1"/>
        <v/>
      </c>
    </row>
    <row r="11" spans="1:11" ht="15.75">
      <c r="A11" s="51" t="str">
        <v>North Adams B</v>
      </c>
      <c r="B11" s="38" t="str">
        <v>MA</v>
      </c>
      <c r="C11" s="69" t="str" cm="1">
        <f t="array" aca="1" ref="C11:K11" ca="1">IF(INDIRECT("'" &amp; $A11 &amp; "'!B7:J7")="", "", INDIRECT("'" &amp; $A11 &amp; "'!B7:J7"))</f>
        <v/>
      </c>
      <c r="D11" s="69" t="str">
        <f ca="1"/>
        <v/>
      </c>
      <c r="E11" s="69">
        <f ca="1"/>
        <v>0</v>
      </c>
      <c r="F11" s="70">
        <f ca="1"/>
        <v>0</v>
      </c>
      <c r="G11" s="71" t="str">
        <f ca="1"/>
        <v/>
      </c>
      <c r="H11" s="71">
        <f ca="1"/>
        <v>0</v>
      </c>
      <c r="I11" s="72">
        <f ca="1"/>
        <v>0</v>
      </c>
      <c r="J11" s="54" t="str">
        <f ca="1"/>
        <v/>
      </c>
      <c r="K11" s="22" t="str">
        <f ca="1"/>
        <v/>
      </c>
    </row>
    <row r="12" spans="1:11" ht="15.75">
      <c r="A12" s="50" t="str">
        <v>Clarksburg A</v>
      </c>
      <c r="B12" s="20" t="str">
        <v>MA</v>
      </c>
      <c r="C12" s="69" t="str" cm="1">
        <f t="array" aca="1" ref="C12:K12" ca="1">IF(INDIRECT("'" &amp; $A12 &amp; "'!B7:J7")="", "", INDIRECT("'" &amp; $A12 &amp; "'!B7:J7"))</f>
        <v/>
      </c>
      <c r="D12" s="69" t="str">
        <f ca="1"/>
        <v/>
      </c>
      <c r="E12" s="69">
        <f ca="1"/>
        <v>0</v>
      </c>
      <c r="F12" s="70">
        <f ca="1"/>
        <v>0</v>
      </c>
      <c r="G12" s="71" t="str">
        <f ca="1"/>
        <v/>
      </c>
      <c r="H12" s="71">
        <f ca="1"/>
        <v>0</v>
      </c>
      <c r="I12" s="72">
        <f ca="1"/>
        <v>0</v>
      </c>
      <c r="J12" s="54" t="str">
        <f ca="1"/>
        <v/>
      </c>
      <c r="K12" s="22" t="str">
        <f ca="1"/>
        <v/>
      </c>
    </row>
    <row r="13" spans="1:11" ht="15.75">
      <c r="A13" s="51" t="str">
        <v>Swansea B</v>
      </c>
      <c r="B13" s="38" t="str">
        <v>MA</v>
      </c>
      <c r="C13" s="69" t="str" cm="1">
        <f t="array" aca="1" ref="C13:K13" ca="1">IF(INDIRECT("'" &amp; $A13 &amp; "'!B7:J7")="", "", INDIRECT("'" &amp; $A13 &amp; "'!B7:J7"))</f>
        <v/>
      </c>
      <c r="D13" s="69" t="str">
        <f ca="1"/>
        <v/>
      </c>
      <c r="E13" s="69">
        <f ca="1"/>
        <v>0</v>
      </c>
      <c r="F13" s="70">
        <f ca="1"/>
        <v>0</v>
      </c>
      <c r="G13" s="71" t="str">
        <f ca="1"/>
        <v/>
      </c>
      <c r="H13" s="71">
        <f ca="1"/>
        <v>0</v>
      </c>
      <c r="I13" s="72">
        <f ca="1"/>
        <v>0</v>
      </c>
      <c r="J13" s="54" t="str">
        <f ca="1"/>
        <v/>
      </c>
      <c r="K13" s="22" t="str">
        <f ca="1"/>
        <v/>
      </c>
    </row>
    <row r="14" spans="1:11" ht="15.75">
      <c r="A14" s="50" t="str">
        <v>Wareham 2</v>
      </c>
      <c r="B14" s="20" t="str">
        <v>MA</v>
      </c>
      <c r="C14" s="69" t="str" cm="1">
        <f t="array" aca="1" ref="C14:K14" ca="1">IF(INDIRECT("'" &amp; $A14 &amp; "'!B7:J7")="", "", INDIRECT("'" &amp; $A14 &amp; "'!B7:J7"))</f>
        <v/>
      </c>
      <c r="D14" s="69" t="str">
        <f ca="1"/>
        <v/>
      </c>
      <c r="E14" s="69">
        <f ca="1"/>
        <v>0</v>
      </c>
      <c r="F14" s="70">
        <f ca="1"/>
        <v>0</v>
      </c>
      <c r="G14" s="71" t="str">
        <f ca="1"/>
        <v/>
      </c>
      <c r="H14" s="71">
        <f ca="1"/>
        <v>0</v>
      </c>
      <c r="I14" s="72">
        <f ca="1"/>
        <v>0</v>
      </c>
      <c r="J14" s="54" t="str">
        <f ca="1"/>
        <v/>
      </c>
      <c r="K14" s="22" t="str">
        <f ca="1"/>
        <v/>
      </c>
    </row>
    <row r="15" spans="1:11" ht="15.75">
      <c r="A15" s="51" t="str">
        <v>Kingston 1 KB</v>
      </c>
      <c r="B15" s="38" t="str">
        <v>MA</v>
      </c>
      <c r="C15" s="69" t="str" cm="1">
        <f t="array" aca="1" ref="C15:K15" ca="1">IF(INDIRECT("'" &amp; $A15 &amp; "'!B7:J7")="", "", INDIRECT("'" &amp; $A15 &amp; "'!B7:J7"))</f>
        <v/>
      </c>
      <c r="D15" s="69" t="str">
        <f ca="1"/>
        <v/>
      </c>
      <c r="E15" s="69">
        <f ca="1"/>
        <v>0</v>
      </c>
      <c r="F15" s="70">
        <f ca="1"/>
        <v>0</v>
      </c>
      <c r="G15" s="71" t="str">
        <f ca="1"/>
        <v/>
      </c>
      <c r="H15" s="71">
        <f ca="1"/>
        <v>0</v>
      </c>
      <c r="I15" s="72">
        <f ca="1"/>
        <v>0</v>
      </c>
      <c r="J15" s="54" t="str">
        <f ca="1"/>
        <v/>
      </c>
      <c r="K15" s="22" t="str">
        <f ca="1"/>
        <v/>
      </c>
    </row>
    <row r="16" spans="1:11" ht="15.75">
      <c r="A16" s="73" t="str">
        <v>Kingston 2 KB</v>
      </c>
      <c r="B16" s="74" t="str">
        <v>MA</v>
      </c>
      <c r="C16" s="69" t="str" cm="1">
        <f t="array" aca="1" ref="C16:K16" ca="1">IF(INDIRECT("'" &amp; $A16 &amp; "'!B7:J7")="", "", INDIRECT("'" &amp; $A16 &amp; "'!B7:J7"))</f>
        <v/>
      </c>
      <c r="D16" s="69" t="str">
        <f ca="1"/>
        <v/>
      </c>
      <c r="E16" s="69">
        <f ca="1"/>
        <v>0</v>
      </c>
      <c r="F16" s="70">
        <f ca="1"/>
        <v>0</v>
      </c>
      <c r="G16" s="71" t="str">
        <f ca="1"/>
        <v/>
      </c>
      <c r="H16" s="71">
        <f ca="1"/>
        <v>0</v>
      </c>
      <c r="I16" s="72">
        <f ca="1"/>
        <v>0</v>
      </c>
      <c r="J16" s="115" t="str">
        <f ca="1"/>
        <v/>
      </c>
      <c r="K16" s="115" t="str">
        <f ca="1"/>
        <v/>
      </c>
    </row>
    <row r="17" spans="1:11" ht="15.75">
      <c r="A17" s="51" t="str">
        <v>Holliston B</v>
      </c>
      <c r="B17" s="38" t="str">
        <v>MA</v>
      </c>
      <c r="C17" s="69" t="str" cm="1">
        <f t="array" aca="1" ref="C17:K17" ca="1">IF(INDIRECT("'" &amp; $A17 &amp; "'!B7:J7")="", "", INDIRECT("'" &amp; $A17 &amp; "'!B7:J7"))</f>
        <v/>
      </c>
      <c r="D17" s="69" t="str">
        <f ca="1"/>
        <v/>
      </c>
      <c r="E17" s="69">
        <f ca="1"/>
        <v>0</v>
      </c>
      <c r="F17" s="70">
        <f ca="1"/>
        <v>0</v>
      </c>
      <c r="G17" s="71" t="str">
        <f ca="1"/>
        <v/>
      </c>
      <c r="H17" s="71">
        <f ca="1"/>
        <v>0</v>
      </c>
      <c r="I17" s="72">
        <f ca="1"/>
        <v>0</v>
      </c>
      <c r="J17" s="115" t="str">
        <f ca="1"/>
        <v/>
      </c>
      <c r="K17" s="115" t="str">
        <f ca="1"/>
        <v/>
      </c>
    </row>
    <row r="18" spans="1:11" ht="15.75">
      <c r="A18" s="73" t="str">
        <v>Fairhaven C</v>
      </c>
      <c r="B18" s="74" t="str">
        <v>MA</v>
      </c>
      <c r="C18" s="69" t="str" cm="1">
        <f t="array" aca="1" ref="C18:K18" ca="1">IF(INDIRECT("'" &amp; $A18 &amp; "'!B7:J7")="", "", INDIRECT("'" &amp; $A18 &amp; "'!B7:J7"))</f>
        <v/>
      </c>
      <c r="D18" s="69" t="str">
        <f ca="1"/>
        <v/>
      </c>
      <c r="E18" s="69">
        <f ca="1"/>
        <v>0</v>
      </c>
      <c r="F18" s="70">
        <f ca="1"/>
        <v>0</v>
      </c>
      <c r="G18" s="71" t="str">
        <f ca="1"/>
        <v/>
      </c>
      <c r="H18" s="71">
        <f ca="1"/>
        <v>0</v>
      </c>
      <c r="I18" s="72">
        <f ca="1"/>
        <v>0</v>
      </c>
      <c r="J18" s="115" t="str">
        <f ca="1"/>
        <v/>
      </c>
      <c r="K18" s="115" t="str">
        <f ca="1"/>
        <v/>
      </c>
    </row>
    <row r="19" spans="1:11" ht="15.75">
      <c r="A19" s="51" t="str">
        <v>Plympton A-2</v>
      </c>
      <c r="B19" s="38" t="str">
        <v>MA</v>
      </c>
      <c r="C19" s="69" t="str" cm="1">
        <f t="array" aca="1" ref="C19:K19" ca="1">IF(INDIRECT("'" &amp; $A19 &amp; "'!B7:J7")="", "", INDIRECT("'" &amp; $A19 &amp; "'!B7:J7"))</f>
        <v/>
      </c>
      <c r="D19" s="69" t="str">
        <f ca="1"/>
        <v/>
      </c>
      <c r="E19" s="69">
        <f ca="1"/>
        <v>0</v>
      </c>
      <c r="F19" s="70">
        <f ca="1"/>
        <v>0</v>
      </c>
      <c r="G19" s="71" t="str">
        <f ca="1"/>
        <v/>
      </c>
      <c r="H19" s="71">
        <f ca="1"/>
        <v>0</v>
      </c>
      <c r="I19" s="72">
        <f ca="1"/>
        <v>0</v>
      </c>
      <c r="J19" s="115" t="str">
        <f ca="1"/>
        <v/>
      </c>
      <c r="K19" s="115" t="str">
        <f ca="1"/>
        <v/>
      </c>
    </row>
    <row r="20" spans="1:11" ht="24.75" customHeight="1" thickBot="1">
      <c r="A20" s="63" t="s">
        <v>11</v>
      </c>
      <c r="B20" s="64"/>
      <c r="C20" s="65">
        <f ca="1">SUM(C3:C19)</f>
        <v>0</v>
      </c>
      <c r="D20" s="65">
        <f ca="1">SUM(D3:D19)</f>
        <v>0</v>
      </c>
      <c r="E20" s="65">
        <f ca="1">C20-D20</f>
        <v>0</v>
      </c>
      <c r="F20" s="66">
        <f ca="1">IFERROR(E20/D20, 0)</f>
        <v>0</v>
      </c>
      <c r="G20" s="65">
        <f ca="1">SUM(G3:G19)</f>
        <v>0</v>
      </c>
      <c r="H20" s="67">
        <f ca="1">C20-G20</f>
        <v>0</v>
      </c>
      <c r="I20" s="68">
        <f ca="1">IFERROR(H20/G20, 0)</f>
        <v>0</v>
      </c>
      <c r="J20" s="9"/>
    </row>
    <row r="21" spans="1:11">
      <c r="J21" s="9"/>
    </row>
    <row r="22" spans="1:11" ht="12.75" customHeight="1">
      <c r="A22" s="194" t="s">
        <v>12</v>
      </c>
      <c r="J22" s="9"/>
    </row>
    <row r="23" spans="1:11">
      <c r="A23" s="194"/>
      <c r="J23" s="9"/>
    </row>
    <row r="24" spans="1:11">
      <c r="A24" s="195" t="s">
        <v>13</v>
      </c>
      <c r="J24" s="9"/>
    </row>
    <row r="25" spans="1:11" ht="12.75" customHeight="1">
      <c r="A25" s="195"/>
      <c r="J25" s="9"/>
    </row>
    <row r="26" spans="1:11">
      <c r="J26" s="9"/>
    </row>
  </sheetData>
  <autoFilter ref="A2:I2" xr:uid="{E69961AB-A757-4049-8AB9-40F3BCB812B3}"/>
  <mergeCells count="7">
    <mergeCell ref="A22:A23"/>
    <mergeCell ref="A24:A25"/>
    <mergeCell ref="G1:I1"/>
    <mergeCell ref="J1:J2"/>
    <mergeCell ref="K1:K2"/>
    <mergeCell ref="C1:F1"/>
    <mergeCell ref="A1:B1"/>
  </mergeCells>
  <conditionalFormatting sqref="F3:F20 I3:I20">
    <cfRule type="cellIs" dxfId="296" priority="1" operator="lessThanOrEqual">
      <formula>-0.1</formula>
    </cfRule>
    <cfRule type="cellIs" dxfId="29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S26"/>
  <sheetViews>
    <sheetView workbookViewId="0">
      <pane ySplit="2" topLeftCell="A3" activePane="bottomLeft" state="frozen"/>
      <selection pane="bottomLeft" activeCell="D24" sqref="D24"/>
      <selection activeCell="D24" sqref="D24"/>
    </sheetView>
  </sheetViews>
  <sheetFormatPr defaultColWidth="8.85546875"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58.42578125" customWidth="1"/>
    <col min="11" max="11" width="13.5703125" customWidth="1"/>
    <col min="12" max="12" width="8.85546875" bestFit="1" customWidth="1"/>
  </cols>
  <sheetData>
    <row r="1" spans="1:19" ht="19.5" customHeight="1">
      <c r="A1" s="196" t="str" cm="1">
        <f t="array" ref="A1">portfolio</f>
        <v>MN8 KEF</v>
      </c>
      <c r="B1" s="197"/>
      <c r="C1" s="198" t="s">
        <v>28</v>
      </c>
      <c r="D1" s="199"/>
      <c r="E1" s="199"/>
      <c r="F1" s="200"/>
      <c r="G1" s="201" t="s">
        <v>29</v>
      </c>
      <c r="H1" s="201"/>
      <c r="I1" s="202"/>
      <c r="J1" s="190" t="s">
        <v>2</v>
      </c>
      <c r="K1" s="190" t="s">
        <v>3</v>
      </c>
    </row>
    <row r="2" spans="1:19" ht="14.25" customHeight="1" thickBot="1">
      <c r="A2" s="55" t="s">
        <v>4</v>
      </c>
      <c r="B2" s="56" t="s">
        <v>5</v>
      </c>
      <c r="C2" s="57" t="s">
        <v>6</v>
      </c>
      <c r="D2" s="58" t="s">
        <v>7</v>
      </c>
      <c r="E2" s="57" t="s">
        <v>8</v>
      </c>
      <c r="F2" s="59" t="s">
        <v>9</v>
      </c>
      <c r="G2" s="60" t="s">
        <v>10</v>
      </c>
      <c r="H2" s="61" t="s">
        <v>8</v>
      </c>
      <c r="I2" s="62" t="s">
        <v>9</v>
      </c>
      <c r="J2" s="191"/>
      <c r="K2" s="191"/>
    </row>
    <row r="3" spans="1:19" ht="15.75">
      <c r="A3" s="51" t="str" cm="1">
        <f t="array" ref="A3:A19">Sites[Site]</f>
        <v>Williamsburg A</v>
      </c>
      <c r="B3" s="38" t="str" cm="1">
        <f t="array" ref="B3:B19">Sites[State]</f>
        <v>MA</v>
      </c>
      <c r="C3" s="69" t="str" cm="1">
        <f t="array" aca="1" ref="C3:K3" ca="1">IF(INDIRECT("'" &amp; $A3 &amp; "'!B8:J8")="", "", INDIRECT("'" &amp; $A3 &amp; "'!B8:J8"))</f>
        <v/>
      </c>
      <c r="D3" s="69" t="str">
        <f ca="1"/>
        <v/>
      </c>
      <c r="E3" s="69">
        <f ca="1"/>
        <v>0</v>
      </c>
      <c r="F3" s="70">
        <f ca="1"/>
        <v>0</v>
      </c>
      <c r="G3" s="71" t="str">
        <f ca="1"/>
        <v/>
      </c>
      <c r="H3" s="71">
        <f ca="1"/>
        <v>0</v>
      </c>
      <c r="I3" s="72">
        <f ca="1"/>
        <v>0</v>
      </c>
      <c r="J3" s="92" t="str">
        <f ca="1"/>
        <v/>
      </c>
      <c r="K3" s="23" t="str">
        <f ca="1"/>
        <v/>
      </c>
    </row>
    <row r="4" spans="1:19" ht="15.75">
      <c r="A4" s="50" t="str">
        <v>Orange A KB</v>
      </c>
      <c r="B4" s="20" t="str">
        <v>MA</v>
      </c>
      <c r="C4" s="69" t="str" cm="1">
        <f t="array" aca="1" ref="C4:K4" ca="1">IF(INDIRECT("'" &amp; $A4 &amp; "'!B8:J8")="", "", INDIRECT("'" &amp; $A4 &amp; "'!B8:J8"))</f>
        <v/>
      </c>
      <c r="D4" s="69" t="str">
        <f ca="1"/>
        <v/>
      </c>
      <c r="E4" s="69">
        <f ca="1"/>
        <v>0</v>
      </c>
      <c r="F4" s="70">
        <f ca="1"/>
        <v>0</v>
      </c>
      <c r="G4" s="71" t="str">
        <f ca="1"/>
        <v/>
      </c>
      <c r="H4" s="71">
        <f ca="1"/>
        <v>0</v>
      </c>
      <c r="I4" s="72">
        <f ca="1"/>
        <v>0</v>
      </c>
      <c r="J4" s="92" t="str">
        <f ca="1"/>
        <v/>
      </c>
      <c r="K4" s="23" t="str">
        <f ca="1"/>
        <v/>
      </c>
    </row>
    <row r="5" spans="1:19" ht="15.75">
      <c r="A5" s="51" t="str">
        <v>Goshen A</v>
      </c>
      <c r="B5" s="38" t="str">
        <v>MA</v>
      </c>
      <c r="C5" s="69" t="str" cm="1">
        <f t="array" aca="1" ref="C5:K5" ca="1">IF(INDIRECT("'" &amp; $A5 &amp; "'!B8:J8")="", "", INDIRECT("'" &amp; $A5 &amp; "'!B8:J8"))</f>
        <v/>
      </c>
      <c r="D5" s="69" t="str">
        <f ca="1"/>
        <v/>
      </c>
      <c r="E5" s="69">
        <f ca="1"/>
        <v>0</v>
      </c>
      <c r="F5" s="70">
        <f ca="1"/>
        <v>0</v>
      </c>
      <c r="G5" s="71" t="str">
        <f ca="1"/>
        <v/>
      </c>
      <c r="H5" s="71">
        <f ca="1"/>
        <v>0</v>
      </c>
      <c r="I5" s="72">
        <f ca="1"/>
        <v>0</v>
      </c>
      <c r="J5" s="92" t="str">
        <f ca="1"/>
        <v/>
      </c>
      <c r="K5" s="23" t="str">
        <f ca="1"/>
        <v/>
      </c>
    </row>
    <row r="6" spans="1:19" ht="15.75">
      <c r="A6" s="50" t="str">
        <v>Phillipston A KB</v>
      </c>
      <c r="B6" s="20" t="str">
        <v>MA</v>
      </c>
      <c r="C6" s="69" t="str" cm="1">
        <f t="array" aca="1" ref="C6:K6" ca="1">IF(INDIRECT("'" &amp; $A6 &amp; "'!B8:J8")="", "", INDIRECT("'" &amp; $A6 &amp; "'!B8:J8"))</f>
        <v/>
      </c>
      <c r="D6" s="69" t="str">
        <f ca="1"/>
        <v/>
      </c>
      <c r="E6" s="69">
        <f ca="1"/>
        <v>0</v>
      </c>
      <c r="F6" s="70">
        <f ca="1"/>
        <v>0</v>
      </c>
      <c r="G6" s="71" t="str">
        <f ca="1"/>
        <v/>
      </c>
      <c r="H6" s="71">
        <f ca="1"/>
        <v>0</v>
      </c>
      <c r="I6" s="72">
        <f ca="1"/>
        <v>0</v>
      </c>
      <c r="J6" s="54" t="str">
        <f ca="1"/>
        <v/>
      </c>
      <c r="K6" s="22" t="str">
        <f ca="1"/>
        <v/>
      </c>
    </row>
    <row r="7" spans="1:19" ht="15.75">
      <c r="A7" s="51" t="str">
        <v>Uxbridge D</v>
      </c>
      <c r="B7" s="38" t="str">
        <v>MA</v>
      </c>
      <c r="C7" s="69" t="str" cm="1">
        <f t="array" aca="1" ref="C7:K7" ca="1">IF(INDIRECT("'" &amp; $A7 &amp; "'!B8:J8")="", "", INDIRECT("'" &amp; $A7 &amp; "'!B8:J8"))</f>
        <v/>
      </c>
      <c r="D7" s="69" t="str">
        <f ca="1"/>
        <v/>
      </c>
      <c r="E7" s="69">
        <f ca="1"/>
        <v>0</v>
      </c>
      <c r="F7" s="70">
        <f ca="1"/>
        <v>0</v>
      </c>
      <c r="G7" s="71" t="str">
        <f ca="1"/>
        <v/>
      </c>
      <c r="H7" s="71">
        <f ca="1"/>
        <v>0</v>
      </c>
      <c r="I7" s="72">
        <f ca="1"/>
        <v>0</v>
      </c>
      <c r="J7" s="54" t="str">
        <f ca="1"/>
        <v/>
      </c>
      <c r="K7" s="22" t="str">
        <f ca="1"/>
        <v/>
      </c>
    </row>
    <row r="8" spans="1:19" ht="15.75">
      <c r="A8" s="50" t="str">
        <v>West Bridgewater A&amp;B</v>
      </c>
      <c r="B8" s="20" t="str">
        <v>MA</v>
      </c>
      <c r="C8" s="69" t="str" cm="1">
        <f t="array" aca="1" ref="C8:K8" ca="1">IF(INDIRECT("'" &amp; $A8 &amp; "'!B8:J8")="", "", INDIRECT("'" &amp; $A8 &amp; "'!B8:J8"))</f>
        <v/>
      </c>
      <c r="D8" s="69" t="str">
        <f ca="1"/>
        <v/>
      </c>
      <c r="E8" s="69">
        <f ca="1"/>
        <v>0</v>
      </c>
      <c r="F8" s="70">
        <f ca="1"/>
        <v>0</v>
      </c>
      <c r="G8" s="71" t="str">
        <f ca="1"/>
        <v/>
      </c>
      <c r="H8" s="71">
        <f ca="1"/>
        <v>0</v>
      </c>
      <c r="I8" s="72">
        <f ca="1"/>
        <v>0</v>
      </c>
      <c r="J8" s="54" t="str">
        <f ca="1"/>
        <v/>
      </c>
      <c r="K8" s="22" t="str">
        <f ca="1"/>
        <v/>
      </c>
    </row>
    <row r="9" spans="1:19" ht="15.75">
      <c r="A9" s="51" t="str">
        <v>Sutton A</v>
      </c>
      <c r="B9" s="38" t="str">
        <v>MA</v>
      </c>
      <c r="C9" s="69" t="str" cm="1">
        <f t="array" aca="1" ref="C9:K9" ca="1">IF(INDIRECT("'" &amp; $A9 &amp; "'!B8:J8")="", "", INDIRECT("'" &amp; $A9 &amp; "'!B8:J8"))</f>
        <v/>
      </c>
      <c r="D9" s="69" t="str">
        <f ca="1"/>
        <v/>
      </c>
      <c r="E9" s="69">
        <f ca="1"/>
        <v>0</v>
      </c>
      <c r="F9" s="70">
        <f ca="1"/>
        <v>0</v>
      </c>
      <c r="G9" s="71" t="str">
        <f ca="1"/>
        <v/>
      </c>
      <c r="H9" s="71">
        <f ca="1"/>
        <v>0</v>
      </c>
      <c r="I9" s="72">
        <f ca="1"/>
        <v>0</v>
      </c>
      <c r="J9" s="54" t="str">
        <f ca="1"/>
        <v/>
      </c>
      <c r="K9" s="22" t="str">
        <f ca="1"/>
        <v/>
      </c>
    </row>
    <row r="10" spans="1:19" ht="15.75">
      <c r="A10" s="50" t="str">
        <v>North Adams A</v>
      </c>
      <c r="B10" s="20" t="str">
        <v>MA</v>
      </c>
      <c r="C10" s="69" t="str" cm="1">
        <f t="array" aca="1" ref="C10:K10" ca="1">IF(INDIRECT("'" &amp; $A10 &amp; "'!B8:J8")="", "", INDIRECT("'" &amp; $A10 &amp; "'!B8:J8"))</f>
        <v/>
      </c>
      <c r="D10" s="69" t="str">
        <f ca="1"/>
        <v/>
      </c>
      <c r="E10" s="69">
        <f ca="1"/>
        <v>0</v>
      </c>
      <c r="F10" s="70">
        <f ca="1"/>
        <v>0</v>
      </c>
      <c r="G10" s="71" t="str">
        <f ca="1"/>
        <v/>
      </c>
      <c r="H10" s="71">
        <f ca="1"/>
        <v>0</v>
      </c>
      <c r="I10" s="72">
        <f ca="1"/>
        <v>0</v>
      </c>
      <c r="J10" s="54" t="str">
        <f ca="1"/>
        <v/>
      </c>
      <c r="K10" s="22" t="str">
        <f ca="1"/>
        <v/>
      </c>
    </row>
    <row r="11" spans="1:19" ht="15.75">
      <c r="A11" s="51" t="str">
        <v>North Adams B</v>
      </c>
      <c r="B11" s="38" t="str">
        <v>MA</v>
      </c>
      <c r="C11" s="69" t="str" cm="1">
        <f t="array" aca="1" ref="C11:K11" ca="1">IF(INDIRECT("'" &amp; $A11 &amp; "'!B8:J8")="", "", INDIRECT("'" &amp; $A11 &amp; "'!B8:J8"))</f>
        <v/>
      </c>
      <c r="D11" s="69" t="str">
        <f ca="1"/>
        <v/>
      </c>
      <c r="E11" s="69">
        <f ca="1"/>
        <v>0</v>
      </c>
      <c r="F11" s="70">
        <f ca="1"/>
        <v>0</v>
      </c>
      <c r="G11" s="71" t="str">
        <f ca="1"/>
        <v/>
      </c>
      <c r="H11" s="71">
        <f ca="1"/>
        <v>0</v>
      </c>
      <c r="I11" s="72">
        <f ca="1"/>
        <v>0</v>
      </c>
      <c r="J11" s="54" t="str">
        <f ca="1"/>
        <v/>
      </c>
      <c r="K11" s="22" t="str">
        <f ca="1"/>
        <v/>
      </c>
    </row>
    <row r="12" spans="1:19" ht="15.75">
      <c r="A12" s="50" t="str">
        <v>Clarksburg A</v>
      </c>
      <c r="B12" s="20" t="str">
        <v>MA</v>
      </c>
      <c r="C12" s="69" t="str" cm="1">
        <f t="array" aca="1" ref="C12:K12" ca="1">IF(INDIRECT("'" &amp; $A12 &amp; "'!B8:J8")="", "", INDIRECT("'" &amp; $A12 &amp; "'!B8:J8"))</f>
        <v/>
      </c>
      <c r="D12" s="69" t="str">
        <f ca="1"/>
        <v/>
      </c>
      <c r="E12" s="69">
        <f ca="1"/>
        <v>0</v>
      </c>
      <c r="F12" s="70">
        <f ca="1"/>
        <v>0</v>
      </c>
      <c r="G12" s="71" t="str">
        <f ca="1"/>
        <v/>
      </c>
      <c r="H12" s="71">
        <f ca="1"/>
        <v>0</v>
      </c>
      <c r="I12" s="72">
        <f ca="1"/>
        <v>0</v>
      </c>
      <c r="J12" s="54" t="str">
        <f ca="1"/>
        <v/>
      </c>
      <c r="K12" s="22" t="str">
        <f ca="1"/>
        <v/>
      </c>
      <c r="S12" s="3"/>
    </row>
    <row r="13" spans="1:19" ht="15.75">
      <c r="A13" s="51" t="str">
        <v>Swansea B</v>
      </c>
      <c r="B13" s="38" t="str">
        <v>MA</v>
      </c>
      <c r="C13" s="69" t="str" cm="1">
        <f t="array" aca="1" ref="C13:K13" ca="1">IF(INDIRECT("'" &amp; $A13 &amp; "'!B8:J8")="", "", INDIRECT("'" &amp; $A13 &amp; "'!B8:J8"))</f>
        <v/>
      </c>
      <c r="D13" s="69" t="str">
        <f ca="1"/>
        <v/>
      </c>
      <c r="E13" s="69">
        <f ca="1"/>
        <v>0</v>
      </c>
      <c r="F13" s="70">
        <f ca="1"/>
        <v>0</v>
      </c>
      <c r="G13" s="71" t="str">
        <f ca="1"/>
        <v/>
      </c>
      <c r="H13" s="71">
        <f ca="1"/>
        <v>0</v>
      </c>
      <c r="I13" s="72">
        <f ca="1"/>
        <v>0</v>
      </c>
      <c r="J13" s="54" t="str">
        <f ca="1"/>
        <v/>
      </c>
      <c r="K13" s="22" t="str">
        <f ca="1"/>
        <v/>
      </c>
      <c r="S13" s="3"/>
    </row>
    <row r="14" spans="1:19" ht="15.75">
      <c r="A14" s="50" t="str">
        <v>Wareham 2</v>
      </c>
      <c r="B14" s="20" t="str">
        <v>MA</v>
      </c>
      <c r="C14" s="69" t="str" cm="1">
        <f t="array" aca="1" ref="C14:K14" ca="1">IF(INDIRECT("'" &amp; $A14 &amp; "'!B8:J8")="", "", INDIRECT("'" &amp; $A14 &amp; "'!B8:J8"))</f>
        <v/>
      </c>
      <c r="D14" s="69" t="str">
        <f ca="1"/>
        <v/>
      </c>
      <c r="E14" s="69">
        <f ca="1"/>
        <v>0</v>
      </c>
      <c r="F14" s="70">
        <f ca="1"/>
        <v>0</v>
      </c>
      <c r="G14" s="71" t="str">
        <f ca="1"/>
        <v/>
      </c>
      <c r="H14" s="71">
        <f ca="1"/>
        <v>0</v>
      </c>
      <c r="I14" s="72">
        <f ca="1"/>
        <v>0</v>
      </c>
      <c r="J14" s="54" t="str">
        <f ca="1"/>
        <v/>
      </c>
      <c r="K14" s="22" t="str">
        <f ca="1"/>
        <v/>
      </c>
    </row>
    <row r="15" spans="1:19" ht="15.75">
      <c r="A15" s="51" t="str">
        <v>Kingston 1 KB</v>
      </c>
      <c r="B15" s="38" t="str">
        <v>MA</v>
      </c>
      <c r="C15" s="69" t="str" cm="1">
        <f t="array" aca="1" ref="C15:K15" ca="1">IF(INDIRECT("'" &amp; $A15 &amp; "'!B8:J8")="", "", INDIRECT("'" &amp; $A15 &amp; "'!B8:J8"))</f>
        <v/>
      </c>
      <c r="D15" s="69" t="str">
        <f ca="1"/>
        <v/>
      </c>
      <c r="E15" s="69">
        <f ca="1"/>
        <v>0</v>
      </c>
      <c r="F15" s="70">
        <f ca="1"/>
        <v>0</v>
      </c>
      <c r="G15" s="71" t="str">
        <f ca="1"/>
        <v/>
      </c>
      <c r="H15" s="71">
        <f ca="1"/>
        <v>0</v>
      </c>
      <c r="I15" s="72">
        <f ca="1"/>
        <v>0</v>
      </c>
      <c r="J15" s="92" t="str">
        <f ca="1"/>
        <v/>
      </c>
      <c r="K15" s="23" t="str">
        <f ca="1"/>
        <v/>
      </c>
    </row>
    <row r="16" spans="1:19" ht="15.75">
      <c r="A16" s="73" t="str">
        <v>Kingston 2 KB</v>
      </c>
      <c r="B16" s="74" t="str">
        <v>MA</v>
      </c>
      <c r="C16" s="69" t="str" cm="1">
        <f t="array" aca="1" ref="C16:K16" ca="1">IF(INDIRECT("'" &amp; $A16 &amp; "'!B8:J8")="", "", INDIRECT("'" &amp; $A16 &amp; "'!B8:J8"))</f>
        <v/>
      </c>
      <c r="D16" s="69" t="str">
        <f ca="1"/>
        <v/>
      </c>
      <c r="E16" s="69">
        <f ca="1"/>
        <v>0</v>
      </c>
      <c r="F16" s="70">
        <f ca="1"/>
        <v>0</v>
      </c>
      <c r="G16" s="71" t="str">
        <f ca="1"/>
        <v/>
      </c>
      <c r="H16" s="71">
        <f ca="1"/>
        <v>0</v>
      </c>
      <c r="I16" s="72">
        <f ca="1"/>
        <v>0</v>
      </c>
      <c r="J16" s="93" t="str">
        <f ca="1"/>
        <v/>
      </c>
      <c r="K16" s="93" t="str">
        <f ca="1"/>
        <v/>
      </c>
    </row>
    <row r="17" spans="1:11" ht="15.75">
      <c r="A17" s="51" t="str">
        <v>Holliston B</v>
      </c>
      <c r="B17" s="38" t="str">
        <v>MA</v>
      </c>
      <c r="C17" s="69" t="str" cm="1">
        <f t="array" aca="1" ref="C17:K17" ca="1">IF(INDIRECT("'" &amp; $A17 &amp; "'!B8:J8")="", "", INDIRECT("'" &amp; $A17 &amp; "'!B8:J8"))</f>
        <v/>
      </c>
      <c r="D17" s="69" t="str">
        <f ca="1"/>
        <v/>
      </c>
      <c r="E17" s="69">
        <f ca="1"/>
        <v>0</v>
      </c>
      <c r="F17" s="70">
        <f ca="1"/>
        <v>0</v>
      </c>
      <c r="G17" s="71" t="str">
        <f ca="1"/>
        <v/>
      </c>
      <c r="H17" s="71">
        <f ca="1"/>
        <v>0</v>
      </c>
      <c r="I17" s="72">
        <f ca="1"/>
        <v>0</v>
      </c>
      <c r="J17" s="93" t="str">
        <f ca="1"/>
        <v/>
      </c>
      <c r="K17" s="93" t="str">
        <f ca="1"/>
        <v/>
      </c>
    </row>
    <row r="18" spans="1:11" ht="15.75">
      <c r="A18" s="73" t="str">
        <v>Fairhaven C</v>
      </c>
      <c r="B18" s="74" t="str">
        <v>MA</v>
      </c>
      <c r="C18" s="69" t="str" cm="1">
        <f t="array" aca="1" ref="C18:K18" ca="1">IF(INDIRECT("'" &amp; $A18 &amp; "'!B8:J8")="", "", INDIRECT("'" &amp; $A18 &amp; "'!B8:J8"))</f>
        <v/>
      </c>
      <c r="D18" s="69" t="str">
        <f ca="1"/>
        <v/>
      </c>
      <c r="E18" s="69">
        <f ca="1"/>
        <v>0</v>
      </c>
      <c r="F18" s="70">
        <f ca="1"/>
        <v>0</v>
      </c>
      <c r="G18" s="71" t="str">
        <f ca="1"/>
        <v/>
      </c>
      <c r="H18" s="71">
        <f ca="1"/>
        <v>0</v>
      </c>
      <c r="I18" s="72">
        <f ca="1"/>
        <v>0</v>
      </c>
      <c r="J18" s="93" t="str">
        <f ca="1"/>
        <v/>
      </c>
      <c r="K18" s="93" t="str">
        <f ca="1"/>
        <v/>
      </c>
    </row>
    <row r="19" spans="1:11" ht="15.75">
      <c r="A19" s="51" t="str">
        <v>Plympton A-2</v>
      </c>
      <c r="B19" s="38" t="str">
        <v>MA</v>
      </c>
      <c r="C19" s="69" t="str" cm="1">
        <f t="array" aca="1" ref="C19:K19" ca="1">IF(INDIRECT("'" &amp; $A19 &amp; "'!B8:J8")="", "", INDIRECT("'" &amp; $A19 &amp; "'!B8:J8"))</f>
        <v/>
      </c>
      <c r="D19" s="69" t="str">
        <f ca="1"/>
        <v/>
      </c>
      <c r="E19" s="69">
        <f ca="1"/>
        <v>0</v>
      </c>
      <c r="F19" s="70">
        <f ca="1"/>
        <v>0</v>
      </c>
      <c r="G19" s="71" t="str">
        <f ca="1"/>
        <v/>
      </c>
      <c r="H19" s="71">
        <f ca="1"/>
        <v>0</v>
      </c>
      <c r="I19" s="72">
        <f ca="1"/>
        <v>0</v>
      </c>
      <c r="J19" s="93" t="str">
        <f ca="1"/>
        <v/>
      </c>
      <c r="K19" s="93" t="str">
        <f ca="1"/>
        <v/>
      </c>
    </row>
    <row r="20" spans="1:11" ht="24.75" customHeight="1" thickBot="1">
      <c r="A20" s="63" t="s">
        <v>11</v>
      </c>
      <c r="B20" s="64"/>
      <c r="C20" s="65">
        <f ca="1">SUM(C3:C19)</f>
        <v>0</v>
      </c>
      <c r="D20" s="65">
        <f ca="1">SUM(D3:D19)</f>
        <v>0</v>
      </c>
      <c r="E20" s="65">
        <f ca="1">C20-D20</f>
        <v>0</v>
      </c>
      <c r="F20" s="66">
        <f ca="1">IFERROR(E20/D20, 0)</f>
        <v>0</v>
      </c>
      <c r="G20" s="65">
        <f ca="1">SUM(G3:G19)</f>
        <v>0</v>
      </c>
      <c r="H20" s="67">
        <f ca="1">C20-G20</f>
        <v>0</v>
      </c>
      <c r="I20" s="68">
        <f ca="1">IFERROR(H20/G20, 0)</f>
        <v>0</v>
      </c>
      <c r="J20" s="9"/>
    </row>
    <row r="21" spans="1:11">
      <c r="J21" s="9"/>
    </row>
    <row r="22" spans="1:11" ht="12.75" customHeight="1">
      <c r="A22" s="194" t="s">
        <v>12</v>
      </c>
      <c r="J22" s="9"/>
    </row>
    <row r="23" spans="1:11">
      <c r="A23" s="194"/>
      <c r="J23" s="9"/>
    </row>
    <row r="24" spans="1:11">
      <c r="A24" s="195" t="s">
        <v>13</v>
      </c>
      <c r="J24" s="9"/>
    </row>
    <row r="25" spans="1:11" ht="12.75" customHeight="1">
      <c r="A25" s="195"/>
      <c r="J25" s="9"/>
    </row>
    <row r="26" spans="1:11">
      <c r="J26" s="9"/>
    </row>
  </sheetData>
  <autoFilter ref="A2:I2" xr:uid="{9CEFA865-F03F-435F-98CB-83683B1083B8}"/>
  <mergeCells count="7">
    <mergeCell ref="A22:A23"/>
    <mergeCell ref="A24:A25"/>
    <mergeCell ref="G1:I1"/>
    <mergeCell ref="J1:J2"/>
    <mergeCell ref="K1:K2"/>
    <mergeCell ref="C1:F1"/>
    <mergeCell ref="A1:B1"/>
  </mergeCells>
  <conditionalFormatting sqref="F3:F20 I3:I20">
    <cfRule type="cellIs" dxfId="294" priority="1" operator="lessThanOrEqual">
      <formula>-0.1</formula>
    </cfRule>
    <cfRule type="cellIs" dxfId="29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26"/>
  <sheetViews>
    <sheetView workbookViewId="0">
      <pane ySplit="2" topLeftCell="A3" activePane="bottomLeft" state="frozen"/>
      <selection pane="bottomLeft" activeCell="D24" sqref="D24"/>
      <selection activeCell="D24" sqref="D24"/>
    </sheetView>
  </sheetViews>
  <sheetFormatPr defaultColWidth="8.85546875"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2" customWidth="1"/>
    <col min="11" max="11" width="22.140625" bestFit="1" customWidth="1"/>
    <col min="12" max="12" width="8.85546875" bestFit="1" customWidth="1"/>
  </cols>
  <sheetData>
    <row r="1" spans="1:11" ht="19.5" customHeight="1">
      <c r="A1" s="196" t="str" cm="1">
        <f t="array" ref="A1">portfolio</f>
        <v>MN8 KEF</v>
      </c>
      <c r="B1" s="197"/>
      <c r="C1" s="198" t="s">
        <v>30</v>
      </c>
      <c r="D1" s="199"/>
      <c r="E1" s="199"/>
      <c r="F1" s="200"/>
      <c r="G1" s="201" t="s">
        <v>31</v>
      </c>
      <c r="H1" s="201"/>
      <c r="I1" s="202"/>
      <c r="J1" s="190" t="s">
        <v>2</v>
      </c>
      <c r="K1" s="190" t="s">
        <v>3</v>
      </c>
    </row>
    <row r="2" spans="1:11" ht="14.25" customHeight="1" thickBot="1">
      <c r="A2" s="55" t="s">
        <v>4</v>
      </c>
      <c r="B2" s="56" t="s">
        <v>5</v>
      </c>
      <c r="C2" s="57" t="s">
        <v>6</v>
      </c>
      <c r="D2" s="58" t="s">
        <v>7</v>
      </c>
      <c r="E2" s="57" t="s">
        <v>8</v>
      </c>
      <c r="F2" s="59" t="s">
        <v>9</v>
      </c>
      <c r="G2" s="60" t="s">
        <v>10</v>
      </c>
      <c r="H2" s="61" t="s">
        <v>8</v>
      </c>
      <c r="I2" s="62" t="s">
        <v>9</v>
      </c>
      <c r="J2" s="191"/>
      <c r="K2" s="191"/>
    </row>
    <row r="3" spans="1:11" ht="15.75">
      <c r="A3" s="51" t="str" cm="1">
        <f t="array" ref="A3:A19">Sites[Site]</f>
        <v>Williamsburg A</v>
      </c>
      <c r="B3" s="38" t="str" cm="1">
        <f t="array" ref="B3:B19">Sites[State]</f>
        <v>MA</v>
      </c>
      <c r="C3" s="69" t="str" cm="1">
        <f t="array" aca="1" ref="C3:K3" ca="1">IF(INDIRECT("'" &amp; $A3 &amp; "'!B9:J9")="", "", INDIRECT("'" &amp; $A3 &amp; "'!B9:J9"))</f>
        <v/>
      </c>
      <c r="D3" s="69" t="str">
        <f ca="1"/>
        <v/>
      </c>
      <c r="E3" s="69">
        <f ca="1"/>
        <v>0</v>
      </c>
      <c r="F3" s="70">
        <f ca="1"/>
        <v>0</v>
      </c>
      <c r="G3" s="71" t="str">
        <f ca="1"/>
        <v/>
      </c>
      <c r="H3" s="71">
        <f ca="1"/>
        <v>0</v>
      </c>
      <c r="I3" s="72">
        <f ca="1"/>
        <v>0</v>
      </c>
      <c r="J3" s="92" t="str">
        <f ca="1"/>
        <v/>
      </c>
      <c r="K3" s="23" t="str">
        <f ca="1"/>
        <v/>
      </c>
    </row>
    <row r="4" spans="1:11" ht="15.75">
      <c r="A4" s="50" t="str">
        <v>Orange A KB</v>
      </c>
      <c r="B4" s="20" t="str">
        <v>MA</v>
      </c>
      <c r="C4" s="69" t="str" cm="1">
        <f t="array" aca="1" ref="C4:K4" ca="1">IF(INDIRECT("'" &amp; $A4 &amp; "'!B9:J9")="", "", INDIRECT("'" &amp; $A4 &amp; "'!B9:J9"))</f>
        <v/>
      </c>
      <c r="D4" s="69" t="str">
        <f ca="1"/>
        <v/>
      </c>
      <c r="E4" s="69">
        <f ca="1"/>
        <v>0</v>
      </c>
      <c r="F4" s="70">
        <f ca="1"/>
        <v>0</v>
      </c>
      <c r="G4" s="71" t="str">
        <f ca="1"/>
        <v/>
      </c>
      <c r="H4" s="71">
        <f ca="1"/>
        <v>0</v>
      </c>
      <c r="I4" s="72">
        <f ca="1"/>
        <v>0</v>
      </c>
      <c r="J4" s="92" t="str">
        <f ca="1"/>
        <v/>
      </c>
      <c r="K4" s="23" t="str">
        <f ca="1"/>
        <v/>
      </c>
    </row>
    <row r="5" spans="1:11" ht="15.75">
      <c r="A5" s="51" t="str">
        <v>Goshen A</v>
      </c>
      <c r="B5" s="38" t="str">
        <v>MA</v>
      </c>
      <c r="C5" s="69" t="str" cm="1">
        <f t="array" aca="1" ref="C5:K5" ca="1">IF(INDIRECT("'" &amp; $A5 &amp; "'!B9:J9")="", "", INDIRECT("'" &amp; $A5 &amp; "'!B9:J9"))</f>
        <v/>
      </c>
      <c r="D5" s="69" t="str">
        <f ca="1"/>
        <v/>
      </c>
      <c r="E5" s="69">
        <f ca="1"/>
        <v>0</v>
      </c>
      <c r="F5" s="70">
        <f ca="1"/>
        <v>0</v>
      </c>
      <c r="G5" s="71" t="str">
        <f ca="1"/>
        <v/>
      </c>
      <c r="H5" s="71">
        <f ca="1"/>
        <v>0</v>
      </c>
      <c r="I5" s="72">
        <f ca="1"/>
        <v>0</v>
      </c>
      <c r="J5" s="92" t="str">
        <f ca="1"/>
        <v/>
      </c>
      <c r="K5" s="23" t="str">
        <f ca="1"/>
        <v/>
      </c>
    </row>
    <row r="6" spans="1:11" ht="15.75">
      <c r="A6" s="50" t="str">
        <v>Phillipston A KB</v>
      </c>
      <c r="B6" s="20" t="str">
        <v>MA</v>
      </c>
      <c r="C6" s="69" t="str" cm="1">
        <f t="array" aca="1" ref="C6:K6" ca="1">IF(INDIRECT("'" &amp; $A6 &amp; "'!B9:J9")="", "", INDIRECT("'" &amp; $A6 &amp; "'!B9:J9"))</f>
        <v/>
      </c>
      <c r="D6" s="69" t="str">
        <f ca="1"/>
        <v/>
      </c>
      <c r="E6" s="69">
        <f ca="1"/>
        <v>0</v>
      </c>
      <c r="F6" s="70">
        <f ca="1"/>
        <v>0</v>
      </c>
      <c r="G6" s="71" t="str">
        <f ca="1"/>
        <v/>
      </c>
      <c r="H6" s="71">
        <f ca="1"/>
        <v>0</v>
      </c>
      <c r="I6" s="72">
        <f ca="1"/>
        <v>0</v>
      </c>
      <c r="J6" s="92" t="str">
        <f ca="1"/>
        <v/>
      </c>
      <c r="K6" s="23" t="str">
        <f ca="1"/>
        <v/>
      </c>
    </row>
    <row r="7" spans="1:11" ht="15.75">
      <c r="A7" s="51" t="str">
        <v>Uxbridge D</v>
      </c>
      <c r="B7" s="38" t="str">
        <v>MA</v>
      </c>
      <c r="C7" s="69" t="str" cm="1">
        <f t="array" aca="1" ref="C7:K7" ca="1">IF(INDIRECT("'" &amp; $A7 &amp; "'!B9:J9")="", "", INDIRECT("'" &amp; $A7 &amp; "'!B9:J9"))</f>
        <v/>
      </c>
      <c r="D7" s="69" t="str">
        <f ca="1"/>
        <v/>
      </c>
      <c r="E7" s="69">
        <f ca="1"/>
        <v>0</v>
      </c>
      <c r="F7" s="70">
        <f ca="1"/>
        <v>0</v>
      </c>
      <c r="G7" s="71" t="str">
        <f ca="1"/>
        <v/>
      </c>
      <c r="H7" s="71">
        <f ca="1"/>
        <v>0</v>
      </c>
      <c r="I7" s="72">
        <f ca="1"/>
        <v>0</v>
      </c>
      <c r="J7" s="92" t="str">
        <f ca="1"/>
        <v/>
      </c>
      <c r="K7" s="23" t="str">
        <f ca="1"/>
        <v/>
      </c>
    </row>
    <row r="8" spans="1:11" ht="15.75">
      <c r="A8" s="50" t="str">
        <v>West Bridgewater A&amp;B</v>
      </c>
      <c r="B8" s="20" t="str">
        <v>MA</v>
      </c>
      <c r="C8" s="69" t="str" cm="1">
        <f t="array" aca="1" ref="C8:K8" ca="1">IF(INDIRECT("'" &amp; $A8 &amp; "'!B9:J9")="", "", INDIRECT("'" &amp; $A8 &amp; "'!B9:J9"))</f>
        <v/>
      </c>
      <c r="D8" s="69" t="str">
        <f ca="1"/>
        <v/>
      </c>
      <c r="E8" s="69">
        <f ca="1"/>
        <v>0</v>
      </c>
      <c r="F8" s="70">
        <f ca="1"/>
        <v>0</v>
      </c>
      <c r="G8" s="71" t="str">
        <f ca="1"/>
        <v/>
      </c>
      <c r="H8" s="71">
        <f ca="1"/>
        <v>0</v>
      </c>
      <c r="I8" s="72">
        <f ca="1"/>
        <v>0</v>
      </c>
      <c r="J8" s="92" t="str">
        <f ca="1"/>
        <v/>
      </c>
      <c r="K8" s="23" t="str">
        <f ca="1"/>
        <v/>
      </c>
    </row>
    <row r="9" spans="1:11" ht="15.75">
      <c r="A9" s="51" t="str">
        <v>Sutton A</v>
      </c>
      <c r="B9" s="38" t="str">
        <v>MA</v>
      </c>
      <c r="C9" s="69" t="str" cm="1">
        <f t="array" aca="1" ref="C9:K9" ca="1">IF(INDIRECT("'" &amp; $A9 &amp; "'!B9:J9")="", "", INDIRECT("'" &amp; $A9 &amp; "'!B9:J9"))</f>
        <v/>
      </c>
      <c r="D9" s="69" t="str">
        <f ca="1"/>
        <v/>
      </c>
      <c r="E9" s="69">
        <f ca="1"/>
        <v>0</v>
      </c>
      <c r="F9" s="70">
        <f ca="1"/>
        <v>0</v>
      </c>
      <c r="G9" s="71" t="str">
        <f ca="1"/>
        <v/>
      </c>
      <c r="H9" s="71">
        <f ca="1"/>
        <v>0</v>
      </c>
      <c r="I9" s="72">
        <f ca="1"/>
        <v>0</v>
      </c>
      <c r="J9" s="54" t="str">
        <f ca="1"/>
        <v/>
      </c>
      <c r="K9" s="23" t="str">
        <f ca="1"/>
        <v/>
      </c>
    </row>
    <row r="10" spans="1:11" ht="15.75">
      <c r="A10" s="50" t="str">
        <v>North Adams A</v>
      </c>
      <c r="B10" s="20" t="str">
        <v>MA</v>
      </c>
      <c r="C10" s="69" t="str" cm="1">
        <f t="array" aca="1" ref="C10:K10" ca="1">IF(INDIRECT("'" &amp; $A10 &amp; "'!B9:J9")="", "", INDIRECT("'" &amp; $A10 &amp; "'!B9:J9"))</f>
        <v/>
      </c>
      <c r="D10" s="69" t="str">
        <f ca="1"/>
        <v/>
      </c>
      <c r="E10" s="69">
        <f ca="1"/>
        <v>0</v>
      </c>
      <c r="F10" s="70">
        <f ca="1"/>
        <v>0</v>
      </c>
      <c r="G10" s="71" t="str">
        <f ca="1"/>
        <v/>
      </c>
      <c r="H10" s="71">
        <f ca="1"/>
        <v>0</v>
      </c>
      <c r="I10" s="72">
        <f ca="1"/>
        <v>0</v>
      </c>
      <c r="J10" s="92" t="str">
        <f ca="1"/>
        <v/>
      </c>
      <c r="K10" s="23" t="str">
        <f ca="1"/>
        <v/>
      </c>
    </row>
    <row r="11" spans="1:11" ht="15.75">
      <c r="A11" s="51" t="str">
        <v>North Adams B</v>
      </c>
      <c r="B11" s="38" t="str">
        <v>MA</v>
      </c>
      <c r="C11" s="69" t="str" cm="1">
        <f t="array" aca="1" ref="C11:K11" ca="1">IF(INDIRECT("'" &amp; $A11 &amp; "'!B9:J9")="", "", INDIRECT("'" &amp; $A11 &amp; "'!B9:J9"))</f>
        <v/>
      </c>
      <c r="D11" s="69" t="str">
        <f ca="1"/>
        <v/>
      </c>
      <c r="E11" s="69">
        <f ca="1"/>
        <v>0</v>
      </c>
      <c r="F11" s="70">
        <f ca="1"/>
        <v>0</v>
      </c>
      <c r="G11" s="71" t="str">
        <f ca="1"/>
        <v/>
      </c>
      <c r="H11" s="71">
        <f ca="1"/>
        <v>0</v>
      </c>
      <c r="I11" s="72">
        <f ca="1"/>
        <v>0</v>
      </c>
      <c r="J11" s="92" t="str">
        <f ca="1"/>
        <v/>
      </c>
      <c r="K11" s="23" t="str">
        <f ca="1"/>
        <v/>
      </c>
    </row>
    <row r="12" spans="1:11" ht="15.75">
      <c r="A12" s="50" t="str">
        <v>Clarksburg A</v>
      </c>
      <c r="B12" s="20" t="str">
        <v>MA</v>
      </c>
      <c r="C12" s="69" t="str" cm="1">
        <f t="array" aca="1" ref="C12:K12" ca="1">IF(INDIRECT("'" &amp; $A12 &amp; "'!B9:J9")="", "", INDIRECT("'" &amp; $A12 &amp; "'!B9:J9"))</f>
        <v/>
      </c>
      <c r="D12" s="69" t="str">
        <f ca="1"/>
        <v/>
      </c>
      <c r="E12" s="69">
        <f ca="1"/>
        <v>0</v>
      </c>
      <c r="F12" s="70">
        <f ca="1"/>
        <v>0</v>
      </c>
      <c r="G12" s="71" t="str">
        <f ca="1"/>
        <v/>
      </c>
      <c r="H12" s="71">
        <f ca="1"/>
        <v>0</v>
      </c>
      <c r="I12" s="72">
        <f ca="1"/>
        <v>0</v>
      </c>
      <c r="J12" s="92" t="str">
        <f ca="1"/>
        <v/>
      </c>
      <c r="K12" s="23" t="str">
        <f ca="1"/>
        <v/>
      </c>
    </row>
    <row r="13" spans="1:11" ht="15.75">
      <c r="A13" s="51" t="str">
        <v>Swansea B</v>
      </c>
      <c r="B13" s="38" t="str">
        <v>MA</v>
      </c>
      <c r="C13" s="69" t="str" cm="1">
        <f t="array" aca="1" ref="C13:K13" ca="1">IF(INDIRECT("'" &amp; $A13 &amp; "'!B9:J9")="", "", INDIRECT("'" &amp; $A13 &amp; "'!B9:J9"))</f>
        <v/>
      </c>
      <c r="D13" s="69" t="str">
        <f ca="1"/>
        <v/>
      </c>
      <c r="E13" s="69">
        <f ca="1"/>
        <v>0</v>
      </c>
      <c r="F13" s="70">
        <f ca="1"/>
        <v>0</v>
      </c>
      <c r="G13" s="71" t="str">
        <f ca="1"/>
        <v/>
      </c>
      <c r="H13" s="71">
        <f ca="1"/>
        <v>0</v>
      </c>
      <c r="I13" s="72">
        <f ca="1"/>
        <v>0</v>
      </c>
      <c r="J13" s="92" t="str">
        <f ca="1"/>
        <v/>
      </c>
      <c r="K13" s="23" t="str">
        <f ca="1"/>
        <v/>
      </c>
    </row>
    <row r="14" spans="1:11" ht="16.5" customHeight="1">
      <c r="A14" s="50" t="str">
        <v>Wareham 2</v>
      </c>
      <c r="B14" s="20" t="str">
        <v>MA</v>
      </c>
      <c r="C14" s="69" t="str" cm="1">
        <f t="array" aca="1" ref="C14:K14" ca="1">IF(INDIRECT("'" &amp; $A14 &amp; "'!B9:J9")="", "", INDIRECT("'" &amp; $A14 &amp; "'!B9:J9"))</f>
        <v/>
      </c>
      <c r="D14" s="69" t="str">
        <f ca="1"/>
        <v/>
      </c>
      <c r="E14" s="69">
        <f ca="1"/>
        <v>0</v>
      </c>
      <c r="F14" s="70">
        <f ca="1"/>
        <v>0</v>
      </c>
      <c r="G14" s="71" t="str">
        <f ca="1"/>
        <v/>
      </c>
      <c r="H14" s="71">
        <f ca="1"/>
        <v>0</v>
      </c>
      <c r="I14" s="72">
        <f ca="1"/>
        <v>0</v>
      </c>
      <c r="J14" s="54" t="str">
        <f ca="1"/>
        <v/>
      </c>
      <c r="K14" s="23" t="str">
        <f ca="1"/>
        <v/>
      </c>
    </row>
    <row r="15" spans="1:11" ht="15.75">
      <c r="A15" s="51" t="str">
        <v>Kingston 1 KB</v>
      </c>
      <c r="B15" s="38" t="str">
        <v>MA</v>
      </c>
      <c r="C15" s="69" t="str" cm="1">
        <f t="array" aca="1" ref="C15:K15" ca="1">IF(INDIRECT("'" &amp; $A15 &amp; "'!B9:J9")="", "", INDIRECT("'" &amp; $A15 &amp; "'!B9:J9"))</f>
        <v/>
      </c>
      <c r="D15" s="69" t="str">
        <f ca="1"/>
        <v/>
      </c>
      <c r="E15" s="69">
        <f ca="1"/>
        <v>0</v>
      </c>
      <c r="F15" s="70">
        <f ca="1"/>
        <v>0</v>
      </c>
      <c r="G15" s="71" t="str">
        <f ca="1"/>
        <v/>
      </c>
      <c r="H15" s="71">
        <f ca="1"/>
        <v>0</v>
      </c>
      <c r="I15" s="72">
        <f ca="1"/>
        <v>0</v>
      </c>
      <c r="J15" s="92" t="str">
        <f ca="1"/>
        <v/>
      </c>
      <c r="K15" s="23" t="str">
        <f ca="1"/>
        <v/>
      </c>
    </row>
    <row r="16" spans="1:11" ht="15.75">
      <c r="A16" s="73" t="str">
        <v>Kingston 2 KB</v>
      </c>
      <c r="B16" s="74" t="str">
        <v>MA</v>
      </c>
      <c r="C16" s="69" t="str" cm="1">
        <f t="array" aca="1" ref="C16:K16" ca="1">IF(INDIRECT("'" &amp; $A16 &amp; "'!B9:J9")="", "", INDIRECT("'" &amp; $A16 &amp; "'!B9:J9"))</f>
        <v/>
      </c>
      <c r="D16" s="69" t="str">
        <f ca="1"/>
        <v/>
      </c>
      <c r="E16" s="69">
        <f ca="1"/>
        <v>0</v>
      </c>
      <c r="F16" s="70">
        <f ca="1"/>
        <v>0</v>
      </c>
      <c r="G16" s="71" t="str">
        <f ca="1"/>
        <v/>
      </c>
      <c r="H16" s="71">
        <f ca="1"/>
        <v>0</v>
      </c>
      <c r="I16" s="72">
        <f ca="1"/>
        <v>0</v>
      </c>
      <c r="J16" s="93" t="str">
        <f ca="1"/>
        <v/>
      </c>
      <c r="K16" s="93" t="str">
        <f ca="1"/>
        <v/>
      </c>
    </row>
    <row r="17" spans="1:11" ht="15.75">
      <c r="A17" s="51" t="str">
        <v>Holliston B</v>
      </c>
      <c r="B17" s="38" t="str">
        <v>MA</v>
      </c>
      <c r="C17" s="69" t="str" cm="1">
        <f t="array" aca="1" ref="C17:K17" ca="1">IF(INDIRECT("'" &amp; $A17 &amp; "'!B9:J9")="", "", INDIRECT("'" &amp; $A17 &amp; "'!B9:J9"))</f>
        <v/>
      </c>
      <c r="D17" s="69" t="str">
        <f ca="1"/>
        <v/>
      </c>
      <c r="E17" s="69">
        <f ca="1"/>
        <v>0</v>
      </c>
      <c r="F17" s="70">
        <f ca="1"/>
        <v>0</v>
      </c>
      <c r="G17" s="71" t="str">
        <f ca="1"/>
        <v/>
      </c>
      <c r="H17" s="71">
        <f ca="1"/>
        <v>0</v>
      </c>
      <c r="I17" s="72">
        <f ca="1"/>
        <v>0</v>
      </c>
      <c r="J17" s="93" t="str">
        <f ca="1"/>
        <v/>
      </c>
      <c r="K17" s="93" t="str">
        <f ca="1"/>
        <v/>
      </c>
    </row>
    <row r="18" spans="1:11" ht="15.75">
      <c r="A18" s="73" t="str">
        <v>Fairhaven C</v>
      </c>
      <c r="B18" s="74" t="str">
        <v>MA</v>
      </c>
      <c r="C18" s="69" t="str" cm="1">
        <f t="array" aca="1" ref="C18:K18" ca="1">IF(INDIRECT("'" &amp; $A18 &amp; "'!B9:J9")="", "", INDIRECT("'" &amp; $A18 &amp; "'!B9:J9"))</f>
        <v/>
      </c>
      <c r="D18" s="69" t="str">
        <f ca="1"/>
        <v/>
      </c>
      <c r="E18" s="69">
        <f ca="1"/>
        <v>0</v>
      </c>
      <c r="F18" s="70">
        <f ca="1"/>
        <v>0</v>
      </c>
      <c r="G18" s="71" t="str">
        <f ca="1"/>
        <v/>
      </c>
      <c r="H18" s="71">
        <f ca="1"/>
        <v>0</v>
      </c>
      <c r="I18" s="72">
        <f ca="1"/>
        <v>0</v>
      </c>
      <c r="J18" s="115" t="str">
        <f ca="1"/>
        <v/>
      </c>
      <c r="K18" s="115" t="str">
        <f ca="1"/>
        <v/>
      </c>
    </row>
    <row r="19" spans="1:11" ht="15.75">
      <c r="A19" s="51" t="str">
        <v>Plympton A-2</v>
      </c>
      <c r="B19" s="38" t="str">
        <v>MA</v>
      </c>
      <c r="C19" s="69" t="str" cm="1">
        <f t="array" aca="1" ref="C19:K19" ca="1">IF(INDIRECT("'" &amp; $A19 &amp; "'!B9:J9")="", "", INDIRECT("'" &amp; $A19 &amp; "'!B9:J9"))</f>
        <v/>
      </c>
      <c r="D19" s="69" t="str">
        <f ca="1"/>
        <v/>
      </c>
      <c r="E19" s="69">
        <f ca="1"/>
        <v>0</v>
      </c>
      <c r="F19" s="70">
        <f ca="1"/>
        <v>0</v>
      </c>
      <c r="G19" s="71" t="str">
        <f ca="1"/>
        <v/>
      </c>
      <c r="H19" s="71">
        <f ca="1"/>
        <v>0</v>
      </c>
      <c r="I19" s="72">
        <f ca="1"/>
        <v>0</v>
      </c>
      <c r="J19" s="93" t="str">
        <f ca="1"/>
        <v/>
      </c>
      <c r="K19" s="93" t="str">
        <f ca="1"/>
        <v/>
      </c>
    </row>
    <row r="20" spans="1:11" ht="24.75" customHeight="1" thickBot="1">
      <c r="A20" s="63" t="s">
        <v>11</v>
      </c>
      <c r="B20" s="64"/>
      <c r="C20" s="65">
        <f ca="1">SUM(C3:C19)</f>
        <v>0</v>
      </c>
      <c r="D20" s="65">
        <f ca="1">SUM(D3:D19)</f>
        <v>0</v>
      </c>
      <c r="E20" s="65">
        <f ca="1">C20-D20</f>
        <v>0</v>
      </c>
      <c r="F20" s="66">
        <f ca="1">IFERROR(E20/D20, 0)</f>
        <v>0</v>
      </c>
      <c r="G20" s="65">
        <f ca="1">SUM(G3:G19)</f>
        <v>0</v>
      </c>
      <c r="H20" s="67">
        <f ca="1">C20-G20</f>
        <v>0</v>
      </c>
      <c r="I20" s="68">
        <f ca="1">IFERROR(H20/G20, 0)</f>
        <v>0</v>
      </c>
      <c r="J20" s="9"/>
    </row>
    <row r="21" spans="1:11">
      <c r="J21" s="9"/>
    </row>
    <row r="22" spans="1:11" ht="12.75" customHeight="1">
      <c r="A22" s="194" t="s">
        <v>12</v>
      </c>
      <c r="J22" s="9"/>
    </row>
    <row r="23" spans="1:11">
      <c r="A23" s="194"/>
      <c r="J23" s="9"/>
    </row>
    <row r="24" spans="1:11">
      <c r="A24" s="195" t="s">
        <v>13</v>
      </c>
      <c r="J24" s="9"/>
    </row>
    <row r="25" spans="1:11" ht="12.75" customHeight="1">
      <c r="A25" s="195"/>
      <c r="J25" s="9"/>
    </row>
    <row r="26" spans="1:11">
      <c r="J26" s="9"/>
    </row>
  </sheetData>
  <autoFilter ref="A2:I2" xr:uid="{BC8A3C74-EDA3-4B8F-8C65-FD4243AE8FF6}"/>
  <mergeCells count="7">
    <mergeCell ref="A22:A23"/>
    <mergeCell ref="A24:A25"/>
    <mergeCell ref="G1:I1"/>
    <mergeCell ref="J1:J2"/>
    <mergeCell ref="K1:K2"/>
    <mergeCell ref="C1:F1"/>
    <mergeCell ref="A1:B1"/>
  </mergeCells>
  <conditionalFormatting sqref="F3:F20 I3:I20">
    <cfRule type="cellIs" dxfId="292" priority="1" operator="lessThanOrEqual">
      <formula>-0.1</formula>
    </cfRule>
    <cfRule type="cellIs" dxfId="29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26"/>
  <sheetViews>
    <sheetView topLeftCell="G1" workbookViewId="0">
      <pane ySplit="2" topLeftCell="A3" activePane="bottomLeft" state="frozen"/>
      <selection pane="bottomLeft" activeCell="D24" sqref="D24"/>
      <selection activeCell="D24" sqref="D24"/>
    </sheetView>
  </sheetViews>
  <sheetFormatPr defaultColWidth="8.85546875"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87.140625" customWidth="1"/>
    <col min="11" max="11" width="32.85546875" bestFit="1" customWidth="1"/>
    <col min="12" max="12" width="9.140625" bestFit="1" customWidth="1"/>
    <col min="13" max="13" width="8.85546875" bestFit="1" customWidth="1"/>
  </cols>
  <sheetData>
    <row r="1" spans="1:11" ht="15">
      <c r="A1" s="196" t="str" cm="1">
        <f t="array" ref="A1">portfolio</f>
        <v>MN8 KEF</v>
      </c>
      <c r="B1" s="197"/>
      <c r="C1" s="198" t="s">
        <v>32</v>
      </c>
      <c r="D1" s="199"/>
      <c r="E1" s="199"/>
      <c r="F1" s="200"/>
      <c r="G1" s="201" t="s">
        <v>33</v>
      </c>
      <c r="H1" s="201"/>
      <c r="I1" s="202"/>
      <c r="J1" s="190" t="s">
        <v>2</v>
      </c>
      <c r="K1" s="190" t="s">
        <v>3</v>
      </c>
    </row>
    <row r="2" spans="1:11" ht="14.25" thickBot="1">
      <c r="A2" s="55" t="s">
        <v>4</v>
      </c>
      <c r="B2" s="56" t="s">
        <v>5</v>
      </c>
      <c r="C2" s="57" t="s">
        <v>6</v>
      </c>
      <c r="D2" s="58" t="s">
        <v>7</v>
      </c>
      <c r="E2" s="57" t="s">
        <v>8</v>
      </c>
      <c r="F2" s="59" t="s">
        <v>9</v>
      </c>
      <c r="G2" s="60" t="s">
        <v>10</v>
      </c>
      <c r="H2" s="61" t="s">
        <v>8</v>
      </c>
      <c r="I2" s="62" t="s">
        <v>9</v>
      </c>
      <c r="J2" s="191"/>
      <c r="K2" s="191"/>
    </row>
    <row r="3" spans="1:11" ht="15.75">
      <c r="A3" s="51" t="str" cm="1">
        <f t="array" ref="A3:A19">Sites[Site]</f>
        <v>Williamsburg A</v>
      </c>
      <c r="B3" s="38" t="str" cm="1">
        <f t="array" ref="B3:B19">Sites[State]</f>
        <v>MA</v>
      </c>
      <c r="C3" s="69" t="str" cm="1">
        <f t="array" aca="1" ref="C3:K3" ca="1">IF(INDIRECT("'" &amp; $A3 &amp; "'!B10:J10")="", "", INDIRECT("'" &amp; $A3 &amp; "'!B10:J10"))</f>
        <v/>
      </c>
      <c r="D3" s="69" t="str">
        <f ca="1"/>
        <v/>
      </c>
      <c r="E3" s="69">
        <f ca="1"/>
        <v>0</v>
      </c>
      <c r="F3" s="70">
        <f ca="1"/>
        <v>0</v>
      </c>
      <c r="G3" s="71" t="str">
        <f ca="1"/>
        <v/>
      </c>
      <c r="H3" s="71">
        <f ca="1"/>
        <v>0</v>
      </c>
      <c r="I3" s="72">
        <f ca="1"/>
        <v>0</v>
      </c>
      <c r="J3" s="54" t="str">
        <f ca="1"/>
        <v/>
      </c>
      <c r="K3" s="22" t="str">
        <f ca="1"/>
        <v/>
      </c>
    </row>
    <row r="4" spans="1:11" ht="15.75">
      <c r="A4" s="50" t="str">
        <v>Orange A KB</v>
      </c>
      <c r="B4" s="20" t="str">
        <v>MA</v>
      </c>
      <c r="C4" s="69" t="str" cm="1">
        <f t="array" aca="1" ref="C4:K4" ca="1">IF(INDIRECT("'" &amp; $A4 &amp; "'!B10:J10")="", "", INDIRECT("'" &amp; $A4 &amp; "'!B10:J10"))</f>
        <v/>
      </c>
      <c r="D4" s="69" t="str">
        <f ca="1"/>
        <v/>
      </c>
      <c r="E4" s="69">
        <f ca="1"/>
        <v>0</v>
      </c>
      <c r="F4" s="70">
        <f ca="1"/>
        <v>0</v>
      </c>
      <c r="G4" s="71" t="str">
        <f ca="1"/>
        <v/>
      </c>
      <c r="H4" s="71">
        <f ca="1"/>
        <v>0</v>
      </c>
      <c r="I4" s="72">
        <f ca="1"/>
        <v>0</v>
      </c>
      <c r="J4" s="54" t="str">
        <f ca="1"/>
        <v/>
      </c>
      <c r="K4" s="23" t="str">
        <f ca="1"/>
        <v/>
      </c>
    </row>
    <row r="5" spans="1:11" ht="15.75">
      <c r="A5" s="51" t="str">
        <v>Goshen A</v>
      </c>
      <c r="B5" s="38" t="str">
        <v>MA</v>
      </c>
      <c r="C5" s="69" t="str" cm="1">
        <f t="array" aca="1" ref="C5:K5" ca="1">IF(INDIRECT("'" &amp; $A5 &amp; "'!B10:J10")="", "", INDIRECT("'" &amp; $A5 &amp; "'!B10:J10"))</f>
        <v/>
      </c>
      <c r="D5" s="69" t="str">
        <f ca="1"/>
        <v/>
      </c>
      <c r="E5" s="69">
        <f ca="1"/>
        <v>0</v>
      </c>
      <c r="F5" s="70">
        <f ca="1"/>
        <v>0</v>
      </c>
      <c r="G5" s="71" t="str">
        <f ca="1"/>
        <v/>
      </c>
      <c r="H5" s="71">
        <f ca="1"/>
        <v>0</v>
      </c>
      <c r="I5" s="72">
        <f ca="1"/>
        <v>0</v>
      </c>
      <c r="J5" s="54" t="str">
        <f ca="1"/>
        <v/>
      </c>
      <c r="K5" s="23" t="str">
        <f ca="1"/>
        <v/>
      </c>
    </row>
    <row r="6" spans="1:11" ht="15.75">
      <c r="A6" s="50" t="str">
        <v>Phillipston A KB</v>
      </c>
      <c r="B6" s="20" t="str">
        <v>MA</v>
      </c>
      <c r="C6" s="69" t="str" cm="1">
        <f t="array" aca="1" ref="C6:K6" ca="1">IF(INDIRECT("'" &amp; $A6 &amp; "'!B10:J10")="", "", INDIRECT("'" &amp; $A6 &amp; "'!B10:J10"))</f>
        <v/>
      </c>
      <c r="D6" s="69" t="str">
        <f ca="1"/>
        <v/>
      </c>
      <c r="E6" s="69">
        <f ca="1"/>
        <v>0</v>
      </c>
      <c r="F6" s="70">
        <f ca="1"/>
        <v>0</v>
      </c>
      <c r="G6" s="71" t="str">
        <f ca="1"/>
        <v/>
      </c>
      <c r="H6" s="71">
        <f ca="1"/>
        <v>0</v>
      </c>
      <c r="I6" s="72">
        <f ca="1"/>
        <v>0</v>
      </c>
      <c r="J6" s="54" t="str">
        <f ca="1"/>
        <v/>
      </c>
      <c r="K6" s="23" t="str">
        <f ca="1"/>
        <v/>
      </c>
    </row>
    <row r="7" spans="1:11" ht="15.75">
      <c r="A7" s="51" t="str">
        <v>Uxbridge D</v>
      </c>
      <c r="B7" s="38" t="str">
        <v>MA</v>
      </c>
      <c r="C7" s="69" t="str" cm="1">
        <f t="array" aca="1" ref="C7:K7" ca="1">IF(INDIRECT("'" &amp; $A7 &amp; "'!B10:J10")="", "", INDIRECT("'" &amp; $A7 &amp; "'!B10:J10"))</f>
        <v/>
      </c>
      <c r="D7" s="69" t="str">
        <f ca="1"/>
        <v/>
      </c>
      <c r="E7" s="69">
        <f ca="1"/>
        <v>0</v>
      </c>
      <c r="F7" s="70">
        <f ca="1"/>
        <v>0</v>
      </c>
      <c r="G7" s="71" t="str">
        <f ca="1"/>
        <v/>
      </c>
      <c r="H7" s="71">
        <f ca="1"/>
        <v>0</v>
      </c>
      <c r="I7" s="72">
        <f ca="1"/>
        <v>0</v>
      </c>
      <c r="J7" s="54" t="str">
        <f ca="1"/>
        <v/>
      </c>
      <c r="K7" s="23" t="str">
        <f ca="1"/>
        <v/>
      </c>
    </row>
    <row r="8" spans="1:11" ht="15.75">
      <c r="A8" s="50" t="str">
        <v>West Bridgewater A&amp;B</v>
      </c>
      <c r="B8" s="20" t="str">
        <v>MA</v>
      </c>
      <c r="C8" s="69" t="str" cm="1">
        <f t="array" aca="1" ref="C8:K8" ca="1">IF(INDIRECT("'" &amp; $A8 &amp; "'!B10:J10")="", "", INDIRECT("'" &amp; $A8 &amp; "'!B10:J10"))</f>
        <v/>
      </c>
      <c r="D8" s="69" t="str">
        <f ca="1"/>
        <v/>
      </c>
      <c r="E8" s="69">
        <f ca="1"/>
        <v>0</v>
      </c>
      <c r="F8" s="70">
        <f ca="1"/>
        <v>0</v>
      </c>
      <c r="G8" s="71" t="str">
        <f ca="1"/>
        <v/>
      </c>
      <c r="H8" s="71">
        <f ca="1"/>
        <v>0</v>
      </c>
      <c r="I8" s="72">
        <f ca="1"/>
        <v>0</v>
      </c>
      <c r="J8" s="54" t="str">
        <f ca="1"/>
        <v/>
      </c>
      <c r="K8" s="23" t="str">
        <f ca="1"/>
        <v/>
      </c>
    </row>
    <row r="9" spans="1:11" ht="15.75">
      <c r="A9" s="51" t="str">
        <v>Sutton A</v>
      </c>
      <c r="B9" s="38" t="str">
        <v>MA</v>
      </c>
      <c r="C9" s="69" t="str" cm="1">
        <f t="array" aca="1" ref="C9:K9" ca="1">IF(INDIRECT("'" &amp; $A9 &amp; "'!B10:J10")="", "", INDIRECT("'" &amp; $A9 &amp; "'!B10:J10"))</f>
        <v/>
      </c>
      <c r="D9" s="69" t="str">
        <f ca="1"/>
        <v/>
      </c>
      <c r="E9" s="69">
        <f ca="1"/>
        <v>0</v>
      </c>
      <c r="F9" s="70">
        <f ca="1"/>
        <v>0</v>
      </c>
      <c r="G9" s="71" t="str">
        <f ca="1"/>
        <v/>
      </c>
      <c r="H9" s="71">
        <f ca="1"/>
        <v>0</v>
      </c>
      <c r="I9" s="72">
        <f ca="1"/>
        <v>0</v>
      </c>
      <c r="J9" s="54" t="str">
        <f ca="1"/>
        <v/>
      </c>
      <c r="K9" s="23" t="str">
        <f ca="1"/>
        <v/>
      </c>
    </row>
    <row r="10" spans="1:11" ht="15.75">
      <c r="A10" s="50" t="str">
        <v>North Adams A</v>
      </c>
      <c r="B10" s="20" t="str">
        <v>MA</v>
      </c>
      <c r="C10" s="69" t="str" cm="1">
        <f t="array" aca="1" ref="C10:K10" ca="1">IF(INDIRECT("'" &amp; $A10 &amp; "'!B10:J10")="", "", INDIRECT("'" &amp; $A10 &amp; "'!B10:J10"))</f>
        <v/>
      </c>
      <c r="D10" s="69" t="str">
        <f ca="1"/>
        <v/>
      </c>
      <c r="E10" s="69">
        <f ca="1"/>
        <v>0</v>
      </c>
      <c r="F10" s="70">
        <f ca="1"/>
        <v>0</v>
      </c>
      <c r="G10" s="71" t="str">
        <f ca="1"/>
        <v/>
      </c>
      <c r="H10" s="71">
        <f ca="1"/>
        <v>0</v>
      </c>
      <c r="I10" s="72">
        <f ca="1"/>
        <v>0</v>
      </c>
      <c r="J10" s="54" t="str">
        <f ca="1"/>
        <v/>
      </c>
      <c r="K10" s="23" t="str">
        <f ca="1"/>
        <v/>
      </c>
    </row>
    <row r="11" spans="1:11" ht="15.75">
      <c r="A11" s="51" t="str">
        <v>North Adams B</v>
      </c>
      <c r="B11" s="38" t="str">
        <v>MA</v>
      </c>
      <c r="C11" s="69" t="str" cm="1">
        <f t="array" aca="1" ref="C11:K11" ca="1">IF(INDIRECT("'" &amp; $A11 &amp; "'!B10:J10")="", "", INDIRECT("'" &amp; $A11 &amp; "'!B10:J10"))</f>
        <v/>
      </c>
      <c r="D11" s="69" t="str">
        <f ca="1"/>
        <v/>
      </c>
      <c r="E11" s="69">
        <f ca="1"/>
        <v>0</v>
      </c>
      <c r="F11" s="70">
        <f ca="1"/>
        <v>0</v>
      </c>
      <c r="G11" s="71" t="str">
        <f ca="1"/>
        <v/>
      </c>
      <c r="H11" s="71">
        <f ca="1"/>
        <v>0</v>
      </c>
      <c r="I11" s="72">
        <f ca="1"/>
        <v>0</v>
      </c>
      <c r="J11" s="54" t="str">
        <f ca="1"/>
        <v/>
      </c>
      <c r="K11" s="23" t="str">
        <f ca="1"/>
        <v/>
      </c>
    </row>
    <row r="12" spans="1:11" ht="15.75">
      <c r="A12" s="50" t="str">
        <v>Clarksburg A</v>
      </c>
      <c r="B12" s="20" t="str">
        <v>MA</v>
      </c>
      <c r="C12" s="69" t="str" cm="1">
        <f t="array" aca="1" ref="C12:K12" ca="1">IF(INDIRECT("'" &amp; $A12 &amp; "'!B10:J10")="", "", INDIRECT("'" &amp; $A12 &amp; "'!B10:J10"))</f>
        <v/>
      </c>
      <c r="D12" s="69" t="str">
        <f ca="1"/>
        <v/>
      </c>
      <c r="E12" s="69">
        <f ca="1"/>
        <v>0</v>
      </c>
      <c r="F12" s="70">
        <f ca="1"/>
        <v>0</v>
      </c>
      <c r="G12" s="71" t="str">
        <f ca="1"/>
        <v/>
      </c>
      <c r="H12" s="71">
        <f ca="1"/>
        <v>0</v>
      </c>
      <c r="I12" s="72">
        <f ca="1"/>
        <v>0</v>
      </c>
      <c r="J12" s="54" t="str">
        <f ca="1"/>
        <v/>
      </c>
      <c r="K12" s="23" t="str">
        <f ca="1"/>
        <v/>
      </c>
    </row>
    <row r="13" spans="1:11" ht="15.75">
      <c r="A13" s="51" t="str">
        <v>Swansea B</v>
      </c>
      <c r="B13" s="38" t="str">
        <v>MA</v>
      </c>
      <c r="C13" s="69" t="str" cm="1">
        <f t="array" aca="1" ref="C13:K13" ca="1">IF(INDIRECT("'" &amp; $A13 &amp; "'!B10:J10")="", "", INDIRECT("'" &amp; $A13 &amp; "'!B10:J10"))</f>
        <v/>
      </c>
      <c r="D13" s="69" t="str">
        <f ca="1"/>
        <v/>
      </c>
      <c r="E13" s="69">
        <f ca="1"/>
        <v>0</v>
      </c>
      <c r="F13" s="70">
        <f ca="1"/>
        <v>0</v>
      </c>
      <c r="G13" s="71" t="str">
        <f ca="1"/>
        <v/>
      </c>
      <c r="H13" s="71">
        <f ca="1"/>
        <v>0</v>
      </c>
      <c r="I13" s="72">
        <f ca="1"/>
        <v>0</v>
      </c>
      <c r="J13" s="54" t="str">
        <f ca="1"/>
        <v/>
      </c>
      <c r="K13" s="23" t="str">
        <f ca="1"/>
        <v/>
      </c>
    </row>
    <row r="14" spans="1:11" ht="15.75">
      <c r="A14" s="50" t="str">
        <v>Wareham 2</v>
      </c>
      <c r="B14" s="20" t="str">
        <v>MA</v>
      </c>
      <c r="C14" s="69" t="str" cm="1">
        <f t="array" aca="1" ref="C14:K14" ca="1">IF(INDIRECT("'" &amp; $A14 &amp; "'!B10:J10")="", "", INDIRECT("'" &amp; $A14 &amp; "'!B10:J10"))</f>
        <v/>
      </c>
      <c r="D14" s="69" t="str">
        <f ca="1"/>
        <v/>
      </c>
      <c r="E14" s="69">
        <f ca="1"/>
        <v>0</v>
      </c>
      <c r="F14" s="70">
        <f ca="1"/>
        <v>0</v>
      </c>
      <c r="G14" s="71" t="str">
        <f ca="1"/>
        <v/>
      </c>
      <c r="H14" s="71">
        <f ca="1"/>
        <v>0</v>
      </c>
      <c r="I14" s="72">
        <f ca="1"/>
        <v>0</v>
      </c>
      <c r="J14" s="54" t="str">
        <f ca="1"/>
        <v/>
      </c>
      <c r="K14" s="23" t="str">
        <f ca="1"/>
        <v/>
      </c>
    </row>
    <row r="15" spans="1:11" ht="15.75">
      <c r="A15" s="51" t="str">
        <v>Kingston 1 KB</v>
      </c>
      <c r="B15" s="38" t="str">
        <v>MA</v>
      </c>
      <c r="C15" s="69" t="str" cm="1">
        <f t="array" aca="1" ref="C15:K15" ca="1">IF(INDIRECT("'" &amp; $A19 &amp; "'!B10:J10")="", "", INDIRECT("'" &amp; $A19 &amp; "'!B10:J10"))</f>
        <v/>
      </c>
      <c r="D15" s="69" t="str">
        <f ca="1"/>
        <v/>
      </c>
      <c r="E15" s="69">
        <f ca="1"/>
        <v>0</v>
      </c>
      <c r="F15" s="70">
        <f ca="1"/>
        <v>0</v>
      </c>
      <c r="G15" s="71" t="str">
        <f ca="1"/>
        <v/>
      </c>
      <c r="H15" s="71">
        <f ca="1"/>
        <v>0</v>
      </c>
      <c r="I15" s="72">
        <f ca="1"/>
        <v>0</v>
      </c>
      <c r="J15" s="54" t="str">
        <f ca="1"/>
        <v/>
      </c>
      <c r="K15" s="23" t="str">
        <f ca="1"/>
        <v/>
      </c>
    </row>
    <row r="16" spans="1:11" ht="15.75">
      <c r="A16" s="73" t="str">
        <v>Kingston 2 KB</v>
      </c>
      <c r="B16" s="74" t="str">
        <v>MA</v>
      </c>
      <c r="C16" s="69" t="str" cm="1">
        <f t="array" aca="1" ref="C16:K16" ca="1">IF(INDIRECT("'" &amp; $A16 &amp; "'!B10:J10")="", "", INDIRECT("'" &amp; $A16 &amp; "'!B10:J10"))</f>
        <v/>
      </c>
      <c r="D16" s="69" t="str">
        <f ca="1"/>
        <v/>
      </c>
      <c r="E16" s="69">
        <f ca="1"/>
        <v>0</v>
      </c>
      <c r="F16" s="70">
        <f ca="1"/>
        <v>0</v>
      </c>
      <c r="G16" s="71" t="str">
        <f ca="1"/>
        <v/>
      </c>
      <c r="H16" s="71">
        <f ca="1"/>
        <v>0</v>
      </c>
      <c r="I16" s="72">
        <f ca="1"/>
        <v>0</v>
      </c>
      <c r="J16" s="115" t="str">
        <f ca="1"/>
        <v/>
      </c>
      <c r="K16" s="93" t="str">
        <f ca="1"/>
        <v/>
      </c>
    </row>
    <row r="17" spans="1:11" ht="15.75">
      <c r="A17" s="51" t="str">
        <v>Holliston B</v>
      </c>
      <c r="B17" s="38" t="str">
        <v>MA</v>
      </c>
      <c r="C17" s="69" t="str" cm="1">
        <f t="array" aca="1" ref="C17:K17" ca="1">IF(INDIRECT("'" &amp; $A17 &amp; "'!B10:J10")="", "", INDIRECT("'" &amp; $A17 &amp; "'!B10:J10"))</f>
        <v/>
      </c>
      <c r="D17" s="69" t="str">
        <f ca="1"/>
        <v/>
      </c>
      <c r="E17" s="69">
        <f ca="1"/>
        <v>0</v>
      </c>
      <c r="F17" s="70">
        <f ca="1"/>
        <v>0</v>
      </c>
      <c r="G17" s="71" t="str">
        <f ca="1"/>
        <v/>
      </c>
      <c r="H17" s="71">
        <f ca="1"/>
        <v>0</v>
      </c>
      <c r="I17" s="72">
        <f ca="1"/>
        <v>0</v>
      </c>
      <c r="J17" s="115" t="str">
        <f ca="1"/>
        <v/>
      </c>
      <c r="K17" s="93" t="str">
        <f ca="1"/>
        <v/>
      </c>
    </row>
    <row r="18" spans="1:11" ht="15.75">
      <c r="A18" s="73" t="str">
        <v>Fairhaven C</v>
      </c>
      <c r="B18" s="74" t="str">
        <v>MA</v>
      </c>
      <c r="C18" s="69" t="str" cm="1">
        <f t="array" aca="1" ref="C18:K18" ca="1">IF(INDIRECT("'" &amp; $A18 &amp; "'!B10:J10")="", "", INDIRECT("'" &amp; $A18 &amp; "'!B10:J10"))</f>
        <v/>
      </c>
      <c r="D18" s="69" t="str">
        <f ca="1"/>
        <v/>
      </c>
      <c r="E18" s="69">
        <f ca="1"/>
        <v>0</v>
      </c>
      <c r="F18" s="70">
        <f ca="1"/>
        <v>0</v>
      </c>
      <c r="G18" s="71" t="str">
        <f ca="1"/>
        <v/>
      </c>
      <c r="H18" s="71">
        <f ca="1"/>
        <v>0</v>
      </c>
      <c r="I18" s="72">
        <f ca="1"/>
        <v>0</v>
      </c>
      <c r="J18" s="115" t="str">
        <f ca="1"/>
        <v/>
      </c>
      <c r="K18" s="93" t="str">
        <f ca="1"/>
        <v/>
      </c>
    </row>
    <row r="19" spans="1:11" ht="15.75">
      <c r="A19" s="51" t="str">
        <v>Plympton A-2</v>
      </c>
      <c r="B19" s="38" t="str">
        <v>MA</v>
      </c>
      <c r="C19" s="69" t="str" cm="1">
        <f t="array" aca="1" ref="C19:K19" ca="1">IF(INDIRECT("'" &amp; $A19 &amp; "'!B10:J10")="", "", INDIRECT("'" &amp; $A19 &amp; "'!B10:J10"))</f>
        <v/>
      </c>
      <c r="D19" s="69" t="str">
        <f ca="1"/>
        <v/>
      </c>
      <c r="E19" s="69">
        <f ca="1"/>
        <v>0</v>
      </c>
      <c r="F19" s="70">
        <f ca="1"/>
        <v>0</v>
      </c>
      <c r="G19" s="71" t="str">
        <f ca="1"/>
        <v/>
      </c>
      <c r="H19" s="71">
        <f ca="1"/>
        <v>0</v>
      </c>
      <c r="I19" s="72">
        <f ca="1"/>
        <v>0</v>
      </c>
      <c r="J19" s="115" t="str">
        <f ca="1"/>
        <v/>
      </c>
      <c r="K19" s="93" t="str">
        <f ca="1"/>
        <v/>
      </c>
    </row>
    <row r="20" spans="1:11" ht="13.9" thickBot="1">
      <c r="A20" s="63" t="s">
        <v>11</v>
      </c>
      <c r="B20" s="64"/>
      <c r="C20" s="65">
        <f ca="1">SUM(C3:C19)</f>
        <v>0</v>
      </c>
      <c r="D20" s="65">
        <f ca="1">SUM(D3:D19)</f>
        <v>0</v>
      </c>
      <c r="E20" s="65">
        <f ca="1">C20-D20</f>
        <v>0</v>
      </c>
      <c r="F20" s="66">
        <f ca="1">IFERROR(E20/D20, 0)</f>
        <v>0</v>
      </c>
      <c r="G20" s="65">
        <f ca="1">SUM(G3:G19)</f>
        <v>0</v>
      </c>
      <c r="H20" s="67">
        <f ca="1">C20-G20</f>
        <v>0</v>
      </c>
      <c r="I20" s="68">
        <f ca="1">IFERROR(H20/G20, 0)</f>
        <v>0</v>
      </c>
      <c r="J20" s="9"/>
    </row>
    <row r="21" spans="1:11">
      <c r="J21" s="9"/>
    </row>
    <row r="22" spans="1:11">
      <c r="A22" s="194" t="s">
        <v>12</v>
      </c>
      <c r="J22" s="9"/>
    </row>
    <row r="23" spans="1:11">
      <c r="A23" s="194"/>
      <c r="J23" s="9"/>
    </row>
    <row r="24" spans="1:11">
      <c r="A24" s="195" t="s">
        <v>13</v>
      </c>
      <c r="J24" s="9"/>
    </row>
    <row r="25" spans="1:11">
      <c r="A25" s="195"/>
      <c r="J25" s="9"/>
    </row>
    <row r="26" spans="1:11">
      <c r="J26" s="9"/>
    </row>
  </sheetData>
  <autoFilter ref="A2:I2" xr:uid="{6C08AFFB-6AF8-48AC-9706-52E390C2AC4B}"/>
  <mergeCells count="7">
    <mergeCell ref="A22:A23"/>
    <mergeCell ref="A24:A25"/>
    <mergeCell ref="G1:I1"/>
    <mergeCell ref="J1:J2"/>
    <mergeCell ref="K1:K2"/>
    <mergeCell ref="C1:F1"/>
    <mergeCell ref="A1:B1"/>
  </mergeCells>
  <conditionalFormatting sqref="F3:F20 I3:I20">
    <cfRule type="cellIs" dxfId="290" priority="1" operator="lessThanOrEqual">
      <formula>-0.1</formula>
    </cfRule>
    <cfRule type="cellIs" dxfId="28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26"/>
  <sheetViews>
    <sheetView workbookViewId="0">
      <pane ySplit="2" topLeftCell="A3" activePane="bottomLeft" state="frozen"/>
      <selection pane="bottomLeft" activeCell="D24" sqref="D24"/>
      <selection activeCell="D24" sqref="D24"/>
    </sheetView>
  </sheetViews>
  <sheetFormatPr defaultColWidth="8.85546875"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49.140625" customWidth="1"/>
    <col min="11" max="11" width="13.5703125" customWidth="1"/>
    <col min="12" max="12" width="8.85546875" bestFit="1" customWidth="1"/>
  </cols>
  <sheetData>
    <row r="1" spans="1:11" ht="19.5" customHeight="1">
      <c r="A1" s="196" t="str" cm="1">
        <f t="array" ref="A1">portfolio</f>
        <v>MN8 KEF</v>
      </c>
      <c r="B1" s="197"/>
      <c r="C1" s="198" t="s">
        <v>34</v>
      </c>
      <c r="D1" s="199"/>
      <c r="E1" s="199"/>
      <c r="F1" s="200"/>
      <c r="G1" s="201" t="s">
        <v>35</v>
      </c>
      <c r="H1" s="201"/>
      <c r="I1" s="202"/>
      <c r="J1" s="190" t="s">
        <v>2</v>
      </c>
      <c r="K1" s="190" t="s">
        <v>3</v>
      </c>
    </row>
    <row r="2" spans="1:11" ht="14.25" customHeight="1">
      <c r="A2" s="55" t="s">
        <v>4</v>
      </c>
      <c r="B2" s="56" t="s">
        <v>5</v>
      </c>
      <c r="C2" s="57" t="s">
        <v>6</v>
      </c>
      <c r="D2" s="58" t="s">
        <v>7</v>
      </c>
      <c r="E2" s="57" t="s">
        <v>8</v>
      </c>
      <c r="F2" s="59" t="s">
        <v>9</v>
      </c>
      <c r="G2" s="60" t="s">
        <v>10</v>
      </c>
      <c r="H2" s="61" t="s">
        <v>8</v>
      </c>
      <c r="I2" s="62" t="s">
        <v>9</v>
      </c>
      <c r="J2" s="203"/>
      <c r="K2" s="203"/>
    </row>
    <row r="3" spans="1:11" ht="15.75">
      <c r="A3" s="51" t="str" cm="1">
        <f t="array" ref="A3:A19">Sites[Site]</f>
        <v>Williamsburg A</v>
      </c>
      <c r="B3" s="38" t="str" cm="1">
        <f t="array" ref="B3:B19">Sites[State]</f>
        <v>MA</v>
      </c>
      <c r="C3" s="69" t="str" cm="1">
        <f t="array" aca="1" ref="C3:K3" ca="1">IF(INDIRECT("'" &amp; $A3 &amp; "'!B11:J11")="", "", INDIRECT("'" &amp; $A3 &amp; "'!B11:J11"))</f>
        <v/>
      </c>
      <c r="D3" s="69" t="str">
        <f ca="1"/>
        <v/>
      </c>
      <c r="E3" s="69">
        <f ca="1"/>
        <v>0</v>
      </c>
      <c r="F3" s="70">
        <f ca="1"/>
        <v>0</v>
      </c>
      <c r="G3" s="71" t="str">
        <f ca="1"/>
        <v/>
      </c>
      <c r="H3" s="71">
        <f ca="1"/>
        <v>0</v>
      </c>
      <c r="I3" s="72">
        <f ca="1"/>
        <v>0</v>
      </c>
      <c r="J3" s="116" t="str">
        <f ca="1"/>
        <v/>
      </c>
      <c r="K3" s="116" t="str">
        <f ca="1"/>
        <v/>
      </c>
    </row>
    <row r="4" spans="1:11" ht="15.75">
      <c r="A4" s="50" t="str">
        <v>Orange A KB</v>
      </c>
      <c r="B4" s="20" t="str">
        <v>MA</v>
      </c>
      <c r="C4" s="69" t="str" cm="1">
        <f t="array" aca="1" ref="C4:K4" ca="1">IF(INDIRECT("'" &amp; $A4 &amp; "'!B11:J11")="", "", INDIRECT("'" &amp; $A4 &amp; "'!B11:J11"))</f>
        <v/>
      </c>
      <c r="D4" s="69" t="str">
        <f ca="1"/>
        <v/>
      </c>
      <c r="E4" s="69">
        <f ca="1"/>
        <v>0</v>
      </c>
      <c r="F4" s="70">
        <f ca="1"/>
        <v>0</v>
      </c>
      <c r="G4" s="71" t="str">
        <f ca="1"/>
        <v/>
      </c>
      <c r="H4" s="71">
        <f ca="1"/>
        <v>0</v>
      </c>
      <c r="I4" s="72">
        <f ca="1"/>
        <v>0</v>
      </c>
      <c r="J4" s="116" t="str">
        <f ca="1"/>
        <v/>
      </c>
      <c r="K4" s="116" t="str">
        <f ca="1"/>
        <v/>
      </c>
    </row>
    <row r="5" spans="1:11" ht="15.75">
      <c r="A5" s="51" t="str">
        <v>Goshen A</v>
      </c>
      <c r="B5" s="38" t="str">
        <v>MA</v>
      </c>
      <c r="C5" s="69" t="str" cm="1">
        <f t="array" aca="1" ref="C5:K5" ca="1">IF(INDIRECT("'" &amp; $A5 &amp; "'!B11:J11")="", "", INDIRECT("'" &amp; $A5 &amp; "'!B11:J11"))</f>
        <v/>
      </c>
      <c r="D5" s="69" t="str">
        <f ca="1"/>
        <v/>
      </c>
      <c r="E5" s="69">
        <f ca="1"/>
        <v>0</v>
      </c>
      <c r="F5" s="70">
        <f ca="1"/>
        <v>0</v>
      </c>
      <c r="G5" s="71" t="str">
        <f ca="1"/>
        <v/>
      </c>
      <c r="H5" s="71">
        <f ca="1"/>
        <v>0</v>
      </c>
      <c r="I5" s="72">
        <f ca="1"/>
        <v>0</v>
      </c>
      <c r="J5" s="116" t="str">
        <f ca="1"/>
        <v/>
      </c>
      <c r="K5" s="116" t="str">
        <f ca="1"/>
        <v/>
      </c>
    </row>
    <row r="6" spans="1:11" ht="15.75">
      <c r="A6" s="50" t="str">
        <v>Phillipston A KB</v>
      </c>
      <c r="B6" s="20" t="str">
        <v>MA</v>
      </c>
      <c r="C6" s="69" t="str" cm="1">
        <f t="array" aca="1" ref="C6:K6" ca="1">IF(INDIRECT("'" &amp; $A6 &amp; "'!B11:J11")="", "", INDIRECT("'" &amp; $A6 &amp; "'!B11:J11"))</f>
        <v/>
      </c>
      <c r="D6" s="69" t="str">
        <f ca="1"/>
        <v/>
      </c>
      <c r="E6" s="69">
        <f ca="1"/>
        <v>0</v>
      </c>
      <c r="F6" s="70">
        <f ca="1"/>
        <v>0</v>
      </c>
      <c r="G6" s="71" t="str">
        <f ca="1"/>
        <v/>
      </c>
      <c r="H6" s="71">
        <f ca="1"/>
        <v>0</v>
      </c>
      <c r="I6" s="72">
        <f ca="1"/>
        <v>0</v>
      </c>
      <c r="J6" s="116" t="str">
        <f ca="1"/>
        <v/>
      </c>
      <c r="K6" s="116" t="str">
        <f ca="1"/>
        <v/>
      </c>
    </row>
    <row r="7" spans="1:11" ht="15.75">
      <c r="A7" s="51" t="str">
        <v>Uxbridge D</v>
      </c>
      <c r="B7" s="38" t="str">
        <v>MA</v>
      </c>
      <c r="C7" s="69" t="str" cm="1">
        <f t="array" aca="1" ref="C7:K7" ca="1">IF(INDIRECT("'" &amp; $A7 &amp; "'!B11:J11")="", "", INDIRECT("'" &amp; $A7 &amp; "'!B11:J11"))</f>
        <v/>
      </c>
      <c r="D7" s="69" t="str">
        <f ca="1"/>
        <v/>
      </c>
      <c r="E7" s="69">
        <f ca="1"/>
        <v>0</v>
      </c>
      <c r="F7" s="70">
        <f ca="1"/>
        <v>0</v>
      </c>
      <c r="G7" s="71" t="str">
        <f ca="1"/>
        <v/>
      </c>
      <c r="H7" s="71">
        <f ca="1"/>
        <v>0</v>
      </c>
      <c r="I7" s="72">
        <f ca="1"/>
        <v>0</v>
      </c>
      <c r="J7" s="116" t="str">
        <f ca="1"/>
        <v/>
      </c>
      <c r="K7" s="116" t="str">
        <f ca="1"/>
        <v/>
      </c>
    </row>
    <row r="8" spans="1:11" ht="15.75">
      <c r="A8" s="50" t="str">
        <v>West Bridgewater A&amp;B</v>
      </c>
      <c r="B8" s="20" t="str">
        <v>MA</v>
      </c>
      <c r="C8" s="69" t="str" cm="1">
        <f t="array" aca="1" ref="C8:K8" ca="1">IF(INDIRECT("'" &amp; $A8 &amp; "'!B11:J11")="", "", INDIRECT("'" &amp; $A8 &amp; "'!B11:J11"))</f>
        <v/>
      </c>
      <c r="D8" s="69" t="str">
        <f ca="1"/>
        <v/>
      </c>
      <c r="E8" s="69">
        <f ca="1"/>
        <v>0</v>
      </c>
      <c r="F8" s="70">
        <f ca="1"/>
        <v>0</v>
      </c>
      <c r="G8" s="71" t="str">
        <f ca="1"/>
        <v/>
      </c>
      <c r="H8" s="71">
        <f ca="1"/>
        <v>0</v>
      </c>
      <c r="I8" s="72">
        <f ca="1"/>
        <v>0</v>
      </c>
      <c r="J8" s="116" t="str">
        <f ca="1"/>
        <v/>
      </c>
      <c r="K8" s="116" t="str">
        <f ca="1"/>
        <v/>
      </c>
    </row>
    <row r="9" spans="1:11" ht="15.75">
      <c r="A9" s="51" t="str">
        <v>Sutton A</v>
      </c>
      <c r="B9" s="38" t="str">
        <v>MA</v>
      </c>
      <c r="C9" s="69" t="str" cm="1">
        <f t="array" aca="1" ref="C9:K9" ca="1">IF(INDIRECT("'" &amp; $A9 &amp; "'!B11:J11")="", "", INDIRECT("'" &amp; $A9 &amp; "'!B11:J11"))</f>
        <v/>
      </c>
      <c r="D9" s="69" t="str">
        <f ca="1"/>
        <v/>
      </c>
      <c r="E9" s="69">
        <f ca="1"/>
        <v>0</v>
      </c>
      <c r="F9" s="70">
        <f ca="1"/>
        <v>0</v>
      </c>
      <c r="G9" s="71" t="str">
        <f ca="1"/>
        <v/>
      </c>
      <c r="H9" s="71">
        <f ca="1"/>
        <v>0</v>
      </c>
      <c r="I9" s="72">
        <f ca="1"/>
        <v>0</v>
      </c>
      <c r="J9" s="116" t="str">
        <f ca="1"/>
        <v/>
      </c>
      <c r="K9" s="116" t="str">
        <f ca="1"/>
        <v/>
      </c>
    </row>
    <row r="10" spans="1:11" ht="15.75">
      <c r="A10" s="50" t="str">
        <v>North Adams A</v>
      </c>
      <c r="B10" s="20" t="str">
        <v>MA</v>
      </c>
      <c r="C10" s="69" t="str" cm="1">
        <f t="array" aca="1" ref="C10:K10" ca="1">IF(INDIRECT("'" &amp; $A10 &amp; "'!B11:J11")="", "", INDIRECT("'" &amp; $A10 &amp; "'!B11:J11"))</f>
        <v/>
      </c>
      <c r="D10" s="69" t="str">
        <f ca="1"/>
        <v/>
      </c>
      <c r="E10" s="69">
        <f ca="1"/>
        <v>0</v>
      </c>
      <c r="F10" s="70">
        <f ca="1"/>
        <v>0</v>
      </c>
      <c r="G10" s="71" t="str">
        <f ca="1"/>
        <v/>
      </c>
      <c r="H10" s="71">
        <f ca="1"/>
        <v>0</v>
      </c>
      <c r="I10" s="72">
        <f ca="1"/>
        <v>0</v>
      </c>
      <c r="J10" s="116" t="str">
        <f ca="1"/>
        <v/>
      </c>
      <c r="K10" s="116" t="str">
        <f ca="1"/>
        <v/>
      </c>
    </row>
    <row r="11" spans="1:11" ht="15.75">
      <c r="A11" s="51" t="str">
        <v>North Adams B</v>
      </c>
      <c r="B11" s="38" t="str">
        <v>MA</v>
      </c>
      <c r="C11" s="69" t="str" cm="1">
        <f t="array" aca="1" ref="C11:K11" ca="1">IF(INDIRECT("'" &amp; $A11 &amp; "'!B11:J11")="", "", INDIRECT("'" &amp; $A11 &amp; "'!B11:J11"))</f>
        <v/>
      </c>
      <c r="D11" s="69" t="str">
        <f ca="1"/>
        <v/>
      </c>
      <c r="E11" s="69">
        <f ca="1"/>
        <v>0</v>
      </c>
      <c r="F11" s="70">
        <f ca="1"/>
        <v>0</v>
      </c>
      <c r="G11" s="71" t="str">
        <f ca="1"/>
        <v/>
      </c>
      <c r="H11" s="71">
        <f ca="1"/>
        <v>0</v>
      </c>
      <c r="I11" s="72">
        <f ca="1"/>
        <v>0</v>
      </c>
      <c r="J11" s="116" t="str">
        <f ca="1"/>
        <v/>
      </c>
      <c r="K11" s="116" t="str">
        <f ca="1"/>
        <v/>
      </c>
    </row>
    <row r="12" spans="1:11" ht="15.75">
      <c r="A12" s="50" t="str">
        <v>Clarksburg A</v>
      </c>
      <c r="B12" s="20" t="str">
        <v>MA</v>
      </c>
      <c r="C12" s="69" t="str" cm="1">
        <f t="array" aca="1" ref="C12:K12" ca="1">IF(INDIRECT("'" &amp; $A12 &amp; "'!B11:J11")="", "", INDIRECT("'" &amp; $A12 &amp; "'!B11:J11"))</f>
        <v/>
      </c>
      <c r="D12" s="69" t="str">
        <f ca="1"/>
        <v/>
      </c>
      <c r="E12" s="69">
        <f ca="1"/>
        <v>0</v>
      </c>
      <c r="F12" s="70">
        <f ca="1"/>
        <v>0</v>
      </c>
      <c r="G12" s="71" t="str">
        <f ca="1"/>
        <v/>
      </c>
      <c r="H12" s="71">
        <f ca="1"/>
        <v>0</v>
      </c>
      <c r="I12" s="72">
        <f ca="1"/>
        <v>0</v>
      </c>
      <c r="J12" s="116" t="str">
        <f ca="1"/>
        <v/>
      </c>
      <c r="K12" s="116" t="str">
        <f ca="1"/>
        <v/>
      </c>
    </row>
    <row r="13" spans="1:11" ht="15.75">
      <c r="A13" s="51" t="str">
        <v>Swansea B</v>
      </c>
      <c r="B13" s="38" t="str">
        <v>MA</v>
      </c>
      <c r="C13" s="69" t="str" cm="1">
        <f t="array" aca="1" ref="C13:K13" ca="1">IF(INDIRECT("'" &amp; $A13 &amp; "'!B11:J11")="", "", INDIRECT("'" &amp; $A13 &amp; "'!B11:J11"))</f>
        <v/>
      </c>
      <c r="D13" s="69" t="str">
        <f ca="1"/>
        <v/>
      </c>
      <c r="E13" s="69">
        <f ca="1"/>
        <v>0</v>
      </c>
      <c r="F13" s="70">
        <f ca="1"/>
        <v>0</v>
      </c>
      <c r="G13" s="71" t="str">
        <f ca="1"/>
        <v/>
      </c>
      <c r="H13" s="71">
        <f ca="1"/>
        <v>0</v>
      </c>
      <c r="I13" s="72">
        <f ca="1"/>
        <v>0</v>
      </c>
      <c r="J13" s="116" t="str">
        <f ca="1"/>
        <v/>
      </c>
      <c r="K13" s="116" t="str">
        <f ca="1"/>
        <v/>
      </c>
    </row>
    <row r="14" spans="1:11" ht="15.75">
      <c r="A14" s="50" t="str">
        <v>Wareham 2</v>
      </c>
      <c r="B14" s="20" t="str">
        <v>MA</v>
      </c>
      <c r="C14" s="69" t="str" cm="1">
        <f t="array" aca="1" ref="C14:K14" ca="1">IF(INDIRECT("'" &amp; $A14 &amp; "'!B11:J11")="", "", INDIRECT("'" &amp; $A14 &amp; "'!B11:J11"))</f>
        <v/>
      </c>
      <c r="D14" s="69" t="str">
        <f ca="1"/>
        <v/>
      </c>
      <c r="E14" s="69">
        <f ca="1"/>
        <v>0</v>
      </c>
      <c r="F14" s="70">
        <f ca="1"/>
        <v>0</v>
      </c>
      <c r="G14" s="71" t="str">
        <f ca="1"/>
        <v/>
      </c>
      <c r="H14" s="71">
        <f ca="1"/>
        <v>0</v>
      </c>
      <c r="I14" s="72">
        <f ca="1"/>
        <v>0</v>
      </c>
      <c r="J14" s="116" t="str">
        <f ca="1"/>
        <v/>
      </c>
      <c r="K14" s="116" t="str">
        <f ca="1"/>
        <v/>
      </c>
    </row>
    <row r="15" spans="1:11" ht="15.75">
      <c r="A15" s="51" t="str">
        <v>Kingston 1 KB</v>
      </c>
      <c r="B15" s="38" t="str">
        <v>MA</v>
      </c>
      <c r="C15" s="69" t="str" cm="1">
        <f t="array" aca="1" ref="C15:K15" ca="1">IF(INDIRECT("'" &amp; $A15 &amp; "'!B11:J11")="", "", INDIRECT("'" &amp; $A15 &amp; "'!B11:J11"))</f>
        <v/>
      </c>
      <c r="D15" s="69" t="str">
        <f ca="1"/>
        <v/>
      </c>
      <c r="E15" s="69">
        <f ca="1"/>
        <v>0</v>
      </c>
      <c r="F15" s="70">
        <f ca="1"/>
        <v>0</v>
      </c>
      <c r="G15" s="71" t="str">
        <f ca="1"/>
        <v/>
      </c>
      <c r="H15" s="71">
        <f ca="1"/>
        <v>0</v>
      </c>
      <c r="I15" s="72">
        <f ca="1"/>
        <v>0</v>
      </c>
      <c r="J15" s="116" t="str">
        <f ca="1"/>
        <v/>
      </c>
      <c r="K15" s="116" t="str">
        <f ca="1"/>
        <v/>
      </c>
    </row>
    <row r="16" spans="1:11" ht="15.75">
      <c r="A16" s="73" t="str">
        <v>Kingston 2 KB</v>
      </c>
      <c r="B16" s="74" t="str">
        <v>MA</v>
      </c>
      <c r="C16" s="69" t="str" cm="1">
        <f t="array" aca="1" ref="C16:K16" ca="1">IF(INDIRECT("'" &amp; $A16 &amp; "'!B11:J11")="", "", INDIRECT("'" &amp; $A16 &amp; "'!B11:J11"))</f>
        <v/>
      </c>
      <c r="D16" s="69" t="str">
        <f ca="1"/>
        <v/>
      </c>
      <c r="E16" s="69">
        <f ca="1"/>
        <v>0</v>
      </c>
      <c r="F16" s="70">
        <f ca="1"/>
        <v>0</v>
      </c>
      <c r="G16" s="71" t="str">
        <f ca="1"/>
        <v/>
      </c>
      <c r="H16" s="71">
        <f ca="1"/>
        <v>0</v>
      </c>
      <c r="I16" s="72">
        <f ca="1"/>
        <v>0</v>
      </c>
      <c r="J16" s="116" t="str">
        <f ca="1"/>
        <v/>
      </c>
      <c r="K16" s="116" t="str">
        <f ca="1"/>
        <v/>
      </c>
    </row>
    <row r="17" spans="1:11" ht="15.75">
      <c r="A17" s="51" t="str">
        <v>Holliston B</v>
      </c>
      <c r="B17" s="38" t="str">
        <v>MA</v>
      </c>
      <c r="C17" s="69" t="str" cm="1">
        <f t="array" aca="1" ref="C17:K17" ca="1">IF(INDIRECT("'" &amp; $A17 &amp; "'!B11:J11")="", "", INDIRECT("'" &amp; $A17 &amp; "'!B11:J11"))</f>
        <v/>
      </c>
      <c r="D17" s="69" t="str">
        <f ca="1"/>
        <v/>
      </c>
      <c r="E17" s="69">
        <f ca="1"/>
        <v>0</v>
      </c>
      <c r="F17" s="70">
        <f ca="1"/>
        <v>0</v>
      </c>
      <c r="G17" s="71" t="str">
        <f ca="1"/>
        <v/>
      </c>
      <c r="H17" s="71">
        <f ca="1"/>
        <v>0</v>
      </c>
      <c r="I17" s="72">
        <f ca="1"/>
        <v>0</v>
      </c>
      <c r="J17" s="116" t="str">
        <f ca="1"/>
        <v/>
      </c>
      <c r="K17" s="116" t="str">
        <f ca="1"/>
        <v/>
      </c>
    </row>
    <row r="18" spans="1:11" ht="15.75">
      <c r="A18" s="73" t="str">
        <v>Fairhaven C</v>
      </c>
      <c r="B18" s="74" t="str">
        <v>MA</v>
      </c>
      <c r="C18" s="69" t="str" cm="1">
        <f t="array" aca="1" ref="C18:K18" ca="1">IF(INDIRECT("'" &amp; $A18 &amp; "'!B11:J11")="", "", INDIRECT("'" &amp; $A18 &amp; "'!B11:J11"))</f>
        <v/>
      </c>
      <c r="D18" s="69" t="str">
        <f ca="1"/>
        <v/>
      </c>
      <c r="E18" s="69">
        <f ca="1"/>
        <v>0</v>
      </c>
      <c r="F18" s="70">
        <f ca="1"/>
        <v>0</v>
      </c>
      <c r="G18" s="71" t="str">
        <f ca="1"/>
        <v/>
      </c>
      <c r="H18" s="71">
        <f ca="1"/>
        <v>0</v>
      </c>
      <c r="I18" s="72">
        <f ca="1"/>
        <v>0</v>
      </c>
      <c r="J18" s="116" t="str">
        <f ca="1"/>
        <v/>
      </c>
      <c r="K18" s="116" t="str">
        <f ca="1"/>
        <v/>
      </c>
    </row>
    <row r="19" spans="1:11" ht="15.75">
      <c r="A19" s="51" t="str">
        <v>Plympton A-2</v>
      </c>
      <c r="B19" s="38" t="str">
        <v>MA</v>
      </c>
      <c r="C19" s="69" t="str" cm="1">
        <f t="array" aca="1" ref="C19:K19" ca="1">IF(INDIRECT("'" &amp; $A19 &amp; "'!B11:J11")="", "", INDIRECT("'" &amp; $A19 &amp; "'!B11:J11"))</f>
        <v/>
      </c>
      <c r="D19" s="69" t="str">
        <f ca="1"/>
        <v/>
      </c>
      <c r="E19" s="69">
        <f ca="1"/>
        <v>0</v>
      </c>
      <c r="F19" s="70">
        <f ca="1"/>
        <v>0</v>
      </c>
      <c r="G19" s="71" t="str">
        <f ca="1"/>
        <v/>
      </c>
      <c r="H19" s="71">
        <f ca="1"/>
        <v>0</v>
      </c>
      <c r="I19" s="72">
        <f ca="1"/>
        <v>0</v>
      </c>
      <c r="J19" s="116" t="str">
        <f ca="1"/>
        <v/>
      </c>
      <c r="K19" s="116" t="str">
        <f ca="1"/>
        <v/>
      </c>
    </row>
    <row r="20" spans="1:11" ht="24.75" customHeight="1" thickBot="1">
      <c r="A20" s="63" t="s">
        <v>11</v>
      </c>
      <c r="B20" s="64"/>
      <c r="C20" s="65">
        <f ca="1">SUM(C3:C19)</f>
        <v>0</v>
      </c>
      <c r="D20" s="65">
        <f ca="1">SUM(D3:D19)</f>
        <v>0</v>
      </c>
      <c r="E20" s="65">
        <f ca="1">C20-D20</f>
        <v>0</v>
      </c>
      <c r="F20" s="66">
        <f ca="1">IFERROR(E20/D20, 0)</f>
        <v>0</v>
      </c>
      <c r="G20" s="65">
        <f ca="1">SUM(G3:G19)</f>
        <v>0</v>
      </c>
      <c r="H20" s="67">
        <f ca="1">C20-G20</f>
        <v>0</v>
      </c>
      <c r="I20" s="68">
        <f ca="1">IFERROR(H20/G20, 0)</f>
        <v>0</v>
      </c>
      <c r="J20" s="9"/>
    </row>
    <row r="21" spans="1:11">
      <c r="J21" s="9"/>
    </row>
    <row r="22" spans="1:11" ht="12.75" customHeight="1">
      <c r="A22" s="194" t="s">
        <v>12</v>
      </c>
      <c r="J22" s="9"/>
    </row>
    <row r="23" spans="1:11">
      <c r="A23" s="194"/>
      <c r="J23" s="9"/>
    </row>
    <row r="24" spans="1:11">
      <c r="A24" s="195" t="s">
        <v>13</v>
      </c>
      <c r="J24" s="9"/>
    </row>
    <row r="25" spans="1:11" ht="12.75" customHeight="1">
      <c r="A25" s="195"/>
      <c r="J25" s="9"/>
    </row>
    <row r="26" spans="1:11">
      <c r="J26" s="9"/>
    </row>
  </sheetData>
  <autoFilter ref="A2:I2" xr:uid="{957CD936-B73F-469A-B0B5-B8EA155C9C51}"/>
  <sortState xmlns:xlrd2="http://schemas.microsoft.com/office/spreadsheetml/2017/richdata2" ref="A3:K15">
    <sortCondition ref="A3:A15"/>
  </sortState>
  <mergeCells count="7">
    <mergeCell ref="A22:A23"/>
    <mergeCell ref="A24:A25"/>
    <mergeCell ref="G1:I1"/>
    <mergeCell ref="J1:J2"/>
    <mergeCell ref="K1:K2"/>
    <mergeCell ref="C1:F1"/>
    <mergeCell ref="A1:B1"/>
  </mergeCells>
  <conditionalFormatting sqref="F3:F20 I3:I20">
    <cfRule type="cellIs" dxfId="288" priority="1" operator="lessThanOrEqual">
      <formula>-0.1</formula>
    </cfRule>
    <cfRule type="cellIs" dxfId="28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6"/>
  <sheetViews>
    <sheetView zoomScale="110" zoomScaleNormal="110" workbookViewId="0">
      <pane ySplit="2" topLeftCell="A11" activePane="bottomLeft" state="frozen"/>
      <selection pane="bottomLeft" activeCell="D24" sqref="D24"/>
      <selection activeCell="D24" sqref="D24"/>
    </sheetView>
  </sheetViews>
  <sheetFormatPr defaultColWidth="8.85546875"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53.140625" customWidth="1"/>
    <col min="11" max="11" width="22.85546875" customWidth="1"/>
    <col min="12" max="12" width="8.85546875" bestFit="1" customWidth="1"/>
  </cols>
  <sheetData>
    <row r="1" spans="1:11" ht="19.5" customHeight="1">
      <c r="A1" s="196" t="str" cm="1">
        <f t="array" ref="A1">portfolio</f>
        <v>MN8 KEF</v>
      </c>
      <c r="B1" s="197"/>
      <c r="C1" s="198" t="s">
        <v>36</v>
      </c>
      <c r="D1" s="199"/>
      <c r="E1" s="199"/>
      <c r="F1" s="200"/>
      <c r="G1" s="201" t="s">
        <v>37</v>
      </c>
      <c r="H1" s="201"/>
      <c r="I1" s="202"/>
      <c r="J1" s="190" t="s">
        <v>2</v>
      </c>
      <c r="K1" s="190" t="s">
        <v>3</v>
      </c>
    </row>
    <row r="2" spans="1:11" ht="14.25" customHeight="1" thickBot="1">
      <c r="A2" s="55" t="s">
        <v>4</v>
      </c>
      <c r="B2" s="56" t="s">
        <v>5</v>
      </c>
      <c r="C2" s="57" t="s">
        <v>6</v>
      </c>
      <c r="D2" s="58" t="s">
        <v>7</v>
      </c>
      <c r="E2" s="57" t="s">
        <v>8</v>
      </c>
      <c r="F2" s="59" t="s">
        <v>9</v>
      </c>
      <c r="G2" s="60" t="s">
        <v>10</v>
      </c>
      <c r="H2" s="61" t="s">
        <v>8</v>
      </c>
      <c r="I2" s="62" t="s">
        <v>9</v>
      </c>
      <c r="J2" s="191"/>
      <c r="K2" s="191"/>
    </row>
    <row r="3" spans="1:11" ht="15.75">
      <c r="A3" s="51" t="str" cm="1">
        <f t="array" ref="A3:A19">Sites[Site]</f>
        <v>Williamsburg A</v>
      </c>
      <c r="B3" s="38" t="str" cm="1">
        <f t="array" ref="B3:B19">Sites[State]</f>
        <v>MA</v>
      </c>
      <c r="C3" s="69" t="str" cm="1">
        <f t="array" aca="1" ref="C3:K3" ca="1">IF(INDIRECT("'" &amp; $A3 &amp; "'!B12:J12")="", "", INDIRECT("'" &amp; $A3 &amp; "'!B12:J12"))</f>
        <v/>
      </c>
      <c r="D3" s="69" t="str">
        <f ca="1"/>
        <v/>
      </c>
      <c r="E3" s="69">
        <f ca="1"/>
        <v>0</v>
      </c>
      <c r="F3" s="70">
        <f ca="1"/>
        <v>0</v>
      </c>
      <c r="G3" s="71" t="str">
        <f ca="1"/>
        <v/>
      </c>
      <c r="H3" s="71">
        <f ca="1"/>
        <v>0</v>
      </c>
      <c r="I3" s="72">
        <f ca="1"/>
        <v>0</v>
      </c>
      <c r="J3" s="92" t="str">
        <f ca="1"/>
        <v/>
      </c>
      <c r="K3" s="23" t="str">
        <f ca="1"/>
        <v/>
      </c>
    </row>
    <row r="4" spans="1:11" ht="15.75">
      <c r="A4" s="50" t="str">
        <v>Orange A KB</v>
      </c>
      <c r="B4" s="20" t="str">
        <v>MA</v>
      </c>
      <c r="C4" s="69" t="str" cm="1">
        <f t="array" aca="1" ref="C4:K4" ca="1">IF(INDIRECT("'" &amp; $A4 &amp; "'!B12:J12")="", "", INDIRECT("'" &amp; $A4 &amp; "'!B12:J12"))</f>
        <v/>
      </c>
      <c r="D4" s="69" t="str">
        <f ca="1"/>
        <v/>
      </c>
      <c r="E4" s="69">
        <f ca="1"/>
        <v>0</v>
      </c>
      <c r="F4" s="70">
        <f ca="1"/>
        <v>0</v>
      </c>
      <c r="G4" s="71" t="str">
        <f ca="1"/>
        <v/>
      </c>
      <c r="H4" s="71">
        <f ca="1"/>
        <v>0</v>
      </c>
      <c r="I4" s="72">
        <f ca="1"/>
        <v>0</v>
      </c>
      <c r="J4" s="54" t="str">
        <f ca="1"/>
        <v/>
      </c>
      <c r="K4" s="22" t="str">
        <f ca="1"/>
        <v/>
      </c>
    </row>
    <row r="5" spans="1:11" ht="15.75">
      <c r="A5" s="51" t="str">
        <v>Goshen A</v>
      </c>
      <c r="B5" s="38" t="str">
        <v>MA</v>
      </c>
      <c r="C5" s="69" t="str" cm="1">
        <f t="array" aca="1" ref="C5:K5" ca="1">IF(INDIRECT("'" &amp; $A5 &amp; "'!B12:J12")="", "", INDIRECT("'" &amp; $A5 &amp; "'!B12:J12"))</f>
        <v/>
      </c>
      <c r="D5" s="69" t="str">
        <f ca="1"/>
        <v/>
      </c>
      <c r="E5" s="69">
        <f ca="1"/>
        <v>0</v>
      </c>
      <c r="F5" s="70">
        <f ca="1"/>
        <v>0</v>
      </c>
      <c r="G5" s="71" t="str">
        <f ca="1"/>
        <v/>
      </c>
      <c r="H5" s="71">
        <f ca="1"/>
        <v>0</v>
      </c>
      <c r="I5" s="72">
        <f ca="1"/>
        <v>0</v>
      </c>
      <c r="J5" s="54" t="str">
        <f ca="1"/>
        <v/>
      </c>
      <c r="K5" s="22" t="str">
        <f ca="1"/>
        <v/>
      </c>
    </row>
    <row r="6" spans="1:11" ht="15.75">
      <c r="A6" s="50" t="str">
        <v>Phillipston A KB</v>
      </c>
      <c r="B6" s="20" t="str">
        <v>MA</v>
      </c>
      <c r="C6" s="69" t="str" cm="1">
        <f t="array" aca="1" ref="C6:K6" ca="1">IF(INDIRECT("'" &amp; $A6 &amp; "'!B12:J12")="", "", INDIRECT("'" &amp; $A6 &amp; "'!B12:J12"))</f>
        <v/>
      </c>
      <c r="D6" s="69" t="str">
        <f ca="1"/>
        <v/>
      </c>
      <c r="E6" s="69">
        <f ca="1"/>
        <v>0</v>
      </c>
      <c r="F6" s="70">
        <f ca="1"/>
        <v>0</v>
      </c>
      <c r="G6" s="71" t="str">
        <f ca="1"/>
        <v/>
      </c>
      <c r="H6" s="71">
        <f ca="1"/>
        <v>0</v>
      </c>
      <c r="I6" s="72">
        <f ca="1"/>
        <v>0</v>
      </c>
      <c r="J6" s="54" t="str">
        <f ca="1"/>
        <v/>
      </c>
      <c r="K6" s="22" t="str">
        <f ca="1"/>
        <v/>
      </c>
    </row>
    <row r="7" spans="1:11" ht="15.75">
      <c r="A7" s="51" t="str">
        <v>Uxbridge D</v>
      </c>
      <c r="B7" s="38" t="str">
        <v>MA</v>
      </c>
      <c r="C7" s="69" t="str" cm="1">
        <f t="array" aca="1" ref="C7:K7" ca="1">IF(INDIRECT("'" &amp; $A7 &amp; "'!B12:J12")="", "", INDIRECT("'" &amp; $A7 &amp; "'!B12:J12"))</f>
        <v/>
      </c>
      <c r="D7" s="69" t="str">
        <f ca="1"/>
        <v/>
      </c>
      <c r="E7" s="69">
        <f ca="1"/>
        <v>0</v>
      </c>
      <c r="F7" s="70">
        <f ca="1"/>
        <v>0</v>
      </c>
      <c r="G7" s="71" t="str">
        <f ca="1"/>
        <v/>
      </c>
      <c r="H7" s="71">
        <f ca="1"/>
        <v>0</v>
      </c>
      <c r="I7" s="72">
        <f ca="1"/>
        <v>0</v>
      </c>
      <c r="J7" s="54" t="str">
        <f ca="1"/>
        <v/>
      </c>
      <c r="K7" s="22" t="str">
        <f ca="1"/>
        <v/>
      </c>
    </row>
    <row r="8" spans="1:11" ht="15.75">
      <c r="A8" s="50" t="str">
        <v>West Bridgewater A&amp;B</v>
      </c>
      <c r="B8" s="20" t="str">
        <v>MA</v>
      </c>
      <c r="C8" s="69" t="str" cm="1">
        <f t="array" aca="1" ref="C8:K8" ca="1">IF(INDIRECT("'" &amp; $A8 &amp; "'!B12:J12")="", "", INDIRECT("'" &amp; $A8 &amp; "'!B12:J12"))</f>
        <v/>
      </c>
      <c r="D8" s="69" t="str">
        <f ca="1"/>
        <v/>
      </c>
      <c r="E8" s="69">
        <f ca="1"/>
        <v>0</v>
      </c>
      <c r="F8" s="70">
        <f ca="1"/>
        <v>0</v>
      </c>
      <c r="G8" s="71" t="str">
        <f ca="1"/>
        <v/>
      </c>
      <c r="H8" s="71">
        <f ca="1"/>
        <v>0</v>
      </c>
      <c r="I8" s="72">
        <f ca="1"/>
        <v>0</v>
      </c>
      <c r="J8" s="54" t="str">
        <f ca="1"/>
        <v/>
      </c>
      <c r="K8" s="22" t="str">
        <f ca="1"/>
        <v/>
      </c>
    </row>
    <row r="9" spans="1:11" ht="15.75">
      <c r="A9" s="51" t="str">
        <v>Sutton A</v>
      </c>
      <c r="B9" s="38" t="str">
        <v>MA</v>
      </c>
      <c r="C9" s="69" t="str" cm="1">
        <f t="array" aca="1" ref="C9:K9" ca="1">IF(INDIRECT("'" &amp; $A9 &amp; "'!B12:J12")="", "", INDIRECT("'" &amp; $A9 &amp; "'!B12:J12"))</f>
        <v/>
      </c>
      <c r="D9" s="69" t="str">
        <f ca="1"/>
        <v/>
      </c>
      <c r="E9" s="69">
        <f ca="1"/>
        <v>0</v>
      </c>
      <c r="F9" s="70">
        <f ca="1"/>
        <v>0</v>
      </c>
      <c r="G9" s="71" t="str">
        <f ca="1"/>
        <v/>
      </c>
      <c r="H9" s="71">
        <f ca="1"/>
        <v>0</v>
      </c>
      <c r="I9" s="72">
        <f ca="1"/>
        <v>0</v>
      </c>
      <c r="J9" s="54" t="str">
        <f ca="1"/>
        <v/>
      </c>
      <c r="K9" s="22" t="str">
        <f ca="1"/>
        <v/>
      </c>
    </row>
    <row r="10" spans="1:11" ht="15.75">
      <c r="A10" s="50" t="str">
        <v>North Adams A</v>
      </c>
      <c r="B10" s="20" t="str">
        <v>MA</v>
      </c>
      <c r="C10" s="69" t="str" cm="1">
        <f t="array" aca="1" ref="C10:K10" ca="1">IF(INDIRECT("'" &amp; $A10 &amp; "'!B12:J12")="", "", INDIRECT("'" &amp; $A10 &amp; "'!B12:J12"))</f>
        <v/>
      </c>
      <c r="D10" s="69" t="str">
        <f ca="1"/>
        <v/>
      </c>
      <c r="E10" s="69">
        <f ca="1"/>
        <v>0</v>
      </c>
      <c r="F10" s="70">
        <f ca="1"/>
        <v>0</v>
      </c>
      <c r="G10" s="71" t="str">
        <f ca="1"/>
        <v/>
      </c>
      <c r="H10" s="71">
        <f ca="1"/>
        <v>0</v>
      </c>
      <c r="I10" s="72">
        <f ca="1"/>
        <v>0</v>
      </c>
      <c r="J10" s="54" t="str">
        <f ca="1"/>
        <v/>
      </c>
      <c r="K10" s="22" t="str">
        <f ca="1"/>
        <v/>
      </c>
    </row>
    <row r="11" spans="1:11" ht="15.75">
      <c r="A11" s="51" t="str">
        <v>North Adams B</v>
      </c>
      <c r="B11" s="38" t="str">
        <v>MA</v>
      </c>
      <c r="C11" s="69" t="str" cm="1">
        <f t="array" aca="1" ref="C11:K11" ca="1">IF(INDIRECT("'" &amp; $A11 &amp; "'!B12:J12")="", "", INDIRECT("'" &amp; $A11 &amp; "'!B12:J12"))</f>
        <v/>
      </c>
      <c r="D11" s="69" t="str">
        <f ca="1"/>
        <v/>
      </c>
      <c r="E11" s="69">
        <f ca="1"/>
        <v>0</v>
      </c>
      <c r="F11" s="70">
        <f ca="1"/>
        <v>0</v>
      </c>
      <c r="G11" s="71" t="str">
        <f ca="1"/>
        <v/>
      </c>
      <c r="H11" s="71">
        <f ca="1"/>
        <v>0</v>
      </c>
      <c r="I11" s="72">
        <f ca="1"/>
        <v>0</v>
      </c>
      <c r="J11" s="54" t="str">
        <f ca="1"/>
        <v/>
      </c>
      <c r="K11" s="22" t="str">
        <f ca="1"/>
        <v/>
      </c>
    </row>
    <row r="12" spans="1:11" ht="15.75">
      <c r="A12" s="50" t="str">
        <v>Clarksburg A</v>
      </c>
      <c r="B12" s="20" t="str">
        <v>MA</v>
      </c>
      <c r="C12" s="69" t="str" cm="1">
        <f t="array" aca="1" ref="C12:K12" ca="1">IF(INDIRECT("'" &amp; $A12 &amp; "'!B12:J12")="", "", INDIRECT("'" &amp; $A12 &amp; "'!B12:J12"))</f>
        <v/>
      </c>
      <c r="D12" s="69" t="str">
        <f ca="1"/>
        <v/>
      </c>
      <c r="E12" s="69">
        <f ca="1"/>
        <v>0</v>
      </c>
      <c r="F12" s="70">
        <f ca="1"/>
        <v>0</v>
      </c>
      <c r="G12" s="71" t="str">
        <f ca="1"/>
        <v/>
      </c>
      <c r="H12" s="71">
        <f ca="1"/>
        <v>0</v>
      </c>
      <c r="I12" s="72">
        <f ca="1"/>
        <v>0</v>
      </c>
      <c r="J12" s="54" t="str">
        <f ca="1"/>
        <v/>
      </c>
      <c r="K12" s="22" t="str">
        <f ca="1"/>
        <v/>
      </c>
    </row>
    <row r="13" spans="1:11" ht="15.75">
      <c r="A13" s="51" t="str">
        <v>Swansea B</v>
      </c>
      <c r="B13" s="38" t="str">
        <v>MA</v>
      </c>
      <c r="C13" s="69" t="str" cm="1">
        <f t="array" aca="1" ref="C13:K13" ca="1">IF(INDIRECT("'" &amp; $A13 &amp; "'!B12:J12")="", "", INDIRECT("'" &amp; $A13 &amp; "'!B12:J12"))</f>
        <v/>
      </c>
      <c r="D13" s="69" t="str">
        <f ca="1"/>
        <v/>
      </c>
      <c r="E13" s="69">
        <f ca="1"/>
        <v>0</v>
      </c>
      <c r="F13" s="70">
        <f ca="1"/>
        <v>0</v>
      </c>
      <c r="G13" s="71" t="str">
        <f ca="1"/>
        <v/>
      </c>
      <c r="H13" s="71">
        <f ca="1"/>
        <v>0</v>
      </c>
      <c r="I13" s="72">
        <f ca="1"/>
        <v>0</v>
      </c>
      <c r="J13" s="54" t="str">
        <f ca="1"/>
        <v/>
      </c>
      <c r="K13" s="22" t="str">
        <f ca="1"/>
        <v/>
      </c>
    </row>
    <row r="14" spans="1:11" ht="15.75">
      <c r="A14" s="50" t="str">
        <v>Wareham 2</v>
      </c>
      <c r="B14" s="20" t="str">
        <v>MA</v>
      </c>
      <c r="C14" s="69" t="str" cm="1">
        <f t="array" aca="1" ref="C14:K14" ca="1">IF(INDIRECT("'" &amp; $A14 &amp; "'!B12:J12")="", "", INDIRECT("'" &amp; $A14 &amp; "'!B12:J12"))</f>
        <v/>
      </c>
      <c r="D14" s="69" t="str">
        <f ca="1"/>
        <v/>
      </c>
      <c r="E14" s="69">
        <f ca="1"/>
        <v>0</v>
      </c>
      <c r="F14" s="70">
        <f ca="1"/>
        <v>0</v>
      </c>
      <c r="G14" s="71" t="str">
        <f ca="1"/>
        <v/>
      </c>
      <c r="H14" s="71">
        <f ca="1"/>
        <v>0</v>
      </c>
      <c r="I14" s="72">
        <f ca="1"/>
        <v>0</v>
      </c>
      <c r="J14" s="54" t="str">
        <f ca="1"/>
        <v/>
      </c>
      <c r="K14" s="22" t="str">
        <f ca="1"/>
        <v/>
      </c>
    </row>
    <row r="15" spans="1:11" ht="15.75">
      <c r="A15" s="51" t="str">
        <v>Kingston 1 KB</v>
      </c>
      <c r="B15" s="38" t="str">
        <v>MA</v>
      </c>
      <c r="C15" s="69" t="str" cm="1">
        <f t="array" aca="1" ref="C15:K15" ca="1">IF(INDIRECT("'" &amp; $A15 &amp; "'!B12:J12")="", "", INDIRECT("'" &amp; $A15 &amp; "'!B12:J12"))</f>
        <v/>
      </c>
      <c r="D15" s="69" t="str">
        <f ca="1"/>
        <v/>
      </c>
      <c r="E15" s="69">
        <f ca="1"/>
        <v>0</v>
      </c>
      <c r="F15" s="70">
        <f ca="1"/>
        <v>0</v>
      </c>
      <c r="G15" s="71" t="str">
        <f ca="1"/>
        <v/>
      </c>
      <c r="H15" s="71">
        <f ca="1"/>
        <v>0</v>
      </c>
      <c r="I15" s="72">
        <f ca="1"/>
        <v>0</v>
      </c>
      <c r="J15" s="54" t="str">
        <f ca="1"/>
        <v/>
      </c>
      <c r="K15" s="22" t="str">
        <f ca="1"/>
        <v/>
      </c>
    </row>
    <row r="16" spans="1:11" ht="15.75">
      <c r="A16" s="73" t="str">
        <v>Kingston 2 KB</v>
      </c>
      <c r="B16" s="74" t="str">
        <v>MA</v>
      </c>
      <c r="C16" s="69" t="str" cm="1">
        <f t="array" aca="1" ref="C16:K16" ca="1">IF(INDIRECT("'" &amp; $A16 &amp; "'!B12:J12")="", "", INDIRECT("'" &amp; $A16 &amp; "'!B12:J12"))</f>
        <v/>
      </c>
      <c r="D16" s="69" t="str">
        <f ca="1"/>
        <v/>
      </c>
      <c r="E16" s="69">
        <f ca="1"/>
        <v>0</v>
      </c>
      <c r="F16" s="70">
        <f ca="1"/>
        <v>0</v>
      </c>
      <c r="G16" s="71" t="str">
        <f ca="1"/>
        <v/>
      </c>
      <c r="H16" s="71">
        <f ca="1"/>
        <v>0</v>
      </c>
      <c r="I16" s="72">
        <f ca="1"/>
        <v>0</v>
      </c>
      <c r="J16" s="115" t="str">
        <f ca="1"/>
        <v/>
      </c>
      <c r="K16" s="115" t="str">
        <f ca="1"/>
        <v/>
      </c>
    </row>
    <row r="17" spans="1:11" ht="15.75">
      <c r="A17" s="51" t="str">
        <v>Holliston B</v>
      </c>
      <c r="B17" s="38" t="str">
        <v>MA</v>
      </c>
      <c r="C17" s="94" t="str" cm="1">
        <f t="array" aca="1" ref="C17:K17" ca="1">IF(INDIRECT("'" &amp; $A17 &amp; "'!B12:J12")="", "", INDIRECT("'" &amp; $A17 &amp; "'!B12:J12"))</f>
        <v/>
      </c>
      <c r="D17" s="69" t="str">
        <f ca="1"/>
        <v/>
      </c>
      <c r="E17" s="69">
        <f ca="1"/>
        <v>0</v>
      </c>
      <c r="F17" s="70">
        <f ca="1"/>
        <v>0</v>
      </c>
      <c r="G17" s="71" t="str">
        <f ca="1"/>
        <v/>
      </c>
      <c r="H17" s="71">
        <f ca="1"/>
        <v>0</v>
      </c>
      <c r="I17" s="72">
        <f ca="1"/>
        <v>0</v>
      </c>
      <c r="J17" s="115" t="str">
        <f ca="1"/>
        <v/>
      </c>
      <c r="K17" s="115" t="str">
        <f ca="1"/>
        <v/>
      </c>
    </row>
    <row r="18" spans="1:11" ht="118.35" customHeight="1">
      <c r="A18" s="73" t="str">
        <v>Fairhaven C</v>
      </c>
      <c r="B18" s="74" t="str">
        <v>MA</v>
      </c>
      <c r="C18" s="69" t="str" cm="1">
        <f t="array" aca="1" ref="C18:K18" ca="1">IF(INDIRECT("'" &amp; $A18 &amp; "'!B12:J12")="", "", INDIRECT("'" &amp; $A18 &amp; "'!B12:J12"))</f>
        <v/>
      </c>
      <c r="D18" s="69" t="str">
        <f ca="1"/>
        <v/>
      </c>
      <c r="E18" s="69">
        <f ca="1"/>
        <v>0</v>
      </c>
      <c r="F18" s="70">
        <f ca="1"/>
        <v>0</v>
      </c>
      <c r="G18" s="71" t="str">
        <f ca="1"/>
        <v/>
      </c>
      <c r="H18" s="71">
        <f ca="1"/>
        <v>0</v>
      </c>
      <c r="I18" s="72">
        <f ca="1"/>
        <v>0</v>
      </c>
      <c r="J18" s="115" t="str">
        <f ca="1"/>
        <v/>
      </c>
      <c r="K18" s="115" t="str">
        <f ca="1"/>
        <v/>
      </c>
    </row>
    <row r="19" spans="1:11" ht="15.75">
      <c r="A19" s="51" t="str">
        <v>Plympton A-2</v>
      </c>
      <c r="B19" s="38" t="str">
        <v>MA</v>
      </c>
      <c r="C19" s="69" t="str" cm="1">
        <f t="array" aca="1" ref="C19:K19" ca="1">IF(INDIRECT("'" &amp; $A19 &amp; "'!B12:J12")="", "", INDIRECT("'" &amp; $A19 &amp; "'!B12:J12"))</f>
        <v/>
      </c>
      <c r="D19" s="69" t="str">
        <f ca="1"/>
        <v/>
      </c>
      <c r="E19" s="69">
        <f ca="1"/>
        <v>0</v>
      </c>
      <c r="F19" s="70">
        <f ca="1"/>
        <v>0</v>
      </c>
      <c r="G19" s="71" t="str">
        <f ca="1"/>
        <v/>
      </c>
      <c r="H19" s="71">
        <f ca="1"/>
        <v>0</v>
      </c>
      <c r="I19" s="72">
        <f ca="1"/>
        <v>0</v>
      </c>
      <c r="J19" s="115" t="str">
        <f ca="1"/>
        <v/>
      </c>
      <c r="K19" s="115" t="str">
        <f ca="1"/>
        <v/>
      </c>
    </row>
    <row r="20" spans="1:11" ht="24.75" customHeight="1" thickBot="1">
      <c r="A20" s="63" t="s">
        <v>11</v>
      </c>
      <c r="B20" s="64"/>
      <c r="C20" s="65">
        <f ca="1">SUM(C3:C19)</f>
        <v>0</v>
      </c>
      <c r="D20" s="65">
        <f ca="1">SUM(D3:D19)</f>
        <v>0</v>
      </c>
      <c r="E20" s="65">
        <f ca="1">C20-D20</f>
        <v>0</v>
      </c>
      <c r="F20" s="66">
        <f ca="1">IFERROR(E20/D20, 0)</f>
        <v>0</v>
      </c>
      <c r="G20" s="65">
        <f ca="1">SUM(G3:G19)</f>
        <v>0</v>
      </c>
      <c r="H20" s="67">
        <f ca="1">C20-G20</f>
        <v>0</v>
      </c>
      <c r="I20" s="68">
        <f ca="1">IFERROR(H20/G20, 0)</f>
        <v>0</v>
      </c>
      <c r="J20" s="9"/>
    </row>
    <row r="21" spans="1:11">
      <c r="J21" s="9"/>
    </row>
    <row r="22" spans="1:11" ht="12.75" customHeight="1">
      <c r="A22" s="194" t="s">
        <v>12</v>
      </c>
      <c r="J22" s="9"/>
    </row>
    <row r="23" spans="1:11">
      <c r="A23" s="194"/>
      <c r="J23" s="9"/>
    </row>
    <row r="24" spans="1:11">
      <c r="A24" s="195" t="s">
        <v>13</v>
      </c>
      <c r="J24" s="9"/>
    </row>
    <row r="25" spans="1:11" ht="12.75" customHeight="1">
      <c r="A25" s="195"/>
      <c r="J25" s="9"/>
    </row>
    <row r="26" spans="1:11">
      <c r="J26" s="9"/>
    </row>
  </sheetData>
  <autoFilter ref="A2:I2" xr:uid="{48D80AE8-42BF-4DAC-863F-113F77A3E00F}"/>
  <mergeCells count="7">
    <mergeCell ref="A22:A23"/>
    <mergeCell ref="A24:A25"/>
    <mergeCell ref="G1:I1"/>
    <mergeCell ref="J1:J2"/>
    <mergeCell ref="K1:K2"/>
    <mergeCell ref="C1:F1"/>
    <mergeCell ref="A1:B1"/>
  </mergeCells>
  <conditionalFormatting sqref="F3:F20 I3:I20">
    <cfRule type="cellIs" dxfId="286" priority="1" operator="lessThanOrEqual">
      <formula>-0.1</formula>
    </cfRule>
    <cfRule type="cellIs" dxfId="28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26"/>
  <sheetViews>
    <sheetView workbookViewId="0">
      <pane ySplit="2" topLeftCell="A3" activePane="bottomLeft" state="frozen"/>
      <selection pane="bottomLeft" activeCell="D24" sqref="D24"/>
      <selection activeCell="D24" sqref="D24"/>
    </sheetView>
  </sheetViews>
  <sheetFormatPr defaultColWidth="8.85546875"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98.5703125" bestFit="1" customWidth="1"/>
    <col min="11" max="11" width="21.140625" bestFit="1" customWidth="1"/>
    <col min="12" max="12" width="8.85546875" bestFit="1" customWidth="1"/>
  </cols>
  <sheetData>
    <row r="1" spans="1:11" ht="19.5" customHeight="1">
      <c r="A1" s="196" t="str" cm="1">
        <f t="array" ref="A1">portfolio</f>
        <v>MN8 KEF</v>
      </c>
      <c r="B1" s="197"/>
      <c r="C1" s="198" t="s">
        <v>38</v>
      </c>
      <c r="D1" s="199"/>
      <c r="E1" s="199"/>
      <c r="F1" s="200"/>
      <c r="G1" s="201" t="s">
        <v>39</v>
      </c>
      <c r="H1" s="201"/>
      <c r="I1" s="202"/>
      <c r="J1" s="190" t="s">
        <v>2</v>
      </c>
      <c r="K1" s="190" t="s">
        <v>3</v>
      </c>
    </row>
    <row r="2" spans="1:11" ht="14.25" customHeight="1" thickBot="1">
      <c r="A2" s="55" t="s">
        <v>4</v>
      </c>
      <c r="B2" s="56" t="s">
        <v>5</v>
      </c>
      <c r="C2" s="57" t="s">
        <v>6</v>
      </c>
      <c r="D2" s="58" t="s">
        <v>7</v>
      </c>
      <c r="E2" s="57" t="s">
        <v>8</v>
      </c>
      <c r="F2" s="59" t="s">
        <v>9</v>
      </c>
      <c r="G2" s="60" t="s">
        <v>10</v>
      </c>
      <c r="H2" s="61" t="s">
        <v>8</v>
      </c>
      <c r="I2" s="62" t="s">
        <v>9</v>
      </c>
      <c r="J2" s="191"/>
      <c r="K2" s="191"/>
    </row>
    <row r="3" spans="1:11" ht="15.75">
      <c r="A3" s="51" t="str" cm="1">
        <f t="array" ref="A3:A19">Sites[Site]</f>
        <v>Williamsburg A</v>
      </c>
      <c r="B3" s="38" t="str" cm="1">
        <f t="array" ref="B3:B19">Sites[State]</f>
        <v>MA</v>
      </c>
      <c r="C3" s="69" t="str" cm="1">
        <f t="array" aca="1" ref="C3:K3" ca="1">IF(INDIRECT("'" &amp; $A3 &amp; "'!B13:J13")="", "", INDIRECT("'" &amp; $A3 &amp; "'!B13:J13"))</f>
        <v/>
      </c>
      <c r="D3" s="69" t="str">
        <f ca="1"/>
        <v/>
      </c>
      <c r="E3" s="69">
        <f ca="1"/>
        <v>0</v>
      </c>
      <c r="F3" s="70">
        <f ca="1"/>
        <v>0</v>
      </c>
      <c r="G3" s="71" t="str">
        <f ca="1"/>
        <v/>
      </c>
      <c r="H3" s="71">
        <f ca="1"/>
        <v>0</v>
      </c>
      <c r="I3" s="72">
        <f ca="1"/>
        <v>0</v>
      </c>
      <c r="J3" s="92" t="str">
        <f ca="1"/>
        <v/>
      </c>
      <c r="K3" s="23" t="str">
        <f ca="1"/>
        <v/>
      </c>
    </row>
    <row r="4" spans="1:11" ht="15.75">
      <c r="A4" s="50" t="str">
        <v>Orange A KB</v>
      </c>
      <c r="B4" s="20" t="str">
        <v>MA</v>
      </c>
      <c r="C4" s="69" t="str" cm="1">
        <f t="array" aca="1" ref="C4:K4" ca="1">IF(INDIRECT("'" &amp; $A4 &amp; "'!B13:J13")="", "", INDIRECT("'" &amp; $A4 &amp; "'!B13:J13"))</f>
        <v/>
      </c>
      <c r="D4" s="69" t="str">
        <f ca="1"/>
        <v/>
      </c>
      <c r="E4" s="69">
        <f ca="1"/>
        <v>0</v>
      </c>
      <c r="F4" s="70">
        <f ca="1"/>
        <v>0</v>
      </c>
      <c r="G4" s="71" t="str">
        <f ca="1"/>
        <v/>
      </c>
      <c r="H4" s="71">
        <f ca="1"/>
        <v>0</v>
      </c>
      <c r="I4" s="72">
        <f ca="1"/>
        <v>0</v>
      </c>
      <c r="J4" s="92" t="str">
        <f ca="1"/>
        <v/>
      </c>
      <c r="K4" s="23" t="str">
        <f ca="1"/>
        <v/>
      </c>
    </row>
    <row r="5" spans="1:11" ht="15.75">
      <c r="A5" s="51" t="str">
        <v>Goshen A</v>
      </c>
      <c r="B5" s="38" t="str">
        <v>MA</v>
      </c>
      <c r="C5" s="69" t="str" cm="1">
        <f t="array" aca="1" ref="C5:K5" ca="1">IF(INDIRECT("'" &amp; $A5 &amp; "'!B13:J13")="", "", INDIRECT("'" &amp; $A5 &amp; "'!B13:J13"))</f>
        <v/>
      </c>
      <c r="D5" s="69" t="str">
        <f ca="1"/>
        <v/>
      </c>
      <c r="E5" s="69">
        <f ca="1"/>
        <v>0</v>
      </c>
      <c r="F5" s="70">
        <f ca="1"/>
        <v>0</v>
      </c>
      <c r="G5" s="71" t="str">
        <f ca="1"/>
        <v/>
      </c>
      <c r="H5" s="71">
        <f ca="1"/>
        <v>0</v>
      </c>
      <c r="I5" s="72">
        <f ca="1"/>
        <v>0</v>
      </c>
      <c r="J5" s="92" t="str">
        <f ca="1"/>
        <v/>
      </c>
      <c r="K5" s="23" t="str">
        <f ca="1"/>
        <v/>
      </c>
    </row>
    <row r="6" spans="1:11" ht="15.75">
      <c r="A6" s="50" t="str">
        <v>Phillipston A KB</v>
      </c>
      <c r="B6" s="20" t="str">
        <v>MA</v>
      </c>
      <c r="C6" s="69" t="str" cm="1">
        <f t="array" aca="1" ref="C6:K6" ca="1">IF(INDIRECT("'" &amp; $A6 &amp; "'!B13:J13")="", "", INDIRECT("'" &amp; $A6 &amp; "'!B13:J13"))</f>
        <v/>
      </c>
      <c r="D6" s="69" t="str">
        <f ca="1"/>
        <v/>
      </c>
      <c r="E6" s="69">
        <f ca="1"/>
        <v>0</v>
      </c>
      <c r="F6" s="70">
        <f ca="1"/>
        <v>0</v>
      </c>
      <c r="G6" s="71" t="str">
        <f ca="1"/>
        <v/>
      </c>
      <c r="H6" s="71">
        <f ca="1"/>
        <v>0</v>
      </c>
      <c r="I6" s="72">
        <f ca="1"/>
        <v>0</v>
      </c>
      <c r="J6" s="92" t="str">
        <f ca="1"/>
        <v/>
      </c>
      <c r="K6" s="23" t="str">
        <f ca="1"/>
        <v/>
      </c>
    </row>
    <row r="7" spans="1:11" ht="15.75">
      <c r="A7" s="51" t="str">
        <v>Uxbridge D</v>
      </c>
      <c r="B7" s="38" t="str">
        <v>MA</v>
      </c>
      <c r="C7" s="69" t="str" cm="1">
        <f t="array" aca="1" ref="C7:K7" ca="1">IF(INDIRECT("'" &amp; $A7 &amp; "'!B13:J13")="", "", INDIRECT("'" &amp; $A7 &amp; "'!B13:J13"))</f>
        <v/>
      </c>
      <c r="D7" s="69" t="str">
        <f ca="1"/>
        <v/>
      </c>
      <c r="E7" s="69">
        <f ca="1"/>
        <v>0</v>
      </c>
      <c r="F7" s="70">
        <f ca="1"/>
        <v>0</v>
      </c>
      <c r="G7" s="71" t="str">
        <f ca="1"/>
        <v/>
      </c>
      <c r="H7" s="71">
        <f ca="1"/>
        <v>0</v>
      </c>
      <c r="I7" s="72">
        <f ca="1"/>
        <v>0</v>
      </c>
      <c r="J7" s="92" t="str">
        <f ca="1"/>
        <v/>
      </c>
      <c r="K7" s="23" t="str">
        <f ca="1"/>
        <v/>
      </c>
    </row>
    <row r="8" spans="1:11" ht="15.75">
      <c r="A8" s="50" t="str">
        <v>West Bridgewater A&amp;B</v>
      </c>
      <c r="B8" s="20" t="str">
        <v>MA</v>
      </c>
      <c r="C8" s="69" t="str" cm="1">
        <f t="array" aca="1" ref="C8:K8" ca="1">IF(INDIRECT("'" &amp; $A8 &amp; "'!B13:J13")="", "", INDIRECT("'" &amp; $A8 &amp; "'!B13:J13"))</f>
        <v/>
      </c>
      <c r="D8" s="69" t="str">
        <f ca="1"/>
        <v/>
      </c>
      <c r="E8" s="69">
        <f ca="1"/>
        <v>0</v>
      </c>
      <c r="F8" s="70">
        <f ca="1"/>
        <v>0</v>
      </c>
      <c r="G8" s="71" t="str">
        <f ca="1"/>
        <v/>
      </c>
      <c r="H8" s="71">
        <f ca="1"/>
        <v>0</v>
      </c>
      <c r="I8" s="72">
        <f ca="1"/>
        <v>0</v>
      </c>
      <c r="J8" s="92" t="str">
        <f ca="1"/>
        <v/>
      </c>
      <c r="K8" s="23" t="str">
        <f ca="1"/>
        <v/>
      </c>
    </row>
    <row r="9" spans="1:11" ht="15.75">
      <c r="A9" s="51" t="str">
        <v>Sutton A</v>
      </c>
      <c r="B9" s="38" t="str">
        <v>MA</v>
      </c>
      <c r="C9" s="69" t="str" cm="1">
        <f t="array" aca="1" ref="C9:K9" ca="1">IF(INDIRECT("'" &amp; $A9 &amp; "'!B13:J13")="", "", INDIRECT("'" &amp; $A9 &amp; "'!B13:J13"))</f>
        <v/>
      </c>
      <c r="D9" s="69" t="str">
        <f ca="1"/>
        <v/>
      </c>
      <c r="E9" s="69">
        <f ca="1"/>
        <v>0</v>
      </c>
      <c r="F9" s="70">
        <f ca="1"/>
        <v>0</v>
      </c>
      <c r="G9" s="71" t="str">
        <f ca="1"/>
        <v/>
      </c>
      <c r="H9" s="71">
        <f ca="1"/>
        <v>0</v>
      </c>
      <c r="I9" s="72">
        <f ca="1"/>
        <v>0</v>
      </c>
      <c r="J9" s="54" t="str">
        <f ca="1"/>
        <v/>
      </c>
      <c r="K9" s="23" t="str">
        <f ca="1"/>
        <v/>
      </c>
    </row>
    <row r="10" spans="1:11" ht="15.75">
      <c r="A10" s="50" t="str">
        <v>North Adams A</v>
      </c>
      <c r="B10" s="20" t="str">
        <v>MA</v>
      </c>
      <c r="C10" s="69" t="str" cm="1">
        <f t="array" aca="1" ref="C10:K10" ca="1">IF(INDIRECT("'" &amp; $A10 &amp; "'!B13:J13")="", "", INDIRECT("'" &amp; $A10 &amp; "'!B13:J13"))</f>
        <v/>
      </c>
      <c r="D10" s="69" t="str">
        <f ca="1"/>
        <v/>
      </c>
      <c r="E10" s="69">
        <f ca="1"/>
        <v>0</v>
      </c>
      <c r="F10" s="70">
        <f ca="1"/>
        <v>0</v>
      </c>
      <c r="G10" s="71" t="str">
        <f ca="1"/>
        <v/>
      </c>
      <c r="H10" s="71">
        <f ca="1"/>
        <v>0</v>
      </c>
      <c r="I10" s="72">
        <f ca="1"/>
        <v>0</v>
      </c>
      <c r="J10" s="92" t="str">
        <f ca="1"/>
        <v/>
      </c>
      <c r="K10" s="23" t="str">
        <f ca="1"/>
        <v/>
      </c>
    </row>
    <row r="11" spans="1:11" ht="15.75">
      <c r="A11" s="51" t="str">
        <v>North Adams B</v>
      </c>
      <c r="B11" s="38" t="str">
        <v>MA</v>
      </c>
      <c r="C11" s="69" t="str" cm="1">
        <f t="array" aca="1" ref="C11:K11" ca="1">IF(INDIRECT("'" &amp; $A11 &amp; "'!B13:J13")="", "", INDIRECT("'" &amp; $A11 &amp; "'!B13:J13"))</f>
        <v/>
      </c>
      <c r="D11" s="69" t="str">
        <f ca="1"/>
        <v/>
      </c>
      <c r="E11" s="69">
        <f ca="1"/>
        <v>0</v>
      </c>
      <c r="F11" s="70">
        <f ca="1"/>
        <v>0</v>
      </c>
      <c r="G11" s="71" t="str">
        <f ca="1"/>
        <v/>
      </c>
      <c r="H11" s="71">
        <f ca="1"/>
        <v>0</v>
      </c>
      <c r="I11" s="72">
        <f ca="1"/>
        <v>0</v>
      </c>
      <c r="J11" s="92" t="str">
        <f ca="1"/>
        <v/>
      </c>
      <c r="K11" s="23" t="str">
        <f ca="1"/>
        <v/>
      </c>
    </row>
    <row r="12" spans="1:11" ht="15.75">
      <c r="A12" s="50" t="str">
        <v>Clarksburg A</v>
      </c>
      <c r="B12" s="20" t="str">
        <v>MA</v>
      </c>
      <c r="C12" s="69" t="str" cm="1">
        <f t="array" aca="1" ref="C12:K12" ca="1">IF(INDIRECT("'" &amp; $A12 &amp; "'!B13:J13")="", "", INDIRECT("'" &amp; $A12 &amp; "'!B13:J13"))</f>
        <v/>
      </c>
      <c r="D12" s="69" t="str">
        <f ca="1"/>
        <v/>
      </c>
      <c r="E12" s="69">
        <f ca="1"/>
        <v>0</v>
      </c>
      <c r="F12" s="70">
        <f ca="1"/>
        <v>0</v>
      </c>
      <c r="G12" s="71" t="str">
        <f ca="1"/>
        <v/>
      </c>
      <c r="H12" s="71">
        <f ca="1"/>
        <v>0</v>
      </c>
      <c r="I12" s="72">
        <f ca="1"/>
        <v>0</v>
      </c>
      <c r="J12" s="92" t="str">
        <f ca="1"/>
        <v/>
      </c>
      <c r="K12" s="23" t="str">
        <f ca="1"/>
        <v/>
      </c>
    </row>
    <row r="13" spans="1:11" ht="15.75">
      <c r="A13" s="51" t="str">
        <v>Swansea B</v>
      </c>
      <c r="B13" s="38" t="str">
        <v>MA</v>
      </c>
      <c r="C13" s="69" t="str" cm="1">
        <f t="array" aca="1" ref="C13:K13" ca="1">IF(INDIRECT("'" &amp; $A13 &amp; "'!B13:J13")="", "", INDIRECT("'" &amp; $A13 &amp; "'!B13:J13"))</f>
        <v/>
      </c>
      <c r="D13" s="69" t="str">
        <f ca="1"/>
        <v/>
      </c>
      <c r="E13" s="69">
        <f ca="1"/>
        <v>0</v>
      </c>
      <c r="F13" s="70">
        <f ca="1"/>
        <v>0</v>
      </c>
      <c r="G13" s="71" t="str">
        <f ca="1"/>
        <v/>
      </c>
      <c r="H13" s="71">
        <f ca="1"/>
        <v>0</v>
      </c>
      <c r="I13" s="72">
        <f ca="1"/>
        <v>0</v>
      </c>
      <c r="J13" s="92" t="str">
        <f ca="1"/>
        <v/>
      </c>
      <c r="K13" s="23" t="str">
        <f ca="1"/>
        <v/>
      </c>
    </row>
    <row r="14" spans="1:11" ht="15.75">
      <c r="A14" s="50" t="str">
        <v>Wareham 2</v>
      </c>
      <c r="B14" s="20" t="str">
        <v>MA</v>
      </c>
      <c r="C14" s="69" t="str" cm="1">
        <f t="array" aca="1" ref="C14:K14" ca="1">IF(INDIRECT("'" &amp; $A14 &amp; "'!B13:J13")="", "", INDIRECT("'" &amp; $A14 &amp; "'!B13:J13"))</f>
        <v/>
      </c>
      <c r="D14" s="69" t="str">
        <f ca="1"/>
        <v/>
      </c>
      <c r="E14" s="69">
        <f ca="1"/>
        <v>0</v>
      </c>
      <c r="F14" s="70">
        <f ca="1"/>
        <v>0</v>
      </c>
      <c r="G14" s="71" t="str">
        <f ca="1"/>
        <v/>
      </c>
      <c r="H14" s="71">
        <f ca="1"/>
        <v>0</v>
      </c>
      <c r="I14" s="72">
        <f ca="1"/>
        <v>0</v>
      </c>
      <c r="J14" s="54" t="str">
        <f ca="1"/>
        <v/>
      </c>
      <c r="K14" s="23" t="str">
        <f ca="1"/>
        <v/>
      </c>
    </row>
    <row r="15" spans="1:11" ht="15.75">
      <c r="A15" s="51" t="str">
        <v>Kingston 1 KB</v>
      </c>
      <c r="B15" s="38" t="str">
        <v>MA</v>
      </c>
      <c r="C15" s="69" t="str" cm="1">
        <f t="array" aca="1" ref="C15:K15" ca="1">IF(INDIRECT("'" &amp; $A15 &amp; "'!B13:J13")="", "", INDIRECT("'" &amp; $A15 &amp; "'!B13:J13"))</f>
        <v/>
      </c>
      <c r="D15" s="69" t="str">
        <f ca="1"/>
        <v/>
      </c>
      <c r="E15" s="69">
        <f ca="1"/>
        <v>0</v>
      </c>
      <c r="F15" s="70">
        <f ca="1"/>
        <v>0</v>
      </c>
      <c r="G15" s="71" t="str">
        <f ca="1"/>
        <v/>
      </c>
      <c r="H15" s="71">
        <f ca="1"/>
        <v>0</v>
      </c>
      <c r="I15" s="72">
        <f ca="1"/>
        <v>0</v>
      </c>
      <c r="J15" s="92" t="str">
        <f ca="1"/>
        <v/>
      </c>
      <c r="K15" s="23" t="str">
        <f ca="1"/>
        <v/>
      </c>
    </row>
    <row r="16" spans="1:11" ht="15.75">
      <c r="A16" s="73" t="str">
        <v>Kingston 2 KB</v>
      </c>
      <c r="B16" s="74" t="str">
        <v>MA</v>
      </c>
      <c r="C16" s="69" t="str" cm="1">
        <f t="array" aca="1" ref="C16:K16" ca="1">IF(INDIRECT("'" &amp; $A16 &amp; "'!B13:J13")="", "", INDIRECT("'" &amp; $A16 &amp; "'!B13:J13"))</f>
        <v/>
      </c>
      <c r="D16" s="69" t="str">
        <f ca="1"/>
        <v/>
      </c>
      <c r="E16" s="69">
        <f ca="1"/>
        <v>0</v>
      </c>
      <c r="F16" s="70">
        <f ca="1"/>
        <v>0</v>
      </c>
      <c r="G16" s="71" t="str">
        <f ca="1"/>
        <v/>
      </c>
      <c r="H16" s="71">
        <f ca="1"/>
        <v>0</v>
      </c>
      <c r="I16" s="72">
        <f ca="1"/>
        <v>0</v>
      </c>
      <c r="J16" s="93" t="str">
        <f ca="1"/>
        <v/>
      </c>
      <c r="K16" s="93" t="str">
        <f ca="1"/>
        <v/>
      </c>
    </row>
    <row r="17" spans="1:11" ht="15.75">
      <c r="A17" s="51" t="str">
        <v>Holliston B</v>
      </c>
      <c r="B17" s="38" t="str">
        <v>MA</v>
      </c>
      <c r="C17" s="69" t="str" cm="1">
        <f t="array" aca="1" ref="C17:K17" ca="1">IF(INDIRECT("'" &amp; $A17 &amp; "'!B13:J13")="", "", INDIRECT("'" &amp; $A17 &amp; "'!B13:J13"))</f>
        <v/>
      </c>
      <c r="D17" s="69" t="str">
        <f ca="1"/>
        <v/>
      </c>
      <c r="E17" s="69">
        <f ca="1"/>
        <v>0</v>
      </c>
      <c r="F17" s="70">
        <f ca="1"/>
        <v>0</v>
      </c>
      <c r="G17" s="71" t="str">
        <f ca="1"/>
        <v/>
      </c>
      <c r="H17" s="71">
        <f ca="1"/>
        <v>0</v>
      </c>
      <c r="I17" s="72">
        <f ca="1"/>
        <v>0</v>
      </c>
      <c r="J17" s="93" t="str">
        <f ca="1"/>
        <v/>
      </c>
      <c r="K17" s="93" t="str">
        <f ca="1"/>
        <v/>
      </c>
    </row>
    <row r="18" spans="1:11" ht="15.75">
      <c r="A18" s="73" t="str">
        <v>Fairhaven C</v>
      </c>
      <c r="B18" s="74" t="str">
        <v>MA</v>
      </c>
      <c r="C18" s="69" t="str" cm="1">
        <f t="array" aca="1" ref="C18:K18" ca="1">IF(INDIRECT("'" &amp; $A18 &amp; "'!B13:J13")="", "", INDIRECT("'" &amp; $A18 &amp; "'!B13:J13"))</f>
        <v/>
      </c>
      <c r="D18" s="69" t="str">
        <f ca="1"/>
        <v/>
      </c>
      <c r="E18" s="69">
        <f ca="1"/>
        <v>0</v>
      </c>
      <c r="F18" s="70">
        <f ca="1"/>
        <v>0</v>
      </c>
      <c r="G18" s="71" t="str">
        <f ca="1"/>
        <v/>
      </c>
      <c r="H18" s="71">
        <f ca="1"/>
        <v>0</v>
      </c>
      <c r="I18" s="72">
        <f ca="1"/>
        <v>0</v>
      </c>
      <c r="J18" s="93" t="str">
        <f ca="1"/>
        <v/>
      </c>
      <c r="K18" s="93" t="str">
        <f ca="1"/>
        <v/>
      </c>
    </row>
    <row r="19" spans="1:11" ht="15.75">
      <c r="A19" s="51" t="str">
        <v>Plympton A-2</v>
      </c>
      <c r="B19" s="38" t="str">
        <v>MA</v>
      </c>
      <c r="C19" s="69" t="str" cm="1">
        <f t="array" aca="1" ref="C19:K19" ca="1">IF(INDIRECT("'" &amp; $A19 &amp; "'!B13:J13")="", "", INDIRECT("'" &amp; $A19 &amp; "'!B13:J13"))</f>
        <v/>
      </c>
      <c r="D19" s="69" t="str">
        <f ca="1"/>
        <v/>
      </c>
      <c r="E19" s="69">
        <f ca="1"/>
        <v>0</v>
      </c>
      <c r="F19" s="70">
        <f ca="1"/>
        <v>0</v>
      </c>
      <c r="G19" s="71" t="str">
        <f ca="1"/>
        <v/>
      </c>
      <c r="H19" s="71">
        <f ca="1"/>
        <v>0</v>
      </c>
      <c r="I19" s="72">
        <f ca="1"/>
        <v>0</v>
      </c>
      <c r="J19" s="93" t="str">
        <f ca="1"/>
        <v/>
      </c>
      <c r="K19" s="93" t="str">
        <f ca="1"/>
        <v/>
      </c>
    </row>
    <row r="20" spans="1:11" ht="24.75" customHeight="1" thickBot="1">
      <c r="A20" s="63" t="s">
        <v>11</v>
      </c>
      <c r="B20" s="64"/>
      <c r="C20" s="65">
        <f ca="1">SUM(C3:C19)</f>
        <v>0</v>
      </c>
      <c r="D20" s="65">
        <f ca="1">SUM(D3:D19)</f>
        <v>0</v>
      </c>
      <c r="E20" s="65">
        <f ca="1">C20-D20</f>
        <v>0</v>
      </c>
      <c r="F20" s="66">
        <f ca="1">IFERROR(E20/D20, 0)</f>
        <v>0</v>
      </c>
      <c r="G20" s="65">
        <f ca="1">SUM(G3:G19)</f>
        <v>0</v>
      </c>
      <c r="H20" s="67">
        <f ca="1">C20-G20</f>
        <v>0</v>
      </c>
      <c r="I20" s="68">
        <f ca="1">IFERROR(H20/G20, 0)</f>
        <v>0</v>
      </c>
      <c r="J20" s="9"/>
    </row>
    <row r="21" spans="1:11">
      <c r="J21" s="9"/>
    </row>
    <row r="22" spans="1:11" ht="12.75" customHeight="1">
      <c r="A22" s="194" t="s">
        <v>12</v>
      </c>
      <c r="J22" s="9"/>
    </row>
    <row r="23" spans="1:11">
      <c r="A23" s="194"/>
      <c r="J23" s="9"/>
    </row>
    <row r="24" spans="1:11">
      <c r="A24" s="195" t="s">
        <v>13</v>
      </c>
      <c r="J24" s="9"/>
    </row>
    <row r="25" spans="1:11" ht="12.75" customHeight="1">
      <c r="A25" s="195"/>
      <c r="J25" s="9"/>
    </row>
    <row r="26" spans="1:11">
      <c r="J26" s="9"/>
    </row>
  </sheetData>
  <autoFilter ref="A2:I2" xr:uid="{534CA70E-2643-48AC-AA44-E3F75A2814BF}"/>
  <mergeCells count="7">
    <mergeCell ref="A22:A23"/>
    <mergeCell ref="A24:A25"/>
    <mergeCell ref="G1:I1"/>
    <mergeCell ref="J1:J2"/>
    <mergeCell ref="K1:K2"/>
    <mergeCell ref="C1:F1"/>
    <mergeCell ref="A1:B1"/>
  </mergeCells>
  <conditionalFormatting sqref="F3:F20 I3:I20">
    <cfRule type="cellIs" dxfId="284" priority="1" operator="lessThanOrEqual">
      <formula>-0.1</formula>
    </cfRule>
    <cfRule type="cellIs" dxfId="28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26"/>
  <sheetViews>
    <sheetView workbookViewId="0">
      <pane ySplit="2" topLeftCell="A9" activePane="bottomLeft" state="frozen"/>
      <selection pane="bottomLeft" activeCell="D24" sqref="D24"/>
      <selection activeCell="D24" sqref="D24"/>
    </sheetView>
  </sheetViews>
  <sheetFormatPr defaultColWidth="8.85546875"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49.85546875" customWidth="1"/>
    <col min="11" max="11" width="11.42578125" customWidth="1"/>
    <col min="12" max="12" width="8.85546875" bestFit="1" customWidth="1"/>
  </cols>
  <sheetData>
    <row r="1" spans="1:11" ht="19.5" customHeight="1">
      <c r="A1" s="196" t="str" cm="1">
        <f t="array" ref="A1">portfolio</f>
        <v>MN8 KEF</v>
      </c>
      <c r="B1" s="197"/>
      <c r="C1" s="198" t="s">
        <v>40</v>
      </c>
      <c r="D1" s="199"/>
      <c r="E1" s="199"/>
      <c r="F1" s="200"/>
      <c r="G1" s="201" t="s">
        <v>41</v>
      </c>
      <c r="H1" s="201"/>
      <c r="I1" s="202"/>
      <c r="J1" s="190" t="s">
        <v>2</v>
      </c>
      <c r="K1" s="190" t="s">
        <v>3</v>
      </c>
    </row>
    <row r="2" spans="1:11" ht="14.25" customHeight="1" thickBot="1">
      <c r="A2" s="55" t="s">
        <v>4</v>
      </c>
      <c r="B2" s="56" t="s">
        <v>5</v>
      </c>
      <c r="C2" s="57" t="s">
        <v>6</v>
      </c>
      <c r="D2" s="58" t="s">
        <v>7</v>
      </c>
      <c r="E2" s="57" t="s">
        <v>8</v>
      </c>
      <c r="F2" s="59" t="s">
        <v>9</v>
      </c>
      <c r="G2" s="60" t="s">
        <v>10</v>
      </c>
      <c r="H2" s="61" t="s">
        <v>8</v>
      </c>
      <c r="I2" s="62" t="s">
        <v>9</v>
      </c>
      <c r="J2" s="191"/>
      <c r="K2" s="191"/>
    </row>
    <row r="3" spans="1:11" ht="15.75">
      <c r="A3" s="180" t="str" cm="1">
        <f t="array" ref="A3:A19">Sites[Site]</f>
        <v>Williamsburg A</v>
      </c>
      <c r="B3" s="181" t="str" cm="1">
        <f t="array" ref="B3:B19">Sites[State]</f>
        <v>MA</v>
      </c>
      <c r="C3" s="182" t="str" cm="1">
        <f t="array" aca="1" ref="C3:K3" ca="1">IF(INDIRECT("'" &amp; $A3 &amp; "'!B14:J14")="", "", INDIRECT("'" &amp; $A3 &amp; "'!B14:J14"))</f>
        <v/>
      </c>
      <c r="D3" s="182" t="str">
        <f ca="1"/>
        <v/>
      </c>
      <c r="E3" s="182">
        <f ca="1"/>
        <v>0</v>
      </c>
      <c r="F3" s="183">
        <f ca="1"/>
        <v>0</v>
      </c>
      <c r="G3" s="184" t="str">
        <f ca="1"/>
        <v/>
      </c>
      <c r="H3" s="184">
        <f ca="1"/>
        <v>0</v>
      </c>
      <c r="I3" s="185">
        <f ca="1"/>
        <v>0</v>
      </c>
      <c r="J3" s="54" t="str">
        <f ca="1"/>
        <v/>
      </c>
      <c r="K3" s="22" t="str">
        <f ca="1"/>
        <v/>
      </c>
    </row>
    <row r="4" spans="1:11" ht="15.75">
      <c r="A4" s="186" t="str">
        <v>Orange A KB</v>
      </c>
      <c r="B4" s="125" t="str">
        <v>MA</v>
      </c>
      <c r="C4" s="182" t="str" cm="1">
        <f t="array" aca="1" ref="C4:K4" ca="1">IF(INDIRECT("'" &amp; $A4 &amp; "'!B14:J14")="", "", INDIRECT("'" &amp; $A4 &amp; "'!B14:J14"))</f>
        <v/>
      </c>
      <c r="D4" s="182" t="str">
        <f ca="1"/>
        <v/>
      </c>
      <c r="E4" s="182">
        <f ca="1"/>
        <v>0</v>
      </c>
      <c r="F4" s="183">
        <f ca="1"/>
        <v>0</v>
      </c>
      <c r="G4" s="184" t="str">
        <f ca="1"/>
        <v/>
      </c>
      <c r="H4" s="184">
        <f ca="1"/>
        <v>0</v>
      </c>
      <c r="I4" s="185">
        <f ca="1"/>
        <v>0</v>
      </c>
      <c r="J4" s="54" t="str">
        <f ca="1"/>
        <v/>
      </c>
      <c r="K4" s="22" t="str">
        <f ca="1"/>
        <v/>
      </c>
    </row>
    <row r="5" spans="1:11" ht="117.75" customHeight="1">
      <c r="A5" s="180" t="str">
        <v>Goshen A</v>
      </c>
      <c r="B5" s="181" t="str">
        <v>MA</v>
      </c>
      <c r="C5" s="182" t="str" cm="1">
        <f t="array" aca="1" ref="C5:K5" ca="1">IF(INDIRECT("'" &amp; $A5 &amp; "'!B14:J14")="", "", INDIRECT("'" &amp; $A5 &amp; "'!B14:J14"))</f>
        <v/>
      </c>
      <c r="D5" s="182" t="str">
        <f ca="1"/>
        <v/>
      </c>
      <c r="E5" s="182">
        <f ca="1"/>
        <v>0</v>
      </c>
      <c r="F5" s="183">
        <f ca="1"/>
        <v>0</v>
      </c>
      <c r="G5" s="184" t="str">
        <f ca="1"/>
        <v/>
      </c>
      <c r="H5" s="184">
        <f ca="1"/>
        <v>0</v>
      </c>
      <c r="I5" s="185">
        <f ca="1"/>
        <v>0</v>
      </c>
      <c r="J5" s="54" t="str">
        <f ca="1"/>
        <v/>
      </c>
      <c r="K5" s="22" t="str">
        <f ca="1"/>
        <v/>
      </c>
    </row>
    <row r="6" spans="1:11" ht="15.75">
      <c r="A6" s="186" t="str">
        <v>Phillipston A KB</v>
      </c>
      <c r="B6" s="125" t="str">
        <v>MA</v>
      </c>
      <c r="C6" s="182" t="str" cm="1">
        <f t="array" aca="1" ref="C6:K6" ca="1">IF(INDIRECT("'" &amp; $A6 &amp; "'!B14:J14")="", "", INDIRECT("'" &amp; $A6 &amp; "'!B14:J14"))</f>
        <v/>
      </c>
      <c r="D6" s="182" t="str">
        <f ca="1"/>
        <v/>
      </c>
      <c r="E6" s="182">
        <f ca="1"/>
        <v>0</v>
      </c>
      <c r="F6" s="183">
        <f ca="1"/>
        <v>0</v>
      </c>
      <c r="G6" s="184" t="str">
        <f ca="1"/>
        <v/>
      </c>
      <c r="H6" s="184">
        <f ca="1"/>
        <v>0</v>
      </c>
      <c r="I6" s="185">
        <f ca="1"/>
        <v>0</v>
      </c>
      <c r="J6" s="54" t="str">
        <f ca="1"/>
        <v/>
      </c>
      <c r="K6" s="22" t="str">
        <f ca="1"/>
        <v/>
      </c>
    </row>
    <row r="7" spans="1:11" ht="15.75">
      <c r="A7" s="180" t="str">
        <v>Uxbridge D</v>
      </c>
      <c r="B7" s="181" t="str">
        <v>MA</v>
      </c>
      <c r="C7" s="182" t="str" cm="1">
        <f t="array" aca="1" ref="C7:K7" ca="1">IF(INDIRECT("'" &amp; $A7 &amp; "'!B14:J14")="", "", INDIRECT("'" &amp; $A7 &amp; "'!B14:J14"))</f>
        <v/>
      </c>
      <c r="D7" s="182" t="str">
        <f ca="1"/>
        <v/>
      </c>
      <c r="E7" s="182">
        <f ca="1"/>
        <v>0</v>
      </c>
      <c r="F7" s="183">
        <f ca="1"/>
        <v>0</v>
      </c>
      <c r="G7" s="184" t="str">
        <f ca="1"/>
        <v/>
      </c>
      <c r="H7" s="184">
        <f ca="1"/>
        <v>0</v>
      </c>
      <c r="I7" s="185">
        <f ca="1"/>
        <v>0</v>
      </c>
      <c r="J7" s="54" t="str">
        <f ca="1"/>
        <v/>
      </c>
      <c r="K7" s="22" t="str">
        <f ca="1"/>
        <v/>
      </c>
    </row>
    <row r="8" spans="1:11" ht="15.75">
      <c r="A8" s="186" t="str">
        <v>West Bridgewater A&amp;B</v>
      </c>
      <c r="B8" s="125" t="str">
        <v>MA</v>
      </c>
      <c r="C8" s="182" t="str" cm="1">
        <f t="array" aca="1" ref="C8:K8" ca="1">IF(INDIRECT("'" &amp; $A8 &amp; "'!B14:J14")="", "", INDIRECT("'" &amp; $A8 &amp; "'!B14:J14"))</f>
        <v/>
      </c>
      <c r="D8" s="182" t="str">
        <f ca="1"/>
        <v/>
      </c>
      <c r="E8" s="182">
        <f ca="1"/>
        <v>0</v>
      </c>
      <c r="F8" s="183">
        <f ca="1"/>
        <v>0</v>
      </c>
      <c r="G8" s="184" t="str">
        <f ca="1"/>
        <v/>
      </c>
      <c r="H8" s="184">
        <f ca="1"/>
        <v>0</v>
      </c>
      <c r="I8" s="185">
        <f ca="1"/>
        <v>0</v>
      </c>
      <c r="J8" s="54" t="str">
        <f ca="1"/>
        <v/>
      </c>
      <c r="K8" s="22" t="str">
        <f ca="1"/>
        <v/>
      </c>
    </row>
    <row r="9" spans="1:11" ht="15.75">
      <c r="A9" s="180" t="str">
        <v>Sutton A</v>
      </c>
      <c r="B9" s="181" t="str">
        <v>MA</v>
      </c>
      <c r="C9" s="182" t="str" cm="1">
        <f t="array" aca="1" ref="C9:K9" ca="1">IF(INDIRECT("'" &amp; $A9 &amp; "'!B14:J14")="", "", INDIRECT("'" &amp; $A9 &amp; "'!B14:J14"))</f>
        <v/>
      </c>
      <c r="D9" s="182" t="str">
        <f ca="1"/>
        <v/>
      </c>
      <c r="E9" s="182">
        <f ca="1"/>
        <v>0</v>
      </c>
      <c r="F9" s="183">
        <f ca="1"/>
        <v>0</v>
      </c>
      <c r="G9" s="184" t="str">
        <f ca="1"/>
        <v/>
      </c>
      <c r="H9" s="184">
        <f ca="1"/>
        <v>0</v>
      </c>
      <c r="I9" s="185">
        <f ca="1"/>
        <v>0</v>
      </c>
      <c r="J9" s="54" t="str">
        <f ca="1"/>
        <v/>
      </c>
      <c r="K9" s="22" t="str">
        <f ca="1"/>
        <v/>
      </c>
    </row>
    <row r="10" spans="1:11" ht="15.75">
      <c r="A10" s="186" t="str">
        <v>North Adams A</v>
      </c>
      <c r="B10" s="125" t="str">
        <v>MA</v>
      </c>
      <c r="C10" s="182" t="str" cm="1">
        <f t="array" aca="1" ref="C10:K10" ca="1">IF(INDIRECT("'" &amp; $A10 &amp; "'!B14:J14")="", "", INDIRECT("'" &amp; $A10 &amp; "'!B14:J14"))</f>
        <v/>
      </c>
      <c r="D10" s="182" t="str">
        <f ca="1"/>
        <v/>
      </c>
      <c r="E10" s="182">
        <f ca="1"/>
        <v>0</v>
      </c>
      <c r="F10" s="183">
        <f ca="1"/>
        <v>0</v>
      </c>
      <c r="G10" s="184" t="str">
        <f ca="1"/>
        <v/>
      </c>
      <c r="H10" s="184">
        <f ca="1"/>
        <v>0</v>
      </c>
      <c r="I10" s="185">
        <f ca="1"/>
        <v>0</v>
      </c>
      <c r="J10" s="54" t="str">
        <f ca="1"/>
        <v/>
      </c>
      <c r="K10" s="22" t="str">
        <f ca="1"/>
        <v/>
      </c>
    </row>
    <row r="11" spans="1:11" ht="15.75">
      <c r="A11" s="180" t="str">
        <v>North Adams B</v>
      </c>
      <c r="B11" s="181" t="str">
        <v>MA</v>
      </c>
      <c r="C11" s="182" t="str" cm="1">
        <f t="array" aca="1" ref="C11:K11" ca="1">IF(INDIRECT("'" &amp; $A11 &amp; "'!B14:J14")="", "", INDIRECT("'" &amp; $A11 &amp; "'!B14:J14"))</f>
        <v/>
      </c>
      <c r="D11" s="182" t="str">
        <f ca="1"/>
        <v/>
      </c>
      <c r="E11" s="182">
        <f ca="1"/>
        <v>0</v>
      </c>
      <c r="F11" s="183">
        <f ca="1"/>
        <v>0</v>
      </c>
      <c r="G11" s="184" t="str">
        <f ca="1"/>
        <v/>
      </c>
      <c r="H11" s="184">
        <f ca="1"/>
        <v>0</v>
      </c>
      <c r="I11" s="185">
        <f ca="1"/>
        <v>0</v>
      </c>
      <c r="J11" s="54" t="str">
        <f ca="1"/>
        <v/>
      </c>
      <c r="K11" s="22" t="str">
        <f ca="1"/>
        <v/>
      </c>
    </row>
    <row r="12" spans="1:11" ht="15.75">
      <c r="A12" s="186" t="str">
        <v>Clarksburg A</v>
      </c>
      <c r="B12" s="125" t="str">
        <v>MA</v>
      </c>
      <c r="C12" s="182" t="str" cm="1">
        <f t="array" aca="1" ref="C12:K12" ca="1">IF(INDIRECT("'" &amp; $A12 &amp; "'!B14:J14")="", "", INDIRECT("'" &amp; $A12 &amp; "'!B14:J14"))</f>
        <v/>
      </c>
      <c r="D12" s="182" t="str">
        <f ca="1"/>
        <v/>
      </c>
      <c r="E12" s="182">
        <f ca="1"/>
        <v>0</v>
      </c>
      <c r="F12" s="183">
        <f ca="1"/>
        <v>0</v>
      </c>
      <c r="G12" s="184" t="str">
        <f ca="1"/>
        <v/>
      </c>
      <c r="H12" s="184">
        <f ca="1"/>
        <v>0</v>
      </c>
      <c r="I12" s="185">
        <f ca="1"/>
        <v>0</v>
      </c>
      <c r="J12" s="54" t="str">
        <f ca="1"/>
        <v/>
      </c>
      <c r="K12" s="22" t="str">
        <f ca="1"/>
        <v/>
      </c>
    </row>
    <row r="13" spans="1:11" ht="15.75">
      <c r="A13" s="180" t="str">
        <v>Swansea B</v>
      </c>
      <c r="B13" s="181" t="str">
        <v>MA</v>
      </c>
      <c r="C13" s="182" t="str" cm="1">
        <f t="array" aca="1" ref="C13:K13" ca="1">IF(INDIRECT("'" &amp; $A13 &amp; "'!B14:J14")="", "", INDIRECT("'" &amp; $A13 &amp; "'!B14:J14"))</f>
        <v/>
      </c>
      <c r="D13" s="182" t="str">
        <f ca="1"/>
        <v/>
      </c>
      <c r="E13" s="182">
        <f ca="1"/>
        <v>0</v>
      </c>
      <c r="F13" s="183">
        <f ca="1"/>
        <v>0</v>
      </c>
      <c r="G13" s="184" t="str">
        <f ca="1"/>
        <v/>
      </c>
      <c r="H13" s="184">
        <f ca="1"/>
        <v>0</v>
      </c>
      <c r="I13" s="185">
        <f ca="1"/>
        <v>0</v>
      </c>
      <c r="J13" s="54" t="str">
        <f ca="1"/>
        <v/>
      </c>
      <c r="K13" s="22" t="str">
        <f ca="1"/>
        <v/>
      </c>
    </row>
    <row r="14" spans="1:11" ht="15.75">
      <c r="A14" s="186" t="str">
        <v>Wareham 2</v>
      </c>
      <c r="B14" s="125" t="str">
        <v>MA</v>
      </c>
      <c r="C14" s="182" t="str" cm="1">
        <f t="array" aca="1" ref="C14:K14" ca="1">IF(INDIRECT("'" &amp; $A14 &amp; "'!B14:J14")="", "", INDIRECT("'" &amp; $A14 &amp; "'!B14:J14"))</f>
        <v/>
      </c>
      <c r="D14" s="182" t="str">
        <f ca="1"/>
        <v/>
      </c>
      <c r="E14" s="182">
        <f ca="1"/>
        <v>0</v>
      </c>
      <c r="F14" s="183">
        <f ca="1"/>
        <v>0</v>
      </c>
      <c r="G14" s="184" t="str">
        <f ca="1"/>
        <v/>
      </c>
      <c r="H14" s="184">
        <f ca="1"/>
        <v>0</v>
      </c>
      <c r="I14" s="185">
        <f ca="1"/>
        <v>0</v>
      </c>
      <c r="J14" s="54" t="str">
        <f ca="1"/>
        <v/>
      </c>
      <c r="K14" s="22" t="str">
        <f ca="1"/>
        <v/>
      </c>
    </row>
    <row r="15" spans="1:11" ht="15.75">
      <c r="A15" s="180" t="str">
        <v>Kingston 1 KB</v>
      </c>
      <c r="B15" s="181" t="str">
        <v>MA</v>
      </c>
      <c r="C15" s="182" t="str" cm="1">
        <f t="array" aca="1" ref="C15:K15" ca="1">IF(INDIRECT("'" &amp; $A15 &amp; "'!B14:J14")="", "", INDIRECT("'" &amp; $A15 &amp; "'!B14:J14"))</f>
        <v/>
      </c>
      <c r="D15" s="182" t="str">
        <f ca="1"/>
        <v/>
      </c>
      <c r="E15" s="182">
        <f ca="1"/>
        <v>0</v>
      </c>
      <c r="F15" s="183">
        <f ca="1"/>
        <v>0</v>
      </c>
      <c r="G15" s="184" t="str">
        <f ca="1"/>
        <v/>
      </c>
      <c r="H15" s="184">
        <f ca="1"/>
        <v>0</v>
      </c>
      <c r="I15" s="185">
        <f ca="1"/>
        <v>0</v>
      </c>
      <c r="J15" s="54" t="str">
        <f ca="1"/>
        <v/>
      </c>
      <c r="K15" s="22" t="str">
        <f ca="1"/>
        <v/>
      </c>
    </row>
    <row r="16" spans="1:11" ht="15.75">
      <c r="A16" s="187" t="str">
        <v>Kingston 2 KB</v>
      </c>
      <c r="B16" s="188" t="str">
        <v>MA</v>
      </c>
      <c r="C16" s="182" t="str" cm="1">
        <f t="array" aca="1" ref="C16:K16" ca="1">IF(INDIRECT("'" &amp; $A16 &amp; "'!B14:J14")="", "", INDIRECT("'" &amp; $A16 &amp; "'!B14:J14"))</f>
        <v/>
      </c>
      <c r="D16" s="182" t="str">
        <f ca="1"/>
        <v/>
      </c>
      <c r="E16" s="182">
        <f ca="1"/>
        <v>0</v>
      </c>
      <c r="F16" s="183">
        <f ca="1"/>
        <v>0</v>
      </c>
      <c r="G16" s="184" t="str">
        <f ca="1"/>
        <v/>
      </c>
      <c r="H16" s="184">
        <f ca="1"/>
        <v>0</v>
      </c>
      <c r="I16" s="185">
        <f ca="1"/>
        <v>0</v>
      </c>
      <c r="J16" s="115" t="str">
        <f ca="1"/>
        <v/>
      </c>
      <c r="K16" s="115" t="str">
        <f ca="1"/>
        <v/>
      </c>
    </row>
    <row r="17" spans="1:11" ht="15.75">
      <c r="A17" s="180" t="str">
        <v>Holliston B</v>
      </c>
      <c r="B17" s="181" t="str">
        <v>MA</v>
      </c>
      <c r="C17" s="182" t="str" cm="1">
        <f t="array" aca="1" ref="C17:K17" ca="1">IF(INDIRECT("'" &amp; $A17 &amp; "'!B14:J14")="", "", INDIRECT("'" &amp; $A17 &amp; "'!B14:J14"))</f>
        <v/>
      </c>
      <c r="D17" s="182" t="str">
        <f ca="1"/>
        <v/>
      </c>
      <c r="E17" s="182">
        <f ca="1"/>
        <v>0</v>
      </c>
      <c r="F17" s="183">
        <f ca="1"/>
        <v>0</v>
      </c>
      <c r="G17" s="184" t="str">
        <f ca="1"/>
        <v/>
      </c>
      <c r="H17" s="184">
        <f ca="1"/>
        <v>0</v>
      </c>
      <c r="I17" s="185">
        <f ca="1"/>
        <v>0</v>
      </c>
      <c r="J17" s="115" t="str">
        <f ca="1"/>
        <v/>
      </c>
      <c r="K17" s="115" t="str">
        <f ca="1"/>
        <v/>
      </c>
    </row>
    <row r="18" spans="1:11" ht="15.75">
      <c r="A18" s="187" t="str">
        <v>Fairhaven C</v>
      </c>
      <c r="B18" s="188" t="str">
        <v>MA</v>
      </c>
      <c r="C18" s="182" t="str" cm="1">
        <f t="array" aca="1" ref="C18:K18" ca="1">IF(INDIRECT("'" &amp; $A18 &amp; "'!B14:J14")="", "", INDIRECT("'" &amp; $A18 &amp; "'!B14:J14"))</f>
        <v/>
      </c>
      <c r="D18" s="182" t="str">
        <f ca="1"/>
        <v/>
      </c>
      <c r="E18" s="182">
        <f ca="1"/>
        <v>0</v>
      </c>
      <c r="F18" s="183">
        <f ca="1"/>
        <v>0</v>
      </c>
      <c r="G18" s="184" t="str">
        <f ca="1"/>
        <v/>
      </c>
      <c r="H18" s="184">
        <f ca="1"/>
        <v>0</v>
      </c>
      <c r="I18" s="185">
        <f ca="1"/>
        <v>0</v>
      </c>
      <c r="J18" s="115" t="str">
        <f ca="1"/>
        <v/>
      </c>
      <c r="K18" s="115" t="str">
        <f ca="1"/>
        <v/>
      </c>
    </row>
    <row r="19" spans="1:11" ht="15.75">
      <c r="A19" s="180" t="str">
        <v>Plympton A-2</v>
      </c>
      <c r="B19" s="181" t="str">
        <v>MA</v>
      </c>
      <c r="C19" s="182" t="str" cm="1">
        <f t="array" aca="1" ref="C19:K19" ca="1">IF(INDIRECT("'" &amp; $A19 &amp; "'!B14:J14")="", "", INDIRECT("'" &amp; $A19 &amp; "'!B14:J14"))</f>
        <v/>
      </c>
      <c r="D19" s="182" t="str">
        <f ca="1"/>
        <v/>
      </c>
      <c r="E19" s="182">
        <f ca="1"/>
        <v>0</v>
      </c>
      <c r="F19" s="183">
        <f ca="1"/>
        <v>0</v>
      </c>
      <c r="G19" s="184" t="str">
        <f ca="1"/>
        <v/>
      </c>
      <c r="H19" s="184">
        <f ca="1"/>
        <v>0</v>
      </c>
      <c r="I19" s="185">
        <f ca="1"/>
        <v>0</v>
      </c>
      <c r="J19" s="93" t="str">
        <f ca="1"/>
        <v/>
      </c>
      <c r="K19" s="115" t="str">
        <f ca="1"/>
        <v/>
      </c>
    </row>
    <row r="20" spans="1:11" ht="13.9" thickBot="1">
      <c r="A20" s="63" t="s">
        <v>11</v>
      </c>
      <c r="B20" s="64"/>
      <c r="C20" s="65">
        <f ca="1">SUM(C3:C19)</f>
        <v>0</v>
      </c>
      <c r="D20" s="65">
        <f ca="1">SUM(D3:D19)</f>
        <v>0</v>
      </c>
      <c r="E20" s="65">
        <f ca="1">C20-D20</f>
        <v>0</v>
      </c>
      <c r="F20" s="66">
        <f ca="1">IFERROR(E20/D20, 0)</f>
        <v>0</v>
      </c>
      <c r="G20" s="65">
        <f ca="1">SUM(G3:G19)</f>
        <v>0</v>
      </c>
      <c r="H20" s="67">
        <f ca="1">C20-G20</f>
        <v>0</v>
      </c>
      <c r="I20" s="68">
        <f ca="1">IFERROR(H20/G20, 0)</f>
        <v>0</v>
      </c>
      <c r="J20" s="9"/>
    </row>
    <row r="21" spans="1:11">
      <c r="J21" s="9"/>
    </row>
    <row r="22" spans="1:11" ht="12.75" customHeight="1">
      <c r="A22" s="194" t="s">
        <v>12</v>
      </c>
      <c r="J22" s="9"/>
    </row>
    <row r="23" spans="1:11">
      <c r="A23" s="194"/>
      <c r="J23" s="9"/>
    </row>
    <row r="24" spans="1:11">
      <c r="A24" s="195" t="s">
        <v>13</v>
      </c>
      <c r="J24" s="9"/>
    </row>
    <row r="25" spans="1:11" ht="12.75" customHeight="1">
      <c r="A25" s="195"/>
      <c r="J25" s="9"/>
    </row>
    <row r="26" spans="1:11">
      <c r="J26" s="9"/>
    </row>
  </sheetData>
  <autoFilter ref="A2:I2" xr:uid="{B87DE706-15D9-4E58-ADBD-0129509DEFD6}"/>
  <mergeCells count="7">
    <mergeCell ref="A22:A23"/>
    <mergeCell ref="A24:A25"/>
    <mergeCell ref="G1:I1"/>
    <mergeCell ref="J1:J2"/>
    <mergeCell ref="K1:K2"/>
    <mergeCell ref="C1:F1"/>
    <mergeCell ref="A1:B1"/>
  </mergeCells>
  <conditionalFormatting sqref="F3:F20 I3:I20">
    <cfRule type="cellIs" dxfId="282" priority="1" operator="lessThanOrEqual">
      <formula>-0.1</formula>
    </cfRule>
    <cfRule type="cellIs" dxfId="28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26"/>
  <sheetViews>
    <sheetView workbookViewId="0">
      <pane ySplit="2" topLeftCell="A3" activePane="bottomLeft" state="frozen"/>
      <selection pane="bottomLeft" activeCell="D24" sqref="D24"/>
      <selection activeCell="D24" sqref="D24"/>
    </sheetView>
  </sheetViews>
  <sheetFormatPr defaultColWidth="8.85546875"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55.85546875" customWidth="1"/>
    <col min="11" max="11" width="13.42578125" customWidth="1"/>
    <col min="12" max="12" width="8.85546875" bestFit="1" customWidth="1"/>
  </cols>
  <sheetData>
    <row r="1" spans="1:11" ht="19.5" customHeight="1">
      <c r="A1" s="196" t="str" cm="1">
        <f t="array" ref="A1">portfolio</f>
        <v>MN8 KEF</v>
      </c>
      <c r="B1" s="197"/>
      <c r="C1" s="198" t="s">
        <v>42</v>
      </c>
      <c r="D1" s="199"/>
      <c r="E1" s="199"/>
      <c r="F1" s="200"/>
      <c r="G1" s="201" t="s">
        <v>43</v>
      </c>
      <c r="H1" s="201"/>
      <c r="I1" s="202"/>
      <c r="J1" s="190" t="s">
        <v>2</v>
      </c>
      <c r="K1" s="190" t="s">
        <v>3</v>
      </c>
    </row>
    <row r="2" spans="1:11" ht="14.25" customHeight="1" thickBot="1">
      <c r="A2" s="55" t="s">
        <v>4</v>
      </c>
      <c r="B2" s="56" t="s">
        <v>5</v>
      </c>
      <c r="C2" s="57" t="s">
        <v>6</v>
      </c>
      <c r="D2" s="58" t="s">
        <v>7</v>
      </c>
      <c r="E2" s="57" t="s">
        <v>8</v>
      </c>
      <c r="F2" s="59" t="s">
        <v>9</v>
      </c>
      <c r="G2" s="60" t="s">
        <v>10</v>
      </c>
      <c r="H2" s="61" t="s">
        <v>8</v>
      </c>
      <c r="I2" s="62" t="s">
        <v>9</v>
      </c>
      <c r="J2" s="191"/>
      <c r="K2" s="191"/>
    </row>
    <row r="3" spans="1:11" ht="15.75">
      <c r="A3" s="180" t="str" cm="1">
        <f t="array" ref="A3:A19">Sites[Site]</f>
        <v>Williamsburg A</v>
      </c>
      <c r="B3" s="181" t="str" cm="1">
        <f t="array" ref="B3:B19">Sites[State]</f>
        <v>MA</v>
      </c>
      <c r="C3" s="182" t="str" cm="1">
        <f t="array" aca="1" ref="C3:K3" ca="1">IF(INDIRECT("'" &amp; $A3 &amp; "'!B15:J15")="", "", INDIRECT("'" &amp; $A3 &amp; "'!B15:J15"))</f>
        <v/>
      </c>
      <c r="D3" s="182" t="str">
        <f ca="1"/>
        <v/>
      </c>
      <c r="E3" s="182">
        <f ca="1"/>
        <v>0</v>
      </c>
      <c r="F3" s="183">
        <f ca="1"/>
        <v>0</v>
      </c>
      <c r="G3" s="184" t="str">
        <f ca="1"/>
        <v/>
      </c>
      <c r="H3" s="184">
        <f ca="1"/>
        <v>0</v>
      </c>
      <c r="I3" s="185">
        <f ca="1"/>
        <v>0</v>
      </c>
      <c r="J3" s="92" t="str">
        <f ca="1"/>
        <v/>
      </c>
      <c r="K3" s="23" t="str">
        <f ca="1"/>
        <v/>
      </c>
    </row>
    <row r="4" spans="1:11" ht="15.75">
      <c r="A4" s="186" t="str">
        <v>Orange A KB</v>
      </c>
      <c r="B4" s="125" t="str">
        <v>MA</v>
      </c>
      <c r="C4" s="182" t="str" cm="1">
        <f t="array" aca="1" ref="C4:K4" ca="1">IF(INDIRECT("'" &amp; $A4 &amp; "'!B15:J15")="", "", INDIRECT("'" &amp; $A4 &amp; "'!B15:J15"))</f>
        <v/>
      </c>
      <c r="D4" s="182" t="str">
        <f ca="1"/>
        <v/>
      </c>
      <c r="E4" s="182">
        <f ca="1"/>
        <v>0</v>
      </c>
      <c r="F4" s="183">
        <f ca="1"/>
        <v>0</v>
      </c>
      <c r="G4" s="184" t="str">
        <f ca="1"/>
        <v/>
      </c>
      <c r="H4" s="184">
        <f ca="1"/>
        <v>0</v>
      </c>
      <c r="I4" s="185">
        <f ca="1"/>
        <v>0</v>
      </c>
      <c r="J4" s="92" t="str">
        <f ca="1"/>
        <v/>
      </c>
      <c r="K4" s="23" t="str">
        <f ca="1"/>
        <v/>
      </c>
    </row>
    <row r="5" spans="1:11" ht="15.75">
      <c r="A5" s="180" t="str">
        <v>Goshen A</v>
      </c>
      <c r="B5" s="181" t="str">
        <v>MA</v>
      </c>
      <c r="C5" s="182" t="str" cm="1">
        <f t="array" aca="1" ref="C5:K5" ca="1">IF(INDIRECT("'" &amp; $A5 &amp; "'!B15:J15")="", "", INDIRECT("'" &amp; $A5 &amp; "'!B15:J15"))</f>
        <v/>
      </c>
      <c r="D5" s="182" t="str">
        <f ca="1"/>
        <v/>
      </c>
      <c r="E5" s="182">
        <f ca="1"/>
        <v>0</v>
      </c>
      <c r="F5" s="183">
        <f ca="1"/>
        <v>0</v>
      </c>
      <c r="G5" s="184" t="str">
        <f ca="1"/>
        <v/>
      </c>
      <c r="H5" s="184">
        <f ca="1"/>
        <v>0</v>
      </c>
      <c r="I5" s="185">
        <f ca="1"/>
        <v>0</v>
      </c>
      <c r="J5" s="54" t="str">
        <f ca="1"/>
        <v/>
      </c>
      <c r="K5" s="22" t="str">
        <f ca="1"/>
        <v/>
      </c>
    </row>
    <row r="6" spans="1:11" ht="15.75">
      <c r="A6" s="186" t="str">
        <v>Phillipston A KB</v>
      </c>
      <c r="B6" s="125" t="str">
        <v>MA</v>
      </c>
      <c r="C6" s="182" t="str" cm="1">
        <f t="array" aca="1" ref="C6:K6" ca="1">IF(INDIRECT("'" &amp; $A6 &amp; "'!B15:J15")="", "", INDIRECT("'" &amp; $A6 &amp; "'!B15:J15"))</f>
        <v/>
      </c>
      <c r="D6" s="182" t="str">
        <f ca="1"/>
        <v/>
      </c>
      <c r="E6" s="182">
        <f ca="1"/>
        <v>0</v>
      </c>
      <c r="F6" s="183">
        <f ca="1"/>
        <v>0</v>
      </c>
      <c r="G6" s="184" t="str">
        <f ca="1"/>
        <v/>
      </c>
      <c r="H6" s="184">
        <f ca="1"/>
        <v>0</v>
      </c>
      <c r="I6" s="185">
        <f ca="1"/>
        <v>0</v>
      </c>
      <c r="J6" s="54" t="str">
        <f ca="1"/>
        <v/>
      </c>
      <c r="K6" s="22" t="str">
        <f ca="1"/>
        <v/>
      </c>
    </row>
    <row r="7" spans="1:11" ht="15.75">
      <c r="A7" s="180" t="str">
        <v>Uxbridge D</v>
      </c>
      <c r="B7" s="181" t="str">
        <v>MA</v>
      </c>
      <c r="C7" s="182" t="str" cm="1">
        <f t="array" aca="1" ref="C7:K7" ca="1">IF(INDIRECT("'" &amp; $A7 &amp; "'!B15:J15")="", "", INDIRECT("'" &amp; $A7 &amp; "'!B15:J15"))</f>
        <v/>
      </c>
      <c r="D7" s="182" t="str">
        <f ca="1"/>
        <v/>
      </c>
      <c r="E7" s="182">
        <f ca="1"/>
        <v>0</v>
      </c>
      <c r="F7" s="183">
        <f ca="1"/>
        <v>0</v>
      </c>
      <c r="G7" s="184" t="str">
        <f ca="1"/>
        <v/>
      </c>
      <c r="H7" s="184">
        <f ca="1"/>
        <v>0</v>
      </c>
      <c r="I7" s="185">
        <f ca="1"/>
        <v>0</v>
      </c>
      <c r="J7" s="54" t="str">
        <f ca="1"/>
        <v/>
      </c>
      <c r="K7" s="22" t="str">
        <f ca="1"/>
        <v/>
      </c>
    </row>
    <row r="8" spans="1:11" ht="15.75">
      <c r="A8" s="186" t="str">
        <v>West Bridgewater A&amp;B</v>
      </c>
      <c r="B8" s="125" t="str">
        <v>MA</v>
      </c>
      <c r="C8" s="182" t="str" cm="1">
        <f t="array" aca="1" ref="C8:K8" ca="1">IF(INDIRECT("'" &amp; $A8 &amp; "'!B15:J15")="", "", INDIRECT("'" &amp; $A8 &amp; "'!B15:J15"))</f>
        <v/>
      </c>
      <c r="D8" s="182" t="str">
        <f ca="1"/>
        <v/>
      </c>
      <c r="E8" s="182">
        <f ca="1"/>
        <v>0</v>
      </c>
      <c r="F8" s="183">
        <f ca="1"/>
        <v>0</v>
      </c>
      <c r="G8" s="184" t="str">
        <f ca="1"/>
        <v/>
      </c>
      <c r="H8" s="184">
        <f ca="1"/>
        <v>0</v>
      </c>
      <c r="I8" s="185">
        <f ca="1"/>
        <v>0</v>
      </c>
      <c r="J8" s="54" t="str">
        <f ca="1"/>
        <v/>
      </c>
      <c r="K8" s="22" t="str">
        <f ca="1"/>
        <v/>
      </c>
    </row>
    <row r="9" spans="1:11" ht="15.75">
      <c r="A9" s="180" t="str">
        <v>Sutton A</v>
      </c>
      <c r="B9" s="181" t="str">
        <v>MA</v>
      </c>
      <c r="C9" s="182" t="str" cm="1">
        <f t="array" aca="1" ref="C9:K9" ca="1">IF(INDIRECT("'" &amp; $A9 &amp; "'!B15:J15")="", "", INDIRECT("'" &amp; $A9 &amp; "'!B15:J15"))</f>
        <v/>
      </c>
      <c r="D9" s="182" t="str">
        <f ca="1"/>
        <v/>
      </c>
      <c r="E9" s="182">
        <f ca="1"/>
        <v>0</v>
      </c>
      <c r="F9" s="183">
        <f ca="1"/>
        <v>0</v>
      </c>
      <c r="G9" s="184" t="str">
        <f ca="1"/>
        <v/>
      </c>
      <c r="H9" s="184">
        <f ca="1"/>
        <v>0</v>
      </c>
      <c r="I9" s="185">
        <f ca="1"/>
        <v>0</v>
      </c>
      <c r="J9" s="54" t="str">
        <f ca="1"/>
        <v/>
      </c>
      <c r="K9" s="22" t="str">
        <f ca="1"/>
        <v/>
      </c>
    </row>
    <row r="10" spans="1:11" ht="15.75">
      <c r="A10" s="186" t="str">
        <v>North Adams A</v>
      </c>
      <c r="B10" s="125" t="str">
        <v>MA</v>
      </c>
      <c r="C10" s="182" t="str" cm="1">
        <f t="array" aca="1" ref="C10:K10" ca="1">IF(INDIRECT("'" &amp; $A10 &amp; "'!B15:J15")="", "", INDIRECT("'" &amp; $A10 &amp; "'!B15:J15"))</f>
        <v/>
      </c>
      <c r="D10" s="182" t="str">
        <f ca="1"/>
        <v/>
      </c>
      <c r="E10" s="182">
        <f ca="1"/>
        <v>0</v>
      </c>
      <c r="F10" s="183">
        <f ca="1"/>
        <v>0</v>
      </c>
      <c r="G10" s="184" t="str">
        <f ca="1"/>
        <v/>
      </c>
      <c r="H10" s="184">
        <f ca="1"/>
        <v>0</v>
      </c>
      <c r="I10" s="185">
        <f ca="1"/>
        <v>0</v>
      </c>
      <c r="J10" s="54" t="str">
        <f ca="1"/>
        <v/>
      </c>
      <c r="K10" s="22" t="str">
        <f ca="1"/>
        <v/>
      </c>
    </row>
    <row r="11" spans="1:11" ht="15.75">
      <c r="A11" s="180" t="str">
        <v>North Adams B</v>
      </c>
      <c r="B11" s="181" t="str">
        <v>MA</v>
      </c>
      <c r="C11" s="182" t="str" cm="1">
        <f t="array" aca="1" ref="C11:K11" ca="1">IF(INDIRECT("'" &amp; $A11 &amp; "'!B15:J15")="", "", INDIRECT("'" &amp; $A11 &amp; "'!B15:J15"))</f>
        <v/>
      </c>
      <c r="D11" s="182" t="str">
        <f ca="1"/>
        <v/>
      </c>
      <c r="E11" s="182">
        <f ca="1"/>
        <v>0</v>
      </c>
      <c r="F11" s="183">
        <f ca="1"/>
        <v>0</v>
      </c>
      <c r="G11" s="184" t="str">
        <f ca="1"/>
        <v/>
      </c>
      <c r="H11" s="184">
        <f ca="1"/>
        <v>0</v>
      </c>
      <c r="I11" s="185">
        <f ca="1"/>
        <v>0</v>
      </c>
      <c r="J11" s="54" t="str">
        <f ca="1"/>
        <v/>
      </c>
      <c r="K11" s="22" t="str">
        <f ca="1"/>
        <v/>
      </c>
    </row>
    <row r="12" spans="1:11" ht="15.75">
      <c r="A12" s="186" t="str">
        <v>Clarksburg A</v>
      </c>
      <c r="B12" s="125" t="str">
        <v>MA</v>
      </c>
      <c r="C12" s="182" t="str" cm="1">
        <f t="array" aca="1" ref="C12:K12" ca="1">IF(INDIRECT("'" &amp; $A12 &amp; "'!B15:J15")="", "", INDIRECT("'" &amp; $A12 &amp; "'!B15:J15"))</f>
        <v/>
      </c>
      <c r="D12" s="182" t="str">
        <f ca="1"/>
        <v/>
      </c>
      <c r="E12" s="182">
        <f ca="1"/>
        <v>0</v>
      </c>
      <c r="F12" s="183">
        <f ca="1"/>
        <v>0</v>
      </c>
      <c r="G12" s="184" t="str">
        <f ca="1"/>
        <v/>
      </c>
      <c r="H12" s="184">
        <f ca="1"/>
        <v>0</v>
      </c>
      <c r="I12" s="185">
        <f ca="1"/>
        <v>0</v>
      </c>
      <c r="J12" s="54" t="str">
        <f ca="1"/>
        <v/>
      </c>
      <c r="K12" s="22" t="str">
        <f ca="1"/>
        <v/>
      </c>
    </row>
    <row r="13" spans="1:11" ht="15.75">
      <c r="A13" s="180" t="str">
        <v>Swansea B</v>
      </c>
      <c r="B13" s="181" t="str">
        <v>MA</v>
      </c>
      <c r="C13" s="182" t="str" cm="1">
        <f t="array" aca="1" ref="C13:K13" ca="1">IF(INDIRECT("'" &amp; $A13 &amp; "'!B15:J15")="", "", INDIRECT("'" &amp; $A13 &amp; "'!B15:J15"))</f>
        <v/>
      </c>
      <c r="D13" s="182" t="str">
        <f ca="1"/>
        <v/>
      </c>
      <c r="E13" s="182">
        <f ca="1"/>
        <v>0</v>
      </c>
      <c r="F13" s="183">
        <f ca="1"/>
        <v>0</v>
      </c>
      <c r="G13" s="184" t="str">
        <f ca="1"/>
        <v/>
      </c>
      <c r="H13" s="184">
        <f ca="1"/>
        <v>0</v>
      </c>
      <c r="I13" s="185">
        <f ca="1"/>
        <v>0</v>
      </c>
      <c r="J13" s="54" t="str">
        <f ca="1"/>
        <v/>
      </c>
      <c r="K13" s="22" t="str">
        <f ca="1"/>
        <v/>
      </c>
    </row>
    <row r="14" spans="1:11" ht="15.75">
      <c r="A14" s="186" t="str">
        <v>Wareham 2</v>
      </c>
      <c r="B14" s="125" t="str">
        <v>MA</v>
      </c>
      <c r="C14" s="182" t="str" cm="1">
        <f t="array" aca="1" ref="C14:K14" ca="1">IF(INDIRECT("'" &amp; $A14 &amp; "'!B15:J15")="", "", INDIRECT("'" &amp; $A14 &amp; "'!B15:J15"))</f>
        <v/>
      </c>
      <c r="D14" s="182" t="str">
        <f ca="1"/>
        <v/>
      </c>
      <c r="E14" s="182">
        <f ca="1"/>
        <v>0</v>
      </c>
      <c r="F14" s="183">
        <f ca="1"/>
        <v>0</v>
      </c>
      <c r="G14" s="184" t="str">
        <f ca="1"/>
        <v/>
      </c>
      <c r="H14" s="184">
        <f ca="1"/>
        <v>0</v>
      </c>
      <c r="I14" s="185">
        <f ca="1"/>
        <v>0</v>
      </c>
      <c r="J14" s="54" t="str">
        <f ca="1"/>
        <v/>
      </c>
      <c r="K14" s="22" t="str">
        <f ca="1"/>
        <v/>
      </c>
    </row>
    <row r="15" spans="1:11" ht="15.75">
      <c r="A15" s="180" t="str">
        <v>Kingston 1 KB</v>
      </c>
      <c r="B15" s="181" t="str">
        <v>MA</v>
      </c>
      <c r="C15" s="182" t="str" cm="1">
        <f t="array" aca="1" ref="C15:K15" ca="1">IF(INDIRECT("'" &amp; $A15 &amp; "'!B15:J15")="", "", INDIRECT("'" &amp; $A15 &amp; "'!B15:J15"))</f>
        <v/>
      </c>
      <c r="D15" s="182" t="str">
        <f ca="1"/>
        <v/>
      </c>
      <c r="E15" s="182">
        <f ca="1"/>
        <v>0</v>
      </c>
      <c r="F15" s="183">
        <f ca="1"/>
        <v>0</v>
      </c>
      <c r="G15" s="184" t="str">
        <f ca="1"/>
        <v/>
      </c>
      <c r="H15" s="184">
        <f ca="1"/>
        <v>0</v>
      </c>
      <c r="I15" s="185">
        <f ca="1"/>
        <v>0</v>
      </c>
      <c r="J15" s="54" t="str">
        <f ca="1"/>
        <v/>
      </c>
      <c r="K15" s="22" t="str">
        <f ca="1"/>
        <v/>
      </c>
    </row>
    <row r="16" spans="1:11" ht="15.75">
      <c r="A16" s="187" t="str">
        <v>Kingston 2 KB</v>
      </c>
      <c r="B16" s="188" t="str">
        <v>MA</v>
      </c>
      <c r="C16" s="182" t="str" cm="1">
        <f t="array" aca="1" ref="C16:K16" ca="1">IF(INDIRECT("'" &amp; $A16 &amp; "'!B15:J15")="", "", INDIRECT("'" &amp; $A16 &amp; "'!B15:J15"))</f>
        <v/>
      </c>
      <c r="D16" s="182" t="str">
        <f ca="1"/>
        <v/>
      </c>
      <c r="E16" s="182">
        <f ca="1"/>
        <v>0</v>
      </c>
      <c r="F16" s="183">
        <f ca="1"/>
        <v>0</v>
      </c>
      <c r="G16" s="184" t="str">
        <f ca="1"/>
        <v/>
      </c>
      <c r="H16" s="184">
        <f ca="1"/>
        <v>0</v>
      </c>
      <c r="I16" s="185">
        <f ca="1"/>
        <v>0</v>
      </c>
      <c r="J16" s="115" t="str">
        <f ca="1"/>
        <v/>
      </c>
      <c r="K16" s="115" t="str">
        <f ca="1"/>
        <v/>
      </c>
    </row>
    <row r="17" spans="1:11" ht="15.75">
      <c r="A17" s="180" t="str">
        <v>Holliston B</v>
      </c>
      <c r="B17" s="181" t="str">
        <v>MA</v>
      </c>
      <c r="C17" s="182" t="str" cm="1">
        <f t="array" aca="1" ref="C17:K17" ca="1">IF(INDIRECT("'" &amp; $A17 &amp; "'!B15:J15")="", "", INDIRECT("'" &amp; $A17 &amp; "'!B15:J15"))</f>
        <v/>
      </c>
      <c r="D17" s="182" t="str">
        <f ca="1"/>
        <v/>
      </c>
      <c r="E17" s="182">
        <f ca="1"/>
        <v>0</v>
      </c>
      <c r="F17" s="183">
        <f ca="1"/>
        <v>0</v>
      </c>
      <c r="G17" s="184" t="str">
        <f ca="1"/>
        <v/>
      </c>
      <c r="H17" s="184">
        <f ca="1"/>
        <v>0</v>
      </c>
      <c r="I17" s="185">
        <f ca="1"/>
        <v>0</v>
      </c>
      <c r="J17" s="115" t="str">
        <f ca="1"/>
        <v/>
      </c>
      <c r="K17" s="115" t="str">
        <f ca="1"/>
        <v/>
      </c>
    </row>
    <row r="18" spans="1:11" ht="15.75">
      <c r="A18" s="187" t="str">
        <v>Fairhaven C</v>
      </c>
      <c r="B18" s="188" t="str">
        <v>MA</v>
      </c>
      <c r="C18" s="182" t="str" cm="1">
        <f t="array" aca="1" ref="C18:K18" ca="1">IF(INDIRECT("'" &amp; $A18 &amp; "'!B15:J15")="", "", INDIRECT("'" &amp; $A18 &amp; "'!B15:J15"))</f>
        <v/>
      </c>
      <c r="D18" s="182" t="str">
        <f ca="1"/>
        <v/>
      </c>
      <c r="E18" s="182">
        <f ca="1"/>
        <v>0</v>
      </c>
      <c r="F18" s="183">
        <f ca="1"/>
        <v>0</v>
      </c>
      <c r="G18" s="184" t="str">
        <f ca="1"/>
        <v/>
      </c>
      <c r="H18" s="184">
        <f ca="1"/>
        <v>0</v>
      </c>
      <c r="I18" s="185">
        <f ca="1"/>
        <v>0</v>
      </c>
      <c r="J18" s="115" t="str">
        <f ca="1"/>
        <v/>
      </c>
      <c r="K18" s="115" t="str">
        <f ca="1"/>
        <v/>
      </c>
    </row>
    <row r="19" spans="1:11" ht="15.75">
      <c r="A19" s="180" t="str">
        <v>Plympton A-2</v>
      </c>
      <c r="B19" s="181" t="str">
        <v>MA</v>
      </c>
      <c r="C19" s="182" t="str" cm="1">
        <f t="array" aca="1" ref="C19:K19" ca="1">IF(INDIRECT("'" &amp; $A19 &amp; "'!B15:J15")="", "", INDIRECT("'" &amp; $A19 &amp; "'!B15:J15"))</f>
        <v/>
      </c>
      <c r="D19" s="182" t="str">
        <f ca="1"/>
        <v/>
      </c>
      <c r="E19" s="182">
        <f ca="1"/>
        <v>0</v>
      </c>
      <c r="F19" s="183">
        <f ca="1"/>
        <v>0</v>
      </c>
      <c r="G19" s="184" t="str">
        <f ca="1"/>
        <v/>
      </c>
      <c r="H19" s="184">
        <f ca="1"/>
        <v>0</v>
      </c>
      <c r="I19" s="185">
        <f ca="1"/>
        <v>0</v>
      </c>
      <c r="J19" s="115" t="str">
        <f ca="1"/>
        <v/>
      </c>
      <c r="K19" s="115" t="str">
        <f ca="1"/>
        <v/>
      </c>
    </row>
    <row r="20" spans="1:11" ht="24.75" customHeight="1" thickBot="1">
      <c r="A20" s="63" t="s">
        <v>11</v>
      </c>
      <c r="B20" s="64"/>
      <c r="C20" s="65">
        <f ca="1">SUM(C3:C19)</f>
        <v>0</v>
      </c>
      <c r="D20" s="65">
        <f ca="1">SUM(D3:D19)</f>
        <v>0</v>
      </c>
      <c r="E20" s="65">
        <f ca="1">C20-D20</f>
        <v>0</v>
      </c>
      <c r="F20" s="66">
        <f ca="1">IFERROR(E20/D20, 0)</f>
        <v>0</v>
      </c>
      <c r="G20" s="65">
        <f ca="1">SUM(G3:G19)</f>
        <v>0</v>
      </c>
      <c r="H20" s="67">
        <f ca="1">C20-G20</f>
        <v>0</v>
      </c>
      <c r="I20" s="68">
        <f ca="1">IFERROR(H20/G20, 0)</f>
        <v>0</v>
      </c>
      <c r="J20" s="189"/>
      <c r="K20" s="98"/>
    </row>
    <row r="21" spans="1:11">
      <c r="J21" s="9"/>
    </row>
    <row r="22" spans="1:11" ht="12.75" customHeight="1">
      <c r="A22" s="194" t="s">
        <v>12</v>
      </c>
      <c r="J22" s="9"/>
    </row>
    <row r="23" spans="1:11">
      <c r="A23" s="194"/>
      <c r="J23" s="9"/>
    </row>
    <row r="24" spans="1:11">
      <c r="A24" s="195" t="s">
        <v>13</v>
      </c>
      <c r="J24" s="9"/>
    </row>
    <row r="25" spans="1:11" ht="12.75" customHeight="1">
      <c r="A25" s="195"/>
      <c r="J25" s="9"/>
    </row>
    <row r="26" spans="1:11">
      <c r="J26" s="9"/>
    </row>
  </sheetData>
  <autoFilter ref="A2:I2" xr:uid="{7397A98F-A32F-42EE-8114-2658DE422011}"/>
  <mergeCells count="7">
    <mergeCell ref="A22:A23"/>
    <mergeCell ref="A24:A25"/>
    <mergeCell ref="G1:I1"/>
    <mergeCell ref="J1:J2"/>
    <mergeCell ref="K1:K2"/>
    <mergeCell ref="C1:F1"/>
    <mergeCell ref="A1:B1"/>
  </mergeCells>
  <conditionalFormatting sqref="F3:F20 I3:I20">
    <cfRule type="cellIs" dxfId="280" priority="1" operator="lessThanOrEqual">
      <formula>-0.1</formula>
    </cfRule>
    <cfRule type="cellIs" dxfId="279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26"/>
  <sheetViews>
    <sheetView workbookViewId="0">
      <pane ySplit="2" topLeftCell="A3" activePane="bottomLeft" state="frozen"/>
      <selection pane="bottomLeft" activeCell="D24" sqref="D24"/>
      <selection activeCell="D24" sqref="D24"/>
    </sheetView>
  </sheetViews>
  <sheetFormatPr defaultColWidth="8.85546875"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40.42578125" customWidth="1"/>
    <col min="11" max="11" width="17.85546875" customWidth="1"/>
    <col min="12" max="12" width="8.85546875" bestFit="1" customWidth="1"/>
  </cols>
  <sheetData>
    <row r="1" spans="1:11" ht="19.5" customHeight="1">
      <c r="A1" s="196" t="str" cm="1">
        <f t="array" ref="A1">portfolio</f>
        <v>MN8 KEF</v>
      </c>
      <c r="B1" s="197"/>
      <c r="C1" s="198" t="s">
        <v>44</v>
      </c>
      <c r="D1" s="199"/>
      <c r="E1" s="199"/>
      <c r="F1" s="200"/>
      <c r="G1" s="201" t="s">
        <v>45</v>
      </c>
      <c r="H1" s="201"/>
      <c r="I1" s="202"/>
      <c r="J1" s="190" t="s">
        <v>2</v>
      </c>
      <c r="K1" s="190" t="s">
        <v>3</v>
      </c>
    </row>
    <row r="2" spans="1:11" ht="14.25" customHeight="1" thickBot="1">
      <c r="A2" s="55" t="s">
        <v>4</v>
      </c>
      <c r="B2" s="56" t="s">
        <v>5</v>
      </c>
      <c r="C2" s="57" t="s">
        <v>6</v>
      </c>
      <c r="D2" s="58" t="s">
        <v>7</v>
      </c>
      <c r="E2" s="57" t="s">
        <v>8</v>
      </c>
      <c r="F2" s="59" t="s">
        <v>9</v>
      </c>
      <c r="G2" s="60" t="s">
        <v>10</v>
      </c>
      <c r="H2" s="61" t="s">
        <v>8</v>
      </c>
      <c r="I2" s="62" t="s">
        <v>9</v>
      </c>
      <c r="J2" s="191"/>
      <c r="K2" s="191"/>
    </row>
    <row r="3" spans="1:11" ht="15.75">
      <c r="A3" s="77" t="str" cm="1">
        <f t="array" ref="A3:A19">Sites[Site]</f>
        <v>Williamsburg A</v>
      </c>
      <c r="B3" s="38" t="str" cm="1">
        <f t="array" ref="B3:B19">Sites[State]</f>
        <v>MA</v>
      </c>
      <c r="C3" s="69" t="str" cm="1">
        <f t="array" aca="1" ref="C3:K3" ca="1">IF(INDIRECT("'" &amp; $A3 &amp; "'!B16:J16")="", "", INDIRECT("'" &amp; $A3 &amp; "'!B16:J16"))</f>
        <v/>
      </c>
      <c r="D3" s="69" t="str">
        <f ca="1"/>
        <v/>
      </c>
      <c r="E3" s="69">
        <f ca="1"/>
        <v>0</v>
      </c>
      <c r="F3" s="70">
        <f ca="1"/>
        <v>0</v>
      </c>
      <c r="G3" s="71" t="str">
        <f ca="1"/>
        <v/>
      </c>
      <c r="H3" s="71">
        <f ca="1"/>
        <v>0</v>
      </c>
      <c r="I3" s="72">
        <f ca="1"/>
        <v>0</v>
      </c>
      <c r="J3" s="54" t="str">
        <f ca="1"/>
        <v/>
      </c>
      <c r="K3" s="22" t="str">
        <f ca="1"/>
        <v/>
      </c>
    </row>
    <row r="4" spans="1:11" ht="15.75">
      <c r="A4" s="78" t="str">
        <v>Orange A KB</v>
      </c>
      <c r="B4" s="20" t="str">
        <v>MA</v>
      </c>
      <c r="C4" s="69" t="str" cm="1">
        <f t="array" aca="1" ref="C4:K4" ca="1">IF(INDIRECT("'" &amp; $A4 &amp; "'!B16:J16")="", "", INDIRECT("'" &amp; $A4 &amp; "'!B16:J16"))</f>
        <v/>
      </c>
      <c r="D4" s="69" t="str">
        <f ca="1"/>
        <v/>
      </c>
      <c r="E4" s="69">
        <f ca="1"/>
        <v>0</v>
      </c>
      <c r="F4" s="70">
        <f ca="1"/>
        <v>0</v>
      </c>
      <c r="G4" s="71" t="str">
        <f ca="1"/>
        <v/>
      </c>
      <c r="H4" s="71">
        <f ca="1"/>
        <v>0</v>
      </c>
      <c r="I4" s="72">
        <f ca="1"/>
        <v>0</v>
      </c>
      <c r="J4" s="54" t="str">
        <f ca="1"/>
        <v/>
      </c>
      <c r="K4" s="22" t="str">
        <f ca="1"/>
        <v/>
      </c>
    </row>
    <row r="5" spans="1:11" ht="15.75">
      <c r="A5" s="77" t="str">
        <v>Goshen A</v>
      </c>
      <c r="B5" s="38" t="str">
        <v>MA</v>
      </c>
      <c r="C5" s="69" t="str" cm="1">
        <f t="array" aca="1" ref="C5:K5" ca="1">IF(INDIRECT("'" &amp; $A5 &amp; "'!B16:J16")="", "", INDIRECT("'" &amp; $A5 &amp; "'!B16:J16"))</f>
        <v/>
      </c>
      <c r="D5" s="69" t="str">
        <f ca="1"/>
        <v/>
      </c>
      <c r="E5" s="69">
        <f ca="1"/>
        <v>0</v>
      </c>
      <c r="F5" s="70">
        <f ca="1"/>
        <v>0</v>
      </c>
      <c r="G5" s="71" t="str">
        <f ca="1"/>
        <v/>
      </c>
      <c r="H5" s="71">
        <f ca="1"/>
        <v>0</v>
      </c>
      <c r="I5" s="72">
        <f ca="1"/>
        <v>0</v>
      </c>
      <c r="J5" s="54" t="str">
        <f ca="1"/>
        <v/>
      </c>
      <c r="K5" s="22" t="str">
        <f ca="1"/>
        <v/>
      </c>
    </row>
    <row r="6" spans="1:11" ht="15.75">
      <c r="A6" s="78" t="str">
        <v>Phillipston A KB</v>
      </c>
      <c r="B6" s="20" t="str">
        <v>MA</v>
      </c>
      <c r="C6" s="69" t="str" cm="1">
        <f t="array" aca="1" ref="C6:K6" ca="1">IF(INDIRECT("'" &amp; $A6 &amp; "'!B16:J16")="", "", INDIRECT("'" &amp; $A6 &amp; "'!B16:J16"))</f>
        <v/>
      </c>
      <c r="D6" s="69" t="str">
        <f ca="1"/>
        <v/>
      </c>
      <c r="E6" s="69">
        <f ca="1"/>
        <v>0</v>
      </c>
      <c r="F6" s="70">
        <f ca="1"/>
        <v>0</v>
      </c>
      <c r="G6" s="71" t="str">
        <f ca="1"/>
        <v/>
      </c>
      <c r="H6" s="71">
        <f ca="1"/>
        <v>0</v>
      </c>
      <c r="I6" s="72">
        <f ca="1"/>
        <v>0</v>
      </c>
      <c r="J6" s="54" t="str">
        <f ca="1"/>
        <v/>
      </c>
      <c r="K6" s="22" t="str">
        <f ca="1"/>
        <v/>
      </c>
    </row>
    <row r="7" spans="1:11" ht="15.75">
      <c r="A7" s="77" t="str">
        <v>Uxbridge D</v>
      </c>
      <c r="B7" s="38" t="str">
        <v>MA</v>
      </c>
      <c r="C7" s="69" t="str" cm="1">
        <f t="array" aca="1" ref="C7:K7" ca="1">IF(INDIRECT("'" &amp; $A7 &amp; "'!B16:J16")="", "", INDIRECT("'" &amp; $A7 &amp; "'!B16:J16"))</f>
        <v/>
      </c>
      <c r="D7" s="69" t="str">
        <f ca="1"/>
        <v/>
      </c>
      <c r="E7" s="69">
        <f ca="1"/>
        <v>0</v>
      </c>
      <c r="F7" s="70">
        <f ca="1"/>
        <v>0</v>
      </c>
      <c r="G7" s="71" t="str">
        <f ca="1"/>
        <v/>
      </c>
      <c r="H7" s="71">
        <f ca="1"/>
        <v>0</v>
      </c>
      <c r="I7" s="72">
        <f ca="1"/>
        <v>0</v>
      </c>
      <c r="J7" s="54" t="str">
        <f ca="1"/>
        <v/>
      </c>
      <c r="K7" s="22" t="str">
        <f ca="1"/>
        <v/>
      </c>
    </row>
    <row r="8" spans="1:11" ht="15.75">
      <c r="A8" s="78" t="str">
        <v>West Bridgewater A&amp;B</v>
      </c>
      <c r="B8" s="20" t="str">
        <v>MA</v>
      </c>
      <c r="C8" s="69" t="str" cm="1">
        <f t="array" aca="1" ref="C8:K8" ca="1">IF(INDIRECT("'" &amp; $A8 &amp; "'!B16:J16")="", "", INDIRECT("'" &amp; $A8 &amp; "'!B16:J16"))</f>
        <v/>
      </c>
      <c r="D8" s="69" t="str">
        <f ca="1"/>
        <v/>
      </c>
      <c r="E8" s="69">
        <f ca="1"/>
        <v>0</v>
      </c>
      <c r="F8" s="70">
        <f ca="1"/>
        <v>0</v>
      </c>
      <c r="G8" s="71" t="str">
        <f ca="1"/>
        <v/>
      </c>
      <c r="H8" s="71">
        <f ca="1"/>
        <v>0</v>
      </c>
      <c r="I8" s="72">
        <f ca="1"/>
        <v>0</v>
      </c>
      <c r="J8" s="54" t="str">
        <f ca="1"/>
        <v/>
      </c>
      <c r="K8" s="22" t="str">
        <f ca="1"/>
        <v/>
      </c>
    </row>
    <row r="9" spans="1:11" ht="15.75">
      <c r="A9" s="77" t="str">
        <v>Sutton A</v>
      </c>
      <c r="B9" s="38" t="str">
        <v>MA</v>
      </c>
      <c r="C9" s="69" t="str" cm="1">
        <f t="array" aca="1" ref="C9:K9" ca="1">IF(INDIRECT("'" &amp; $A9 &amp; "'!B16:J16")="", "", INDIRECT("'" &amp; $A9 &amp; "'!B16:J16"))</f>
        <v/>
      </c>
      <c r="D9" s="69" t="str">
        <f ca="1"/>
        <v/>
      </c>
      <c r="E9" s="69">
        <f ca="1"/>
        <v>0</v>
      </c>
      <c r="F9" s="70">
        <f ca="1"/>
        <v>0</v>
      </c>
      <c r="G9" s="71" t="str">
        <f ca="1"/>
        <v/>
      </c>
      <c r="H9" s="71">
        <f ca="1"/>
        <v>0</v>
      </c>
      <c r="I9" s="72">
        <f ca="1"/>
        <v>0</v>
      </c>
      <c r="J9" s="54" t="str">
        <f ca="1"/>
        <v/>
      </c>
      <c r="K9" s="22" t="str">
        <f ca="1"/>
        <v/>
      </c>
    </row>
    <row r="10" spans="1:11" ht="15.75">
      <c r="A10" s="78" t="str">
        <v>North Adams A</v>
      </c>
      <c r="B10" s="20" t="str">
        <v>MA</v>
      </c>
      <c r="C10" s="69" t="str" cm="1">
        <f t="array" aca="1" ref="C10:K10" ca="1">IF(INDIRECT("'" &amp; $A10 &amp; "'!B16:J16")="", "", INDIRECT("'" &amp; $A10 &amp; "'!B16:J16"))</f>
        <v/>
      </c>
      <c r="D10" s="69" t="str">
        <f ca="1"/>
        <v/>
      </c>
      <c r="E10" s="69">
        <f ca="1"/>
        <v>0</v>
      </c>
      <c r="F10" s="70">
        <f ca="1"/>
        <v>0</v>
      </c>
      <c r="G10" s="71" t="str">
        <f ca="1"/>
        <v/>
      </c>
      <c r="H10" s="71">
        <f ca="1"/>
        <v>0</v>
      </c>
      <c r="I10" s="72">
        <f ca="1"/>
        <v>0</v>
      </c>
      <c r="J10" s="54" t="str">
        <f ca="1"/>
        <v/>
      </c>
      <c r="K10" s="22" t="str">
        <f ca="1"/>
        <v/>
      </c>
    </row>
    <row r="11" spans="1:11" ht="15.75">
      <c r="A11" s="77" t="str">
        <v>North Adams B</v>
      </c>
      <c r="B11" s="38" t="str">
        <v>MA</v>
      </c>
      <c r="C11" s="69" t="str" cm="1">
        <f t="array" aca="1" ref="C11:K11" ca="1">IF(INDIRECT("'" &amp; $A11 &amp; "'!B16:J16")="", "", INDIRECT("'" &amp; $A11 &amp; "'!B16:J16"))</f>
        <v/>
      </c>
      <c r="D11" s="69" t="str">
        <f ca="1"/>
        <v/>
      </c>
      <c r="E11" s="69">
        <f ca="1"/>
        <v>0</v>
      </c>
      <c r="F11" s="70">
        <f ca="1"/>
        <v>0</v>
      </c>
      <c r="G11" s="71" t="str">
        <f ca="1"/>
        <v/>
      </c>
      <c r="H11" s="71">
        <f ca="1"/>
        <v>0</v>
      </c>
      <c r="I11" s="72">
        <f ca="1"/>
        <v>0</v>
      </c>
      <c r="J11" s="54" t="str">
        <f ca="1"/>
        <v/>
      </c>
      <c r="K11" s="22" t="str">
        <f ca="1"/>
        <v/>
      </c>
    </row>
    <row r="12" spans="1:11" ht="15.75">
      <c r="A12" s="78" t="str">
        <v>Clarksburg A</v>
      </c>
      <c r="B12" s="20" t="str">
        <v>MA</v>
      </c>
      <c r="C12" s="69" t="str" cm="1">
        <f t="array" aca="1" ref="C12:K12" ca="1">IF(INDIRECT("'" &amp; $A12 &amp; "'!B16:J16")="", "", INDIRECT("'" &amp; $A12 &amp; "'!B16:J16"))</f>
        <v/>
      </c>
      <c r="D12" s="69" t="str">
        <f ca="1"/>
        <v/>
      </c>
      <c r="E12" s="69">
        <f ca="1"/>
        <v>0</v>
      </c>
      <c r="F12" s="70">
        <f ca="1"/>
        <v>0</v>
      </c>
      <c r="G12" s="71" t="str">
        <f ca="1"/>
        <v/>
      </c>
      <c r="H12" s="71">
        <f ca="1"/>
        <v>0</v>
      </c>
      <c r="I12" s="72">
        <f ca="1"/>
        <v>0</v>
      </c>
      <c r="J12" s="54" t="str">
        <f ca="1"/>
        <v/>
      </c>
      <c r="K12" s="22" t="str">
        <f ca="1"/>
        <v/>
      </c>
    </row>
    <row r="13" spans="1:11" ht="15.75">
      <c r="A13" s="77" t="str">
        <v>Swansea B</v>
      </c>
      <c r="B13" s="38" t="str">
        <v>MA</v>
      </c>
      <c r="C13" s="69" t="str" cm="1">
        <f t="array" aca="1" ref="C13:K13" ca="1">IF(INDIRECT("'" &amp; $A13 &amp; "'!B16:J16")="", "", INDIRECT("'" &amp; $A13 &amp; "'!B16:J16"))</f>
        <v/>
      </c>
      <c r="D13" s="69" t="str">
        <f ca="1"/>
        <v/>
      </c>
      <c r="E13" s="69">
        <f ca="1"/>
        <v>0</v>
      </c>
      <c r="F13" s="70">
        <f ca="1"/>
        <v>0</v>
      </c>
      <c r="G13" s="71" t="str">
        <f ca="1"/>
        <v/>
      </c>
      <c r="H13" s="71">
        <f ca="1"/>
        <v>0</v>
      </c>
      <c r="I13" s="72">
        <f ca="1"/>
        <v>0</v>
      </c>
      <c r="J13" s="54" t="str">
        <f ca="1"/>
        <v/>
      </c>
      <c r="K13" s="22" t="str">
        <f ca="1"/>
        <v/>
      </c>
    </row>
    <row r="14" spans="1:11" ht="15.75">
      <c r="A14" s="78" t="str">
        <v>Wareham 2</v>
      </c>
      <c r="B14" s="20" t="str">
        <v>MA</v>
      </c>
      <c r="C14" s="69" t="str" cm="1">
        <f t="array" aca="1" ref="C14:K14" ca="1">IF(INDIRECT("'" &amp; $A14 &amp; "'!B16:J16")="", "", INDIRECT("'" &amp; $A14 &amp; "'!B16:J16"))</f>
        <v/>
      </c>
      <c r="D14" s="69" t="str">
        <f ca="1"/>
        <v/>
      </c>
      <c r="E14" s="69">
        <f ca="1"/>
        <v>0</v>
      </c>
      <c r="F14" s="70">
        <f ca="1"/>
        <v>0</v>
      </c>
      <c r="G14" s="71" t="str">
        <f ca="1"/>
        <v/>
      </c>
      <c r="H14" s="71">
        <f ca="1"/>
        <v>0</v>
      </c>
      <c r="I14" s="72">
        <f ca="1"/>
        <v>0</v>
      </c>
      <c r="J14" s="54" t="str">
        <f ca="1"/>
        <v/>
      </c>
      <c r="K14" s="22" t="str">
        <f ca="1"/>
        <v/>
      </c>
    </row>
    <row r="15" spans="1:11" ht="15.75">
      <c r="A15" s="77" t="str">
        <v>Kingston 1 KB</v>
      </c>
      <c r="B15" s="38" t="str">
        <v>MA</v>
      </c>
      <c r="C15" s="69" t="str" cm="1">
        <f t="array" aca="1" ref="C15:K15" ca="1">IF(INDIRECT("'" &amp; $A15 &amp; "'!B16:J16")="", "", INDIRECT("'" &amp; $A15 &amp; "'!B16:J16"))</f>
        <v/>
      </c>
      <c r="D15" s="69" t="str">
        <f ca="1"/>
        <v/>
      </c>
      <c r="E15" s="69">
        <f ca="1"/>
        <v>0</v>
      </c>
      <c r="F15" s="70">
        <f ca="1"/>
        <v>0</v>
      </c>
      <c r="G15" s="71" t="str">
        <f ca="1"/>
        <v/>
      </c>
      <c r="H15" s="71">
        <f ca="1"/>
        <v>0</v>
      </c>
      <c r="I15" s="72">
        <f ca="1"/>
        <v>0</v>
      </c>
      <c r="J15" s="54" t="str">
        <f ca="1"/>
        <v/>
      </c>
      <c r="K15" s="22" t="str">
        <f ca="1"/>
        <v/>
      </c>
    </row>
    <row r="16" spans="1:11" ht="15.75">
      <c r="A16" s="79" t="str">
        <v>Kingston 2 KB</v>
      </c>
      <c r="B16" s="74" t="str">
        <v>MA</v>
      </c>
      <c r="C16" s="69" t="str" cm="1">
        <f t="array" aca="1" ref="C16:K16" ca="1">IF(INDIRECT("'" &amp; $A16 &amp; "'!B16:J16")="", "", INDIRECT("'" &amp; $A16 &amp; "'!B16:J16"))</f>
        <v/>
      </c>
      <c r="D16" s="69" t="str">
        <f ca="1"/>
        <v/>
      </c>
      <c r="E16" s="69">
        <f ca="1"/>
        <v>0</v>
      </c>
      <c r="F16" s="70">
        <f ca="1"/>
        <v>0</v>
      </c>
      <c r="G16" s="71" t="str">
        <f ca="1"/>
        <v/>
      </c>
      <c r="H16" s="71">
        <f ca="1"/>
        <v>0</v>
      </c>
      <c r="I16" s="72">
        <f ca="1"/>
        <v>0</v>
      </c>
      <c r="J16" s="115" t="str">
        <f ca="1"/>
        <v/>
      </c>
      <c r="K16" s="115" t="str">
        <f ca="1"/>
        <v/>
      </c>
    </row>
    <row r="17" spans="1:11" ht="15.75">
      <c r="A17" s="77" t="str">
        <v>Holliston B</v>
      </c>
      <c r="B17" s="38" t="str">
        <v>MA</v>
      </c>
      <c r="C17" s="69" t="str" cm="1">
        <f t="array" aca="1" ref="C17:K17" ca="1">IF(INDIRECT("'" &amp; $A17 &amp; "'!B16:J16")="", "", INDIRECT("'" &amp; $A17 &amp; "'!B16:J16"))</f>
        <v/>
      </c>
      <c r="D17" s="69" t="str">
        <f ca="1"/>
        <v/>
      </c>
      <c r="E17" s="69">
        <f ca="1"/>
        <v>0</v>
      </c>
      <c r="F17" s="70">
        <f ca="1"/>
        <v>0</v>
      </c>
      <c r="G17" s="71" t="str">
        <f ca="1"/>
        <v/>
      </c>
      <c r="H17" s="71">
        <f ca="1"/>
        <v>0</v>
      </c>
      <c r="I17" s="72">
        <f ca="1"/>
        <v>0</v>
      </c>
      <c r="J17" s="115" t="str">
        <f ca="1"/>
        <v/>
      </c>
      <c r="K17" s="115" t="str">
        <f ca="1"/>
        <v xml:space="preserve"> </v>
      </c>
    </row>
    <row r="18" spans="1:11" ht="15.75">
      <c r="A18" s="79" t="str">
        <v>Fairhaven C</v>
      </c>
      <c r="B18" s="74" t="str">
        <v>MA</v>
      </c>
      <c r="C18" s="69" t="str" cm="1">
        <f t="array" aca="1" ref="C18:K18" ca="1">IF(INDIRECT("'" &amp; $A18 &amp; "'!B16:J16")="", "", INDIRECT("'" &amp; $A18 &amp; "'!B16:J16"))</f>
        <v/>
      </c>
      <c r="D18" s="69" t="str">
        <f ca="1"/>
        <v/>
      </c>
      <c r="E18" s="69">
        <f ca="1"/>
        <v>0</v>
      </c>
      <c r="F18" s="70">
        <f ca="1"/>
        <v>0</v>
      </c>
      <c r="G18" s="71" t="str">
        <f ca="1"/>
        <v/>
      </c>
      <c r="H18" s="71">
        <f ca="1"/>
        <v>0</v>
      </c>
      <c r="I18" s="72">
        <f ca="1"/>
        <v>0</v>
      </c>
      <c r="J18" s="115" t="str">
        <f ca="1"/>
        <v/>
      </c>
      <c r="K18" s="115" t="str">
        <f ca="1"/>
        <v/>
      </c>
    </row>
    <row r="19" spans="1:11" ht="15.75">
      <c r="A19" s="77" t="str">
        <v>Plympton A-2</v>
      </c>
      <c r="B19" s="38" t="str">
        <v>MA</v>
      </c>
      <c r="C19" s="69" t="str" cm="1">
        <f t="array" aca="1" ref="C19:K19" ca="1">IF(INDIRECT("'" &amp; $A19 &amp; "'!B16:J16")="", "", INDIRECT("'" &amp; $A19 &amp; "'!B16:J16"))</f>
        <v/>
      </c>
      <c r="D19" s="69" t="str">
        <f ca="1"/>
        <v/>
      </c>
      <c r="E19" s="69">
        <f ca="1"/>
        <v>0</v>
      </c>
      <c r="F19" s="70">
        <f ca="1"/>
        <v>0</v>
      </c>
      <c r="G19" s="71" t="str">
        <f ca="1"/>
        <v/>
      </c>
      <c r="H19" s="71">
        <f ca="1"/>
        <v>0</v>
      </c>
      <c r="I19" s="72">
        <f ca="1"/>
        <v>0</v>
      </c>
      <c r="J19" s="115" t="str">
        <f ca="1"/>
        <v/>
      </c>
      <c r="K19" s="115" t="str">
        <f ca="1"/>
        <v/>
      </c>
    </row>
    <row r="20" spans="1:11" ht="24.75" customHeight="1" thickBot="1">
      <c r="A20" s="63" t="s">
        <v>11</v>
      </c>
      <c r="B20" s="64"/>
      <c r="C20" s="65">
        <f ca="1">SUM(C3:C19)</f>
        <v>0</v>
      </c>
      <c r="D20" s="65">
        <f ca="1">SUM(D3:D19)</f>
        <v>0</v>
      </c>
      <c r="E20" s="65">
        <f ca="1">C20-D20</f>
        <v>0</v>
      </c>
      <c r="F20" s="66">
        <f ca="1">IFERROR(E20/D20, 0)</f>
        <v>0</v>
      </c>
      <c r="G20" s="65">
        <f ca="1">SUM(G3:G19)</f>
        <v>0</v>
      </c>
      <c r="H20" s="67">
        <f ca="1">C20-G20</f>
        <v>0</v>
      </c>
      <c r="I20" s="68">
        <f ca="1">IFERROR(H20/G20, 0)</f>
        <v>0</v>
      </c>
      <c r="J20" s="9"/>
    </row>
    <row r="21" spans="1:11">
      <c r="J21" s="9"/>
    </row>
    <row r="22" spans="1:11" ht="12.75" customHeight="1">
      <c r="A22" s="194" t="s">
        <v>12</v>
      </c>
      <c r="J22" s="9"/>
    </row>
    <row r="23" spans="1:11">
      <c r="A23" s="194"/>
      <c r="J23" s="9"/>
    </row>
    <row r="24" spans="1:11">
      <c r="A24" s="195" t="s">
        <v>13</v>
      </c>
      <c r="J24" s="9"/>
    </row>
    <row r="25" spans="1:11" ht="12.75" customHeight="1">
      <c r="A25" s="195"/>
      <c r="J25" s="9"/>
    </row>
    <row r="26" spans="1:11">
      <c r="J26" s="9"/>
    </row>
  </sheetData>
  <autoFilter ref="A2:I2" xr:uid="{7BFACBC8-3831-4E2B-BAD7-988F02FCC664}"/>
  <mergeCells count="7">
    <mergeCell ref="G1:I1"/>
    <mergeCell ref="J1:J2"/>
    <mergeCell ref="K1:K2"/>
    <mergeCell ref="A22:A23"/>
    <mergeCell ref="A24:A25"/>
    <mergeCell ref="C1:F1"/>
    <mergeCell ref="A1:B1"/>
  </mergeCells>
  <conditionalFormatting sqref="F3:F20 I3:I20">
    <cfRule type="cellIs" dxfId="278" priority="1" operator="lessThanOrEqual">
      <formula>-0.1</formula>
    </cfRule>
    <cfRule type="cellIs" dxfId="27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23"/>
  <sheetViews>
    <sheetView workbookViewId="0">
      <pane ySplit="2" topLeftCell="A3" activePane="bottomLeft" state="frozen"/>
      <selection pane="bottomLeft" activeCell="B24" sqref="B24"/>
    </sheetView>
  </sheetViews>
  <sheetFormatPr defaultRowHeight="12.75" customHeight="1"/>
  <cols>
    <col min="1" max="2" width="41.85546875" customWidth="1"/>
    <col min="4" max="14" width="9.140625" customWidth="1"/>
  </cols>
  <sheetData>
    <row r="1" spans="1:7" ht="12.75" customHeight="1">
      <c r="A1" t="s">
        <v>46</v>
      </c>
      <c r="B1" t="s">
        <v>47</v>
      </c>
    </row>
    <row r="2" spans="1:7">
      <c r="A2" t="s">
        <v>48</v>
      </c>
      <c r="B2" s="16" t="s">
        <v>4</v>
      </c>
      <c r="C2" s="16" t="s">
        <v>5</v>
      </c>
      <c r="D2" t="s">
        <v>49</v>
      </c>
    </row>
    <row r="3" spans="1:7" ht="14.25">
      <c r="A3" s="15" t="s">
        <v>50</v>
      </c>
      <c r="B3" s="14" t="s">
        <v>51</v>
      </c>
      <c r="C3" s="17" t="s">
        <v>52</v>
      </c>
      <c r="D3" s="14" t="s">
        <v>53</v>
      </c>
      <c r="G3" s="13"/>
    </row>
    <row r="4" spans="1:7" ht="14.25">
      <c r="A4" s="15" t="s">
        <v>54</v>
      </c>
      <c r="B4" s="14" t="s">
        <v>55</v>
      </c>
      <c r="C4" s="4" t="s">
        <v>52</v>
      </c>
      <c r="D4" s="14" t="s">
        <v>53</v>
      </c>
      <c r="G4" s="13"/>
    </row>
    <row r="5" spans="1:7" ht="14.25">
      <c r="A5" s="15" t="s">
        <v>56</v>
      </c>
      <c r="B5" s="14" t="s">
        <v>57</v>
      </c>
      <c r="C5" s="4" t="s">
        <v>52</v>
      </c>
      <c r="D5" s="14" t="s">
        <v>53</v>
      </c>
      <c r="G5" s="13"/>
    </row>
    <row r="6" spans="1:7" ht="14.25">
      <c r="A6" s="15" t="s">
        <v>58</v>
      </c>
      <c r="B6" s="14" t="s">
        <v>59</v>
      </c>
      <c r="C6" s="4" t="s">
        <v>52</v>
      </c>
      <c r="D6" s="14" t="s">
        <v>53</v>
      </c>
      <c r="G6" s="13"/>
    </row>
    <row r="7" spans="1:7" ht="14.25">
      <c r="A7" s="15" t="s">
        <v>60</v>
      </c>
      <c r="B7" s="14" t="s">
        <v>61</v>
      </c>
      <c r="C7" s="4" t="s">
        <v>52</v>
      </c>
      <c r="D7" s="14" t="s">
        <v>53</v>
      </c>
      <c r="G7" s="13"/>
    </row>
    <row r="8" spans="1:7" ht="14.25">
      <c r="A8" s="15" t="s">
        <v>62</v>
      </c>
      <c r="B8" s="14" t="s">
        <v>63</v>
      </c>
      <c r="C8" s="4" t="s">
        <v>52</v>
      </c>
      <c r="D8" s="14" t="s">
        <v>53</v>
      </c>
      <c r="G8" s="13"/>
    </row>
    <row r="9" spans="1:7" ht="14.25">
      <c r="A9" s="15" t="s">
        <v>64</v>
      </c>
      <c r="B9" s="14" t="s">
        <v>65</v>
      </c>
      <c r="C9" s="4" t="s">
        <v>52</v>
      </c>
      <c r="D9" s="14" t="s">
        <v>53</v>
      </c>
      <c r="G9" s="13"/>
    </row>
    <row r="10" spans="1:7" ht="14.25">
      <c r="A10" s="15" t="s">
        <v>66</v>
      </c>
      <c r="B10" s="76" t="s">
        <v>67</v>
      </c>
      <c r="C10" s="4" t="s">
        <v>52</v>
      </c>
      <c r="D10" s="14" t="s">
        <v>53</v>
      </c>
      <c r="G10" s="13"/>
    </row>
    <row r="11" spans="1:7" ht="14.25">
      <c r="A11" s="15" t="s">
        <v>68</v>
      </c>
      <c r="B11" s="76" t="s">
        <v>69</v>
      </c>
      <c r="C11" s="4" t="s">
        <v>52</v>
      </c>
      <c r="D11" s="14" t="s">
        <v>53</v>
      </c>
      <c r="G11" s="13"/>
    </row>
    <row r="12" spans="1:7" ht="14.25">
      <c r="A12" s="15" t="s">
        <v>70</v>
      </c>
      <c r="B12" s="76" t="s">
        <v>71</v>
      </c>
      <c r="C12" s="4" t="s">
        <v>52</v>
      </c>
      <c r="D12" s="14" t="s">
        <v>53</v>
      </c>
      <c r="G12" s="13"/>
    </row>
    <row r="13" spans="1:7" ht="14.25">
      <c r="A13" s="15" t="s">
        <v>72</v>
      </c>
      <c r="B13" s="76" t="s">
        <v>73</v>
      </c>
      <c r="C13" s="4" t="s">
        <v>52</v>
      </c>
      <c r="D13" s="14" t="s">
        <v>53</v>
      </c>
      <c r="G13" s="13"/>
    </row>
    <row r="14" spans="1:7" ht="14.25">
      <c r="A14" s="15" t="s">
        <v>74</v>
      </c>
      <c r="B14" s="76" t="s">
        <v>75</v>
      </c>
      <c r="C14" s="4" t="s">
        <v>52</v>
      </c>
      <c r="D14" s="14" t="s">
        <v>53</v>
      </c>
      <c r="G14" s="13"/>
    </row>
    <row r="15" spans="1:7" ht="14.25">
      <c r="A15" s="15" t="s">
        <v>76</v>
      </c>
      <c r="B15" s="14" t="s">
        <v>77</v>
      </c>
      <c r="C15" s="4" t="s">
        <v>52</v>
      </c>
      <c r="D15" s="14" t="s">
        <v>53</v>
      </c>
      <c r="G15" s="13"/>
    </row>
    <row r="16" spans="1:7" ht="12.75" customHeight="1">
      <c r="A16" s="15" t="s">
        <v>78</v>
      </c>
      <c r="B16" s="76" t="s">
        <v>79</v>
      </c>
      <c r="C16" s="4" t="s">
        <v>52</v>
      </c>
      <c r="D16" s="14" t="s">
        <v>53</v>
      </c>
    </row>
    <row r="17" spans="1:4" ht="12.75" customHeight="1">
      <c r="A17" s="15" t="s">
        <v>80</v>
      </c>
      <c r="B17" s="76" t="s">
        <v>81</v>
      </c>
      <c r="C17" s="4" t="s">
        <v>52</v>
      </c>
      <c r="D17" s="14" t="s">
        <v>53</v>
      </c>
    </row>
    <row r="18" spans="1:4" ht="12.75" customHeight="1">
      <c r="A18" s="15" t="s">
        <v>82</v>
      </c>
      <c r="B18" s="76" t="s">
        <v>83</v>
      </c>
      <c r="C18" s="4" t="s">
        <v>52</v>
      </c>
      <c r="D18" s="14" t="s">
        <v>53</v>
      </c>
    </row>
    <row r="19" spans="1:4" ht="12.75" customHeight="1">
      <c r="A19" s="15" t="s">
        <v>84</v>
      </c>
      <c r="B19" s="76" t="s">
        <v>85</v>
      </c>
      <c r="C19" s="4" t="s">
        <v>52</v>
      </c>
      <c r="D19" s="14" t="s">
        <v>53</v>
      </c>
    </row>
    <row r="23" spans="1:4" ht="12.75" customHeight="1">
      <c r="C23" s="75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1918-F854-4FD2-937D-F64BC6193E51}">
  <sheetPr codeName="Sheet19">
    <tabColor rgb="FFFFFF00"/>
  </sheetPr>
  <dimension ref="A1:O20"/>
  <sheetViews>
    <sheetView workbookViewId="0">
      <selection activeCell="I5" sqref="I5"/>
    </sheetView>
  </sheetViews>
  <sheetFormatPr defaultRowHeight="12.75"/>
  <cols>
    <col min="1" max="1" width="8.5703125" bestFit="1" customWidth="1"/>
    <col min="2" max="2" width="8.85546875" style="2" bestFit="1" customWidth="1"/>
    <col min="3" max="3" width="11" bestFit="1" customWidth="1"/>
    <col min="4" max="4" width="15.8554687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16.85546875" bestFit="1" customWidth="1"/>
  </cols>
  <sheetData>
    <row r="1" spans="1:15" ht="25.15">
      <c r="A1" s="212" t="s">
        <v>51</v>
      </c>
      <c r="B1" s="212"/>
      <c r="C1" s="212"/>
      <c r="D1" s="212"/>
      <c r="E1" s="212"/>
      <c r="F1" s="212"/>
      <c r="G1" s="212"/>
      <c r="H1" s="212"/>
      <c r="I1" s="212"/>
      <c r="J1" s="212"/>
    </row>
    <row r="2" spans="1:15" ht="25.15">
      <c r="A2" s="11"/>
      <c r="B2" s="11"/>
      <c r="C2" s="11"/>
      <c r="D2" s="11"/>
      <c r="E2" s="11"/>
    </row>
    <row r="3" spans="1:15" ht="15">
      <c r="A3" s="204" t="s">
        <v>86</v>
      </c>
      <c r="B3" s="205"/>
      <c r="C3" s="205"/>
      <c r="D3" s="205"/>
      <c r="E3" s="206"/>
      <c r="F3" s="207" t="s">
        <v>87</v>
      </c>
      <c r="G3" s="208"/>
      <c r="H3" s="209"/>
      <c r="I3" s="210" t="s">
        <v>88</v>
      </c>
      <c r="J3" s="211"/>
    </row>
    <row r="4" spans="1:15">
      <c r="A4" s="18" t="s">
        <v>89</v>
      </c>
      <c r="B4" s="30" t="s">
        <v>6</v>
      </c>
      <c r="C4" s="30" t="s">
        <v>7</v>
      </c>
      <c r="D4" s="30" t="s">
        <v>90</v>
      </c>
      <c r="E4" s="31" t="s">
        <v>91</v>
      </c>
      <c r="F4" s="32" t="s">
        <v>10</v>
      </c>
      <c r="G4" s="33" t="s">
        <v>92</v>
      </c>
      <c r="H4" s="34" t="s">
        <v>93</v>
      </c>
      <c r="I4" s="35" t="s">
        <v>88</v>
      </c>
      <c r="J4" s="36" t="s">
        <v>94</v>
      </c>
    </row>
    <row r="5" spans="1:15" ht="14.25">
      <c r="A5" s="118" t="s">
        <v>95</v>
      </c>
      <c r="B5" s="119">
        <v>34976.740458011598</v>
      </c>
      <c r="C5" s="120">
        <v>63711.839999999997</v>
      </c>
      <c r="D5" s="121">
        <f>B5-C5</f>
        <v>-28735.099541988398</v>
      </c>
      <c r="E5" s="122">
        <f t="shared" ref="E5:E16" si="0">IFERROR(D5/C5, 0)</f>
        <v>-0.45101663273244658</v>
      </c>
      <c r="F5" s="123">
        <v>96254.79</v>
      </c>
      <c r="G5" s="82">
        <f>B5-F5</f>
        <v>-61278.049541988396</v>
      </c>
      <c r="H5" s="124">
        <f t="shared" ref="H5:H16" si="1">IFERROR(G5/F5, 0)</f>
        <v>-0.63662337782866074</v>
      </c>
      <c r="I5" s="81"/>
      <c r="J5" s="81"/>
      <c r="O5" s="5"/>
    </row>
    <row r="6" spans="1:15" ht="14.25">
      <c r="A6" s="125" t="s">
        <v>96</v>
      </c>
      <c r="B6" s="126"/>
      <c r="C6" s="127"/>
      <c r="D6" s="121">
        <f t="shared" ref="D6:D16" si="2">B6-C6</f>
        <v>0</v>
      </c>
      <c r="E6" s="128">
        <f t="shared" si="0"/>
        <v>0</v>
      </c>
      <c r="F6" s="129"/>
      <c r="G6" s="82">
        <f t="shared" ref="G6:G16" si="3">B6-F6</f>
        <v>0</v>
      </c>
      <c r="H6" s="124">
        <f t="shared" si="1"/>
        <v>0</v>
      </c>
      <c r="I6" s="81"/>
      <c r="J6" s="81"/>
    </row>
    <row r="7" spans="1:15" ht="14.25">
      <c r="A7" s="125" t="s">
        <v>97</v>
      </c>
      <c r="B7" s="126"/>
      <c r="C7" s="127"/>
      <c r="D7" s="121">
        <f t="shared" si="2"/>
        <v>0</v>
      </c>
      <c r="E7" s="128">
        <f t="shared" si="0"/>
        <v>0</v>
      </c>
      <c r="F7" s="130"/>
      <c r="G7" s="82">
        <f t="shared" si="3"/>
        <v>0</v>
      </c>
      <c r="H7" s="124">
        <f t="shared" si="1"/>
        <v>0</v>
      </c>
      <c r="I7" s="81"/>
      <c r="J7" s="81"/>
    </row>
    <row r="8" spans="1:15" ht="14.25">
      <c r="A8" s="125" t="s">
        <v>98</v>
      </c>
      <c r="B8" s="126"/>
      <c r="C8" s="127"/>
      <c r="D8" s="121">
        <f t="shared" si="2"/>
        <v>0</v>
      </c>
      <c r="E8" s="128">
        <f t="shared" si="0"/>
        <v>0</v>
      </c>
      <c r="F8" s="130"/>
      <c r="G8" s="82">
        <f t="shared" si="3"/>
        <v>0</v>
      </c>
      <c r="H8" s="124">
        <f t="shared" si="1"/>
        <v>0</v>
      </c>
      <c r="I8" s="81"/>
      <c r="J8" s="81"/>
    </row>
    <row r="9" spans="1:15" ht="14.25">
      <c r="A9" s="125" t="s">
        <v>99</v>
      </c>
      <c r="B9" s="126"/>
      <c r="C9" s="127"/>
      <c r="D9" s="121">
        <f t="shared" si="2"/>
        <v>0</v>
      </c>
      <c r="E9" s="128">
        <f t="shared" si="0"/>
        <v>0</v>
      </c>
      <c r="F9" s="130"/>
      <c r="G9" s="82">
        <f t="shared" si="3"/>
        <v>0</v>
      </c>
      <c r="H9" s="124">
        <f t="shared" si="1"/>
        <v>0</v>
      </c>
      <c r="I9" s="80"/>
      <c r="J9" s="81"/>
    </row>
    <row r="10" spans="1:15" ht="14.25">
      <c r="A10" s="125" t="s">
        <v>100</v>
      </c>
      <c r="B10" s="126"/>
      <c r="C10" s="127"/>
      <c r="D10" s="121">
        <f t="shared" si="2"/>
        <v>0</v>
      </c>
      <c r="E10" s="128">
        <f t="shared" si="0"/>
        <v>0</v>
      </c>
      <c r="F10" s="130"/>
      <c r="G10" s="82">
        <f t="shared" si="3"/>
        <v>0</v>
      </c>
      <c r="H10" s="124">
        <f t="shared" si="1"/>
        <v>0</v>
      </c>
      <c r="I10" s="90"/>
      <c r="J10" s="91"/>
    </row>
    <row r="11" spans="1:15" ht="14.25">
      <c r="A11" s="125" t="s">
        <v>101</v>
      </c>
      <c r="B11" s="121"/>
      <c r="C11" s="121"/>
      <c r="D11" s="121">
        <f t="shared" si="2"/>
        <v>0</v>
      </c>
      <c r="E11" s="128">
        <f t="shared" si="0"/>
        <v>0</v>
      </c>
      <c r="F11" s="131"/>
      <c r="G11" s="82">
        <f t="shared" si="3"/>
        <v>0</v>
      </c>
      <c r="H11" s="124">
        <f t="shared" si="1"/>
        <v>0</v>
      </c>
      <c r="I11" s="81"/>
      <c r="J11" s="81"/>
    </row>
    <row r="12" spans="1:15" ht="14.25">
      <c r="A12" s="125" t="s">
        <v>102</v>
      </c>
      <c r="B12" s="121"/>
      <c r="C12" s="121"/>
      <c r="D12" s="121">
        <f t="shared" si="2"/>
        <v>0</v>
      </c>
      <c r="E12" s="128">
        <f t="shared" si="0"/>
        <v>0</v>
      </c>
      <c r="F12" s="82"/>
      <c r="G12" s="82">
        <f t="shared" si="3"/>
        <v>0</v>
      </c>
      <c r="H12" s="124">
        <f t="shared" si="1"/>
        <v>0</v>
      </c>
      <c r="I12" s="81"/>
      <c r="J12" s="81"/>
    </row>
    <row r="13" spans="1:15" ht="14.25">
      <c r="A13" s="125" t="s">
        <v>103</v>
      </c>
      <c r="B13" s="121"/>
      <c r="C13" s="121"/>
      <c r="D13" s="121">
        <f t="shared" si="2"/>
        <v>0</v>
      </c>
      <c r="E13" s="128">
        <f t="shared" si="0"/>
        <v>0</v>
      </c>
      <c r="F13" s="82"/>
      <c r="G13" s="82">
        <f t="shared" si="3"/>
        <v>0</v>
      </c>
      <c r="H13" s="124">
        <f t="shared" si="1"/>
        <v>0</v>
      </c>
      <c r="I13" s="81"/>
      <c r="J13" s="81"/>
    </row>
    <row r="14" spans="1:15" ht="14.25">
      <c r="A14" s="125" t="s">
        <v>104</v>
      </c>
      <c r="B14" s="121"/>
      <c r="C14" s="121"/>
      <c r="D14" s="121">
        <f t="shared" si="2"/>
        <v>0</v>
      </c>
      <c r="E14" s="128">
        <f t="shared" si="0"/>
        <v>0</v>
      </c>
      <c r="F14" s="82"/>
      <c r="G14" s="82">
        <f t="shared" si="3"/>
        <v>0</v>
      </c>
      <c r="H14" s="124">
        <f t="shared" si="1"/>
        <v>0</v>
      </c>
      <c r="I14" s="80"/>
      <c r="J14" s="81"/>
    </row>
    <row r="15" spans="1:15" ht="14.25">
      <c r="A15" s="125" t="s">
        <v>105</v>
      </c>
      <c r="B15" s="132"/>
      <c r="C15" s="132"/>
      <c r="D15" s="121">
        <f t="shared" si="2"/>
        <v>0</v>
      </c>
      <c r="E15" s="128">
        <f t="shared" si="0"/>
        <v>0</v>
      </c>
      <c r="F15" s="133"/>
      <c r="G15" s="82">
        <f t="shared" si="3"/>
        <v>0</v>
      </c>
      <c r="H15" s="124">
        <f t="shared" si="1"/>
        <v>0</v>
      </c>
      <c r="I15" s="81"/>
      <c r="J15" s="81"/>
    </row>
    <row r="16" spans="1:15" ht="14.25">
      <c r="A16" s="134" t="s">
        <v>106</v>
      </c>
      <c r="B16" s="135"/>
      <c r="C16" s="135"/>
      <c r="D16" s="135">
        <f t="shared" si="2"/>
        <v>0</v>
      </c>
      <c r="E16" s="136">
        <f t="shared" si="0"/>
        <v>0</v>
      </c>
      <c r="F16" s="137"/>
      <c r="G16" s="138">
        <f t="shared" si="3"/>
        <v>0</v>
      </c>
      <c r="H16" s="139">
        <f t="shared" si="1"/>
        <v>0</v>
      </c>
      <c r="I16" s="89"/>
      <c r="J16" s="89"/>
    </row>
    <row r="17" spans="1:15" ht="14.25">
      <c r="A17" s="25" t="s">
        <v>107</v>
      </c>
      <c r="B17" s="26">
        <f>SUM(B5:B16)</f>
        <v>34976.740458011598</v>
      </c>
      <c r="C17" s="26">
        <f t="shared" ref="C17:F17" si="4">SUM(C5:C16)</f>
        <v>63711.839999999997</v>
      </c>
      <c r="D17" s="26">
        <f>B17-C17</f>
        <v>-28735.099541988398</v>
      </c>
      <c r="E17" s="27">
        <f>IFERROR(D17/C17, 0)</f>
        <v>-0.45101663273244658</v>
      </c>
      <c r="F17" s="26">
        <f t="shared" si="4"/>
        <v>96254.79</v>
      </c>
      <c r="G17" s="26">
        <f>B17-F17</f>
        <v>-61278.049541988396</v>
      </c>
      <c r="H17" s="28">
        <f>IFERROR(G17/F17, 0)</f>
        <v>-0.63662337782866074</v>
      </c>
      <c r="I17" s="29"/>
      <c r="J17" s="29"/>
    </row>
    <row r="18" spans="1:15">
      <c r="F18" s="12"/>
    </row>
    <row r="19" spans="1:15" ht="14.25">
      <c r="I19" s="88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271" priority="1" operator="lessThanOrEqual">
      <formula>-0.1</formula>
    </cfRule>
    <cfRule type="cellIs" dxfId="270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36D7-94A0-4D51-90A7-AA747BD538E3}">
  <sheetPr codeName="Sheet20">
    <tabColor rgb="FFFFFF00"/>
  </sheetPr>
  <dimension ref="A1:O20"/>
  <sheetViews>
    <sheetView workbookViewId="0">
      <selection activeCell="I5" sqref="I5"/>
    </sheetView>
  </sheetViews>
  <sheetFormatPr defaultRowHeight="12.75"/>
  <cols>
    <col min="1" max="1" width="8.5703125" bestFit="1" customWidth="1"/>
    <col min="2" max="2" width="12.5703125" style="2" bestFit="1" customWidth="1"/>
    <col min="3" max="3" width="11.42578125" bestFit="1" customWidth="1"/>
    <col min="4" max="4" width="15.8554687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50.5703125" customWidth="1"/>
    <col min="10" max="10" width="16.85546875" bestFit="1" customWidth="1"/>
  </cols>
  <sheetData>
    <row r="1" spans="1:15" ht="25.15">
      <c r="A1" s="212" t="s">
        <v>55</v>
      </c>
      <c r="B1" s="212"/>
      <c r="C1" s="212"/>
      <c r="D1" s="212"/>
      <c r="E1" s="212"/>
      <c r="F1" s="212"/>
      <c r="G1" s="212"/>
      <c r="H1" s="212"/>
      <c r="I1" s="212"/>
      <c r="J1" s="212"/>
    </row>
    <row r="2" spans="1:15" ht="25.15">
      <c r="A2" s="11"/>
      <c r="B2" s="11"/>
      <c r="C2" s="11"/>
      <c r="D2" s="11"/>
      <c r="E2" s="11"/>
    </row>
    <row r="3" spans="1:15" ht="15">
      <c r="A3" s="204" t="s">
        <v>86</v>
      </c>
      <c r="B3" s="205"/>
      <c r="C3" s="205"/>
      <c r="D3" s="205"/>
      <c r="E3" s="206"/>
      <c r="F3" s="207" t="s">
        <v>87</v>
      </c>
      <c r="G3" s="208"/>
      <c r="H3" s="209"/>
      <c r="I3" s="210" t="s">
        <v>88</v>
      </c>
      <c r="J3" s="211"/>
    </row>
    <row r="4" spans="1:15" ht="13.15" thickBot="1">
      <c r="A4" s="18" t="s">
        <v>89</v>
      </c>
      <c r="B4" s="30" t="s">
        <v>6</v>
      </c>
      <c r="C4" s="30" t="s">
        <v>7</v>
      </c>
      <c r="D4" s="30" t="s">
        <v>90</v>
      </c>
      <c r="E4" s="31" t="s">
        <v>91</v>
      </c>
      <c r="F4" s="32" t="s">
        <v>10</v>
      </c>
      <c r="G4" s="33" t="s">
        <v>92</v>
      </c>
      <c r="H4" s="34" t="s">
        <v>93</v>
      </c>
      <c r="I4" s="35" t="s">
        <v>88</v>
      </c>
      <c r="J4" s="36" t="s">
        <v>94</v>
      </c>
    </row>
    <row r="5" spans="1:15" ht="28.5">
      <c r="A5" s="118" t="s">
        <v>95</v>
      </c>
      <c r="B5" s="140">
        <v>36812.441304211497</v>
      </c>
      <c r="C5" s="120">
        <v>50249.95</v>
      </c>
      <c r="D5" s="121">
        <f>B5-C5</f>
        <v>-13437.5086957885</v>
      </c>
      <c r="E5" s="122">
        <f t="shared" ref="E5:E16" si="0">IFERROR(D5/C5, 0)</f>
        <v>-0.26741337445686014</v>
      </c>
      <c r="F5" s="141">
        <v>78902.03</v>
      </c>
      <c r="G5" s="82">
        <f>B5-F5</f>
        <v>-42089.588695788501</v>
      </c>
      <c r="H5" s="124">
        <f t="shared" ref="H5:H16" si="1">IFERROR(G5/F5, 0)</f>
        <v>-0.53344113827981998</v>
      </c>
      <c r="I5" s="80" t="s">
        <v>108</v>
      </c>
      <c r="J5" s="81" t="s">
        <v>109</v>
      </c>
      <c r="O5" s="5"/>
    </row>
    <row r="6" spans="1:15" ht="14.25">
      <c r="A6" s="125" t="s">
        <v>96</v>
      </c>
      <c r="B6" s="126"/>
      <c r="C6" s="127"/>
      <c r="D6" s="121">
        <f t="shared" ref="D6:D16" si="2">B6-C6</f>
        <v>0</v>
      </c>
      <c r="E6" s="128">
        <f t="shared" si="0"/>
        <v>0</v>
      </c>
      <c r="F6" s="129"/>
      <c r="G6" s="82">
        <f t="shared" ref="G6:G16" si="3">B6-F6</f>
        <v>0</v>
      </c>
      <c r="H6" s="124">
        <f t="shared" si="1"/>
        <v>0</v>
      </c>
      <c r="I6" s="81"/>
      <c r="J6" s="81"/>
    </row>
    <row r="7" spans="1:15" ht="14.25">
      <c r="A7" s="125" t="s">
        <v>97</v>
      </c>
      <c r="B7" s="126"/>
      <c r="C7" s="127"/>
      <c r="D7" s="121">
        <f t="shared" si="2"/>
        <v>0</v>
      </c>
      <c r="E7" s="128">
        <f t="shared" si="0"/>
        <v>0</v>
      </c>
      <c r="F7" s="130"/>
      <c r="G7" s="82">
        <f t="shared" si="3"/>
        <v>0</v>
      </c>
      <c r="H7" s="124">
        <f t="shared" si="1"/>
        <v>0</v>
      </c>
      <c r="I7" s="81"/>
      <c r="J7" s="81"/>
    </row>
    <row r="8" spans="1:15" ht="14.25">
      <c r="A8" s="125" t="s">
        <v>98</v>
      </c>
      <c r="B8" s="126"/>
      <c r="C8" s="127"/>
      <c r="D8" s="121">
        <f t="shared" si="2"/>
        <v>0</v>
      </c>
      <c r="E8" s="128">
        <f t="shared" si="0"/>
        <v>0</v>
      </c>
      <c r="F8" s="130"/>
      <c r="G8" s="82">
        <f t="shared" si="3"/>
        <v>0</v>
      </c>
      <c r="H8" s="124">
        <f t="shared" si="1"/>
        <v>0</v>
      </c>
      <c r="I8" s="81"/>
      <c r="J8" s="81"/>
    </row>
    <row r="9" spans="1:15" ht="14.25">
      <c r="A9" s="125" t="s">
        <v>99</v>
      </c>
      <c r="B9" s="126"/>
      <c r="C9" s="127"/>
      <c r="D9" s="121">
        <f t="shared" si="2"/>
        <v>0</v>
      </c>
      <c r="E9" s="128">
        <f t="shared" si="0"/>
        <v>0</v>
      </c>
      <c r="F9" s="130"/>
      <c r="G9" s="82">
        <f t="shared" si="3"/>
        <v>0</v>
      </c>
      <c r="H9" s="124">
        <f t="shared" si="1"/>
        <v>0</v>
      </c>
      <c r="I9" s="80"/>
      <c r="J9" s="81"/>
    </row>
    <row r="10" spans="1:15" ht="14.25">
      <c r="A10" s="125" t="s">
        <v>100</v>
      </c>
      <c r="B10" s="126"/>
      <c r="C10" s="127"/>
      <c r="D10" s="121">
        <f t="shared" si="2"/>
        <v>0</v>
      </c>
      <c r="E10" s="128">
        <f t="shared" si="0"/>
        <v>0</v>
      </c>
      <c r="F10" s="130"/>
      <c r="G10" s="82">
        <f t="shared" si="3"/>
        <v>0</v>
      </c>
      <c r="H10" s="124">
        <f t="shared" si="1"/>
        <v>0</v>
      </c>
      <c r="I10" s="81"/>
      <c r="J10" s="81"/>
    </row>
    <row r="11" spans="1:15" ht="14.25">
      <c r="A11" s="125" t="s">
        <v>101</v>
      </c>
      <c r="B11" s="121"/>
      <c r="C11" s="121"/>
      <c r="D11" s="121">
        <f t="shared" si="2"/>
        <v>0</v>
      </c>
      <c r="E11" s="128">
        <f t="shared" si="0"/>
        <v>0</v>
      </c>
      <c r="F11" s="131"/>
      <c r="G11" s="82">
        <f t="shared" si="3"/>
        <v>0</v>
      </c>
      <c r="H11" s="124">
        <f t="shared" si="1"/>
        <v>0</v>
      </c>
      <c r="I11" s="80"/>
      <c r="J11" s="81"/>
    </row>
    <row r="12" spans="1:15" ht="14.25">
      <c r="A12" s="125" t="s">
        <v>102</v>
      </c>
      <c r="B12" s="121"/>
      <c r="C12" s="121"/>
      <c r="D12" s="121">
        <f t="shared" si="2"/>
        <v>0</v>
      </c>
      <c r="E12" s="128">
        <f t="shared" si="0"/>
        <v>0</v>
      </c>
      <c r="F12" s="82"/>
      <c r="G12" s="82">
        <f t="shared" si="3"/>
        <v>0</v>
      </c>
      <c r="H12" s="124">
        <f t="shared" si="1"/>
        <v>0</v>
      </c>
      <c r="I12" s="80"/>
      <c r="J12" s="80"/>
    </row>
    <row r="13" spans="1:15" ht="14.25">
      <c r="A13" s="125" t="s">
        <v>103</v>
      </c>
      <c r="B13" s="121"/>
      <c r="C13" s="121"/>
      <c r="D13" s="121">
        <f t="shared" si="2"/>
        <v>0</v>
      </c>
      <c r="E13" s="128">
        <f t="shared" si="0"/>
        <v>0</v>
      </c>
      <c r="F13" s="82"/>
      <c r="G13" s="82">
        <f t="shared" si="3"/>
        <v>0</v>
      </c>
      <c r="H13" s="124">
        <f t="shared" si="1"/>
        <v>0</v>
      </c>
      <c r="I13" s="81"/>
      <c r="J13" s="81"/>
    </row>
    <row r="14" spans="1:15" ht="14.25">
      <c r="A14" s="125" t="s">
        <v>104</v>
      </c>
      <c r="B14" s="121"/>
      <c r="C14" s="121"/>
      <c r="D14" s="121">
        <f t="shared" si="2"/>
        <v>0</v>
      </c>
      <c r="E14" s="128">
        <f t="shared" si="0"/>
        <v>0</v>
      </c>
      <c r="F14" s="82"/>
      <c r="G14" s="82">
        <f t="shared" si="3"/>
        <v>0</v>
      </c>
      <c r="H14" s="124">
        <f t="shared" si="1"/>
        <v>0</v>
      </c>
      <c r="I14" s="80"/>
      <c r="J14" s="81"/>
    </row>
    <row r="15" spans="1:15" ht="14.25">
      <c r="A15" s="125" t="s">
        <v>105</v>
      </c>
      <c r="B15" s="132"/>
      <c r="C15" s="132"/>
      <c r="D15" s="121">
        <f t="shared" si="2"/>
        <v>0</v>
      </c>
      <c r="E15" s="128">
        <f t="shared" si="0"/>
        <v>0</v>
      </c>
      <c r="F15" s="133"/>
      <c r="G15" s="82">
        <f t="shared" si="3"/>
        <v>0</v>
      </c>
      <c r="H15" s="124">
        <f t="shared" si="1"/>
        <v>0</v>
      </c>
      <c r="I15" s="81"/>
      <c r="J15" s="81"/>
    </row>
    <row r="16" spans="1:15" ht="14.25">
      <c r="A16" s="134" t="s">
        <v>106</v>
      </c>
      <c r="B16" s="135"/>
      <c r="C16" s="135"/>
      <c r="D16" s="135">
        <f t="shared" si="2"/>
        <v>0</v>
      </c>
      <c r="E16" s="136">
        <f t="shared" si="0"/>
        <v>0</v>
      </c>
      <c r="F16" s="137"/>
      <c r="G16" s="138">
        <f t="shared" si="3"/>
        <v>0</v>
      </c>
      <c r="H16" s="139">
        <f t="shared" si="1"/>
        <v>0</v>
      </c>
      <c r="I16" s="89"/>
      <c r="J16" s="89"/>
    </row>
    <row r="17" spans="1:15" ht="14.25">
      <c r="A17" s="25" t="s">
        <v>107</v>
      </c>
      <c r="B17" s="26">
        <f>SUM(B5:B16)</f>
        <v>36812.441304211497</v>
      </c>
      <c r="C17" s="26">
        <f t="shared" ref="C17:F17" si="4">SUM(C5:C16)</f>
        <v>50249.95</v>
      </c>
      <c r="D17" s="26">
        <f>B17-C17</f>
        <v>-13437.5086957885</v>
      </c>
      <c r="E17" s="27">
        <f>IFERROR(D17/C17, 0)</f>
        <v>-0.26741337445686014</v>
      </c>
      <c r="F17" s="26">
        <f t="shared" si="4"/>
        <v>78902.03</v>
      </c>
      <c r="G17" s="26">
        <f>B17-F17</f>
        <v>-42089.588695788501</v>
      </c>
      <c r="H17" s="28">
        <f>IFERROR(G17/F17, 0)</f>
        <v>-0.53344113827981998</v>
      </c>
      <c r="I17" s="29"/>
      <c r="J17" s="29"/>
    </row>
    <row r="18" spans="1:15">
      <c r="F18" s="12"/>
    </row>
    <row r="19" spans="1:15" ht="14.25">
      <c r="I19" s="88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255" priority="1" operator="lessThanOrEqual">
      <formula>-0.1</formula>
    </cfRule>
    <cfRule type="cellIs" dxfId="25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DF61-AB9F-4A30-84FF-25FDD04000F5}">
  <sheetPr codeName="Sheet21">
    <tabColor rgb="FFFFFF00"/>
  </sheetPr>
  <dimension ref="A1:O20"/>
  <sheetViews>
    <sheetView workbookViewId="0">
      <selection activeCell="H25" sqref="H25"/>
    </sheetView>
  </sheetViews>
  <sheetFormatPr defaultRowHeight="12.75"/>
  <cols>
    <col min="1" max="1" width="8.5703125" bestFit="1" customWidth="1"/>
    <col min="2" max="2" width="10.85546875" style="2" bestFit="1" customWidth="1"/>
    <col min="3" max="3" width="11" bestFit="1" customWidth="1"/>
    <col min="4" max="4" width="15.8554687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0.140625" customWidth="1"/>
    <col min="10" max="10" width="16.85546875" bestFit="1" customWidth="1"/>
  </cols>
  <sheetData>
    <row r="1" spans="1:15" ht="25.15">
      <c r="A1" s="212" t="s">
        <v>57</v>
      </c>
      <c r="B1" s="212"/>
      <c r="C1" s="212"/>
      <c r="D1" s="212"/>
      <c r="E1" s="212"/>
      <c r="F1" s="212"/>
      <c r="G1" s="212"/>
      <c r="H1" s="212"/>
      <c r="I1" s="212"/>
      <c r="J1" s="212"/>
    </row>
    <row r="2" spans="1:15" ht="25.15">
      <c r="A2" s="11"/>
      <c r="B2" s="11"/>
      <c r="C2" s="11"/>
      <c r="D2" s="11"/>
      <c r="E2" s="11"/>
    </row>
    <row r="3" spans="1:15" ht="15">
      <c r="A3" s="204" t="s">
        <v>86</v>
      </c>
      <c r="B3" s="205"/>
      <c r="C3" s="205"/>
      <c r="D3" s="205"/>
      <c r="E3" s="206"/>
      <c r="F3" s="207" t="s">
        <v>87</v>
      </c>
      <c r="G3" s="208"/>
      <c r="H3" s="209"/>
      <c r="I3" s="210" t="s">
        <v>88</v>
      </c>
      <c r="J3" s="211"/>
    </row>
    <row r="4" spans="1:15">
      <c r="A4" s="18" t="s">
        <v>89</v>
      </c>
      <c r="B4" s="30" t="s">
        <v>6</v>
      </c>
      <c r="C4" s="30" t="s">
        <v>7</v>
      </c>
      <c r="D4" s="30" t="s">
        <v>90</v>
      </c>
      <c r="E4" s="31" t="s">
        <v>91</v>
      </c>
      <c r="F4" s="32" t="s">
        <v>10</v>
      </c>
      <c r="G4" s="33" t="s">
        <v>92</v>
      </c>
      <c r="H4" s="34" t="s">
        <v>93</v>
      </c>
      <c r="I4" s="35" t="s">
        <v>88</v>
      </c>
      <c r="J4" s="36" t="s">
        <v>94</v>
      </c>
    </row>
    <row r="5" spans="1:15" ht="28.5">
      <c r="A5" s="118" t="s">
        <v>95</v>
      </c>
      <c r="B5" s="140">
        <v>25506</v>
      </c>
      <c r="C5" s="120">
        <v>57487.3</v>
      </c>
      <c r="D5" s="121">
        <f>B5-C5</f>
        <v>-31981.300000000003</v>
      </c>
      <c r="E5" s="122">
        <f t="shared" ref="E5:E16" si="0">IFERROR(D5/C5, 0)</f>
        <v>-0.55631939576219447</v>
      </c>
      <c r="F5" s="141">
        <v>45574.37</v>
      </c>
      <c r="G5" s="82">
        <f>B5-F5</f>
        <v>-20068.370000000003</v>
      </c>
      <c r="H5" s="124">
        <f t="shared" ref="H5:H16" si="1">IFERROR(G5/F5, 0)</f>
        <v>-0.44034333332528791</v>
      </c>
      <c r="I5" s="80" t="s">
        <v>110</v>
      </c>
      <c r="J5" s="80" t="s">
        <v>111</v>
      </c>
      <c r="O5" s="5"/>
    </row>
    <row r="6" spans="1:15" ht="14.25">
      <c r="A6" s="125" t="s">
        <v>96</v>
      </c>
      <c r="B6" s="126"/>
      <c r="C6" s="127"/>
      <c r="D6" s="121">
        <f t="shared" ref="D6:D16" si="2">B6-C6</f>
        <v>0</v>
      </c>
      <c r="E6" s="128">
        <f t="shared" si="0"/>
        <v>0</v>
      </c>
      <c r="F6" s="129"/>
      <c r="G6" s="82">
        <f t="shared" ref="G6:G16" si="3">B6-F6</f>
        <v>0</v>
      </c>
      <c r="H6" s="124">
        <f t="shared" si="1"/>
        <v>0</v>
      </c>
      <c r="I6" s="81"/>
      <c r="J6" s="81"/>
    </row>
    <row r="7" spans="1:15" ht="14.25">
      <c r="A7" s="125" t="s">
        <v>97</v>
      </c>
      <c r="B7" s="126"/>
      <c r="C7" s="127"/>
      <c r="D7" s="121">
        <f t="shared" si="2"/>
        <v>0</v>
      </c>
      <c r="E7" s="128">
        <f t="shared" si="0"/>
        <v>0</v>
      </c>
      <c r="F7" s="130"/>
      <c r="G7" s="82">
        <f t="shared" si="3"/>
        <v>0</v>
      </c>
      <c r="H7" s="124">
        <f t="shared" si="1"/>
        <v>0</v>
      </c>
      <c r="I7" s="80"/>
      <c r="J7" s="80"/>
    </row>
    <row r="8" spans="1:15" ht="14.25">
      <c r="A8" s="125" t="s">
        <v>98</v>
      </c>
      <c r="B8" s="126"/>
      <c r="C8" s="127"/>
      <c r="D8" s="121">
        <f t="shared" si="2"/>
        <v>0</v>
      </c>
      <c r="E8" s="128">
        <f t="shared" si="0"/>
        <v>0</v>
      </c>
      <c r="F8" s="130"/>
      <c r="G8" s="82">
        <f t="shared" si="3"/>
        <v>0</v>
      </c>
      <c r="H8" s="124">
        <f t="shared" si="1"/>
        <v>0</v>
      </c>
      <c r="I8" s="81"/>
      <c r="J8" s="81"/>
    </row>
    <row r="9" spans="1:15" ht="14.25">
      <c r="A9" s="125" t="s">
        <v>99</v>
      </c>
      <c r="B9" s="126"/>
      <c r="C9" s="127"/>
      <c r="D9" s="121">
        <f t="shared" si="2"/>
        <v>0</v>
      </c>
      <c r="E9" s="128">
        <f t="shared" si="0"/>
        <v>0</v>
      </c>
      <c r="F9" s="130"/>
      <c r="G9" s="82">
        <f t="shared" si="3"/>
        <v>0</v>
      </c>
      <c r="H9" s="124">
        <f t="shared" si="1"/>
        <v>0</v>
      </c>
      <c r="I9" s="80"/>
      <c r="J9" s="81"/>
    </row>
    <row r="10" spans="1:15" ht="14.25">
      <c r="A10" s="125" t="s">
        <v>100</v>
      </c>
      <c r="B10" s="126"/>
      <c r="C10" s="127"/>
      <c r="D10" s="121">
        <f t="shared" si="2"/>
        <v>0</v>
      </c>
      <c r="E10" s="128">
        <f t="shared" si="0"/>
        <v>0</v>
      </c>
      <c r="F10" s="130"/>
      <c r="G10" s="82">
        <f t="shared" si="3"/>
        <v>0</v>
      </c>
      <c r="H10" s="124">
        <f t="shared" si="1"/>
        <v>0</v>
      </c>
      <c r="I10" s="81"/>
      <c r="J10" s="81"/>
    </row>
    <row r="11" spans="1:15" ht="14.25">
      <c r="A11" s="125" t="s">
        <v>101</v>
      </c>
      <c r="B11" s="121"/>
      <c r="C11" s="121"/>
      <c r="D11" s="121">
        <f t="shared" si="2"/>
        <v>0</v>
      </c>
      <c r="E11" s="128">
        <f t="shared" si="0"/>
        <v>0</v>
      </c>
      <c r="F11" s="131"/>
      <c r="G11" s="82">
        <f t="shared" si="3"/>
        <v>0</v>
      </c>
      <c r="H11" s="124">
        <f t="shared" si="1"/>
        <v>0</v>
      </c>
      <c r="I11" s="80"/>
      <c r="J11" s="80"/>
    </row>
    <row r="12" spans="1:15" ht="14.25">
      <c r="A12" s="125" t="s">
        <v>102</v>
      </c>
      <c r="B12" s="121"/>
      <c r="C12" s="121"/>
      <c r="D12" s="121">
        <f t="shared" si="2"/>
        <v>0</v>
      </c>
      <c r="E12" s="128">
        <f t="shared" si="0"/>
        <v>0</v>
      </c>
      <c r="F12" s="82"/>
      <c r="G12" s="82">
        <f t="shared" si="3"/>
        <v>0</v>
      </c>
      <c r="H12" s="124">
        <f t="shared" si="1"/>
        <v>0</v>
      </c>
      <c r="I12" s="81"/>
      <c r="J12" s="81"/>
    </row>
    <row r="13" spans="1:15" ht="14.25">
      <c r="A13" s="125" t="s">
        <v>103</v>
      </c>
      <c r="B13" s="121"/>
      <c r="C13" s="121"/>
      <c r="D13" s="121">
        <f t="shared" si="2"/>
        <v>0</v>
      </c>
      <c r="E13" s="128">
        <f t="shared" si="0"/>
        <v>0</v>
      </c>
      <c r="F13" s="82"/>
      <c r="G13" s="82">
        <f t="shared" si="3"/>
        <v>0</v>
      </c>
      <c r="H13" s="124">
        <f t="shared" si="1"/>
        <v>0</v>
      </c>
      <c r="I13" s="81"/>
      <c r="J13" s="81"/>
    </row>
    <row r="14" spans="1:15" ht="14.25">
      <c r="A14" s="125" t="s">
        <v>104</v>
      </c>
      <c r="B14" s="121"/>
      <c r="C14" s="121"/>
      <c r="D14" s="121">
        <f t="shared" si="2"/>
        <v>0</v>
      </c>
      <c r="E14" s="128">
        <f t="shared" si="0"/>
        <v>0</v>
      </c>
      <c r="F14" s="82"/>
      <c r="G14" s="82">
        <f t="shared" si="3"/>
        <v>0</v>
      </c>
      <c r="H14" s="124">
        <f t="shared" si="1"/>
        <v>0</v>
      </c>
      <c r="I14" s="80"/>
      <c r="J14" s="80"/>
    </row>
    <row r="15" spans="1:15" ht="14.25">
      <c r="A15" s="125" t="s">
        <v>105</v>
      </c>
      <c r="B15" s="132"/>
      <c r="C15" s="132"/>
      <c r="D15" s="121">
        <f t="shared" si="2"/>
        <v>0</v>
      </c>
      <c r="E15" s="128">
        <f t="shared" si="0"/>
        <v>0</v>
      </c>
      <c r="F15" s="133"/>
      <c r="G15" s="82">
        <f t="shared" si="3"/>
        <v>0</v>
      </c>
      <c r="H15" s="124">
        <f t="shared" si="1"/>
        <v>0</v>
      </c>
      <c r="I15" s="80"/>
      <c r="J15" s="81"/>
    </row>
    <row r="16" spans="1:15" ht="14.25">
      <c r="A16" s="134" t="s">
        <v>106</v>
      </c>
      <c r="B16" s="135"/>
      <c r="C16" s="135"/>
      <c r="D16" s="135">
        <f t="shared" si="2"/>
        <v>0</v>
      </c>
      <c r="E16" s="136">
        <f t="shared" si="0"/>
        <v>0</v>
      </c>
      <c r="F16" s="137"/>
      <c r="G16" s="138">
        <f t="shared" si="3"/>
        <v>0</v>
      </c>
      <c r="H16" s="139">
        <f t="shared" si="1"/>
        <v>0</v>
      </c>
      <c r="I16" s="89"/>
      <c r="J16" s="89"/>
    </row>
    <row r="17" spans="1:15" ht="14.25">
      <c r="A17" s="25" t="s">
        <v>107</v>
      </c>
      <c r="B17" s="26">
        <f>SUM(B5:B16)</f>
        <v>25506</v>
      </c>
      <c r="C17" s="26">
        <f t="shared" ref="C17:F17" si="4">SUM(C5:C16)</f>
        <v>57487.3</v>
      </c>
      <c r="D17" s="26">
        <f>B17-C17</f>
        <v>-31981.300000000003</v>
      </c>
      <c r="E17" s="27">
        <f>IFERROR(D17/C17, 0)</f>
        <v>-0.55631939576219447</v>
      </c>
      <c r="F17" s="26">
        <f t="shared" si="4"/>
        <v>45574.37</v>
      </c>
      <c r="G17" s="26">
        <f>B17-F17</f>
        <v>-20068.370000000003</v>
      </c>
      <c r="H17" s="28">
        <f>IFERROR(G17/F17, 0)</f>
        <v>-0.44034333332528791</v>
      </c>
      <c r="I17" s="29"/>
      <c r="J17" s="29"/>
    </row>
    <row r="18" spans="1:15">
      <c r="F18" s="12"/>
    </row>
    <row r="19" spans="1:15" ht="14.25">
      <c r="I19" s="88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239" priority="1" operator="lessThanOrEqual">
      <formula>-0.1</formula>
    </cfRule>
    <cfRule type="cellIs" dxfId="238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4E75-1EC8-4BDA-8175-FAF2B4D842B8}">
  <sheetPr codeName="Sheet22">
    <tabColor rgb="FFFFFF00"/>
  </sheetPr>
  <dimension ref="A1:O20"/>
  <sheetViews>
    <sheetView workbookViewId="0">
      <selection activeCell="I23" sqref="I23"/>
    </sheetView>
  </sheetViews>
  <sheetFormatPr defaultRowHeight="12.75"/>
  <cols>
    <col min="1" max="1" width="8.5703125" bestFit="1" customWidth="1"/>
    <col min="2" max="2" width="8.85546875" style="2" bestFit="1" customWidth="1"/>
    <col min="3" max="3" width="11" bestFit="1" customWidth="1"/>
    <col min="4" max="4" width="15.8554687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49.140625" customWidth="1"/>
    <col min="10" max="10" width="16.85546875" bestFit="1" customWidth="1"/>
  </cols>
  <sheetData>
    <row r="1" spans="1:15" ht="25.15">
      <c r="A1" s="212" t="s">
        <v>59</v>
      </c>
      <c r="B1" s="212"/>
      <c r="C1" s="212"/>
      <c r="D1" s="212"/>
      <c r="E1" s="212"/>
      <c r="F1" s="212"/>
      <c r="G1" s="212"/>
      <c r="H1" s="212"/>
      <c r="I1" s="212"/>
      <c r="J1" s="212"/>
    </row>
    <row r="2" spans="1:15" ht="25.15">
      <c r="A2" s="11"/>
      <c r="B2" s="11"/>
      <c r="C2" s="11"/>
      <c r="D2" s="11"/>
      <c r="E2" s="11"/>
    </row>
    <row r="3" spans="1:15" ht="15">
      <c r="A3" s="204" t="s">
        <v>86</v>
      </c>
      <c r="B3" s="205"/>
      <c r="C3" s="205"/>
      <c r="D3" s="205"/>
      <c r="E3" s="206"/>
      <c r="F3" s="207" t="s">
        <v>87</v>
      </c>
      <c r="G3" s="208"/>
      <c r="H3" s="209"/>
      <c r="I3" s="210" t="s">
        <v>88</v>
      </c>
      <c r="J3" s="211"/>
    </row>
    <row r="4" spans="1:15">
      <c r="A4" s="18" t="s">
        <v>89</v>
      </c>
      <c r="B4" s="30" t="s">
        <v>6</v>
      </c>
      <c r="C4" s="30" t="s">
        <v>7</v>
      </c>
      <c r="D4" s="30" t="s">
        <v>90</v>
      </c>
      <c r="E4" s="31" t="s">
        <v>91</v>
      </c>
      <c r="F4" s="32" t="s">
        <v>10</v>
      </c>
      <c r="G4" s="33" t="s">
        <v>92</v>
      </c>
      <c r="H4" s="34" t="s">
        <v>93</v>
      </c>
      <c r="I4" s="35" t="s">
        <v>88</v>
      </c>
      <c r="J4" s="36" t="s">
        <v>94</v>
      </c>
    </row>
    <row r="5" spans="1:15" ht="14.25">
      <c r="A5" s="118" t="s">
        <v>95</v>
      </c>
      <c r="B5" s="119">
        <v>28771</v>
      </c>
      <c r="C5" s="142">
        <v>81174.38</v>
      </c>
      <c r="D5" s="121">
        <f>B5-C5</f>
        <v>-52403.380000000005</v>
      </c>
      <c r="E5" s="122">
        <f t="shared" ref="E5:E16" si="0">IFERROR(D5/C5, 0)</f>
        <v>-0.64556550970885151</v>
      </c>
      <c r="F5" s="123">
        <v>48828.99</v>
      </c>
      <c r="G5" s="82">
        <f>B5-F5</f>
        <v>-20057.989999999998</v>
      </c>
      <c r="H5" s="124">
        <f t="shared" ref="H5:H16" si="1">IFERROR(G5/F5, 0)</f>
        <v>-0.41078035814379937</v>
      </c>
      <c r="I5" s="80"/>
      <c r="J5" s="80"/>
      <c r="O5" s="5"/>
    </row>
    <row r="6" spans="1:15" ht="14.25">
      <c r="A6" s="125" t="s">
        <v>96</v>
      </c>
      <c r="B6" s="126"/>
      <c r="C6" s="127"/>
      <c r="D6" s="121">
        <f t="shared" ref="D6:D16" si="2">B6-C6</f>
        <v>0</v>
      </c>
      <c r="E6" s="128">
        <f t="shared" si="0"/>
        <v>0</v>
      </c>
      <c r="F6" s="129"/>
      <c r="G6" s="82">
        <f t="shared" ref="G6:G16" si="3">B6-F6</f>
        <v>0</v>
      </c>
      <c r="H6" s="124">
        <f t="shared" si="1"/>
        <v>0</v>
      </c>
      <c r="I6" s="81"/>
      <c r="J6" s="81"/>
    </row>
    <row r="7" spans="1:15" ht="14.25">
      <c r="A7" s="125" t="s">
        <v>97</v>
      </c>
      <c r="B7" s="126"/>
      <c r="C7" s="127"/>
      <c r="D7" s="121">
        <f t="shared" si="2"/>
        <v>0</v>
      </c>
      <c r="E7" s="128">
        <f t="shared" si="0"/>
        <v>0</v>
      </c>
      <c r="F7" s="130"/>
      <c r="G7" s="82">
        <f t="shared" si="3"/>
        <v>0</v>
      </c>
      <c r="H7" s="124">
        <f t="shared" si="1"/>
        <v>0</v>
      </c>
      <c r="I7" s="81"/>
      <c r="J7" s="81"/>
    </row>
    <row r="8" spans="1:15" ht="14.25">
      <c r="A8" s="125" t="s">
        <v>98</v>
      </c>
      <c r="B8" s="126"/>
      <c r="C8" s="127"/>
      <c r="D8" s="121">
        <f t="shared" si="2"/>
        <v>0</v>
      </c>
      <c r="E8" s="128">
        <f t="shared" si="0"/>
        <v>0</v>
      </c>
      <c r="F8" s="130"/>
      <c r="G8" s="82">
        <f t="shared" si="3"/>
        <v>0</v>
      </c>
      <c r="H8" s="124">
        <f t="shared" si="1"/>
        <v>0</v>
      </c>
      <c r="I8" s="80"/>
      <c r="J8" s="80"/>
    </row>
    <row r="9" spans="1:15" ht="14.25">
      <c r="A9" s="125" t="s">
        <v>99</v>
      </c>
      <c r="B9" s="126"/>
      <c r="C9" s="127"/>
      <c r="D9" s="121">
        <f t="shared" si="2"/>
        <v>0</v>
      </c>
      <c r="E9" s="128">
        <f t="shared" si="0"/>
        <v>0</v>
      </c>
      <c r="F9" s="130"/>
      <c r="G9" s="82">
        <f t="shared" si="3"/>
        <v>0</v>
      </c>
      <c r="H9" s="124">
        <f t="shared" si="1"/>
        <v>0</v>
      </c>
      <c r="I9" s="80"/>
      <c r="J9" s="81"/>
    </row>
    <row r="10" spans="1:15" ht="14.25">
      <c r="A10" s="125" t="s">
        <v>100</v>
      </c>
      <c r="B10" s="126"/>
      <c r="C10" s="127"/>
      <c r="D10" s="121">
        <f t="shared" si="2"/>
        <v>0</v>
      </c>
      <c r="E10" s="128">
        <f t="shared" si="0"/>
        <v>0</v>
      </c>
      <c r="F10" s="130"/>
      <c r="G10" s="82">
        <f t="shared" si="3"/>
        <v>0</v>
      </c>
      <c r="H10" s="124">
        <f t="shared" si="1"/>
        <v>0</v>
      </c>
      <c r="I10" s="81"/>
      <c r="J10" s="81"/>
    </row>
    <row r="11" spans="1:15" ht="14.25">
      <c r="A11" s="125" t="s">
        <v>101</v>
      </c>
      <c r="B11" s="121"/>
      <c r="C11" s="121"/>
      <c r="D11" s="121">
        <f t="shared" si="2"/>
        <v>0</v>
      </c>
      <c r="E11" s="128">
        <f t="shared" si="0"/>
        <v>0</v>
      </c>
      <c r="F11" s="131"/>
      <c r="G11" s="82">
        <f t="shared" si="3"/>
        <v>0</v>
      </c>
      <c r="H11" s="124">
        <f t="shared" si="1"/>
        <v>0</v>
      </c>
      <c r="I11" s="81"/>
      <c r="J11" s="81"/>
    </row>
    <row r="12" spans="1:15" ht="14.25">
      <c r="A12" s="125" t="s">
        <v>102</v>
      </c>
      <c r="B12" s="143"/>
      <c r="C12" s="143"/>
      <c r="D12" s="121">
        <f t="shared" si="2"/>
        <v>0</v>
      </c>
      <c r="E12" s="128">
        <f t="shared" si="0"/>
        <v>0</v>
      </c>
      <c r="F12" s="82"/>
      <c r="G12" s="82">
        <f t="shared" si="3"/>
        <v>0</v>
      </c>
      <c r="H12" s="124">
        <f t="shared" si="1"/>
        <v>0</v>
      </c>
      <c r="I12" s="81"/>
      <c r="J12" s="81"/>
    </row>
    <row r="13" spans="1:15" ht="14.25">
      <c r="A13" s="125" t="s">
        <v>103</v>
      </c>
      <c r="B13" s="121"/>
      <c r="C13" s="121"/>
      <c r="D13" s="121">
        <f t="shared" si="2"/>
        <v>0</v>
      </c>
      <c r="E13" s="128">
        <f t="shared" si="0"/>
        <v>0</v>
      </c>
      <c r="F13" s="82"/>
      <c r="G13" s="82">
        <f t="shared" si="3"/>
        <v>0</v>
      </c>
      <c r="H13" s="124">
        <f t="shared" si="1"/>
        <v>0</v>
      </c>
      <c r="I13" s="81"/>
      <c r="J13" s="81"/>
    </row>
    <row r="14" spans="1:15" ht="14.25">
      <c r="A14" s="125" t="s">
        <v>104</v>
      </c>
      <c r="B14" s="121"/>
      <c r="C14" s="121"/>
      <c r="D14" s="121">
        <f t="shared" si="2"/>
        <v>0</v>
      </c>
      <c r="E14" s="128">
        <f t="shared" si="0"/>
        <v>0</v>
      </c>
      <c r="F14" s="82"/>
      <c r="G14" s="82">
        <f t="shared" si="3"/>
        <v>0</v>
      </c>
      <c r="H14" s="124">
        <f t="shared" si="1"/>
        <v>0</v>
      </c>
      <c r="I14" s="80"/>
      <c r="J14" s="81"/>
    </row>
    <row r="15" spans="1:15" ht="14.25">
      <c r="A15" s="125" t="s">
        <v>105</v>
      </c>
      <c r="B15" s="132"/>
      <c r="C15" s="132"/>
      <c r="D15" s="121">
        <f t="shared" si="2"/>
        <v>0</v>
      </c>
      <c r="E15" s="128">
        <f t="shared" si="0"/>
        <v>0</v>
      </c>
      <c r="F15" s="133"/>
      <c r="G15" s="82">
        <f t="shared" si="3"/>
        <v>0</v>
      </c>
      <c r="H15" s="124">
        <f t="shared" si="1"/>
        <v>0</v>
      </c>
      <c r="I15" s="81"/>
      <c r="J15" s="81"/>
    </row>
    <row r="16" spans="1:15" ht="14.25">
      <c r="A16" s="134" t="s">
        <v>106</v>
      </c>
      <c r="B16" s="135"/>
      <c r="C16" s="135"/>
      <c r="D16" s="135">
        <f t="shared" si="2"/>
        <v>0</v>
      </c>
      <c r="E16" s="136">
        <f t="shared" si="0"/>
        <v>0</v>
      </c>
      <c r="F16" s="137"/>
      <c r="G16" s="138">
        <f t="shared" si="3"/>
        <v>0</v>
      </c>
      <c r="H16" s="139">
        <f t="shared" si="1"/>
        <v>0</v>
      </c>
      <c r="I16" s="89"/>
      <c r="J16" s="89"/>
    </row>
    <row r="17" spans="1:15" ht="14.25">
      <c r="A17" s="25" t="s">
        <v>107</v>
      </c>
      <c r="B17" s="26">
        <f>SUM(B5:B16)</f>
        <v>28771</v>
      </c>
      <c r="C17" s="26">
        <f t="shared" ref="C17:F17" si="4">SUM(C5:C16)</f>
        <v>81174.38</v>
      </c>
      <c r="D17" s="26">
        <f>B17-C17</f>
        <v>-52403.380000000005</v>
      </c>
      <c r="E17" s="27">
        <f>IFERROR(D17/C17, 0)</f>
        <v>-0.64556550970885151</v>
      </c>
      <c r="F17" s="26">
        <f t="shared" si="4"/>
        <v>48828.99</v>
      </c>
      <c r="G17" s="26">
        <f>B17-F17</f>
        <v>-20057.989999999998</v>
      </c>
      <c r="H17" s="28">
        <f>IFERROR(G17/F17, 0)</f>
        <v>-0.41078035814379937</v>
      </c>
      <c r="I17" s="29"/>
      <c r="J17" s="29"/>
    </row>
    <row r="18" spans="1:15">
      <c r="F18" s="12"/>
    </row>
    <row r="19" spans="1:15" ht="14.25">
      <c r="I19" s="88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223" priority="1" operator="lessThanOrEqual">
      <formula>-0.1</formula>
    </cfRule>
    <cfRule type="cellIs" dxfId="22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96948-5DBB-4934-87C3-6A89FE70D843}">
  <sheetPr codeName="Sheet23">
    <tabColor rgb="FFFFFF00"/>
  </sheetPr>
  <dimension ref="A1:O20"/>
  <sheetViews>
    <sheetView workbookViewId="0">
      <selection activeCell="I5" sqref="I5"/>
    </sheetView>
  </sheetViews>
  <sheetFormatPr defaultRowHeight="13.35" customHeight="1"/>
  <cols>
    <col min="1" max="1" width="8.5703125" bestFit="1" customWidth="1"/>
    <col min="2" max="2" width="8.85546875" style="2" bestFit="1" customWidth="1"/>
    <col min="3" max="3" width="11" bestFit="1" customWidth="1"/>
    <col min="4" max="4" width="15.8554687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69.140625" bestFit="1" customWidth="1"/>
    <col min="10" max="10" width="16.85546875" bestFit="1" customWidth="1"/>
  </cols>
  <sheetData>
    <row r="1" spans="1:15" ht="25.15">
      <c r="A1" s="212" t="s">
        <v>61</v>
      </c>
      <c r="B1" s="212"/>
      <c r="C1" s="212"/>
      <c r="D1" s="212"/>
      <c r="E1" s="212"/>
      <c r="F1" s="212"/>
      <c r="G1" s="212"/>
      <c r="H1" s="212"/>
      <c r="I1" s="212"/>
      <c r="J1" s="212"/>
    </row>
    <row r="2" spans="1:15" ht="25.15">
      <c r="A2" s="11"/>
      <c r="B2" s="11"/>
      <c r="C2" s="11"/>
      <c r="D2" s="11"/>
      <c r="E2" s="11"/>
    </row>
    <row r="3" spans="1:15" ht="15">
      <c r="A3" s="204" t="s">
        <v>86</v>
      </c>
      <c r="B3" s="205"/>
      <c r="C3" s="205"/>
      <c r="D3" s="205"/>
      <c r="E3" s="206"/>
      <c r="F3" s="207" t="s">
        <v>87</v>
      </c>
      <c r="G3" s="208"/>
      <c r="H3" s="209"/>
      <c r="I3" s="210" t="s">
        <v>88</v>
      </c>
      <c r="J3" s="211"/>
    </row>
    <row r="4" spans="1:15" ht="12.75">
      <c r="A4" s="18" t="s">
        <v>89</v>
      </c>
      <c r="B4" s="30" t="s">
        <v>6</v>
      </c>
      <c r="C4" s="30" t="s">
        <v>7</v>
      </c>
      <c r="D4" s="30" t="s">
        <v>90</v>
      </c>
      <c r="E4" s="31" t="s">
        <v>91</v>
      </c>
      <c r="F4" s="32" t="s">
        <v>10</v>
      </c>
      <c r="G4" s="33" t="s">
        <v>92</v>
      </c>
      <c r="H4" s="34" t="s">
        <v>93</v>
      </c>
      <c r="I4" s="35" t="s">
        <v>88</v>
      </c>
      <c r="J4" s="36" t="s">
        <v>94</v>
      </c>
    </row>
    <row r="5" spans="1:15" ht="14.25">
      <c r="A5" s="118" t="s">
        <v>95</v>
      </c>
      <c r="B5" s="119">
        <v>42944</v>
      </c>
      <c r="C5" s="142">
        <v>75174.5</v>
      </c>
      <c r="D5" s="121">
        <f>B5-C5</f>
        <v>-32230.5</v>
      </c>
      <c r="E5" s="122">
        <f t="shared" ref="E5:E16" si="0">IFERROR(D5/C5, 0)</f>
        <v>-0.42874245921156773</v>
      </c>
      <c r="F5" s="123">
        <v>103260</v>
      </c>
      <c r="G5" s="82">
        <f>B5-F5</f>
        <v>-60316</v>
      </c>
      <c r="H5" s="124">
        <f t="shared" ref="H5:H16" si="1">IFERROR(G5/F5, 0)</f>
        <v>-0.58411776099167156</v>
      </c>
      <c r="I5" s="81"/>
      <c r="J5" s="81"/>
      <c r="O5" s="5"/>
    </row>
    <row r="6" spans="1:15" ht="14.25">
      <c r="A6" s="125" t="s">
        <v>96</v>
      </c>
      <c r="B6" s="126"/>
      <c r="C6" s="119"/>
      <c r="D6" s="121">
        <f t="shared" ref="D6:D16" si="2">B6-C6</f>
        <v>0</v>
      </c>
      <c r="E6" s="128">
        <f t="shared" si="0"/>
        <v>0</v>
      </c>
      <c r="F6" s="129"/>
      <c r="G6" s="82">
        <f t="shared" ref="G6:G16" si="3">B6-F6</f>
        <v>0</v>
      </c>
      <c r="H6" s="124">
        <f t="shared" si="1"/>
        <v>0</v>
      </c>
      <c r="I6" s="81"/>
      <c r="J6" s="81"/>
    </row>
    <row r="7" spans="1:15" ht="14.25">
      <c r="A7" s="125" t="s">
        <v>97</v>
      </c>
      <c r="B7" s="126"/>
      <c r="C7" s="127"/>
      <c r="D7" s="121">
        <f t="shared" si="2"/>
        <v>0</v>
      </c>
      <c r="E7" s="128">
        <f t="shared" si="0"/>
        <v>0</v>
      </c>
      <c r="F7" s="130"/>
      <c r="G7" s="82">
        <f t="shared" si="3"/>
        <v>0</v>
      </c>
      <c r="H7" s="124">
        <f t="shared" si="1"/>
        <v>0</v>
      </c>
      <c r="I7" s="81"/>
      <c r="J7" s="81"/>
    </row>
    <row r="8" spans="1:15" ht="14.25">
      <c r="A8" s="125" t="s">
        <v>98</v>
      </c>
      <c r="B8" s="126"/>
      <c r="C8" s="127"/>
      <c r="D8" s="121">
        <f t="shared" si="2"/>
        <v>0</v>
      </c>
      <c r="E8" s="128">
        <f t="shared" si="0"/>
        <v>0</v>
      </c>
      <c r="F8" s="130"/>
      <c r="G8" s="82">
        <f t="shared" si="3"/>
        <v>0</v>
      </c>
      <c r="H8" s="124">
        <f t="shared" si="1"/>
        <v>0</v>
      </c>
      <c r="I8" s="81"/>
      <c r="J8" s="81"/>
    </row>
    <row r="9" spans="1:15" ht="14.25">
      <c r="A9" s="125" t="s">
        <v>99</v>
      </c>
      <c r="B9" s="126"/>
      <c r="C9" s="127"/>
      <c r="D9" s="121">
        <f t="shared" si="2"/>
        <v>0</v>
      </c>
      <c r="E9" s="128">
        <f t="shared" si="0"/>
        <v>0</v>
      </c>
      <c r="F9" s="130"/>
      <c r="G9" s="82">
        <f t="shared" si="3"/>
        <v>0</v>
      </c>
      <c r="H9" s="124">
        <f t="shared" si="1"/>
        <v>0</v>
      </c>
      <c r="I9" s="81"/>
      <c r="J9" s="81"/>
    </row>
    <row r="10" spans="1:15" ht="14.25">
      <c r="A10" s="125" t="s">
        <v>100</v>
      </c>
      <c r="B10" s="126"/>
      <c r="C10" s="127"/>
      <c r="D10" s="121">
        <f t="shared" si="2"/>
        <v>0</v>
      </c>
      <c r="E10" s="128">
        <f t="shared" si="0"/>
        <v>0</v>
      </c>
      <c r="F10" s="130"/>
      <c r="G10" s="82">
        <f t="shared" si="3"/>
        <v>0</v>
      </c>
      <c r="H10" s="124">
        <f t="shared" si="1"/>
        <v>0</v>
      </c>
      <c r="I10" s="81"/>
      <c r="J10" s="81"/>
    </row>
    <row r="11" spans="1:15" ht="14.25">
      <c r="A11" s="125" t="s">
        <v>101</v>
      </c>
      <c r="B11" s="121"/>
      <c r="C11" s="121"/>
      <c r="D11" s="121">
        <f t="shared" si="2"/>
        <v>0</v>
      </c>
      <c r="E11" s="128">
        <f t="shared" si="0"/>
        <v>0</v>
      </c>
      <c r="F11" s="131"/>
      <c r="G11" s="82">
        <f t="shared" si="3"/>
        <v>0</v>
      </c>
      <c r="H11" s="124">
        <f t="shared" si="1"/>
        <v>0</v>
      </c>
      <c r="I11" s="81"/>
      <c r="J11" s="81"/>
    </row>
    <row r="12" spans="1:15" ht="14.25">
      <c r="A12" s="125" t="s">
        <v>102</v>
      </c>
      <c r="B12" s="121"/>
      <c r="C12" s="121"/>
      <c r="D12" s="121">
        <f t="shared" si="2"/>
        <v>0</v>
      </c>
      <c r="E12" s="128">
        <f t="shared" si="0"/>
        <v>0</v>
      </c>
      <c r="F12" s="82"/>
      <c r="G12" s="82">
        <f t="shared" si="3"/>
        <v>0</v>
      </c>
      <c r="H12" s="124">
        <f t="shared" si="1"/>
        <v>0</v>
      </c>
      <c r="I12" s="81"/>
      <c r="J12" s="81"/>
    </row>
    <row r="13" spans="1:15" ht="14.25">
      <c r="A13" s="125" t="s">
        <v>103</v>
      </c>
      <c r="B13" s="121"/>
      <c r="C13" s="121"/>
      <c r="D13" s="121">
        <f t="shared" si="2"/>
        <v>0</v>
      </c>
      <c r="E13" s="128">
        <f t="shared" si="0"/>
        <v>0</v>
      </c>
      <c r="F13" s="82"/>
      <c r="G13" s="82">
        <f t="shared" si="3"/>
        <v>0</v>
      </c>
      <c r="H13" s="124">
        <f t="shared" si="1"/>
        <v>0</v>
      </c>
      <c r="I13" s="81"/>
      <c r="J13" s="81"/>
    </row>
    <row r="14" spans="1:15" ht="14.25">
      <c r="A14" s="125" t="s">
        <v>104</v>
      </c>
      <c r="B14" s="121"/>
      <c r="C14" s="121"/>
      <c r="D14" s="121">
        <f t="shared" si="2"/>
        <v>0</v>
      </c>
      <c r="E14" s="128">
        <f t="shared" si="0"/>
        <v>0</v>
      </c>
      <c r="F14" s="82"/>
      <c r="G14" s="82">
        <f t="shared" si="3"/>
        <v>0</v>
      </c>
      <c r="H14" s="124">
        <f t="shared" si="1"/>
        <v>0</v>
      </c>
      <c r="I14" s="80"/>
      <c r="J14" s="81"/>
    </row>
    <row r="15" spans="1:15" ht="14.25">
      <c r="A15" s="125" t="s">
        <v>105</v>
      </c>
      <c r="B15" s="132"/>
      <c r="C15" s="132"/>
      <c r="D15" s="121">
        <f t="shared" si="2"/>
        <v>0</v>
      </c>
      <c r="E15" s="128">
        <f t="shared" si="0"/>
        <v>0</v>
      </c>
      <c r="F15" s="133"/>
      <c r="G15" s="82">
        <f t="shared" si="3"/>
        <v>0</v>
      </c>
      <c r="H15" s="124">
        <f t="shared" si="1"/>
        <v>0</v>
      </c>
      <c r="I15" s="81"/>
      <c r="J15" s="81"/>
    </row>
    <row r="16" spans="1:15" ht="14.25">
      <c r="A16" s="134" t="s">
        <v>106</v>
      </c>
      <c r="B16" s="135"/>
      <c r="C16" s="135"/>
      <c r="D16" s="135">
        <f t="shared" si="2"/>
        <v>0</v>
      </c>
      <c r="E16" s="136">
        <f t="shared" si="0"/>
        <v>0</v>
      </c>
      <c r="F16" s="137"/>
      <c r="G16" s="138">
        <f t="shared" si="3"/>
        <v>0</v>
      </c>
      <c r="H16" s="139">
        <f t="shared" si="1"/>
        <v>0</v>
      </c>
      <c r="I16" s="89"/>
      <c r="J16" s="89"/>
    </row>
    <row r="17" spans="1:15" ht="14.25">
      <c r="A17" s="25" t="s">
        <v>107</v>
      </c>
      <c r="B17" s="26">
        <f>SUM(B5:B16)</f>
        <v>42944</v>
      </c>
      <c r="C17" s="26">
        <f t="shared" ref="C17:F17" si="4">SUM(C5:C16)</f>
        <v>75174.5</v>
      </c>
      <c r="D17" s="26">
        <f>B17-C17</f>
        <v>-32230.5</v>
      </c>
      <c r="E17" s="27">
        <f>IFERROR(D17/C17, 0)</f>
        <v>-0.42874245921156773</v>
      </c>
      <c r="F17" s="26">
        <f t="shared" si="4"/>
        <v>103260</v>
      </c>
      <c r="G17" s="26">
        <f>B17-F17</f>
        <v>-60316</v>
      </c>
      <c r="H17" s="28">
        <f>IFERROR(G17/F17, 0)</f>
        <v>-0.58411776099167156</v>
      </c>
      <c r="I17" s="29"/>
      <c r="J17" s="29"/>
    </row>
    <row r="18" spans="1:15" ht="12.75">
      <c r="F18" s="12"/>
    </row>
    <row r="19" spans="1:15" ht="14.25">
      <c r="I19" s="88"/>
    </row>
    <row r="20" spans="1:15" ht="12.7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207" priority="1" operator="lessThanOrEqual">
      <formula>-0.1</formula>
    </cfRule>
    <cfRule type="cellIs" dxfId="206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91FA-534A-4F59-A9AE-A70764A2D848}">
  <sheetPr codeName="Sheet24">
    <tabColor rgb="FFFFFF00"/>
  </sheetPr>
  <dimension ref="A1:O20"/>
  <sheetViews>
    <sheetView workbookViewId="0">
      <selection activeCell="I5" sqref="I5"/>
    </sheetView>
  </sheetViews>
  <sheetFormatPr defaultRowHeight="12.75"/>
  <cols>
    <col min="1" max="1" width="8.5703125" bestFit="1" customWidth="1"/>
    <col min="2" max="2" width="9.85546875" style="2" bestFit="1" customWidth="1"/>
    <col min="3" max="3" width="11" bestFit="1" customWidth="1"/>
    <col min="4" max="4" width="15.8554687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56.140625" bestFit="1" customWidth="1"/>
    <col min="10" max="10" width="16.85546875" bestFit="1" customWidth="1"/>
  </cols>
  <sheetData>
    <row r="1" spans="1:15" ht="25.15">
      <c r="A1" s="212" t="s">
        <v>63</v>
      </c>
      <c r="B1" s="212"/>
      <c r="C1" s="212"/>
      <c r="D1" s="212"/>
      <c r="E1" s="212"/>
      <c r="F1" s="212"/>
      <c r="G1" s="212"/>
      <c r="H1" s="212"/>
      <c r="I1" s="212"/>
      <c r="J1" s="212"/>
    </row>
    <row r="2" spans="1:15" ht="25.15">
      <c r="A2" s="11"/>
      <c r="B2" s="11"/>
      <c r="C2" s="11"/>
      <c r="D2" s="11"/>
      <c r="E2" s="11"/>
    </row>
    <row r="3" spans="1:15" ht="15">
      <c r="A3" s="204" t="s">
        <v>86</v>
      </c>
      <c r="B3" s="205"/>
      <c r="C3" s="205"/>
      <c r="D3" s="205"/>
      <c r="E3" s="206"/>
      <c r="F3" s="207" t="s">
        <v>87</v>
      </c>
      <c r="G3" s="208"/>
      <c r="H3" s="209"/>
      <c r="I3" s="210" t="s">
        <v>88</v>
      </c>
      <c r="J3" s="211"/>
    </row>
    <row r="4" spans="1:15">
      <c r="A4" s="18" t="s">
        <v>89</v>
      </c>
      <c r="B4" s="30" t="s">
        <v>6</v>
      </c>
      <c r="C4" s="30" t="s">
        <v>7</v>
      </c>
      <c r="D4" s="30" t="s">
        <v>90</v>
      </c>
      <c r="E4" s="31" t="s">
        <v>91</v>
      </c>
      <c r="F4" s="32" t="s">
        <v>10</v>
      </c>
      <c r="G4" s="33" t="s">
        <v>92</v>
      </c>
      <c r="H4" s="34" t="s">
        <v>93</v>
      </c>
      <c r="I4" s="35" t="s">
        <v>88</v>
      </c>
      <c r="J4" s="36" t="s">
        <v>94</v>
      </c>
    </row>
    <row r="5" spans="1:15" ht="14.25">
      <c r="A5" s="118" t="s">
        <v>95</v>
      </c>
      <c r="B5" s="119">
        <v>84322</v>
      </c>
      <c r="C5" s="142">
        <v>126671.7</v>
      </c>
      <c r="D5" s="121">
        <f>B5-C5</f>
        <v>-42349.7</v>
      </c>
      <c r="E5" s="122">
        <f t="shared" ref="E5:E16" si="0">IFERROR(D5/C5, 0)</f>
        <v>-0.33432645176467984</v>
      </c>
      <c r="F5" s="123">
        <v>169067.9</v>
      </c>
      <c r="G5" s="82">
        <f>B5-F5</f>
        <v>-84745.9</v>
      </c>
      <c r="H5" s="124">
        <f t="shared" ref="H5:H16" si="1">IFERROR(G5/F5, 0)</f>
        <v>-0.50125363833110836</v>
      </c>
      <c r="I5" s="81"/>
      <c r="J5" s="81"/>
      <c r="O5" s="5"/>
    </row>
    <row r="6" spans="1:15" ht="14.25">
      <c r="A6" s="125" t="s">
        <v>96</v>
      </c>
      <c r="B6" s="126"/>
      <c r="C6" s="127"/>
      <c r="D6" s="121">
        <f t="shared" ref="D6:D16" si="2">B6-C6</f>
        <v>0</v>
      </c>
      <c r="E6" s="128">
        <f t="shared" si="0"/>
        <v>0</v>
      </c>
      <c r="F6" s="129"/>
      <c r="G6" s="82">
        <f t="shared" ref="G6:G16" si="3">B6-F6</f>
        <v>0</v>
      </c>
      <c r="H6" s="124">
        <f t="shared" si="1"/>
        <v>0</v>
      </c>
      <c r="I6" s="81"/>
      <c r="J6" s="81"/>
    </row>
    <row r="7" spans="1:15" ht="14.25">
      <c r="A7" s="125" t="s">
        <v>97</v>
      </c>
      <c r="B7" s="126"/>
      <c r="C7" s="127"/>
      <c r="D7" s="121">
        <f t="shared" si="2"/>
        <v>0</v>
      </c>
      <c r="E7" s="128">
        <f t="shared" si="0"/>
        <v>0</v>
      </c>
      <c r="F7" s="130"/>
      <c r="G7" s="82">
        <f t="shared" si="3"/>
        <v>0</v>
      </c>
      <c r="H7" s="124">
        <f t="shared" si="1"/>
        <v>0</v>
      </c>
      <c r="I7" s="81"/>
      <c r="J7" s="81"/>
    </row>
    <row r="8" spans="1:15" ht="14.25">
      <c r="A8" s="125" t="s">
        <v>98</v>
      </c>
      <c r="B8" s="126"/>
      <c r="C8" s="127"/>
      <c r="D8" s="121">
        <f t="shared" si="2"/>
        <v>0</v>
      </c>
      <c r="E8" s="128">
        <f t="shared" si="0"/>
        <v>0</v>
      </c>
      <c r="F8" s="130"/>
      <c r="G8" s="82">
        <f t="shared" si="3"/>
        <v>0</v>
      </c>
      <c r="H8" s="124">
        <f t="shared" si="1"/>
        <v>0</v>
      </c>
      <c r="I8" s="81"/>
      <c r="J8" s="81"/>
    </row>
    <row r="9" spans="1:15" ht="14.25">
      <c r="A9" s="125" t="s">
        <v>99</v>
      </c>
      <c r="B9" s="126"/>
      <c r="C9" s="127"/>
      <c r="D9" s="121">
        <f t="shared" si="2"/>
        <v>0</v>
      </c>
      <c r="E9" s="128">
        <f t="shared" si="0"/>
        <v>0</v>
      </c>
      <c r="F9" s="130"/>
      <c r="G9" s="82">
        <f t="shared" si="3"/>
        <v>0</v>
      </c>
      <c r="H9" s="124">
        <f t="shared" si="1"/>
        <v>0</v>
      </c>
      <c r="I9" s="80"/>
      <c r="J9" s="81"/>
    </row>
    <row r="10" spans="1:15" ht="14.25">
      <c r="A10" s="125" t="s">
        <v>100</v>
      </c>
      <c r="B10" s="126"/>
      <c r="C10" s="127"/>
      <c r="D10" s="121">
        <f t="shared" si="2"/>
        <v>0</v>
      </c>
      <c r="E10" s="128">
        <f t="shared" si="0"/>
        <v>0</v>
      </c>
      <c r="F10" s="130"/>
      <c r="G10" s="82">
        <f t="shared" si="3"/>
        <v>0</v>
      </c>
      <c r="H10" s="124">
        <f t="shared" si="1"/>
        <v>0</v>
      </c>
      <c r="I10" s="80"/>
      <c r="J10" s="81"/>
    </row>
    <row r="11" spans="1:15" ht="14.25">
      <c r="A11" s="125" t="s">
        <v>101</v>
      </c>
      <c r="B11" s="121"/>
      <c r="C11" s="121"/>
      <c r="D11" s="121">
        <f t="shared" si="2"/>
        <v>0</v>
      </c>
      <c r="E11" s="128">
        <f t="shared" si="0"/>
        <v>0</v>
      </c>
      <c r="F11" s="131"/>
      <c r="G11" s="82">
        <f t="shared" si="3"/>
        <v>0</v>
      </c>
      <c r="H11" s="124">
        <f t="shared" si="1"/>
        <v>0</v>
      </c>
      <c r="I11" s="81"/>
      <c r="J11" s="81"/>
    </row>
    <row r="12" spans="1:15" ht="14.25">
      <c r="A12" s="125" t="s">
        <v>102</v>
      </c>
      <c r="B12" s="121"/>
      <c r="C12" s="121"/>
      <c r="D12" s="121">
        <f t="shared" si="2"/>
        <v>0</v>
      </c>
      <c r="E12" s="128">
        <f t="shared" si="0"/>
        <v>0</v>
      </c>
      <c r="F12" s="82"/>
      <c r="G12" s="82">
        <f t="shared" si="3"/>
        <v>0</v>
      </c>
      <c r="H12" s="124">
        <f t="shared" si="1"/>
        <v>0</v>
      </c>
      <c r="I12" s="81"/>
      <c r="J12" s="81"/>
    </row>
    <row r="13" spans="1:15" ht="14.25">
      <c r="A13" s="125" t="s">
        <v>103</v>
      </c>
      <c r="B13" s="121"/>
      <c r="C13" s="121"/>
      <c r="D13" s="121">
        <f t="shared" si="2"/>
        <v>0</v>
      </c>
      <c r="E13" s="128">
        <f t="shared" si="0"/>
        <v>0</v>
      </c>
      <c r="F13" s="82"/>
      <c r="G13" s="82">
        <f t="shared" si="3"/>
        <v>0</v>
      </c>
      <c r="H13" s="124">
        <f t="shared" si="1"/>
        <v>0</v>
      </c>
      <c r="I13" s="81"/>
      <c r="J13" s="81"/>
    </row>
    <row r="14" spans="1:15" ht="14.25">
      <c r="A14" s="125" t="s">
        <v>104</v>
      </c>
      <c r="B14" s="121"/>
      <c r="C14" s="121"/>
      <c r="D14" s="121">
        <f t="shared" si="2"/>
        <v>0</v>
      </c>
      <c r="E14" s="128">
        <f t="shared" si="0"/>
        <v>0</v>
      </c>
      <c r="F14" s="82"/>
      <c r="G14" s="82">
        <f t="shared" si="3"/>
        <v>0</v>
      </c>
      <c r="H14" s="124">
        <f t="shared" si="1"/>
        <v>0</v>
      </c>
      <c r="I14" s="80"/>
      <c r="J14" s="81"/>
    </row>
    <row r="15" spans="1:15" ht="14.25">
      <c r="A15" s="125" t="s">
        <v>105</v>
      </c>
      <c r="B15" s="132"/>
      <c r="C15" s="132"/>
      <c r="D15" s="121">
        <f t="shared" si="2"/>
        <v>0</v>
      </c>
      <c r="E15" s="128">
        <f t="shared" si="0"/>
        <v>0</v>
      </c>
      <c r="F15" s="133"/>
      <c r="G15" s="82">
        <f t="shared" si="3"/>
        <v>0</v>
      </c>
      <c r="H15" s="124">
        <f t="shared" si="1"/>
        <v>0</v>
      </c>
      <c r="I15" s="81"/>
      <c r="J15" s="81"/>
    </row>
    <row r="16" spans="1:15" ht="14.25">
      <c r="A16" s="134" t="s">
        <v>106</v>
      </c>
      <c r="B16" s="135"/>
      <c r="C16" s="135"/>
      <c r="D16" s="135">
        <f t="shared" si="2"/>
        <v>0</v>
      </c>
      <c r="E16" s="136">
        <f t="shared" si="0"/>
        <v>0</v>
      </c>
      <c r="F16" s="137"/>
      <c r="G16" s="138">
        <f t="shared" si="3"/>
        <v>0</v>
      </c>
      <c r="H16" s="139">
        <f t="shared" si="1"/>
        <v>0</v>
      </c>
      <c r="I16" s="89"/>
      <c r="J16" s="89"/>
    </row>
    <row r="17" spans="1:15" ht="14.25">
      <c r="A17" s="25" t="s">
        <v>107</v>
      </c>
      <c r="B17" s="26">
        <f>SUM(B5:B16)</f>
        <v>84322</v>
      </c>
      <c r="C17" s="26">
        <f t="shared" ref="C17:F17" si="4">SUM(C5:C16)</f>
        <v>126671.7</v>
      </c>
      <c r="D17" s="26">
        <f>B17-C17</f>
        <v>-42349.7</v>
      </c>
      <c r="E17" s="27">
        <f>IFERROR(D17/C17, 0)</f>
        <v>-0.33432645176467984</v>
      </c>
      <c r="F17" s="26">
        <f t="shared" si="4"/>
        <v>169067.9</v>
      </c>
      <c r="G17" s="26">
        <f>B17-F17</f>
        <v>-84745.9</v>
      </c>
      <c r="H17" s="28">
        <f>IFERROR(G17/F17, 0)</f>
        <v>-0.50125363833110836</v>
      </c>
      <c r="I17" s="29"/>
      <c r="J17" s="29"/>
    </row>
    <row r="18" spans="1:15">
      <c r="F18" s="12"/>
    </row>
    <row r="19" spans="1:15" ht="14.25">
      <c r="I19" s="88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191" priority="1" operator="lessThanOrEqual">
      <formula>-0.1</formula>
    </cfRule>
    <cfRule type="cellIs" dxfId="19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F4A71-5E79-4031-8921-6A4F1831EF88}">
  <sheetPr codeName="Sheet25">
    <tabColor rgb="FFFFFF00"/>
  </sheetPr>
  <dimension ref="A1:O20"/>
  <sheetViews>
    <sheetView workbookViewId="0">
      <selection activeCell="I5" sqref="I5"/>
    </sheetView>
  </sheetViews>
  <sheetFormatPr defaultRowHeight="12.75"/>
  <cols>
    <col min="1" max="1" width="8.5703125" bestFit="1" customWidth="1"/>
    <col min="2" max="2" width="8.85546875" style="2" bestFit="1" customWidth="1"/>
    <col min="3" max="3" width="11" bestFit="1" customWidth="1"/>
    <col min="4" max="4" width="15.8554687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59.140625" customWidth="1"/>
    <col min="10" max="10" width="16.85546875" bestFit="1" customWidth="1"/>
  </cols>
  <sheetData>
    <row r="1" spans="1:15" ht="25.15">
      <c r="A1" s="212" t="s">
        <v>65</v>
      </c>
      <c r="B1" s="212"/>
      <c r="C1" s="212"/>
      <c r="D1" s="212"/>
      <c r="E1" s="212"/>
      <c r="F1" s="212"/>
      <c r="G1" s="212"/>
      <c r="H1" s="212"/>
      <c r="I1" s="212"/>
      <c r="J1" s="212"/>
    </row>
    <row r="2" spans="1:15" ht="25.15">
      <c r="A2" s="11"/>
      <c r="B2" s="11"/>
      <c r="C2" s="11"/>
      <c r="D2" s="11"/>
      <c r="E2" s="11"/>
    </row>
    <row r="3" spans="1:15" ht="15">
      <c r="A3" s="204" t="s">
        <v>86</v>
      </c>
      <c r="B3" s="205"/>
      <c r="C3" s="205"/>
      <c r="D3" s="205"/>
      <c r="E3" s="206"/>
      <c r="F3" s="207" t="s">
        <v>87</v>
      </c>
      <c r="G3" s="208"/>
      <c r="H3" s="209"/>
      <c r="I3" s="210" t="s">
        <v>88</v>
      </c>
      <c r="J3" s="211"/>
    </row>
    <row r="4" spans="1:15">
      <c r="A4" s="18" t="s">
        <v>89</v>
      </c>
      <c r="B4" s="30" t="s">
        <v>6</v>
      </c>
      <c r="C4" s="30" t="s">
        <v>7</v>
      </c>
      <c r="D4" s="30" t="s">
        <v>90</v>
      </c>
      <c r="E4" s="31" t="s">
        <v>91</v>
      </c>
      <c r="F4" s="32" t="s">
        <v>10</v>
      </c>
      <c r="G4" s="33" t="s">
        <v>92</v>
      </c>
      <c r="H4" s="34" t="s">
        <v>93</v>
      </c>
      <c r="I4" s="35" t="s">
        <v>88</v>
      </c>
      <c r="J4" s="36" t="s">
        <v>94</v>
      </c>
    </row>
    <row r="5" spans="1:15" ht="14.25">
      <c r="A5" s="118" t="s">
        <v>95</v>
      </c>
      <c r="B5" s="119">
        <v>30226</v>
      </c>
      <c r="C5" s="142">
        <v>57946.25</v>
      </c>
      <c r="D5" s="121">
        <f>B5-C5</f>
        <v>-27720.25</v>
      </c>
      <c r="E5" s="122">
        <f t="shared" ref="E5:E16" si="0">IFERROR(D5/C5, 0)</f>
        <v>-0.47837866988804278</v>
      </c>
      <c r="F5" s="123">
        <v>93432.82</v>
      </c>
      <c r="G5" s="82">
        <f>B5-F5</f>
        <v>-63206.820000000007</v>
      </c>
      <c r="H5" s="124">
        <f t="shared" ref="H5:H16" si="1">IFERROR(G5/F5, 0)</f>
        <v>-0.67649483340008365</v>
      </c>
      <c r="I5" s="81"/>
      <c r="J5" s="81"/>
      <c r="O5" s="5"/>
    </row>
    <row r="6" spans="1:15" ht="14.25">
      <c r="A6" s="125" t="s">
        <v>96</v>
      </c>
      <c r="B6" s="126"/>
      <c r="C6" s="127"/>
      <c r="D6" s="121">
        <f t="shared" ref="D6:D16" si="2">B6-C6</f>
        <v>0</v>
      </c>
      <c r="E6" s="128">
        <f t="shared" si="0"/>
        <v>0</v>
      </c>
      <c r="F6" s="129"/>
      <c r="G6" s="82">
        <f t="shared" ref="G6:G16" si="3">B6-F6</f>
        <v>0</v>
      </c>
      <c r="H6" s="124">
        <f t="shared" si="1"/>
        <v>0</v>
      </c>
      <c r="I6" s="81"/>
      <c r="J6" s="81"/>
    </row>
    <row r="7" spans="1:15" ht="14.25">
      <c r="A7" s="125" t="s">
        <v>97</v>
      </c>
      <c r="B7" s="126"/>
      <c r="C7" s="127"/>
      <c r="D7" s="121">
        <f t="shared" si="2"/>
        <v>0</v>
      </c>
      <c r="E7" s="128">
        <f t="shared" si="0"/>
        <v>0</v>
      </c>
      <c r="F7" s="130"/>
      <c r="G7" s="82">
        <f t="shared" si="3"/>
        <v>0</v>
      </c>
      <c r="H7" s="124">
        <f t="shared" si="1"/>
        <v>0</v>
      </c>
      <c r="I7" s="81"/>
      <c r="J7" s="81"/>
    </row>
    <row r="8" spans="1:15" ht="14.25">
      <c r="A8" s="125" t="s">
        <v>98</v>
      </c>
      <c r="B8" s="126"/>
      <c r="C8" s="127"/>
      <c r="D8" s="121">
        <f t="shared" si="2"/>
        <v>0</v>
      </c>
      <c r="E8" s="128">
        <f t="shared" si="0"/>
        <v>0</v>
      </c>
      <c r="F8" s="129"/>
      <c r="G8" s="82">
        <f t="shared" si="3"/>
        <v>0</v>
      </c>
      <c r="H8" s="124">
        <f t="shared" si="1"/>
        <v>0</v>
      </c>
      <c r="I8" s="81"/>
      <c r="J8" s="81"/>
    </row>
    <row r="9" spans="1:15" ht="14.25">
      <c r="A9" s="125" t="s">
        <v>99</v>
      </c>
      <c r="B9" s="126"/>
      <c r="C9" s="127"/>
      <c r="D9" s="121">
        <f t="shared" si="2"/>
        <v>0</v>
      </c>
      <c r="E9" s="128">
        <f t="shared" si="0"/>
        <v>0</v>
      </c>
      <c r="F9" s="130"/>
      <c r="G9" s="82">
        <f t="shared" si="3"/>
        <v>0</v>
      </c>
      <c r="H9" s="124">
        <f t="shared" si="1"/>
        <v>0</v>
      </c>
      <c r="I9" s="80"/>
      <c r="J9" s="81"/>
    </row>
    <row r="10" spans="1:15" ht="14.25">
      <c r="A10" s="125" t="s">
        <v>100</v>
      </c>
      <c r="B10" s="126"/>
      <c r="C10" s="127"/>
      <c r="D10" s="121">
        <f t="shared" si="2"/>
        <v>0</v>
      </c>
      <c r="E10" s="128">
        <f t="shared" si="0"/>
        <v>0</v>
      </c>
      <c r="F10" s="130"/>
      <c r="G10" s="82">
        <f t="shared" si="3"/>
        <v>0</v>
      </c>
      <c r="H10" s="124">
        <f t="shared" si="1"/>
        <v>0</v>
      </c>
      <c r="I10" s="81"/>
      <c r="J10" s="81"/>
    </row>
    <row r="11" spans="1:15" ht="14.25">
      <c r="A11" s="125" t="s">
        <v>101</v>
      </c>
      <c r="B11" s="121"/>
      <c r="C11" s="121"/>
      <c r="D11" s="121">
        <f t="shared" si="2"/>
        <v>0</v>
      </c>
      <c r="E11" s="128">
        <f t="shared" si="0"/>
        <v>0</v>
      </c>
      <c r="F11" s="131"/>
      <c r="G11" s="82">
        <f t="shared" si="3"/>
        <v>0</v>
      </c>
      <c r="H11" s="124">
        <f t="shared" si="1"/>
        <v>0</v>
      </c>
      <c r="I11" s="81"/>
      <c r="J11" s="81"/>
    </row>
    <row r="12" spans="1:15" ht="14.25">
      <c r="A12" s="125" t="s">
        <v>102</v>
      </c>
      <c r="B12" s="121"/>
      <c r="C12" s="121"/>
      <c r="D12" s="121">
        <f t="shared" si="2"/>
        <v>0</v>
      </c>
      <c r="E12" s="128">
        <f t="shared" si="0"/>
        <v>0</v>
      </c>
      <c r="F12" s="82"/>
      <c r="G12" s="82">
        <f t="shared" si="3"/>
        <v>0</v>
      </c>
      <c r="H12" s="124">
        <f t="shared" si="1"/>
        <v>0</v>
      </c>
      <c r="I12" s="81"/>
      <c r="J12" s="81"/>
    </row>
    <row r="13" spans="1:15" ht="14.25">
      <c r="A13" s="125" t="s">
        <v>103</v>
      </c>
      <c r="B13" s="121"/>
      <c r="C13" s="121"/>
      <c r="D13" s="121">
        <f t="shared" si="2"/>
        <v>0</v>
      </c>
      <c r="E13" s="128">
        <f t="shared" si="0"/>
        <v>0</v>
      </c>
      <c r="F13" s="82"/>
      <c r="G13" s="82">
        <f t="shared" si="3"/>
        <v>0</v>
      </c>
      <c r="H13" s="124">
        <f t="shared" si="1"/>
        <v>0</v>
      </c>
      <c r="I13" s="80"/>
      <c r="J13" s="80"/>
    </row>
    <row r="14" spans="1:15" ht="14.25">
      <c r="A14" s="125" t="s">
        <v>104</v>
      </c>
      <c r="B14" s="121"/>
      <c r="C14" s="121"/>
      <c r="D14" s="121">
        <f t="shared" si="2"/>
        <v>0</v>
      </c>
      <c r="E14" s="128">
        <f t="shared" si="0"/>
        <v>0</v>
      </c>
      <c r="F14" s="82"/>
      <c r="G14" s="82">
        <f t="shared" si="3"/>
        <v>0</v>
      </c>
      <c r="H14" s="124">
        <f t="shared" si="1"/>
        <v>0</v>
      </c>
      <c r="I14" s="80"/>
      <c r="J14" s="81"/>
    </row>
    <row r="15" spans="1:15" ht="14.25">
      <c r="A15" s="125" t="s">
        <v>105</v>
      </c>
      <c r="B15" s="132"/>
      <c r="C15" s="132"/>
      <c r="D15" s="121">
        <f t="shared" si="2"/>
        <v>0</v>
      </c>
      <c r="E15" s="128">
        <f t="shared" si="0"/>
        <v>0</v>
      </c>
      <c r="F15" s="133"/>
      <c r="G15" s="82">
        <f t="shared" si="3"/>
        <v>0</v>
      </c>
      <c r="H15" s="124">
        <f t="shared" si="1"/>
        <v>0</v>
      </c>
      <c r="I15" s="81"/>
      <c r="J15" s="81"/>
    </row>
    <row r="16" spans="1:15" ht="14.25">
      <c r="A16" s="134" t="s">
        <v>106</v>
      </c>
      <c r="B16" s="135"/>
      <c r="C16" s="135"/>
      <c r="D16" s="135">
        <f t="shared" si="2"/>
        <v>0</v>
      </c>
      <c r="E16" s="136">
        <f t="shared" si="0"/>
        <v>0</v>
      </c>
      <c r="F16" s="137"/>
      <c r="G16" s="138">
        <f t="shared" si="3"/>
        <v>0</v>
      </c>
      <c r="H16" s="139">
        <f t="shared" si="1"/>
        <v>0</v>
      </c>
      <c r="I16" s="89"/>
      <c r="J16" s="89"/>
    </row>
    <row r="17" spans="1:15" ht="14.25">
      <c r="A17" s="25" t="s">
        <v>107</v>
      </c>
      <c r="B17" s="26">
        <f>SUM(B5:B16)</f>
        <v>30226</v>
      </c>
      <c r="C17" s="26">
        <f t="shared" ref="C17:F17" si="4">SUM(C5:C16)</f>
        <v>57946.25</v>
      </c>
      <c r="D17" s="26">
        <f>B17-C17</f>
        <v>-27720.25</v>
      </c>
      <c r="E17" s="27">
        <f>IFERROR(D17/C17, 0)</f>
        <v>-0.47837866988804278</v>
      </c>
      <c r="F17" s="26">
        <f t="shared" si="4"/>
        <v>93432.82</v>
      </c>
      <c r="G17" s="26">
        <f>B17-F17</f>
        <v>-63206.820000000007</v>
      </c>
      <c r="H17" s="28">
        <f>IFERROR(G17/F17, 0)</f>
        <v>-0.67649483340008365</v>
      </c>
      <c r="I17" s="29"/>
      <c r="J17" s="29"/>
    </row>
    <row r="18" spans="1:15">
      <c r="F18" s="12"/>
    </row>
    <row r="19" spans="1:15" ht="14.25">
      <c r="I19" s="88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175" priority="1" operator="lessThanOrEqual">
      <formula>-0.1</formula>
    </cfRule>
    <cfRule type="cellIs" dxfId="17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0CF4-28D7-4AC1-88AA-26AD70AD233C}">
  <sheetPr codeName="Sheet26">
    <tabColor rgb="FFFFFF00"/>
  </sheetPr>
  <dimension ref="A1:O20"/>
  <sheetViews>
    <sheetView workbookViewId="0">
      <selection activeCell="I28" sqref="I28"/>
    </sheetView>
  </sheetViews>
  <sheetFormatPr defaultRowHeight="12.75"/>
  <cols>
    <col min="1" max="1" width="8.5703125" bestFit="1" customWidth="1"/>
    <col min="2" max="2" width="8.85546875" style="2" bestFit="1" customWidth="1"/>
    <col min="3" max="3" width="11" bestFit="1" customWidth="1"/>
    <col min="4" max="4" width="15.8554687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61.140625" customWidth="1"/>
    <col min="10" max="10" width="16.85546875" bestFit="1" customWidth="1"/>
  </cols>
  <sheetData>
    <row r="1" spans="1:15" ht="25.15">
      <c r="A1" s="212" t="s">
        <v>67</v>
      </c>
      <c r="B1" s="212"/>
      <c r="C1" s="212"/>
      <c r="D1" s="212"/>
      <c r="E1" s="212"/>
      <c r="F1" s="212"/>
      <c r="G1" s="212"/>
      <c r="H1" s="212"/>
      <c r="I1" s="212"/>
      <c r="J1" s="212"/>
    </row>
    <row r="2" spans="1:15" ht="25.15">
      <c r="A2" s="11"/>
      <c r="B2" s="11"/>
      <c r="C2" s="11"/>
      <c r="D2" s="11"/>
      <c r="E2" s="11"/>
    </row>
    <row r="3" spans="1:15" ht="15">
      <c r="A3" s="204" t="s">
        <v>86</v>
      </c>
      <c r="B3" s="205"/>
      <c r="C3" s="205"/>
      <c r="D3" s="205"/>
      <c r="E3" s="206"/>
      <c r="F3" s="207" t="s">
        <v>87</v>
      </c>
      <c r="G3" s="208"/>
      <c r="H3" s="209"/>
      <c r="I3" s="210" t="s">
        <v>88</v>
      </c>
      <c r="J3" s="211"/>
    </row>
    <row r="4" spans="1:15">
      <c r="A4" s="18" t="s">
        <v>89</v>
      </c>
      <c r="B4" s="30" t="s">
        <v>6</v>
      </c>
      <c r="C4" s="30" t="s">
        <v>7</v>
      </c>
      <c r="D4" s="30" t="s">
        <v>90</v>
      </c>
      <c r="E4" s="31" t="s">
        <v>91</v>
      </c>
      <c r="F4" s="32" t="s">
        <v>10</v>
      </c>
      <c r="G4" s="33" t="s">
        <v>92</v>
      </c>
      <c r="H4" s="34" t="s">
        <v>93</v>
      </c>
      <c r="I4" s="35" t="s">
        <v>88</v>
      </c>
      <c r="J4" s="36" t="s">
        <v>94</v>
      </c>
    </row>
    <row r="5" spans="1:15" ht="28.5">
      <c r="A5" s="118" t="s">
        <v>95</v>
      </c>
      <c r="B5" s="119">
        <v>33659</v>
      </c>
      <c r="C5" s="142">
        <v>55008.74</v>
      </c>
      <c r="D5" s="121">
        <f>B5-C5</f>
        <v>-21349.739999999998</v>
      </c>
      <c r="E5" s="122">
        <f t="shared" ref="E5:E16" si="0">IFERROR(D5/C5, 0)</f>
        <v>-0.38811541584119175</v>
      </c>
      <c r="F5" s="123">
        <v>98462.86</v>
      </c>
      <c r="G5" s="82">
        <f>B5-F5</f>
        <v>-64803.86</v>
      </c>
      <c r="H5" s="124">
        <f t="shared" ref="H5:H16" si="1">IFERROR(G5/F5, 0)</f>
        <v>-0.6581553694459007</v>
      </c>
      <c r="I5" s="80" t="s">
        <v>112</v>
      </c>
      <c r="J5" s="81" t="s">
        <v>113</v>
      </c>
      <c r="O5" s="5"/>
    </row>
    <row r="6" spans="1:15" ht="14.25">
      <c r="A6" s="125" t="s">
        <v>96</v>
      </c>
      <c r="B6" s="126"/>
      <c r="C6" s="127"/>
      <c r="D6" s="121">
        <f t="shared" ref="D6:D16" si="2">B6-C6</f>
        <v>0</v>
      </c>
      <c r="E6" s="128">
        <f t="shared" si="0"/>
        <v>0</v>
      </c>
      <c r="F6" s="129"/>
      <c r="G6" s="82">
        <f t="shared" ref="G6:G16" si="3">B6-F6</f>
        <v>0</v>
      </c>
      <c r="H6" s="124">
        <f t="shared" si="1"/>
        <v>0</v>
      </c>
      <c r="I6" s="81"/>
      <c r="J6" s="81"/>
    </row>
    <row r="7" spans="1:15" ht="14.25">
      <c r="A7" s="125" t="s">
        <v>97</v>
      </c>
      <c r="B7" s="126"/>
      <c r="C7" s="127"/>
      <c r="D7" s="121">
        <f t="shared" si="2"/>
        <v>0</v>
      </c>
      <c r="E7" s="128">
        <f t="shared" si="0"/>
        <v>0</v>
      </c>
      <c r="F7" s="130"/>
      <c r="G7" s="82">
        <f t="shared" si="3"/>
        <v>0</v>
      </c>
      <c r="H7" s="124">
        <f t="shared" si="1"/>
        <v>0</v>
      </c>
      <c r="I7" s="81"/>
      <c r="J7" s="81"/>
    </row>
    <row r="8" spans="1:15" ht="14.25">
      <c r="A8" s="125" t="s">
        <v>98</v>
      </c>
      <c r="B8" s="144"/>
      <c r="C8" s="127"/>
      <c r="D8" s="121">
        <f t="shared" si="2"/>
        <v>0</v>
      </c>
      <c r="E8" s="128">
        <f t="shared" si="0"/>
        <v>0</v>
      </c>
      <c r="F8" s="130"/>
      <c r="G8" s="82">
        <f t="shared" si="3"/>
        <v>0</v>
      </c>
      <c r="H8" s="124">
        <f t="shared" si="1"/>
        <v>0</v>
      </c>
      <c r="I8" s="81"/>
      <c r="J8" s="81"/>
    </row>
    <row r="9" spans="1:15" ht="14.25">
      <c r="A9" s="125" t="s">
        <v>99</v>
      </c>
      <c r="B9" s="145"/>
      <c r="C9" s="127"/>
      <c r="D9" s="121">
        <f t="shared" si="2"/>
        <v>0</v>
      </c>
      <c r="E9" s="128">
        <f t="shared" si="0"/>
        <v>0</v>
      </c>
      <c r="F9" s="130"/>
      <c r="G9" s="82">
        <f t="shared" si="3"/>
        <v>0</v>
      </c>
      <c r="H9" s="124">
        <f t="shared" si="1"/>
        <v>0</v>
      </c>
      <c r="I9" s="80"/>
      <c r="J9" s="81"/>
    </row>
    <row r="10" spans="1:15" ht="14.25">
      <c r="A10" s="125" t="s">
        <v>100</v>
      </c>
      <c r="B10" s="126"/>
      <c r="C10" s="127"/>
      <c r="D10" s="121">
        <f t="shared" si="2"/>
        <v>0</v>
      </c>
      <c r="E10" s="128">
        <f t="shared" si="0"/>
        <v>0</v>
      </c>
      <c r="F10" s="130"/>
      <c r="G10" s="82">
        <f t="shared" si="3"/>
        <v>0</v>
      </c>
      <c r="H10" s="124">
        <f t="shared" si="1"/>
        <v>0</v>
      </c>
      <c r="I10" s="81"/>
      <c r="J10" s="81"/>
    </row>
    <row r="11" spans="1:15" ht="14.25">
      <c r="A11" s="125" t="s">
        <v>101</v>
      </c>
      <c r="B11" s="121"/>
      <c r="C11" s="121"/>
      <c r="D11" s="121">
        <f t="shared" si="2"/>
        <v>0</v>
      </c>
      <c r="E11" s="128">
        <f t="shared" si="0"/>
        <v>0</v>
      </c>
      <c r="F11" s="131"/>
      <c r="G11" s="82">
        <f t="shared" si="3"/>
        <v>0</v>
      </c>
      <c r="H11" s="124">
        <f t="shared" si="1"/>
        <v>0</v>
      </c>
      <c r="I11" s="81"/>
      <c r="J11" s="81"/>
    </row>
    <row r="12" spans="1:15" ht="14.25">
      <c r="A12" s="125" t="s">
        <v>102</v>
      </c>
      <c r="B12" s="121"/>
      <c r="C12" s="121"/>
      <c r="D12" s="121">
        <f t="shared" si="2"/>
        <v>0</v>
      </c>
      <c r="E12" s="128">
        <f t="shared" si="0"/>
        <v>0</v>
      </c>
      <c r="F12" s="82"/>
      <c r="G12" s="82">
        <f t="shared" si="3"/>
        <v>0</v>
      </c>
      <c r="H12" s="124">
        <f t="shared" si="1"/>
        <v>0</v>
      </c>
      <c r="I12" s="81"/>
      <c r="J12" s="81"/>
    </row>
    <row r="13" spans="1:15" ht="14.25">
      <c r="A13" s="125" t="s">
        <v>103</v>
      </c>
      <c r="B13" s="121"/>
      <c r="C13" s="121"/>
      <c r="D13" s="121">
        <f t="shared" si="2"/>
        <v>0</v>
      </c>
      <c r="E13" s="128">
        <f t="shared" si="0"/>
        <v>0</v>
      </c>
      <c r="F13" s="82"/>
      <c r="G13" s="82">
        <f t="shared" si="3"/>
        <v>0</v>
      </c>
      <c r="H13" s="124">
        <f t="shared" si="1"/>
        <v>0</v>
      </c>
      <c r="I13" s="81"/>
      <c r="J13" s="81"/>
    </row>
    <row r="14" spans="1:15" ht="14.25">
      <c r="A14" s="125" t="s">
        <v>104</v>
      </c>
      <c r="B14" s="121"/>
      <c r="C14" s="121"/>
      <c r="D14" s="121">
        <f t="shared" si="2"/>
        <v>0</v>
      </c>
      <c r="E14" s="128">
        <f t="shared" si="0"/>
        <v>0</v>
      </c>
      <c r="F14" s="82"/>
      <c r="G14" s="82">
        <f t="shared" si="3"/>
        <v>0</v>
      </c>
      <c r="H14" s="124">
        <f t="shared" si="1"/>
        <v>0</v>
      </c>
      <c r="I14" s="80"/>
      <c r="J14" s="81"/>
    </row>
    <row r="15" spans="1:15" ht="14.25">
      <c r="A15" s="125" t="s">
        <v>105</v>
      </c>
      <c r="B15" s="132"/>
      <c r="C15" s="132"/>
      <c r="D15" s="121">
        <f t="shared" si="2"/>
        <v>0</v>
      </c>
      <c r="E15" s="128">
        <f t="shared" si="0"/>
        <v>0</v>
      </c>
      <c r="F15" s="133"/>
      <c r="G15" s="82">
        <f t="shared" si="3"/>
        <v>0</v>
      </c>
      <c r="H15" s="124">
        <f t="shared" si="1"/>
        <v>0</v>
      </c>
      <c r="I15" s="81"/>
      <c r="J15" s="81"/>
    </row>
    <row r="16" spans="1:15" ht="14.25">
      <c r="A16" s="134" t="s">
        <v>106</v>
      </c>
      <c r="B16" s="135"/>
      <c r="C16" s="135"/>
      <c r="D16" s="135">
        <f t="shared" si="2"/>
        <v>0</v>
      </c>
      <c r="E16" s="136">
        <f t="shared" si="0"/>
        <v>0</v>
      </c>
      <c r="F16" s="137"/>
      <c r="G16" s="138">
        <f t="shared" si="3"/>
        <v>0</v>
      </c>
      <c r="H16" s="139">
        <f t="shared" si="1"/>
        <v>0</v>
      </c>
      <c r="I16" s="89"/>
      <c r="J16" s="89"/>
    </row>
    <row r="17" spans="1:15" ht="14.25">
      <c r="A17" s="25" t="s">
        <v>107</v>
      </c>
      <c r="B17" s="26">
        <f>SUM(B5:B16)</f>
        <v>33659</v>
      </c>
      <c r="C17" s="26">
        <f t="shared" ref="C17:F17" si="4">SUM(C5:C16)</f>
        <v>55008.74</v>
      </c>
      <c r="D17" s="26">
        <f>B17-C17</f>
        <v>-21349.739999999998</v>
      </c>
      <c r="E17" s="27">
        <f>IFERROR(D17/C17, 0)</f>
        <v>-0.38811541584119175</v>
      </c>
      <c r="F17" s="26">
        <f t="shared" si="4"/>
        <v>98462.86</v>
      </c>
      <c r="G17" s="26">
        <f>B17-F17</f>
        <v>-64803.86</v>
      </c>
      <c r="H17" s="28">
        <f>IFERROR(G17/F17, 0)</f>
        <v>-0.6581553694459007</v>
      </c>
      <c r="I17" s="29"/>
      <c r="J17" s="29"/>
    </row>
    <row r="18" spans="1:15">
      <c r="F18" s="12"/>
    </row>
    <row r="19" spans="1:15" ht="14.25">
      <c r="I19" s="88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159" priority="1" operator="lessThanOrEqual">
      <formula>-0.1</formula>
    </cfRule>
    <cfRule type="cellIs" dxfId="158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3EF1-12CA-4F2E-B504-1435118765CA}">
  <sheetPr codeName="Sheet27">
    <tabColor rgb="FFFFFF00"/>
  </sheetPr>
  <dimension ref="A1:O20"/>
  <sheetViews>
    <sheetView workbookViewId="0">
      <selection activeCell="I5" sqref="I5"/>
    </sheetView>
  </sheetViews>
  <sheetFormatPr defaultRowHeight="12.75"/>
  <cols>
    <col min="1" max="1" width="8.5703125" bestFit="1" customWidth="1"/>
    <col min="2" max="2" width="8.85546875" style="2" bestFit="1" customWidth="1"/>
    <col min="3" max="3" width="11" bestFit="1" customWidth="1"/>
    <col min="4" max="4" width="15.8554687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61.140625" bestFit="1" customWidth="1"/>
    <col min="10" max="10" width="16.85546875" bestFit="1" customWidth="1"/>
  </cols>
  <sheetData>
    <row r="1" spans="1:15" ht="25.15">
      <c r="A1" s="212" t="s">
        <v>69</v>
      </c>
      <c r="B1" s="212"/>
      <c r="C1" s="212"/>
      <c r="D1" s="212"/>
      <c r="E1" s="212"/>
      <c r="F1" s="212"/>
      <c r="G1" s="212"/>
      <c r="H1" s="212"/>
      <c r="I1" s="212"/>
      <c r="J1" s="212"/>
    </row>
    <row r="2" spans="1:15" ht="25.15">
      <c r="A2" s="11"/>
      <c r="B2" s="11"/>
      <c r="C2" s="11"/>
      <c r="D2" s="11"/>
      <c r="E2" s="11"/>
    </row>
    <row r="3" spans="1:15" ht="15">
      <c r="A3" s="204" t="s">
        <v>86</v>
      </c>
      <c r="B3" s="205"/>
      <c r="C3" s="205"/>
      <c r="D3" s="205"/>
      <c r="E3" s="206"/>
      <c r="F3" s="207" t="s">
        <v>87</v>
      </c>
      <c r="G3" s="208"/>
      <c r="H3" s="209"/>
      <c r="I3" s="210" t="s">
        <v>88</v>
      </c>
      <c r="J3" s="211"/>
    </row>
    <row r="4" spans="1:15">
      <c r="A4" s="18" t="s">
        <v>89</v>
      </c>
      <c r="B4" s="30" t="s">
        <v>6</v>
      </c>
      <c r="C4" s="30" t="s">
        <v>7</v>
      </c>
      <c r="D4" s="30" t="s">
        <v>90</v>
      </c>
      <c r="E4" s="31" t="s">
        <v>91</v>
      </c>
      <c r="F4" s="32" t="s">
        <v>10</v>
      </c>
      <c r="G4" s="33" t="s">
        <v>92</v>
      </c>
      <c r="H4" s="34" t="s">
        <v>93</v>
      </c>
      <c r="I4" s="35" t="s">
        <v>88</v>
      </c>
      <c r="J4" s="36" t="s">
        <v>94</v>
      </c>
    </row>
    <row r="5" spans="1:15" ht="14.25">
      <c r="A5" s="118" t="s">
        <v>95</v>
      </c>
      <c r="B5" s="119">
        <v>25714</v>
      </c>
      <c r="C5" s="142">
        <v>47004.33</v>
      </c>
      <c r="D5" s="121">
        <f>B5-C5</f>
        <v>-21290.33</v>
      </c>
      <c r="E5" s="122">
        <f t="shared" ref="E5:E16" si="0">IFERROR(D5/C5, 0)</f>
        <v>-0.45294401600873796</v>
      </c>
      <c r="F5" s="146">
        <v>98462.86</v>
      </c>
      <c r="G5" s="82">
        <f>B5-F5</f>
        <v>-72748.86</v>
      </c>
      <c r="H5" s="124">
        <f t="shared" ref="H5:H16" si="1">IFERROR(G5/F5, 0)</f>
        <v>-0.73884569268046851</v>
      </c>
      <c r="I5" s="81"/>
      <c r="J5" s="81"/>
      <c r="O5" s="5"/>
    </row>
    <row r="6" spans="1:15" ht="14.25">
      <c r="A6" s="125" t="s">
        <v>96</v>
      </c>
      <c r="B6" s="126"/>
      <c r="C6" s="127"/>
      <c r="D6" s="121">
        <f t="shared" ref="D6:D16" si="2">B6-C6</f>
        <v>0</v>
      </c>
      <c r="E6" s="128">
        <f t="shared" si="0"/>
        <v>0</v>
      </c>
      <c r="F6" s="147"/>
      <c r="G6" s="82">
        <f t="shared" ref="G6:G16" si="3">B6-F6</f>
        <v>0</v>
      </c>
      <c r="H6" s="124">
        <f t="shared" si="1"/>
        <v>0</v>
      </c>
      <c r="I6" s="81"/>
      <c r="J6" s="81"/>
    </row>
    <row r="7" spans="1:15" ht="14.25">
      <c r="A7" s="125" t="s">
        <v>97</v>
      </c>
      <c r="B7" s="126"/>
      <c r="C7" s="127"/>
      <c r="D7" s="121">
        <f t="shared" si="2"/>
        <v>0</v>
      </c>
      <c r="E7" s="128">
        <f t="shared" si="0"/>
        <v>0</v>
      </c>
      <c r="F7" s="148"/>
      <c r="G7" s="82">
        <f t="shared" si="3"/>
        <v>0</v>
      </c>
      <c r="H7" s="124">
        <f t="shared" si="1"/>
        <v>0</v>
      </c>
      <c r="I7" s="81"/>
      <c r="J7" s="81"/>
    </row>
    <row r="8" spans="1:15" ht="14.25">
      <c r="A8" s="125" t="s">
        <v>98</v>
      </c>
      <c r="B8" s="126"/>
      <c r="C8" s="127"/>
      <c r="D8" s="121">
        <f t="shared" si="2"/>
        <v>0</v>
      </c>
      <c r="E8" s="128">
        <f t="shared" si="0"/>
        <v>0</v>
      </c>
      <c r="F8" s="148"/>
      <c r="G8" s="82">
        <f t="shared" si="3"/>
        <v>0</v>
      </c>
      <c r="H8" s="124">
        <f t="shared" si="1"/>
        <v>0</v>
      </c>
      <c r="I8" s="81"/>
      <c r="J8" s="81"/>
    </row>
    <row r="9" spans="1:15" ht="14.25">
      <c r="A9" s="125" t="s">
        <v>99</v>
      </c>
      <c r="B9" s="126"/>
      <c r="C9" s="127"/>
      <c r="D9" s="121">
        <f t="shared" si="2"/>
        <v>0</v>
      </c>
      <c r="E9" s="128">
        <f t="shared" si="0"/>
        <v>0</v>
      </c>
      <c r="F9" s="148"/>
      <c r="G9" s="82">
        <f t="shared" si="3"/>
        <v>0</v>
      </c>
      <c r="H9" s="124">
        <f t="shared" si="1"/>
        <v>0</v>
      </c>
      <c r="I9" s="80"/>
      <c r="J9" s="81"/>
    </row>
    <row r="10" spans="1:15" ht="14.25">
      <c r="A10" s="125" t="s">
        <v>100</v>
      </c>
      <c r="B10" s="126"/>
      <c r="C10" s="127"/>
      <c r="D10" s="121">
        <f t="shared" si="2"/>
        <v>0</v>
      </c>
      <c r="E10" s="128">
        <f t="shared" si="0"/>
        <v>0</v>
      </c>
      <c r="F10" s="148"/>
      <c r="G10" s="82">
        <f t="shared" si="3"/>
        <v>0</v>
      </c>
      <c r="H10" s="124">
        <f t="shared" si="1"/>
        <v>0</v>
      </c>
      <c r="I10" s="81"/>
      <c r="J10" s="81"/>
    </row>
    <row r="11" spans="1:15" ht="14.25">
      <c r="A11" s="125" t="s">
        <v>101</v>
      </c>
      <c r="B11" s="121"/>
      <c r="C11" s="121"/>
      <c r="D11" s="121">
        <f t="shared" si="2"/>
        <v>0</v>
      </c>
      <c r="E11" s="128">
        <f t="shared" si="0"/>
        <v>0</v>
      </c>
      <c r="F11" s="149"/>
      <c r="G11" s="82">
        <f t="shared" si="3"/>
        <v>0</v>
      </c>
      <c r="H11" s="124">
        <f t="shared" si="1"/>
        <v>0</v>
      </c>
      <c r="I11" s="81"/>
      <c r="J11" s="81"/>
    </row>
    <row r="12" spans="1:15" ht="14.25">
      <c r="A12" s="125" t="s">
        <v>102</v>
      </c>
      <c r="B12" s="121"/>
      <c r="C12" s="121"/>
      <c r="D12" s="121">
        <f t="shared" si="2"/>
        <v>0</v>
      </c>
      <c r="E12" s="128">
        <f t="shared" si="0"/>
        <v>0</v>
      </c>
      <c r="F12" s="150"/>
      <c r="G12" s="82">
        <f t="shared" si="3"/>
        <v>0</v>
      </c>
      <c r="H12" s="124">
        <f t="shared" si="1"/>
        <v>0</v>
      </c>
      <c r="I12" s="80"/>
      <c r="J12" s="81"/>
    </row>
    <row r="13" spans="1:15" ht="14.25">
      <c r="A13" s="125" t="s">
        <v>103</v>
      </c>
      <c r="B13" s="121"/>
      <c r="C13" s="121"/>
      <c r="D13" s="121">
        <f t="shared" si="2"/>
        <v>0</v>
      </c>
      <c r="E13" s="128">
        <f t="shared" si="0"/>
        <v>0</v>
      </c>
      <c r="F13" s="82"/>
      <c r="G13" s="82">
        <f t="shared" si="3"/>
        <v>0</v>
      </c>
      <c r="H13" s="124">
        <f t="shared" si="1"/>
        <v>0</v>
      </c>
      <c r="I13" s="80"/>
      <c r="J13" s="81"/>
    </row>
    <row r="14" spans="1:15" ht="14.25">
      <c r="A14" s="125" t="s">
        <v>104</v>
      </c>
      <c r="B14" s="121"/>
      <c r="C14" s="121"/>
      <c r="D14" s="121">
        <f t="shared" si="2"/>
        <v>0</v>
      </c>
      <c r="E14" s="128">
        <f t="shared" si="0"/>
        <v>0</v>
      </c>
      <c r="F14" s="82"/>
      <c r="G14" s="82">
        <f t="shared" si="3"/>
        <v>0</v>
      </c>
      <c r="H14" s="124">
        <f t="shared" si="1"/>
        <v>0</v>
      </c>
      <c r="I14" s="80"/>
      <c r="J14" s="81"/>
    </row>
    <row r="15" spans="1:15" ht="14.25">
      <c r="A15" s="125" t="s">
        <v>105</v>
      </c>
      <c r="B15" s="132"/>
      <c r="C15" s="132"/>
      <c r="D15" s="121">
        <f t="shared" si="2"/>
        <v>0</v>
      </c>
      <c r="E15" s="128">
        <f t="shared" si="0"/>
        <v>0</v>
      </c>
      <c r="F15" s="133"/>
      <c r="G15" s="82">
        <f t="shared" si="3"/>
        <v>0</v>
      </c>
      <c r="H15" s="124">
        <f t="shared" si="1"/>
        <v>0</v>
      </c>
      <c r="I15" s="81"/>
      <c r="J15" s="81"/>
    </row>
    <row r="16" spans="1:15" ht="14.25">
      <c r="A16" s="134" t="s">
        <v>106</v>
      </c>
      <c r="B16" s="135"/>
      <c r="C16" s="135"/>
      <c r="D16" s="135">
        <f t="shared" si="2"/>
        <v>0</v>
      </c>
      <c r="E16" s="136">
        <f t="shared" si="0"/>
        <v>0</v>
      </c>
      <c r="F16" s="137"/>
      <c r="G16" s="138">
        <f t="shared" si="3"/>
        <v>0</v>
      </c>
      <c r="H16" s="139">
        <f t="shared" si="1"/>
        <v>0</v>
      </c>
      <c r="I16" s="89"/>
      <c r="J16" s="89"/>
    </row>
    <row r="17" spans="1:15" ht="14.25">
      <c r="A17" s="25" t="s">
        <v>107</v>
      </c>
      <c r="B17" s="26">
        <f>SUM(B5:B16)</f>
        <v>25714</v>
      </c>
      <c r="C17" s="26">
        <f t="shared" ref="C17:F17" si="4">SUM(C5:C16)</f>
        <v>47004.33</v>
      </c>
      <c r="D17" s="26">
        <f>B17-C17</f>
        <v>-21290.33</v>
      </c>
      <c r="E17" s="27">
        <f>IFERROR(D17/C17, 0)</f>
        <v>-0.45294401600873796</v>
      </c>
      <c r="F17" s="26">
        <f t="shared" si="4"/>
        <v>98462.86</v>
      </c>
      <c r="G17" s="26">
        <f>B17-F17</f>
        <v>-72748.86</v>
      </c>
      <c r="H17" s="28">
        <f>IFERROR(G17/F17, 0)</f>
        <v>-0.73884569268046851</v>
      </c>
      <c r="I17" s="29"/>
      <c r="J17" s="29"/>
    </row>
    <row r="18" spans="1:15">
      <c r="F18" s="12"/>
    </row>
    <row r="19" spans="1:15" ht="14.25">
      <c r="I19" s="88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143" priority="1" operator="lessThanOrEqual">
      <formula>-0.1</formula>
    </cfRule>
    <cfRule type="cellIs" dxfId="14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87B0E-92E3-425E-9B70-A5D72654A3A5}">
  <sheetPr codeName="Sheet28">
    <tabColor rgb="FFFFFF00"/>
  </sheetPr>
  <dimension ref="A1:O20"/>
  <sheetViews>
    <sheetView workbookViewId="0">
      <selection activeCell="I5" sqref="I5"/>
    </sheetView>
  </sheetViews>
  <sheetFormatPr defaultRowHeight="12.75"/>
  <cols>
    <col min="1" max="1" width="8.5703125" bestFit="1" customWidth="1"/>
    <col min="2" max="2" width="8.85546875" style="2" bestFit="1" customWidth="1"/>
    <col min="3" max="3" width="11" bestFit="1" customWidth="1"/>
    <col min="4" max="4" width="15.8554687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54.42578125" bestFit="1" customWidth="1"/>
    <col min="10" max="10" width="16.85546875" bestFit="1" customWidth="1"/>
  </cols>
  <sheetData>
    <row r="1" spans="1:15" ht="25.15">
      <c r="A1" s="212" t="s">
        <v>71</v>
      </c>
      <c r="B1" s="212"/>
      <c r="C1" s="212"/>
      <c r="D1" s="212"/>
      <c r="E1" s="212"/>
      <c r="F1" s="212"/>
      <c r="G1" s="212"/>
      <c r="H1" s="212"/>
      <c r="I1" s="212"/>
      <c r="J1" s="212"/>
    </row>
    <row r="2" spans="1:15" ht="25.15">
      <c r="A2" s="11"/>
      <c r="B2" s="11"/>
      <c r="C2" s="11"/>
      <c r="D2" s="11"/>
      <c r="E2" s="11"/>
    </row>
    <row r="3" spans="1:15" ht="15">
      <c r="A3" s="204" t="s">
        <v>86</v>
      </c>
      <c r="B3" s="205"/>
      <c r="C3" s="205"/>
      <c r="D3" s="205"/>
      <c r="E3" s="206"/>
      <c r="F3" s="207" t="s">
        <v>87</v>
      </c>
      <c r="G3" s="208"/>
      <c r="H3" s="209"/>
      <c r="I3" s="210" t="s">
        <v>88</v>
      </c>
      <c r="J3" s="211"/>
    </row>
    <row r="4" spans="1:15">
      <c r="A4" s="18" t="s">
        <v>89</v>
      </c>
      <c r="B4" s="30" t="s">
        <v>6</v>
      </c>
      <c r="C4" s="30" t="s">
        <v>7</v>
      </c>
      <c r="D4" s="30" t="s">
        <v>90</v>
      </c>
      <c r="E4" s="31" t="s">
        <v>91</v>
      </c>
      <c r="F4" s="32" t="s">
        <v>10</v>
      </c>
      <c r="G4" s="33" t="s">
        <v>92</v>
      </c>
      <c r="H4" s="34" t="s">
        <v>93</v>
      </c>
      <c r="I4" s="35" t="s">
        <v>88</v>
      </c>
      <c r="J4" s="36" t="s">
        <v>94</v>
      </c>
    </row>
    <row r="5" spans="1:15" ht="14.25">
      <c r="A5" s="118" t="s">
        <v>95</v>
      </c>
      <c r="B5" s="132">
        <v>25169</v>
      </c>
      <c r="C5" s="151">
        <v>48116.73</v>
      </c>
      <c r="D5" s="121">
        <f>B5-C5</f>
        <v>-22947.730000000003</v>
      </c>
      <c r="E5" s="122">
        <f t="shared" ref="E5:E16" si="0">IFERROR(D5/C5, 0)</f>
        <v>-0.47691790360650033</v>
      </c>
      <c r="F5" s="123">
        <v>98015.59</v>
      </c>
      <c r="G5" s="82">
        <f>B5-F5</f>
        <v>-72846.59</v>
      </c>
      <c r="H5" s="124">
        <f t="shared" ref="H5:H16" si="1">IFERROR(G5/F5, 0)</f>
        <v>-0.74321431927308701</v>
      </c>
      <c r="I5" s="80"/>
      <c r="J5" s="80"/>
      <c r="O5" s="5"/>
    </row>
    <row r="6" spans="1:15" ht="14.25">
      <c r="A6" s="125" t="s">
        <v>96</v>
      </c>
      <c r="B6" s="126"/>
      <c r="C6" s="127"/>
      <c r="D6" s="121">
        <f t="shared" ref="D6:D16" si="2">B6-C6</f>
        <v>0</v>
      </c>
      <c r="E6" s="128">
        <f t="shared" si="0"/>
        <v>0</v>
      </c>
      <c r="F6" s="129"/>
      <c r="G6" s="82">
        <f t="shared" ref="G6:G16" si="3">B6-F6</f>
        <v>0</v>
      </c>
      <c r="H6" s="124">
        <f t="shared" si="1"/>
        <v>0</v>
      </c>
      <c r="I6" s="81"/>
      <c r="J6" s="81"/>
    </row>
    <row r="7" spans="1:15" ht="14.25">
      <c r="A7" s="125" t="s">
        <v>97</v>
      </c>
      <c r="B7" s="126"/>
      <c r="C7" s="127"/>
      <c r="D7" s="121">
        <f t="shared" si="2"/>
        <v>0</v>
      </c>
      <c r="E7" s="128">
        <f t="shared" si="0"/>
        <v>0</v>
      </c>
      <c r="F7" s="130"/>
      <c r="G7" s="82">
        <f t="shared" si="3"/>
        <v>0</v>
      </c>
      <c r="H7" s="124">
        <f t="shared" si="1"/>
        <v>0</v>
      </c>
      <c r="I7" s="81"/>
      <c r="J7" s="81"/>
    </row>
    <row r="8" spans="1:15" ht="14.25">
      <c r="A8" s="125" t="s">
        <v>98</v>
      </c>
      <c r="B8" s="144"/>
      <c r="C8" s="127"/>
      <c r="D8" s="121">
        <f t="shared" si="2"/>
        <v>0</v>
      </c>
      <c r="E8" s="128">
        <f t="shared" si="0"/>
        <v>0</v>
      </c>
      <c r="F8" s="130"/>
      <c r="G8" s="82">
        <f t="shared" si="3"/>
        <v>0</v>
      </c>
      <c r="H8" s="124">
        <f t="shared" si="1"/>
        <v>0</v>
      </c>
      <c r="I8" s="81"/>
      <c r="J8" s="81"/>
    </row>
    <row r="9" spans="1:15" ht="14.25">
      <c r="A9" s="125" t="s">
        <v>99</v>
      </c>
      <c r="B9" s="145"/>
      <c r="C9" s="127"/>
      <c r="D9" s="121">
        <f t="shared" si="2"/>
        <v>0</v>
      </c>
      <c r="E9" s="128">
        <f t="shared" si="0"/>
        <v>0</v>
      </c>
      <c r="F9" s="130"/>
      <c r="G9" s="82">
        <f t="shared" si="3"/>
        <v>0</v>
      </c>
      <c r="H9" s="124">
        <f t="shared" si="1"/>
        <v>0</v>
      </c>
      <c r="I9" s="80"/>
      <c r="J9" s="81"/>
    </row>
    <row r="10" spans="1:15" ht="14.25">
      <c r="A10" s="125" t="s">
        <v>100</v>
      </c>
      <c r="B10" s="119"/>
      <c r="C10" s="127"/>
      <c r="D10" s="121">
        <f t="shared" si="2"/>
        <v>0</v>
      </c>
      <c r="E10" s="128">
        <f t="shared" si="0"/>
        <v>0</v>
      </c>
      <c r="F10" s="130"/>
      <c r="G10" s="82">
        <f t="shared" si="3"/>
        <v>0</v>
      </c>
      <c r="H10" s="124">
        <f t="shared" si="1"/>
        <v>0</v>
      </c>
      <c r="I10" s="81"/>
      <c r="J10" s="81"/>
    </row>
    <row r="11" spans="1:15" ht="14.25">
      <c r="A11" s="125" t="s">
        <v>101</v>
      </c>
      <c r="B11" s="121"/>
      <c r="C11" s="121"/>
      <c r="D11" s="121">
        <f t="shared" si="2"/>
        <v>0</v>
      </c>
      <c r="E11" s="128">
        <f t="shared" si="0"/>
        <v>0</v>
      </c>
      <c r="F11" s="131"/>
      <c r="G11" s="82">
        <f t="shared" si="3"/>
        <v>0</v>
      </c>
      <c r="H11" s="124">
        <f t="shared" si="1"/>
        <v>0</v>
      </c>
      <c r="I11" s="81"/>
      <c r="J11" s="81"/>
    </row>
    <row r="12" spans="1:15" ht="14.25">
      <c r="A12" s="125" t="s">
        <v>102</v>
      </c>
      <c r="B12" s="121"/>
      <c r="C12" s="121"/>
      <c r="D12" s="121">
        <f t="shared" si="2"/>
        <v>0</v>
      </c>
      <c r="E12" s="128">
        <f t="shared" si="0"/>
        <v>0</v>
      </c>
      <c r="F12" s="82"/>
      <c r="G12" s="82">
        <f t="shared" si="3"/>
        <v>0</v>
      </c>
      <c r="H12" s="124">
        <f t="shared" si="1"/>
        <v>0</v>
      </c>
      <c r="I12" s="81"/>
      <c r="J12" s="81"/>
    </row>
    <row r="13" spans="1:15" ht="14.25">
      <c r="A13" s="125" t="s">
        <v>103</v>
      </c>
      <c r="B13" s="121"/>
      <c r="C13" s="121"/>
      <c r="D13" s="121">
        <f t="shared" si="2"/>
        <v>0</v>
      </c>
      <c r="E13" s="128">
        <f t="shared" si="0"/>
        <v>0</v>
      </c>
      <c r="F13" s="82"/>
      <c r="G13" s="82">
        <f t="shared" si="3"/>
        <v>0</v>
      </c>
      <c r="H13" s="124">
        <f t="shared" si="1"/>
        <v>0</v>
      </c>
      <c r="I13" s="81"/>
      <c r="J13" s="81"/>
    </row>
    <row r="14" spans="1:15" ht="14.25">
      <c r="A14" s="125" t="s">
        <v>104</v>
      </c>
      <c r="B14" s="121"/>
      <c r="C14" s="121"/>
      <c r="D14" s="121">
        <f t="shared" si="2"/>
        <v>0</v>
      </c>
      <c r="E14" s="128">
        <f t="shared" si="0"/>
        <v>0</v>
      </c>
      <c r="F14" s="82"/>
      <c r="G14" s="82">
        <f t="shared" si="3"/>
        <v>0</v>
      </c>
      <c r="H14" s="124">
        <f t="shared" si="1"/>
        <v>0</v>
      </c>
      <c r="I14" s="80"/>
      <c r="J14" s="81"/>
    </row>
    <row r="15" spans="1:15" ht="14.25">
      <c r="A15" s="125" t="s">
        <v>105</v>
      </c>
      <c r="B15" s="132"/>
      <c r="C15" s="132"/>
      <c r="D15" s="121">
        <f t="shared" si="2"/>
        <v>0</v>
      </c>
      <c r="E15" s="128">
        <f t="shared" si="0"/>
        <v>0</v>
      </c>
      <c r="F15" s="133"/>
      <c r="G15" s="82">
        <f t="shared" si="3"/>
        <v>0</v>
      </c>
      <c r="H15" s="124">
        <f t="shared" si="1"/>
        <v>0</v>
      </c>
      <c r="I15" s="81"/>
      <c r="J15" s="81"/>
    </row>
    <row r="16" spans="1:15" ht="14.25">
      <c r="A16" s="134" t="s">
        <v>106</v>
      </c>
      <c r="B16" s="135"/>
      <c r="C16" s="135"/>
      <c r="D16" s="135">
        <f t="shared" si="2"/>
        <v>0</v>
      </c>
      <c r="E16" s="136">
        <f t="shared" si="0"/>
        <v>0</v>
      </c>
      <c r="F16" s="137"/>
      <c r="G16" s="138">
        <f t="shared" si="3"/>
        <v>0</v>
      </c>
      <c r="H16" s="139">
        <f t="shared" si="1"/>
        <v>0</v>
      </c>
      <c r="I16" s="89"/>
      <c r="J16" s="89"/>
    </row>
    <row r="17" spans="1:15" ht="14.25">
      <c r="A17" s="25" t="s">
        <v>107</v>
      </c>
      <c r="B17" s="26">
        <f>SUM(B5:B16)</f>
        <v>25169</v>
      </c>
      <c r="C17" s="26">
        <f t="shared" ref="C17:F17" si="4">SUM(C5:C16)</f>
        <v>48116.73</v>
      </c>
      <c r="D17" s="26">
        <f>B17-C17</f>
        <v>-22947.730000000003</v>
      </c>
      <c r="E17" s="27">
        <f>IFERROR(D17/C17, 0)</f>
        <v>-0.47691790360650033</v>
      </c>
      <c r="F17" s="26">
        <f t="shared" si="4"/>
        <v>98015.59</v>
      </c>
      <c r="G17" s="26">
        <f>B17-F17</f>
        <v>-72846.59</v>
      </c>
      <c r="H17" s="28">
        <f>IFERROR(G17/F17, 0)</f>
        <v>-0.74321431927308701</v>
      </c>
      <c r="I17" s="29"/>
      <c r="J17" s="29"/>
    </row>
    <row r="18" spans="1:15">
      <c r="F18" s="12"/>
    </row>
    <row r="19" spans="1:15" ht="14.25">
      <c r="I19" s="88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127" priority="1" operator="lessThanOrEqual">
      <formula>-0.1</formula>
    </cfRule>
    <cfRule type="cellIs" dxfId="126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F6B16-D497-4605-A7F3-4374FFA66927}">
  <sheetPr codeName="Sheet29">
    <tabColor rgb="FFFFFF00"/>
  </sheetPr>
  <dimension ref="A1:O20"/>
  <sheetViews>
    <sheetView workbookViewId="0">
      <selection activeCell="I10" sqref="I10:I11"/>
    </sheetView>
  </sheetViews>
  <sheetFormatPr defaultRowHeight="12.75"/>
  <cols>
    <col min="1" max="1" width="8.5703125" bestFit="1" customWidth="1"/>
    <col min="2" max="2" width="8.85546875" style="2" bestFit="1" customWidth="1"/>
    <col min="3" max="3" width="11" bestFit="1" customWidth="1"/>
    <col min="4" max="4" width="15.8554687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2.5703125" customWidth="1"/>
    <col min="10" max="10" width="16.85546875" bestFit="1" customWidth="1"/>
  </cols>
  <sheetData>
    <row r="1" spans="1:15" ht="25.15">
      <c r="A1" s="212" t="s">
        <v>73</v>
      </c>
      <c r="B1" s="212"/>
      <c r="C1" s="212"/>
      <c r="D1" s="212"/>
      <c r="E1" s="212"/>
      <c r="F1" s="212"/>
      <c r="G1" s="212"/>
      <c r="H1" s="212"/>
      <c r="I1" s="212"/>
      <c r="J1" s="212"/>
    </row>
    <row r="2" spans="1:15" ht="25.15">
      <c r="A2" s="11"/>
      <c r="B2" s="11"/>
      <c r="C2" s="11"/>
      <c r="D2" s="11"/>
      <c r="E2" s="11"/>
    </row>
    <row r="3" spans="1:15" ht="15">
      <c r="A3" s="204" t="s">
        <v>86</v>
      </c>
      <c r="B3" s="205"/>
      <c r="C3" s="205"/>
      <c r="D3" s="205"/>
      <c r="E3" s="206"/>
      <c r="F3" s="207" t="s">
        <v>87</v>
      </c>
      <c r="G3" s="208"/>
      <c r="H3" s="209"/>
      <c r="I3" s="210" t="s">
        <v>88</v>
      </c>
      <c r="J3" s="211"/>
    </row>
    <row r="4" spans="1:15">
      <c r="A4" s="18" t="s">
        <v>89</v>
      </c>
      <c r="B4" s="30" t="s">
        <v>6</v>
      </c>
      <c r="C4" s="30" t="s">
        <v>7</v>
      </c>
      <c r="D4" s="30" t="s">
        <v>90</v>
      </c>
      <c r="E4" s="31" t="s">
        <v>91</v>
      </c>
      <c r="F4" s="32" t="s">
        <v>10</v>
      </c>
      <c r="G4" s="33" t="s">
        <v>92</v>
      </c>
      <c r="H4" s="34" t="s">
        <v>93</v>
      </c>
      <c r="I4" s="35" t="s">
        <v>88</v>
      </c>
      <c r="J4" s="36" t="s">
        <v>94</v>
      </c>
    </row>
    <row r="5" spans="1:15" ht="14.25">
      <c r="A5" s="118" t="s">
        <v>95</v>
      </c>
      <c r="B5" s="132">
        <v>54645</v>
      </c>
      <c r="C5" s="151">
        <v>81330.64</v>
      </c>
      <c r="D5" s="121">
        <f>B5-C5</f>
        <v>-26685.64</v>
      </c>
      <c r="E5" s="122">
        <f t="shared" ref="E5:E16" si="0">IFERROR(D5/C5, 0)</f>
        <v>-0.32811299652873749</v>
      </c>
      <c r="F5" s="152">
        <v>50080.160000000003</v>
      </c>
      <c r="G5" s="82">
        <f>B5-F5</f>
        <v>4564.8399999999965</v>
      </c>
      <c r="H5" s="124">
        <f t="shared" ref="H5:H16" si="1">IFERROR(G5/F5, 0)</f>
        <v>9.11506672502643E-2</v>
      </c>
      <c r="I5" s="80" t="s">
        <v>114</v>
      </c>
      <c r="J5" s="81" t="s">
        <v>115</v>
      </c>
      <c r="O5" s="5"/>
    </row>
    <row r="6" spans="1:15" ht="14.25">
      <c r="A6" s="125" t="s">
        <v>96</v>
      </c>
      <c r="B6" s="126"/>
      <c r="C6" s="127"/>
      <c r="D6" s="121">
        <f t="shared" ref="D6:D16" si="2">B6-C6</f>
        <v>0</v>
      </c>
      <c r="E6" s="128">
        <f t="shared" si="0"/>
        <v>0</v>
      </c>
      <c r="F6" s="129"/>
      <c r="G6" s="82">
        <f t="shared" ref="G6:G16" si="3">B6-F6</f>
        <v>0</v>
      </c>
      <c r="H6" s="124">
        <f t="shared" si="1"/>
        <v>0</v>
      </c>
      <c r="I6" s="81"/>
      <c r="J6" s="81"/>
    </row>
    <row r="7" spans="1:15" ht="14.25">
      <c r="A7" s="125" t="s">
        <v>97</v>
      </c>
      <c r="B7" s="126"/>
      <c r="C7" s="127"/>
      <c r="D7" s="121">
        <f t="shared" si="2"/>
        <v>0</v>
      </c>
      <c r="E7" s="128">
        <f t="shared" si="0"/>
        <v>0</v>
      </c>
      <c r="F7" s="130"/>
      <c r="G7" s="82">
        <f t="shared" si="3"/>
        <v>0</v>
      </c>
      <c r="H7" s="124">
        <f t="shared" si="1"/>
        <v>0</v>
      </c>
      <c r="I7" s="81"/>
      <c r="J7" s="81"/>
    </row>
    <row r="8" spans="1:15" ht="14.25">
      <c r="A8" s="125" t="s">
        <v>98</v>
      </c>
      <c r="B8" s="126"/>
      <c r="C8" s="127"/>
      <c r="D8" s="121">
        <f t="shared" si="2"/>
        <v>0</v>
      </c>
      <c r="E8" s="128">
        <f t="shared" si="0"/>
        <v>0</v>
      </c>
      <c r="F8" s="129"/>
      <c r="G8" s="82">
        <f t="shared" si="3"/>
        <v>0</v>
      </c>
      <c r="H8" s="124">
        <f t="shared" si="1"/>
        <v>0</v>
      </c>
      <c r="I8" s="81"/>
      <c r="J8" s="81"/>
    </row>
    <row r="9" spans="1:15" ht="14.25">
      <c r="A9" s="125" t="s">
        <v>99</v>
      </c>
      <c r="B9" s="126"/>
      <c r="C9" s="127"/>
      <c r="D9" s="121">
        <f t="shared" si="2"/>
        <v>0</v>
      </c>
      <c r="E9" s="128">
        <f t="shared" si="0"/>
        <v>0</v>
      </c>
      <c r="F9" s="130"/>
      <c r="G9" s="82">
        <f t="shared" si="3"/>
        <v>0</v>
      </c>
      <c r="H9" s="124">
        <f t="shared" si="1"/>
        <v>0</v>
      </c>
      <c r="I9" s="80"/>
      <c r="J9" s="81"/>
    </row>
    <row r="10" spans="1:15" ht="14.25">
      <c r="A10" s="125" t="s">
        <v>100</v>
      </c>
      <c r="B10" s="126"/>
      <c r="C10" s="127"/>
      <c r="D10" s="121">
        <f t="shared" si="2"/>
        <v>0</v>
      </c>
      <c r="E10" s="128">
        <f t="shared" si="0"/>
        <v>0</v>
      </c>
      <c r="F10" s="130"/>
      <c r="G10" s="82">
        <f t="shared" si="3"/>
        <v>0</v>
      </c>
      <c r="H10" s="124">
        <f t="shared" si="1"/>
        <v>0</v>
      </c>
      <c r="I10" s="81"/>
      <c r="J10" s="81"/>
    </row>
    <row r="11" spans="1:15" ht="14.25">
      <c r="A11" s="125" t="s">
        <v>101</v>
      </c>
      <c r="B11" s="121"/>
      <c r="C11" s="121"/>
      <c r="D11" s="121">
        <f t="shared" si="2"/>
        <v>0</v>
      </c>
      <c r="E11" s="128">
        <f t="shared" si="0"/>
        <v>0</v>
      </c>
      <c r="F11" s="131"/>
      <c r="G11" s="82">
        <f t="shared" si="3"/>
        <v>0</v>
      </c>
      <c r="H11" s="124">
        <f t="shared" si="1"/>
        <v>0</v>
      </c>
      <c r="I11" s="81"/>
      <c r="J11" s="81"/>
    </row>
    <row r="12" spans="1:15" ht="14.25">
      <c r="A12" s="125" t="s">
        <v>102</v>
      </c>
      <c r="B12" s="121"/>
      <c r="C12" s="121"/>
      <c r="D12" s="121">
        <f t="shared" si="2"/>
        <v>0</v>
      </c>
      <c r="E12" s="128">
        <f t="shared" si="0"/>
        <v>0</v>
      </c>
      <c r="F12" s="82"/>
      <c r="G12" s="82">
        <f t="shared" si="3"/>
        <v>0</v>
      </c>
      <c r="H12" s="124">
        <f t="shared" si="1"/>
        <v>0</v>
      </c>
      <c r="I12" s="81"/>
      <c r="J12" s="81"/>
    </row>
    <row r="13" spans="1:15" ht="14.25">
      <c r="A13" s="125" t="s">
        <v>103</v>
      </c>
      <c r="B13" s="121"/>
      <c r="C13" s="121"/>
      <c r="D13" s="121">
        <f t="shared" si="2"/>
        <v>0</v>
      </c>
      <c r="E13" s="128">
        <f t="shared" si="0"/>
        <v>0</v>
      </c>
      <c r="F13" s="82"/>
      <c r="G13" s="82">
        <f t="shared" si="3"/>
        <v>0</v>
      </c>
      <c r="H13" s="124">
        <f t="shared" si="1"/>
        <v>0</v>
      </c>
      <c r="I13" s="81"/>
      <c r="J13" s="81"/>
    </row>
    <row r="14" spans="1:15" ht="14.25">
      <c r="A14" s="125" t="s">
        <v>104</v>
      </c>
      <c r="B14" s="121"/>
      <c r="C14" s="121"/>
      <c r="D14" s="121">
        <f t="shared" si="2"/>
        <v>0</v>
      </c>
      <c r="E14" s="128">
        <f t="shared" si="0"/>
        <v>0</v>
      </c>
      <c r="F14" s="82"/>
      <c r="G14" s="82">
        <f t="shared" si="3"/>
        <v>0</v>
      </c>
      <c r="H14" s="124">
        <f t="shared" si="1"/>
        <v>0</v>
      </c>
      <c r="I14" s="80"/>
      <c r="J14" s="81"/>
    </row>
    <row r="15" spans="1:15" ht="14.25">
      <c r="A15" s="125" t="s">
        <v>105</v>
      </c>
      <c r="B15" s="132"/>
      <c r="C15" s="132"/>
      <c r="D15" s="121">
        <f t="shared" si="2"/>
        <v>0</v>
      </c>
      <c r="E15" s="128">
        <f t="shared" si="0"/>
        <v>0</v>
      </c>
      <c r="F15" s="133"/>
      <c r="G15" s="82">
        <f t="shared" si="3"/>
        <v>0</v>
      </c>
      <c r="H15" s="124">
        <f t="shared" si="1"/>
        <v>0</v>
      </c>
      <c r="I15" s="81"/>
      <c r="J15" s="81"/>
    </row>
    <row r="16" spans="1:15" ht="14.25">
      <c r="A16" s="134" t="s">
        <v>106</v>
      </c>
      <c r="B16" s="135"/>
      <c r="C16" s="135"/>
      <c r="D16" s="135">
        <f t="shared" si="2"/>
        <v>0</v>
      </c>
      <c r="E16" s="136">
        <f t="shared" si="0"/>
        <v>0</v>
      </c>
      <c r="F16" s="137"/>
      <c r="G16" s="138">
        <f t="shared" si="3"/>
        <v>0</v>
      </c>
      <c r="H16" s="139">
        <f t="shared" si="1"/>
        <v>0</v>
      </c>
      <c r="I16" s="89"/>
      <c r="J16" s="89"/>
    </row>
    <row r="17" spans="1:15" ht="14.25">
      <c r="A17" s="25" t="s">
        <v>107</v>
      </c>
      <c r="B17" s="26">
        <f>SUM(B5:B16)</f>
        <v>54645</v>
      </c>
      <c r="C17" s="26">
        <f t="shared" ref="C17:F17" si="4">SUM(C5:C16)</f>
        <v>81330.64</v>
      </c>
      <c r="D17" s="26">
        <f>B17-C17</f>
        <v>-26685.64</v>
      </c>
      <c r="E17" s="27">
        <f>IFERROR(D17/C17, 0)</f>
        <v>-0.32811299652873749</v>
      </c>
      <c r="F17" s="26">
        <f t="shared" si="4"/>
        <v>50080.160000000003</v>
      </c>
      <c r="G17" s="26">
        <f>B17-F17</f>
        <v>4564.8399999999965</v>
      </c>
      <c r="H17" s="28">
        <f>IFERROR(G17/F17, 0)</f>
        <v>9.11506672502643E-2</v>
      </c>
      <c r="I17" s="29"/>
      <c r="J17" s="29"/>
    </row>
    <row r="18" spans="1:15">
      <c r="F18" s="12"/>
    </row>
    <row r="19" spans="1:15" ht="14.25">
      <c r="I19" s="88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111" priority="1" operator="lessThanOrEqual">
      <formula>-0.1</formula>
    </cfRule>
    <cfRule type="cellIs" dxfId="11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D247-F01A-48EA-812F-62CB2CDB5B3C}">
  <sheetPr codeName="Sheet30">
    <tabColor rgb="FFFFFF00"/>
  </sheetPr>
  <dimension ref="A1:O21"/>
  <sheetViews>
    <sheetView workbookViewId="0">
      <selection activeCell="I5" sqref="I5"/>
    </sheetView>
  </sheetViews>
  <sheetFormatPr defaultRowHeight="12.75"/>
  <cols>
    <col min="1" max="1" width="8.5703125" bestFit="1" customWidth="1"/>
    <col min="2" max="2" width="10.85546875" style="2" bestFit="1" customWidth="1"/>
    <col min="3" max="3" width="11" bestFit="1" customWidth="1"/>
    <col min="4" max="4" width="15.8554687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65" bestFit="1" customWidth="1"/>
    <col min="10" max="10" width="16.85546875" bestFit="1" customWidth="1"/>
  </cols>
  <sheetData>
    <row r="1" spans="1:15" ht="25.15">
      <c r="A1" s="212" t="s">
        <v>75</v>
      </c>
      <c r="B1" s="212"/>
      <c r="C1" s="212"/>
      <c r="D1" s="212"/>
      <c r="E1" s="212"/>
      <c r="F1" s="212"/>
      <c r="G1" s="212"/>
      <c r="H1" s="212"/>
      <c r="I1" s="212"/>
      <c r="J1" s="212"/>
    </row>
    <row r="2" spans="1:15" ht="25.15">
      <c r="A2" s="11"/>
      <c r="B2" s="11"/>
      <c r="C2" s="11"/>
      <c r="D2" s="11"/>
      <c r="E2" s="11"/>
    </row>
    <row r="3" spans="1:15" ht="15">
      <c r="A3" s="204" t="s">
        <v>86</v>
      </c>
      <c r="B3" s="205"/>
      <c r="C3" s="205"/>
      <c r="D3" s="205"/>
      <c r="E3" s="206"/>
      <c r="F3" s="207" t="s">
        <v>87</v>
      </c>
      <c r="G3" s="208"/>
      <c r="H3" s="209"/>
      <c r="I3" s="210" t="s">
        <v>88</v>
      </c>
      <c r="J3" s="211"/>
    </row>
    <row r="4" spans="1:15">
      <c r="A4" s="18" t="s">
        <v>89</v>
      </c>
      <c r="B4" s="30" t="s">
        <v>6</v>
      </c>
      <c r="C4" s="30" t="s">
        <v>7</v>
      </c>
      <c r="D4" s="30" t="s">
        <v>90</v>
      </c>
      <c r="E4" s="31" t="s">
        <v>91</v>
      </c>
      <c r="F4" s="32" t="s">
        <v>10</v>
      </c>
      <c r="G4" s="33" t="s">
        <v>92</v>
      </c>
      <c r="H4" s="34" t="s">
        <v>93</v>
      </c>
      <c r="I4" s="35" t="s">
        <v>88</v>
      </c>
      <c r="J4" s="36" t="s">
        <v>94</v>
      </c>
    </row>
    <row r="5" spans="1:15" ht="14.25">
      <c r="A5" s="118" t="s">
        <v>95</v>
      </c>
      <c r="B5" s="153">
        <v>59387.25</v>
      </c>
      <c r="C5" s="154">
        <v>65302.43</v>
      </c>
      <c r="D5" s="121">
        <f>B5-C5</f>
        <v>-5915.18</v>
      </c>
      <c r="E5" s="122">
        <f t="shared" ref="E5:E16" si="0">IFERROR(D5/C5, 0)</f>
        <v>-9.0581315274178925E-2</v>
      </c>
      <c r="F5" s="152">
        <v>103231.1</v>
      </c>
      <c r="G5" s="82">
        <f t="shared" ref="G5:G16" si="1">B5-F5</f>
        <v>-43843.850000000006</v>
      </c>
      <c r="H5" s="124">
        <f t="shared" ref="H5:H16" si="2">IFERROR(G5/F5, 0)</f>
        <v>-0.42471551693239734</v>
      </c>
      <c r="I5" s="81"/>
      <c r="J5" s="81"/>
      <c r="O5" s="5"/>
    </row>
    <row r="6" spans="1:15" ht="14.25">
      <c r="A6" s="125" t="s">
        <v>96</v>
      </c>
      <c r="B6" s="126"/>
      <c r="C6" s="127"/>
      <c r="D6" s="121">
        <f t="shared" ref="D6:D16" si="3">B6-C6</f>
        <v>0</v>
      </c>
      <c r="E6" s="128">
        <f t="shared" si="0"/>
        <v>0</v>
      </c>
      <c r="F6" s="129"/>
      <c r="G6" s="82">
        <f t="shared" si="1"/>
        <v>0</v>
      </c>
      <c r="H6" s="124">
        <f t="shared" si="2"/>
        <v>0</v>
      </c>
      <c r="I6" s="81"/>
      <c r="J6" s="81"/>
    </row>
    <row r="7" spans="1:15" ht="14.25">
      <c r="A7" s="125" t="s">
        <v>97</v>
      </c>
      <c r="B7" s="126"/>
      <c r="C7" s="127"/>
      <c r="D7" s="121">
        <f t="shared" si="3"/>
        <v>0</v>
      </c>
      <c r="E7" s="128">
        <f t="shared" si="0"/>
        <v>0</v>
      </c>
      <c r="F7" s="130"/>
      <c r="G7" s="82">
        <f t="shared" si="1"/>
        <v>0</v>
      </c>
      <c r="H7" s="124">
        <f t="shared" si="2"/>
        <v>0</v>
      </c>
      <c r="I7" s="81"/>
      <c r="J7" s="81"/>
    </row>
    <row r="8" spans="1:15" ht="14.25">
      <c r="A8" s="125" t="s">
        <v>98</v>
      </c>
      <c r="B8" s="126"/>
      <c r="C8" s="127"/>
      <c r="D8" s="121">
        <f t="shared" si="3"/>
        <v>0</v>
      </c>
      <c r="E8" s="128">
        <f t="shared" si="0"/>
        <v>0</v>
      </c>
      <c r="F8" s="130"/>
      <c r="G8" s="82">
        <f t="shared" si="1"/>
        <v>0</v>
      </c>
      <c r="H8" s="124">
        <f t="shared" si="2"/>
        <v>0</v>
      </c>
      <c r="I8" s="80"/>
      <c r="J8" s="81"/>
    </row>
    <row r="9" spans="1:15" ht="14.25">
      <c r="A9" s="125" t="s">
        <v>99</v>
      </c>
      <c r="B9" s="126"/>
      <c r="C9" s="127"/>
      <c r="D9" s="121">
        <f t="shared" si="3"/>
        <v>0</v>
      </c>
      <c r="E9" s="128">
        <f t="shared" si="0"/>
        <v>0</v>
      </c>
      <c r="F9" s="130"/>
      <c r="G9" s="82">
        <f t="shared" si="1"/>
        <v>0</v>
      </c>
      <c r="H9" s="124">
        <f t="shared" si="2"/>
        <v>0</v>
      </c>
      <c r="I9" s="80"/>
      <c r="J9" s="81"/>
    </row>
    <row r="10" spans="1:15" ht="14.25">
      <c r="A10" s="125" t="s">
        <v>100</v>
      </c>
      <c r="B10" s="126"/>
      <c r="C10" s="127"/>
      <c r="D10" s="121">
        <f t="shared" si="3"/>
        <v>0</v>
      </c>
      <c r="E10" s="128">
        <f t="shared" si="0"/>
        <v>0</v>
      </c>
      <c r="F10" s="130"/>
      <c r="G10" s="82">
        <f t="shared" si="1"/>
        <v>0</v>
      </c>
      <c r="H10" s="124">
        <f t="shared" si="2"/>
        <v>0</v>
      </c>
      <c r="I10" s="81"/>
      <c r="J10" s="81"/>
    </row>
    <row r="11" spans="1:15" ht="14.25">
      <c r="A11" s="125" t="s">
        <v>101</v>
      </c>
      <c r="B11" s="121"/>
      <c r="C11" s="121"/>
      <c r="D11" s="121">
        <f t="shared" si="3"/>
        <v>0</v>
      </c>
      <c r="E11" s="128">
        <f t="shared" si="0"/>
        <v>0</v>
      </c>
      <c r="F11" s="131"/>
      <c r="G11" s="82">
        <f t="shared" si="1"/>
        <v>0</v>
      </c>
      <c r="H11" s="124">
        <f t="shared" si="2"/>
        <v>0</v>
      </c>
      <c r="I11" s="81"/>
      <c r="J11" s="81"/>
    </row>
    <row r="12" spans="1:15" ht="14.25">
      <c r="A12" s="125" t="s">
        <v>102</v>
      </c>
      <c r="B12" s="121"/>
      <c r="C12" s="121"/>
      <c r="D12" s="121">
        <f t="shared" si="3"/>
        <v>0</v>
      </c>
      <c r="E12" s="128">
        <f t="shared" si="0"/>
        <v>0</v>
      </c>
      <c r="F12" s="82"/>
      <c r="G12" s="82">
        <f t="shared" si="1"/>
        <v>0</v>
      </c>
      <c r="H12" s="124">
        <f t="shared" si="2"/>
        <v>0</v>
      </c>
      <c r="I12" s="80"/>
      <c r="J12" s="81"/>
    </row>
    <row r="13" spans="1:15" ht="14.25">
      <c r="A13" s="125" t="s">
        <v>103</v>
      </c>
      <c r="B13" s="121"/>
      <c r="C13" s="121"/>
      <c r="D13" s="121">
        <f t="shared" si="3"/>
        <v>0</v>
      </c>
      <c r="E13" s="128">
        <f t="shared" si="0"/>
        <v>0</v>
      </c>
      <c r="F13" s="82"/>
      <c r="G13" s="82">
        <f t="shared" si="1"/>
        <v>0</v>
      </c>
      <c r="H13" s="124">
        <f t="shared" si="2"/>
        <v>0</v>
      </c>
      <c r="I13" s="81"/>
      <c r="J13" s="81"/>
    </row>
    <row r="14" spans="1:15" ht="14.25">
      <c r="A14" s="125" t="s">
        <v>104</v>
      </c>
      <c r="B14" s="121"/>
      <c r="C14" s="121"/>
      <c r="D14" s="121">
        <f t="shared" si="3"/>
        <v>0</v>
      </c>
      <c r="E14" s="128">
        <f t="shared" si="0"/>
        <v>0</v>
      </c>
      <c r="F14" s="82"/>
      <c r="G14" s="82">
        <f t="shared" si="1"/>
        <v>0</v>
      </c>
      <c r="H14" s="124">
        <f t="shared" si="2"/>
        <v>0</v>
      </c>
      <c r="I14" s="80"/>
      <c r="J14" s="81"/>
    </row>
    <row r="15" spans="1:15" ht="14.25">
      <c r="A15" s="125" t="s">
        <v>105</v>
      </c>
      <c r="B15" s="132"/>
      <c r="C15" s="132"/>
      <c r="D15" s="121">
        <f t="shared" si="3"/>
        <v>0</v>
      </c>
      <c r="E15" s="128">
        <f t="shared" si="0"/>
        <v>0</v>
      </c>
      <c r="F15" s="133"/>
      <c r="G15" s="82">
        <f t="shared" si="1"/>
        <v>0</v>
      </c>
      <c r="H15" s="124">
        <f t="shared" si="2"/>
        <v>0</v>
      </c>
      <c r="I15" s="81"/>
      <c r="J15" s="81"/>
    </row>
    <row r="16" spans="1:15" ht="14.25">
      <c r="A16" s="134" t="s">
        <v>106</v>
      </c>
      <c r="B16" s="135"/>
      <c r="C16" s="135"/>
      <c r="D16" s="135">
        <f t="shared" si="3"/>
        <v>0</v>
      </c>
      <c r="E16" s="136">
        <f t="shared" si="0"/>
        <v>0</v>
      </c>
      <c r="F16" s="137"/>
      <c r="G16" s="138">
        <f t="shared" si="1"/>
        <v>0</v>
      </c>
      <c r="H16" s="139">
        <f t="shared" si="2"/>
        <v>0</v>
      </c>
      <c r="I16" s="89"/>
      <c r="J16" s="89"/>
    </row>
    <row r="17" spans="1:15" ht="14.25">
      <c r="A17" s="25" t="s">
        <v>107</v>
      </c>
      <c r="B17" s="26">
        <f>SUM(B5:B16)</f>
        <v>59387.25</v>
      </c>
      <c r="C17" s="26">
        <f t="shared" ref="C17:F17" si="4">SUM(C5:C16)</f>
        <v>65302.43</v>
      </c>
      <c r="D17" s="26">
        <f>B17-C17</f>
        <v>-5915.18</v>
      </c>
      <c r="E17" s="27">
        <f>IFERROR(D17/C17, 0)</f>
        <v>-9.0581315274178925E-2</v>
      </c>
      <c r="F17" s="26">
        <f t="shared" si="4"/>
        <v>103231.1</v>
      </c>
      <c r="G17" s="26">
        <f>B17-F17</f>
        <v>-43843.850000000006</v>
      </c>
      <c r="H17" s="28">
        <f>IFERROR(G17/F17, 0)</f>
        <v>-0.42471551693239734</v>
      </c>
      <c r="I17" s="29"/>
      <c r="J17" s="29"/>
    </row>
    <row r="18" spans="1:15">
      <c r="F18" s="12"/>
    </row>
    <row r="19" spans="1:15" ht="14.25">
      <c r="I19" s="88"/>
    </row>
    <row r="20" spans="1:15">
      <c r="L20" s="3"/>
      <c r="M20" s="3"/>
      <c r="N20" s="3"/>
      <c r="O20" s="3"/>
    </row>
    <row r="21" spans="1:15">
      <c r="H21" s="96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95" priority="1" operator="lessThanOrEqual">
      <formula>-0.1</formula>
    </cfRule>
    <cfRule type="cellIs" dxfId="9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8D96-6D4C-40E6-9F96-37CE715411C8}">
  <sheetPr codeName="Sheet31">
    <tabColor rgb="FFFFFF00"/>
  </sheetPr>
  <dimension ref="A1:O20"/>
  <sheetViews>
    <sheetView workbookViewId="0">
      <selection activeCell="I5" sqref="I5"/>
    </sheetView>
  </sheetViews>
  <sheetFormatPr defaultColWidth="9.140625" defaultRowHeight="12.75"/>
  <cols>
    <col min="1" max="1" width="8.5703125" style="98" bestFit="1" customWidth="1"/>
    <col min="2" max="2" width="10.85546875" style="111" bestFit="1" customWidth="1"/>
    <col min="3" max="3" width="11" style="98" bestFit="1" customWidth="1"/>
    <col min="4" max="4" width="15.85546875" style="98" bestFit="1" customWidth="1"/>
    <col min="5" max="5" width="13" style="98" bestFit="1" customWidth="1"/>
    <col min="6" max="6" width="12.5703125" style="98" bestFit="1" customWidth="1"/>
    <col min="7" max="7" width="17.42578125" style="98" bestFit="1" customWidth="1"/>
    <col min="8" max="8" width="14.5703125" style="98" bestFit="1" customWidth="1"/>
    <col min="9" max="9" width="60.140625" style="98" customWidth="1"/>
    <col min="10" max="10" width="16.85546875" style="98" bestFit="1" customWidth="1"/>
    <col min="11" max="16384" width="9.140625" style="98"/>
  </cols>
  <sheetData>
    <row r="1" spans="1:15" ht="25.15">
      <c r="A1" s="221" t="s">
        <v>77</v>
      </c>
      <c r="B1" s="221"/>
      <c r="C1" s="221"/>
      <c r="D1" s="221"/>
      <c r="E1" s="221"/>
      <c r="F1" s="221"/>
      <c r="G1" s="221"/>
      <c r="H1" s="221"/>
      <c r="I1" s="221"/>
      <c r="J1" s="221"/>
    </row>
    <row r="2" spans="1:15" ht="25.15">
      <c r="A2" s="97"/>
      <c r="B2" s="97"/>
      <c r="C2" s="97"/>
      <c r="D2" s="97"/>
      <c r="E2" s="97"/>
    </row>
    <row r="3" spans="1:15" ht="15">
      <c r="A3" s="213" t="s">
        <v>86</v>
      </c>
      <c r="B3" s="214"/>
      <c r="C3" s="214"/>
      <c r="D3" s="214"/>
      <c r="E3" s="215"/>
      <c r="F3" s="216" t="s">
        <v>87</v>
      </c>
      <c r="G3" s="217"/>
      <c r="H3" s="218"/>
      <c r="I3" s="219" t="s">
        <v>88</v>
      </c>
      <c r="J3" s="220"/>
    </row>
    <row r="4" spans="1:15">
      <c r="A4" s="99" t="s">
        <v>89</v>
      </c>
      <c r="B4" s="30" t="s">
        <v>6</v>
      </c>
      <c r="C4" s="30" t="s">
        <v>7</v>
      </c>
      <c r="D4" s="30" t="s">
        <v>90</v>
      </c>
      <c r="E4" s="31" t="s">
        <v>91</v>
      </c>
      <c r="F4" s="33" t="s">
        <v>10</v>
      </c>
      <c r="G4" s="33" t="s">
        <v>92</v>
      </c>
      <c r="H4" s="100" t="s">
        <v>93</v>
      </c>
      <c r="I4" s="101" t="s">
        <v>88</v>
      </c>
      <c r="J4" s="102" t="s">
        <v>94</v>
      </c>
    </row>
    <row r="5" spans="1:15" ht="57">
      <c r="A5" s="155" t="s">
        <v>95</v>
      </c>
      <c r="B5" s="156">
        <v>46172</v>
      </c>
      <c r="C5" s="157">
        <v>64095.79</v>
      </c>
      <c r="D5" s="158">
        <f>B5-C5</f>
        <v>-17923.79</v>
      </c>
      <c r="E5" s="159">
        <f t="shared" ref="E5:E16" si="0">IFERROR(D5/C5, 0)</f>
        <v>-0.27964067530800385</v>
      </c>
      <c r="F5" s="160">
        <v>78554.16</v>
      </c>
      <c r="G5" s="104">
        <f>B5-F5</f>
        <v>-32382.160000000003</v>
      </c>
      <c r="H5" s="161">
        <f t="shared" ref="H5:H16" si="1">IFERROR(G5/F5, 0)</f>
        <v>-0.41222718185771451</v>
      </c>
      <c r="I5" s="80" t="s">
        <v>116</v>
      </c>
      <c r="J5" s="80" t="s">
        <v>117</v>
      </c>
      <c r="O5" s="103"/>
    </row>
    <row r="6" spans="1:15" ht="14.25">
      <c r="A6" s="162" t="s">
        <v>96</v>
      </c>
      <c r="B6" s="163"/>
      <c r="C6" s="164"/>
      <c r="D6" s="158">
        <f t="shared" ref="D6:D16" si="2">B6-C6</f>
        <v>0</v>
      </c>
      <c r="E6" s="165">
        <f t="shared" si="0"/>
        <v>0</v>
      </c>
      <c r="F6" s="166"/>
      <c r="G6" s="104">
        <f t="shared" ref="G6:G16" si="3">B6-F6</f>
        <v>0</v>
      </c>
      <c r="H6" s="161">
        <f t="shared" si="1"/>
        <v>0</v>
      </c>
      <c r="I6" s="80"/>
      <c r="J6" s="80"/>
    </row>
    <row r="7" spans="1:15" ht="14.25">
      <c r="A7" s="162" t="s">
        <v>97</v>
      </c>
      <c r="B7" s="163"/>
      <c r="C7" s="164"/>
      <c r="D7" s="158">
        <f t="shared" si="2"/>
        <v>0</v>
      </c>
      <c r="E7" s="165">
        <f t="shared" si="0"/>
        <v>0</v>
      </c>
      <c r="F7" s="167"/>
      <c r="G7" s="104">
        <f t="shared" si="3"/>
        <v>0</v>
      </c>
      <c r="H7" s="161">
        <f t="shared" si="1"/>
        <v>0</v>
      </c>
      <c r="I7" s="80"/>
      <c r="J7" s="80"/>
    </row>
    <row r="8" spans="1:15" ht="14.25">
      <c r="A8" s="162" t="s">
        <v>98</v>
      </c>
      <c r="B8" s="163"/>
      <c r="C8" s="164"/>
      <c r="D8" s="158">
        <f t="shared" si="2"/>
        <v>0</v>
      </c>
      <c r="E8" s="165">
        <f t="shared" si="0"/>
        <v>0</v>
      </c>
      <c r="F8" s="168"/>
      <c r="G8" s="104">
        <f t="shared" si="3"/>
        <v>0</v>
      </c>
      <c r="H8" s="161">
        <f t="shared" si="1"/>
        <v>0</v>
      </c>
      <c r="I8" s="80"/>
      <c r="J8" s="80"/>
    </row>
    <row r="9" spans="1:15" ht="14.25">
      <c r="A9" s="162" t="s">
        <v>99</v>
      </c>
      <c r="B9" s="163"/>
      <c r="C9" s="164"/>
      <c r="D9" s="158">
        <f t="shared" si="2"/>
        <v>0</v>
      </c>
      <c r="E9" s="165">
        <f t="shared" si="0"/>
        <v>0</v>
      </c>
      <c r="F9" s="169"/>
      <c r="G9" s="104">
        <f t="shared" si="3"/>
        <v>0</v>
      </c>
      <c r="H9" s="161">
        <f t="shared" si="1"/>
        <v>0</v>
      </c>
      <c r="I9" s="80"/>
      <c r="J9" s="80"/>
    </row>
    <row r="10" spans="1:15" ht="14.25">
      <c r="A10" s="162" t="s">
        <v>100</v>
      </c>
      <c r="B10" s="163"/>
      <c r="C10" s="164"/>
      <c r="D10" s="158">
        <f t="shared" si="2"/>
        <v>0</v>
      </c>
      <c r="E10" s="165">
        <f t="shared" si="0"/>
        <v>0</v>
      </c>
      <c r="F10" s="170"/>
      <c r="G10" s="104">
        <f t="shared" si="3"/>
        <v>0</v>
      </c>
      <c r="H10" s="161">
        <f t="shared" si="1"/>
        <v>0</v>
      </c>
      <c r="I10" s="80"/>
      <c r="J10" s="80"/>
    </row>
    <row r="11" spans="1:15" ht="14.25">
      <c r="A11" s="162" t="s">
        <v>101</v>
      </c>
      <c r="B11" s="158"/>
      <c r="C11" s="158"/>
      <c r="D11" s="158">
        <f t="shared" si="2"/>
        <v>0</v>
      </c>
      <c r="E11" s="165">
        <f t="shared" si="0"/>
        <v>0</v>
      </c>
      <c r="F11" s="171"/>
      <c r="G11" s="104">
        <f t="shared" si="3"/>
        <v>0</v>
      </c>
      <c r="H11" s="161">
        <f t="shared" si="1"/>
        <v>0</v>
      </c>
      <c r="I11" s="80"/>
      <c r="J11" s="80"/>
    </row>
    <row r="12" spans="1:15" ht="14.25">
      <c r="A12" s="162" t="s">
        <v>102</v>
      </c>
      <c r="B12" s="158"/>
      <c r="C12" s="158"/>
      <c r="D12" s="158">
        <f t="shared" si="2"/>
        <v>0</v>
      </c>
      <c r="E12" s="165">
        <f t="shared" si="0"/>
        <v>0</v>
      </c>
      <c r="F12" s="104"/>
      <c r="G12" s="104">
        <f t="shared" si="3"/>
        <v>0</v>
      </c>
      <c r="H12" s="161">
        <f t="shared" si="1"/>
        <v>0</v>
      </c>
      <c r="I12" s="80"/>
      <c r="J12" s="80"/>
    </row>
    <row r="13" spans="1:15" ht="14.25">
      <c r="A13" s="162" t="s">
        <v>103</v>
      </c>
      <c r="B13" s="158"/>
      <c r="C13" s="158"/>
      <c r="D13" s="158">
        <f t="shared" si="2"/>
        <v>0</v>
      </c>
      <c r="E13" s="165">
        <f t="shared" si="0"/>
        <v>0</v>
      </c>
      <c r="F13" s="104"/>
      <c r="G13" s="104">
        <f t="shared" si="3"/>
        <v>0</v>
      </c>
      <c r="H13" s="161">
        <f t="shared" si="1"/>
        <v>0</v>
      </c>
      <c r="I13" s="80"/>
      <c r="J13" s="80"/>
    </row>
    <row r="14" spans="1:15" ht="14.25">
      <c r="A14" s="162" t="s">
        <v>104</v>
      </c>
      <c r="B14" s="158"/>
      <c r="C14" s="158"/>
      <c r="D14" s="158">
        <f t="shared" si="2"/>
        <v>0</v>
      </c>
      <c r="E14" s="165">
        <f t="shared" si="0"/>
        <v>0</v>
      </c>
      <c r="F14" s="104"/>
      <c r="G14" s="104">
        <f t="shared" si="3"/>
        <v>0</v>
      </c>
      <c r="H14" s="161">
        <f t="shared" si="1"/>
        <v>0</v>
      </c>
      <c r="I14" s="80"/>
      <c r="J14" s="80"/>
    </row>
    <row r="15" spans="1:15" ht="14.25">
      <c r="A15" s="162" t="s">
        <v>105</v>
      </c>
      <c r="B15" s="172"/>
      <c r="C15" s="172"/>
      <c r="D15" s="158">
        <f t="shared" si="2"/>
        <v>0</v>
      </c>
      <c r="E15" s="165">
        <f t="shared" si="0"/>
        <v>0</v>
      </c>
      <c r="F15" s="160"/>
      <c r="G15" s="104">
        <f t="shared" si="3"/>
        <v>0</v>
      </c>
      <c r="H15" s="161">
        <f t="shared" si="1"/>
        <v>0</v>
      </c>
      <c r="I15" s="80"/>
      <c r="J15" s="80"/>
    </row>
    <row r="16" spans="1:15" ht="14.25">
      <c r="A16" s="173" t="s">
        <v>106</v>
      </c>
      <c r="B16" s="174"/>
      <c r="C16" s="174"/>
      <c r="D16" s="174">
        <f t="shared" si="2"/>
        <v>0</v>
      </c>
      <c r="E16" s="175">
        <f t="shared" si="0"/>
        <v>0</v>
      </c>
      <c r="F16" s="176"/>
      <c r="G16" s="177">
        <f t="shared" si="3"/>
        <v>0</v>
      </c>
      <c r="H16" s="178">
        <f t="shared" si="1"/>
        <v>0</v>
      </c>
      <c r="I16" s="105"/>
      <c r="J16" s="105"/>
    </row>
    <row r="17" spans="1:15" ht="14.25">
      <c r="A17" s="106" t="s">
        <v>107</v>
      </c>
      <c r="B17" s="107">
        <f>SUM(B5:B16)</f>
        <v>46172</v>
      </c>
      <c r="C17" s="107">
        <f t="shared" ref="C17:F17" si="4">SUM(C5:C16)</f>
        <v>64095.79</v>
      </c>
      <c r="D17" s="107">
        <f>B17-C17</f>
        <v>-17923.79</v>
      </c>
      <c r="E17" s="108">
        <f>IFERROR(D17/C17, 0)</f>
        <v>-0.27964067530800385</v>
      </c>
      <c r="F17" s="107">
        <f t="shared" si="4"/>
        <v>78554.16</v>
      </c>
      <c r="G17" s="107">
        <f>B17-F17</f>
        <v>-32382.160000000003</v>
      </c>
      <c r="H17" s="109">
        <f>IFERROR(G17/F17, 0)</f>
        <v>-0.41222718185771451</v>
      </c>
      <c r="I17" s="110"/>
      <c r="J17" s="110"/>
    </row>
    <row r="18" spans="1:15">
      <c r="F18" s="112"/>
    </row>
    <row r="19" spans="1:15" ht="14.25">
      <c r="I19" s="113"/>
    </row>
    <row r="20" spans="1:15">
      <c r="L20" s="114"/>
      <c r="M20" s="114"/>
      <c r="N20" s="114"/>
      <c r="O20" s="114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79" priority="1" operator="lessThanOrEqual">
      <formula>-0.1</formula>
    </cfRule>
    <cfRule type="cellIs" dxfId="78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1914A-6009-4AFC-806F-A6C232BDE1A5}">
  <sheetPr codeName="Sheet32">
    <tabColor rgb="FFFFFF00"/>
  </sheetPr>
  <dimension ref="A1:O20"/>
  <sheetViews>
    <sheetView workbookViewId="0">
      <selection activeCell="J5" sqref="J5"/>
    </sheetView>
  </sheetViews>
  <sheetFormatPr defaultRowHeight="12.75"/>
  <cols>
    <col min="1" max="1" width="8.5703125" bestFit="1" customWidth="1"/>
    <col min="2" max="2" width="10.85546875" style="2" bestFit="1" customWidth="1"/>
    <col min="3" max="3" width="11" bestFit="1" customWidth="1"/>
    <col min="4" max="4" width="15.8554687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62.85546875" customWidth="1"/>
    <col min="10" max="10" width="16.85546875" bestFit="1" customWidth="1"/>
  </cols>
  <sheetData>
    <row r="1" spans="1:15" ht="25.15">
      <c r="A1" s="212" t="s">
        <v>79</v>
      </c>
      <c r="B1" s="212"/>
      <c r="C1" s="212"/>
      <c r="D1" s="212"/>
      <c r="E1" s="212"/>
      <c r="F1" s="212"/>
      <c r="G1" s="212"/>
      <c r="H1" s="212"/>
      <c r="I1" s="212"/>
      <c r="J1" s="212"/>
    </row>
    <row r="2" spans="1:15" ht="25.5" thickBot="1">
      <c r="A2" s="11"/>
      <c r="B2" s="11"/>
      <c r="C2" s="11"/>
      <c r="D2" s="11"/>
      <c r="E2" s="11"/>
    </row>
    <row r="3" spans="1:15" ht="15">
      <c r="A3" s="204" t="s">
        <v>86</v>
      </c>
      <c r="B3" s="205"/>
      <c r="C3" s="205"/>
      <c r="D3" s="205"/>
      <c r="E3" s="206"/>
      <c r="F3" s="207" t="s">
        <v>87</v>
      </c>
      <c r="G3" s="208"/>
      <c r="H3" s="209"/>
      <c r="I3" s="210" t="s">
        <v>88</v>
      </c>
      <c r="J3" s="211"/>
    </row>
    <row r="4" spans="1:15" ht="13.15" thickBot="1">
      <c r="A4" s="18" t="s">
        <v>89</v>
      </c>
      <c r="B4" s="30" t="s">
        <v>6</v>
      </c>
      <c r="C4" s="30" t="s">
        <v>7</v>
      </c>
      <c r="D4" s="30" t="s">
        <v>90</v>
      </c>
      <c r="E4" s="31" t="s">
        <v>91</v>
      </c>
      <c r="F4" s="32" t="s">
        <v>10</v>
      </c>
      <c r="G4" s="33" t="s">
        <v>92</v>
      </c>
      <c r="H4" s="34" t="s">
        <v>93</v>
      </c>
      <c r="I4" s="35" t="s">
        <v>88</v>
      </c>
      <c r="J4" s="36" t="s">
        <v>94</v>
      </c>
    </row>
    <row r="5" spans="1:15" ht="42.75">
      <c r="A5" s="118" t="s">
        <v>95</v>
      </c>
      <c r="B5" s="153">
        <v>38326</v>
      </c>
      <c r="C5" s="154">
        <v>38638.25</v>
      </c>
      <c r="D5" s="121">
        <f>B5-C5</f>
        <v>-312.25</v>
      </c>
      <c r="E5" s="122">
        <f t="shared" ref="E5:E16" si="0">IFERROR(D5/C5, 0)</f>
        <v>-8.0813701448693969E-3</v>
      </c>
      <c r="F5" s="133">
        <v>63052.82</v>
      </c>
      <c r="G5" s="82">
        <f>B5-F5</f>
        <v>-24726.82</v>
      </c>
      <c r="H5" s="124">
        <f t="shared" ref="H5:H16" si="1">IFERROR(G5/F5, 0)</f>
        <v>-0.39216041407822838</v>
      </c>
      <c r="I5" s="80" t="s">
        <v>116</v>
      </c>
      <c r="J5" s="80" t="s">
        <v>118</v>
      </c>
      <c r="O5" s="5"/>
    </row>
    <row r="6" spans="1:15" ht="14.25">
      <c r="A6" s="125" t="s">
        <v>96</v>
      </c>
      <c r="B6" s="126"/>
      <c r="C6" s="127"/>
      <c r="D6" s="121">
        <f t="shared" ref="D6:D16" si="2">B6-C6</f>
        <v>0</v>
      </c>
      <c r="E6" s="128">
        <f t="shared" si="0"/>
        <v>0</v>
      </c>
      <c r="F6" s="129"/>
      <c r="G6" s="82">
        <f t="shared" ref="G6:G16" si="3">B6-F6</f>
        <v>0</v>
      </c>
      <c r="H6" s="124">
        <f t="shared" si="1"/>
        <v>0</v>
      </c>
      <c r="I6" s="81"/>
      <c r="J6" s="81"/>
    </row>
    <row r="7" spans="1:15" ht="14.25">
      <c r="A7" s="125" t="s">
        <v>97</v>
      </c>
      <c r="B7" s="126"/>
      <c r="C7" s="127"/>
      <c r="D7" s="121">
        <f t="shared" si="2"/>
        <v>0</v>
      </c>
      <c r="E7" s="128">
        <f t="shared" si="0"/>
        <v>0</v>
      </c>
      <c r="F7" s="130"/>
      <c r="G7" s="82">
        <f t="shared" si="3"/>
        <v>0</v>
      </c>
      <c r="H7" s="124">
        <f t="shared" si="1"/>
        <v>0</v>
      </c>
      <c r="I7" s="81"/>
      <c r="J7" s="81"/>
    </row>
    <row r="8" spans="1:15" ht="14.25">
      <c r="A8" s="125" t="s">
        <v>98</v>
      </c>
      <c r="B8" s="126"/>
      <c r="C8" s="127"/>
      <c r="D8" s="121">
        <f t="shared" si="2"/>
        <v>0</v>
      </c>
      <c r="E8" s="128">
        <f t="shared" si="0"/>
        <v>0</v>
      </c>
      <c r="F8" s="130"/>
      <c r="G8" s="82">
        <f t="shared" si="3"/>
        <v>0</v>
      </c>
      <c r="H8" s="124">
        <f t="shared" si="1"/>
        <v>0</v>
      </c>
      <c r="I8" s="81"/>
      <c r="J8" s="81"/>
    </row>
    <row r="9" spans="1:15" ht="14.25">
      <c r="A9" s="125" t="s">
        <v>99</v>
      </c>
      <c r="B9" s="126"/>
      <c r="C9" s="127"/>
      <c r="D9" s="121">
        <f t="shared" si="2"/>
        <v>0</v>
      </c>
      <c r="E9" s="128">
        <f t="shared" si="0"/>
        <v>0</v>
      </c>
      <c r="F9" s="130"/>
      <c r="G9" s="82">
        <f t="shared" si="3"/>
        <v>0</v>
      </c>
      <c r="H9" s="124">
        <f t="shared" si="1"/>
        <v>0</v>
      </c>
      <c r="I9" s="80"/>
      <c r="J9" s="81"/>
    </row>
    <row r="10" spans="1:15" ht="14.25">
      <c r="A10" s="125" t="s">
        <v>100</v>
      </c>
      <c r="B10" s="126"/>
      <c r="C10" s="127"/>
      <c r="D10" s="121">
        <f t="shared" si="2"/>
        <v>0</v>
      </c>
      <c r="E10" s="128">
        <f t="shared" si="0"/>
        <v>0</v>
      </c>
      <c r="F10" s="130"/>
      <c r="G10" s="82">
        <f t="shared" si="3"/>
        <v>0</v>
      </c>
      <c r="H10" s="124">
        <f t="shared" si="1"/>
        <v>0</v>
      </c>
      <c r="I10" s="81"/>
      <c r="J10" s="81"/>
    </row>
    <row r="11" spans="1:15" ht="14.25">
      <c r="A11" s="125" t="s">
        <v>101</v>
      </c>
      <c r="B11" s="121"/>
      <c r="C11" s="121"/>
      <c r="D11" s="121">
        <f t="shared" si="2"/>
        <v>0</v>
      </c>
      <c r="E11" s="128">
        <f t="shared" si="0"/>
        <v>0</v>
      </c>
      <c r="F11" s="131"/>
      <c r="G11" s="82">
        <f t="shared" si="3"/>
        <v>0</v>
      </c>
      <c r="H11" s="124">
        <f t="shared" si="1"/>
        <v>0</v>
      </c>
      <c r="I11" s="80"/>
      <c r="J11" s="80"/>
    </row>
    <row r="12" spans="1:15" ht="14.25">
      <c r="A12" s="125" t="s">
        <v>102</v>
      </c>
      <c r="B12" s="121"/>
      <c r="C12" s="121"/>
      <c r="D12" s="121">
        <f t="shared" si="2"/>
        <v>0</v>
      </c>
      <c r="E12" s="128">
        <f t="shared" si="0"/>
        <v>0</v>
      </c>
      <c r="F12" s="82"/>
      <c r="G12" s="82">
        <f t="shared" si="3"/>
        <v>0</v>
      </c>
      <c r="H12" s="124">
        <f t="shared" si="1"/>
        <v>0</v>
      </c>
      <c r="I12" s="81"/>
      <c r="J12" s="81"/>
    </row>
    <row r="13" spans="1:15" ht="14.25">
      <c r="A13" s="125" t="s">
        <v>103</v>
      </c>
      <c r="B13" s="121"/>
      <c r="C13" s="121"/>
      <c r="D13" s="121">
        <f t="shared" si="2"/>
        <v>0</v>
      </c>
      <c r="E13" s="128">
        <f t="shared" si="0"/>
        <v>0</v>
      </c>
      <c r="F13" s="82"/>
      <c r="G13" s="82">
        <f t="shared" si="3"/>
        <v>0</v>
      </c>
      <c r="H13" s="124">
        <f t="shared" si="1"/>
        <v>0</v>
      </c>
      <c r="I13" s="81"/>
      <c r="J13" s="81"/>
    </row>
    <row r="14" spans="1:15" ht="14.25">
      <c r="A14" s="125" t="s">
        <v>104</v>
      </c>
      <c r="B14" s="121"/>
      <c r="C14" s="121"/>
      <c r="D14" s="121">
        <f t="shared" si="2"/>
        <v>0</v>
      </c>
      <c r="E14" s="128">
        <f t="shared" si="0"/>
        <v>0</v>
      </c>
      <c r="F14" s="82"/>
      <c r="G14" s="82">
        <f t="shared" si="3"/>
        <v>0</v>
      </c>
      <c r="H14" s="124">
        <f t="shared" si="1"/>
        <v>0</v>
      </c>
      <c r="I14" s="80"/>
      <c r="J14" s="80"/>
    </row>
    <row r="15" spans="1:15" ht="14.25">
      <c r="A15" s="125" t="s">
        <v>105</v>
      </c>
      <c r="B15" s="132"/>
      <c r="C15" s="132"/>
      <c r="D15" s="121">
        <f t="shared" si="2"/>
        <v>0</v>
      </c>
      <c r="E15" s="128">
        <f t="shared" si="0"/>
        <v>0</v>
      </c>
      <c r="F15" s="133"/>
      <c r="G15" s="82">
        <f t="shared" si="3"/>
        <v>0</v>
      </c>
      <c r="H15" s="124">
        <f t="shared" si="1"/>
        <v>0</v>
      </c>
      <c r="I15" s="81"/>
      <c r="J15" s="81"/>
    </row>
    <row r="16" spans="1:15" ht="14.25">
      <c r="A16" s="24" t="s">
        <v>106</v>
      </c>
      <c r="B16" s="83"/>
      <c r="C16" s="83"/>
      <c r="D16" s="83">
        <f t="shared" si="2"/>
        <v>0</v>
      </c>
      <c r="E16" s="84">
        <f t="shared" si="0"/>
        <v>0</v>
      </c>
      <c r="F16" s="85"/>
      <c r="G16" s="86">
        <f t="shared" si="3"/>
        <v>0</v>
      </c>
      <c r="H16" s="87">
        <f t="shared" si="1"/>
        <v>0</v>
      </c>
      <c r="I16" s="105"/>
      <c r="J16" s="89"/>
    </row>
    <row r="17" spans="1:15" ht="14.25">
      <c r="A17" s="25" t="s">
        <v>107</v>
      </c>
      <c r="B17" s="26">
        <f>SUM(B5:B16)</f>
        <v>38326</v>
      </c>
      <c r="C17" s="26">
        <f t="shared" ref="C17:F17" si="4">SUM(C5:C16)</f>
        <v>38638.25</v>
      </c>
      <c r="D17" s="26">
        <f>B17-C17</f>
        <v>-312.25</v>
      </c>
      <c r="E17" s="27">
        <f>IFERROR(D17/C17, 0)</f>
        <v>-8.0813701448693969E-3</v>
      </c>
      <c r="F17" s="26">
        <f t="shared" si="4"/>
        <v>63052.82</v>
      </c>
      <c r="G17" s="26">
        <f>B17-F17</f>
        <v>-24726.82</v>
      </c>
      <c r="H17" s="28">
        <f>IFERROR(G17/F17, 0)</f>
        <v>-0.39216041407822838</v>
      </c>
      <c r="I17" s="29"/>
      <c r="J17" s="29"/>
    </row>
    <row r="18" spans="1:15">
      <c r="F18" s="12"/>
    </row>
    <row r="19" spans="1:15" ht="14.25">
      <c r="I19" s="88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63" priority="1" operator="lessThanOrEqual">
      <formula>-0.1</formula>
    </cfRule>
    <cfRule type="cellIs" dxfId="6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45258-A059-494F-9F00-B97801DFE7AF}">
  <sheetPr codeName="Sheet33">
    <tabColor rgb="FFFFFF00"/>
  </sheetPr>
  <dimension ref="A1:O20"/>
  <sheetViews>
    <sheetView zoomScale="90" zoomScaleNormal="90" workbookViewId="0">
      <selection activeCell="I24" sqref="I24"/>
    </sheetView>
  </sheetViews>
  <sheetFormatPr defaultRowHeight="12.75"/>
  <cols>
    <col min="1" max="1" width="8.5703125" bestFit="1" customWidth="1"/>
    <col min="2" max="2" width="10.85546875" style="2" bestFit="1" customWidth="1"/>
    <col min="3" max="3" width="11" bestFit="1" customWidth="1"/>
    <col min="4" max="4" width="15.8554687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3" customWidth="1"/>
    <col min="10" max="10" width="16.85546875" bestFit="1" customWidth="1"/>
  </cols>
  <sheetData>
    <row r="1" spans="1:15" ht="25.15">
      <c r="A1" s="212" t="s">
        <v>81</v>
      </c>
      <c r="B1" s="212"/>
      <c r="C1" s="212"/>
      <c r="D1" s="212"/>
      <c r="E1" s="212"/>
      <c r="F1" s="212"/>
      <c r="G1" s="212"/>
      <c r="H1" s="212"/>
      <c r="I1" s="212"/>
      <c r="J1" s="212"/>
    </row>
    <row r="2" spans="1:15" ht="25.5" thickBot="1">
      <c r="A2" s="11"/>
      <c r="B2" s="11"/>
      <c r="C2" s="11"/>
      <c r="D2" s="11"/>
      <c r="E2" s="11"/>
    </row>
    <row r="3" spans="1:15" ht="15">
      <c r="A3" s="204" t="s">
        <v>86</v>
      </c>
      <c r="B3" s="205"/>
      <c r="C3" s="205"/>
      <c r="D3" s="205"/>
      <c r="E3" s="206"/>
      <c r="F3" s="207" t="s">
        <v>87</v>
      </c>
      <c r="G3" s="208"/>
      <c r="H3" s="209"/>
      <c r="I3" s="210" t="s">
        <v>88</v>
      </c>
      <c r="J3" s="211"/>
    </row>
    <row r="4" spans="1:15" ht="13.15" thickBot="1">
      <c r="A4" s="18" t="s">
        <v>89</v>
      </c>
      <c r="B4" s="30" t="s">
        <v>6</v>
      </c>
      <c r="C4" s="30" t="s">
        <v>7</v>
      </c>
      <c r="D4" s="30" t="s">
        <v>90</v>
      </c>
      <c r="E4" s="31" t="s">
        <v>91</v>
      </c>
      <c r="F4" s="32" t="s">
        <v>10</v>
      </c>
      <c r="G4" s="33" t="s">
        <v>92</v>
      </c>
      <c r="H4" s="34" t="s">
        <v>93</v>
      </c>
      <c r="I4" s="35" t="s">
        <v>88</v>
      </c>
      <c r="J4" s="36" t="s">
        <v>94</v>
      </c>
    </row>
    <row r="5" spans="1:15" ht="14.25">
      <c r="A5" s="118" t="s">
        <v>95</v>
      </c>
      <c r="B5" s="153">
        <v>32229</v>
      </c>
      <c r="C5" s="154">
        <v>61034.62</v>
      </c>
      <c r="D5" s="121">
        <f>B5-C5</f>
        <v>-28805.620000000003</v>
      </c>
      <c r="E5" s="122">
        <f t="shared" ref="E5:E16" si="0">IFERROR(D5/C5, 0)</f>
        <v>-0.47195542464260448</v>
      </c>
      <c r="F5" s="133">
        <v>98146.17</v>
      </c>
      <c r="G5" s="82">
        <f>B5-F5</f>
        <v>-65917.17</v>
      </c>
      <c r="H5" s="124">
        <f t="shared" ref="H5:H16" si="1">IFERROR(G5/F5, 0)</f>
        <v>-0.67162243824695345</v>
      </c>
      <c r="I5" s="81"/>
      <c r="J5" s="81"/>
      <c r="O5" s="5"/>
    </row>
    <row r="6" spans="1:15" ht="14.25">
      <c r="A6" s="125" t="s">
        <v>96</v>
      </c>
      <c r="B6" s="126"/>
      <c r="C6" s="127"/>
      <c r="D6" s="121">
        <f t="shared" ref="D6:D16" si="2">B6-C6</f>
        <v>0</v>
      </c>
      <c r="E6" s="128">
        <f t="shared" si="0"/>
        <v>0</v>
      </c>
      <c r="F6" s="129"/>
      <c r="G6" s="82">
        <f t="shared" ref="G6:G16" si="3">B6-F6</f>
        <v>0</v>
      </c>
      <c r="H6" s="124">
        <f t="shared" si="1"/>
        <v>0</v>
      </c>
      <c r="I6" s="81"/>
      <c r="J6" s="81"/>
    </row>
    <row r="7" spans="1:15" ht="14.25">
      <c r="A7" s="125" t="s">
        <v>97</v>
      </c>
      <c r="B7" s="126"/>
      <c r="C7" s="127"/>
      <c r="D7" s="121">
        <f t="shared" si="2"/>
        <v>0</v>
      </c>
      <c r="E7" s="128">
        <f t="shared" si="0"/>
        <v>0</v>
      </c>
      <c r="F7" s="130"/>
      <c r="G7" s="82">
        <f t="shared" si="3"/>
        <v>0</v>
      </c>
      <c r="H7" s="124">
        <f t="shared" si="1"/>
        <v>0</v>
      </c>
      <c r="I7" s="81"/>
      <c r="J7" s="81"/>
    </row>
    <row r="8" spans="1:15" ht="14.25">
      <c r="A8" s="125" t="s">
        <v>98</v>
      </c>
      <c r="B8" s="126"/>
      <c r="C8" s="127"/>
      <c r="D8" s="121">
        <f t="shared" si="2"/>
        <v>0</v>
      </c>
      <c r="E8" s="128">
        <f t="shared" si="0"/>
        <v>0</v>
      </c>
      <c r="F8" s="130"/>
      <c r="G8" s="82">
        <f t="shared" si="3"/>
        <v>0</v>
      </c>
      <c r="H8" s="124">
        <f t="shared" si="1"/>
        <v>0</v>
      </c>
      <c r="I8" s="81"/>
      <c r="J8" s="81"/>
    </row>
    <row r="9" spans="1:15" ht="14.25">
      <c r="A9" s="125" t="s">
        <v>99</v>
      </c>
      <c r="B9" s="126"/>
      <c r="C9" s="127"/>
      <c r="D9" s="121">
        <f t="shared" si="2"/>
        <v>0</v>
      </c>
      <c r="E9" s="128">
        <f t="shared" si="0"/>
        <v>0</v>
      </c>
      <c r="F9" s="130"/>
      <c r="G9" s="82">
        <f t="shared" si="3"/>
        <v>0</v>
      </c>
      <c r="H9" s="124">
        <f t="shared" si="1"/>
        <v>0</v>
      </c>
      <c r="I9" s="80"/>
      <c r="J9" s="81"/>
    </row>
    <row r="10" spans="1:15" ht="14.25">
      <c r="A10" s="125" t="s">
        <v>100</v>
      </c>
      <c r="B10" s="126"/>
      <c r="C10" s="127"/>
      <c r="D10" s="121">
        <f t="shared" si="2"/>
        <v>0</v>
      </c>
      <c r="E10" s="128">
        <f t="shared" si="0"/>
        <v>0</v>
      </c>
      <c r="F10" s="130"/>
      <c r="G10" s="82">
        <f t="shared" si="3"/>
        <v>0</v>
      </c>
      <c r="H10" s="124">
        <f t="shared" si="1"/>
        <v>0</v>
      </c>
      <c r="I10" s="80"/>
      <c r="J10" s="80"/>
    </row>
    <row r="11" spans="1:15" ht="14.25">
      <c r="A11" s="125" t="s">
        <v>101</v>
      </c>
      <c r="B11" s="121"/>
      <c r="C11" s="121"/>
      <c r="D11" s="121">
        <f t="shared" si="2"/>
        <v>0</v>
      </c>
      <c r="E11" s="128">
        <f t="shared" si="0"/>
        <v>0</v>
      </c>
      <c r="F11" s="131"/>
      <c r="G11" s="82">
        <f t="shared" si="3"/>
        <v>0</v>
      </c>
      <c r="H11" s="124">
        <f t="shared" si="1"/>
        <v>0</v>
      </c>
      <c r="I11" s="80"/>
      <c r="J11" s="80"/>
    </row>
    <row r="12" spans="1:15" ht="14.25">
      <c r="A12" s="125" t="s">
        <v>102</v>
      </c>
      <c r="B12" s="121"/>
      <c r="C12" s="121"/>
      <c r="D12" s="121">
        <f t="shared" si="2"/>
        <v>0</v>
      </c>
      <c r="E12" s="128">
        <f t="shared" si="0"/>
        <v>0</v>
      </c>
      <c r="F12" s="82"/>
      <c r="G12" s="82">
        <f t="shared" si="3"/>
        <v>0</v>
      </c>
      <c r="H12" s="124">
        <f t="shared" si="1"/>
        <v>0</v>
      </c>
      <c r="I12" s="81"/>
      <c r="J12" s="81"/>
    </row>
    <row r="13" spans="1:15" ht="14.25">
      <c r="A13" s="125" t="s">
        <v>103</v>
      </c>
      <c r="B13" s="121"/>
      <c r="C13" s="121"/>
      <c r="D13" s="121">
        <f t="shared" si="2"/>
        <v>0</v>
      </c>
      <c r="E13" s="128">
        <f t="shared" si="0"/>
        <v>0</v>
      </c>
      <c r="F13" s="82"/>
      <c r="G13" s="82">
        <f t="shared" si="3"/>
        <v>0</v>
      </c>
      <c r="H13" s="124">
        <f t="shared" si="1"/>
        <v>0</v>
      </c>
      <c r="I13" s="81"/>
      <c r="J13" s="81"/>
    </row>
    <row r="14" spans="1:15" ht="14.25">
      <c r="A14" s="125" t="s">
        <v>104</v>
      </c>
      <c r="B14" s="121"/>
      <c r="C14" s="121"/>
      <c r="D14" s="121">
        <f t="shared" si="2"/>
        <v>0</v>
      </c>
      <c r="E14" s="128">
        <f t="shared" si="0"/>
        <v>0</v>
      </c>
      <c r="F14" s="82"/>
      <c r="G14" s="82">
        <f t="shared" si="3"/>
        <v>0</v>
      </c>
      <c r="H14" s="124">
        <f t="shared" si="1"/>
        <v>0</v>
      </c>
      <c r="I14" s="80"/>
      <c r="J14" s="80"/>
    </row>
    <row r="15" spans="1:15" ht="14.25">
      <c r="A15" s="125" t="s">
        <v>105</v>
      </c>
      <c r="B15" s="132"/>
      <c r="C15" s="132"/>
      <c r="D15" s="121">
        <f t="shared" si="2"/>
        <v>0</v>
      </c>
      <c r="E15" s="128">
        <f t="shared" si="0"/>
        <v>0</v>
      </c>
      <c r="F15" s="133"/>
      <c r="G15" s="82">
        <f t="shared" si="3"/>
        <v>0</v>
      </c>
      <c r="H15" s="124">
        <f t="shared" si="1"/>
        <v>0</v>
      </c>
      <c r="I15" s="80"/>
      <c r="J15" s="81"/>
    </row>
    <row r="16" spans="1:15" ht="14.25">
      <c r="A16" s="134" t="s">
        <v>106</v>
      </c>
      <c r="B16" s="135"/>
      <c r="C16" s="135"/>
      <c r="D16" s="135">
        <f t="shared" si="2"/>
        <v>0</v>
      </c>
      <c r="E16" s="136">
        <f t="shared" si="0"/>
        <v>0</v>
      </c>
      <c r="F16" s="137"/>
      <c r="G16" s="138">
        <f t="shared" si="3"/>
        <v>0</v>
      </c>
      <c r="H16" s="139">
        <f t="shared" si="1"/>
        <v>0</v>
      </c>
      <c r="I16" s="89"/>
      <c r="J16" s="89" t="s">
        <v>119</v>
      </c>
    </row>
    <row r="17" spans="1:15" ht="14.25">
      <c r="A17" s="25" t="s">
        <v>107</v>
      </c>
      <c r="B17" s="26">
        <f>SUM(B5:B16)</f>
        <v>32229</v>
      </c>
      <c r="C17" s="26">
        <f t="shared" ref="C17:F17" si="4">SUM(C5:C16)</f>
        <v>61034.62</v>
      </c>
      <c r="D17" s="26">
        <f>B17-C17</f>
        <v>-28805.620000000003</v>
      </c>
      <c r="E17" s="27">
        <f>IFERROR(D17/C17, 0)</f>
        <v>-0.47195542464260448</v>
      </c>
      <c r="F17" s="26">
        <f t="shared" si="4"/>
        <v>98146.17</v>
      </c>
      <c r="G17" s="26">
        <f>B17-F17</f>
        <v>-65917.17</v>
      </c>
      <c r="H17" s="28">
        <f>IFERROR(G17/F17, 0)</f>
        <v>-0.67162243824695345</v>
      </c>
      <c r="I17" s="29"/>
      <c r="J17" s="29"/>
    </row>
    <row r="18" spans="1:15">
      <c r="F18" s="12"/>
    </row>
    <row r="19" spans="1:15" ht="14.25">
      <c r="I19" s="88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47" priority="1" operator="lessThanOrEqual">
      <formula>-0.1</formula>
    </cfRule>
    <cfRule type="cellIs" dxfId="46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65B05-500A-41BA-965E-D394B124D619}">
  <sheetPr codeName="Sheet34">
    <tabColor rgb="FFFFFF00"/>
  </sheetPr>
  <dimension ref="A1:O20"/>
  <sheetViews>
    <sheetView zoomScale="80" zoomScaleNormal="80" workbookViewId="0">
      <selection activeCell="O45" sqref="O45"/>
    </sheetView>
  </sheetViews>
  <sheetFormatPr defaultRowHeight="12.75"/>
  <cols>
    <col min="1" max="1" width="8.5703125" bestFit="1" customWidth="1"/>
    <col min="2" max="2" width="9.85546875" style="2" bestFit="1" customWidth="1"/>
    <col min="3" max="3" width="11" bestFit="1" customWidth="1"/>
    <col min="4" max="4" width="15.8554687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85.85546875" bestFit="1" customWidth="1"/>
    <col min="10" max="10" width="16.85546875" bestFit="1" customWidth="1"/>
  </cols>
  <sheetData>
    <row r="1" spans="1:15" ht="25.15">
      <c r="A1" s="212" t="s">
        <v>83</v>
      </c>
      <c r="B1" s="212"/>
      <c r="C1" s="212"/>
      <c r="D1" s="212"/>
      <c r="E1" s="212"/>
      <c r="F1" s="212"/>
      <c r="G1" s="212"/>
      <c r="H1" s="212"/>
      <c r="I1" s="212"/>
      <c r="J1" s="212"/>
    </row>
    <row r="2" spans="1:15" ht="25.5" thickBot="1">
      <c r="A2" s="11"/>
      <c r="B2" s="11"/>
      <c r="C2" s="11"/>
      <c r="D2" s="11"/>
      <c r="E2" s="11"/>
    </row>
    <row r="3" spans="1:15" ht="15">
      <c r="A3" s="204" t="s">
        <v>86</v>
      </c>
      <c r="B3" s="205"/>
      <c r="C3" s="205"/>
      <c r="D3" s="205"/>
      <c r="E3" s="206"/>
      <c r="F3" s="207" t="s">
        <v>87</v>
      </c>
      <c r="G3" s="208"/>
      <c r="H3" s="209"/>
      <c r="I3" s="210" t="s">
        <v>88</v>
      </c>
      <c r="J3" s="211"/>
    </row>
    <row r="4" spans="1:15" ht="13.15" thickBot="1">
      <c r="A4" s="18" t="s">
        <v>89</v>
      </c>
      <c r="B4" s="30" t="s">
        <v>6</v>
      </c>
      <c r="C4" s="30" t="s">
        <v>7</v>
      </c>
      <c r="D4" s="30" t="s">
        <v>90</v>
      </c>
      <c r="E4" s="31" t="s">
        <v>91</v>
      </c>
      <c r="F4" s="32" t="s">
        <v>10</v>
      </c>
      <c r="G4" s="33" t="s">
        <v>92</v>
      </c>
      <c r="H4" s="34" t="s">
        <v>93</v>
      </c>
      <c r="I4" s="35" t="s">
        <v>88</v>
      </c>
      <c r="J4" s="36" t="s">
        <v>94</v>
      </c>
    </row>
    <row r="5" spans="1:15" ht="28.5">
      <c r="A5" s="118" t="s">
        <v>95</v>
      </c>
      <c r="B5" s="132">
        <v>120080</v>
      </c>
      <c r="C5" s="151">
        <v>148303.4</v>
      </c>
      <c r="D5" s="121">
        <f>B5-C5</f>
        <v>-28223.399999999994</v>
      </c>
      <c r="E5" s="122">
        <f t="shared" ref="E5:E16" si="0">IFERROR(D5/C5, 0)</f>
        <v>-0.19030851619045819</v>
      </c>
      <c r="F5" s="179">
        <v>176726.2</v>
      </c>
      <c r="G5" s="82">
        <f>B5-F5</f>
        <v>-56646.200000000012</v>
      </c>
      <c r="H5" s="124">
        <f t="shared" ref="H5:H16" si="1">IFERROR(G5/F5, 0)</f>
        <v>-0.32053085507412032</v>
      </c>
      <c r="I5" s="80" t="s">
        <v>120</v>
      </c>
      <c r="J5" s="80" t="s">
        <v>121</v>
      </c>
      <c r="O5" s="5"/>
    </row>
    <row r="6" spans="1:15" ht="14.25">
      <c r="A6" s="125" t="s">
        <v>96</v>
      </c>
      <c r="B6" s="126"/>
      <c r="C6" s="127"/>
      <c r="D6" s="121">
        <f t="shared" ref="D6:D16" si="2">B6-C6</f>
        <v>0</v>
      </c>
      <c r="E6" s="128">
        <f t="shared" si="0"/>
        <v>0</v>
      </c>
      <c r="F6" s="147"/>
      <c r="G6" s="82">
        <f t="shared" ref="G6:G16" si="3">B6-F6</f>
        <v>0</v>
      </c>
      <c r="H6" s="124">
        <f t="shared" si="1"/>
        <v>0</v>
      </c>
      <c r="I6" s="81"/>
      <c r="J6" s="81"/>
    </row>
    <row r="7" spans="1:15" ht="14.25">
      <c r="A7" s="125" t="s">
        <v>97</v>
      </c>
      <c r="B7" s="126"/>
      <c r="C7" s="127"/>
      <c r="D7" s="121">
        <f t="shared" si="2"/>
        <v>0</v>
      </c>
      <c r="E7" s="128">
        <f t="shared" si="0"/>
        <v>0</v>
      </c>
      <c r="F7" s="148"/>
      <c r="G7" s="82">
        <f t="shared" si="3"/>
        <v>0</v>
      </c>
      <c r="H7" s="124">
        <f t="shared" si="1"/>
        <v>0</v>
      </c>
      <c r="I7" s="81"/>
      <c r="J7" s="81"/>
    </row>
    <row r="8" spans="1:15" ht="14.25">
      <c r="A8" s="125" t="s">
        <v>98</v>
      </c>
      <c r="B8" s="126"/>
      <c r="C8" s="127"/>
      <c r="D8" s="121">
        <f t="shared" si="2"/>
        <v>0</v>
      </c>
      <c r="E8" s="128">
        <f t="shared" si="0"/>
        <v>0</v>
      </c>
      <c r="F8" s="148"/>
      <c r="G8" s="82">
        <f t="shared" si="3"/>
        <v>0</v>
      </c>
      <c r="H8" s="124">
        <f t="shared" si="1"/>
        <v>0</v>
      </c>
      <c r="I8" s="81"/>
      <c r="J8" s="81"/>
    </row>
    <row r="9" spans="1:15" ht="14.25">
      <c r="A9" s="125" t="s">
        <v>99</v>
      </c>
      <c r="B9" s="126"/>
      <c r="C9" s="127"/>
      <c r="D9" s="121">
        <f t="shared" si="2"/>
        <v>0</v>
      </c>
      <c r="E9" s="128">
        <f t="shared" si="0"/>
        <v>0</v>
      </c>
      <c r="F9" s="148"/>
      <c r="G9" s="82">
        <f t="shared" si="3"/>
        <v>0</v>
      </c>
      <c r="H9" s="124">
        <f t="shared" si="1"/>
        <v>0</v>
      </c>
      <c r="I9" s="80"/>
      <c r="J9" s="80"/>
    </row>
    <row r="10" spans="1:15" ht="14.25">
      <c r="A10" s="125" t="s">
        <v>100</v>
      </c>
      <c r="B10" s="126"/>
      <c r="C10" s="127"/>
      <c r="D10" s="121">
        <f t="shared" si="2"/>
        <v>0</v>
      </c>
      <c r="E10" s="128">
        <f t="shared" si="0"/>
        <v>0</v>
      </c>
      <c r="F10" s="148"/>
      <c r="G10" s="82">
        <f t="shared" si="3"/>
        <v>0</v>
      </c>
      <c r="H10" s="124">
        <f t="shared" si="1"/>
        <v>0</v>
      </c>
      <c r="I10" s="80"/>
      <c r="J10" s="81"/>
    </row>
    <row r="11" spans="1:15" ht="14.25">
      <c r="A11" s="125" t="s">
        <v>101</v>
      </c>
      <c r="B11" s="121"/>
      <c r="C11" s="121"/>
      <c r="D11" s="121">
        <f t="shared" si="2"/>
        <v>0</v>
      </c>
      <c r="E11" s="128">
        <f t="shared" si="0"/>
        <v>0</v>
      </c>
      <c r="F11" s="149"/>
      <c r="G11" s="82">
        <f t="shared" si="3"/>
        <v>0</v>
      </c>
      <c r="H11" s="124">
        <f t="shared" si="1"/>
        <v>0</v>
      </c>
      <c r="I11" s="81"/>
      <c r="J11" s="81"/>
    </row>
    <row r="12" spans="1:15" ht="14.25">
      <c r="A12" s="125" t="s">
        <v>102</v>
      </c>
      <c r="B12" s="121"/>
      <c r="C12" s="121"/>
      <c r="D12" s="121">
        <f t="shared" si="2"/>
        <v>0</v>
      </c>
      <c r="E12" s="128">
        <f t="shared" si="0"/>
        <v>0</v>
      </c>
      <c r="F12" s="150"/>
      <c r="G12" s="82">
        <f t="shared" si="3"/>
        <v>0</v>
      </c>
      <c r="H12" s="124">
        <f t="shared" si="1"/>
        <v>0</v>
      </c>
      <c r="I12" s="117"/>
      <c r="J12" s="80"/>
    </row>
    <row r="13" spans="1:15" ht="14.25">
      <c r="A13" s="125" t="s">
        <v>103</v>
      </c>
      <c r="B13" s="121"/>
      <c r="C13" s="121"/>
      <c r="D13" s="121">
        <f t="shared" si="2"/>
        <v>0</v>
      </c>
      <c r="E13" s="128">
        <f t="shared" si="0"/>
        <v>0</v>
      </c>
      <c r="F13" s="82"/>
      <c r="G13" s="82">
        <f t="shared" si="3"/>
        <v>0</v>
      </c>
      <c r="H13" s="124">
        <f t="shared" si="1"/>
        <v>0</v>
      </c>
      <c r="I13" s="81"/>
      <c r="J13" s="81"/>
    </row>
    <row r="14" spans="1:15" ht="14.25">
      <c r="A14" s="125" t="s">
        <v>104</v>
      </c>
      <c r="B14" s="121"/>
      <c r="C14" s="121"/>
      <c r="D14" s="121">
        <f t="shared" si="2"/>
        <v>0</v>
      </c>
      <c r="E14" s="128">
        <f t="shared" si="0"/>
        <v>0</v>
      </c>
      <c r="F14" s="82"/>
      <c r="G14" s="82">
        <f t="shared" si="3"/>
        <v>0</v>
      </c>
      <c r="H14" s="124">
        <f t="shared" si="1"/>
        <v>0</v>
      </c>
      <c r="I14" s="80"/>
      <c r="J14" s="81"/>
    </row>
    <row r="15" spans="1:15" ht="14.25">
      <c r="A15" s="125" t="s">
        <v>105</v>
      </c>
      <c r="B15" s="132"/>
      <c r="C15" s="132"/>
      <c r="D15" s="121">
        <f t="shared" si="2"/>
        <v>0</v>
      </c>
      <c r="E15" s="128">
        <f t="shared" si="0"/>
        <v>0</v>
      </c>
      <c r="F15" s="133"/>
      <c r="G15" s="82">
        <f t="shared" si="3"/>
        <v>0</v>
      </c>
      <c r="H15" s="124">
        <f t="shared" si="1"/>
        <v>0</v>
      </c>
      <c r="I15" s="81"/>
      <c r="J15" s="81"/>
    </row>
    <row r="16" spans="1:15" ht="14.25">
      <c r="A16" s="134" t="s">
        <v>106</v>
      </c>
      <c r="B16" s="135"/>
      <c r="C16" s="135"/>
      <c r="D16" s="135">
        <f t="shared" si="2"/>
        <v>0</v>
      </c>
      <c r="E16" s="136">
        <f t="shared" si="0"/>
        <v>0</v>
      </c>
      <c r="F16" s="137"/>
      <c r="G16" s="138">
        <f t="shared" si="3"/>
        <v>0</v>
      </c>
      <c r="H16" s="139">
        <f t="shared" si="1"/>
        <v>0</v>
      </c>
      <c r="I16" s="105"/>
      <c r="J16" s="89"/>
    </row>
    <row r="17" spans="1:15" ht="14.25">
      <c r="A17" s="25" t="s">
        <v>107</v>
      </c>
      <c r="B17" s="26">
        <f>SUM(B5:B16)</f>
        <v>120080</v>
      </c>
      <c r="C17" s="26">
        <f t="shared" ref="C17:F17" si="4">SUM(C5:C16)</f>
        <v>148303.4</v>
      </c>
      <c r="D17" s="26">
        <f>B17-C17</f>
        <v>-28223.399999999994</v>
      </c>
      <c r="E17" s="27">
        <f>IFERROR(D17/C17, 0)</f>
        <v>-0.19030851619045819</v>
      </c>
      <c r="F17" s="26">
        <f t="shared" si="4"/>
        <v>176726.2</v>
      </c>
      <c r="G17" s="26">
        <f>B17-F17</f>
        <v>-56646.200000000012</v>
      </c>
      <c r="H17" s="28">
        <f>IFERROR(G17/F17, 0)</f>
        <v>-0.32053085507412032</v>
      </c>
      <c r="I17" s="29"/>
      <c r="J17" s="29"/>
    </row>
    <row r="18" spans="1:15">
      <c r="F18" s="12"/>
    </row>
    <row r="19" spans="1:15" ht="14.25">
      <c r="I19" s="88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31" priority="1" operator="lessThanOrEqual">
      <formula>-0.1</formula>
    </cfRule>
    <cfRule type="cellIs" dxfId="30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4881D-B91B-4E45-9B72-1867E1D59ACB}">
  <sheetPr codeName="Sheet35">
    <tabColor rgb="FFFFFF00"/>
  </sheetPr>
  <dimension ref="A1:O20"/>
  <sheetViews>
    <sheetView tabSelected="1" workbookViewId="0">
      <selection activeCell="I5" sqref="I5"/>
    </sheetView>
  </sheetViews>
  <sheetFormatPr defaultRowHeight="12.75"/>
  <cols>
    <col min="1" max="1" width="8.5703125" bestFit="1" customWidth="1"/>
    <col min="2" max="2" width="10.85546875" style="2" bestFit="1" customWidth="1"/>
    <col min="3" max="3" width="11" bestFit="1" customWidth="1"/>
    <col min="4" max="4" width="15.8554687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0.85546875" customWidth="1"/>
    <col min="10" max="10" width="16.85546875" bestFit="1" customWidth="1"/>
  </cols>
  <sheetData>
    <row r="1" spans="1:15" ht="25.15">
      <c r="A1" s="212" t="s">
        <v>85</v>
      </c>
      <c r="B1" s="212"/>
      <c r="C1" s="212"/>
      <c r="D1" s="212"/>
      <c r="E1" s="212"/>
      <c r="F1" s="212"/>
      <c r="G1" s="212"/>
      <c r="H1" s="212"/>
      <c r="I1" s="212"/>
      <c r="J1" s="212"/>
    </row>
    <row r="2" spans="1:15" ht="25.5" thickBot="1">
      <c r="A2" s="11"/>
      <c r="B2" s="11"/>
      <c r="C2" s="11"/>
      <c r="D2" s="11"/>
      <c r="E2" s="11"/>
    </row>
    <row r="3" spans="1:15" ht="15">
      <c r="A3" s="204" t="s">
        <v>86</v>
      </c>
      <c r="B3" s="205"/>
      <c r="C3" s="205"/>
      <c r="D3" s="205"/>
      <c r="E3" s="206"/>
      <c r="F3" s="207" t="s">
        <v>87</v>
      </c>
      <c r="G3" s="208"/>
      <c r="H3" s="209"/>
      <c r="I3" s="210" t="s">
        <v>88</v>
      </c>
      <c r="J3" s="211"/>
    </row>
    <row r="4" spans="1:15" ht="13.15" thickBot="1">
      <c r="A4" s="18" t="s">
        <v>89</v>
      </c>
      <c r="B4" s="30" t="s">
        <v>6</v>
      </c>
      <c r="C4" s="30" t="s">
        <v>7</v>
      </c>
      <c r="D4" s="30" t="s">
        <v>90</v>
      </c>
      <c r="E4" s="31" t="s">
        <v>91</v>
      </c>
      <c r="F4" s="32" t="s">
        <v>10</v>
      </c>
      <c r="G4" s="33" t="s">
        <v>92</v>
      </c>
      <c r="H4" s="34" t="s">
        <v>93</v>
      </c>
      <c r="I4" s="35" t="s">
        <v>88</v>
      </c>
      <c r="J4" s="36" t="s">
        <v>94</v>
      </c>
    </row>
    <row r="5" spans="1:15" ht="28.5">
      <c r="A5" s="118" t="s">
        <v>95</v>
      </c>
      <c r="B5" s="153">
        <v>60641</v>
      </c>
      <c r="C5" s="154">
        <v>77649.14</v>
      </c>
      <c r="D5" s="121">
        <f>B5-C5</f>
        <v>-17008.14</v>
      </c>
      <c r="E5" s="122">
        <f t="shared" ref="E5:E16" si="0">IFERROR(D5/C5, 0)</f>
        <v>-0.21903835638102365</v>
      </c>
      <c r="F5" s="133">
        <v>98644.24</v>
      </c>
      <c r="G5" s="82">
        <f>B5-F5</f>
        <v>-38003.240000000005</v>
      </c>
      <c r="H5" s="124">
        <f t="shared" ref="H5:H16" si="1">IFERROR(G5/F5, 0)</f>
        <v>-0.38525554051610111</v>
      </c>
      <c r="I5" s="80" t="s">
        <v>122</v>
      </c>
      <c r="J5" s="81" t="s">
        <v>123</v>
      </c>
      <c r="O5" s="5"/>
    </row>
    <row r="6" spans="1:15" ht="14.25">
      <c r="A6" s="125" t="s">
        <v>96</v>
      </c>
      <c r="B6" s="126"/>
      <c r="C6" s="127"/>
      <c r="D6" s="121">
        <f t="shared" ref="D6:D16" si="2">B6-C6</f>
        <v>0</v>
      </c>
      <c r="E6" s="128">
        <f t="shared" si="0"/>
        <v>0</v>
      </c>
      <c r="F6" s="129"/>
      <c r="G6" s="82">
        <f t="shared" ref="G6:G16" si="3">B6-F6</f>
        <v>0</v>
      </c>
      <c r="H6" s="124">
        <f t="shared" si="1"/>
        <v>0</v>
      </c>
      <c r="I6" s="81"/>
      <c r="J6" s="81"/>
    </row>
    <row r="7" spans="1:15" ht="14.25">
      <c r="A7" s="125" t="s">
        <v>97</v>
      </c>
      <c r="B7" s="126"/>
      <c r="C7" s="127"/>
      <c r="D7" s="121">
        <f t="shared" si="2"/>
        <v>0</v>
      </c>
      <c r="E7" s="128">
        <f t="shared" si="0"/>
        <v>0</v>
      </c>
      <c r="F7" s="130"/>
      <c r="G7" s="82">
        <f t="shared" si="3"/>
        <v>0</v>
      </c>
      <c r="H7" s="124">
        <f t="shared" si="1"/>
        <v>0</v>
      </c>
      <c r="I7" s="81"/>
      <c r="J7" s="81"/>
    </row>
    <row r="8" spans="1:15" ht="14.25">
      <c r="A8" s="125" t="s">
        <v>98</v>
      </c>
      <c r="B8" s="126"/>
      <c r="C8" s="127"/>
      <c r="D8" s="121">
        <f t="shared" si="2"/>
        <v>0</v>
      </c>
      <c r="E8" s="128">
        <f t="shared" si="0"/>
        <v>0</v>
      </c>
      <c r="F8" s="130"/>
      <c r="G8" s="82">
        <f t="shared" si="3"/>
        <v>0</v>
      </c>
      <c r="H8" s="124">
        <f t="shared" si="1"/>
        <v>0</v>
      </c>
      <c r="I8" s="81"/>
      <c r="J8" s="81"/>
    </row>
    <row r="9" spans="1:15" ht="14.25">
      <c r="A9" s="125" t="s">
        <v>99</v>
      </c>
      <c r="B9" s="126"/>
      <c r="C9" s="127"/>
      <c r="D9" s="121">
        <f t="shared" si="2"/>
        <v>0</v>
      </c>
      <c r="E9" s="128">
        <f t="shared" si="0"/>
        <v>0</v>
      </c>
      <c r="F9" s="130"/>
      <c r="G9" s="82">
        <f t="shared" si="3"/>
        <v>0</v>
      </c>
      <c r="H9" s="124">
        <f t="shared" si="1"/>
        <v>0</v>
      </c>
      <c r="I9" s="80"/>
      <c r="J9" s="81"/>
    </row>
    <row r="10" spans="1:15" ht="14.25">
      <c r="A10" s="125" t="s">
        <v>100</v>
      </c>
      <c r="B10" s="126"/>
      <c r="C10" s="127"/>
      <c r="D10" s="121">
        <f t="shared" si="2"/>
        <v>0</v>
      </c>
      <c r="E10" s="128">
        <f t="shared" si="0"/>
        <v>0</v>
      </c>
      <c r="F10" s="130"/>
      <c r="G10" s="82">
        <f t="shared" si="3"/>
        <v>0</v>
      </c>
      <c r="H10" s="124">
        <f t="shared" si="1"/>
        <v>0</v>
      </c>
      <c r="I10" s="80"/>
      <c r="J10" s="81"/>
    </row>
    <row r="11" spans="1:15" ht="14.25">
      <c r="A11" s="125" t="s">
        <v>101</v>
      </c>
      <c r="B11" s="121"/>
      <c r="C11" s="121"/>
      <c r="D11" s="121">
        <f t="shared" si="2"/>
        <v>0</v>
      </c>
      <c r="E11" s="128">
        <f t="shared" si="0"/>
        <v>0</v>
      </c>
      <c r="F11" s="131"/>
      <c r="G11" s="82">
        <f t="shared" si="3"/>
        <v>0</v>
      </c>
      <c r="H11" s="124">
        <f t="shared" si="1"/>
        <v>0</v>
      </c>
      <c r="I11" s="81"/>
      <c r="J11" s="81"/>
    </row>
    <row r="12" spans="1:15" ht="50.25" customHeight="1">
      <c r="A12" s="125" t="s">
        <v>102</v>
      </c>
      <c r="B12" s="121"/>
      <c r="C12" s="121"/>
      <c r="D12" s="121">
        <f t="shared" si="2"/>
        <v>0</v>
      </c>
      <c r="E12" s="128">
        <f t="shared" si="0"/>
        <v>0</v>
      </c>
      <c r="F12" s="82"/>
      <c r="G12" s="82">
        <f t="shared" si="3"/>
        <v>0</v>
      </c>
      <c r="H12" s="124">
        <f t="shared" si="1"/>
        <v>0</v>
      </c>
      <c r="I12" s="80"/>
      <c r="J12" s="80"/>
    </row>
    <row r="13" spans="1:15" ht="14.25">
      <c r="A13" s="125" t="s">
        <v>103</v>
      </c>
      <c r="B13" s="121"/>
      <c r="C13" s="121"/>
      <c r="D13" s="121">
        <f t="shared" si="2"/>
        <v>0</v>
      </c>
      <c r="E13" s="128">
        <f t="shared" si="0"/>
        <v>0</v>
      </c>
      <c r="F13" s="82"/>
      <c r="G13" s="82">
        <f t="shared" si="3"/>
        <v>0</v>
      </c>
      <c r="H13" s="124">
        <f t="shared" si="1"/>
        <v>0</v>
      </c>
      <c r="I13" s="81"/>
      <c r="J13" s="81"/>
    </row>
    <row r="14" spans="1:15" ht="14.25">
      <c r="A14" s="125" t="s">
        <v>104</v>
      </c>
      <c r="B14" s="121"/>
      <c r="C14" s="121"/>
      <c r="D14" s="121">
        <f t="shared" si="2"/>
        <v>0</v>
      </c>
      <c r="E14" s="128">
        <f t="shared" si="0"/>
        <v>0</v>
      </c>
      <c r="F14" s="82"/>
      <c r="G14" s="82">
        <f t="shared" si="3"/>
        <v>0</v>
      </c>
      <c r="H14" s="124">
        <f t="shared" si="1"/>
        <v>0</v>
      </c>
      <c r="I14" s="80"/>
      <c r="J14" s="81"/>
    </row>
    <row r="15" spans="1:15" ht="51" customHeight="1">
      <c r="A15" s="125" t="s">
        <v>105</v>
      </c>
      <c r="B15" s="132"/>
      <c r="C15" s="132"/>
      <c r="D15" s="121">
        <f t="shared" si="2"/>
        <v>0</v>
      </c>
      <c r="E15" s="128">
        <f t="shared" si="0"/>
        <v>0</v>
      </c>
      <c r="F15" s="133"/>
      <c r="G15" s="82">
        <f t="shared" si="3"/>
        <v>0</v>
      </c>
      <c r="H15" s="124">
        <f t="shared" si="1"/>
        <v>0</v>
      </c>
      <c r="I15" s="80"/>
      <c r="J15" s="80"/>
    </row>
    <row r="16" spans="1:15" ht="14.25">
      <c r="A16" s="134" t="s">
        <v>106</v>
      </c>
      <c r="B16" s="135"/>
      <c r="C16" s="135"/>
      <c r="D16" s="135">
        <f t="shared" si="2"/>
        <v>0</v>
      </c>
      <c r="E16" s="136">
        <f t="shared" si="0"/>
        <v>0</v>
      </c>
      <c r="F16" s="137"/>
      <c r="G16" s="138">
        <f t="shared" si="3"/>
        <v>0</v>
      </c>
      <c r="H16" s="139">
        <f t="shared" si="1"/>
        <v>0</v>
      </c>
      <c r="I16" s="105"/>
      <c r="J16" s="89"/>
    </row>
    <row r="17" spans="1:15" ht="14.25">
      <c r="A17" s="25" t="s">
        <v>107</v>
      </c>
      <c r="B17" s="26">
        <f>SUM(B5:B16)</f>
        <v>60641</v>
      </c>
      <c r="C17" s="26">
        <f t="shared" ref="C17:F17" si="4">SUM(C5:C16)</f>
        <v>77649.14</v>
      </c>
      <c r="D17" s="26">
        <f>B17-C17</f>
        <v>-17008.14</v>
      </c>
      <c r="E17" s="27">
        <f>IFERROR(D17/C17, 0)</f>
        <v>-0.21903835638102365</v>
      </c>
      <c r="F17" s="26">
        <f t="shared" si="4"/>
        <v>98644.24</v>
      </c>
      <c r="G17" s="26">
        <f>B17-F17</f>
        <v>-38003.240000000005</v>
      </c>
      <c r="H17" s="28">
        <f>IFERROR(G17/F17, 0)</f>
        <v>-0.38525554051610111</v>
      </c>
      <c r="I17" s="29"/>
      <c r="J17" s="29"/>
    </row>
    <row r="18" spans="1:15">
      <c r="F18" s="12"/>
    </row>
    <row r="19" spans="1:15" ht="14.25">
      <c r="I19" s="88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conditionalFormatting sqref="E5:E17 H5:H17">
    <cfRule type="cellIs" dxfId="15" priority="1" operator="lessThanOrEqual">
      <formula>-0.1</formula>
    </cfRule>
    <cfRule type="cellIs" dxfId="1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17082CBF-9202-4138-BFD4-BBC041E7F86E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Balayan, Diana</cp:lastModifiedBy>
  <cp:revision/>
  <dcterms:created xsi:type="dcterms:W3CDTF">2021-01-01T16:39:53Z</dcterms:created>
  <dcterms:modified xsi:type="dcterms:W3CDTF">2024-02-12T16:30:11Z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