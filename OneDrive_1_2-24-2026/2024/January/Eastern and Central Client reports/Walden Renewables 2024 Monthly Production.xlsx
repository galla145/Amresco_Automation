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30" documentId="13_ncr:1_{238F19B3-AE00-490C-B86C-4EA81F1980F2}" xr6:coauthVersionLast="47" xr6:coauthVersionMax="47" xr10:uidLastSave="{7E9C9195-A40A-4399-B13F-CF1F313C3E4F}"/>
  <bookViews>
    <workbookView xWindow="-28920" yWindow="7725" windowWidth="29040" windowHeight="15720" tabRatio="866" firstSheet="16" activeTab="16" xr2:uid="{00000000-000D-0000-FFFF-FFFF00000000}"/>
  </bookViews>
  <sheets>
    <sheet name="YTD Total" sheetId="34" r:id="rId1"/>
    <sheet name="1st Qtr" sheetId="1" r:id="rId2"/>
    <sheet name="2nd Qtr" sheetId="18" r:id="rId3"/>
    <sheet name="3rd Qtr" sheetId="29" r:id="rId4"/>
    <sheet name="4th Qtr" sheetId="30" r:id="rId5"/>
    <sheet name="Jan" sheetId="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  <sheet name="CCC College" sheetId="5" r:id="rId19"/>
    <sheet name="Walden Liberty" sheetId="70" r:id="rId20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Jan!$A$2:$I$2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'YTD Total'!$A$2:$I$2</definedName>
    <definedName name="JanActual">Jan!$C$3:$C$4</definedName>
    <definedName name="JanActual2">Jan!#REF!</definedName>
    <definedName name="JanExpected">Jan!$D$3:$D$4</definedName>
    <definedName name="JanExpectedDelta">Jan!$E$3:$E$4</definedName>
    <definedName name="JanExpectedPercent">Jan!$F$3:$F$4</definedName>
    <definedName name="JanExpPercent">Jan!$F$3:$F$4</definedName>
    <definedName name="JanForecasted">Jan!$G$3:$G$4</definedName>
    <definedName name="JanForecastedDelta">Jan!$H$3:$H$4</definedName>
    <definedName name="JanForecastedPercent">Jan!$I$3:$I$4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70" l="1"/>
  <c r="C17" i="70"/>
  <c r="B17" i="70"/>
  <c r="G16" i="70"/>
  <c r="H16" i="70" s="1"/>
  <c r="D16" i="70"/>
  <c r="E16" i="70" s="1"/>
  <c r="G15" i="70"/>
  <c r="H15" i="70" s="1"/>
  <c r="D15" i="70"/>
  <c r="E15" i="70" s="1"/>
  <c r="G14" i="70"/>
  <c r="H14" i="70" s="1"/>
  <c r="D14" i="70"/>
  <c r="E14" i="70" s="1"/>
  <c r="G13" i="70"/>
  <c r="H13" i="70" s="1"/>
  <c r="D13" i="70"/>
  <c r="E13" i="70" s="1"/>
  <c r="G12" i="70"/>
  <c r="H12" i="70" s="1"/>
  <c r="D12" i="70"/>
  <c r="E12" i="70" s="1"/>
  <c r="G11" i="70"/>
  <c r="H11" i="70" s="1"/>
  <c r="D11" i="70"/>
  <c r="E11" i="70" s="1"/>
  <c r="G10" i="70"/>
  <c r="H10" i="70" s="1"/>
  <c r="D10" i="70"/>
  <c r="E10" i="70" s="1"/>
  <c r="G9" i="70"/>
  <c r="H9" i="70" s="1"/>
  <c r="D9" i="70"/>
  <c r="E9" i="70" s="1"/>
  <c r="G8" i="70"/>
  <c r="H8" i="70" s="1"/>
  <c r="D8" i="70"/>
  <c r="E8" i="70" s="1"/>
  <c r="G7" i="70"/>
  <c r="H7" i="70" s="1"/>
  <c r="D7" i="70"/>
  <c r="E7" i="70" s="1"/>
  <c r="G6" i="70"/>
  <c r="H6" i="70" s="1"/>
  <c r="D6" i="70"/>
  <c r="E6" i="70" s="1"/>
  <c r="G5" i="70"/>
  <c r="H5" i="70" s="1"/>
  <c r="D5" i="70"/>
  <c r="E5" i="70" s="1"/>
  <c r="F17" i="5"/>
  <c r="C17" i="5"/>
  <c r="B17" i="5"/>
  <c r="G16" i="5"/>
  <c r="H16" i="5" s="1"/>
  <c r="D16" i="5"/>
  <c r="E16" i="5" s="1"/>
  <c r="G15" i="5"/>
  <c r="H15" i="5" s="1"/>
  <c r="D15" i="5"/>
  <c r="E15" i="5" s="1"/>
  <c r="G14" i="5"/>
  <c r="H14" i="5" s="1"/>
  <c r="D14" i="5"/>
  <c r="E14" i="5" s="1"/>
  <c r="G13" i="5"/>
  <c r="H13" i="5" s="1"/>
  <c r="D13" i="5"/>
  <c r="E13" i="5" s="1"/>
  <c r="G12" i="5"/>
  <c r="H12" i="5" s="1"/>
  <c r="D12" i="5"/>
  <c r="E12" i="5" s="1"/>
  <c r="G11" i="5"/>
  <c r="H11" i="5" s="1"/>
  <c r="D11" i="5"/>
  <c r="E11" i="5" s="1"/>
  <c r="G10" i="5"/>
  <c r="H10" i="5" s="1"/>
  <c r="D10" i="5"/>
  <c r="E10" i="5" s="1"/>
  <c r="G9" i="5"/>
  <c r="H9" i="5" s="1"/>
  <c r="D9" i="5"/>
  <c r="E9" i="5" s="1"/>
  <c r="G8" i="5"/>
  <c r="H8" i="5" s="1"/>
  <c r="D8" i="5"/>
  <c r="E8" i="5" s="1"/>
  <c r="G7" i="5"/>
  <c r="H7" i="5" s="1"/>
  <c r="D7" i="5"/>
  <c r="E7" i="5" s="1"/>
  <c r="G6" i="5"/>
  <c r="H6" i="5" s="1"/>
  <c r="D6" i="5"/>
  <c r="E6" i="5" s="1"/>
  <c r="G5" i="5"/>
  <c r="H5" i="5" s="1"/>
  <c r="D5" i="5"/>
  <c r="E5" i="5" s="1"/>
  <c r="A1" i="2" a="1"/>
  <c r="A1" i="2"/>
  <c r="B3" i="33" a="1"/>
  <c r="B3" i="33" s="1"/>
  <c r="A3" i="33" a="1"/>
  <c r="B3" i="32" a="1"/>
  <c r="B3" i="32" s="1"/>
  <c r="A3" i="32" a="1"/>
  <c r="B3" i="31" a="1"/>
  <c r="B3" i="31" s="1"/>
  <c r="A3" i="31" a="1"/>
  <c r="B3" i="28" a="1"/>
  <c r="B3" i="28" s="1"/>
  <c r="A3" i="28" a="1"/>
  <c r="B3" i="27" a="1"/>
  <c r="B3" i="27" s="1"/>
  <c r="A3" i="27" a="1"/>
  <c r="B3" i="26" a="1"/>
  <c r="B3" i="26" s="1"/>
  <c r="A3" i="26" a="1"/>
  <c r="B3" i="19" a="1"/>
  <c r="B3" i="19" s="1"/>
  <c r="A3" i="19" a="1"/>
  <c r="B3" i="20" a="1"/>
  <c r="B3" i="20" s="1"/>
  <c r="A3" i="20" a="1"/>
  <c r="B3" i="21" a="1"/>
  <c r="B3" i="21" s="1"/>
  <c r="A3" i="21" a="1"/>
  <c r="B3" i="4" a="1"/>
  <c r="B3" i="4" s="1"/>
  <c r="A3" i="4" a="1"/>
  <c r="B3" i="3" a="1"/>
  <c r="B3" i="3" s="1"/>
  <c r="A3" i="3" a="1"/>
  <c r="B3" i="2" a="1"/>
  <c r="B3" i="2" s="1"/>
  <c r="A3" i="2" a="1"/>
  <c r="B3" i="30" a="1"/>
  <c r="B3" i="30" s="1"/>
  <c r="A3" i="30" a="1"/>
  <c r="A3" i="30" s="1"/>
  <c r="B3" i="29" a="1"/>
  <c r="B3" i="29" s="1"/>
  <c r="A3" i="29" a="1"/>
  <c r="A3" i="29" s="1"/>
  <c r="B3" i="18" a="1"/>
  <c r="B3" i="18" s="1"/>
  <c r="A3" i="18" a="1"/>
  <c r="A3" i="18" s="1"/>
  <c r="B3" i="1" a="1"/>
  <c r="B3" i="1" s="1"/>
  <c r="A3" i="1" a="1"/>
  <c r="A3" i="1" s="1"/>
  <c r="B3" i="34" a="1"/>
  <c r="B3" i="34"/>
  <c r="A3" i="34" a="1"/>
  <c r="A3" i="34"/>
  <c r="A1" i="34" a="1"/>
  <c r="A1" i="34" s="1"/>
  <c r="A1" i="30" a="1"/>
  <c r="A1" i="30" s="1"/>
  <c r="A1" i="29" a="1"/>
  <c r="A1" i="29" s="1"/>
  <c r="A1" i="18" a="1"/>
  <c r="A1" i="18" s="1"/>
  <c r="A1" i="1" a="1"/>
  <c r="A1" i="1" s="1"/>
  <c r="A1" i="33" a="1"/>
  <c r="A1" i="33" s="1"/>
  <c r="A1" i="32" a="1"/>
  <c r="A1" i="32" s="1"/>
  <c r="A1" i="31" a="1"/>
  <c r="A1" i="31" s="1"/>
  <c r="A1" i="28" a="1"/>
  <c r="A1" i="28" s="1"/>
  <c r="A1" i="27" a="1"/>
  <c r="A1" i="27" s="1"/>
  <c r="A1" i="26" a="1"/>
  <c r="A1" i="26" s="1"/>
  <c r="A1" i="19" a="1"/>
  <c r="A1" i="19" s="1"/>
  <c r="A1" i="20" a="1"/>
  <c r="A1" i="20" s="1"/>
  <c r="A1" i="21" a="1"/>
  <c r="A1" i="21" s="1"/>
  <c r="A1" i="4" a="1"/>
  <c r="A1" i="4" s="1"/>
  <c r="A1" i="3" a="1"/>
  <c r="A1" i="3" s="1"/>
  <c r="A3" i="3" l="1"/>
  <c r="G17" i="70"/>
  <c r="H17" i="70" s="1"/>
  <c r="D17" i="70"/>
  <c r="E17" i="70" s="1"/>
  <c r="G17" i="5"/>
  <c r="H17" i="5" s="1"/>
  <c r="D17" i="5"/>
  <c r="E17" i="5" s="1"/>
  <c r="A3" i="33"/>
  <c r="A3" i="32"/>
  <c r="A3" i="31"/>
  <c r="A3" i="28"/>
  <c r="A3" i="27"/>
  <c r="A3" i="26"/>
  <c r="A3" i="19"/>
  <c r="A3" i="20"/>
  <c r="A3" i="21"/>
  <c r="A3" i="4"/>
  <c r="A3" i="2"/>
  <c r="C4" i="4" a="1"/>
  <c r="C4" i="32" a="1"/>
  <c r="C4" i="21" a="1"/>
  <c r="C4" i="31" a="1"/>
  <c r="C4" i="3" a="1"/>
  <c r="C4" i="20" a="1"/>
  <c r="C4" i="26" a="1"/>
  <c r="C4" i="2" a="1"/>
  <c r="C4" i="19" a="1"/>
  <c r="C4" i="33" a="1"/>
  <c r="C4" i="28" a="1"/>
  <c r="C4" i="27" a="1"/>
  <c r="C4" i="33" l="1"/>
  <c r="C4" i="26"/>
  <c r="C4" i="31"/>
  <c r="C4" i="3"/>
  <c r="C4" i="27"/>
  <c r="C4" i="21"/>
  <c r="G4" i="18"/>
  <c r="C4" i="32"/>
  <c r="C4" i="4"/>
  <c r="C4" i="19"/>
  <c r="C4" i="28"/>
  <c r="C4" i="20"/>
  <c r="C4" i="2"/>
  <c r="D4" i="1"/>
  <c r="G4" i="1"/>
  <c r="D4" i="18"/>
  <c r="D4" i="29"/>
  <c r="G4" i="29"/>
  <c r="D4" i="30"/>
  <c r="G4" i="30"/>
  <c r="C4" i="29" l="1"/>
  <c r="H4" i="29" s="1"/>
  <c r="I4" i="29" s="1"/>
  <c r="C4" i="18"/>
  <c r="E4" i="18" s="1"/>
  <c r="F4" i="18" s="1"/>
  <c r="D4" i="34"/>
  <c r="C4" i="30"/>
  <c r="H4" i="30" s="1"/>
  <c r="I4" i="30" s="1"/>
  <c r="C4" i="1"/>
  <c r="H4" i="1" s="1"/>
  <c r="I4" i="1" s="1"/>
  <c r="E4" i="29" l="1"/>
  <c r="F4" i="29" s="1"/>
  <c r="E4" i="30"/>
  <c r="F4" i="30" s="1"/>
  <c r="E4" i="1"/>
  <c r="F4" i="1" s="1"/>
  <c r="G4" i="34"/>
  <c r="H4" i="18"/>
  <c r="I4" i="18" s="1"/>
  <c r="C4" i="34"/>
  <c r="E4" i="34" s="1"/>
  <c r="F4" i="34" s="1"/>
  <c r="H4" i="34" l="1"/>
  <c r="I4" i="34" s="1"/>
  <c r="C3" i="2" a="1"/>
  <c r="G5" i="2" l="1"/>
  <c r="C3" i="2"/>
  <c r="D5" i="2"/>
  <c r="C5" i="2" l="1"/>
  <c r="E5" i="2" l="1"/>
  <c r="F5" i="2" s="1"/>
  <c r="H5" i="2"/>
  <c r="I5" i="2" s="1"/>
  <c r="C3" i="21" a="1"/>
  <c r="C3" i="19" a="1"/>
  <c r="C3" i="4" a="1"/>
  <c r="C3" i="26" a="1"/>
  <c r="C3" i="28" a="1"/>
  <c r="C3" i="33" a="1"/>
  <c r="C3" i="20" a="1"/>
  <c r="C3" i="3" a="1"/>
  <c r="C3" i="27" a="1"/>
  <c r="C3" i="31" a="1"/>
  <c r="C3" i="32" a="1"/>
  <c r="G3" i="1" l="1"/>
  <c r="G5" i="3"/>
  <c r="D5" i="3"/>
  <c r="C3" i="3"/>
  <c r="D3" i="1"/>
  <c r="D3" i="18"/>
  <c r="D5" i="18" s="1"/>
  <c r="G3" i="18"/>
  <c r="G5" i="18" s="1"/>
  <c r="G5" i="21"/>
  <c r="D5" i="21"/>
  <c r="C3" i="21"/>
  <c r="G3" i="29"/>
  <c r="G5" i="29" s="1"/>
  <c r="D3" i="29"/>
  <c r="D5" i="29" s="1"/>
  <c r="G5" i="26"/>
  <c r="D5" i="26"/>
  <c r="C3" i="26"/>
  <c r="G3" i="30"/>
  <c r="G5" i="30" s="1"/>
  <c r="D3" i="30"/>
  <c r="D5" i="30" s="1"/>
  <c r="G5" i="31"/>
  <c r="D5" i="31"/>
  <c r="C3" i="31"/>
  <c r="G5" i="4"/>
  <c r="D5" i="4"/>
  <c r="C3" i="4"/>
  <c r="C5" i="4" s="1"/>
  <c r="G5" i="20"/>
  <c r="D5" i="20"/>
  <c r="C3" i="20"/>
  <c r="C5" i="20" s="1"/>
  <c r="G5" i="19"/>
  <c r="D5" i="19"/>
  <c r="C3" i="19"/>
  <c r="C5" i="19" s="1"/>
  <c r="G5" i="27"/>
  <c r="D5" i="27"/>
  <c r="C3" i="27"/>
  <c r="C5" i="27" s="1"/>
  <c r="G5" i="28"/>
  <c r="D5" i="28"/>
  <c r="C3" i="28"/>
  <c r="C5" i="28" s="1"/>
  <c r="G5" i="32"/>
  <c r="D5" i="32"/>
  <c r="C3" i="32"/>
  <c r="C5" i="32" s="1"/>
  <c r="G5" i="33"/>
  <c r="D5" i="33"/>
  <c r="C3" i="33"/>
  <c r="C5" i="33" s="1"/>
  <c r="H5" i="33" l="1"/>
  <c r="I5" i="33" s="1"/>
  <c r="E5" i="33"/>
  <c r="F5" i="33" s="1"/>
  <c r="H5" i="32"/>
  <c r="I5" i="32" s="1"/>
  <c r="E5" i="32"/>
  <c r="F5" i="32" s="1"/>
  <c r="H5" i="28"/>
  <c r="I5" i="28" s="1"/>
  <c r="E5" i="28"/>
  <c r="F5" i="28" s="1"/>
  <c r="H5" i="27"/>
  <c r="I5" i="27" s="1"/>
  <c r="E5" i="27"/>
  <c r="F5" i="27" s="1"/>
  <c r="H5" i="19"/>
  <c r="I5" i="19" s="1"/>
  <c r="E5" i="19"/>
  <c r="F5" i="19" s="1"/>
  <c r="H5" i="20"/>
  <c r="I5" i="20" s="1"/>
  <c r="E5" i="20"/>
  <c r="F5" i="20" s="1"/>
  <c r="H5" i="4"/>
  <c r="I5" i="4" s="1"/>
  <c r="E5" i="4"/>
  <c r="F5" i="4" s="1"/>
  <c r="C5" i="31"/>
  <c r="C3" i="30"/>
  <c r="C5" i="26"/>
  <c r="C3" i="29"/>
  <c r="C5" i="21"/>
  <c r="C3" i="18"/>
  <c r="D5" i="1"/>
  <c r="D3" i="34"/>
  <c r="D5" i="34" s="1"/>
  <c r="C5" i="3"/>
  <c r="C3" i="1"/>
  <c r="G5" i="1"/>
  <c r="G3" i="34"/>
  <c r="G5" i="34" s="1"/>
  <c r="H3" i="1" l="1"/>
  <c r="I3" i="1" s="1"/>
  <c r="E3" i="1"/>
  <c r="F3" i="1" s="1"/>
  <c r="C3" i="34"/>
  <c r="C5" i="1"/>
  <c r="H5" i="3"/>
  <c r="I5" i="3" s="1"/>
  <c r="E5" i="3"/>
  <c r="F5" i="3" s="1"/>
  <c r="E3" i="18"/>
  <c r="F3" i="18" s="1"/>
  <c r="H3" i="18"/>
  <c r="I3" i="18" s="1"/>
  <c r="C5" i="18"/>
  <c r="H5" i="21"/>
  <c r="I5" i="21" s="1"/>
  <c r="E5" i="21"/>
  <c r="F5" i="21" s="1"/>
  <c r="H3" i="29"/>
  <c r="I3" i="29" s="1"/>
  <c r="E3" i="29"/>
  <c r="F3" i="29" s="1"/>
  <c r="C5" i="29"/>
  <c r="H5" i="26"/>
  <c r="I5" i="26" s="1"/>
  <c r="E5" i="26"/>
  <c r="F5" i="26" s="1"/>
  <c r="H3" i="30"/>
  <c r="I3" i="30" s="1"/>
  <c r="E3" i="30"/>
  <c r="F3" i="30" s="1"/>
  <c r="C5" i="30"/>
  <c r="H5" i="31"/>
  <c r="I5" i="31" s="1"/>
  <c r="E5" i="31"/>
  <c r="F5" i="31" s="1"/>
  <c r="H5" i="30" l="1"/>
  <c r="I5" i="30" s="1"/>
  <c r="E5" i="30"/>
  <c r="F5" i="30" s="1"/>
  <c r="H5" i="29"/>
  <c r="I5" i="29" s="1"/>
  <c r="E5" i="29"/>
  <c r="F5" i="29" s="1"/>
  <c r="H5" i="18"/>
  <c r="I5" i="18" s="1"/>
  <c r="E5" i="18"/>
  <c r="F5" i="18" s="1"/>
  <c r="H5" i="1"/>
  <c r="I5" i="1" s="1"/>
  <c r="E5" i="1"/>
  <c r="F5" i="1" s="1"/>
  <c r="E3" i="34"/>
  <c r="F3" i="34" s="1"/>
  <c r="H3" i="34"/>
  <c r="I3" i="34" s="1"/>
  <c r="C5" i="34"/>
  <c r="H5" i="34" l="1"/>
  <c r="I5" i="34" s="1"/>
  <c r="E5" i="34"/>
  <c r="F5" i="3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<sst xmlns="http://schemas.openxmlformats.org/spreadsheetml/2006/main" count="333" uniqueCount="81">
  <si>
    <t>Year to Date 2024 Actual v. Expected</t>
  </si>
  <si>
    <t>Year to Date 2024 Forecasted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</si>
  <si>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</si>
  <si>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</si>
  <si>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</si>
  <si>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</si>
  <si>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</si>
  <si>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</si>
  <si>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</si>
  <si>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</si>
  <si>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</si>
  <si>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</si>
  <si>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</si>
  <si>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>1st Quarter 2024 Forecasted</t>
  </si>
  <si>
    <t>2nd Quarter 2024 Actual v. Expected</t>
  </si>
  <si>
    <t>2nd Quarter 2024 Forecasted</t>
  </si>
  <si>
    <t>3rd Quarter 2024 Actual v. Expected</t>
  </si>
  <si>
    <t>3rd Quarter 2024 Forecasted</t>
  </si>
  <si>
    <t>4th Quarter 2024 Actual v. Expected</t>
  </si>
  <si>
    <t>4th Quarter 2024 Forecasted</t>
  </si>
  <si>
    <t>January Actual v. Expected</t>
  </si>
  <si>
    <t>January Actual v. Forecasted</t>
  </si>
  <si>
    <t>NOTES</t>
  </si>
  <si>
    <t>SR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</si>
  <si>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</si>
  <si>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</si>
  <si>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</si>
  <si>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</si>
  <si>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</si>
  <si>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</si>
  <si>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</si>
  <si>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</si>
  <si>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</si>
  <si>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</si>
  <si>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</si>
  <si>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</si>
  <si>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</si>
  <si>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</si>
  <si>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</si>
  <si>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</si>
  <si>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</si>
  <si>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</si>
  <si>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</si>
  <si>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</si>
  <si>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</si>
  <si>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</si>
  <si>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</si>
  <si>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</t>
  </si>
  <si>
    <t>Site DAS Name</t>
  </si>
  <si>
    <t>Update</t>
  </si>
  <si>
    <t>DAS</t>
  </si>
  <si>
    <t>Cape Cod Community College</t>
  </si>
  <si>
    <t>CCC College</t>
  </si>
  <si>
    <t>MA</t>
  </si>
  <si>
    <t>SolrenView</t>
  </si>
  <si>
    <t>Walden Liberty Solar LLC</t>
  </si>
  <si>
    <t>Walden Liberty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</si>
  <si>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</si>
  <si>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</si>
  <si>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</si>
  <si>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</si>
  <si>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</si>
  <si>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</si>
  <si>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</si>
  <si>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</si>
  <si>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</si>
  <si>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</si>
  <si>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</si>
  <si>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</si>
  <si>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</si>
  <si>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</si>
  <si>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</si>
  <si>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</si>
  <si>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</si>
  <si>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</si>
  <si>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</si>
  <si>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</si>
  <si>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</si>
  <si>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</si>
  <si>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 Inverter was offline from 01/07 and later back online on 01/10.</t>
  </si>
  <si>
    <t xml:space="preserve">1. SR080005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</si>
</sst>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</font>
    <font>
      <sz val="11"/>
      <name val="Calibri"/>
    </font>
    <font>
      <b/>
      <sz val="9"/>
      <color rgb="FF000000"/>
      <name val="Arial"/>
      <family val="2"/>
    </font>
    <font>
      <b/>
      <sz val="10"/>
      <name val="Arial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</font>
    <font>
      <sz val="11"/>
      <color theme="1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7" applyNumberFormat="0" applyAlignment="0" applyProtection="0"/>
    <xf numFmtId="0" fontId="17" fillId="10" borderId="8" applyNumberFormat="0" applyAlignment="0" applyProtection="0"/>
    <xf numFmtId="0" fontId="18" fillId="10" borderId="7" applyNumberFormat="0" applyAlignment="0" applyProtection="0"/>
    <xf numFmtId="0" fontId="19" fillId="0" borderId="9" applyNumberFormat="0" applyFill="0" applyAlignment="0" applyProtection="0"/>
    <xf numFmtId="0" fontId="20" fillId="11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11" applyNumberFormat="0" applyFont="0" applyAlignment="0" applyProtection="0"/>
  </cellStyleXfs>
  <cellXfs count="99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3" fillId="3" borderId="14" xfId="0" applyFont="1" applyFill="1" applyBorder="1" applyAlignment="1">
      <alignment horizontal="center" vertical="center" wrapText="1"/>
    </xf>
    <xf numFmtId="9" fontId="5" fillId="3" borderId="14" xfId="2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49" fontId="0" fillId="0" borderId="0" xfId="0" applyNumberFormat="1"/>
    <xf numFmtId="9" fontId="5" fillId="40" borderId="14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7" fillId="0" borderId="0" xfId="0" applyFont="1" applyAlignment="1">
      <alignment horizontal="left"/>
    </xf>
    <xf numFmtId="0" fontId="8" fillId="0" borderId="33" xfId="0" applyFont="1" applyBorder="1" applyAlignment="1">
      <alignment horizontal="left" vertical="center"/>
    </xf>
    <xf numFmtId="0" fontId="28" fillId="0" borderId="2" xfId="0" applyFont="1" applyBorder="1" applyAlignment="1">
      <alignment horizontal="center"/>
    </xf>
    <xf numFmtId="3" fontId="29" fillId="38" borderId="15" xfId="0" applyNumberFormat="1" applyFont="1" applyFill="1" applyBorder="1"/>
    <xf numFmtId="3" fontId="29" fillId="3" borderId="2" xfId="0" applyNumberFormat="1" applyFont="1" applyFill="1" applyBorder="1" applyAlignment="1">
      <alignment horizontal="right"/>
    </xf>
    <xf numFmtId="9" fontId="29" fillId="3" borderId="2" xfId="2" applyFont="1" applyFill="1" applyBorder="1" applyAlignment="1">
      <alignment horizontal="center"/>
    </xf>
    <xf numFmtId="3" fontId="29" fillId="39" borderId="15" xfId="0" applyNumberFormat="1" applyFont="1" applyFill="1" applyBorder="1"/>
    <xf numFmtId="3" fontId="29" fillId="4" borderId="2" xfId="1" applyNumberFormat="1" applyFont="1" applyFill="1" applyBorder="1"/>
    <xf numFmtId="9" fontId="29" fillId="4" borderId="2" xfId="2" applyFont="1" applyFill="1" applyBorder="1" applyAlignment="1">
      <alignment horizontal="center"/>
    </xf>
    <xf numFmtId="9" fontId="29" fillId="43" borderId="2" xfId="2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9" fontId="29" fillId="3" borderId="1" xfId="2" applyFont="1" applyFill="1" applyBorder="1" applyAlignment="1">
      <alignment horizontal="center"/>
    </xf>
    <xf numFmtId="9" fontId="29" fillId="43" borderId="2" xfId="2" applyFont="1" applyFill="1" applyBorder="1" applyAlignment="1">
      <alignment horizontal="left" vertical="top" wrapText="1"/>
    </xf>
    <xf numFmtId="3" fontId="29" fillId="38" borderId="13" xfId="0" applyNumberFormat="1" applyFont="1" applyFill="1" applyBorder="1"/>
    <xf numFmtId="3" fontId="29" fillId="39" borderId="13" xfId="0" applyNumberFormat="1" applyFont="1" applyFill="1" applyBorder="1"/>
    <xf numFmtId="0" fontId="28" fillId="0" borderId="3" xfId="0" applyFont="1" applyBorder="1" applyAlignment="1">
      <alignment horizontal="center"/>
    </xf>
    <xf numFmtId="3" fontId="29" fillId="3" borderId="27" xfId="0" applyNumberFormat="1" applyFont="1" applyFill="1" applyBorder="1" applyAlignment="1">
      <alignment horizontal="right"/>
    </xf>
    <xf numFmtId="9" fontId="29" fillId="3" borderId="3" xfId="2" applyFont="1" applyFill="1" applyBorder="1" applyAlignment="1">
      <alignment horizontal="center"/>
    </xf>
    <xf numFmtId="3" fontId="29" fillId="4" borderId="37" xfId="1" applyNumberFormat="1" applyFont="1" applyFill="1" applyBorder="1"/>
    <xf numFmtId="3" fontId="29" fillId="4" borderId="27" xfId="1" applyNumberFormat="1" applyFont="1" applyFill="1" applyBorder="1"/>
    <xf numFmtId="9" fontId="29" fillId="4" borderId="27" xfId="2" applyFont="1" applyFill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3" fontId="28" fillId="5" borderId="1" xfId="0" applyNumberFormat="1" applyFont="1" applyFill="1" applyBorder="1" applyAlignment="1">
      <alignment horizontal="center"/>
    </xf>
    <xf numFmtId="9" fontId="28" fillId="5" borderId="1" xfId="2" applyFont="1" applyFill="1" applyBorder="1" applyAlignment="1">
      <alignment horizontal="center"/>
    </xf>
    <xf numFmtId="9" fontId="28" fillId="5" borderId="1" xfId="0" applyNumberFormat="1" applyFont="1" applyFill="1" applyBorder="1" applyAlignment="1">
      <alignment horizontal="center"/>
    </xf>
    <xf numFmtId="0" fontId="28" fillId="0" borderId="0" xfId="0" applyFont="1"/>
    <xf numFmtId="0" fontId="30" fillId="3" borderId="16" xfId="0" applyFont="1" applyFill="1" applyBorder="1" applyAlignment="1">
      <alignment horizontal="left" vertical="center" wrapText="1"/>
    </xf>
    <xf numFmtId="9" fontId="30" fillId="3" borderId="34" xfId="2" applyFont="1" applyFill="1" applyBorder="1" applyAlignment="1">
      <alignment horizontal="left" vertical="center" wrapText="1"/>
    </xf>
    <xf numFmtId="0" fontId="30" fillId="4" borderId="16" xfId="0" applyFont="1" applyFill="1" applyBorder="1" applyAlignment="1">
      <alignment horizontal="left" vertical="center"/>
    </xf>
    <xf numFmtId="0" fontId="30" fillId="4" borderId="16" xfId="0" applyFont="1" applyFill="1" applyBorder="1" applyAlignment="1">
      <alignment horizontal="left" vertical="center" wrapText="1"/>
    </xf>
    <xf numFmtId="9" fontId="30" fillId="4" borderId="34" xfId="2" applyFont="1" applyFill="1" applyBorder="1" applyAlignment="1">
      <alignment horizontal="left" vertical="center"/>
    </xf>
    <xf numFmtId="9" fontId="30" fillId="43" borderId="35" xfId="2" applyFont="1" applyFill="1" applyBorder="1" applyAlignment="1">
      <alignment horizontal="center" vertical="center"/>
    </xf>
    <xf numFmtId="9" fontId="30" fillId="43" borderId="36" xfId="2" applyFont="1" applyFill="1" applyBorder="1" applyAlignment="1">
      <alignment horizontal="center" vertical="center"/>
    </xf>
    <xf numFmtId="0" fontId="28" fillId="45" borderId="38" xfId="0" applyFont="1" applyFill="1" applyBorder="1" applyAlignment="1">
      <alignment horizontal="center"/>
    </xf>
    <xf numFmtId="3" fontId="32" fillId="3" borderId="15" xfId="0" applyNumberFormat="1" applyFont="1" applyFill="1" applyBorder="1" applyAlignment="1">
      <alignment horizontal="right"/>
    </xf>
    <xf numFmtId="9" fontId="32" fillId="3" borderId="15" xfId="2" applyFont="1" applyFill="1" applyBorder="1" applyAlignment="1">
      <alignment horizontal="center"/>
    </xf>
    <xf numFmtId="3" fontId="32" fillId="4" borderId="15" xfId="1" applyNumberFormat="1" applyFont="1" applyFill="1" applyBorder="1"/>
    <xf numFmtId="9" fontId="32" fillId="40" borderId="15" xfId="2" applyFont="1" applyFill="1" applyBorder="1" applyAlignment="1">
      <alignment horizontal="center"/>
    </xf>
    <xf numFmtId="9" fontId="32" fillId="3" borderId="13" xfId="2" applyFont="1" applyFill="1" applyBorder="1" applyAlignment="1">
      <alignment horizontal="center"/>
    </xf>
    <xf numFmtId="9" fontId="32" fillId="40" borderId="13" xfId="2" applyFont="1" applyFill="1" applyBorder="1" applyAlignment="1">
      <alignment horizontal="center"/>
    </xf>
    <xf numFmtId="9" fontId="32" fillId="37" borderId="17" xfId="0" applyNumberFormat="1" applyFont="1" applyFill="1" applyBorder="1" applyAlignment="1">
      <alignment horizontal="center" vertical="center"/>
    </xf>
    <xf numFmtId="9" fontId="32" fillId="37" borderId="21" xfId="0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/>
    </xf>
    <xf numFmtId="0" fontId="33" fillId="2" borderId="14" xfId="0" applyFont="1" applyFill="1" applyBorder="1" applyAlignment="1">
      <alignment horizontal="center" vertical="center" wrapText="1"/>
    </xf>
    <xf numFmtId="0" fontId="33" fillId="2" borderId="14" xfId="0" applyFont="1" applyFill="1" applyBorder="1" applyAlignment="1">
      <alignment horizontal="left" vertical="center" wrapText="1"/>
    </xf>
    <xf numFmtId="0" fontId="35" fillId="45" borderId="38" xfId="0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3" fontId="32" fillId="37" borderId="17" xfId="0" applyNumberFormat="1" applyFont="1" applyFill="1" applyBorder="1" applyAlignment="1">
      <alignment horizontal="center" vertical="center"/>
    </xf>
    <xf numFmtId="3" fontId="32" fillId="37" borderId="17" xfId="1" applyNumberFormat="1" applyFont="1" applyFill="1" applyBorder="1" applyAlignment="1">
      <alignment horizontal="center" vertical="center"/>
    </xf>
    <xf numFmtId="49" fontId="29" fillId="43" borderId="2" xfId="2" applyNumberFormat="1" applyFont="1" applyFill="1" applyBorder="1" applyAlignment="1">
      <alignment horizontal="center" wrapText="1"/>
    </xf>
    <xf numFmtId="49" fontId="29" fillId="43" borderId="2" xfId="2" applyNumberFormat="1" applyFont="1" applyFill="1" applyBorder="1" applyAlignment="1">
      <alignment horizontal="left" vertical="top" wrapText="1"/>
    </xf>
    <xf numFmtId="3" fontId="36" fillId="3" borderId="38" xfId="0" applyNumberFormat="1" applyFont="1" applyFill="1" applyBorder="1" applyAlignment="1">
      <alignment horizontal="right"/>
    </xf>
    <xf numFmtId="49" fontId="29" fillId="43" borderId="27" xfId="2" applyNumberFormat="1" applyFont="1" applyFill="1" applyBorder="1" applyAlignment="1">
      <alignment horizontal="left" vertical="top" wrapText="1"/>
    </xf>
    <xf numFmtId="49" fontId="29" fillId="43" borderId="2" xfId="2" applyNumberFormat="1" applyFont="1" applyFill="1" applyBorder="1" applyAlignment="1">
      <alignment horizontal="left" wrapText="1"/>
    </xf>
    <xf numFmtId="0" fontId="35" fillId="45" borderId="38" xfId="0" applyFont="1" applyFill="1" applyBorder="1" applyAlignment="1">
      <alignment horizontal="center" vertical="center"/>
    </xf>
    <xf numFmtId="0" fontId="28" fillId="45" borderId="38" xfId="0" applyFont="1" applyFill="1" applyBorder="1" applyAlignment="1">
      <alignment horizontal="center" vertical="center"/>
    </xf>
    <xf numFmtId="3" fontId="32" fillId="3" borderId="15" xfId="0" applyNumberFormat="1" applyFont="1" applyFill="1" applyBorder="1" applyAlignment="1">
      <alignment horizontal="right" vertical="center"/>
    </xf>
    <xf numFmtId="9" fontId="32" fillId="3" borderId="15" xfId="2" applyFont="1" applyFill="1" applyBorder="1" applyAlignment="1">
      <alignment horizontal="center" vertical="center"/>
    </xf>
    <xf numFmtId="3" fontId="32" fillId="4" borderId="15" xfId="1" applyNumberFormat="1" applyFont="1" applyFill="1" applyBorder="1" applyAlignment="1">
      <alignment vertical="center"/>
    </xf>
    <xf numFmtId="9" fontId="32" fillId="40" borderId="15" xfId="2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9" fontId="32" fillId="3" borderId="13" xfId="2" applyFont="1" applyFill="1" applyBorder="1" applyAlignment="1">
      <alignment horizontal="center" vertical="center"/>
    </xf>
    <xf numFmtId="9" fontId="32" fillId="40" borderId="13" xfId="2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31" fillId="44" borderId="22" xfId="0" applyFont="1" applyFill="1" applyBorder="1" applyAlignment="1">
      <alignment horizontal="center" vertical="center"/>
    </xf>
    <xf numFmtId="0" fontId="31" fillId="44" borderId="23" xfId="0" applyFont="1" applyFill="1" applyBorder="1" applyAlignment="1">
      <alignment horizontal="center" vertical="center"/>
    </xf>
    <xf numFmtId="0" fontId="26" fillId="41" borderId="0" xfId="0" applyFont="1" applyFill="1" applyAlignment="1">
      <alignment horizontal="center" wrapText="1"/>
    </xf>
    <xf numFmtId="0" fontId="25" fillId="42" borderId="0" xfId="0" applyFont="1" applyFill="1" applyAlignment="1">
      <alignment horizontal="center" wrapText="1"/>
    </xf>
    <xf numFmtId="0" fontId="34" fillId="2" borderId="24" xfId="0" applyFont="1" applyFill="1" applyBorder="1" applyAlignment="1">
      <alignment horizontal="center" vertical="center" wrapText="1"/>
    </xf>
    <xf numFmtId="0" fontId="34" fillId="2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/>
    </xf>
    <xf numFmtId="0" fontId="7" fillId="5" borderId="29" xfId="0" applyFont="1" applyFill="1" applyBorder="1" applyAlignment="1">
      <alignment horizontal="center"/>
    </xf>
    <xf numFmtId="0" fontId="7" fillId="5" borderId="30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2:E4" totalsRowShown="0">
  <autoFilter ref="A2:E4" xr:uid="{C9C95D9E-67ED-41E0-9F41-9C3DA4ACF4CD}"/>
  <sortState xmlns:xlrd2="http://schemas.microsoft.com/office/spreadsheetml/2017/richdata2" ref="A3:E4">
    <sortCondition ref="C3:C4"/>
    <sortCondition ref="B3:B4"/>
  </sortState>
  <tableColumns count="5">
    <tableColumn id="3" xr3:uid="{3FB6FBC9-911C-415A-89D1-91E602B41CD0}" name="Site DAS Name" dataDxfId="34" dataCellStyle="Normal 2"/>
    <tableColumn id="1" xr3:uid="{9A753695-C18C-437C-AD9C-C2CE5C1A806E}" name="Site" dataDxfId="33" dataCellStyle="Normal 2"/>
    <tableColumn id="2" xr3:uid="{250F229D-34D2-4043-BE8F-6D9C210E223F}" name="State" dataDxfId="32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3EEF7C6-5546-45C7-990F-851AA4C662FC}" name="Data213" displayName="Data213" ref="A4:J16" totalsRowShown="0" headerRowDxfId="29" dataDxfId="28" headerRowBorderDxfId="26" tableBorderDxfId="27" dataCellStyle="Percent">
  <autoFilter ref="A4:J16" xr:uid="{D3EEF7C6-5546-45C7-990F-851AA4C662FC}"/>
  <tableColumns count="10">
    <tableColumn id="1" xr3:uid="{A191EE12-3FD2-4A5B-B66A-E6E29A36A7A5}" name="Month" dataDxfId="25"/>
    <tableColumn id="2" xr3:uid="{43ACE17D-95C2-4D85-8539-0A43DED8D495}" name="Actual" dataDxfId="24"/>
    <tableColumn id="3" xr3:uid="{7A2B5D12-F08B-4AE4-9AD5-D1E35A67DFF1}" name="Expected" dataDxfId="23"/>
    <tableColumn id="4" xr3:uid="{8CAEB585-20A6-4981-8AF5-F5046984FB02}" name="Delta Expected" dataDxfId="22">
      <calculatedColumnFormula>B5-C5</calculatedColumnFormula>
    </tableColumn>
    <tableColumn id="5" xr3:uid="{4C262FB7-AF12-4240-8FE1-5711C11E958F}" name="% Expected" dataDxfId="21" dataCellStyle="Percent">
      <calculatedColumnFormula>IFERROR(D5/C5, 0)</calculatedColumnFormula>
    </tableColumn>
    <tableColumn id="6" xr3:uid="{348E3C66-E4A9-4633-B920-AB84EB68A327}" name="Forecasted" dataDxfId="20"/>
    <tableColumn id="7" xr3:uid="{F2A1622D-26EB-4465-A86B-476F3813167A}" name="Delta Forecasted" dataDxfId="19" dataCellStyle="Comma">
      <calculatedColumnFormula>B5-F5</calculatedColumnFormula>
    </tableColumn>
    <tableColumn id="8" xr3:uid="{C7DCA6BC-7D8C-4F77-9A93-7F40451A2C5C}" name="% Forecasted" dataDxfId="18" dataCellStyle="Percent">
      <calculatedColumnFormula>IFERROR(G5/F5, 0)</calculatedColumnFormula>
    </tableColumn>
    <tableColumn id="9" xr3:uid="{B6ED3D4A-832D-4DD0-B569-F26D8034F0F2}" name="Notes" dataDxfId="17" dataCellStyle="Percent"/>
    <tableColumn id="10" xr3:uid="{31B5E61E-AFD2-4382-B522-C84C145D11D4}" name="Service Request" dataDxfId="16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C13659-4F18-4748-A097-E792CB3B6C04}" name="Data214" displayName="Data214" ref="A4:J16" totalsRowShown="0" headerRowDxfId="13" dataDxfId="12" headerRowBorderDxfId="10" tableBorderDxfId="11" dataCellStyle="Percent">
  <autoFilter ref="A4:J16" xr:uid="{43C13659-4F18-4748-A097-E792CB3B6C04}"/>
  <tableColumns count="10">
    <tableColumn id="1" xr3:uid="{B781D51D-C332-4E3B-98AD-8921AABA791F}" name="Month" dataDxfId="9"/>
    <tableColumn id="2" xr3:uid="{C408D52C-6DE8-448D-B816-05B8105E7C3F}" name="Actual" dataDxfId="8"/>
    <tableColumn id="3" xr3:uid="{A6D5D391-9566-4A1B-BB18-EA27B937A809}" name="Expected" dataDxfId="7"/>
    <tableColumn id="4" xr3:uid="{77FF61A4-0D83-48AC-9E42-2BD08347B35F}" name="Delta Expected" dataDxfId="6">
      <calculatedColumnFormula>B5-C5</calculatedColumnFormula>
    </tableColumn>
    <tableColumn id="5" xr3:uid="{1A42135F-86E7-4109-9233-98B12071A066}" name="% Expected" dataDxfId="5" dataCellStyle="Percent">
      <calculatedColumnFormula>IFERROR(D5/C5, 0)</calculatedColumnFormula>
    </tableColumn>
    <tableColumn id="6" xr3:uid="{23839A71-ADD5-46B3-AA1E-34176B4D7B82}" name="Forecasted" dataDxfId="4"/>
    <tableColumn id="7" xr3:uid="{188BC2D6-3D34-4819-BD0B-181A968B9FCD}" name="Delta Forecasted" dataDxfId="3" dataCellStyle="Comma">
      <calculatedColumnFormula>B5-F5</calculatedColumnFormula>
    </tableColumn>
    <tableColumn id="8" xr3:uid="{7C2D2CDB-6392-4A8E-BEF1-8B6F1D5A5066}" name="% Forecasted" dataDxfId="2" dataCellStyle="Percent">
      <calculatedColumnFormula>IFERROR(G5/F5, 0)</calculatedColumnFormula>
    </tableColumn>
    <tableColumn id="9" xr3:uid="{CEAE4AEE-C1B1-4575-9F00-ED93A7C8F992}" name="Notes" dataDxfId="1" dataCellStyle="Percent"/>
    <tableColumn id="10" xr3:uid="{16B0D3B4-D2F9-4E3F-9EED-4542C650BD2C}" name="Service Request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I10"/>
  <sheetViews>
    <sheetView workbookViewId="0">
      <pane ySplit="2" topLeftCell="A3" activePane="bottomLeft" state="frozen"/>
      <selection pane="bottomLeft" activeCell="A5" sqref="A5:XFD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3" t="str" cm="1">
        <f t="array" ref="A1">portfolio</f>
        <v>Walden Renewables</v>
      </c>
      <c r="B1" s="84"/>
      <c r="C1" s="85" t="s">
        <v>0</v>
      </c>
      <c r="D1" s="86"/>
      <c r="E1" s="86"/>
      <c r="F1" s="87"/>
      <c r="G1" s="77" t="s">
        <v>1</v>
      </c>
      <c r="H1" s="77"/>
      <c r="I1" s="78"/>
    </row>
    <row r="2" spans="1:9" ht="14.25" customHeight="1">
      <c r="A2" s="56" t="s">
        <v>2</v>
      </c>
      <c r="B2" s="57" t="s">
        <v>3</v>
      </c>
      <c r="C2" s="5" t="s">
        <v>4</v>
      </c>
      <c r="D2" s="54" t="s">
        <v>5</v>
      </c>
      <c r="E2" s="5" t="s">
        <v>6</v>
      </c>
      <c r="F2" s="6" t="s">
        <v>7</v>
      </c>
      <c r="G2" s="55" t="s">
        <v>8</v>
      </c>
      <c r="H2" s="7" t="s">
        <v>6</v>
      </c>
      <c r="I2" s="9" t="s">
        <v>7</v>
      </c>
    </row>
    <row r="3" spans="1:9" ht="15.75">
      <c r="A3" s="58" t="str" cm="1">
        <f t="array" ref="A3:A4">Sites[Site]</f>
        <v>CCC College</v>
      </c>
      <c r="B3" s="45" t="str" cm="1">
        <f t="array" ref="B3:B4">Sites[State]</f>
        <v>MA</v>
      </c>
      <c r="C3" s="46">
        <f ca="1">SUM('1st Qtr'!C3, '2nd Qtr'!C3, '3rd Qtr'!C3, '4th Qtr'!C3)</f>
        <v>34678</v>
      </c>
      <c r="D3" s="46">
        <f ca="1">SUM('1st Qtr'!D3, '2nd Qtr'!D3, '3rd Qtr'!D3, '4th Qtr'!D3)</f>
        <v>0</v>
      </c>
      <c r="E3" s="46">
        <f ca="1">C3-D3</f>
        <v>34678</v>
      </c>
      <c r="F3" s="47">
        <f ca="1">IFERROR(E3/D3, 0)</f>
        <v>0</v>
      </c>
      <c r="G3" s="48">
        <f ca="1">SUM('1st Qtr'!G3, '2nd Qtr'!G3, '3rd Qtr'!G3, '4th Qtr'!G3)</f>
        <v>0</v>
      </c>
      <c r="H3" s="48">
        <f ca="1">C3-G3</f>
        <v>34678</v>
      </c>
      <c r="I3" s="49">
        <f ca="1">IFERROR(H3/G3, 0)</f>
        <v>0</v>
      </c>
    </row>
    <row r="4" spans="1:9" ht="15.75">
      <c r="A4" s="59" t="str">
        <v>Walden Liberty</v>
      </c>
      <c r="B4" s="22" t="str">
        <v>MA</v>
      </c>
      <c r="C4" s="46">
        <f ca="1">SUM('1st Qtr'!C4, '2nd Qtr'!C4, '3rd Qtr'!C4, '4th Qtr'!C4)</f>
        <v>4938</v>
      </c>
      <c r="D4" s="46">
        <f ca="1">SUM('1st Qtr'!D4, '2nd Qtr'!D4, '3rd Qtr'!D4, '4th Qtr'!D4)</f>
        <v>0</v>
      </c>
      <c r="E4" s="46">
        <f t="shared" ref="E4" ca="1" si="0">C4-D4</f>
        <v>4938</v>
      </c>
      <c r="F4" s="47">
        <f t="shared" ref="F4" ca="1" si="1">IFERROR(E4/D4, 0)</f>
        <v>0</v>
      </c>
      <c r="G4" s="48">
        <f ca="1">SUM('1st Qtr'!G4, '2nd Qtr'!G4, '3rd Qtr'!G4, '4th Qtr'!G4)</f>
        <v>0</v>
      </c>
      <c r="H4" s="48">
        <f t="shared" ref="H4" ca="1" si="2">C4-G4</f>
        <v>4938</v>
      </c>
      <c r="I4" s="49">
        <f t="shared" ref="I4" ca="1" si="3">IFERROR(H4/G4, 0)</f>
        <v>0</v>
      </c>
    </row>
    <row r="5" spans="1:9" ht="24.75" customHeight="1">
      <c r="A5" s="79" t="s">
        <v>9</v>
      </c>
      <c r="B5" s="80"/>
      <c r="C5" s="60">
        <f ca="1">SUM(C3:C4)</f>
        <v>39616</v>
      </c>
      <c r="D5" s="60">
        <f ca="1">SUM(D3:D4)</f>
        <v>0</v>
      </c>
      <c r="E5" s="60">
        <f ca="1">C5-D5</f>
        <v>39616</v>
      </c>
      <c r="F5" s="52">
        <f ca="1">IFERROR(E5/D5, 0)</f>
        <v>0</v>
      </c>
      <c r="G5" s="60">
        <f ca="1">SUM(G3:G4)</f>
        <v>0</v>
      </c>
      <c r="H5" s="61">
        <f ca="1">C5-G5</f>
        <v>39616</v>
      </c>
      <c r="I5" s="53">
        <f ca="1">IFERROR(H5/G5, 0)</f>
        <v>0</v>
      </c>
    </row>
    <row r="7" spans="1:9" ht="12.75" customHeight="1">
      <c r="A7" s="81" t="s">
        <v>10</v>
      </c>
    </row>
    <row r="8" spans="1:9">
      <c r="A8" s="81"/>
    </row>
    <row r="9" spans="1:9">
      <c r="A9" s="82" t="s">
        <v>11</v>
      </c>
    </row>
    <row r="10" spans="1:9" ht="12.75" customHeight="1">
      <c r="A10" s="82"/>
    </row>
  </sheetData>
  <autoFilter ref="A2:I2" xr:uid="{D5C25034-9971-4A61-864F-C938F31EB1B8}"/>
  <mergeCells count="6">
    <mergeCell ref="G1:I1"/>
    <mergeCell ref="A5:B5"/>
    <mergeCell ref="A7:A8"/>
    <mergeCell ref="A9:A10"/>
    <mergeCell ref="A1:B1"/>
    <mergeCell ref="C1:F1"/>
  </mergeCells>
  <conditionalFormatting sqref="F3:F5 I3:I5">
    <cfRule type="cellIs" dxfId="68" priority="1" operator="lessThanOrEqual">
      <formula>-0.1</formula>
    </cfRule>
    <cfRule type="cellIs" dxfId="67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10"/>
  <sheetViews>
    <sheetView workbookViewId="0">
      <pane ySplit="2" topLeftCell="A3" activePane="bottomLeft" state="frozen"/>
      <selection pane="bottomLeft" activeCell="A49" sqref="A4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3" t="str" cm="1">
        <f t="array" ref="A1">portfolio</f>
        <v>Walden Renewables</v>
      </c>
      <c r="B1" s="84"/>
      <c r="C1" s="85" t="s">
        <v>12</v>
      </c>
      <c r="D1" s="86"/>
      <c r="E1" s="86"/>
      <c r="F1" s="87"/>
      <c r="G1" s="77" t="s">
        <v>13</v>
      </c>
      <c r="H1" s="77"/>
      <c r="I1" s="78"/>
    </row>
    <row r="2" spans="1:9" ht="14.25" customHeight="1">
      <c r="A2" s="56" t="s">
        <v>2</v>
      </c>
      <c r="B2" s="57" t="s">
        <v>3</v>
      </c>
      <c r="C2" s="5" t="s">
        <v>4</v>
      </c>
      <c r="D2" s="54" t="s">
        <v>5</v>
      </c>
      <c r="E2" s="5" t="s">
        <v>6</v>
      </c>
      <c r="F2" s="6" t="s">
        <v>7</v>
      </c>
      <c r="G2" s="55" t="s">
        <v>8</v>
      </c>
      <c r="H2" s="7" t="s">
        <v>6</v>
      </c>
      <c r="I2" s="9" t="s">
        <v>7</v>
      </c>
    </row>
    <row r="3" spans="1:9" ht="15.75">
      <c r="A3" s="58" t="str" cm="1">
        <f t="array" ref="A3:A4">Sites[Site]</f>
        <v>CCC College</v>
      </c>
      <c r="B3" s="45" t="str" cm="1">
        <f t="array" ref="B3:B4">Sites[State]</f>
        <v>MA</v>
      </c>
      <c r="C3" s="46">
        <f ca="1">SUM(Jan!C3, Feb!C3, Mar!C3)</f>
        <v>34678</v>
      </c>
      <c r="D3" s="46">
        <f ca="1">SUM(Jan!D3, Feb!D3, Mar!D3)</f>
        <v>0</v>
      </c>
      <c r="E3" s="46">
        <f ca="1">C3-D3</f>
        <v>34678</v>
      </c>
      <c r="F3" s="47">
        <f ca="1">IFERROR(E3/D3, 0)</f>
        <v>0</v>
      </c>
      <c r="G3" s="48">
        <f ca="1">SUM(Jan!G3, Feb!G3, Mar!G3)</f>
        <v>0</v>
      </c>
      <c r="H3" s="48">
        <f ca="1">C3-G3</f>
        <v>34678</v>
      </c>
      <c r="I3" s="49">
        <f ca="1">IFERROR(H3/G3, 0)</f>
        <v>0</v>
      </c>
    </row>
    <row r="4" spans="1:9" ht="15.75">
      <c r="A4" s="59" t="str">
        <v>Walden Liberty</v>
      </c>
      <c r="B4" s="22" t="str">
        <v>MA</v>
      </c>
      <c r="C4" s="46">
        <f ca="1">SUM(Jan!C4, Feb!C4, Mar!C4)</f>
        <v>4938</v>
      </c>
      <c r="D4" s="46">
        <f ca="1">SUM(Jan!D4, Feb!D4, Mar!D4)</f>
        <v>0</v>
      </c>
      <c r="E4" s="46">
        <f t="shared" ref="E4" ca="1" si="0">C4-D4</f>
        <v>4938</v>
      </c>
      <c r="F4" s="47">
        <f t="shared" ref="F4" ca="1" si="1">IFERROR(E4/D4, 0)</f>
        <v>0</v>
      </c>
      <c r="G4" s="48">
        <f ca="1">SUM(Jan!G4, Feb!G4, Mar!G4)</f>
        <v>0</v>
      </c>
      <c r="H4" s="48">
        <f t="shared" ref="H4" ca="1" si="2">C4-G4</f>
        <v>4938</v>
      </c>
      <c r="I4" s="49">
        <f t="shared" ref="I4" ca="1" si="3">IFERROR(H4/G4, 0)</f>
        <v>0</v>
      </c>
    </row>
    <row r="5" spans="1:9" ht="24.75" customHeight="1">
      <c r="A5" s="79" t="s">
        <v>9</v>
      </c>
      <c r="B5" s="80"/>
      <c r="C5" s="60">
        <f ca="1">SUM(C3:C4)</f>
        <v>39616</v>
      </c>
      <c r="D5" s="60">
        <f ca="1">SUM(D3:D4)</f>
        <v>0</v>
      </c>
      <c r="E5" s="60">
        <f ca="1">C5-D5</f>
        <v>39616</v>
      </c>
      <c r="F5" s="52">
        <f ca="1">IFERROR(E5/D5, 0)</f>
        <v>0</v>
      </c>
      <c r="G5" s="60">
        <f ca="1">SUM(G3:G4)</f>
        <v>0</v>
      </c>
      <c r="H5" s="61">
        <f ca="1">C5-G5</f>
        <v>39616</v>
      </c>
      <c r="I5" s="53">
        <f ca="1">IFERROR(H5/G5, 0)</f>
        <v>0</v>
      </c>
    </row>
    <row r="7" spans="1:9" ht="12.75" customHeight="1">
      <c r="A7" s="81" t="s">
        <v>10</v>
      </c>
    </row>
    <row r="8" spans="1:9">
      <c r="A8" s="81"/>
    </row>
    <row r="9" spans="1:9">
      <c r="A9" s="82" t="s">
        <v>11</v>
      </c>
    </row>
    <row r="10" spans="1:9" ht="12.75" customHeight="1">
      <c r="A10" s="82"/>
    </row>
  </sheetData>
  <autoFilter ref="A2:I2" xr:uid="{00000000-0001-0000-0000-000000000000}"/>
  <sortState xmlns:xlrd2="http://schemas.microsoft.com/office/spreadsheetml/2017/richdata2" ref="A3:I3">
    <sortCondition ref="A3"/>
  </sortState>
  <mergeCells count="6">
    <mergeCell ref="G1:I1"/>
    <mergeCell ref="A5:B5"/>
    <mergeCell ref="A7:A8"/>
    <mergeCell ref="A9:A10"/>
    <mergeCell ref="A1:B1"/>
    <mergeCell ref="C1:F1"/>
  </mergeCells>
  <conditionalFormatting sqref="F3:F5 I3:I5">
    <cfRule type="cellIs" dxfId="66" priority="1" operator="lessThanOrEqual">
      <formula>-0.1</formula>
    </cfRule>
    <cfRule type="cellIs" dxfId="65" priority="2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10"/>
  <sheetViews>
    <sheetView workbookViewId="0">
      <pane ySplit="2" topLeftCell="A3" activePane="bottomLeft" state="frozen"/>
      <selection pane="bottomLeft" activeCell="A5" sqref="A5:B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3" t="str" cm="1">
        <f t="array" ref="A1">portfolio</f>
        <v>Walden Renewables</v>
      </c>
      <c r="B1" s="84"/>
      <c r="C1" s="85" t="s">
        <v>14</v>
      </c>
      <c r="D1" s="86"/>
      <c r="E1" s="86"/>
      <c r="F1" s="87"/>
      <c r="G1" s="77" t="s">
        <v>15</v>
      </c>
      <c r="H1" s="77"/>
      <c r="I1" s="78"/>
    </row>
    <row r="2" spans="1:9" ht="14.25" customHeight="1">
      <c r="A2" s="56" t="s">
        <v>2</v>
      </c>
      <c r="B2" s="57" t="s">
        <v>3</v>
      </c>
      <c r="C2" s="5" t="s">
        <v>4</v>
      </c>
      <c r="D2" s="54" t="s">
        <v>5</v>
      </c>
      <c r="E2" s="5" t="s">
        <v>6</v>
      </c>
      <c r="F2" s="6" t="s">
        <v>7</v>
      </c>
      <c r="G2" s="55" t="s">
        <v>8</v>
      </c>
      <c r="H2" s="7" t="s">
        <v>6</v>
      </c>
      <c r="I2" s="9" t="s">
        <v>7</v>
      </c>
    </row>
    <row r="3" spans="1:9" ht="15.75">
      <c r="A3" s="58" t="str" cm="1">
        <f t="array" ref="A3:A4">Sites[Site]</f>
        <v>CCC College</v>
      </c>
      <c r="B3" s="45" t="str" cm="1">
        <f t="array" ref="B3:B4">Sites[State]</f>
        <v>MA</v>
      </c>
      <c r="C3" s="46">
        <f ca="1">SUM(Apr!C3, May!C3, Jun!C3)</f>
        <v>0</v>
      </c>
      <c r="D3" s="46">
        <f ca="1">SUM(Apr!D3, May!D3, Jun!D3)</f>
        <v>0</v>
      </c>
      <c r="E3" s="46">
        <f ca="1">C3-D3</f>
        <v>0</v>
      </c>
      <c r="F3" s="47">
        <f ca="1">IFERROR(E3/D3, 0)</f>
        <v>0</v>
      </c>
      <c r="G3" s="48">
        <f ca="1">SUM(Apr!G3, May!G3, Jun!G3)</f>
        <v>0</v>
      </c>
      <c r="H3" s="48">
        <f ca="1">C3-G3</f>
        <v>0</v>
      </c>
      <c r="I3" s="49">
        <f ca="1">IFERROR(H3/G3, 0)</f>
        <v>0</v>
      </c>
    </row>
    <row r="4" spans="1:9" ht="15.75">
      <c r="A4" s="59" t="str">
        <v>Walden Liberty</v>
      </c>
      <c r="B4" s="22" t="str">
        <v>MA</v>
      </c>
      <c r="C4" s="46">
        <f ca="1">SUM(Apr!C4, May!C4, Jun!C4)</f>
        <v>0</v>
      </c>
      <c r="D4" s="46">
        <f ca="1">SUM(Apr!D4, May!D4, Jun!D4)</f>
        <v>0</v>
      </c>
      <c r="E4" s="46">
        <f t="shared" ref="E4" ca="1" si="0">C4-D4</f>
        <v>0</v>
      </c>
      <c r="F4" s="47">
        <f t="shared" ref="F4" ca="1" si="1">IFERROR(E4/D4, 0)</f>
        <v>0</v>
      </c>
      <c r="G4" s="48">
        <f ca="1">SUM(Apr!G4, May!G4, Jun!G4)</f>
        <v>0</v>
      </c>
      <c r="H4" s="48">
        <f t="shared" ref="H4" ca="1" si="2">C4-G4</f>
        <v>0</v>
      </c>
      <c r="I4" s="49">
        <f t="shared" ref="I4" ca="1" si="3">IFERROR(H4/G4, 0)</f>
        <v>0</v>
      </c>
    </row>
    <row r="5" spans="1:9" ht="24.75" customHeight="1">
      <c r="A5" s="79" t="s">
        <v>9</v>
      </c>
      <c r="B5" s="80"/>
      <c r="C5" s="60">
        <f ca="1">SUM(C3:C4)</f>
        <v>0</v>
      </c>
      <c r="D5" s="60">
        <f ca="1">SUM(D3:D4)</f>
        <v>0</v>
      </c>
      <c r="E5" s="60">
        <f ca="1">C5-D5</f>
        <v>0</v>
      </c>
      <c r="F5" s="52">
        <f ca="1">IFERROR(E5/D5, 0)</f>
        <v>0</v>
      </c>
      <c r="G5" s="60">
        <f ca="1">SUM(G3:G4)</f>
        <v>0</v>
      </c>
      <c r="H5" s="61">
        <f ca="1">C5-G5</f>
        <v>0</v>
      </c>
      <c r="I5" s="53">
        <f ca="1">IFERROR(H5/G5, 0)</f>
        <v>0</v>
      </c>
    </row>
    <row r="7" spans="1:9" ht="12.75" customHeight="1">
      <c r="A7" s="81" t="s">
        <v>10</v>
      </c>
    </row>
    <row r="8" spans="1:9">
      <c r="A8" s="81"/>
    </row>
    <row r="9" spans="1:9">
      <c r="A9" s="82" t="s">
        <v>11</v>
      </c>
    </row>
    <row r="10" spans="1:9" ht="12.75" customHeight="1">
      <c r="A10" s="82"/>
    </row>
  </sheetData>
  <autoFilter ref="A2:I2" xr:uid="{38E74E64-E3A4-43F8-9B1A-78F26543F23E}"/>
  <sortState xmlns:xlrd2="http://schemas.microsoft.com/office/spreadsheetml/2017/richdata2" ref="A3:I4">
    <sortCondition ref="A3:A4"/>
  </sortState>
  <mergeCells count="6">
    <mergeCell ref="G1:I1"/>
    <mergeCell ref="A5:B5"/>
    <mergeCell ref="A7:A8"/>
    <mergeCell ref="A9:A10"/>
    <mergeCell ref="A1:B1"/>
    <mergeCell ref="C1:F1"/>
  </mergeCells>
  <conditionalFormatting sqref="F3:F5 I3:I5">
    <cfRule type="cellIs" dxfId="64" priority="3" operator="lessThanOrEqual">
      <formula>-0.1</formula>
    </cfRule>
    <cfRule type="cellIs" dxfId="63" priority="4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10"/>
  <sheetViews>
    <sheetView workbookViewId="0">
      <pane ySplit="2" topLeftCell="A3" activePane="bottomLeft" state="frozen"/>
      <selection pane="bottomLeft" activeCell="E15" sqref="E1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3" t="str" cm="1">
        <f t="array" ref="A1">portfolio</f>
        <v>Walden Renewables</v>
      </c>
      <c r="B1" s="84"/>
      <c r="C1" s="85" t="s">
        <v>16</v>
      </c>
      <c r="D1" s="86"/>
      <c r="E1" s="86"/>
      <c r="F1" s="87"/>
      <c r="G1" s="77" t="s">
        <v>17</v>
      </c>
      <c r="H1" s="77"/>
      <c r="I1" s="78"/>
    </row>
    <row r="2" spans="1:9" ht="14.25" customHeight="1">
      <c r="A2" s="56" t="s">
        <v>2</v>
      </c>
      <c r="B2" s="57" t="s">
        <v>3</v>
      </c>
      <c r="C2" s="5" t="s">
        <v>4</v>
      </c>
      <c r="D2" s="54" t="s">
        <v>5</v>
      </c>
      <c r="E2" s="5" t="s">
        <v>6</v>
      </c>
      <c r="F2" s="6" t="s">
        <v>7</v>
      </c>
      <c r="G2" s="55" t="s">
        <v>8</v>
      </c>
      <c r="H2" s="7" t="s">
        <v>6</v>
      </c>
      <c r="I2" s="9" t="s">
        <v>7</v>
      </c>
    </row>
    <row r="3" spans="1:9" ht="15.75">
      <c r="A3" s="58" t="str" cm="1">
        <f t="array" ref="A3:A4">Sites[Site]</f>
        <v>CCC College</v>
      </c>
      <c r="B3" s="45" t="str" cm="1">
        <f t="array" ref="B3:B4">Sites[State]</f>
        <v>MA</v>
      </c>
      <c r="C3" s="46">
        <f ca="1">SUM(Jul!C3, Aug!C3, Sep!C3)</f>
        <v>0</v>
      </c>
      <c r="D3" s="46">
        <f ca="1">SUM(Jul!D3, Aug!D3, Sep!D3)</f>
        <v>0</v>
      </c>
      <c r="E3" s="46">
        <f ca="1">C3-D3</f>
        <v>0</v>
      </c>
      <c r="F3" s="47">
        <f ca="1">IFERROR(E3/D3, 0)</f>
        <v>0</v>
      </c>
      <c r="G3" s="48">
        <f ca="1">SUM(Jul!G3, Aug!G3, Sep!G3)</f>
        <v>0</v>
      </c>
      <c r="H3" s="48">
        <f ca="1">C3-G3</f>
        <v>0</v>
      </c>
      <c r="I3" s="49">
        <f ca="1">IFERROR(H3/G3, 0)</f>
        <v>0</v>
      </c>
    </row>
    <row r="4" spans="1:9" ht="15.75">
      <c r="A4" s="59" t="str">
        <v>Walden Liberty</v>
      </c>
      <c r="B4" s="22" t="str">
        <v>MA</v>
      </c>
      <c r="C4" s="46">
        <f ca="1">SUM(Jul!C4, Aug!C4, Sep!C4)</f>
        <v>0</v>
      </c>
      <c r="D4" s="46">
        <f ca="1">SUM(Jul!D4, Aug!D4, Sep!D4)</f>
        <v>0</v>
      </c>
      <c r="E4" s="46">
        <f t="shared" ref="E4" ca="1" si="0">C4-D4</f>
        <v>0</v>
      </c>
      <c r="F4" s="47">
        <f t="shared" ref="F4" ca="1" si="1">IFERROR(E4/D4, 0)</f>
        <v>0</v>
      </c>
      <c r="G4" s="48">
        <f ca="1">SUM(Jul!G4, Aug!G4, Sep!G4)</f>
        <v>0</v>
      </c>
      <c r="H4" s="48">
        <f t="shared" ref="H4" ca="1" si="2">C4-G4</f>
        <v>0</v>
      </c>
      <c r="I4" s="49">
        <f t="shared" ref="I4" ca="1" si="3">IFERROR(H4/G4, 0)</f>
        <v>0</v>
      </c>
    </row>
    <row r="5" spans="1:9" ht="24.75" customHeight="1">
      <c r="A5" s="79" t="s">
        <v>9</v>
      </c>
      <c r="B5" s="80"/>
      <c r="C5" s="60">
        <f ca="1">SUM(C3:C4)</f>
        <v>0</v>
      </c>
      <c r="D5" s="60">
        <f ca="1">SUM(D3:D4)</f>
        <v>0</v>
      </c>
      <c r="E5" s="60">
        <f ca="1">C5-D5</f>
        <v>0</v>
      </c>
      <c r="F5" s="52">
        <f ca="1">IFERROR(E5/D5, 0)</f>
        <v>0</v>
      </c>
      <c r="G5" s="60">
        <f ca="1">SUM(G3:G4)</f>
        <v>0</v>
      </c>
      <c r="H5" s="61">
        <f ca="1">C5-G5</f>
        <v>0</v>
      </c>
      <c r="I5" s="53">
        <f ca="1">IFERROR(H5/G5, 0)</f>
        <v>0</v>
      </c>
    </row>
    <row r="7" spans="1:9" ht="12.75" customHeight="1">
      <c r="A7" s="81" t="s">
        <v>10</v>
      </c>
    </row>
    <row r="8" spans="1:9">
      <c r="A8" s="81"/>
    </row>
    <row r="9" spans="1:9" ht="12.75" customHeight="1">
      <c r="A9" s="82" t="s">
        <v>11</v>
      </c>
    </row>
    <row r="10" spans="1:9">
      <c r="A10" s="82"/>
    </row>
  </sheetData>
  <autoFilter ref="A2:I2" xr:uid="{CACFAF7D-C0A7-49C0-9FFC-8D8BC8F00BC8}"/>
  <mergeCells count="6">
    <mergeCell ref="G1:I1"/>
    <mergeCell ref="A5:B5"/>
    <mergeCell ref="A7:A8"/>
    <mergeCell ref="A9:A10"/>
    <mergeCell ref="A1:B1"/>
    <mergeCell ref="C1:F1"/>
  </mergeCells>
  <conditionalFormatting sqref="F3:F5 I3:I5">
    <cfRule type="cellIs" dxfId="62" priority="3" operator="lessThanOrEqual">
      <formula>-0.1</formula>
    </cfRule>
    <cfRule type="cellIs" dxfId="61" priority="4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10"/>
  <sheetViews>
    <sheetView workbookViewId="0">
      <pane ySplit="2" topLeftCell="A3" activePane="bottomLeft" state="frozen"/>
      <selection pane="bottomLeft" activeCell="A5" sqref="A5:XFD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9.5" customHeight="1">
      <c r="A1" s="83" t="str" cm="1">
        <f t="array" ref="A1">portfolio</f>
        <v>Walden Renewables</v>
      </c>
      <c r="B1" s="84"/>
      <c r="C1" s="85" t="s">
        <v>18</v>
      </c>
      <c r="D1" s="86"/>
      <c r="E1" s="86"/>
      <c r="F1" s="87"/>
      <c r="G1" s="77" t="s">
        <v>19</v>
      </c>
      <c r="H1" s="77"/>
      <c r="I1" s="78"/>
    </row>
    <row r="2" spans="1:9" ht="14.25" customHeight="1">
      <c r="A2" s="56" t="s">
        <v>2</v>
      </c>
      <c r="B2" s="57" t="s">
        <v>3</v>
      </c>
      <c r="C2" s="5" t="s">
        <v>4</v>
      </c>
      <c r="D2" s="54" t="s">
        <v>5</v>
      </c>
      <c r="E2" s="5" t="s">
        <v>6</v>
      </c>
      <c r="F2" s="6" t="s">
        <v>7</v>
      </c>
      <c r="G2" s="55" t="s">
        <v>8</v>
      </c>
      <c r="H2" s="7" t="s">
        <v>6</v>
      </c>
      <c r="I2" s="9" t="s">
        <v>7</v>
      </c>
    </row>
    <row r="3" spans="1:9" ht="15.75">
      <c r="A3" s="58" t="str" cm="1">
        <f t="array" ref="A3:A4">Sites[Site]</f>
        <v>CCC College</v>
      </c>
      <c r="B3" s="45" t="str" cm="1">
        <f t="array" ref="B3:B4">Sites[State]</f>
        <v>MA</v>
      </c>
      <c r="C3" s="46">
        <f ca="1">SUM(Oct!C3, Nov!C3, Dec!C3)</f>
        <v>0</v>
      </c>
      <c r="D3" s="46">
        <f ca="1">SUM(Oct!D3, Nov!D3, Dec!D3)</f>
        <v>0</v>
      </c>
      <c r="E3" s="46">
        <f ca="1">C3-D3</f>
        <v>0</v>
      </c>
      <c r="F3" s="47">
        <f ca="1">IFERROR(E3/D3, 0)</f>
        <v>0</v>
      </c>
      <c r="G3" s="48">
        <f ca="1">SUM(Oct!G3, Nov!G3, Dec!G3)</f>
        <v>0</v>
      </c>
      <c r="H3" s="48">
        <f ca="1">C3-G3</f>
        <v>0</v>
      </c>
      <c r="I3" s="49">
        <f ca="1">IFERROR(H3/G3, 0)</f>
        <v>0</v>
      </c>
    </row>
    <row r="4" spans="1:9" ht="15.75">
      <c r="A4" s="59" t="str">
        <v>Walden Liberty</v>
      </c>
      <c r="B4" s="22" t="str">
        <v>MA</v>
      </c>
      <c r="C4" s="46">
        <f ca="1">SUM(Oct!C4, Nov!C4, Dec!C4)</f>
        <v>0</v>
      </c>
      <c r="D4" s="46">
        <f ca="1">SUM(Oct!D4, Nov!D4, Dec!D4)</f>
        <v>0</v>
      </c>
      <c r="E4" s="46">
        <f t="shared" ref="E4" ca="1" si="0">C4-D4</f>
        <v>0</v>
      </c>
      <c r="F4" s="47">
        <f t="shared" ref="F4" ca="1" si="1">IFERROR(E4/D4, 0)</f>
        <v>0</v>
      </c>
      <c r="G4" s="48">
        <f ca="1">SUM(Oct!G4, Nov!G4, Dec!G4)</f>
        <v>0</v>
      </c>
      <c r="H4" s="48">
        <f t="shared" ref="H4" ca="1" si="2">C4-G4</f>
        <v>0</v>
      </c>
      <c r="I4" s="49">
        <f t="shared" ref="I4" ca="1" si="3">IFERROR(H4/G4, 0)</f>
        <v>0</v>
      </c>
    </row>
    <row r="5" spans="1:9" ht="24.75" customHeight="1">
      <c r="A5" s="79" t="s">
        <v>9</v>
      </c>
      <c r="B5" s="80"/>
      <c r="C5" s="60">
        <f ca="1">SUM(C3:C4)</f>
        <v>0</v>
      </c>
      <c r="D5" s="60">
        <f ca="1">SUM(D3:D4)</f>
        <v>0</v>
      </c>
      <c r="E5" s="60">
        <f ca="1">C5-D5</f>
        <v>0</v>
      </c>
      <c r="F5" s="52">
        <f ca="1">IFERROR(E5/D5, 0)</f>
        <v>0</v>
      </c>
      <c r="G5" s="60">
        <f ca="1">SUM(G3:G4)</f>
        <v>0</v>
      </c>
      <c r="H5" s="61">
        <f ca="1">C5-G5</f>
        <v>0</v>
      </c>
      <c r="I5" s="53">
        <f ca="1">IFERROR(H5/G5, 0)</f>
        <v>0</v>
      </c>
    </row>
    <row r="7" spans="1:9" ht="12.75" customHeight="1">
      <c r="A7" s="81" t="s">
        <v>10</v>
      </c>
    </row>
    <row r="8" spans="1:9">
      <c r="A8" s="81"/>
    </row>
    <row r="9" spans="1:9">
      <c r="A9" s="82" t="s">
        <v>11</v>
      </c>
    </row>
    <row r="10" spans="1:9" ht="12.75" customHeight="1">
      <c r="A10" s="82"/>
    </row>
  </sheetData>
  <autoFilter ref="A2:I2" xr:uid="{CE62352A-0CAA-4862-87B6-A6A1C7531211}"/>
  <mergeCells count="6">
    <mergeCell ref="G1:I1"/>
    <mergeCell ref="A5:B5"/>
    <mergeCell ref="A7:A8"/>
    <mergeCell ref="A9:A10"/>
    <mergeCell ref="A1:B1"/>
    <mergeCell ref="C1:F1"/>
  </mergeCells>
  <conditionalFormatting sqref="F3:F5 I3:I5">
    <cfRule type="cellIs" dxfId="60" priority="3" operator="lessThanOrEqual">
      <formula>-0.1</formula>
    </cfRule>
    <cfRule type="cellIs" dxfId="59" priority="4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11"/>
  <sheetViews>
    <sheetView workbookViewId="0">
      <pane ySplit="2" topLeftCell="A3" activePane="bottomLeft" state="frozen"/>
      <selection pane="bottomLeft" activeCell="A5" sqref="A5:XFD5"/>
    </sheetView>
  </sheetViews>
  <sheetFormatPr defaultRowHeight="12.75" customHeight="1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56.140625" customWidth="1"/>
    <col min="11" max="11" width="19.42578125" customWidth="1"/>
  </cols>
  <sheetData>
    <row r="1" spans="1:11" ht="19.5" customHeight="1">
      <c r="A1" s="83" t="str" cm="1">
        <f t="array" ref="A1">portfolio</f>
        <v>Walden Renewables</v>
      </c>
      <c r="B1" s="84"/>
      <c r="C1" s="85" t="s">
        <v>20</v>
      </c>
      <c r="D1" s="86"/>
      <c r="E1" s="86"/>
      <c r="F1" s="87"/>
      <c r="G1" s="77" t="s">
        <v>21</v>
      </c>
      <c r="H1" s="77"/>
      <c r="I1" s="78"/>
      <c r="J1" s="88" t="s">
        <v>22</v>
      </c>
      <c r="K1" s="88" t="s">
        <v>23</v>
      </c>
    </row>
    <row r="2" spans="1:11" ht="14.25" customHeight="1">
      <c r="A2" s="56" t="s">
        <v>2</v>
      </c>
      <c r="B2" s="57" t="s">
        <v>3</v>
      </c>
      <c r="C2" s="5" t="s">
        <v>4</v>
      </c>
      <c r="D2" s="54" t="s">
        <v>5</v>
      </c>
      <c r="E2" s="5" t="s">
        <v>6</v>
      </c>
      <c r="F2" s="6" t="s">
        <v>7</v>
      </c>
      <c r="G2" s="55" t="s">
        <v>8</v>
      </c>
      <c r="H2" s="7" t="s">
        <v>6</v>
      </c>
      <c r="I2" s="9" t="s">
        <v>7</v>
      </c>
      <c r="J2" s="89"/>
      <c r="K2" s="89"/>
    </row>
    <row r="3" spans="1:11" ht="15.75">
      <c r="A3" s="58" t="str" cm="1">
        <f t="array" ref="A3:A4">Sites[Site]</f>
        <v>CCC College</v>
      </c>
      <c r="B3" s="45" t="str" cm="1">
        <f t="array" ref="B3:B4">Sites[State]</f>
        <v>MA</v>
      </c>
      <c r="C3" s="46" cm="1">
        <f t="array" aca="1" ref="C3:K3" ca="1">IF(INDIRECT("'" &amp; $A3 &amp; "'!B5:J5")="", "", INDIRECT("'" &amp; $A3 &amp; "'!B5:J5"))</f>
        <v>34678</v>
      </c>
      <c r="D3" s="46">
        <f ca="1"/>
        <v>0</v>
      </c>
      <c r="E3" s="46">
        <f ca="1"/>
        <v>34678</v>
      </c>
      <c r="F3" s="47">
        <f ca="1"/>
        <v>0</v>
      </c>
      <c r="G3" s="48">
        <f ca="1"/>
        <v>0</v>
      </c>
      <c r="H3" s="48">
        <f ca="1"/>
        <v>34678</v>
      </c>
      <c r="I3" s="49">
        <f ca="1"/>
        <v>0</v>
      </c>
      <c r="J3" s="24" t="str">
        <f ca="1"/>
        <v/>
      </c>
      <c r="K3" s="24" t="str">
        <f ca="1"/>
        <v/>
      </c>
    </row>
    <row r="4" spans="1:11" ht="15.75">
      <c r="A4" s="59" t="str">
        <v>Walden Liberty</v>
      </c>
      <c r="B4" s="22" t="str">
        <v>MA</v>
      </c>
      <c r="C4" s="46" cm="1">
        <f t="array" aca="1" ref="C4:K4" ca="1">IF(INDIRECT("'" &amp; $A4 &amp; "'!B5:J5")="", "", INDIRECT("'" &amp; $A4 &amp; "'!B5:J5"))</f>
        <v>4938</v>
      </c>
      <c r="D4" s="46">
        <f ca="1"/>
        <v>0</v>
      </c>
      <c r="E4" s="46">
        <f ca="1"/>
        <v>4938</v>
      </c>
      <c r="F4" s="47">
        <f ca="1"/>
        <v>0</v>
      </c>
      <c r="G4" s="48">
        <f ca="1"/>
        <v>0</v>
      </c>
      <c r="H4" s="48">
        <f ca="1"/>
        <v>4938</v>
      </c>
      <c r="I4" s="49">
        <f ca="1"/>
        <v>0</v>
      </c>
      <c r="J4" s="24" t="str">
        <f ca="1"/>
        <v>1. Inverter was offline from 01/07 and later back online on 01/10.</v>
      </c>
      <c r="K4" s="24" t="str">
        <f ca="1"/>
        <v xml:space="preserve">1. SR080005 </v>
      </c>
    </row>
    <row r="5" spans="1:11" ht="24.75" customHeight="1">
      <c r="A5" s="79" t="s">
        <v>9</v>
      </c>
      <c r="B5" s="80"/>
      <c r="C5" s="60">
        <f ca="1">SUM(C3:C4)</f>
        <v>39616</v>
      </c>
      <c r="D5" s="60">
        <f ca="1">SUM(D3:D4)</f>
        <v>0</v>
      </c>
      <c r="E5" s="60">
        <f ca="1">C5-D5</f>
        <v>39616</v>
      </c>
      <c r="F5" s="52">
        <f ca="1">IFERROR(E5/D5, 0)</f>
        <v>0</v>
      </c>
      <c r="G5" s="60">
        <f ca="1">SUM(G3:G4)</f>
        <v>0</v>
      </c>
      <c r="H5" s="61">
        <f ca="1">C5-G5</f>
        <v>39616</v>
      </c>
      <c r="I5" s="53">
        <f ca="1">IFERROR(H5/G5, 0)</f>
        <v>0</v>
      </c>
      <c r="J5" s="8"/>
    </row>
    <row r="6" spans="1:11">
      <c r="J6" s="8"/>
    </row>
    <row r="7" spans="1:11" ht="12.75" customHeight="1">
      <c r="A7" s="81" t="s">
        <v>10</v>
      </c>
      <c r="J7" s="8"/>
    </row>
    <row r="8" spans="1:11">
      <c r="A8" s="81"/>
      <c r="J8" s="8"/>
    </row>
    <row r="9" spans="1:11">
      <c r="A9" s="82" t="s">
        <v>11</v>
      </c>
      <c r="J9" s="8"/>
    </row>
    <row r="10" spans="1:11" ht="12.75" customHeight="1">
      <c r="A10" s="82"/>
      <c r="J10" s="8"/>
    </row>
    <row r="11" spans="1:11">
      <c r="J11" s="8"/>
    </row>
  </sheetData>
  <autoFilter ref="A2:I2" xr:uid="{B0362DDA-D4B4-4F79-9A5D-D43AD85A6C79}"/>
  <mergeCells count="8">
    <mergeCell ref="A7:A8"/>
    <mergeCell ref="A9:A10"/>
    <mergeCell ref="A5:B5"/>
    <mergeCell ref="K1:K2"/>
    <mergeCell ref="C1:F1"/>
    <mergeCell ref="G1:I1"/>
    <mergeCell ref="A1:B1"/>
    <mergeCell ref="J1:J2"/>
  </mergeCells>
  <conditionalFormatting sqref="F3:F5 I3:I5">
    <cfRule type="cellIs" dxfId="58" priority="4" operator="lessThanOrEqual">
      <formula>-0.1</formula>
    </cfRule>
    <cfRule type="cellIs" dxfId="57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11"/>
  <sheetViews>
    <sheetView workbookViewId="0">
      <pane ySplit="2" topLeftCell="A3" activePane="bottomLeft" state="frozen"/>
      <selection pane="bottomLeft" activeCell="A5" sqref="A5:XFD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53.5703125" customWidth="1"/>
    <col min="11" max="11" width="19.42578125" customWidth="1"/>
  </cols>
  <sheetData>
    <row r="1" spans="1:11" ht="19.5" customHeight="1">
      <c r="A1" s="83" t="str" cm="1">
        <f t="array" ref="A1">portfolio</f>
        <v>Walden Renewables</v>
      </c>
      <c r="B1" s="84"/>
      <c r="C1" s="85" t="s">
        <v>24</v>
      </c>
      <c r="D1" s="86"/>
      <c r="E1" s="86"/>
      <c r="F1" s="87"/>
      <c r="G1" s="77" t="s">
        <v>25</v>
      </c>
      <c r="H1" s="77"/>
      <c r="I1" s="78"/>
      <c r="J1" s="88" t="s">
        <v>22</v>
      </c>
      <c r="K1" s="88" t="s">
        <v>23</v>
      </c>
    </row>
    <row r="2" spans="1:11" ht="14.25" customHeight="1">
      <c r="A2" s="56" t="s">
        <v>2</v>
      </c>
      <c r="B2" s="57" t="s">
        <v>3</v>
      </c>
      <c r="C2" s="5" t="s">
        <v>4</v>
      </c>
      <c r="D2" s="54" t="s">
        <v>5</v>
      </c>
      <c r="E2" s="5" t="s">
        <v>6</v>
      </c>
      <c r="F2" s="6" t="s">
        <v>7</v>
      </c>
      <c r="G2" s="55" t="s">
        <v>8</v>
      </c>
      <c r="H2" s="7" t="s">
        <v>6</v>
      </c>
      <c r="I2" s="9" t="s">
        <v>7</v>
      </c>
      <c r="J2" s="89"/>
      <c r="K2" s="89"/>
    </row>
    <row r="3" spans="1:11" ht="15.75">
      <c r="A3" s="58" t="str" cm="1">
        <f t="array" ref="A3:A4">Sites[Site]</f>
        <v>CCC College</v>
      </c>
      <c r="B3" s="45" t="str" cm="1">
        <f t="array" ref="B3:B4">Sites[State]</f>
        <v>MA</v>
      </c>
      <c r="C3" s="46" t="str" cm="1">
        <f t="array" aca="1" ref="C3:K3" ca="1">IF(INDIRECT("'" &amp; $A3 &amp; "'!B6:J6")="", "", INDIRECT("'" &amp; $A3 &amp; "'!B6:J6"))</f>
        <v/>
      </c>
      <c r="D3" s="46" t="str">
        <f ca="1"/>
        <v/>
      </c>
      <c r="E3" s="46">
        <f ca="1"/>
        <v>0</v>
      </c>
      <c r="F3" s="47">
        <f ca="1"/>
        <v>0</v>
      </c>
      <c r="G3" s="48" t="str">
        <f ca="1"/>
        <v/>
      </c>
      <c r="H3" s="48">
        <f ca="1"/>
        <v>0</v>
      </c>
      <c r="I3" s="49">
        <f ca="1"/>
        <v>0</v>
      </c>
      <c r="J3" s="24" t="str">
        <f ca="1"/>
        <v/>
      </c>
      <c r="K3" s="24" t="str">
        <f ca="1"/>
        <v/>
      </c>
    </row>
    <row r="4" spans="1:11" ht="15.75">
      <c r="A4" s="59" t="str">
        <v>Walden Liberty</v>
      </c>
      <c r="B4" s="22" t="str">
        <v>MA</v>
      </c>
      <c r="C4" s="46" t="str" cm="1">
        <f t="array" aca="1" ref="C4:K4" ca="1">IF(INDIRECT("'" &amp; $A4 &amp; "'!B6:J6")="", "", INDIRECT("'" &amp; $A4 &amp; "'!B6:J6"))</f>
        <v/>
      </c>
      <c r="D4" s="46" t="str">
        <f ca="1"/>
        <v/>
      </c>
      <c r="E4" s="46">
        <f ca="1"/>
        <v>0</v>
      </c>
      <c r="F4" s="50">
        <f ca="1"/>
        <v>0</v>
      </c>
      <c r="G4" s="48" t="str">
        <f ca="1"/>
        <v/>
      </c>
      <c r="H4" s="48">
        <f ca="1"/>
        <v>0</v>
      </c>
      <c r="I4" s="51">
        <f ca="1"/>
        <v>0</v>
      </c>
      <c r="J4" s="24" t="str">
        <f ca="1"/>
        <v/>
      </c>
      <c r="K4" s="24" t="str">
        <f ca="1"/>
        <v/>
      </c>
    </row>
    <row r="5" spans="1:11" ht="24.75" customHeight="1">
      <c r="A5" s="79" t="s">
        <v>9</v>
      </c>
      <c r="B5" s="80"/>
      <c r="C5" s="60">
        <f ca="1">SUM(C3:C4)</f>
        <v>0</v>
      </c>
      <c r="D5" s="60">
        <f ca="1">SUM(D3:D4)</f>
        <v>0</v>
      </c>
      <c r="E5" s="60">
        <f ca="1">C5-D5</f>
        <v>0</v>
      </c>
      <c r="F5" s="52">
        <f ca="1">IFERROR(E5/D5, 0)</f>
        <v>0</v>
      </c>
      <c r="G5" s="60">
        <f ca="1">SUM(G3:G4)</f>
        <v>0</v>
      </c>
      <c r="H5" s="61">
        <f ca="1">C5-G5</f>
        <v>0</v>
      </c>
      <c r="I5" s="53">
        <f ca="1">IFERROR(H5/G5, 0)</f>
        <v>0</v>
      </c>
      <c r="J5" s="8"/>
    </row>
    <row r="6" spans="1:11">
      <c r="J6" s="8"/>
    </row>
    <row r="7" spans="1:11" ht="12.75" customHeight="1">
      <c r="A7" s="81" t="s">
        <v>10</v>
      </c>
      <c r="J7" s="8"/>
    </row>
    <row r="8" spans="1:11">
      <c r="A8" s="81"/>
      <c r="J8" s="8"/>
    </row>
    <row r="9" spans="1:11">
      <c r="A9" s="82" t="s">
        <v>11</v>
      </c>
      <c r="J9" s="8"/>
    </row>
    <row r="10" spans="1:11" ht="12.75" customHeight="1">
      <c r="A10" s="82"/>
      <c r="J10" s="8"/>
    </row>
    <row r="11" spans="1:11">
      <c r="J11" s="8"/>
    </row>
  </sheetData>
  <autoFilter ref="A2:I2" xr:uid="{CAF24030-967D-40AB-9B78-5C3C0C46A55D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6" priority="1" operator="lessThanOrEqual">
      <formula>-0.1</formula>
    </cfRule>
    <cfRule type="cellIs" dxfId="5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14"/>
  <sheetViews>
    <sheetView workbookViewId="0">
      <pane ySplit="2" topLeftCell="A3" activePane="bottomLeft" state="frozen"/>
      <selection pane="bottomLeft" activeCell="A5" sqref="A5:XFD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3" t="str" cm="1">
        <f t="array" ref="A1">portfolio</f>
        <v>Walden Renewables</v>
      </c>
      <c r="B1" s="84"/>
      <c r="C1" s="85" t="s">
        <v>26</v>
      </c>
      <c r="D1" s="86"/>
      <c r="E1" s="86"/>
      <c r="F1" s="87"/>
      <c r="G1" s="77" t="s">
        <v>27</v>
      </c>
      <c r="H1" s="77"/>
      <c r="I1" s="78"/>
      <c r="J1" s="88" t="s">
        <v>22</v>
      </c>
      <c r="K1" s="88" t="s">
        <v>23</v>
      </c>
    </row>
    <row r="2" spans="1:11" ht="14.25" customHeight="1">
      <c r="A2" s="56" t="s">
        <v>2</v>
      </c>
      <c r="B2" s="57" t="s">
        <v>3</v>
      </c>
      <c r="C2" s="5" t="s">
        <v>4</v>
      </c>
      <c r="D2" s="54" t="s">
        <v>5</v>
      </c>
      <c r="E2" s="5" t="s">
        <v>6</v>
      </c>
      <c r="F2" s="6" t="s">
        <v>7</v>
      </c>
      <c r="G2" s="55" t="s">
        <v>8</v>
      </c>
      <c r="H2" s="7" t="s">
        <v>6</v>
      </c>
      <c r="I2" s="9" t="s">
        <v>7</v>
      </c>
      <c r="J2" s="89"/>
      <c r="K2" s="89"/>
    </row>
    <row r="3" spans="1:11" ht="15.75">
      <c r="A3" s="58" t="str" cm="1">
        <f t="array" ref="A3:A4">Sites[Site]</f>
        <v>CCC College</v>
      </c>
      <c r="B3" s="45" t="str" cm="1">
        <f t="array" ref="B3:B4">Sites[State]</f>
        <v>MA</v>
      </c>
      <c r="C3" s="46" t="str" cm="1">
        <f t="array" aca="1" ref="C3:K3" ca="1">IF(INDIRECT("'" &amp; $A3 &amp; "'!B7:J7")="", "", INDIRECT("'" &amp; $A3 &amp; "'!B7:J7"))</f>
        <v/>
      </c>
      <c r="D3" s="46" t="str">
        <f ca="1"/>
        <v/>
      </c>
      <c r="E3" s="46">
        <f ca="1"/>
        <v>0</v>
      </c>
      <c r="F3" s="47">
        <f ca="1"/>
        <v>0</v>
      </c>
      <c r="G3" s="48" t="str">
        <f ca="1"/>
        <v/>
      </c>
      <c r="H3" s="48">
        <f ca="1"/>
        <v>0</v>
      </c>
      <c r="I3" s="49">
        <f ca="1"/>
        <v>0</v>
      </c>
      <c r="J3" s="24" t="str">
        <f ca="1"/>
        <v/>
      </c>
      <c r="K3" s="24" t="str">
        <f ca="1"/>
        <v/>
      </c>
    </row>
    <row r="4" spans="1:11" ht="15.75">
      <c r="A4" s="59" t="str">
        <v>Walden Liberty</v>
      </c>
      <c r="B4" s="22" t="str">
        <v>MA</v>
      </c>
      <c r="C4" s="46" t="str" cm="1">
        <f t="array" aca="1" ref="C4:K4" ca="1">IF(INDIRECT("'" &amp; $A4 &amp; "'!B7:J7")="", "", INDIRECT("'" &amp; $A4 &amp; "'!B7:J7"))</f>
        <v/>
      </c>
      <c r="D4" s="46" t="str">
        <f ca="1"/>
        <v/>
      </c>
      <c r="E4" s="46">
        <f ca="1"/>
        <v>0</v>
      </c>
      <c r="F4" s="50">
        <f ca="1"/>
        <v>0</v>
      </c>
      <c r="G4" s="48" t="str">
        <f ca="1"/>
        <v/>
      </c>
      <c r="H4" s="48">
        <f ca="1"/>
        <v>0</v>
      </c>
      <c r="I4" s="51">
        <f ca="1"/>
        <v>0</v>
      </c>
      <c r="J4" s="24" t="str">
        <f ca="1"/>
        <v/>
      </c>
      <c r="K4" s="24" t="str">
        <f ca="1"/>
        <v/>
      </c>
    </row>
    <row r="5" spans="1:11" ht="13.5">
      <c r="A5" s="79" t="s">
        <v>9</v>
      </c>
      <c r="B5" s="80"/>
      <c r="C5" s="60">
        <f ca="1">SUM(C3:C4)</f>
        <v>0</v>
      </c>
      <c r="D5" s="60">
        <f ca="1">SUM(D3:D4)</f>
        <v>0</v>
      </c>
      <c r="E5" s="60">
        <f ca="1">C5-D5</f>
        <v>0</v>
      </c>
      <c r="F5" s="52">
        <f ca="1">IFERROR(E5/D5, 0)</f>
        <v>0</v>
      </c>
      <c r="G5" s="60">
        <f ca="1">SUM(G3:G4)</f>
        <v>0</v>
      </c>
      <c r="H5" s="61">
        <f ca="1">C5-G5</f>
        <v>0</v>
      </c>
      <c r="I5" s="53">
        <f ca="1">IFERROR(H5/G5, 0)</f>
        <v>0</v>
      </c>
      <c r="J5" s="8"/>
    </row>
    <row r="6" spans="1:11">
      <c r="J6" s="8"/>
    </row>
    <row r="7" spans="1:11" ht="12.75" customHeight="1">
      <c r="A7" s="81" t="s">
        <v>10</v>
      </c>
      <c r="J7" s="8"/>
    </row>
    <row r="8" spans="1:11">
      <c r="A8" s="81"/>
      <c r="J8" s="8"/>
    </row>
    <row r="9" spans="1:11">
      <c r="A9" s="82" t="s">
        <v>11</v>
      </c>
      <c r="J9" s="8"/>
    </row>
    <row r="10" spans="1:11" ht="12.75" customHeight="1">
      <c r="A10" s="82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E69961AB-A757-4049-8AB9-40F3BCB812B3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54" priority="1" operator="lessThanOrEqual">
      <formula>-0.1</formula>
    </cfRule>
    <cfRule type="cellIs" dxfId="5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14"/>
  <sheetViews>
    <sheetView workbookViewId="0">
      <pane ySplit="2" topLeftCell="A3" activePane="bottomLeft" state="frozen"/>
      <selection pane="bottomLeft" activeCell="D28" sqref="D28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50" customWidth="1"/>
    <col min="11" max="11" width="19.42578125" customWidth="1"/>
  </cols>
  <sheetData>
    <row r="1" spans="1:11" ht="19.5" customHeight="1">
      <c r="A1" s="83" t="str" cm="1">
        <f t="array" ref="A1">portfolio</f>
        <v>Walden Renewables</v>
      </c>
      <c r="B1" s="84"/>
      <c r="C1" s="85" t="s">
        <v>28</v>
      </c>
      <c r="D1" s="86"/>
      <c r="E1" s="86"/>
      <c r="F1" s="87"/>
      <c r="G1" s="77" t="s">
        <v>29</v>
      </c>
      <c r="H1" s="77"/>
      <c r="I1" s="78"/>
      <c r="J1" s="88" t="s">
        <v>22</v>
      </c>
      <c r="K1" s="88" t="s">
        <v>23</v>
      </c>
    </row>
    <row r="2" spans="1:11" ht="14.25" customHeight="1">
      <c r="A2" s="56" t="s">
        <v>2</v>
      </c>
      <c r="B2" s="57" t="s">
        <v>3</v>
      </c>
      <c r="C2" s="5" t="s">
        <v>4</v>
      </c>
      <c r="D2" s="54" t="s">
        <v>5</v>
      </c>
      <c r="E2" s="5" t="s">
        <v>6</v>
      </c>
      <c r="F2" s="6" t="s">
        <v>7</v>
      </c>
      <c r="G2" s="55" t="s">
        <v>8</v>
      </c>
      <c r="H2" s="7" t="s">
        <v>6</v>
      </c>
      <c r="I2" s="9" t="s">
        <v>7</v>
      </c>
      <c r="J2" s="89"/>
      <c r="K2" s="89"/>
    </row>
    <row r="3" spans="1:11" ht="15.75">
      <c r="A3" s="58" t="str" cm="1">
        <f t="array" ref="A3:A4">Sites[Site]</f>
        <v>CCC College</v>
      </c>
      <c r="B3" s="45" t="str" cm="1">
        <f t="array" ref="B3:B4">Sites[State]</f>
        <v>MA</v>
      </c>
      <c r="C3" s="46" t="str" cm="1">
        <f t="array" aca="1" ref="C3:K3" ca="1">IF(INDIRECT("'" &amp; $A3 &amp; "'!B8:J8")="", "", INDIRECT("'" &amp; $A3 &amp; "'!B8:J8"))</f>
        <v/>
      </c>
      <c r="D3" s="46" t="str">
        <f ca="1"/>
        <v/>
      </c>
      <c r="E3" s="46">
        <f ca="1"/>
        <v>0</v>
      </c>
      <c r="F3" s="47">
        <f ca="1"/>
        <v>0</v>
      </c>
      <c r="G3" s="48" t="str">
        <f ca="1"/>
        <v/>
      </c>
      <c r="H3" s="48">
        <f ca="1"/>
        <v>0</v>
      </c>
      <c r="I3" s="49">
        <f ca="1"/>
        <v>0</v>
      </c>
      <c r="J3" s="24" t="str">
        <f ca="1"/>
        <v/>
      </c>
      <c r="K3" s="24" t="str">
        <f ca="1"/>
        <v/>
      </c>
    </row>
    <row r="4" spans="1:11" ht="15.75">
      <c r="A4" s="59" t="str">
        <v>Walden Liberty</v>
      </c>
      <c r="B4" s="22" t="str">
        <v>MA</v>
      </c>
      <c r="C4" s="46" t="str" cm="1">
        <f t="array" aca="1" ref="C4:K4" ca="1">IF(INDIRECT("'" &amp; $A4 &amp; "'!B8:J8")="", "", INDIRECT("'" &amp; $A4 &amp; "'!B8:J8"))</f>
        <v/>
      </c>
      <c r="D4" s="46" t="str">
        <f ca="1"/>
        <v/>
      </c>
      <c r="E4" s="46">
        <f ca="1"/>
        <v>0</v>
      </c>
      <c r="F4" s="50">
        <f ca="1"/>
        <v>0</v>
      </c>
      <c r="G4" s="48" t="str">
        <f ca="1"/>
        <v/>
      </c>
      <c r="H4" s="48">
        <f ca="1"/>
        <v>0</v>
      </c>
      <c r="I4" s="51">
        <f ca="1"/>
        <v>0</v>
      </c>
      <c r="J4" s="24" t="str">
        <f ca="1"/>
        <v/>
      </c>
      <c r="K4" s="24" t="str">
        <f ca="1"/>
        <v/>
      </c>
    </row>
    <row r="5" spans="1:11" ht="13.5">
      <c r="A5" s="79" t="s">
        <v>9</v>
      </c>
      <c r="B5" s="80"/>
      <c r="C5" s="60">
        <f ca="1">SUM(C3:C4)</f>
        <v>0</v>
      </c>
      <c r="D5" s="60">
        <f ca="1">SUM(D3:D4)</f>
        <v>0</v>
      </c>
      <c r="E5" s="60">
        <f ca="1">C5-D5</f>
        <v>0</v>
      </c>
      <c r="F5" s="52">
        <f ca="1">IFERROR(E5/D5, 0)</f>
        <v>0</v>
      </c>
      <c r="G5" s="60">
        <f ca="1">SUM(G3:G4)</f>
        <v>0</v>
      </c>
      <c r="H5" s="61">
        <f ca="1">C5-G5</f>
        <v>0</v>
      </c>
      <c r="I5" s="53">
        <f ca="1">IFERROR(H5/G5, 0)</f>
        <v>0</v>
      </c>
      <c r="J5" s="8"/>
    </row>
    <row r="6" spans="1:11">
      <c r="J6" s="8"/>
    </row>
    <row r="7" spans="1:11" ht="12.75" customHeight="1">
      <c r="A7" s="81" t="s">
        <v>10</v>
      </c>
      <c r="J7" s="8"/>
    </row>
    <row r="8" spans="1:11">
      <c r="A8" s="81"/>
      <c r="J8" s="8"/>
    </row>
    <row r="9" spans="1:11">
      <c r="A9" s="82" t="s">
        <v>11</v>
      </c>
      <c r="J9" s="8"/>
    </row>
    <row r="10" spans="1:11" ht="12.75" customHeight="1">
      <c r="A10" s="82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9CEFA865-F03F-435F-98CB-83683B1083B8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52" priority="1" operator="lessThanOrEqual">
      <formula>-0.1</formula>
    </cfRule>
    <cfRule type="cellIs" dxfId="5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14"/>
  <sheetViews>
    <sheetView workbookViewId="0">
      <pane ySplit="2" topLeftCell="A3" activePane="bottomLeft" state="frozen"/>
      <selection pane="bottomLeft" activeCell="F27" sqref="F27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55.85546875" customWidth="1"/>
    <col min="11" max="11" width="19.42578125" customWidth="1"/>
  </cols>
  <sheetData>
    <row r="1" spans="1:11" ht="19.5" customHeight="1">
      <c r="A1" s="83" t="str" cm="1">
        <f t="array" ref="A1">portfolio</f>
        <v>Walden Renewables</v>
      </c>
      <c r="B1" s="84"/>
      <c r="C1" s="85" t="s">
        <v>30</v>
      </c>
      <c r="D1" s="86"/>
      <c r="E1" s="86"/>
      <c r="F1" s="87"/>
      <c r="G1" s="77" t="s">
        <v>31</v>
      </c>
      <c r="H1" s="77"/>
      <c r="I1" s="78"/>
      <c r="J1" s="88" t="s">
        <v>22</v>
      </c>
      <c r="K1" s="88" t="s">
        <v>23</v>
      </c>
    </row>
    <row r="2" spans="1:11" ht="14.25" customHeight="1">
      <c r="A2" s="56" t="s">
        <v>2</v>
      </c>
      <c r="B2" s="57" t="s">
        <v>3</v>
      </c>
      <c r="C2" s="5" t="s">
        <v>4</v>
      </c>
      <c r="D2" s="54" t="s">
        <v>5</v>
      </c>
      <c r="E2" s="5" t="s">
        <v>6</v>
      </c>
      <c r="F2" s="6" t="s">
        <v>7</v>
      </c>
      <c r="G2" s="55" t="s">
        <v>8</v>
      </c>
      <c r="H2" s="7" t="s">
        <v>6</v>
      </c>
      <c r="I2" s="9" t="s">
        <v>7</v>
      </c>
      <c r="J2" s="89"/>
      <c r="K2" s="89"/>
    </row>
    <row r="3" spans="1:11" ht="15.75">
      <c r="A3" s="58" t="str" cm="1">
        <f t="array" ref="A3:A4">Sites[Site]</f>
        <v>CCC College</v>
      </c>
      <c r="B3" s="45" t="str" cm="1">
        <f t="array" ref="B3:B4">Sites[State]</f>
        <v>MA</v>
      </c>
      <c r="C3" s="46" t="str" cm="1">
        <f t="array" aca="1" ref="C3:K3" ca="1">IF(INDIRECT("'" &amp; $A3 &amp; "'!B9:J9")="", "", INDIRECT("'" &amp; $A3 &amp; "'!B9:J9"))</f>
        <v/>
      </c>
      <c r="D3" s="46" t="str">
        <f ca="1"/>
        <v/>
      </c>
      <c r="E3" s="46">
        <f ca="1"/>
        <v>0</v>
      </c>
      <c r="F3" s="47">
        <f ca="1"/>
        <v>0</v>
      </c>
      <c r="G3" s="48" t="str">
        <f ca="1"/>
        <v/>
      </c>
      <c r="H3" s="48">
        <f ca="1"/>
        <v>0</v>
      </c>
      <c r="I3" s="49">
        <f ca="1"/>
        <v>0</v>
      </c>
      <c r="J3" s="24" t="str">
        <f ca="1"/>
        <v/>
      </c>
      <c r="K3" s="24" t="str">
        <f ca="1"/>
        <v/>
      </c>
    </row>
    <row r="4" spans="1:11" ht="15.75">
      <c r="A4" s="59" t="str">
        <v>Walden Liberty</v>
      </c>
      <c r="B4" s="22" t="str">
        <v>MA</v>
      </c>
      <c r="C4" s="46" t="str" cm="1">
        <f t="array" aca="1" ref="C4:K4" ca="1">IF(INDIRECT("'" &amp; $A4 &amp; "'!B9:J9")="", "", INDIRECT("'" &amp; $A4 &amp; "'!B9:J9"))</f>
        <v/>
      </c>
      <c r="D4" s="46" t="str">
        <f ca="1"/>
        <v/>
      </c>
      <c r="E4" s="46">
        <f ca="1"/>
        <v>0</v>
      </c>
      <c r="F4" s="50">
        <f ca="1"/>
        <v>0</v>
      </c>
      <c r="G4" s="48" t="str">
        <f ca="1"/>
        <v/>
      </c>
      <c r="H4" s="48">
        <f ca="1"/>
        <v>0</v>
      </c>
      <c r="I4" s="51">
        <f ca="1"/>
        <v>0</v>
      </c>
      <c r="J4" s="24" t="str">
        <f ca="1"/>
        <v/>
      </c>
      <c r="K4" s="24" t="str">
        <f ca="1"/>
        <v/>
      </c>
    </row>
    <row r="5" spans="1:11" ht="13.5">
      <c r="A5" s="79" t="s">
        <v>9</v>
      </c>
      <c r="B5" s="80"/>
      <c r="C5" s="60">
        <f ca="1">SUM(C3:C4)</f>
        <v>0</v>
      </c>
      <c r="D5" s="60">
        <f ca="1">SUM(D3:D4)</f>
        <v>0</v>
      </c>
      <c r="E5" s="60">
        <f ca="1">C5-D5</f>
        <v>0</v>
      </c>
      <c r="F5" s="52">
        <f ca="1">IFERROR(E5/D5, 0)</f>
        <v>0</v>
      </c>
      <c r="G5" s="60">
        <f ca="1">SUM(G3:G4)</f>
        <v>0</v>
      </c>
      <c r="H5" s="61">
        <f ca="1">C5-G5</f>
        <v>0</v>
      </c>
      <c r="I5" s="53">
        <f ca="1">IFERROR(H5/G5, 0)</f>
        <v>0</v>
      </c>
      <c r="J5" s="8"/>
    </row>
    <row r="6" spans="1:11">
      <c r="J6" s="8"/>
    </row>
    <row r="7" spans="1:11">
      <c r="A7" s="81" t="s">
        <v>10</v>
      </c>
      <c r="J7" s="8"/>
    </row>
    <row r="8" spans="1:11">
      <c r="A8" s="81"/>
      <c r="J8" s="8"/>
    </row>
    <row r="9" spans="1:11" ht="12.75" customHeight="1">
      <c r="A9" s="82" t="s">
        <v>11</v>
      </c>
      <c r="J9" s="8"/>
    </row>
    <row r="10" spans="1:11">
      <c r="A10" s="82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BC8A3C74-EDA3-4B8F-8C65-FD4243AE8FF6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50" priority="1" operator="lessThanOrEqual">
      <formula>-0.1</formula>
    </cfRule>
    <cfRule type="cellIs" dxfId="4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14"/>
  <sheetViews>
    <sheetView workbookViewId="0">
      <pane ySplit="2" topLeftCell="A3" activePane="bottomLeft" state="frozen"/>
      <selection pane="bottomLeft" activeCell="A5" sqref="A5:XFD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3" t="str" cm="1">
        <f t="array" ref="A1">portfolio</f>
        <v>Walden Renewables</v>
      </c>
      <c r="B1" s="84"/>
      <c r="C1" s="85" t="s">
        <v>32</v>
      </c>
      <c r="D1" s="86"/>
      <c r="E1" s="86"/>
      <c r="F1" s="87"/>
      <c r="G1" s="77" t="s">
        <v>33</v>
      </c>
      <c r="H1" s="77"/>
      <c r="I1" s="78"/>
      <c r="J1" s="88" t="s">
        <v>22</v>
      </c>
      <c r="K1" s="88" t="s">
        <v>23</v>
      </c>
    </row>
    <row r="2" spans="1:11" ht="14.25" customHeight="1">
      <c r="A2" s="56" t="s">
        <v>2</v>
      </c>
      <c r="B2" s="57" t="s">
        <v>3</v>
      </c>
      <c r="C2" s="5" t="s">
        <v>4</v>
      </c>
      <c r="D2" s="54" t="s">
        <v>5</v>
      </c>
      <c r="E2" s="5" t="s">
        <v>6</v>
      </c>
      <c r="F2" s="6" t="s">
        <v>7</v>
      </c>
      <c r="G2" s="55" t="s">
        <v>8</v>
      </c>
      <c r="H2" s="7" t="s">
        <v>6</v>
      </c>
      <c r="I2" s="9" t="s">
        <v>7</v>
      </c>
      <c r="J2" s="89"/>
      <c r="K2" s="89"/>
    </row>
    <row r="3" spans="1:11" ht="15.75">
      <c r="A3" s="58" t="str" cm="1">
        <f t="array" ref="A3:A4">Sites[Site]</f>
        <v>CCC College</v>
      </c>
      <c r="B3" s="45" t="str" cm="1">
        <f t="array" ref="B3:B4">Sites[State]</f>
        <v>MA</v>
      </c>
      <c r="C3" s="46" t="str" cm="1">
        <f t="array" aca="1" ref="C3:K3" ca="1">IF(INDIRECT("'" &amp; $A3 &amp; "'!B10:J10")="", "", INDIRECT("'" &amp; $A3 &amp; "'!B10:J10"))</f>
        <v/>
      </c>
      <c r="D3" s="46" t="str">
        <f ca="1"/>
        <v/>
      </c>
      <c r="E3" s="46">
        <f ca="1"/>
        <v>0</v>
      </c>
      <c r="F3" s="47">
        <f ca="1"/>
        <v>0</v>
      </c>
      <c r="G3" s="48" t="str">
        <f ca="1"/>
        <v/>
      </c>
      <c r="H3" s="48">
        <f ca="1"/>
        <v>0</v>
      </c>
      <c r="I3" s="49">
        <f ca="1"/>
        <v>0</v>
      </c>
      <c r="J3" s="24" t="str">
        <f ca="1"/>
        <v/>
      </c>
      <c r="K3" s="24" t="str">
        <f ca="1"/>
        <v/>
      </c>
    </row>
    <row r="4" spans="1:11" ht="15.75">
      <c r="A4" s="59" t="str">
        <v>Walden Liberty</v>
      </c>
      <c r="B4" s="22" t="str">
        <v>MA</v>
      </c>
      <c r="C4" s="46" t="str" cm="1">
        <f t="array" aca="1" ref="C4:K4" ca="1">IF(INDIRECT("'" &amp; $A4 &amp; "'!B10:J10")="", "", INDIRECT("'" &amp; $A4 &amp; "'!B10:J10"))</f>
        <v/>
      </c>
      <c r="D4" s="46" t="str">
        <f ca="1"/>
        <v/>
      </c>
      <c r="E4" s="46">
        <f ca="1"/>
        <v>0</v>
      </c>
      <c r="F4" s="50">
        <f ca="1"/>
        <v>0</v>
      </c>
      <c r="G4" s="48" t="str">
        <f ca="1"/>
        <v/>
      </c>
      <c r="H4" s="48">
        <f ca="1"/>
        <v>0</v>
      </c>
      <c r="I4" s="51">
        <f ca="1"/>
        <v>0</v>
      </c>
      <c r="J4" s="24" t="str">
        <f ca="1"/>
        <v/>
      </c>
      <c r="K4" s="24" t="str">
        <f ca="1"/>
        <v/>
      </c>
    </row>
    <row r="5" spans="1:11" ht="13.5">
      <c r="A5" s="79" t="s">
        <v>9</v>
      </c>
      <c r="B5" s="80"/>
      <c r="C5" s="60">
        <f ca="1">SUM(C3:C4)</f>
        <v>0</v>
      </c>
      <c r="D5" s="60">
        <f ca="1">SUM(D3:D4)</f>
        <v>0</v>
      </c>
      <c r="E5" s="60">
        <f ca="1">C5-D5</f>
        <v>0</v>
      </c>
      <c r="F5" s="52">
        <f ca="1">IFERROR(E5/D5, 0)</f>
        <v>0</v>
      </c>
      <c r="G5" s="60">
        <f ca="1">SUM(G3:G4)</f>
        <v>0</v>
      </c>
      <c r="H5" s="61">
        <f ca="1">C5-G5</f>
        <v>0</v>
      </c>
      <c r="I5" s="53">
        <f ca="1">IFERROR(H5/G5, 0)</f>
        <v>0</v>
      </c>
      <c r="J5" s="8"/>
    </row>
    <row r="6" spans="1:11">
      <c r="J6" s="8"/>
    </row>
    <row r="7" spans="1:11" ht="12.75" customHeight="1">
      <c r="A7" s="81" t="s">
        <v>10</v>
      </c>
      <c r="J7" s="8"/>
    </row>
    <row r="8" spans="1:11">
      <c r="A8" s="81"/>
      <c r="J8" s="8"/>
    </row>
    <row r="9" spans="1:11">
      <c r="A9" s="82" t="s">
        <v>11</v>
      </c>
      <c r="J9" s="8"/>
    </row>
    <row r="10" spans="1:11" ht="12.75" customHeight="1">
      <c r="A10" s="82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6C08AFFB-6AF8-48AC-9706-52E390C2AC4B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48" priority="1" operator="lessThanOrEqual">
      <formula>-0.1</formula>
    </cfRule>
    <cfRule type="cellIs" dxfId="4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14"/>
  <sheetViews>
    <sheetView workbookViewId="0">
      <pane ySplit="2" topLeftCell="A3" activePane="bottomLeft" state="frozen"/>
      <selection pane="bottomLeft" activeCell="A5" sqref="A5:XFD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3" t="str" cm="1">
        <f t="array" ref="A1">portfolio</f>
        <v>Walden Renewables</v>
      </c>
      <c r="B1" s="84"/>
      <c r="C1" s="85" t="s">
        <v>34</v>
      </c>
      <c r="D1" s="86"/>
      <c r="E1" s="86"/>
      <c r="F1" s="87"/>
      <c r="G1" s="77" t="s">
        <v>35</v>
      </c>
      <c r="H1" s="77"/>
      <c r="I1" s="78"/>
      <c r="J1" s="88" t="s">
        <v>22</v>
      </c>
      <c r="K1" s="88" t="s">
        <v>23</v>
      </c>
    </row>
    <row r="2" spans="1:11" ht="14.25" customHeight="1">
      <c r="A2" s="56" t="s">
        <v>2</v>
      </c>
      <c r="B2" s="57" t="s">
        <v>3</v>
      </c>
      <c r="C2" s="5" t="s">
        <v>4</v>
      </c>
      <c r="D2" s="54" t="s">
        <v>5</v>
      </c>
      <c r="E2" s="5" t="s">
        <v>6</v>
      </c>
      <c r="F2" s="6" t="s">
        <v>7</v>
      </c>
      <c r="G2" s="55" t="s">
        <v>8</v>
      </c>
      <c r="H2" s="7" t="s">
        <v>6</v>
      </c>
      <c r="I2" s="9" t="s">
        <v>7</v>
      </c>
      <c r="J2" s="89"/>
      <c r="K2" s="89"/>
    </row>
    <row r="3" spans="1:11" ht="15.75">
      <c r="A3" s="58" t="str" cm="1">
        <f t="array" ref="A3:A4">Sites[Site]</f>
        <v>CCC College</v>
      </c>
      <c r="B3" s="45" t="str" cm="1">
        <f t="array" ref="B3:B4">Sites[State]</f>
        <v>MA</v>
      </c>
      <c r="C3" s="46" t="str" cm="1">
        <f t="array" aca="1" ref="C3:K3" ca="1">IF(INDIRECT("'" &amp; $A3 &amp; "'!B11:J11")="", "", INDIRECT("'" &amp; $A3 &amp; "'!B11:J11"))</f>
        <v/>
      </c>
      <c r="D3" s="46" t="str">
        <f ca="1"/>
        <v/>
      </c>
      <c r="E3" s="46">
        <f ca="1"/>
        <v>0</v>
      </c>
      <c r="F3" s="47">
        <f ca="1"/>
        <v>0</v>
      </c>
      <c r="G3" s="48" t="str">
        <f ca="1"/>
        <v/>
      </c>
      <c r="H3" s="48">
        <f ca="1"/>
        <v>0</v>
      </c>
      <c r="I3" s="49">
        <f ca="1"/>
        <v>0</v>
      </c>
      <c r="J3" s="21" t="str">
        <f ca="1"/>
        <v/>
      </c>
      <c r="K3" s="21" t="str">
        <f ca="1"/>
        <v/>
      </c>
    </row>
    <row r="4" spans="1:11" ht="15.75">
      <c r="A4" s="59" t="str">
        <v>Walden Liberty</v>
      </c>
      <c r="B4" s="22" t="str">
        <v>MA</v>
      </c>
      <c r="C4" s="46" t="str" cm="1">
        <f t="array" aca="1" ref="C4:K4" ca="1">IF(INDIRECT("'" &amp; $A4 &amp; "'!B11:J11")="", "", INDIRECT("'" &amp; $A4 &amp; "'!B11:J11"))</f>
        <v/>
      </c>
      <c r="D4" s="46" t="str">
        <f ca="1"/>
        <v/>
      </c>
      <c r="E4" s="46">
        <f ca="1"/>
        <v>0</v>
      </c>
      <c r="F4" s="50">
        <f ca="1"/>
        <v>0</v>
      </c>
      <c r="G4" s="48" t="str">
        <f ca="1"/>
        <v/>
      </c>
      <c r="H4" s="48">
        <f ca="1"/>
        <v>0</v>
      </c>
      <c r="I4" s="51">
        <f ca="1"/>
        <v>0</v>
      </c>
      <c r="J4" s="21" t="str">
        <f ca="1"/>
        <v/>
      </c>
      <c r="K4" s="21" t="str">
        <f ca="1"/>
        <v/>
      </c>
    </row>
    <row r="5" spans="1:11" ht="13.5">
      <c r="A5" s="79" t="s">
        <v>9</v>
      </c>
      <c r="B5" s="80"/>
      <c r="C5" s="60">
        <f ca="1">SUM(C3:C4)</f>
        <v>0</v>
      </c>
      <c r="D5" s="60">
        <f ca="1">SUM(D3:D4)</f>
        <v>0</v>
      </c>
      <c r="E5" s="60">
        <f ca="1">C5-D5</f>
        <v>0</v>
      </c>
      <c r="F5" s="52">
        <f ca="1">IFERROR(E5/D5, 0)</f>
        <v>0</v>
      </c>
      <c r="G5" s="60">
        <f ca="1">SUM(G3:G4)</f>
        <v>0</v>
      </c>
      <c r="H5" s="61">
        <f ca="1">C5-G5</f>
        <v>0</v>
      </c>
      <c r="I5" s="53">
        <f ca="1">IFERROR(H5/G5, 0)</f>
        <v>0</v>
      </c>
      <c r="J5" s="8"/>
    </row>
    <row r="6" spans="1:11">
      <c r="J6" s="8"/>
    </row>
    <row r="7" spans="1:11" ht="12.75" customHeight="1">
      <c r="A7" s="81" t="s">
        <v>10</v>
      </c>
      <c r="J7" s="8"/>
    </row>
    <row r="8" spans="1:11">
      <c r="A8" s="81"/>
      <c r="J8" s="8"/>
    </row>
    <row r="9" spans="1:11">
      <c r="A9" s="82" t="s">
        <v>11</v>
      </c>
      <c r="J9" s="8"/>
    </row>
    <row r="10" spans="1:11" ht="12.75" customHeight="1">
      <c r="A10" s="82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957CD936-B73F-469A-B0B5-B8EA155C9C51}"/>
  <sortState xmlns:xlrd2="http://schemas.microsoft.com/office/spreadsheetml/2017/richdata2" ref="A3:K8">
    <sortCondition ref="A3:A8"/>
  </sortState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46" priority="1" operator="lessThanOrEqual">
      <formula>-0.1</formula>
    </cfRule>
    <cfRule type="cellIs" dxfId="4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14"/>
  <sheetViews>
    <sheetView workbookViewId="0">
      <pane ySplit="2" topLeftCell="A3" activePane="bottomLeft" state="frozen"/>
      <selection pane="bottomLeft" activeCell="A5" sqref="A5:XFD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83" t="str" cm="1">
        <f t="array" ref="A1">portfolio</f>
        <v>Walden Renewables</v>
      </c>
      <c r="B1" s="84"/>
      <c r="C1" s="85" t="s">
        <v>36</v>
      </c>
      <c r="D1" s="86"/>
      <c r="E1" s="86"/>
      <c r="F1" s="87"/>
      <c r="G1" s="77" t="s">
        <v>37</v>
      </c>
      <c r="H1" s="77"/>
      <c r="I1" s="78"/>
      <c r="J1" s="88" t="s">
        <v>22</v>
      </c>
      <c r="K1" s="88" t="s">
        <v>23</v>
      </c>
    </row>
    <row r="2" spans="1:11" ht="14.25" customHeight="1">
      <c r="A2" s="56" t="s">
        <v>2</v>
      </c>
      <c r="B2" s="57" t="s">
        <v>3</v>
      </c>
      <c r="C2" s="5" t="s">
        <v>4</v>
      </c>
      <c r="D2" s="54" t="s">
        <v>5</v>
      </c>
      <c r="E2" s="5" t="s">
        <v>6</v>
      </c>
      <c r="F2" s="6" t="s">
        <v>7</v>
      </c>
      <c r="G2" s="55" t="s">
        <v>8</v>
      </c>
      <c r="H2" s="7" t="s">
        <v>6</v>
      </c>
      <c r="I2" s="9" t="s">
        <v>7</v>
      </c>
      <c r="J2" s="89"/>
      <c r="K2" s="89"/>
    </row>
    <row r="3" spans="1:11" ht="15.75">
      <c r="A3" s="58" t="str" cm="1">
        <f t="array" ref="A3:A4">Sites[Site]</f>
        <v>CCC College</v>
      </c>
      <c r="B3" s="45" t="str" cm="1">
        <f t="array" ref="B3:B4">Sites[State]</f>
        <v>MA</v>
      </c>
      <c r="C3" s="46" t="str" cm="1">
        <f t="array" aca="1" ref="C3:K3" ca="1">IF(INDIRECT("'" &amp; $A3 &amp; "'!B12:J12")="", "", INDIRECT("'" &amp; $A3 &amp; "'!B12:J12"))</f>
        <v/>
      </c>
      <c r="D3" s="46" t="str">
        <f ca="1"/>
        <v/>
      </c>
      <c r="E3" s="46">
        <f ca="1"/>
        <v>0</v>
      </c>
      <c r="F3" s="47">
        <f ca="1"/>
        <v>0</v>
      </c>
      <c r="G3" s="48" t="str">
        <f ca="1"/>
        <v/>
      </c>
      <c r="H3" s="48">
        <f ca="1"/>
        <v>0</v>
      </c>
      <c r="I3" s="49">
        <f ca="1"/>
        <v>0</v>
      </c>
      <c r="J3" s="21" t="str">
        <f ca="1"/>
        <v/>
      </c>
      <c r="K3" s="21" t="str">
        <f ca="1"/>
        <v/>
      </c>
    </row>
    <row r="4" spans="1:11" ht="15.75">
      <c r="A4" s="59" t="str">
        <v>Walden Liberty</v>
      </c>
      <c r="B4" s="22" t="str">
        <v>MA</v>
      </c>
      <c r="C4" s="46" t="str" cm="1">
        <f t="array" aca="1" ref="C4:K4" ca="1">IF(INDIRECT("'" &amp; $A4 &amp; "'!B12:J12")="", "", INDIRECT("'" &amp; $A4 &amp; "'!B12:J12"))</f>
        <v/>
      </c>
      <c r="D4" s="46" t="str">
        <f ca="1"/>
        <v/>
      </c>
      <c r="E4" s="46">
        <f ca="1"/>
        <v>0</v>
      </c>
      <c r="F4" s="50">
        <f ca="1"/>
        <v>0</v>
      </c>
      <c r="G4" s="48" t="str">
        <f ca="1"/>
        <v/>
      </c>
      <c r="H4" s="48">
        <f ca="1"/>
        <v>0</v>
      </c>
      <c r="I4" s="51">
        <f ca="1"/>
        <v>0</v>
      </c>
      <c r="J4" s="21" t="str">
        <f ca="1"/>
        <v/>
      </c>
      <c r="K4" s="21" t="str">
        <f ca="1"/>
        <v/>
      </c>
    </row>
    <row r="5" spans="1:11" ht="13.5">
      <c r="A5" s="79" t="s">
        <v>9</v>
      </c>
      <c r="B5" s="80"/>
      <c r="C5" s="60">
        <f ca="1">SUM(C3:C4)</f>
        <v>0</v>
      </c>
      <c r="D5" s="60">
        <f ca="1">SUM(D3:D4)</f>
        <v>0</v>
      </c>
      <c r="E5" s="60">
        <f ca="1">C5-D5</f>
        <v>0</v>
      </c>
      <c r="F5" s="52">
        <f ca="1">IFERROR(E5/D5, 0)</f>
        <v>0</v>
      </c>
      <c r="G5" s="60">
        <f ca="1">SUM(G3:G4)</f>
        <v>0</v>
      </c>
      <c r="H5" s="61">
        <f ca="1">C5-G5</f>
        <v>0</v>
      </c>
      <c r="I5" s="53">
        <f ca="1">IFERROR(H5/G5, 0)</f>
        <v>0</v>
      </c>
      <c r="J5" s="8"/>
    </row>
    <row r="6" spans="1:11">
      <c r="J6" s="8"/>
    </row>
    <row r="7" spans="1:11" ht="12.75" customHeight="1">
      <c r="A7" s="81" t="s">
        <v>10</v>
      </c>
      <c r="J7" s="8"/>
    </row>
    <row r="8" spans="1:11">
      <c r="A8" s="81"/>
      <c r="J8" s="8"/>
    </row>
    <row r="9" spans="1:11">
      <c r="A9" s="82" t="s">
        <v>11</v>
      </c>
      <c r="J9" s="8"/>
    </row>
    <row r="10" spans="1:11" ht="12.75" customHeight="1">
      <c r="A10" s="82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48D80AE8-42BF-4DAC-863F-113F77A3E00F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44" priority="1" operator="lessThanOrEqual">
      <formula>-0.1</formula>
    </cfRule>
    <cfRule type="cellIs" dxfId="4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14"/>
  <sheetViews>
    <sheetView workbookViewId="0">
      <pane ySplit="2" topLeftCell="A3" activePane="bottomLeft" state="frozen"/>
      <selection pane="bottomLeft" activeCell="A5" sqref="A5:XFD5"/>
      <selection activeCell="A6" sqref="A6:XFD1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54.85546875" customWidth="1"/>
    <col min="11" max="11" width="19.42578125" customWidth="1"/>
  </cols>
  <sheetData>
    <row r="1" spans="1:11" ht="19.5" customHeight="1">
      <c r="A1" s="83" t="str" cm="1">
        <f t="array" ref="A1">portfolio</f>
        <v>Walden Renewables</v>
      </c>
      <c r="B1" s="84"/>
      <c r="C1" s="85" t="s">
        <v>38</v>
      </c>
      <c r="D1" s="86"/>
      <c r="E1" s="86"/>
      <c r="F1" s="87"/>
      <c r="G1" s="77" t="s">
        <v>39</v>
      </c>
      <c r="H1" s="77"/>
      <c r="I1" s="78"/>
      <c r="J1" s="88" t="s">
        <v>22</v>
      </c>
      <c r="K1" s="88" t="s">
        <v>23</v>
      </c>
    </row>
    <row r="2" spans="1:11" ht="14.25" customHeight="1">
      <c r="A2" s="56" t="s">
        <v>2</v>
      </c>
      <c r="B2" s="57" t="s">
        <v>3</v>
      </c>
      <c r="C2" s="5" t="s">
        <v>4</v>
      </c>
      <c r="D2" s="54" t="s">
        <v>5</v>
      </c>
      <c r="E2" s="5" t="s">
        <v>6</v>
      </c>
      <c r="F2" s="6" t="s">
        <v>7</v>
      </c>
      <c r="G2" s="55" t="s">
        <v>8</v>
      </c>
      <c r="H2" s="7" t="s">
        <v>6</v>
      </c>
      <c r="I2" s="9" t="s">
        <v>7</v>
      </c>
      <c r="J2" s="89"/>
      <c r="K2" s="89"/>
    </row>
    <row r="3" spans="1:11" ht="15.75">
      <c r="A3" s="58" t="str" cm="1">
        <f t="array" ref="A3:A4">Sites[Site]</f>
        <v>CCC College</v>
      </c>
      <c r="B3" s="45" t="str" cm="1">
        <f t="array" ref="B3:B4">Sites[State]</f>
        <v>MA</v>
      </c>
      <c r="C3" s="46" t="str" cm="1">
        <f t="array" aca="1" ref="C3:K3" ca="1">IF(INDIRECT("'" &amp; $A3 &amp; "'!B13:J13")="", "", INDIRECT("'" &amp; $A3 &amp; "'!B13:J13"))</f>
        <v/>
      </c>
      <c r="D3" s="46" t="str">
        <f ca="1"/>
        <v/>
      </c>
      <c r="E3" s="46">
        <f ca="1"/>
        <v>0</v>
      </c>
      <c r="F3" s="47">
        <f ca="1"/>
        <v>0</v>
      </c>
      <c r="G3" s="48" t="str">
        <f ca="1"/>
        <v/>
      </c>
      <c r="H3" s="48">
        <f ca="1"/>
        <v>0</v>
      </c>
      <c r="I3" s="49">
        <f ca="1"/>
        <v>0</v>
      </c>
      <c r="J3" s="24" t="str">
        <f ca="1"/>
        <v/>
      </c>
      <c r="K3" s="24" t="str">
        <f ca="1"/>
        <v/>
      </c>
    </row>
    <row r="4" spans="1:11" ht="15.75">
      <c r="A4" s="59" t="str">
        <v>Walden Liberty</v>
      </c>
      <c r="B4" s="22" t="str">
        <v>MA</v>
      </c>
      <c r="C4" s="46" t="str" cm="1">
        <f t="array" aca="1" ref="C4:K4" ca="1">IF(INDIRECT("'" &amp; $A4 &amp; "'!B13:J13")="", "", INDIRECT("'" &amp; $A4 &amp; "'!B13:J13"))</f>
        <v/>
      </c>
      <c r="D4" s="46" t="str">
        <f ca="1"/>
        <v/>
      </c>
      <c r="E4" s="46">
        <f ca="1"/>
        <v>0</v>
      </c>
      <c r="F4" s="50">
        <f ca="1"/>
        <v>0</v>
      </c>
      <c r="G4" s="48" t="str">
        <f ca="1"/>
        <v/>
      </c>
      <c r="H4" s="48">
        <f ca="1"/>
        <v>0</v>
      </c>
      <c r="I4" s="51">
        <f ca="1"/>
        <v>0</v>
      </c>
      <c r="J4" s="24" t="str">
        <f ca="1"/>
        <v/>
      </c>
      <c r="K4" s="24" t="str">
        <f ca="1"/>
        <v/>
      </c>
    </row>
    <row r="5" spans="1:11" ht="13.5">
      <c r="A5" s="79" t="s">
        <v>9</v>
      </c>
      <c r="B5" s="80"/>
      <c r="C5" s="60">
        <f ca="1">SUM(C3:C4)</f>
        <v>0</v>
      </c>
      <c r="D5" s="60">
        <f ca="1">SUM(D3:D4)</f>
        <v>0</v>
      </c>
      <c r="E5" s="60">
        <f ca="1">C5-D5</f>
        <v>0</v>
      </c>
      <c r="F5" s="52">
        <f ca="1">IFERROR(E5/D5, 0)</f>
        <v>0</v>
      </c>
      <c r="G5" s="60">
        <f ca="1">SUM(G3:G4)</f>
        <v>0</v>
      </c>
      <c r="H5" s="61">
        <f ca="1">C5-G5</f>
        <v>0</v>
      </c>
      <c r="I5" s="53">
        <f ca="1">IFERROR(H5/G5, 0)</f>
        <v>0</v>
      </c>
      <c r="J5" s="8"/>
    </row>
    <row r="6" spans="1:11">
      <c r="J6" s="8"/>
    </row>
    <row r="7" spans="1:11" ht="12.75" customHeight="1">
      <c r="A7" s="81" t="s">
        <v>10</v>
      </c>
      <c r="J7" s="8"/>
    </row>
    <row r="8" spans="1:11">
      <c r="A8" s="81"/>
      <c r="J8" s="8"/>
    </row>
    <row r="9" spans="1:11">
      <c r="A9" s="82" t="s">
        <v>11</v>
      </c>
      <c r="J9" s="8"/>
    </row>
    <row r="10" spans="1:11" ht="12.75" customHeight="1">
      <c r="A10" s="82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534CA70E-2643-48AC-AA44-E3F75A2814BF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42" priority="1" operator="lessThanOrEqual">
      <formula>-0.1</formula>
    </cfRule>
    <cfRule type="cellIs" dxfId="4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14"/>
  <sheetViews>
    <sheetView workbookViewId="0">
      <pane ySplit="2" topLeftCell="A3" activePane="bottomLeft" state="frozen"/>
      <selection pane="bottomLeft" activeCell="A5" sqref="A5:XFD5"/>
      <selection activeCell="A6" sqref="A6:XFD1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0.7109375" customWidth="1"/>
    <col min="11" max="11" width="19.42578125" customWidth="1"/>
  </cols>
  <sheetData>
    <row r="1" spans="1:11" ht="19.5" customHeight="1">
      <c r="A1" s="83" t="str" cm="1">
        <f t="array" ref="A1">portfolio</f>
        <v>Walden Renewables</v>
      </c>
      <c r="B1" s="84"/>
      <c r="C1" s="85" t="s">
        <v>40</v>
      </c>
      <c r="D1" s="86"/>
      <c r="E1" s="86"/>
      <c r="F1" s="87"/>
      <c r="G1" s="77" t="s">
        <v>41</v>
      </c>
      <c r="H1" s="77"/>
      <c r="I1" s="78"/>
      <c r="J1" s="88" t="s">
        <v>22</v>
      </c>
      <c r="K1" s="88" t="s">
        <v>23</v>
      </c>
    </row>
    <row r="2" spans="1:11" ht="14.25" customHeight="1" thickBot="1">
      <c r="A2" s="56" t="s">
        <v>2</v>
      </c>
      <c r="B2" s="57" t="s">
        <v>3</v>
      </c>
      <c r="C2" s="5" t="s">
        <v>4</v>
      </c>
      <c r="D2" s="54" t="s">
        <v>5</v>
      </c>
      <c r="E2" s="5" t="s">
        <v>6</v>
      </c>
      <c r="F2" s="6" t="s">
        <v>7</v>
      </c>
      <c r="G2" s="55" t="s">
        <v>8</v>
      </c>
      <c r="H2" s="7" t="s">
        <v>6</v>
      </c>
      <c r="I2" s="9" t="s">
        <v>7</v>
      </c>
      <c r="J2" s="89"/>
      <c r="K2" s="89"/>
    </row>
    <row r="3" spans="1:11" ht="15.75">
      <c r="A3" s="67" t="str" cm="1">
        <f t="array" ref="A3:A4">Sites[Site]</f>
        <v>CCC College</v>
      </c>
      <c r="B3" s="68" t="str" cm="1">
        <f t="array" ref="B3:B4">Sites[State]</f>
        <v>MA</v>
      </c>
      <c r="C3" s="69" t="str" cm="1">
        <f t="array" aca="1" ref="C3:K3" ca="1">IF(INDIRECT("'" &amp; $A3 &amp; "'!B14:J14")="", "", INDIRECT("'" &amp; $A3 &amp; "'!B14:J14"))</f>
        <v/>
      </c>
      <c r="D3" s="69" t="str">
        <f ca="1"/>
        <v/>
      </c>
      <c r="E3" s="69">
        <f ca="1"/>
        <v>0</v>
      </c>
      <c r="F3" s="70">
        <f ca="1"/>
        <v>0</v>
      </c>
      <c r="G3" s="71" t="str">
        <f ca="1"/>
        <v/>
      </c>
      <c r="H3" s="71">
        <f ca="1"/>
        <v>0</v>
      </c>
      <c r="I3" s="72">
        <f ca="1"/>
        <v>0</v>
      </c>
      <c r="J3" s="24" t="str">
        <f ca="1"/>
        <v/>
      </c>
      <c r="K3" s="24" t="str">
        <f ca="1"/>
        <v/>
      </c>
    </row>
    <row r="4" spans="1:11" ht="15.75">
      <c r="A4" s="73" t="str">
        <v>Walden Liberty</v>
      </c>
      <c r="B4" s="74" t="str">
        <v>MA</v>
      </c>
      <c r="C4" s="69" t="str" cm="1">
        <f t="array" aca="1" ref="C4:K4" ca="1">IF(INDIRECT("'" &amp; $A4 &amp; "'!B14:J14")="", "", INDIRECT("'" &amp; $A4 &amp; "'!B14:J14"))</f>
        <v/>
      </c>
      <c r="D4" s="69" t="str">
        <f ca="1"/>
        <v/>
      </c>
      <c r="E4" s="69">
        <f ca="1"/>
        <v>0</v>
      </c>
      <c r="F4" s="75">
        <f ca="1"/>
        <v>0</v>
      </c>
      <c r="G4" s="71" t="str">
        <f ca="1"/>
        <v/>
      </c>
      <c r="H4" s="71">
        <f ca="1"/>
        <v>0</v>
      </c>
      <c r="I4" s="76">
        <f ca="1"/>
        <v>0</v>
      </c>
      <c r="J4" s="24" t="str">
        <f ca="1"/>
        <v/>
      </c>
      <c r="K4" s="24" t="str">
        <f ca="1"/>
        <v/>
      </c>
    </row>
    <row r="5" spans="1:11" ht="13.9" thickBot="1">
      <c r="A5" s="79" t="s">
        <v>9</v>
      </c>
      <c r="B5" s="80"/>
      <c r="C5" s="60">
        <f ca="1">SUM(C3:C4)</f>
        <v>0</v>
      </c>
      <c r="D5" s="60">
        <f ca="1">SUM(D3:D4)</f>
        <v>0</v>
      </c>
      <c r="E5" s="60">
        <f ca="1">C5-D5</f>
        <v>0</v>
      </c>
      <c r="F5" s="52">
        <f ca="1">IFERROR(E5/D5, 0)</f>
        <v>0</v>
      </c>
      <c r="G5" s="60">
        <f ca="1">SUM(G3:G4)</f>
        <v>0</v>
      </c>
      <c r="H5" s="61">
        <f ca="1">C5-G5</f>
        <v>0</v>
      </c>
      <c r="I5" s="53">
        <f ca="1">IFERROR(H5/G5, 0)</f>
        <v>0</v>
      </c>
      <c r="J5" s="8"/>
    </row>
    <row r="6" spans="1:11">
      <c r="J6" s="8"/>
    </row>
    <row r="7" spans="1:11" ht="12.75" customHeight="1">
      <c r="A7" s="81" t="s">
        <v>10</v>
      </c>
      <c r="J7" s="8"/>
    </row>
    <row r="8" spans="1:11">
      <c r="A8" s="81"/>
      <c r="J8" s="8"/>
    </row>
    <row r="9" spans="1:11">
      <c r="A9" s="82" t="s">
        <v>11</v>
      </c>
      <c r="J9" s="8"/>
    </row>
    <row r="10" spans="1:11" ht="12.75" customHeight="1">
      <c r="A10" s="82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B87DE706-15D9-4E58-ADBD-0129509DEFD6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40" priority="1" operator="lessThanOrEqual">
      <formula>-0.1</formula>
    </cfRule>
    <cfRule type="cellIs" dxfId="3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14"/>
  <sheetViews>
    <sheetView workbookViewId="0">
      <pane ySplit="2" topLeftCell="A3" activePane="bottomLeft" state="frozen"/>
      <selection pane="bottomLeft" activeCell="A5" sqref="A5:XFD5"/>
      <selection activeCell="A6" sqref="A6:XFD1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54.85546875" customWidth="1"/>
    <col min="11" max="11" width="19.42578125" customWidth="1"/>
  </cols>
  <sheetData>
    <row r="1" spans="1:11" ht="19.5" customHeight="1">
      <c r="A1" s="83" t="str" cm="1">
        <f t="array" ref="A1">portfolio</f>
        <v>Walden Renewables</v>
      </c>
      <c r="B1" s="84"/>
      <c r="C1" s="85" t="s">
        <v>42</v>
      </c>
      <c r="D1" s="86"/>
      <c r="E1" s="86"/>
      <c r="F1" s="87"/>
      <c r="G1" s="77" t="s">
        <v>43</v>
      </c>
      <c r="H1" s="77"/>
      <c r="I1" s="78"/>
      <c r="J1" s="88" t="s">
        <v>22</v>
      </c>
      <c r="K1" s="88" t="s">
        <v>23</v>
      </c>
    </row>
    <row r="2" spans="1:11" ht="14.25" customHeight="1">
      <c r="A2" s="56" t="s">
        <v>2</v>
      </c>
      <c r="B2" s="57" t="s">
        <v>3</v>
      </c>
      <c r="C2" s="5" t="s">
        <v>4</v>
      </c>
      <c r="D2" s="54" t="s">
        <v>5</v>
      </c>
      <c r="E2" s="5" t="s">
        <v>6</v>
      </c>
      <c r="F2" s="6" t="s">
        <v>7</v>
      </c>
      <c r="G2" s="55" t="s">
        <v>8</v>
      </c>
      <c r="H2" s="7" t="s">
        <v>6</v>
      </c>
      <c r="I2" s="9" t="s">
        <v>7</v>
      </c>
      <c r="J2" s="89"/>
      <c r="K2" s="89"/>
    </row>
    <row r="3" spans="1:11" ht="15.75">
      <c r="A3" s="58" t="str" cm="1">
        <f t="array" ref="A3:A4">Sites[Site]</f>
        <v>CCC College</v>
      </c>
      <c r="B3" s="45" t="str" cm="1">
        <f t="array" ref="B3:B4">Sites[State]</f>
        <v>MA</v>
      </c>
      <c r="C3" s="46" t="str" cm="1">
        <f t="array" aca="1" ref="C3:K3" ca="1">IF(INDIRECT("'" &amp; $A3 &amp; "'!B15:J15")="", "", INDIRECT("'" &amp; $A3 &amp; "'!B15:J15"))</f>
        <v/>
      </c>
      <c r="D3" s="46" t="str">
        <f ca="1"/>
        <v/>
      </c>
      <c r="E3" s="46">
        <f ca="1"/>
        <v>0</v>
      </c>
      <c r="F3" s="47">
        <f ca="1"/>
        <v>0</v>
      </c>
      <c r="G3" s="48" t="str">
        <f ca="1"/>
        <v/>
      </c>
      <c r="H3" s="48">
        <f ca="1"/>
        <v>0</v>
      </c>
      <c r="I3" s="49">
        <f ca="1"/>
        <v>0</v>
      </c>
      <c r="J3" s="24" t="str">
        <f ca="1"/>
        <v/>
      </c>
      <c r="K3" s="24" t="str">
        <f ca="1"/>
        <v/>
      </c>
    </row>
    <row r="4" spans="1:11" ht="15.75">
      <c r="A4" s="59" t="str">
        <v>Walden Liberty</v>
      </c>
      <c r="B4" s="22" t="str">
        <v>MA</v>
      </c>
      <c r="C4" s="46" t="str" cm="1">
        <f t="array" aca="1" ref="C4:K4" ca="1">IF(INDIRECT("'" &amp; $A4 &amp; "'!B15:J15")="", "", INDIRECT("'" &amp; $A4 &amp; "'!B15:J15"))</f>
        <v/>
      </c>
      <c r="D4" s="46" t="str">
        <f ca="1"/>
        <v/>
      </c>
      <c r="E4" s="46">
        <f ca="1"/>
        <v>0</v>
      </c>
      <c r="F4" s="50">
        <f ca="1"/>
        <v>0</v>
      </c>
      <c r="G4" s="48" t="str">
        <f ca="1"/>
        <v/>
      </c>
      <c r="H4" s="48">
        <f ca="1"/>
        <v>0</v>
      </c>
      <c r="I4" s="51">
        <f ca="1"/>
        <v>0</v>
      </c>
      <c r="J4" s="24" t="str">
        <f ca="1"/>
        <v/>
      </c>
      <c r="K4" s="24" t="str">
        <f ca="1"/>
        <v/>
      </c>
    </row>
    <row r="5" spans="1:11" ht="13.5">
      <c r="A5" s="79" t="s">
        <v>9</v>
      </c>
      <c r="B5" s="80"/>
      <c r="C5" s="60">
        <f ca="1">SUM(C3:C4)</f>
        <v>0</v>
      </c>
      <c r="D5" s="60">
        <f ca="1">SUM(D3:D4)</f>
        <v>0</v>
      </c>
      <c r="E5" s="60">
        <f ca="1">C5-D5</f>
        <v>0</v>
      </c>
      <c r="F5" s="52">
        <f ca="1">IFERROR(E5/D5, 0)</f>
        <v>0</v>
      </c>
      <c r="G5" s="60">
        <f ca="1">SUM(G3:G4)</f>
        <v>0</v>
      </c>
      <c r="H5" s="61">
        <f ca="1">C5-G5</f>
        <v>0</v>
      </c>
      <c r="I5" s="53">
        <f ca="1">IFERROR(H5/G5, 0)</f>
        <v>0</v>
      </c>
      <c r="J5" s="8"/>
    </row>
    <row r="6" spans="1:11">
      <c r="J6" s="8"/>
    </row>
    <row r="7" spans="1:11" ht="12.75" customHeight="1">
      <c r="A7" s="81" t="s">
        <v>10</v>
      </c>
      <c r="J7" s="8"/>
    </row>
    <row r="8" spans="1:11">
      <c r="A8" s="81"/>
      <c r="J8" s="8"/>
    </row>
    <row r="9" spans="1:11">
      <c r="A9" s="82" t="s">
        <v>11</v>
      </c>
      <c r="J9" s="8"/>
    </row>
    <row r="10" spans="1:11" ht="12.75" customHeight="1">
      <c r="A10" s="82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7397A98F-A32F-42EE-8114-2658DE422011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38" priority="1" operator="lessThanOrEqual">
      <formula>-0.1</formula>
    </cfRule>
    <cfRule type="cellIs" dxfId="37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14"/>
  <sheetViews>
    <sheetView tabSelected="1" workbookViewId="0">
      <pane ySplit="2" topLeftCell="B3" activePane="bottomLeft" state="frozen"/>
      <selection pane="bottomLeft" activeCell="A5" sqref="A5:XFD5"/>
      <selection activeCell="A6" sqref="A6:XFD1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68" customWidth="1"/>
    <col min="11" max="11" width="19.42578125" customWidth="1"/>
  </cols>
  <sheetData>
    <row r="1" spans="1:11" ht="19.5" customHeight="1">
      <c r="A1" s="83" t="str" cm="1">
        <f t="array" ref="A1">portfolio</f>
        <v>Walden Renewables</v>
      </c>
      <c r="B1" s="84"/>
      <c r="C1" s="85" t="s">
        <v>44</v>
      </c>
      <c r="D1" s="86"/>
      <c r="E1" s="86"/>
      <c r="F1" s="87"/>
      <c r="G1" s="77" t="s">
        <v>45</v>
      </c>
      <c r="H1" s="77"/>
      <c r="I1" s="78"/>
      <c r="J1" s="88" t="s">
        <v>22</v>
      </c>
      <c r="K1" s="88" t="s">
        <v>23</v>
      </c>
    </row>
    <row r="2" spans="1:11" ht="14.25" customHeight="1">
      <c r="A2" s="56" t="s">
        <v>2</v>
      </c>
      <c r="B2" s="57" t="s">
        <v>3</v>
      </c>
      <c r="C2" s="5" t="s">
        <v>4</v>
      </c>
      <c r="D2" s="54" t="s">
        <v>5</v>
      </c>
      <c r="E2" s="5" t="s">
        <v>6</v>
      </c>
      <c r="F2" s="6" t="s">
        <v>7</v>
      </c>
      <c r="G2" s="55" t="s">
        <v>8</v>
      </c>
      <c r="H2" s="7" t="s">
        <v>6</v>
      </c>
      <c r="I2" s="9" t="s">
        <v>7</v>
      </c>
      <c r="J2" s="89"/>
      <c r="K2" s="89"/>
    </row>
    <row r="3" spans="1:11" ht="15.75">
      <c r="A3" s="58" t="str" cm="1">
        <f t="array" ref="A3:A4">Sites[Site]</f>
        <v>CCC College</v>
      </c>
      <c r="B3" s="45" t="str" cm="1">
        <f t="array" ref="B3:B4">Sites[State]</f>
        <v>MA</v>
      </c>
      <c r="C3" s="46" t="str" cm="1">
        <f t="array" aca="1" ref="C3:K3" ca="1">IF(INDIRECT("'" &amp; $A3 &amp; "'!B16:J16")="", "", INDIRECT("'" &amp; $A3 &amp; "'!B16:J16"))</f>
        <v/>
      </c>
      <c r="D3" s="46" t="str">
        <f ca="1"/>
        <v/>
      </c>
      <c r="E3" s="46">
        <f ca="1"/>
        <v>0</v>
      </c>
      <c r="F3" s="47">
        <f ca="1"/>
        <v>0</v>
      </c>
      <c r="G3" s="48" t="str">
        <f ca="1"/>
        <v/>
      </c>
      <c r="H3" s="48">
        <f ca="1"/>
        <v>0</v>
      </c>
      <c r="I3" s="49">
        <f ca="1"/>
        <v>0</v>
      </c>
      <c r="J3" s="24" t="str">
        <f ca="1"/>
        <v/>
      </c>
      <c r="K3" s="24" t="str">
        <f ca="1"/>
        <v/>
      </c>
    </row>
    <row r="4" spans="1:11" ht="15.75">
      <c r="A4" s="59" t="str">
        <v>Walden Liberty</v>
      </c>
      <c r="B4" s="22" t="str">
        <v>MA</v>
      </c>
      <c r="C4" s="46" t="str" cm="1">
        <f t="array" aca="1" ref="C4:K4" ca="1">IF(INDIRECT("'" &amp; $A4 &amp; "'!B16:J16")="", "", INDIRECT("'" &amp; $A4 &amp; "'!B16:J16"))</f>
        <v/>
      </c>
      <c r="D4" s="46" t="str">
        <f ca="1"/>
        <v/>
      </c>
      <c r="E4" s="46">
        <f ca="1"/>
        <v>0</v>
      </c>
      <c r="F4" s="50">
        <f ca="1"/>
        <v>0</v>
      </c>
      <c r="G4" s="48" t="str">
        <f ca="1"/>
        <v/>
      </c>
      <c r="H4" s="48">
        <f ca="1"/>
        <v>0</v>
      </c>
      <c r="I4" s="51">
        <f ca="1"/>
        <v>0</v>
      </c>
      <c r="J4" s="24" t="str">
        <f ca="1"/>
        <v/>
      </c>
      <c r="K4" s="24" t="str">
        <f ca="1"/>
        <v/>
      </c>
    </row>
    <row r="5" spans="1:11" ht="13.5">
      <c r="A5" s="79" t="s">
        <v>9</v>
      </c>
      <c r="B5" s="80"/>
      <c r="C5" s="60">
        <f ca="1">SUM(C3:C4)</f>
        <v>0</v>
      </c>
      <c r="D5" s="60">
        <f ca="1">SUM(D3:D4)</f>
        <v>0</v>
      </c>
      <c r="E5" s="60">
        <f ca="1">C5-D5</f>
        <v>0</v>
      </c>
      <c r="F5" s="52">
        <f ca="1">IFERROR(E5/D5, 0)</f>
        <v>0</v>
      </c>
      <c r="G5" s="60">
        <f ca="1">SUM(G3:G4)</f>
        <v>0</v>
      </c>
      <c r="H5" s="61">
        <f ca="1">C5-G5</f>
        <v>0</v>
      </c>
      <c r="I5" s="53">
        <f ca="1">IFERROR(H5/G5, 0)</f>
        <v>0</v>
      </c>
      <c r="J5" s="8"/>
    </row>
    <row r="6" spans="1:11">
      <c r="J6" s="8"/>
    </row>
    <row r="7" spans="1:11" ht="12.75" customHeight="1">
      <c r="A7" s="81" t="s">
        <v>10</v>
      </c>
      <c r="J7" s="8"/>
    </row>
    <row r="8" spans="1:11">
      <c r="A8" s="81"/>
      <c r="J8" s="8"/>
    </row>
    <row r="9" spans="1:11">
      <c r="A9" s="82" t="s">
        <v>11</v>
      </c>
      <c r="J9" s="8"/>
    </row>
    <row r="10" spans="1:11" ht="12.75" customHeight="1">
      <c r="A10" s="82"/>
      <c r="J10" s="8"/>
    </row>
    <row r="11" spans="1:11" ht="12.75" customHeight="1">
      <c r="J11" s="8"/>
    </row>
    <row r="13" spans="1:11" ht="12.75" customHeight="1"/>
    <row r="14" spans="1:11" ht="12.75" customHeight="1"/>
  </sheetData>
  <autoFilter ref="A2:I2" xr:uid="{7BFACBC8-3831-4E2B-BAD7-988F02FCC664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36" priority="1" operator="lessThanOrEqual">
      <formula>-0.1</formula>
    </cfRule>
    <cfRule type="cellIs" dxfId="3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2" topLeftCell="A3" activePane="bottomLeft" state="frozen"/>
      <selection pane="bottomLeft" activeCell="A4" sqref="A4:XFD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2" spans="1:7">
      <c r="A2" t="s">
        <v>48</v>
      </c>
      <c r="B2" t="s">
        <v>2</v>
      </c>
      <c r="C2" t="s">
        <v>3</v>
      </c>
      <c r="D2" t="s">
        <v>49</v>
      </c>
      <c r="E2" s="2" t="s">
        <v>50</v>
      </c>
    </row>
    <row r="3" spans="1:7" ht="14.25">
      <c r="A3" t="s">
        <v>51</v>
      </c>
      <c r="B3" t="s">
        <v>52</v>
      </c>
      <c r="C3" t="s">
        <v>53</v>
      </c>
      <c r="E3" t="s">
        <v>54</v>
      </c>
      <c r="G3" s="12"/>
    </row>
    <row r="4" spans="1:7" ht="14.25">
      <c r="A4" t="s">
        <v>55</v>
      </c>
      <c r="B4" t="s">
        <v>56</v>
      </c>
      <c r="C4" t="s">
        <v>53</v>
      </c>
      <c r="E4" t="s">
        <v>54</v>
      </c>
      <c r="G4" s="1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workbookViewId="0">
      <selection activeCell="G27" sqref="G27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80.5703125" customWidth="1"/>
    <col min="10" max="10" width="21.42578125" customWidth="1"/>
  </cols>
  <sheetData>
    <row r="1" spans="1:15" ht="25.15">
      <c r="A1" s="98" t="s">
        <v>52</v>
      </c>
      <c r="B1" s="98"/>
      <c r="C1" s="98"/>
      <c r="D1" s="98"/>
      <c r="E1" s="98"/>
      <c r="F1" s="98"/>
      <c r="G1" s="98"/>
      <c r="H1" s="98"/>
      <c r="I1" s="98"/>
      <c r="J1" s="98"/>
    </row>
    <row r="2" spans="1:15" ht="25.15">
      <c r="A2" s="10"/>
      <c r="B2" s="10"/>
      <c r="C2" s="10"/>
      <c r="D2" s="10"/>
      <c r="E2" s="10"/>
    </row>
    <row r="3" spans="1:15" ht="15">
      <c r="A3" s="90" t="s">
        <v>57</v>
      </c>
      <c r="B3" s="91"/>
      <c r="C3" s="91"/>
      <c r="D3" s="91"/>
      <c r="E3" s="92"/>
      <c r="F3" s="93" t="s">
        <v>58</v>
      </c>
      <c r="G3" s="94"/>
      <c r="H3" s="95"/>
      <c r="I3" s="96" t="s">
        <v>59</v>
      </c>
      <c r="J3" s="97"/>
    </row>
    <row r="4" spans="1:15">
      <c r="A4" s="13" t="s">
        <v>60</v>
      </c>
      <c r="B4" s="38" t="s">
        <v>4</v>
      </c>
      <c r="C4" s="38" t="s">
        <v>5</v>
      </c>
      <c r="D4" s="38" t="s">
        <v>61</v>
      </c>
      <c r="E4" s="39" t="s">
        <v>62</v>
      </c>
      <c r="F4" s="40" t="s">
        <v>8</v>
      </c>
      <c r="G4" s="41" t="s">
        <v>63</v>
      </c>
      <c r="H4" s="42" t="s">
        <v>64</v>
      </c>
      <c r="I4" s="43" t="s">
        <v>59</v>
      </c>
      <c r="J4" s="44" t="s">
        <v>65</v>
      </c>
    </row>
    <row r="5" spans="1:15" ht="14.25">
      <c r="A5" s="14" t="s">
        <v>66</v>
      </c>
      <c r="B5" s="15">
        <v>34678</v>
      </c>
      <c r="C5" s="15">
        <v>0</v>
      </c>
      <c r="D5" s="64">
        <f>B5-C5</f>
        <v>34678</v>
      </c>
      <c r="E5" s="17">
        <f t="shared" ref="E5:E16" si="0">IFERROR(D5/C5, 0)</f>
        <v>0</v>
      </c>
      <c r="F5" s="18">
        <v>0</v>
      </c>
      <c r="G5" s="19">
        <f>B5-F5</f>
        <v>34678</v>
      </c>
      <c r="H5" s="20">
        <f t="shared" ref="H5:H16" si="1">IFERROR(G5/F5, 0)</f>
        <v>0</v>
      </c>
      <c r="I5" s="62"/>
      <c r="J5" s="62"/>
      <c r="O5" s="4"/>
    </row>
    <row r="6" spans="1:15" ht="14.25">
      <c r="A6" s="22" t="s">
        <v>67</v>
      </c>
      <c r="B6" s="16"/>
      <c r="C6" s="15"/>
      <c r="D6" s="64">
        <f t="shared" ref="D6:D16" si="2">B6-C6</f>
        <v>0</v>
      </c>
      <c r="E6" s="23">
        <f t="shared" si="0"/>
        <v>0</v>
      </c>
      <c r="F6" s="18"/>
      <c r="G6" s="19">
        <f t="shared" ref="G6:G16" si="3">B6-F6</f>
        <v>0</v>
      </c>
      <c r="H6" s="20">
        <f t="shared" si="1"/>
        <v>0</v>
      </c>
      <c r="I6" s="63"/>
      <c r="J6" s="63"/>
    </row>
    <row r="7" spans="1:15" ht="14.25">
      <c r="A7" s="22" t="s">
        <v>68</v>
      </c>
      <c r="B7" s="16"/>
      <c r="C7" s="15"/>
      <c r="D7" s="64">
        <f t="shared" si="2"/>
        <v>0</v>
      </c>
      <c r="E7" s="23">
        <f t="shared" si="0"/>
        <v>0</v>
      </c>
      <c r="F7" s="18"/>
      <c r="G7" s="19">
        <f t="shared" si="3"/>
        <v>0</v>
      </c>
      <c r="H7" s="20">
        <f t="shared" si="1"/>
        <v>0</v>
      </c>
      <c r="I7" s="63"/>
      <c r="J7" s="63"/>
    </row>
    <row r="8" spans="1:15" ht="14.25">
      <c r="A8" s="22" t="s">
        <v>69</v>
      </c>
      <c r="B8" s="16"/>
      <c r="C8" s="15"/>
      <c r="D8" s="64">
        <f t="shared" si="2"/>
        <v>0</v>
      </c>
      <c r="E8" s="23">
        <f t="shared" si="0"/>
        <v>0</v>
      </c>
      <c r="F8" s="18"/>
      <c r="G8" s="19">
        <f t="shared" si="3"/>
        <v>0</v>
      </c>
      <c r="H8" s="20">
        <f t="shared" si="1"/>
        <v>0</v>
      </c>
      <c r="I8" s="63"/>
      <c r="J8" s="63"/>
    </row>
    <row r="9" spans="1:15" ht="14.25">
      <c r="A9" s="22" t="s">
        <v>70</v>
      </c>
      <c r="B9" s="16"/>
      <c r="C9" s="15"/>
      <c r="D9" s="64">
        <f t="shared" si="2"/>
        <v>0</v>
      </c>
      <c r="E9" s="23">
        <f t="shared" si="0"/>
        <v>0</v>
      </c>
      <c r="F9" s="18"/>
      <c r="G9" s="19">
        <f t="shared" si="3"/>
        <v>0</v>
      </c>
      <c r="H9" s="20">
        <f t="shared" si="1"/>
        <v>0</v>
      </c>
      <c r="I9" s="63"/>
      <c r="J9" s="63"/>
    </row>
    <row r="10" spans="1:15" ht="14.25">
      <c r="A10" s="22" t="s">
        <v>71</v>
      </c>
      <c r="B10" s="25"/>
      <c r="C10" s="15"/>
      <c r="D10" s="64">
        <f t="shared" si="2"/>
        <v>0</v>
      </c>
      <c r="E10" s="23">
        <f t="shared" si="0"/>
        <v>0</v>
      </c>
      <c r="F10" s="18"/>
      <c r="G10" s="19">
        <f t="shared" si="3"/>
        <v>0</v>
      </c>
      <c r="H10" s="20">
        <f t="shared" si="1"/>
        <v>0</v>
      </c>
      <c r="I10" s="63"/>
      <c r="J10" s="63"/>
    </row>
    <row r="11" spans="1:15" ht="14.25">
      <c r="A11" s="22" t="s">
        <v>72</v>
      </c>
      <c r="B11" s="16"/>
      <c r="C11" s="15"/>
      <c r="D11" s="64">
        <f t="shared" si="2"/>
        <v>0</v>
      </c>
      <c r="E11" s="23">
        <f t="shared" si="0"/>
        <v>0</v>
      </c>
      <c r="F11" s="18"/>
      <c r="G11" s="19">
        <f t="shared" si="3"/>
        <v>0</v>
      </c>
      <c r="H11" s="20">
        <f t="shared" si="1"/>
        <v>0</v>
      </c>
      <c r="I11" s="63"/>
      <c r="J11" s="63"/>
    </row>
    <row r="12" spans="1:15" ht="14.25">
      <c r="A12" s="22" t="s">
        <v>73</v>
      </c>
      <c r="B12" s="16"/>
      <c r="C12" s="15"/>
      <c r="D12" s="64">
        <f t="shared" si="2"/>
        <v>0</v>
      </c>
      <c r="E12" s="23">
        <f t="shared" si="0"/>
        <v>0</v>
      </c>
      <c r="F12" s="18"/>
      <c r="G12" s="19">
        <f t="shared" si="3"/>
        <v>0</v>
      </c>
      <c r="H12" s="20">
        <f t="shared" si="1"/>
        <v>0</v>
      </c>
      <c r="I12" s="63"/>
      <c r="J12" s="63"/>
    </row>
    <row r="13" spans="1:15" ht="14.25">
      <c r="A13" s="22" t="s">
        <v>74</v>
      </c>
      <c r="B13" s="16"/>
      <c r="C13" s="15"/>
      <c r="D13" s="64">
        <f t="shared" si="2"/>
        <v>0</v>
      </c>
      <c r="E13" s="23">
        <f t="shared" si="0"/>
        <v>0</v>
      </c>
      <c r="F13" s="18"/>
      <c r="G13" s="19">
        <f t="shared" si="3"/>
        <v>0</v>
      </c>
      <c r="H13" s="20">
        <f t="shared" si="1"/>
        <v>0</v>
      </c>
      <c r="I13" s="63"/>
      <c r="J13" s="63"/>
    </row>
    <row r="14" spans="1:15" ht="14.25">
      <c r="A14" s="22" t="s">
        <v>75</v>
      </c>
      <c r="B14" s="16"/>
      <c r="C14" s="15"/>
      <c r="D14" s="64">
        <f t="shared" si="2"/>
        <v>0</v>
      </c>
      <c r="E14" s="23">
        <f t="shared" si="0"/>
        <v>0</v>
      </c>
      <c r="F14" s="18"/>
      <c r="G14" s="19">
        <f t="shared" si="3"/>
        <v>0</v>
      </c>
      <c r="H14" s="20">
        <f t="shared" si="1"/>
        <v>0</v>
      </c>
      <c r="I14" s="63"/>
      <c r="J14" s="63"/>
    </row>
    <row r="15" spans="1:15" ht="14.25">
      <c r="A15" s="22" t="s">
        <v>76</v>
      </c>
      <c r="B15" s="25"/>
      <c r="C15" s="25"/>
      <c r="D15" s="64">
        <f t="shared" si="2"/>
        <v>0</v>
      </c>
      <c r="E15" s="23">
        <f t="shared" si="0"/>
        <v>0</v>
      </c>
      <c r="F15" s="26"/>
      <c r="G15" s="19">
        <f t="shared" si="3"/>
        <v>0</v>
      </c>
      <c r="H15" s="20">
        <f t="shared" si="1"/>
        <v>0</v>
      </c>
      <c r="I15" s="63"/>
      <c r="J15" s="63"/>
    </row>
    <row r="16" spans="1:15" ht="14.25">
      <c r="A16" s="27" t="s">
        <v>77</v>
      </c>
      <c r="B16" s="28"/>
      <c r="C16" s="28"/>
      <c r="D16" s="64">
        <f t="shared" si="2"/>
        <v>0</v>
      </c>
      <c r="E16" s="29">
        <f t="shared" si="0"/>
        <v>0</v>
      </c>
      <c r="F16" s="30"/>
      <c r="G16" s="31">
        <f t="shared" si="3"/>
        <v>0</v>
      </c>
      <c r="H16" s="32">
        <f t="shared" si="1"/>
        <v>0</v>
      </c>
      <c r="I16" s="65"/>
      <c r="J16" s="65"/>
    </row>
    <row r="17" spans="1:15" ht="14.25">
      <c r="A17" s="33" t="s">
        <v>78</v>
      </c>
      <c r="B17" s="34">
        <f>SUM(B5:B16)</f>
        <v>34678</v>
      </c>
      <c r="C17" s="34">
        <f t="shared" ref="C17:F17" si="4">SUM(C5:C16)</f>
        <v>0</v>
      </c>
      <c r="D17" s="34">
        <f>B17-C17</f>
        <v>34678</v>
      </c>
      <c r="E17" s="35">
        <f>IFERROR(D17/C17, 0)</f>
        <v>0</v>
      </c>
      <c r="F17" s="34">
        <f t="shared" si="4"/>
        <v>0</v>
      </c>
      <c r="G17" s="34">
        <f>B17-F17</f>
        <v>34678</v>
      </c>
      <c r="H17" s="36">
        <f>IFERROR(G17/F17, 0)</f>
        <v>0</v>
      </c>
      <c r="I17" s="37"/>
      <c r="J17" s="37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31" priority="1" operator="lessThanOrEqual">
      <formula>-0.1</formula>
    </cfRule>
    <cfRule type="cellIs" dxfId="30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77AD-10D5-495F-8BF9-1C4316DB79A4}">
  <sheetPr>
    <tabColor rgb="FFFFFF00"/>
  </sheetPr>
  <dimension ref="A1:O20"/>
  <sheetViews>
    <sheetView workbookViewId="0">
      <selection activeCell="I21" sqref="I21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4.6" customHeight="1">
      <c r="A1" s="98" t="s">
        <v>56</v>
      </c>
      <c r="B1" s="98"/>
      <c r="C1" s="98"/>
      <c r="D1" s="98"/>
      <c r="E1" s="98"/>
      <c r="F1" s="98"/>
      <c r="G1" s="98"/>
      <c r="H1" s="98"/>
      <c r="I1" s="98"/>
      <c r="J1" s="98"/>
    </row>
    <row r="2" spans="1:15" ht="25.15">
      <c r="A2" s="10"/>
      <c r="B2" s="10"/>
      <c r="C2" s="10"/>
      <c r="D2" s="10"/>
      <c r="E2" s="10"/>
    </row>
    <row r="3" spans="1:15" ht="16.5" customHeight="1">
      <c r="A3" s="90" t="s">
        <v>57</v>
      </c>
      <c r="B3" s="91"/>
      <c r="C3" s="91"/>
      <c r="D3" s="91"/>
      <c r="E3" s="92"/>
      <c r="F3" s="93" t="s">
        <v>58</v>
      </c>
      <c r="G3" s="94"/>
      <c r="H3" s="95"/>
      <c r="I3" s="96" t="s">
        <v>59</v>
      </c>
      <c r="J3" s="97"/>
    </row>
    <row r="4" spans="1:15" ht="13.35" customHeight="1">
      <c r="A4" s="13" t="s">
        <v>60</v>
      </c>
      <c r="B4" s="38" t="s">
        <v>4</v>
      </c>
      <c r="C4" s="38" t="s">
        <v>5</v>
      </c>
      <c r="D4" s="38" t="s">
        <v>61</v>
      </c>
      <c r="E4" s="39" t="s">
        <v>62</v>
      </c>
      <c r="F4" s="40" t="s">
        <v>8</v>
      </c>
      <c r="G4" s="41" t="s">
        <v>63</v>
      </c>
      <c r="H4" s="42" t="s">
        <v>64</v>
      </c>
      <c r="I4" s="43" t="s">
        <v>59</v>
      </c>
      <c r="J4" s="44" t="s">
        <v>65</v>
      </c>
    </row>
    <row r="5" spans="1:15" ht="13.35" customHeight="1">
      <c r="A5" s="14" t="s">
        <v>66</v>
      </c>
      <c r="B5" s="15">
        <v>4938</v>
      </c>
      <c r="C5" s="15">
        <v>0</v>
      </c>
      <c r="D5" s="64">
        <f>B5-C5</f>
        <v>4938</v>
      </c>
      <c r="E5" s="17">
        <f t="shared" ref="E5:E16" si="0">IFERROR(D5/C5, 0)</f>
        <v>0</v>
      </c>
      <c r="F5" s="18">
        <v>0</v>
      </c>
      <c r="G5" s="19">
        <f>B5-F5</f>
        <v>4938</v>
      </c>
      <c r="H5" s="20">
        <f t="shared" ref="H5:H16" si="1">IFERROR(G5/F5, 0)</f>
        <v>0</v>
      </c>
      <c r="I5" s="66" t="s">
        <v>79</v>
      </c>
      <c r="J5" s="66" t="s">
        <v>80</v>
      </c>
      <c r="O5" s="4"/>
    </row>
    <row r="6" spans="1:15" ht="13.35" customHeight="1">
      <c r="A6" s="22" t="s">
        <v>67</v>
      </c>
      <c r="B6" s="16"/>
      <c r="C6" s="15"/>
      <c r="D6" s="64">
        <f t="shared" ref="D6:D16" si="2">B6-C6</f>
        <v>0</v>
      </c>
      <c r="E6" s="23">
        <f t="shared" si="0"/>
        <v>0</v>
      </c>
      <c r="F6" s="18"/>
      <c r="G6" s="19">
        <f t="shared" ref="G6:G16" si="3">B6-F6</f>
        <v>0</v>
      </c>
      <c r="H6" s="20">
        <f t="shared" si="1"/>
        <v>0</v>
      </c>
      <c r="I6" s="63"/>
      <c r="J6" s="63"/>
    </row>
    <row r="7" spans="1:15" ht="13.35" customHeight="1">
      <c r="A7" s="22" t="s">
        <v>68</v>
      </c>
      <c r="B7" s="16"/>
      <c r="C7" s="15"/>
      <c r="D7" s="64">
        <f t="shared" si="2"/>
        <v>0</v>
      </c>
      <c r="E7" s="23">
        <f t="shared" si="0"/>
        <v>0</v>
      </c>
      <c r="F7" s="18"/>
      <c r="G7" s="19">
        <f t="shared" si="3"/>
        <v>0</v>
      </c>
      <c r="H7" s="20">
        <f t="shared" si="1"/>
        <v>0</v>
      </c>
      <c r="I7" s="63"/>
      <c r="J7" s="63"/>
    </row>
    <row r="8" spans="1:15" ht="13.35" customHeight="1">
      <c r="A8" s="22" t="s">
        <v>69</v>
      </c>
      <c r="B8" s="16"/>
      <c r="C8" s="15"/>
      <c r="D8" s="64">
        <f t="shared" si="2"/>
        <v>0</v>
      </c>
      <c r="E8" s="23">
        <f t="shared" si="0"/>
        <v>0</v>
      </c>
      <c r="F8" s="18"/>
      <c r="G8" s="19">
        <f t="shared" si="3"/>
        <v>0</v>
      </c>
      <c r="H8" s="20">
        <f t="shared" si="1"/>
        <v>0</v>
      </c>
      <c r="I8" s="63"/>
      <c r="J8" s="63"/>
    </row>
    <row r="9" spans="1:15" ht="13.35" customHeight="1">
      <c r="A9" s="22" t="s">
        <v>70</v>
      </c>
      <c r="B9" s="16"/>
      <c r="C9" s="15"/>
      <c r="D9" s="64">
        <f t="shared" si="2"/>
        <v>0</v>
      </c>
      <c r="E9" s="23">
        <f t="shared" si="0"/>
        <v>0</v>
      </c>
      <c r="F9" s="18"/>
      <c r="G9" s="19">
        <f t="shared" si="3"/>
        <v>0</v>
      </c>
      <c r="H9" s="20">
        <f t="shared" si="1"/>
        <v>0</v>
      </c>
      <c r="I9" s="63"/>
      <c r="J9" s="63"/>
    </row>
    <row r="10" spans="1:15" ht="13.35" customHeight="1">
      <c r="A10" s="22" t="s">
        <v>71</v>
      </c>
      <c r="B10" s="25"/>
      <c r="C10" s="15"/>
      <c r="D10" s="64">
        <f t="shared" si="2"/>
        <v>0</v>
      </c>
      <c r="E10" s="23">
        <f t="shared" si="0"/>
        <v>0</v>
      </c>
      <c r="F10" s="18"/>
      <c r="G10" s="19">
        <f t="shared" si="3"/>
        <v>0</v>
      </c>
      <c r="H10" s="20">
        <f t="shared" si="1"/>
        <v>0</v>
      </c>
      <c r="I10" s="63"/>
      <c r="J10" s="63"/>
    </row>
    <row r="11" spans="1:15" ht="13.35" customHeight="1">
      <c r="A11" s="22" t="s">
        <v>72</v>
      </c>
      <c r="B11" s="16"/>
      <c r="C11" s="15"/>
      <c r="D11" s="64">
        <f t="shared" si="2"/>
        <v>0</v>
      </c>
      <c r="E11" s="23">
        <f t="shared" si="0"/>
        <v>0</v>
      </c>
      <c r="F11" s="18"/>
      <c r="G11" s="19">
        <f t="shared" si="3"/>
        <v>0</v>
      </c>
      <c r="H11" s="20">
        <f t="shared" si="1"/>
        <v>0</v>
      </c>
      <c r="I11" s="63"/>
      <c r="J11" s="63"/>
    </row>
    <row r="12" spans="1:15" ht="13.35" customHeight="1">
      <c r="A12" s="22" t="s">
        <v>73</v>
      </c>
      <c r="B12" s="16"/>
      <c r="C12" s="15"/>
      <c r="D12" s="64">
        <f t="shared" si="2"/>
        <v>0</v>
      </c>
      <c r="E12" s="23">
        <f t="shared" si="0"/>
        <v>0</v>
      </c>
      <c r="F12" s="18"/>
      <c r="G12" s="19">
        <f t="shared" si="3"/>
        <v>0</v>
      </c>
      <c r="H12" s="20">
        <f t="shared" si="1"/>
        <v>0</v>
      </c>
      <c r="I12" s="63"/>
      <c r="J12" s="63"/>
    </row>
    <row r="13" spans="1:15" ht="13.35" customHeight="1">
      <c r="A13" s="22" t="s">
        <v>74</v>
      </c>
      <c r="B13" s="16"/>
      <c r="C13" s="15"/>
      <c r="D13" s="64">
        <f t="shared" si="2"/>
        <v>0</v>
      </c>
      <c r="E13" s="23">
        <f t="shared" si="0"/>
        <v>0</v>
      </c>
      <c r="F13" s="18"/>
      <c r="G13" s="19">
        <f t="shared" si="3"/>
        <v>0</v>
      </c>
      <c r="H13" s="20">
        <f t="shared" si="1"/>
        <v>0</v>
      </c>
      <c r="I13" s="63"/>
      <c r="J13" s="63"/>
    </row>
    <row r="14" spans="1:15" ht="13.35" customHeight="1">
      <c r="A14" s="22" t="s">
        <v>75</v>
      </c>
      <c r="B14" s="16"/>
      <c r="C14" s="15"/>
      <c r="D14" s="64">
        <f t="shared" si="2"/>
        <v>0</v>
      </c>
      <c r="E14" s="23">
        <f t="shared" si="0"/>
        <v>0</v>
      </c>
      <c r="F14" s="18"/>
      <c r="G14" s="19">
        <f t="shared" si="3"/>
        <v>0</v>
      </c>
      <c r="H14" s="20">
        <f t="shared" si="1"/>
        <v>0</v>
      </c>
      <c r="I14" s="63"/>
      <c r="J14" s="63"/>
    </row>
    <row r="15" spans="1:15" ht="13.35" customHeight="1">
      <c r="A15" s="22" t="s">
        <v>76</v>
      </c>
      <c r="B15" s="25"/>
      <c r="C15" s="25"/>
      <c r="D15" s="64">
        <f t="shared" si="2"/>
        <v>0</v>
      </c>
      <c r="E15" s="23">
        <f t="shared" si="0"/>
        <v>0</v>
      </c>
      <c r="F15" s="26"/>
      <c r="G15" s="19">
        <f t="shared" si="3"/>
        <v>0</v>
      </c>
      <c r="H15" s="20">
        <f t="shared" si="1"/>
        <v>0</v>
      </c>
      <c r="I15" s="63"/>
      <c r="J15" s="63"/>
    </row>
    <row r="16" spans="1:15" ht="13.35" customHeight="1">
      <c r="A16" s="27" t="s">
        <v>77</v>
      </c>
      <c r="B16" s="28"/>
      <c r="C16" s="28"/>
      <c r="D16" s="64">
        <f t="shared" si="2"/>
        <v>0</v>
      </c>
      <c r="E16" s="29">
        <f t="shared" si="0"/>
        <v>0</v>
      </c>
      <c r="F16" s="30"/>
      <c r="G16" s="31">
        <f t="shared" si="3"/>
        <v>0</v>
      </c>
      <c r="H16" s="32">
        <f t="shared" si="1"/>
        <v>0</v>
      </c>
      <c r="I16" s="65"/>
      <c r="J16" s="65"/>
    </row>
    <row r="17" spans="1:15" ht="13.35" customHeight="1">
      <c r="A17" s="33" t="s">
        <v>78</v>
      </c>
      <c r="B17" s="34">
        <f>SUM(B5:B16)</f>
        <v>4938</v>
      </c>
      <c r="C17" s="34">
        <f t="shared" ref="C17:F17" si="4">SUM(C5:C16)</f>
        <v>0</v>
      </c>
      <c r="D17" s="34">
        <f>B17-C17</f>
        <v>4938</v>
      </c>
      <c r="E17" s="35">
        <f>IFERROR(D17/C17, 0)</f>
        <v>0</v>
      </c>
      <c r="F17" s="34">
        <f t="shared" si="4"/>
        <v>0</v>
      </c>
      <c r="G17" s="34">
        <f>B17-F17</f>
        <v>4938</v>
      </c>
      <c r="H17" s="36">
        <f>IFERROR(G17/F17, 0)</f>
        <v>0</v>
      </c>
      <c r="I17" s="37"/>
      <c r="J17" s="37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15" priority="1" operator="lessThanOrEqual">
      <formula>-0.1</formula>
    </cfRule>
    <cfRule type="cellIs" dxfId="14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A4E10-7B12-4259-BC3D-95271FB425C0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Harshith Devarakonda [Libsys]</cp:lastModifiedBy>
  <cp:revision/>
  <dcterms:created xsi:type="dcterms:W3CDTF">2021-01-01T16:39:53Z</dcterms:created>
  <dcterms:modified xsi:type="dcterms:W3CDTF">2024-04-15T04:58:08Z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