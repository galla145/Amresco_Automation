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54269A58-8949-4C86-B93D-BC7C3004F65E}" xr6:coauthVersionLast="47" xr6:coauthVersionMax="47" xr10:uidLastSave="{00000000-0000-0000-0000-000000000000}"/>
  <bookViews>
    <workbookView xWindow="-28920" yWindow="7725" windowWidth="29040" windowHeight="15720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G16" i="1"/>
  <c r="H16" i="1" s="1"/>
  <c r="D16" i="1"/>
  <c r="E16" i="1" s="1"/>
  <c r="G15" i="1"/>
  <c r="H15" i="1" s="1"/>
  <c r="D15" i="1"/>
  <c r="E15" i="1" s="1"/>
  <c r="G14" i="1"/>
  <c r="H14" i="1" s="1"/>
  <c r="D14" i="1"/>
  <c r="E14" i="1" s="1"/>
  <c r="G13" i="1"/>
  <c r="H13" i="1" s="1"/>
  <c r="D13" i="1"/>
  <c r="E13" i="1" s="1"/>
  <c r="G6" i="1"/>
  <c r="G7" i="1"/>
  <c r="H7" i="1" s="1"/>
  <c r="G8" i="1"/>
  <c r="H8" i="1" s="1"/>
  <c r="G9" i="1"/>
  <c r="H9" i="1" s="1"/>
  <c r="G10" i="1"/>
  <c r="H10" i="1" s="1"/>
  <c r="G11" i="1"/>
  <c r="G12" i="1"/>
  <c r="H12" i="1" s="1"/>
  <c r="D6" i="1"/>
  <c r="D7" i="1"/>
  <c r="D8" i="1"/>
  <c r="E8" i="1" s="1"/>
  <c r="D9" i="1"/>
  <c r="E9" i="1" s="1"/>
  <c r="D10" i="1"/>
  <c r="D11" i="1"/>
  <c r="D12" i="1"/>
  <c r="E12" i="1" s="1"/>
  <c r="H11" i="1"/>
  <c r="F8" i="2"/>
  <c r="F7" i="2"/>
  <c r="F6" i="2"/>
  <c r="F5" i="2"/>
  <c r="C5" i="2"/>
  <c r="C6" i="2"/>
  <c r="C7" i="2"/>
  <c r="C8" i="2"/>
  <c r="B8" i="2"/>
  <c r="B7" i="2"/>
  <c r="B6" i="2"/>
  <c r="B5" i="2"/>
  <c r="F17" i="1"/>
  <c r="H6" i="1"/>
  <c r="E10" i="1"/>
  <c r="E11" i="1"/>
  <c r="G5" i="1"/>
  <c r="H5" i="1" s="1"/>
  <c r="C17" i="1"/>
  <c r="E7" i="1"/>
  <c r="E6" i="1"/>
  <c r="D5" i="1"/>
  <c r="E5" i="1" s="1"/>
  <c r="G7" i="2" l="1"/>
  <c r="H7" i="2" s="1"/>
  <c r="D8" i="2"/>
  <c r="E8" i="2" s="1"/>
  <c r="D7" i="2"/>
  <c r="E7" i="2" s="1"/>
  <c r="C9" i="2"/>
  <c r="G8" i="2"/>
  <c r="H8" i="2" s="1"/>
  <c r="B9" i="2"/>
  <c r="F9" i="2"/>
  <c r="D6" i="2"/>
  <c r="E6" i="2" s="1"/>
  <c r="D5" i="2"/>
  <c r="E5" i="2" s="1"/>
  <c r="G5" i="2"/>
  <c r="H5" i="2" s="1"/>
  <c r="G6" i="2"/>
  <c r="H6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<sst xmlns="http://schemas.openxmlformats.org/spreadsheetml/2006/main" count="43" uniqueCount="32">
  <si>
    <t xml:space="preserve">Crawford Realty	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</si>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</sst>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6" borderId="2" xfId="0" applyNumberFormat="1" applyFont="1" applyFill="1" applyBorder="1" applyAlignment="1">
      <alignment vertical="center"/>
    </xf>
    <xf numFmtId="0" fontId="4" fillId="3" borderId="20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horizontal="left" vertical="center"/>
    </xf>
    <xf numFmtId="49" fontId="11" fillId="7" borderId="1" xfId="2" applyNumberFormat="1" applyFont="1" applyFill="1" applyBorder="1" applyAlignment="1">
      <alignment horizontal="left" vertical="top" wrapText="1"/>
    </xf>
    <xf numFmtId="0" fontId="5" fillId="0" borderId="22" xfId="0" applyFont="1" applyBorder="1" applyAlignment="1">
      <alignment horizontal="center" vertical="center"/>
    </xf>
    <xf numFmtId="3" fontId="11" fillId="8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right" vertical="center"/>
    </xf>
    <xf numFmtId="3" fontId="11" fillId="3" borderId="2" xfId="0" applyNumberFormat="1" applyFont="1" applyFill="1" applyBorder="1" applyAlignment="1">
      <alignment horizontal="right" vertical="center"/>
    </xf>
    <xf numFmtId="9" fontId="11" fillId="3" borderId="2" xfId="2" applyFont="1" applyFill="1" applyBorder="1" applyAlignment="1">
      <alignment horizontal="center" vertical="center"/>
    </xf>
    <xf numFmtId="3" fontId="11" fillId="5" borderId="4" xfId="1" applyNumberFormat="1" applyFont="1" applyFill="1" applyBorder="1" applyAlignment="1">
      <alignment vertical="center"/>
    </xf>
    <xf numFmtId="9" fontId="11" fillId="5" borderId="1" xfId="2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0" fillId="8" borderId="2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right" vertical="center"/>
    </xf>
    <xf numFmtId="9" fontId="11" fillId="3" borderId="1" xfId="2" applyFont="1" applyFill="1" applyBorder="1" applyAlignment="1">
      <alignment horizontal="center" vertical="center"/>
    </xf>
    <xf numFmtId="9" fontId="11" fillId="3" borderId="3" xfId="2" applyFont="1" applyFill="1" applyBorder="1" applyAlignment="1">
      <alignment horizontal="center" vertical="center"/>
    </xf>
    <xf numFmtId="3" fontId="11" fillId="5" borderId="1" xfId="1" applyNumberFormat="1" applyFont="1" applyFill="1" applyBorder="1" applyAlignment="1">
      <alignment vertical="center"/>
    </xf>
    <xf numFmtId="3" fontId="11" fillId="8" borderId="2" xfId="0" applyNumberFormat="1" applyFont="1" applyFill="1" applyBorder="1" applyAlignment="1">
      <alignment vertical="center"/>
    </xf>
    <xf numFmtId="3" fontId="11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11" fillId="3" borderId="20" xfId="0" applyNumberFormat="1" applyFont="1" applyFill="1" applyBorder="1" applyAlignment="1">
      <alignment horizontal="right" vertical="center"/>
    </xf>
    <xf numFmtId="9" fontId="11" fillId="3" borderId="19" xfId="2" applyFont="1" applyFill="1" applyBorder="1" applyAlignment="1">
      <alignment horizontal="center" vertical="center"/>
    </xf>
    <xf numFmtId="3" fontId="11" fillId="5" borderId="21" xfId="1" applyNumberFormat="1" applyFont="1" applyFill="1" applyBorder="1" applyAlignment="1">
      <alignment vertical="center"/>
    </xf>
    <xf numFmtId="9" fontId="11" fillId="5" borderId="20" xfId="2" applyFon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/>
    </xf>
    <xf numFmtId="9" fontId="6" fillId="7" borderId="3" xfId="2" applyFont="1" applyFill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5" totalsRowShown="0" headerRowDxfId="17" dataDxfId="15" headerRowBorderDxfId="16" tableBorderDxfId="14" dataCellStyle="Percent">
  <autoFilter ref="A4:J15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D25" sqref="D25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1328125" customWidth="1"/>
    <col min="5" max="5" width="13.73046875" customWidth="1"/>
    <col min="6" max="6" width="12.59765625" customWidth="1"/>
    <col min="7" max="7" width="17.1328125" customWidth="1"/>
    <col min="8" max="8" width="16" customWidth="1"/>
  </cols>
  <sheetData>
    <row r="1" spans="1:8" ht="25.5">
      <c r="A1" s="63" t="s">
        <v>0</v>
      </c>
      <c r="B1" s="63"/>
      <c r="C1" s="63"/>
      <c r="D1" s="63"/>
      <c r="E1" s="63"/>
      <c r="F1" s="63"/>
      <c r="G1" s="63"/>
      <c r="H1" s="63"/>
    </row>
    <row r="3" spans="1:8" ht="15.4">
      <c r="A3" s="64" t="s">
        <v>1</v>
      </c>
      <c r="B3" s="65"/>
      <c r="C3" s="65"/>
      <c r="D3" s="65"/>
      <c r="E3" s="66"/>
      <c r="F3" s="67" t="s">
        <v>2</v>
      </c>
      <c r="G3" s="68"/>
      <c r="H3" s="69"/>
    </row>
    <row r="4" spans="1:8">
      <c r="A4" s="14" t="s">
        <v>3</v>
      </c>
      <c r="B4" s="30" t="s">
        <v>4</v>
      </c>
      <c r="C4" s="30" t="s">
        <v>5</v>
      </c>
      <c r="D4" s="30" t="s">
        <v>6</v>
      </c>
      <c r="E4" s="31" t="s">
        <v>7</v>
      </c>
      <c r="F4" s="32" t="s">
        <v>8</v>
      </c>
      <c r="G4" s="33" t="s">
        <v>9</v>
      </c>
      <c r="H4" s="34" t="s">
        <v>10</v>
      </c>
    </row>
    <row r="5" spans="1:8">
      <c r="A5" s="15" t="s">
        <v>11</v>
      </c>
      <c r="B5" s="16">
        <f>SUM(Monthly!B5:B7)</f>
        <v>12170.5100097656</v>
      </c>
      <c r="C5" s="16">
        <f>SUM(Monthly!C5:C7)</f>
        <v>0</v>
      </c>
      <c r="D5" s="17">
        <f>B5-C5</f>
        <v>12170.5100097656</v>
      </c>
      <c r="E5" s="18">
        <f t="shared" ref="E5:E8" si="0">IFERROR(D5/C5, 0)</f>
        <v>0</v>
      </c>
      <c r="F5" s="19">
        <f>SUM(Monthly!F5:F7)</f>
        <v>41972</v>
      </c>
      <c r="G5" s="20">
        <f>B5-F5</f>
        <v>-29801.4899902344</v>
      </c>
      <c r="H5" s="21">
        <f t="shared" ref="H5:H8" si="1">IFERROR(G5/F5, 0)</f>
        <v>-0.71003264057548843</v>
      </c>
    </row>
    <row r="6" spans="1:8">
      <c r="A6" s="22" t="s">
        <v>12</v>
      </c>
      <c r="B6" s="16">
        <f>SUM(Monthly!B8:B10)</f>
        <v>0</v>
      </c>
      <c r="C6" s="16">
        <f>SUM(Monthly!C8:C10)</f>
        <v>0</v>
      </c>
      <c r="D6" s="17">
        <f t="shared" ref="D6:D8" si="2">B6-C6</f>
        <v>0</v>
      </c>
      <c r="E6" s="23">
        <f t="shared" si="0"/>
        <v>0</v>
      </c>
      <c r="F6" s="24">
        <f>SUM(Monthly!F8:F10)</f>
        <v>0</v>
      </c>
      <c r="G6" s="20">
        <f t="shared" ref="G6:G8" si="3">B6-F6</f>
        <v>0</v>
      </c>
      <c r="H6" s="21">
        <f t="shared" si="1"/>
        <v>0</v>
      </c>
    </row>
    <row r="7" spans="1:8">
      <c r="A7" s="22" t="s">
        <v>13</v>
      </c>
      <c r="B7" s="17">
        <f>SUM(Monthly!B11:B13)</f>
        <v>0</v>
      </c>
      <c r="C7" s="17">
        <f>SUM(Monthly!C11:C13)</f>
        <v>0</v>
      </c>
      <c r="D7" s="17">
        <f t="shared" si="2"/>
        <v>0</v>
      </c>
      <c r="E7" s="23">
        <f t="shared" si="0"/>
        <v>0</v>
      </c>
      <c r="F7" s="25">
        <f>SUM(Monthly!F11:F13)</f>
        <v>0</v>
      </c>
      <c r="G7" s="20">
        <f t="shared" si="3"/>
        <v>0</v>
      </c>
      <c r="H7" s="21">
        <f t="shared" si="1"/>
        <v>0</v>
      </c>
    </row>
    <row r="8" spans="1:8">
      <c r="A8" s="22" t="s">
        <v>14</v>
      </c>
      <c r="B8" s="17">
        <f>SUM(Monthly!B14:B16)</f>
        <v>0</v>
      </c>
      <c r="C8" s="17">
        <f>SUM(Monthly!C14:C16)</f>
        <v>0</v>
      </c>
      <c r="D8" s="17">
        <f t="shared" si="2"/>
        <v>0</v>
      </c>
      <c r="E8" s="23">
        <f t="shared" si="0"/>
        <v>0</v>
      </c>
      <c r="F8" s="20">
        <f>SUM(Monthly!F14:F16)</f>
        <v>0</v>
      </c>
      <c r="G8" s="20">
        <f t="shared" si="3"/>
        <v>0</v>
      </c>
      <c r="H8" s="21">
        <f t="shared" si="1"/>
        <v>0</v>
      </c>
    </row>
    <row r="9" spans="1:8">
      <c r="A9" s="26" t="s">
        <v>15</v>
      </c>
      <c r="B9" s="27">
        <f>SUM(B5:B8)</f>
        <v>12170.5100097656</v>
      </c>
      <c r="C9" s="27">
        <f>SUM(C5:C8)</f>
        <v>0</v>
      </c>
      <c r="D9" s="27">
        <f>B9-C9</f>
        <v>12170.5100097656</v>
      </c>
      <c r="E9" s="28">
        <f>IFERROR(D9/C9, 0)</f>
        <v>0</v>
      </c>
      <c r="F9" s="27">
        <f>SUM(F5:F8)</f>
        <v>41972</v>
      </c>
      <c r="G9" s="27">
        <f>B9-F9</f>
        <v>-29801.4899902344</v>
      </c>
      <c r="H9" s="29">
        <f>IFERROR(G9/F9, 0)</f>
        <v>-0.71003264057548843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zoomScale="80" zoomScaleNormal="80" workbookViewId="0">
      <selection activeCell="J35" sqref="J35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1328125" customWidth="1"/>
    <col min="6" max="6" width="12.59765625" customWidth="1"/>
    <col min="7" max="7" width="17.1328125" customWidth="1"/>
    <col min="8" max="8" width="15.1328125" customWidth="1"/>
    <col min="9" max="9" width="66.1328125" customWidth="1"/>
    <col min="10" max="10" width="18.86328125" customWidth="1"/>
  </cols>
  <sheetData>
    <row r="1" spans="1:10" ht="30.75" customHeigh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</row>
    <row r="3" spans="1:10" ht="15.4">
      <c r="A3" s="64" t="s">
        <v>1</v>
      </c>
      <c r="B3" s="65"/>
      <c r="C3" s="65"/>
      <c r="D3" s="65"/>
      <c r="E3" s="66"/>
      <c r="F3" s="67" t="s">
        <v>2</v>
      </c>
      <c r="G3" s="68"/>
      <c r="H3" s="69"/>
      <c r="I3" s="70" t="s">
        <v>16</v>
      </c>
      <c r="J3" s="71"/>
    </row>
    <row r="4" spans="1:10" ht="14.65" thickBot="1">
      <c r="A4" s="1" t="s">
        <v>17</v>
      </c>
      <c r="B4" s="36" t="s">
        <v>4</v>
      </c>
      <c r="C4" s="36" t="s">
        <v>5</v>
      </c>
      <c r="D4" s="36" t="s">
        <v>6</v>
      </c>
      <c r="E4" s="37" t="s">
        <v>7</v>
      </c>
      <c r="F4" s="38" t="s">
        <v>8</v>
      </c>
      <c r="G4" s="2" t="s">
        <v>9</v>
      </c>
      <c r="H4" s="3" t="s">
        <v>10</v>
      </c>
      <c r="I4" s="4" t="s">
        <v>16</v>
      </c>
      <c r="J4" s="5" t="s">
        <v>18</v>
      </c>
    </row>
    <row r="5" spans="1:10">
      <c r="A5" s="40" t="s">
        <v>19</v>
      </c>
      <c r="B5" s="41">
        <v>12170.5100097656</v>
      </c>
      <c r="C5" s="42">
        <v>0</v>
      </c>
      <c r="D5" s="43">
        <f>B5-C5</f>
        <v>12170.5100097656</v>
      </c>
      <c r="E5" s="44">
        <f t="shared" ref="E5:E16" si="0">IFERROR(D5/C5, 0)</f>
        <v>0</v>
      </c>
      <c r="F5" s="35">
        <v>41972</v>
      </c>
      <c r="G5" s="45">
        <f>B5-F5</f>
        <v>-29801.4899902344</v>
      </c>
      <c r="H5" s="46">
        <f t="shared" ref="H5:H16" si="1">IFERROR(G5/F5, 0)</f>
        <v>-0.71003264057548843</v>
      </c>
      <c r="I5" s="6"/>
      <c r="J5" s="6"/>
    </row>
    <row r="6" spans="1:10">
      <c r="A6" s="47" t="s">
        <v>20</v>
      </c>
      <c r="B6" s="41"/>
      <c r="C6" s="42"/>
      <c r="D6" s="43">
        <f t="shared" ref="D6:D13" si="2">B6-C6</f>
        <v>0</v>
      </c>
      <c r="E6" s="44">
        <f t="shared" si="0"/>
        <v>0</v>
      </c>
      <c r="F6" s="35"/>
      <c r="G6" s="45">
        <f t="shared" ref="G6:G16" si="3">B6-F6</f>
        <v>0</v>
      </c>
      <c r="H6" s="46">
        <f t="shared" si="1"/>
        <v>0</v>
      </c>
      <c r="I6" s="6"/>
      <c r="J6" s="6"/>
    </row>
    <row r="7" spans="1:10">
      <c r="A7" s="47" t="s">
        <v>21</v>
      </c>
      <c r="B7" s="41"/>
      <c r="C7" s="42"/>
      <c r="D7" s="43">
        <f t="shared" si="2"/>
        <v>0</v>
      </c>
      <c r="E7" s="44">
        <f t="shared" si="0"/>
        <v>0</v>
      </c>
      <c r="F7" s="35"/>
      <c r="G7" s="45">
        <f t="shared" si="3"/>
        <v>0</v>
      </c>
      <c r="H7" s="46">
        <f t="shared" si="1"/>
        <v>0</v>
      </c>
      <c r="I7" s="8"/>
      <c r="J7" s="8"/>
    </row>
    <row r="8" spans="1:10">
      <c r="A8" s="47" t="s">
        <v>22</v>
      </c>
      <c r="B8" s="41"/>
      <c r="C8" s="42"/>
      <c r="D8" s="43">
        <f t="shared" si="2"/>
        <v>0</v>
      </c>
      <c r="E8" s="44">
        <f t="shared" si="0"/>
        <v>0</v>
      </c>
      <c r="F8" s="35"/>
      <c r="G8" s="45">
        <f t="shared" si="3"/>
        <v>0</v>
      </c>
      <c r="H8" s="46">
        <f t="shared" si="1"/>
        <v>0</v>
      </c>
      <c r="I8" s="8"/>
      <c r="J8" s="8"/>
    </row>
    <row r="9" spans="1:10">
      <c r="A9" s="47" t="s">
        <v>23</v>
      </c>
      <c r="B9" s="41"/>
      <c r="C9" s="42"/>
      <c r="D9" s="43">
        <f t="shared" si="2"/>
        <v>0</v>
      </c>
      <c r="E9" s="44">
        <f t="shared" si="0"/>
        <v>0</v>
      </c>
      <c r="F9" s="35"/>
      <c r="G9" s="45">
        <f t="shared" si="3"/>
        <v>0</v>
      </c>
      <c r="H9" s="46">
        <f t="shared" si="1"/>
        <v>0</v>
      </c>
      <c r="I9" s="7"/>
      <c r="J9" s="8"/>
    </row>
    <row r="10" spans="1:10">
      <c r="A10" s="47" t="s">
        <v>24</v>
      </c>
      <c r="B10" s="41"/>
      <c r="C10" s="48"/>
      <c r="D10" s="43">
        <f t="shared" si="2"/>
        <v>0</v>
      </c>
      <c r="E10" s="44">
        <f t="shared" si="0"/>
        <v>0</v>
      </c>
      <c r="F10" s="35"/>
      <c r="G10" s="45">
        <f t="shared" si="3"/>
        <v>0</v>
      </c>
      <c r="H10" s="46">
        <f>IFERROR(G10/F10, 0)</f>
        <v>0</v>
      </c>
      <c r="I10" s="39"/>
      <c r="J10" s="39"/>
    </row>
    <row r="11" spans="1:10">
      <c r="A11" s="49" t="s">
        <v>25</v>
      </c>
      <c r="B11" s="50"/>
      <c r="C11" s="48"/>
      <c r="D11" s="43">
        <f t="shared" si="2"/>
        <v>0</v>
      </c>
      <c r="E11" s="51">
        <f t="shared" si="0"/>
        <v>0</v>
      </c>
      <c r="F11" s="45"/>
      <c r="G11" s="45">
        <f t="shared" si="3"/>
        <v>0</v>
      </c>
      <c r="H11" s="46">
        <f>IFERROR(G11/F11, 0)</f>
        <v>0</v>
      </c>
      <c r="I11" s="8"/>
      <c r="J11" s="8"/>
    </row>
    <row r="12" spans="1:10">
      <c r="A12" s="49" t="s">
        <v>26</v>
      </c>
      <c r="B12" s="50"/>
      <c r="C12" s="48"/>
      <c r="D12" s="43">
        <f t="shared" si="2"/>
        <v>0</v>
      </c>
      <c r="E12" s="52">
        <f t="shared" si="0"/>
        <v>0</v>
      </c>
      <c r="F12" s="53"/>
      <c r="G12" s="45">
        <f t="shared" si="3"/>
        <v>0</v>
      </c>
      <c r="H12" s="46">
        <f t="shared" si="1"/>
        <v>0</v>
      </c>
      <c r="I12" s="7"/>
      <c r="J12" s="7"/>
    </row>
    <row r="13" spans="1:10">
      <c r="A13" s="49" t="s">
        <v>27</v>
      </c>
      <c r="B13" s="50"/>
      <c r="C13" s="48"/>
      <c r="D13" s="43">
        <f t="shared" si="2"/>
        <v>0</v>
      </c>
      <c r="E13" s="52">
        <f t="shared" si="0"/>
        <v>0</v>
      </c>
      <c r="F13" s="53"/>
      <c r="G13" s="45">
        <f t="shared" si="3"/>
        <v>0</v>
      </c>
      <c r="H13" s="46">
        <f t="shared" si="1"/>
        <v>0</v>
      </c>
      <c r="I13" s="8"/>
      <c r="J13" s="8"/>
    </row>
    <row r="14" spans="1:10">
      <c r="A14" s="49" t="s">
        <v>28</v>
      </c>
      <c r="B14" s="50"/>
      <c r="C14" s="48"/>
      <c r="D14" s="43">
        <f t="shared" ref="D14:D16" si="4">B14-C14</f>
        <v>0</v>
      </c>
      <c r="E14" s="52">
        <f t="shared" si="0"/>
        <v>0</v>
      </c>
      <c r="F14" s="53"/>
      <c r="G14" s="45">
        <f t="shared" si="3"/>
        <v>0</v>
      </c>
      <c r="H14" s="46">
        <f t="shared" si="1"/>
        <v>0</v>
      </c>
      <c r="I14" s="7"/>
      <c r="J14" s="7"/>
    </row>
    <row r="15" spans="1:10">
      <c r="A15" s="49" t="s">
        <v>29</v>
      </c>
      <c r="B15" s="54"/>
      <c r="C15" s="48"/>
      <c r="D15" s="43">
        <f t="shared" si="4"/>
        <v>0</v>
      </c>
      <c r="E15" s="52">
        <f t="shared" si="0"/>
        <v>0</v>
      </c>
      <c r="F15" s="55"/>
      <c r="G15" s="45">
        <f t="shared" si="3"/>
        <v>0</v>
      </c>
      <c r="H15" s="46">
        <f t="shared" si="1"/>
        <v>0</v>
      </c>
      <c r="I15" s="8"/>
      <c r="J15" s="8"/>
    </row>
    <row r="16" spans="1:10">
      <c r="A16" s="56" t="s">
        <v>30</v>
      </c>
      <c r="B16" s="57"/>
      <c r="C16" s="48"/>
      <c r="D16" s="43">
        <f t="shared" si="4"/>
        <v>0</v>
      </c>
      <c r="E16" s="58">
        <f t="shared" si="0"/>
        <v>0</v>
      </c>
      <c r="F16" s="59"/>
      <c r="G16" s="45">
        <f t="shared" si="3"/>
        <v>0</v>
      </c>
      <c r="H16" s="60">
        <f t="shared" si="1"/>
        <v>0</v>
      </c>
      <c r="I16" s="62"/>
      <c r="J16" s="62"/>
    </row>
    <row r="17" spans="1:10">
      <c r="A17" s="9" t="s">
        <v>31</v>
      </c>
      <c r="B17" s="61">
        <f>SUM(B5:B15)</f>
        <v>12170.5100097656</v>
      </c>
      <c r="C17" s="10">
        <f>SUM(C5:C16)</f>
        <v>0</v>
      </c>
      <c r="D17" s="10">
        <f>B17-C17</f>
        <v>12170.5100097656</v>
      </c>
      <c r="E17" s="11">
        <f>IFERROR(D17/C17, 0)</f>
        <v>0</v>
      </c>
      <c r="F17" s="10">
        <f>SUM(F5:F16)</f>
        <v>41972</v>
      </c>
      <c r="G17" s="10">
        <f>B17-F17</f>
        <v>-29801.4899902344</v>
      </c>
      <c r="H17" s="12">
        <f>IFERROR(G17/F17, 0)</f>
        <v>-0.71003264057548843</v>
      </c>
      <c r="I17" s="13"/>
      <c r="J17" s="13"/>
    </row>
  </sheetData>
  <mergeCells count="4">
    <mergeCell ref="A3:E3"/>
    <mergeCell ref="F3:H3"/>
    <mergeCell ref="I3:J3"/>
    <mergeCell ref="A1:J1"/>
  </mergeCells>
  <phoneticPr fontId="12" type="noConversion"/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BB0EBA-C14C-4551-897D-2FE178F974D3}"/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schemas.microsoft.com/office/2006/documentManagement/types"/>
    <ds:schemaRef ds:uri="7f39bfab-6331-41a1-b6d4-5b974a316951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Dileep Siriki [Libsys]</cp:lastModifiedBy>
  <cp:revision/>
  <dcterms:created xsi:type="dcterms:W3CDTF">2023-06-15T21:59:03Z</dcterms:created>
  <dcterms:modified xsi:type="dcterms:W3CDTF">2024-02-05T06:17:10Z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