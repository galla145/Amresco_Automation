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libsysinc_com/Documents/Microsoft Teams Chat Files/"/>
    </mc:Choice>
  </mc:AlternateContent>
  <xr:revisionPtr revIDLastSave="322" documentId="13_ncr:1_{580FC171-9764-4928-B70C-7EF1E9A249EA}" xr6:coauthVersionLast="47" xr6:coauthVersionMax="47" xr10:uidLastSave="{8D7DA670-4C8B-4B4C-8B7C-352A14569C62}"/>
  <bookViews>
    <workbookView xWindow="-108" yWindow="-108" windowWidth="23256" windowHeight="12456" tabRatio="866" firstSheet="10" activeTab="10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Adams &amp; Broadway" sheetId="5" r:id="rId19"/>
    <sheet name="Otay Mesa" sheetId="6" r:id="rId20"/>
    <sheet name="San Leandro Ops Center" sheetId="7" r:id="rId21"/>
    <sheet name="Van Nuys" sheetId="14" r:id="rId22"/>
    <sheet name="98th &amp; Grant" sheetId="23" r:id="rId23"/>
    <sheet name="Arapahoe Crossings" sheetId="11" r:id="rId24"/>
    <sheet name="Havana Gardens" sheetId="13" r:id="rId25"/>
    <sheet name="Aurora City Center" sheetId="22" r:id="rId26"/>
    <sheet name="Dry Creek" sheetId="8" r:id="rId27"/>
    <sheet name="Highlands Ranch South" sheetId="24" r:id="rId28"/>
    <sheet name="Lone Tree" sheetId="36" r:id="rId29"/>
    <sheet name="Meridian" sheetId="35" r:id="rId30"/>
    <sheet name="Southglenn Relocation" sheetId="12" r:id="rId31"/>
    <sheet name="Standley Lake" sheetId="17" r:id="rId32"/>
    <sheet name="East Hartford" sheetId="15" r:id="rId33"/>
    <sheet name="Norwalk Post Road" sheetId="37" r:id="rId34"/>
    <sheet name="Hialeah Gardens" sheetId="25" r:id="rId35"/>
    <sheet name="HMHQ" sheetId="9" r:id="rId36"/>
    <sheet name="West Des Moines Campus East" sheetId="10" r:id="rId37"/>
    <sheet name="West Des Moines Campus West" sheetId="16" r:id="rId38"/>
    <sheet name="CIC" sheetId="70" r:id="rId39"/>
    <sheet name="DUC" sheetId="69" r:id="rId40"/>
    <sheet name="Barnegat Office" sheetId="61" r:id="rId41"/>
    <sheet name="Bayonne Office" sheetId="43" r:id="rId42"/>
    <sheet name="Bordentown" sheetId="58" r:id="rId43"/>
    <sheet name="Burlington Springside" sheetId="65" r:id="rId44"/>
    <sheet name="Cherry Hill Short Hills" sheetId="60" r:id="rId45"/>
    <sheet name="Clark Office" sheetId="54" r:id="rId46"/>
    <sheet name="Clifton Office" sheetId="59" r:id="rId47"/>
    <sheet name="Clinton Main Relo" sheetId="38" r:id="rId48"/>
    <sheet name="Closter Office" sheetId="51" r:id="rId49"/>
    <sheet name="East Windsor" sheetId="42" r:id="rId50"/>
    <sheet name="Edison Office" sheetId="49" r:id="rId51"/>
    <sheet name="Ellisburg Circle Center" sheetId="56" r:id="rId52"/>
    <sheet name="Flemington" sheetId="64" r:id="rId53"/>
    <sheet name="Franklin Township" sheetId="53" r:id="rId54"/>
    <sheet name="Haddon Westmont Plaza" sheetId="57" r:id="rId55"/>
    <sheet name="Hainesport Crossroads" sheetId="48" r:id="rId56"/>
    <sheet name="Holmdel Rt. 35" sheetId="50" r:id="rId57"/>
    <sheet name="Laurelton Office" sheetId="45" r:id="rId58"/>
    <sheet name="Mahwah" sheetId="52" r:id="rId59"/>
    <sheet name="Manchester Office" sheetId="63" r:id="rId60"/>
    <sheet name="Marlton" sheetId="39" r:id="rId61"/>
    <sheet name="Middletown" sheetId="62" r:id="rId62"/>
    <sheet name="North Brunswick" sheetId="40" r:id="rId63"/>
    <sheet name="North Elizabeth" sheetId="47" r:id="rId64"/>
    <sheet name="Nutley" sheetId="41" r:id="rId65"/>
    <sheet name="Parsippany Rt. 46" sheetId="67" r:id="rId66"/>
    <sheet name="Rt. 22 Springfield" sheetId="46" r:id="rId67"/>
    <sheet name="Somerset" sheetId="72" r:id="rId68"/>
    <sheet name="South Plainfield" sheetId="44" r:id="rId69"/>
    <sheet name="West Deptford Woodbury" sheetId="55" r:id="rId70"/>
    <sheet name="Whiting" sheetId="66" r:id="rId71"/>
    <sheet name="102 - San Antonio Ops" sheetId="73" r:id="rId72"/>
    <sheet name="104 - San Antonio Ops" sheetId="74" r:id="rId73"/>
    <sheet name="106 - San Antonio Ops" sheetId="82" r:id="rId74"/>
    <sheet name="201 - San Antonio Ops" sheetId="81" r:id="rId75"/>
    <sheet name="203 - San Antonio Ops" sheetId="80" r:id="rId76"/>
    <sheet name="205 - San Antonio Ops" sheetId="79" r:id="rId77"/>
    <sheet name="307 - San Antonio Ops" sheetId="78" r:id="rId78"/>
    <sheet name="308 - San Antonio Ops" sheetId="76" r:id="rId79"/>
    <sheet name="GM - San Antonio Ops" sheetId="75" r:id="rId80"/>
  </sheets>
  <definedNames>
    <definedName name="JanActual">'01-2024'!$C$3:$C$64</definedName>
    <definedName name="JanActual2">'01-2024'!$H$3:$H$64</definedName>
    <definedName name="JanExpected">'01-2024'!$D$3:$D$64</definedName>
    <definedName name="JanExpectedDelta">'01-2024'!$E$3:$E$64</definedName>
    <definedName name="JanExpectedPercent">'01-2024'!$F$3:$F$64</definedName>
    <definedName name="JanExpPercent">'01-2024'!$F$3:$F$64</definedName>
    <definedName name="JanForecasted">'01-2024'!$I$3:$I$64</definedName>
    <definedName name="JanForecastedDelta">'01-2024'!$J$3:$J$64</definedName>
    <definedName name="JanForecastedPercent">'01-2024'!$K$3:$K$64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4" l="1"/>
  <c r="D10" i="44"/>
  <c r="A3" i="30" a="1"/>
  <c r="A3" i="30" s="1"/>
  <c r="A3" i="29" a="1"/>
  <c r="A3" i="29" s="1"/>
  <c r="C36" i="82"/>
  <c r="C18" i="82"/>
  <c r="B18" i="82"/>
  <c r="B24" i="82" s="1" a="1"/>
  <c r="D17" i="82"/>
  <c r="E17" i="82" s="1"/>
  <c r="D16" i="82"/>
  <c r="E16" i="82" s="1"/>
  <c r="D15" i="82"/>
  <c r="E15" i="82" s="1"/>
  <c r="D14" i="82"/>
  <c r="E14" i="82" s="1"/>
  <c r="D13" i="82"/>
  <c r="E13" i="82" s="1"/>
  <c r="D12" i="82"/>
  <c r="E12" i="82" s="1"/>
  <c r="D11" i="82"/>
  <c r="E11" i="82" s="1"/>
  <c r="D10" i="82"/>
  <c r="E10" i="82" s="1"/>
  <c r="D9" i="82"/>
  <c r="E9" i="82" s="1"/>
  <c r="D8" i="82"/>
  <c r="E8" i="82" s="1"/>
  <c r="D7" i="82"/>
  <c r="E7" i="82" s="1"/>
  <c r="D6" i="82"/>
  <c r="C36" i="81"/>
  <c r="C18" i="81"/>
  <c r="B18" i="81"/>
  <c r="B24" i="81" s="1" a="1"/>
  <c r="D17" i="81"/>
  <c r="E17" i="81" s="1"/>
  <c r="D16" i="81"/>
  <c r="E16" i="81" s="1"/>
  <c r="D15" i="81"/>
  <c r="E15" i="81" s="1"/>
  <c r="D14" i="81"/>
  <c r="E14" i="81" s="1"/>
  <c r="D13" i="81"/>
  <c r="E13" i="81" s="1"/>
  <c r="D12" i="81"/>
  <c r="E12" i="81" s="1"/>
  <c r="D11" i="81"/>
  <c r="E11" i="81" s="1"/>
  <c r="D10" i="81"/>
  <c r="E10" i="81" s="1"/>
  <c r="D9" i="81"/>
  <c r="E9" i="81" s="1"/>
  <c r="D8" i="81"/>
  <c r="E8" i="81" s="1"/>
  <c r="D7" i="81"/>
  <c r="E7" i="81" s="1"/>
  <c r="D6" i="81"/>
  <c r="C36" i="80"/>
  <c r="C18" i="80"/>
  <c r="B18" i="80"/>
  <c r="B24" i="80" s="1" a="1"/>
  <c r="D17" i="80"/>
  <c r="E17" i="80" s="1"/>
  <c r="D16" i="80"/>
  <c r="E16" i="80" s="1"/>
  <c r="D15" i="80"/>
  <c r="E15" i="80" s="1"/>
  <c r="D14" i="80"/>
  <c r="E14" i="80" s="1"/>
  <c r="D13" i="80"/>
  <c r="E13" i="80" s="1"/>
  <c r="D12" i="80"/>
  <c r="E12" i="80" s="1"/>
  <c r="D11" i="80"/>
  <c r="E11" i="80" s="1"/>
  <c r="D10" i="80"/>
  <c r="E10" i="80" s="1"/>
  <c r="D9" i="80"/>
  <c r="E9" i="80" s="1"/>
  <c r="D8" i="80"/>
  <c r="E8" i="80" s="1"/>
  <c r="D7" i="80"/>
  <c r="E7" i="80" s="1"/>
  <c r="D6" i="80"/>
  <c r="C36" i="79"/>
  <c r="C18" i="79"/>
  <c r="B18" i="79"/>
  <c r="B24" i="79" s="1" a="1"/>
  <c r="D17" i="79"/>
  <c r="E17" i="79" s="1"/>
  <c r="D16" i="79"/>
  <c r="E16" i="79" s="1"/>
  <c r="D15" i="79"/>
  <c r="E15" i="79" s="1"/>
  <c r="D14" i="79"/>
  <c r="E14" i="79" s="1"/>
  <c r="D13" i="79"/>
  <c r="E13" i="79" s="1"/>
  <c r="D12" i="79"/>
  <c r="E12" i="79" s="1"/>
  <c r="D11" i="79"/>
  <c r="E11" i="79" s="1"/>
  <c r="D10" i="79"/>
  <c r="E10" i="79" s="1"/>
  <c r="D9" i="79"/>
  <c r="E9" i="79" s="1"/>
  <c r="D8" i="79"/>
  <c r="E8" i="79" s="1"/>
  <c r="D7" i="79"/>
  <c r="E7" i="79" s="1"/>
  <c r="D6" i="79"/>
  <c r="C36" i="78"/>
  <c r="C18" i="78"/>
  <c r="B18" i="78"/>
  <c r="B24" i="78" s="1" a="1"/>
  <c r="D17" i="78"/>
  <c r="E17" i="78" s="1"/>
  <c r="D16" i="78"/>
  <c r="E16" i="78" s="1"/>
  <c r="D15" i="78"/>
  <c r="E15" i="78" s="1"/>
  <c r="D14" i="78"/>
  <c r="E14" i="78" s="1"/>
  <c r="D13" i="78"/>
  <c r="E13" i="78" s="1"/>
  <c r="D12" i="78"/>
  <c r="E12" i="78" s="1"/>
  <c r="D11" i="78"/>
  <c r="E11" i="78" s="1"/>
  <c r="D10" i="78"/>
  <c r="E10" i="78" s="1"/>
  <c r="D9" i="78"/>
  <c r="E9" i="78" s="1"/>
  <c r="D8" i="78"/>
  <c r="E8" i="78" s="1"/>
  <c r="D7" i="78"/>
  <c r="E7" i="78" s="1"/>
  <c r="D6" i="78"/>
  <c r="C36" i="76"/>
  <c r="C18" i="76"/>
  <c r="B18" i="76"/>
  <c r="B24" i="76" s="1" a="1"/>
  <c r="D17" i="76"/>
  <c r="E17" i="76" s="1"/>
  <c r="D16" i="76"/>
  <c r="E16" i="76" s="1"/>
  <c r="D15" i="76"/>
  <c r="E15" i="76" s="1"/>
  <c r="D14" i="76"/>
  <c r="E14" i="76" s="1"/>
  <c r="D13" i="76"/>
  <c r="E13" i="76" s="1"/>
  <c r="D12" i="76"/>
  <c r="E12" i="76" s="1"/>
  <c r="D11" i="76"/>
  <c r="E11" i="76" s="1"/>
  <c r="D10" i="76"/>
  <c r="E10" i="76" s="1"/>
  <c r="D9" i="76"/>
  <c r="E9" i="76" s="1"/>
  <c r="D8" i="76"/>
  <c r="E8" i="76" s="1"/>
  <c r="D7" i="76"/>
  <c r="E7" i="76" s="1"/>
  <c r="D6" i="76"/>
  <c r="C36" i="75"/>
  <c r="C18" i="75"/>
  <c r="B18" i="75"/>
  <c r="B24" i="75" s="1" a="1"/>
  <c r="D17" i="75"/>
  <c r="E17" i="75" s="1"/>
  <c r="D16" i="75"/>
  <c r="E16" i="75" s="1"/>
  <c r="D15" i="75"/>
  <c r="E15" i="75" s="1"/>
  <c r="D14" i="75"/>
  <c r="E14" i="75" s="1"/>
  <c r="D13" i="75"/>
  <c r="E13" i="75" s="1"/>
  <c r="D12" i="75"/>
  <c r="E12" i="75" s="1"/>
  <c r="D11" i="75"/>
  <c r="E11" i="75" s="1"/>
  <c r="D10" i="75"/>
  <c r="E10" i="75" s="1"/>
  <c r="D9" i="75"/>
  <c r="E9" i="75" s="1"/>
  <c r="D8" i="75"/>
  <c r="E8" i="75" s="1"/>
  <c r="D7" i="75"/>
  <c r="E7" i="75" s="1"/>
  <c r="D6" i="75"/>
  <c r="C36" i="74"/>
  <c r="C18" i="74"/>
  <c r="B18" i="74"/>
  <c r="B24" i="74" s="1" a="1"/>
  <c r="D28" i="74" s="1"/>
  <c r="E28" i="74" s="1"/>
  <c r="D17" i="74"/>
  <c r="E17" i="74" s="1"/>
  <c r="D16" i="74"/>
  <c r="E16" i="74" s="1"/>
  <c r="D15" i="74"/>
  <c r="E15" i="74" s="1"/>
  <c r="D14" i="74"/>
  <c r="E14" i="74" s="1"/>
  <c r="D13" i="74"/>
  <c r="E13" i="74" s="1"/>
  <c r="D12" i="74"/>
  <c r="E12" i="74" s="1"/>
  <c r="D11" i="74"/>
  <c r="E11" i="74" s="1"/>
  <c r="D10" i="74"/>
  <c r="E10" i="74" s="1"/>
  <c r="D9" i="74"/>
  <c r="E9" i="74" s="1"/>
  <c r="D8" i="74"/>
  <c r="E8" i="74" s="1"/>
  <c r="D7" i="74"/>
  <c r="E7" i="74" s="1"/>
  <c r="D6" i="74"/>
  <c r="C36" i="73"/>
  <c r="C18" i="73"/>
  <c r="B18" i="73"/>
  <c r="B24" i="73" s="1" a="1"/>
  <c r="D29" i="73" s="1"/>
  <c r="E29" i="73" s="1"/>
  <c r="D17" i="73"/>
  <c r="E17" i="73" s="1"/>
  <c r="D16" i="73"/>
  <c r="E16" i="73" s="1"/>
  <c r="D15" i="73"/>
  <c r="E15" i="73" s="1"/>
  <c r="D14" i="73"/>
  <c r="E14" i="73" s="1"/>
  <c r="D13" i="73"/>
  <c r="E13" i="73" s="1"/>
  <c r="D12" i="73"/>
  <c r="E12" i="73" s="1"/>
  <c r="D11" i="73"/>
  <c r="E11" i="73" s="1"/>
  <c r="D10" i="73"/>
  <c r="E10" i="73" s="1"/>
  <c r="D9" i="73"/>
  <c r="E9" i="73" s="1"/>
  <c r="D8" i="73"/>
  <c r="E8" i="73" s="1"/>
  <c r="D7" i="73"/>
  <c r="E7" i="73" s="1"/>
  <c r="D6" i="73"/>
  <c r="D28" i="73" l="1"/>
  <c r="E28" i="73" s="1"/>
  <c r="D30" i="73"/>
  <c r="E30" i="73" s="1"/>
  <c r="D30" i="74"/>
  <c r="E30" i="74" s="1"/>
  <c r="D29" i="74"/>
  <c r="E29" i="74" s="1"/>
  <c r="D18" i="82"/>
  <c r="E18" i="82" s="1"/>
  <c r="E6" i="82"/>
  <c r="D35" i="82"/>
  <c r="D34" i="82"/>
  <c r="D33" i="82"/>
  <c r="D32" i="82"/>
  <c r="D31" i="82"/>
  <c r="D30" i="82"/>
  <c r="D29" i="82"/>
  <c r="D28" i="82"/>
  <c r="D27" i="82"/>
  <c r="D26" i="82"/>
  <c r="D25" i="82"/>
  <c r="B24" i="82"/>
  <c r="D18" i="81"/>
  <c r="E18" i="81" s="1"/>
  <c r="E6" i="81"/>
  <c r="D35" i="81"/>
  <c r="D34" i="81"/>
  <c r="D33" i="81"/>
  <c r="D32" i="81"/>
  <c r="D31" i="81"/>
  <c r="D30" i="81"/>
  <c r="D29" i="81"/>
  <c r="D28" i="81"/>
  <c r="D27" i="81"/>
  <c r="D26" i="81"/>
  <c r="D25" i="81"/>
  <c r="B24" i="81"/>
  <c r="D18" i="80"/>
  <c r="E18" i="80" s="1"/>
  <c r="E6" i="80"/>
  <c r="D35" i="80"/>
  <c r="D34" i="80"/>
  <c r="D33" i="80"/>
  <c r="D32" i="80"/>
  <c r="D31" i="80"/>
  <c r="D30" i="80"/>
  <c r="D29" i="80"/>
  <c r="D28" i="80"/>
  <c r="D27" i="80"/>
  <c r="D26" i="80"/>
  <c r="D25" i="80"/>
  <c r="B24" i="80"/>
  <c r="D18" i="79"/>
  <c r="E18" i="79" s="1"/>
  <c r="E6" i="79"/>
  <c r="D35" i="79"/>
  <c r="D34" i="79"/>
  <c r="D33" i="79"/>
  <c r="D32" i="79"/>
  <c r="D31" i="79"/>
  <c r="D30" i="79"/>
  <c r="D29" i="79"/>
  <c r="D28" i="79"/>
  <c r="D27" i="79"/>
  <c r="D26" i="79"/>
  <c r="D25" i="79"/>
  <c r="B24" i="79"/>
  <c r="D18" i="78"/>
  <c r="E18" i="78" s="1"/>
  <c r="E6" i="78"/>
  <c r="D35" i="78"/>
  <c r="E35" i="78" s="1"/>
  <c r="D34" i="78"/>
  <c r="E34" i="78" s="1"/>
  <c r="D33" i="78"/>
  <c r="E33" i="78" s="1"/>
  <c r="D32" i="78"/>
  <c r="E32" i="78" s="1"/>
  <c r="D31" i="78"/>
  <c r="E31" i="78" s="1"/>
  <c r="D30" i="78"/>
  <c r="E30" i="78" s="1"/>
  <c r="D29" i="78"/>
  <c r="D28" i="78"/>
  <c r="D27" i="78"/>
  <c r="D26" i="78"/>
  <c r="D25" i="78"/>
  <c r="B24" i="78"/>
  <c r="D18" i="76"/>
  <c r="E18" i="76" s="1"/>
  <c r="E6" i="76"/>
  <c r="D35" i="76"/>
  <c r="E35" i="76" s="1"/>
  <c r="D34" i="76"/>
  <c r="E34" i="76" s="1"/>
  <c r="D33" i="76"/>
  <c r="E33" i="76" s="1"/>
  <c r="D32" i="76"/>
  <c r="E32" i="76" s="1"/>
  <c r="D31" i="76"/>
  <c r="E31" i="76" s="1"/>
  <c r="D30" i="76"/>
  <c r="E30" i="76" s="1"/>
  <c r="D29" i="76"/>
  <c r="E29" i="76" s="1"/>
  <c r="D28" i="76"/>
  <c r="D27" i="76"/>
  <c r="D26" i="76"/>
  <c r="D25" i="76"/>
  <c r="B24" i="76"/>
  <c r="D18" i="75"/>
  <c r="E18" i="75" s="1"/>
  <c r="E6" i="75"/>
  <c r="D35" i="75"/>
  <c r="E35" i="75" s="1"/>
  <c r="D34" i="75"/>
  <c r="E34" i="75" s="1"/>
  <c r="D33" i="75"/>
  <c r="E33" i="75" s="1"/>
  <c r="D32" i="75"/>
  <c r="E32" i="75" s="1"/>
  <c r="D31" i="75"/>
  <c r="E31" i="75" s="1"/>
  <c r="D30" i="75"/>
  <c r="E30" i="75" s="1"/>
  <c r="D29" i="75"/>
  <c r="E29" i="75" s="1"/>
  <c r="D28" i="75"/>
  <c r="D27" i="75"/>
  <c r="D26" i="75"/>
  <c r="D25" i="75"/>
  <c r="B24" i="75"/>
  <c r="D18" i="74"/>
  <c r="E18" i="74" s="1"/>
  <c r="E6" i="74"/>
  <c r="D35" i="74"/>
  <c r="D34" i="74"/>
  <c r="D33" i="74"/>
  <c r="D32" i="74"/>
  <c r="D31" i="74"/>
  <c r="D27" i="74"/>
  <c r="D26" i="74"/>
  <c r="D25" i="74"/>
  <c r="B24" i="74"/>
  <c r="D18" i="73"/>
  <c r="E18" i="73" s="1"/>
  <c r="E6" i="73"/>
  <c r="D35" i="73"/>
  <c r="D34" i="73"/>
  <c r="D33" i="73"/>
  <c r="D32" i="73"/>
  <c r="D31" i="73"/>
  <c r="D27" i="73"/>
  <c r="D26" i="73"/>
  <c r="D25" i="73"/>
  <c r="B24" i="73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D6" i="6"/>
  <c r="E6" i="6" s="1"/>
  <c r="D7" i="6"/>
  <c r="E7" i="6" s="1"/>
  <c r="D8" i="6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/>
  <c r="B18" i="6"/>
  <c r="B24" i="6" s="1" a="1"/>
  <c r="B24" i="6" s="1"/>
  <c r="C18" i="6"/>
  <c r="C36" i="6"/>
  <c r="B3" i="3" a="1"/>
  <c r="B3" i="3" s="1"/>
  <c r="A3" i="3" a="1"/>
  <c r="C36" i="66"/>
  <c r="C36" i="55"/>
  <c r="C36" i="44"/>
  <c r="C36" i="72"/>
  <c r="C36" i="46"/>
  <c r="C36" i="67"/>
  <c r="C36" i="41"/>
  <c r="C36" i="47"/>
  <c r="C36" i="40"/>
  <c r="C36" i="62"/>
  <c r="C36" i="39"/>
  <c r="C36" i="63"/>
  <c r="C36" i="52"/>
  <c r="C36" i="45"/>
  <c r="C36" i="50"/>
  <c r="C36" i="48"/>
  <c r="C36" i="57"/>
  <c r="C36" i="53"/>
  <c r="C36" i="64"/>
  <c r="C36" i="56"/>
  <c r="C36" i="49"/>
  <c r="C36" i="42"/>
  <c r="C36" i="51"/>
  <c r="C36" i="38"/>
  <c r="C36" i="59"/>
  <c r="C36" i="54"/>
  <c r="C36" i="60"/>
  <c r="C36" i="65"/>
  <c r="C36" i="58"/>
  <c r="C36" i="43"/>
  <c r="C36" i="61"/>
  <c r="C36" i="69"/>
  <c r="C36" i="70"/>
  <c r="C36" i="16"/>
  <c r="C36" i="10"/>
  <c r="C36" i="9"/>
  <c r="C36" i="25"/>
  <c r="C36" i="37"/>
  <c r="C36" i="15"/>
  <c r="C36" i="17"/>
  <c r="C36" i="12"/>
  <c r="C36" i="35"/>
  <c r="C36" i="36"/>
  <c r="C36" i="24"/>
  <c r="C36" i="13"/>
  <c r="C36" i="8"/>
  <c r="C36" i="22"/>
  <c r="C36" i="11"/>
  <c r="C36" i="23"/>
  <c r="C36" i="14"/>
  <c r="C18" i="66"/>
  <c r="B18" i="66"/>
  <c r="B24" i="66" s="1" a="1"/>
  <c r="D17" i="66"/>
  <c r="E17" i="66" s="1"/>
  <c r="D16" i="66"/>
  <c r="E16" i="66" s="1"/>
  <c r="D15" i="66"/>
  <c r="E15" i="66" s="1"/>
  <c r="D14" i="66"/>
  <c r="E14" i="66" s="1"/>
  <c r="D13" i="66"/>
  <c r="E13" i="66" s="1"/>
  <c r="D12" i="66"/>
  <c r="E12" i="66" s="1"/>
  <c r="D11" i="66"/>
  <c r="E11" i="66" s="1"/>
  <c r="D10" i="66"/>
  <c r="E10" i="66" s="1"/>
  <c r="D9" i="66"/>
  <c r="E9" i="66" s="1"/>
  <c r="D8" i="66"/>
  <c r="E8" i="66" s="1"/>
  <c r="D7" i="66"/>
  <c r="E7" i="66" s="1"/>
  <c r="D6" i="66"/>
  <c r="C18" i="55"/>
  <c r="B18" i="55"/>
  <c r="B24" i="55" s="1" a="1"/>
  <c r="D17" i="55"/>
  <c r="E17" i="55" s="1"/>
  <c r="D16" i="55"/>
  <c r="E16" i="55" s="1"/>
  <c r="D15" i="55"/>
  <c r="E15" i="55" s="1"/>
  <c r="D14" i="55"/>
  <c r="E14" i="55" s="1"/>
  <c r="D13" i="55"/>
  <c r="E13" i="55" s="1"/>
  <c r="D12" i="55"/>
  <c r="E12" i="55" s="1"/>
  <c r="D11" i="55"/>
  <c r="E11" i="55" s="1"/>
  <c r="D10" i="55"/>
  <c r="E10" i="55" s="1"/>
  <c r="D9" i="55"/>
  <c r="E9" i="55" s="1"/>
  <c r="D8" i="55"/>
  <c r="E8" i="55" s="1"/>
  <c r="D7" i="55"/>
  <c r="E7" i="55" s="1"/>
  <c r="D6" i="55"/>
  <c r="C18" i="44"/>
  <c r="B18" i="44"/>
  <c r="B24" i="44" s="1" a="1"/>
  <c r="B24" i="44" s="1"/>
  <c r="D24" i="44" s="1"/>
  <c r="E24" i="44" s="1"/>
  <c r="D17" i="44"/>
  <c r="E17" i="44" s="1"/>
  <c r="D16" i="44"/>
  <c r="E16" i="44" s="1"/>
  <c r="D15" i="44"/>
  <c r="E15" i="44" s="1"/>
  <c r="D14" i="44"/>
  <c r="E14" i="44" s="1"/>
  <c r="D13" i="44"/>
  <c r="E13" i="44" s="1"/>
  <c r="D12" i="44"/>
  <c r="E12" i="44" s="1"/>
  <c r="D11" i="44"/>
  <c r="E11" i="44" s="1"/>
  <c r="E10" i="44"/>
  <c r="E9" i="44"/>
  <c r="D8" i="44"/>
  <c r="E8" i="44" s="1"/>
  <c r="D7" i="44"/>
  <c r="E7" i="44" s="1"/>
  <c r="D6" i="44"/>
  <c r="C18" i="72"/>
  <c r="B18" i="72"/>
  <c r="B24" i="72" s="1" a="1"/>
  <c r="D17" i="72"/>
  <c r="E17" i="72" s="1"/>
  <c r="D16" i="72"/>
  <c r="E16" i="72" s="1"/>
  <c r="D15" i="72"/>
  <c r="E15" i="72" s="1"/>
  <c r="D14" i="72"/>
  <c r="E14" i="72" s="1"/>
  <c r="D13" i="72"/>
  <c r="E13" i="72" s="1"/>
  <c r="D12" i="72"/>
  <c r="E12" i="72" s="1"/>
  <c r="D11" i="72"/>
  <c r="E11" i="72" s="1"/>
  <c r="D10" i="72"/>
  <c r="E10" i="72" s="1"/>
  <c r="D9" i="72"/>
  <c r="E9" i="72" s="1"/>
  <c r="D8" i="72"/>
  <c r="E8" i="72" s="1"/>
  <c r="D7" i="72"/>
  <c r="E7" i="72" s="1"/>
  <c r="D6" i="72"/>
  <c r="C18" i="46"/>
  <c r="B18" i="46"/>
  <c r="B24" i="46" s="1" a="1"/>
  <c r="D17" i="46"/>
  <c r="E17" i="46" s="1"/>
  <c r="D16" i="46"/>
  <c r="E16" i="46" s="1"/>
  <c r="D15" i="46"/>
  <c r="E15" i="46" s="1"/>
  <c r="D14" i="46"/>
  <c r="E14" i="46" s="1"/>
  <c r="D13" i="46"/>
  <c r="E13" i="46" s="1"/>
  <c r="D12" i="46"/>
  <c r="E12" i="46" s="1"/>
  <c r="D11" i="46"/>
  <c r="E11" i="46" s="1"/>
  <c r="D10" i="46"/>
  <c r="E10" i="46" s="1"/>
  <c r="D9" i="46"/>
  <c r="E9" i="46" s="1"/>
  <c r="D8" i="46"/>
  <c r="E8" i="46" s="1"/>
  <c r="D7" i="46"/>
  <c r="E7" i="46" s="1"/>
  <c r="D6" i="46"/>
  <c r="C18" i="67"/>
  <c r="B18" i="67"/>
  <c r="B24" i="67" s="1" a="1"/>
  <c r="D17" i="67"/>
  <c r="E17" i="67" s="1"/>
  <c r="D16" i="67"/>
  <c r="E16" i="67" s="1"/>
  <c r="D15" i="67"/>
  <c r="E15" i="67" s="1"/>
  <c r="D14" i="67"/>
  <c r="E14" i="67" s="1"/>
  <c r="D13" i="67"/>
  <c r="E13" i="67" s="1"/>
  <c r="D12" i="67"/>
  <c r="E12" i="67" s="1"/>
  <c r="D11" i="67"/>
  <c r="E11" i="67" s="1"/>
  <c r="D10" i="67"/>
  <c r="E10" i="67" s="1"/>
  <c r="D9" i="67"/>
  <c r="E9" i="67" s="1"/>
  <c r="D8" i="67"/>
  <c r="E8" i="67" s="1"/>
  <c r="D7" i="67"/>
  <c r="E7" i="67" s="1"/>
  <c r="D6" i="67"/>
  <c r="C18" i="41"/>
  <c r="B18" i="41"/>
  <c r="B24" i="41" s="1" a="1"/>
  <c r="D17" i="41"/>
  <c r="E17" i="41" s="1"/>
  <c r="D16" i="41"/>
  <c r="E16" i="41" s="1"/>
  <c r="D15" i="41"/>
  <c r="E15" i="41" s="1"/>
  <c r="D14" i="41"/>
  <c r="E14" i="41" s="1"/>
  <c r="D13" i="41"/>
  <c r="E13" i="41" s="1"/>
  <c r="D12" i="41"/>
  <c r="E12" i="41" s="1"/>
  <c r="D11" i="41"/>
  <c r="E11" i="41" s="1"/>
  <c r="D10" i="41"/>
  <c r="E10" i="41" s="1"/>
  <c r="D9" i="41"/>
  <c r="E9" i="41" s="1"/>
  <c r="D8" i="41"/>
  <c r="E8" i="41" s="1"/>
  <c r="D7" i="41"/>
  <c r="E7" i="41" s="1"/>
  <c r="D6" i="41"/>
  <c r="C18" i="47"/>
  <c r="B18" i="47"/>
  <c r="B24" i="47" s="1" a="1"/>
  <c r="D17" i="47"/>
  <c r="E17" i="47" s="1"/>
  <c r="D16" i="47"/>
  <c r="E16" i="47" s="1"/>
  <c r="D15" i="47"/>
  <c r="E15" i="47" s="1"/>
  <c r="D14" i="47"/>
  <c r="E14" i="47" s="1"/>
  <c r="D13" i="47"/>
  <c r="E13" i="47" s="1"/>
  <c r="D12" i="47"/>
  <c r="E12" i="47" s="1"/>
  <c r="D11" i="47"/>
  <c r="E11" i="47" s="1"/>
  <c r="D10" i="47"/>
  <c r="E10" i="47" s="1"/>
  <c r="D9" i="47"/>
  <c r="E9" i="47" s="1"/>
  <c r="D8" i="47"/>
  <c r="E8" i="47" s="1"/>
  <c r="D7" i="47"/>
  <c r="E7" i="47" s="1"/>
  <c r="D6" i="47"/>
  <c r="C18" i="40"/>
  <c r="B18" i="40"/>
  <c r="B24" i="40" s="1" a="1"/>
  <c r="D17" i="40"/>
  <c r="E17" i="40" s="1"/>
  <c r="D16" i="40"/>
  <c r="E16" i="40" s="1"/>
  <c r="D15" i="40"/>
  <c r="E15" i="40" s="1"/>
  <c r="D14" i="40"/>
  <c r="E14" i="40" s="1"/>
  <c r="D13" i="40"/>
  <c r="E13" i="40" s="1"/>
  <c r="D12" i="40"/>
  <c r="E12" i="40" s="1"/>
  <c r="D11" i="40"/>
  <c r="E11" i="40" s="1"/>
  <c r="D10" i="40"/>
  <c r="E10" i="40" s="1"/>
  <c r="D9" i="40"/>
  <c r="E9" i="40" s="1"/>
  <c r="D8" i="40"/>
  <c r="E8" i="40" s="1"/>
  <c r="D7" i="40"/>
  <c r="E7" i="40" s="1"/>
  <c r="D6" i="40"/>
  <c r="C18" i="62"/>
  <c r="B18" i="62"/>
  <c r="B24" i="62" s="1" a="1"/>
  <c r="D17" i="62"/>
  <c r="E17" i="62" s="1"/>
  <c r="D16" i="62"/>
  <c r="E16" i="62" s="1"/>
  <c r="D15" i="62"/>
  <c r="E15" i="62" s="1"/>
  <c r="D14" i="62"/>
  <c r="E14" i="62" s="1"/>
  <c r="D13" i="62"/>
  <c r="E13" i="62" s="1"/>
  <c r="D12" i="62"/>
  <c r="E12" i="62" s="1"/>
  <c r="D11" i="62"/>
  <c r="E11" i="62" s="1"/>
  <c r="D10" i="62"/>
  <c r="E10" i="62" s="1"/>
  <c r="D9" i="62"/>
  <c r="E9" i="62" s="1"/>
  <c r="D8" i="62"/>
  <c r="E8" i="62" s="1"/>
  <c r="D7" i="62"/>
  <c r="E7" i="62" s="1"/>
  <c r="D6" i="62"/>
  <c r="C18" i="39"/>
  <c r="B18" i="39"/>
  <c r="B24" i="39" s="1" a="1"/>
  <c r="D17" i="39"/>
  <c r="E17" i="39" s="1"/>
  <c r="D16" i="39"/>
  <c r="E16" i="39" s="1"/>
  <c r="D15" i="39"/>
  <c r="E15" i="39" s="1"/>
  <c r="D14" i="39"/>
  <c r="E14" i="39" s="1"/>
  <c r="D13" i="39"/>
  <c r="E13" i="39" s="1"/>
  <c r="D12" i="39"/>
  <c r="E12" i="39" s="1"/>
  <c r="D11" i="39"/>
  <c r="E11" i="39" s="1"/>
  <c r="D10" i="39"/>
  <c r="E10" i="39" s="1"/>
  <c r="D9" i="39"/>
  <c r="E9" i="39" s="1"/>
  <c r="D8" i="39"/>
  <c r="E8" i="39" s="1"/>
  <c r="D7" i="39"/>
  <c r="E7" i="39" s="1"/>
  <c r="D6" i="39"/>
  <c r="C18" i="63"/>
  <c r="B18" i="63"/>
  <c r="B24" i="63" s="1" a="1"/>
  <c r="D17" i="63"/>
  <c r="E17" i="63" s="1"/>
  <c r="D16" i="63"/>
  <c r="E16" i="63" s="1"/>
  <c r="D15" i="63"/>
  <c r="E15" i="63" s="1"/>
  <c r="D14" i="63"/>
  <c r="E14" i="63" s="1"/>
  <c r="D13" i="63"/>
  <c r="E13" i="63" s="1"/>
  <c r="D12" i="63"/>
  <c r="E12" i="63" s="1"/>
  <c r="D11" i="63"/>
  <c r="E11" i="63" s="1"/>
  <c r="D10" i="63"/>
  <c r="E10" i="63" s="1"/>
  <c r="D9" i="63"/>
  <c r="E9" i="63" s="1"/>
  <c r="D8" i="63"/>
  <c r="E8" i="63" s="1"/>
  <c r="D7" i="63"/>
  <c r="E7" i="63" s="1"/>
  <c r="D6" i="63"/>
  <c r="C18" i="52"/>
  <c r="B18" i="52"/>
  <c r="B24" i="52" s="1" a="1"/>
  <c r="D17" i="52"/>
  <c r="E17" i="52" s="1"/>
  <c r="D16" i="52"/>
  <c r="E16" i="52" s="1"/>
  <c r="D15" i="52"/>
  <c r="E15" i="52" s="1"/>
  <c r="D14" i="52"/>
  <c r="E14" i="52" s="1"/>
  <c r="D13" i="52"/>
  <c r="E13" i="52" s="1"/>
  <c r="D12" i="52"/>
  <c r="E12" i="52" s="1"/>
  <c r="D11" i="52"/>
  <c r="E11" i="52" s="1"/>
  <c r="D10" i="52"/>
  <c r="E10" i="52" s="1"/>
  <c r="D9" i="52"/>
  <c r="E9" i="52" s="1"/>
  <c r="D8" i="52"/>
  <c r="E8" i="52" s="1"/>
  <c r="D7" i="52"/>
  <c r="E7" i="52" s="1"/>
  <c r="D6" i="52"/>
  <c r="C18" i="45"/>
  <c r="B18" i="45"/>
  <c r="B24" i="45" s="1" a="1"/>
  <c r="D27" i="45" s="1"/>
  <c r="D17" i="45"/>
  <c r="E17" i="45" s="1"/>
  <c r="D16" i="45"/>
  <c r="E16" i="45" s="1"/>
  <c r="D15" i="45"/>
  <c r="E15" i="45" s="1"/>
  <c r="D14" i="45"/>
  <c r="E14" i="45" s="1"/>
  <c r="D13" i="45"/>
  <c r="E13" i="45" s="1"/>
  <c r="D12" i="45"/>
  <c r="E12" i="45" s="1"/>
  <c r="D11" i="45"/>
  <c r="E11" i="45" s="1"/>
  <c r="D10" i="45"/>
  <c r="E10" i="45" s="1"/>
  <c r="D9" i="45"/>
  <c r="E9" i="45" s="1"/>
  <c r="D8" i="45"/>
  <c r="E8" i="45" s="1"/>
  <c r="D7" i="45"/>
  <c r="E7" i="45" s="1"/>
  <c r="D6" i="45"/>
  <c r="C18" i="50"/>
  <c r="B18" i="50"/>
  <c r="B24" i="50" s="1" a="1"/>
  <c r="D17" i="50"/>
  <c r="E17" i="50" s="1"/>
  <c r="D16" i="50"/>
  <c r="E16" i="50" s="1"/>
  <c r="D15" i="50"/>
  <c r="E15" i="50" s="1"/>
  <c r="D14" i="50"/>
  <c r="E14" i="50" s="1"/>
  <c r="D13" i="50"/>
  <c r="E13" i="50" s="1"/>
  <c r="D12" i="50"/>
  <c r="E12" i="50" s="1"/>
  <c r="D11" i="50"/>
  <c r="E11" i="50" s="1"/>
  <c r="D10" i="50"/>
  <c r="E10" i="50" s="1"/>
  <c r="D9" i="50"/>
  <c r="E9" i="50" s="1"/>
  <c r="D8" i="50"/>
  <c r="E8" i="50" s="1"/>
  <c r="D7" i="50"/>
  <c r="E7" i="50" s="1"/>
  <c r="D6" i="50"/>
  <c r="C18" i="48"/>
  <c r="B18" i="48"/>
  <c r="B24" i="48" s="1" a="1"/>
  <c r="D17" i="48"/>
  <c r="E17" i="48" s="1"/>
  <c r="D16" i="48"/>
  <c r="E16" i="48" s="1"/>
  <c r="D15" i="48"/>
  <c r="E15" i="48" s="1"/>
  <c r="D14" i="48"/>
  <c r="E14" i="48" s="1"/>
  <c r="D13" i="48"/>
  <c r="E13" i="48" s="1"/>
  <c r="D12" i="48"/>
  <c r="E12" i="48" s="1"/>
  <c r="D11" i="48"/>
  <c r="E11" i="48" s="1"/>
  <c r="D10" i="48"/>
  <c r="E10" i="48" s="1"/>
  <c r="D9" i="48"/>
  <c r="E9" i="48" s="1"/>
  <c r="D8" i="48"/>
  <c r="E8" i="48" s="1"/>
  <c r="D7" i="48"/>
  <c r="E7" i="48" s="1"/>
  <c r="D6" i="48"/>
  <c r="C18" i="57"/>
  <c r="B18" i="57"/>
  <c r="B24" i="57" s="1" a="1"/>
  <c r="D17" i="57"/>
  <c r="E17" i="57" s="1"/>
  <c r="D16" i="57"/>
  <c r="E16" i="57" s="1"/>
  <c r="D15" i="57"/>
  <c r="E15" i="57" s="1"/>
  <c r="D14" i="57"/>
  <c r="E14" i="57" s="1"/>
  <c r="D13" i="57"/>
  <c r="E13" i="57" s="1"/>
  <c r="D12" i="57"/>
  <c r="E12" i="57" s="1"/>
  <c r="D11" i="57"/>
  <c r="E11" i="57" s="1"/>
  <c r="D10" i="57"/>
  <c r="E10" i="57" s="1"/>
  <c r="D9" i="57"/>
  <c r="E9" i="57" s="1"/>
  <c r="D8" i="57"/>
  <c r="E8" i="57" s="1"/>
  <c r="D7" i="57"/>
  <c r="E7" i="57" s="1"/>
  <c r="D6" i="57"/>
  <c r="C18" i="53"/>
  <c r="B18" i="53"/>
  <c r="B24" i="53" s="1" a="1"/>
  <c r="D17" i="53"/>
  <c r="E17" i="53" s="1"/>
  <c r="D16" i="53"/>
  <c r="E16" i="53" s="1"/>
  <c r="D15" i="53"/>
  <c r="E15" i="53" s="1"/>
  <c r="D14" i="53"/>
  <c r="E14" i="53" s="1"/>
  <c r="D13" i="53"/>
  <c r="E13" i="53" s="1"/>
  <c r="D12" i="53"/>
  <c r="E12" i="53" s="1"/>
  <c r="D11" i="53"/>
  <c r="E11" i="53" s="1"/>
  <c r="D10" i="53"/>
  <c r="E10" i="53" s="1"/>
  <c r="D9" i="53"/>
  <c r="E9" i="53" s="1"/>
  <c r="D8" i="53"/>
  <c r="E8" i="53" s="1"/>
  <c r="D7" i="53"/>
  <c r="E7" i="53" s="1"/>
  <c r="D6" i="53"/>
  <c r="C18" i="64"/>
  <c r="B18" i="64"/>
  <c r="B24" i="64" s="1" a="1"/>
  <c r="D17" i="64"/>
  <c r="E17" i="64" s="1"/>
  <c r="D16" i="64"/>
  <c r="E16" i="64" s="1"/>
  <c r="D15" i="64"/>
  <c r="E15" i="64" s="1"/>
  <c r="D14" i="64"/>
  <c r="E14" i="64" s="1"/>
  <c r="D13" i="64"/>
  <c r="E13" i="64" s="1"/>
  <c r="D12" i="64"/>
  <c r="E12" i="64" s="1"/>
  <c r="D11" i="64"/>
  <c r="E11" i="64" s="1"/>
  <c r="D10" i="64"/>
  <c r="E10" i="64" s="1"/>
  <c r="D9" i="64"/>
  <c r="E9" i="64" s="1"/>
  <c r="D8" i="64"/>
  <c r="E8" i="64" s="1"/>
  <c r="D7" i="64"/>
  <c r="E7" i="64" s="1"/>
  <c r="D6" i="64"/>
  <c r="C18" i="56"/>
  <c r="B18" i="56"/>
  <c r="B24" i="56" s="1" a="1"/>
  <c r="D17" i="56"/>
  <c r="E17" i="56" s="1"/>
  <c r="D16" i="56"/>
  <c r="E16" i="56" s="1"/>
  <c r="D15" i="56"/>
  <c r="E15" i="56" s="1"/>
  <c r="D14" i="56"/>
  <c r="E14" i="56" s="1"/>
  <c r="D13" i="56"/>
  <c r="E13" i="56" s="1"/>
  <c r="D12" i="56"/>
  <c r="E12" i="56" s="1"/>
  <c r="D11" i="56"/>
  <c r="E11" i="56" s="1"/>
  <c r="D10" i="56"/>
  <c r="E10" i="56" s="1"/>
  <c r="D9" i="56"/>
  <c r="E9" i="56" s="1"/>
  <c r="D8" i="56"/>
  <c r="E8" i="56" s="1"/>
  <c r="D7" i="56"/>
  <c r="E7" i="56" s="1"/>
  <c r="D6" i="56"/>
  <c r="C18" i="49"/>
  <c r="B18" i="49"/>
  <c r="B24" i="49" s="1" a="1"/>
  <c r="D17" i="49"/>
  <c r="E17" i="49" s="1"/>
  <c r="D16" i="49"/>
  <c r="E16" i="49" s="1"/>
  <c r="D15" i="49"/>
  <c r="E15" i="49" s="1"/>
  <c r="D14" i="49"/>
  <c r="E14" i="49" s="1"/>
  <c r="D13" i="49"/>
  <c r="E13" i="49" s="1"/>
  <c r="D12" i="49"/>
  <c r="E12" i="49" s="1"/>
  <c r="D11" i="49"/>
  <c r="E11" i="49" s="1"/>
  <c r="D10" i="49"/>
  <c r="E10" i="49" s="1"/>
  <c r="D9" i="49"/>
  <c r="E9" i="49" s="1"/>
  <c r="D8" i="49"/>
  <c r="E8" i="49" s="1"/>
  <c r="D7" i="49"/>
  <c r="E7" i="49" s="1"/>
  <c r="D6" i="49"/>
  <c r="C18" i="42"/>
  <c r="B18" i="42"/>
  <c r="B24" i="42" s="1" a="1"/>
  <c r="D32" i="42" s="1"/>
  <c r="E32" i="42" s="1"/>
  <c r="D17" i="42"/>
  <c r="E17" i="42" s="1"/>
  <c r="D16" i="42"/>
  <c r="E16" i="42" s="1"/>
  <c r="D15" i="42"/>
  <c r="E15" i="42" s="1"/>
  <c r="D14" i="42"/>
  <c r="E14" i="42" s="1"/>
  <c r="D13" i="42"/>
  <c r="E13" i="42" s="1"/>
  <c r="D12" i="42"/>
  <c r="E12" i="42" s="1"/>
  <c r="D11" i="42"/>
  <c r="E11" i="42" s="1"/>
  <c r="D10" i="42"/>
  <c r="E10" i="42" s="1"/>
  <c r="D9" i="42"/>
  <c r="E9" i="42" s="1"/>
  <c r="D8" i="42"/>
  <c r="E8" i="42" s="1"/>
  <c r="D7" i="42"/>
  <c r="E7" i="42" s="1"/>
  <c r="D6" i="42"/>
  <c r="C18" i="51"/>
  <c r="B18" i="51"/>
  <c r="B24" i="51" s="1" a="1"/>
  <c r="D17" i="51"/>
  <c r="E17" i="51" s="1"/>
  <c r="D16" i="51"/>
  <c r="E16" i="51" s="1"/>
  <c r="D15" i="51"/>
  <c r="E15" i="51" s="1"/>
  <c r="D14" i="51"/>
  <c r="E14" i="51" s="1"/>
  <c r="D13" i="51"/>
  <c r="E13" i="51" s="1"/>
  <c r="D12" i="51"/>
  <c r="E12" i="51" s="1"/>
  <c r="D11" i="51"/>
  <c r="E11" i="51" s="1"/>
  <c r="D10" i="51"/>
  <c r="E10" i="51" s="1"/>
  <c r="D9" i="51"/>
  <c r="E9" i="51" s="1"/>
  <c r="D8" i="51"/>
  <c r="E8" i="51" s="1"/>
  <c r="D7" i="51"/>
  <c r="E7" i="51" s="1"/>
  <c r="D6" i="51"/>
  <c r="C18" i="38"/>
  <c r="B18" i="38"/>
  <c r="B24" i="38" s="1" a="1"/>
  <c r="D17" i="38"/>
  <c r="E17" i="38" s="1"/>
  <c r="D16" i="38"/>
  <c r="E16" i="38" s="1"/>
  <c r="D15" i="38"/>
  <c r="E15" i="38" s="1"/>
  <c r="D14" i="38"/>
  <c r="E14" i="38" s="1"/>
  <c r="D13" i="38"/>
  <c r="E13" i="38" s="1"/>
  <c r="D12" i="38"/>
  <c r="E12" i="38" s="1"/>
  <c r="D11" i="38"/>
  <c r="E11" i="38" s="1"/>
  <c r="D10" i="38"/>
  <c r="E10" i="38" s="1"/>
  <c r="D9" i="38"/>
  <c r="E9" i="38" s="1"/>
  <c r="D8" i="38"/>
  <c r="E8" i="38" s="1"/>
  <c r="D7" i="38"/>
  <c r="E7" i="38" s="1"/>
  <c r="D6" i="38"/>
  <c r="C18" i="59"/>
  <c r="B18" i="59"/>
  <c r="B24" i="59" s="1" a="1"/>
  <c r="D17" i="59"/>
  <c r="E17" i="59" s="1"/>
  <c r="D16" i="59"/>
  <c r="E16" i="59" s="1"/>
  <c r="D15" i="59"/>
  <c r="E15" i="59" s="1"/>
  <c r="D14" i="59"/>
  <c r="E14" i="59" s="1"/>
  <c r="D13" i="59"/>
  <c r="E13" i="59" s="1"/>
  <c r="D12" i="59"/>
  <c r="E12" i="59" s="1"/>
  <c r="D11" i="59"/>
  <c r="E11" i="59" s="1"/>
  <c r="D10" i="59"/>
  <c r="E10" i="59" s="1"/>
  <c r="D9" i="59"/>
  <c r="E9" i="59" s="1"/>
  <c r="D8" i="59"/>
  <c r="E8" i="59" s="1"/>
  <c r="D7" i="59"/>
  <c r="E7" i="59" s="1"/>
  <c r="D6" i="59"/>
  <c r="C18" i="54"/>
  <c r="B18" i="54"/>
  <c r="B24" i="54" s="1" a="1"/>
  <c r="D17" i="54"/>
  <c r="E17" i="54" s="1"/>
  <c r="D16" i="54"/>
  <c r="E16" i="54" s="1"/>
  <c r="D15" i="54"/>
  <c r="E15" i="54" s="1"/>
  <c r="D14" i="54"/>
  <c r="E14" i="54" s="1"/>
  <c r="D13" i="54"/>
  <c r="E13" i="54" s="1"/>
  <c r="D12" i="54"/>
  <c r="E12" i="54" s="1"/>
  <c r="D11" i="54"/>
  <c r="E11" i="54" s="1"/>
  <c r="D10" i="54"/>
  <c r="E10" i="54" s="1"/>
  <c r="D9" i="54"/>
  <c r="E9" i="54" s="1"/>
  <c r="D8" i="54"/>
  <c r="E8" i="54" s="1"/>
  <c r="D7" i="54"/>
  <c r="E7" i="54" s="1"/>
  <c r="D6" i="54"/>
  <c r="C18" i="60"/>
  <c r="B18" i="60"/>
  <c r="B24" i="60" s="1" a="1"/>
  <c r="D17" i="60"/>
  <c r="E17" i="60" s="1"/>
  <c r="D16" i="60"/>
  <c r="E16" i="60" s="1"/>
  <c r="D15" i="60"/>
  <c r="E15" i="60" s="1"/>
  <c r="D14" i="60"/>
  <c r="E14" i="60" s="1"/>
  <c r="D13" i="60"/>
  <c r="E13" i="60" s="1"/>
  <c r="D12" i="60"/>
  <c r="E12" i="60" s="1"/>
  <c r="D11" i="60"/>
  <c r="E11" i="60" s="1"/>
  <c r="D10" i="60"/>
  <c r="E10" i="60" s="1"/>
  <c r="D9" i="60"/>
  <c r="E9" i="60" s="1"/>
  <c r="D8" i="60"/>
  <c r="E8" i="60" s="1"/>
  <c r="D7" i="60"/>
  <c r="E7" i="60" s="1"/>
  <c r="D6" i="60"/>
  <c r="C18" i="65"/>
  <c r="B18" i="65"/>
  <c r="B24" i="65" s="1" a="1"/>
  <c r="D17" i="65"/>
  <c r="E17" i="65" s="1"/>
  <c r="D16" i="65"/>
  <c r="E16" i="65" s="1"/>
  <c r="D15" i="65"/>
  <c r="E15" i="65" s="1"/>
  <c r="D14" i="65"/>
  <c r="E14" i="65" s="1"/>
  <c r="D13" i="65"/>
  <c r="E13" i="65" s="1"/>
  <c r="D12" i="65"/>
  <c r="E12" i="65" s="1"/>
  <c r="D11" i="65"/>
  <c r="E11" i="65" s="1"/>
  <c r="D10" i="65"/>
  <c r="E10" i="65" s="1"/>
  <c r="D9" i="65"/>
  <c r="E9" i="65" s="1"/>
  <c r="D8" i="65"/>
  <c r="E8" i="65" s="1"/>
  <c r="D7" i="65"/>
  <c r="E7" i="65" s="1"/>
  <c r="D6" i="65"/>
  <c r="C18" i="58"/>
  <c r="B18" i="58"/>
  <c r="B24" i="58" s="1" a="1"/>
  <c r="D28" i="58" s="1"/>
  <c r="E28" i="58" s="1"/>
  <c r="D17" i="58"/>
  <c r="E17" i="58" s="1"/>
  <c r="D16" i="58"/>
  <c r="E16" i="58" s="1"/>
  <c r="D15" i="58"/>
  <c r="E15" i="58" s="1"/>
  <c r="D14" i="58"/>
  <c r="E14" i="58" s="1"/>
  <c r="D13" i="58"/>
  <c r="E13" i="58" s="1"/>
  <c r="D12" i="58"/>
  <c r="E12" i="58" s="1"/>
  <c r="D11" i="58"/>
  <c r="E11" i="58" s="1"/>
  <c r="D10" i="58"/>
  <c r="E10" i="58" s="1"/>
  <c r="D9" i="58"/>
  <c r="E9" i="58" s="1"/>
  <c r="D8" i="58"/>
  <c r="E8" i="58" s="1"/>
  <c r="D7" i="58"/>
  <c r="E7" i="58" s="1"/>
  <c r="D6" i="58"/>
  <c r="C18" i="43"/>
  <c r="B18" i="43"/>
  <c r="B24" i="43" s="1" a="1"/>
  <c r="D17" i="43"/>
  <c r="E17" i="43" s="1"/>
  <c r="D16" i="43"/>
  <c r="E16" i="43" s="1"/>
  <c r="D15" i="43"/>
  <c r="E15" i="43" s="1"/>
  <c r="D14" i="43"/>
  <c r="E14" i="43" s="1"/>
  <c r="D13" i="43"/>
  <c r="E13" i="43" s="1"/>
  <c r="D12" i="43"/>
  <c r="E12" i="43" s="1"/>
  <c r="D11" i="43"/>
  <c r="E11" i="43" s="1"/>
  <c r="D10" i="43"/>
  <c r="E10" i="43" s="1"/>
  <c r="D9" i="43"/>
  <c r="E9" i="43" s="1"/>
  <c r="D8" i="43"/>
  <c r="E8" i="43" s="1"/>
  <c r="D7" i="43"/>
  <c r="E7" i="43" s="1"/>
  <c r="D6" i="43"/>
  <c r="C18" i="61"/>
  <c r="B18" i="61"/>
  <c r="B24" i="61" s="1" a="1"/>
  <c r="B24" i="61" s="1"/>
  <c r="D17" i="61"/>
  <c r="E17" i="61" s="1"/>
  <c r="D16" i="61"/>
  <c r="E16" i="61" s="1"/>
  <c r="D15" i="61"/>
  <c r="E15" i="61" s="1"/>
  <c r="D14" i="61"/>
  <c r="E14" i="61" s="1"/>
  <c r="D13" i="61"/>
  <c r="E13" i="61" s="1"/>
  <c r="D12" i="61"/>
  <c r="E12" i="61" s="1"/>
  <c r="D11" i="61"/>
  <c r="E11" i="61" s="1"/>
  <c r="D10" i="61"/>
  <c r="E10" i="61" s="1"/>
  <c r="D9" i="61"/>
  <c r="E9" i="61" s="1"/>
  <c r="D8" i="61"/>
  <c r="E8" i="61" s="1"/>
  <c r="D7" i="61"/>
  <c r="E7" i="61" s="1"/>
  <c r="D6" i="61"/>
  <c r="C18" i="69"/>
  <c r="B18" i="69"/>
  <c r="D17" i="69"/>
  <c r="E17" i="69" s="1"/>
  <c r="D16" i="69"/>
  <c r="E16" i="69" s="1"/>
  <c r="D15" i="69"/>
  <c r="E15" i="69" s="1"/>
  <c r="D14" i="69"/>
  <c r="E14" i="69" s="1"/>
  <c r="D13" i="69"/>
  <c r="E13" i="69" s="1"/>
  <c r="D12" i="69"/>
  <c r="E12" i="69" s="1"/>
  <c r="D11" i="69"/>
  <c r="E11" i="69" s="1"/>
  <c r="D10" i="69"/>
  <c r="E10" i="69" s="1"/>
  <c r="D9" i="69"/>
  <c r="E9" i="69" s="1"/>
  <c r="D8" i="69"/>
  <c r="E8" i="69" s="1"/>
  <c r="D7" i="69"/>
  <c r="E7" i="69" s="1"/>
  <c r="D6" i="69"/>
  <c r="C18" i="70"/>
  <c r="B18" i="70"/>
  <c r="B24" i="70" s="1" a="1"/>
  <c r="D17" i="70"/>
  <c r="E17" i="70" s="1"/>
  <c r="D16" i="70"/>
  <c r="E16" i="70" s="1"/>
  <c r="D15" i="70"/>
  <c r="E15" i="70" s="1"/>
  <c r="D14" i="70"/>
  <c r="E14" i="70" s="1"/>
  <c r="D13" i="70"/>
  <c r="E13" i="70" s="1"/>
  <c r="D12" i="70"/>
  <c r="E12" i="70" s="1"/>
  <c r="D11" i="70"/>
  <c r="E11" i="70" s="1"/>
  <c r="D10" i="70"/>
  <c r="E10" i="70" s="1"/>
  <c r="D9" i="70"/>
  <c r="E9" i="70" s="1"/>
  <c r="D8" i="70"/>
  <c r="E8" i="70" s="1"/>
  <c r="D7" i="70"/>
  <c r="E7" i="70" s="1"/>
  <c r="D6" i="70"/>
  <c r="C18" i="16"/>
  <c r="B18" i="16"/>
  <c r="B24" i="16" s="1" a="1"/>
  <c r="D27" i="16" s="1"/>
  <c r="D17" i="16"/>
  <c r="E17" i="16" s="1"/>
  <c r="D16" i="16"/>
  <c r="E16" i="16" s="1"/>
  <c r="D15" i="16"/>
  <c r="E15" i="16" s="1"/>
  <c r="D14" i="16"/>
  <c r="E14" i="16" s="1"/>
  <c r="D13" i="16"/>
  <c r="E13" i="16" s="1"/>
  <c r="D12" i="16"/>
  <c r="E12" i="16" s="1"/>
  <c r="D11" i="16"/>
  <c r="E11" i="16" s="1"/>
  <c r="D10" i="16"/>
  <c r="E10" i="16" s="1"/>
  <c r="D9" i="16"/>
  <c r="E9" i="16" s="1"/>
  <c r="D8" i="16"/>
  <c r="E8" i="16" s="1"/>
  <c r="D7" i="16"/>
  <c r="E7" i="16" s="1"/>
  <c r="D6" i="16"/>
  <c r="C18" i="10"/>
  <c r="B18" i="10"/>
  <c r="B24" i="10" s="1" a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D11" i="10"/>
  <c r="E11" i="10" s="1"/>
  <c r="D10" i="10"/>
  <c r="E10" i="10" s="1"/>
  <c r="D9" i="10"/>
  <c r="E9" i="10" s="1"/>
  <c r="D8" i="10"/>
  <c r="E8" i="10" s="1"/>
  <c r="D7" i="10"/>
  <c r="E7" i="10" s="1"/>
  <c r="D6" i="10"/>
  <c r="C18" i="9"/>
  <c r="B18" i="9"/>
  <c r="B24" i="9" s="1" a="1"/>
  <c r="D17" i="9"/>
  <c r="E17" i="9" s="1"/>
  <c r="D16" i="9"/>
  <c r="E16" i="9" s="1"/>
  <c r="D15" i="9"/>
  <c r="E15" i="9" s="1"/>
  <c r="D14" i="9"/>
  <c r="E14" i="9" s="1"/>
  <c r="D13" i="9"/>
  <c r="E13" i="9" s="1"/>
  <c r="D12" i="9"/>
  <c r="E12" i="9" s="1"/>
  <c r="D11" i="9"/>
  <c r="E11" i="9" s="1"/>
  <c r="D10" i="9"/>
  <c r="E10" i="9" s="1"/>
  <c r="D9" i="9"/>
  <c r="E9" i="9" s="1"/>
  <c r="D8" i="9"/>
  <c r="E8" i="9" s="1"/>
  <c r="D7" i="9"/>
  <c r="E7" i="9" s="1"/>
  <c r="D6" i="9"/>
  <c r="C18" i="25"/>
  <c r="B18" i="25"/>
  <c r="B24" i="25" s="1" a="1"/>
  <c r="D17" i="25"/>
  <c r="E17" i="25" s="1"/>
  <c r="D16" i="25"/>
  <c r="E16" i="25" s="1"/>
  <c r="D15" i="25"/>
  <c r="E15" i="25" s="1"/>
  <c r="D14" i="25"/>
  <c r="E14" i="25" s="1"/>
  <c r="D13" i="25"/>
  <c r="E13" i="25" s="1"/>
  <c r="D12" i="25"/>
  <c r="E12" i="25" s="1"/>
  <c r="D11" i="25"/>
  <c r="E11" i="25" s="1"/>
  <c r="D10" i="25"/>
  <c r="E10" i="25" s="1"/>
  <c r="D9" i="25"/>
  <c r="E9" i="25" s="1"/>
  <c r="D8" i="25"/>
  <c r="E8" i="25" s="1"/>
  <c r="D7" i="25"/>
  <c r="E7" i="25" s="1"/>
  <c r="D6" i="25"/>
  <c r="C18" i="37"/>
  <c r="B18" i="37"/>
  <c r="B24" i="37" s="1" a="1"/>
  <c r="D17" i="37"/>
  <c r="E17" i="37" s="1"/>
  <c r="D16" i="37"/>
  <c r="E16" i="37" s="1"/>
  <c r="D15" i="37"/>
  <c r="E15" i="37" s="1"/>
  <c r="D14" i="37"/>
  <c r="E14" i="37" s="1"/>
  <c r="D13" i="37"/>
  <c r="E13" i="37" s="1"/>
  <c r="D12" i="37"/>
  <c r="E12" i="37" s="1"/>
  <c r="D11" i="37"/>
  <c r="E11" i="37" s="1"/>
  <c r="D10" i="37"/>
  <c r="E10" i="37" s="1"/>
  <c r="D9" i="37"/>
  <c r="E9" i="37" s="1"/>
  <c r="D8" i="37"/>
  <c r="E8" i="37" s="1"/>
  <c r="D7" i="37"/>
  <c r="E7" i="37" s="1"/>
  <c r="D6" i="37"/>
  <c r="C18" i="15"/>
  <c r="B18" i="15"/>
  <c r="B24" i="15" s="1" a="1"/>
  <c r="D17" i="15"/>
  <c r="E17" i="15" s="1"/>
  <c r="D16" i="15"/>
  <c r="E16" i="15" s="1"/>
  <c r="D15" i="15"/>
  <c r="E15" i="15" s="1"/>
  <c r="D14" i="15"/>
  <c r="E14" i="15" s="1"/>
  <c r="D13" i="15"/>
  <c r="E13" i="15" s="1"/>
  <c r="D12" i="15"/>
  <c r="E12" i="15" s="1"/>
  <c r="D11" i="15"/>
  <c r="E11" i="15" s="1"/>
  <c r="D10" i="15"/>
  <c r="E10" i="15" s="1"/>
  <c r="D9" i="15"/>
  <c r="E9" i="15" s="1"/>
  <c r="D8" i="15"/>
  <c r="E8" i="15" s="1"/>
  <c r="D7" i="15"/>
  <c r="E7" i="15" s="1"/>
  <c r="D6" i="15"/>
  <c r="C18" i="17"/>
  <c r="B18" i="17"/>
  <c r="B24" i="17" s="1" a="1"/>
  <c r="D17" i="17"/>
  <c r="E17" i="17" s="1"/>
  <c r="D16" i="17"/>
  <c r="E16" i="17" s="1"/>
  <c r="D15" i="17"/>
  <c r="E15" i="17" s="1"/>
  <c r="D14" i="17"/>
  <c r="E14" i="17" s="1"/>
  <c r="D13" i="17"/>
  <c r="E13" i="17" s="1"/>
  <c r="D12" i="17"/>
  <c r="E12" i="17" s="1"/>
  <c r="D11" i="17"/>
  <c r="E11" i="17" s="1"/>
  <c r="D10" i="17"/>
  <c r="E10" i="17" s="1"/>
  <c r="D9" i="17"/>
  <c r="E9" i="17" s="1"/>
  <c r="D8" i="17"/>
  <c r="E8" i="17" s="1"/>
  <c r="D7" i="17"/>
  <c r="E7" i="17" s="1"/>
  <c r="D6" i="17"/>
  <c r="C18" i="12"/>
  <c r="B18" i="12"/>
  <c r="B24" i="12" s="1" a="1"/>
  <c r="D29" i="12" s="1"/>
  <c r="D17" i="12"/>
  <c r="E17" i="12" s="1"/>
  <c r="D16" i="12"/>
  <c r="E16" i="12" s="1"/>
  <c r="D15" i="12"/>
  <c r="E15" i="12" s="1"/>
  <c r="D14" i="12"/>
  <c r="E14" i="12" s="1"/>
  <c r="D13" i="12"/>
  <c r="E13" i="12" s="1"/>
  <c r="D12" i="12"/>
  <c r="E12" i="12" s="1"/>
  <c r="D11" i="12"/>
  <c r="E11" i="12" s="1"/>
  <c r="D10" i="12"/>
  <c r="E10" i="12" s="1"/>
  <c r="D9" i="12"/>
  <c r="E9" i="12" s="1"/>
  <c r="D8" i="12"/>
  <c r="E8" i="12" s="1"/>
  <c r="D7" i="12"/>
  <c r="E7" i="12" s="1"/>
  <c r="D6" i="12"/>
  <c r="C18" i="35"/>
  <c r="B18" i="35"/>
  <c r="B24" i="35" s="1" a="1"/>
  <c r="D17" i="35"/>
  <c r="E17" i="35" s="1"/>
  <c r="D16" i="35"/>
  <c r="E16" i="35" s="1"/>
  <c r="D15" i="35"/>
  <c r="E15" i="35" s="1"/>
  <c r="D14" i="35"/>
  <c r="E14" i="35" s="1"/>
  <c r="D13" i="35"/>
  <c r="E13" i="35" s="1"/>
  <c r="D12" i="35"/>
  <c r="E12" i="35" s="1"/>
  <c r="D11" i="35"/>
  <c r="E11" i="35" s="1"/>
  <c r="D10" i="35"/>
  <c r="E10" i="35" s="1"/>
  <c r="D9" i="35"/>
  <c r="E9" i="35" s="1"/>
  <c r="D8" i="35"/>
  <c r="E8" i="35" s="1"/>
  <c r="D7" i="35"/>
  <c r="E7" i="35" s="1"/>
  <c r="D6" i="35"/>
  <c r="C18" i="36"/>
  <c r="B18" i="36"/>
  <c r="B24" i="36" s="1" a="1"/>
  <c r="D17" i="36"/>
  <c r="E17" i="36" s="1"/>
  <c r="D16" i="36"/>
  <c r="E16" i="36" s="1"/>
  <c r="D15" i="36"/>
  <c r="E15" i="36" s="1"/>
  <c r="D14" i="36"/>
  <c r="E14" i="36" s="1"/>
  <c r="D13" i="36"/>
  <c r="E13" i="36" s="1"/>
  <c r="D12" i="36"/>
  <c r="E12" i="36" s="1"/>
  <c r="D11" i="36"/>
  <c r="E11" i="36" s="1"/>
  <c r="D10" i="36"/>
  <c r="E10" i="36" s="1"/>
  <c r="D9" i="36"/>
  <c r="E9" i="36" s="1"/>
  <c r="D8" i="36"/>
  <c r="E8" i="36" s="1"/>
  <c r="D7" i="36"/>
  <c r="E7" i="36" s="1"/>
  <c r="D6" i="36"/>
  <c r="C18" i="24"/>
  <c r="B18" i="24"/>
  <c r="B24" i="24" s="1" a="1"/>
  <c r="D17" i="24"/>
  <c r="E17" i="24" s="1"/>
  <c r="D16" i="24"/>
  <c r="E16" i="24" s="1"/>
  <c r="D15" i="24"/>
  <c r="E15" i="24" s="1"/>
  <c r="D14" i="24"/>
  <c r="E14" i="24" s="1"/>
  <c r="D13" i="24"/>
  <c r="E13" i="24" s="1"/>
  <c r="D12" i="24"/>
  <c r="E12" i="24" s="1"/>
  <c r="D11" i="24"/>
  <c r="E11" i="24" s="1"/>
  <c r="D10" i="24"/>
  <c r="E10" i="24" s="1"/>
  <c r="D9" i="24"/>
  <c r="E9" i="24" s="1"/>
  <c r="D8" i="24"/>
  <c r="E8" i="24" s="1"/>
  <c r="D7" i="24"/>
  <c r="E7" i="24" s="1"/>
  <c r="D6" i="24"/>
  <c r="C18" i="13"/>
  <c r="B18" i="13"/>
  <c r="B24" i="13" s="1" a="1"/>
  <c r="D17" i="13"/>
  <c r="E17" i="13" s="1"/>
  <c r="D16" i="13"/>
  <c r="E16" i="13" s="1"/>
  <c r="D15" i="13"/>
  <c r="E15" i="13" s="1"/>
  <c r="D14" i="13"/>
  <c r="E14" i="13" s="1"/>
  <c r="D13" i="13"/>
  <c r="E13" i="13" s="1"/>
  <c r="D12" i="13"/>
  <c r="E12" i="13" s="1"/>
  <c r="D11" i="13"/>
  <c r="E11" i="13" s="1"/>
  <c r="D10" i="13"/>
  <c r="E10" i="13" s="1"/>
  <c r="D9" i="13"/>
  <c r="E9" i="13" s="1"/>
  <c r="D8" i="13"/>
  <c r="E8" i="13" s="1"/>
  <c r="D7" i="13"/>
  <c r="E7" i="13" s="1"/>
  <c r="D6" i="13"/>
  <c r="C18" i="8"/>
  <c r="B18" i="8"/>
  <c r="B24" i="8" s="1" a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C18" i="22"/>
  <c r="B18" i="22"/>
  <c r="B24" i="22" s="1" a="1"/>
  <c r="D17" i="22"/>
  <c r="E17" i="22" s="1"/>
  <c r="D16" i="22"/>
  <c r="E16" i="22" s="1"/>
  <c r="D15" i="22"/>
  <c r="E15" i="22" s="1"/>
  <c r="D14" i="22"/>
  <c r="E14" i="22" s="1"/>
  <c r="D13" i="22"/>
  <c r="E13" i="22" s="1"/>
  <c r="D12" i="22"/>
  <c r="E12" i="22" s="1"/>
  <c r="D11" i="22"/>
  <c r="E11" i="22" s="1"/>
  <c r="D10" i="22"/>
  <c r="E10" i="22" s="1"/>
  <c r="D9" i="22"/>
  <c r="E9" i="22" s="1"/>
  <c r="D8" i="22"/>
  <c r="E8" i="22" s="1"/>
  <c r="D7" i="22"/>
  <c r="E7" i="22" s="1"/>
  <c r="D6" i="22"/>
  <c r="C18" i="11"/>
  <c r="B18" i="11"/>
  <c r="B24" i="11" s="1" a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C18" i="23"/>
  <c r="B18" i="23"/>
  <c r="B24" i="23" s="1" a="1"/>
  <c r="D17" i="23"/>
  <c r="E17" i="23" s="1"/>
  <c r="D16" i="23"/>
  <c r="E16" i="23" s="1"/>
  <c r="D15" i="23"/>
  <c r="E15" i="23" s="1"/>
  <c r="D14" i="23"/>
  <c r="E14" i="23" s="1"/>
  <c r="D13" i="23"/>
  <c r="E13" i="23" s="1"/>
  <c r="D12" i="23"/>
  <c r="E12" i="23" s="1"/>
  <c r="D11" i="23"/>
  <c r="E11" i="23" s="1"/>
  <c r="D10" i="23"/>
  <c r="E10" i="23" s="1"/>
  <c r="D9" i="23"/>
  <c r="E9" i="23" s="1"/>
  <c r="D8" i="23"/>
  <c r="E8" i="23" s="1"/>
  <c r="D7" i="23"/>
  <c r="E7" i="23" s="1"/>
  <c r="D6" i="23"/>
  <c r="C36" i="7"/>
  <c r="C18" i="7"/>
  <c r="B18" i="7"/>
  <c r="B24" i="7" s="1" a="1"/>
  <c r="B24" i="7" s="1"/>
  <c r="D17" i="7"/>
  <c r="E17" i="7" s="1"/>
  <c r="D16" i="7"/>
  <c r="E16" i="7" s="1"/>
  <c r="D15" i="7"/>
  <c r="E15" i="7" s="1"/>
  <c r="D14" i="7"/>
  <c r="E14" i="7" s="1"/>
  <c r="D13" i="7"/>
  <c r="E13" i="7" s="1"/>
  <c r="D12" i="7"/>
  <c r="E12" i="7" s="1"/>
  <c r="D11" i="7"/>
  <c r="E11" i="7" s="1"/>
  <c r="D10" i="7"/>
  <c r="E10" i="7" s="1"/>
  <c r="D9" i="7"/>
  <c r="E9" i="7" s="1"/>
  <c r="D8" i="7"/>
  <c r="E8" i="7" s="1"/>
  <c r="D7" i="7"/>
  <c r="E7" i="7" s="1"/>
  <c r="D6" i="7"/>
  <c r="C18" i="14"/>
  <c r="B18" i="14"/>
  <c r="B24" i="14" s="1" a="1"/>
  <c r="D17" i="14"/>
  <c r="E17" i="14" s="1"/>
  <c r="D16" i="14"/>
  <c r="E16" i="14" s="1"/>
  <c r="D15" i="14"/>
  <c r="E15" i="14" s="1"/>
  <c r="D14" i="14"/>
  <c r="E14" i="14" s="1"/>
  <c r="D13" i="14"/>
  <c r="E13" i="14" s="1"/>
  <c r="D12" i="14"/>
  <c r="E12" i="14" s="1"/>
  <c r="D11" i="14"/>
  <c r="E11" i="14" s="1"/>
  <c r="D10" i="14"/>
  <c r="E10" i="14" s="1"/>
  <c r="D9" i="14"/>
  <c r="E9" i="14" s="1"/>
  <c r="D8" i="14"/>
  <c r="E8" i="14" s="1"/>
  <c r="D7" i="14"/>
  <c r="E7" i="14" s="1"/>
  <c r="D6" i="14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6" i="5"/>
  <c r="A3" i="34" a="1"/>
  <c r="A3" i="34" s="1"/>
  <c r="A3" i="18" a="1"/>
  <c r="A3" i="18" s="1"/>
  <c r="B3" i="2" a="1"/>
  <c r="B3" i="2" s="1"/>
  <c r="A3" i="2" a="1"/>
  <c r="A3" i="1" a="1"/>
  <c r="A3" i="1" s="1"/>
  <c r="C61" i="21" a="1"/>
  <c r="C58" i="31" a="1"/>
  <c r="C56" i="20" a="1"/>
  <c r="C60" i="3" a="1"/>
  <c r="C64" i="21" a="1"/>
  <c r="C62" i="3" a="1"/>
  <c r="C58" i="32" a="1"/>
  <c r="C60" i="32" a="1"/>
  <c r="C58" i="33" a="1"/>
  <c r="C64" i="26" a="1"/>
  <c r="C59" i="27" a="1"/>
  <c r="C57" i="32" a="1"/>
  <c r="C56" i="21" a="1"/>
  <c r="C57" i="27" a="1"/>
  <c r="C64" i="27" a="1"/>
  <c r="C61" i="31" a="1"/>
  <c r="C63" i="31" a="1"/>
  <c r="C56" i="31" a="1"/>
  <c r="C57" i="31" a="1"/>
  <c r="C58" i="26" a="1"/>
  <c r="C61" i="26" a="1"/>
  <c r="C58" i="28" a="1"/>
  <c r="C59" i="21" a="1"/>
  <c r="C56" i="19" a="1"/>
  <c r="C64" i="32" a="1"/>
  <c r="C63" i="32" a="1"/>
  <c r="C64" i="19" a="1"/>
  <c r="C58" i="19" a="1"/>
  <c r="C56" i="27" a="1"/>
  <c r="C60" i="33" a="1"/>
  <c r="C60" i="21" a="1"/>
  <c r="C56" i="3" a="1"/>
  <c r="C56" i="32" a="1"/>
  <c r="C59" i="3" a="1"/>
  <c r="C62" i="27" a="1"/>
  <c r="C59" i="26" a="1"/>
  <c r="C62" i="21" a="1"/>
  <c r="C63" i="33" a="1"/>
  <c r="C56" i="26" a="1"/>
  <c r="C56" i="28" a="1"/>
  <c r="C58" i="3" a="1"/>
  <c r="C63" i="27" a="1"/>
  <c r="C64" i="3" a="1"/>
  <c r="C60" i="27" a="1"/>
  <c r="C62" i="31" a="1"/>
  <c r="C57" i="28" a="1"/>
  <c r="C58" i="27" a="1"/>
  <c r="C59" i="33" a="1"/>
  <c r="C61" i="20" a="1"/>
  <c r="C61" i="33" a="1"/>
  <c r="C64" i="33" a="1"/>
  <c r="C61" i="32" a="1"/>
  <c r="C64" i="28" a="1"/>
  <c r="C63" i="21" a="1"/>
  <c r="C63" i="3" a="1"/>
  <c r="C60" i="20" a="1"/>
  <c r="C59" i="19" a="1"/>
  <c r="C58" i="20" a="1"/>
  <c r="C60" i="26" a="1"/>
  <c r="C56" i="33" a="1"/>
  <c r="C59" i="31" a="1"/>
  <c r="C58" i="21" a="1"/>
  <c r="C63" i="20" a="1"/>
  <c r="C64" i="31" a="1"/>
  <c r="C57" i="19" a="1"/>
  <c r="C64" i="20" a="1"/>
  <c r="C59" i="20" a="1"/>
  <c r="C61" i="19" a="1"/>
  <c r="C61" i="3" a="1"/>
  <c r="C60" i="19" a="1"/>
  <c r="C61" i="28" a="1"/>
  <c r="C62" i="20" a="1"/>
  <c r="C63" i="26" a="1"/>
  <c r="C57" i="20" a="1"/>
  <c r="C59" i="28" a="1"/>
  <c r="C59" i="32" a="1"/>
  <c r="C60" i="28" a="1"/>
  <c r="C57" i="3" a="1"/>
  <c r="C62" i="26" a="1"/>
  <c r="C62" i="33" a="1"/>
  <c r="C62" i="28" a="1"/>
  <c r="C63" i="19" a="1"/>
  <c r="C57" i="33" a="1"/>
  <c r="C62" i="32" a="1"/>
  <c r="C63" i="28" a="1"/>
  <c r="C60" i="31" a="1"/>
  <c r="C57" i="26" a="1"/>
  <c r="C62" i="19" a="1"/>
  <c r="C57" i="21" a="1"/>
  <c r="C61" i="27" a="1"/>
  <c r="B24" i="69" l="1" a="1"/>
  <c r="B24" i="69" s="1"/>
  <c r="D24" i="69" s="1"/>
  <c r="D29" i="6"/>
  <c r="E29" i="6" s="1"/>
  <c r="D25" i="6"/>
  <c r="E25" i="6" s="1"/>
  <c r="D30" i="6"/>
  <c r="E30" i="6" s="1"/>
  <c r="D34" i="6"/>
  <c r="E34" i="6" s="1"/>
  <c r="D28" i="6"/>
  <c r="E28" i="6" s="1"/>
  <c r="D33" i="6"/>
  <c r="E33" i="6" s="1"/>
  <c r="D27" i="6"/>
  <c r="E27" i="6" s="1"/>
  <c r="D35" i="6"/>
  <c r="E35" i="6" s="1"/>
  <c r="D32" i="6"/>
  <c r="E32" i="6" s="1"/>
  <c r="D31" i="6"/>
  <c r="E31" i="6" s="1"/>
  <c r="D26" i="6"/>
  <c r="E26" i="6" s="1"/>
  <c r="D18" i="6"/>
  <c r="E18" i="6" s="1"/>
  <c r="D26" i="8"/>
  <c r="E26" i="8" s="1"/>
  <c r="D27" i="8"/>
  <c r="E27" i="8" s="1"/>
  <c r="C56" i="19"/>
  <c r="C62" i="19"/>
  <c r="C64" i="19"/>
  <c r="C59" i="19"/>
  <c r="C63" i="19"/>
  <c r="C61" i="19"/>
  <c r="C57" i="19"/>
  <c r="C58" i="19"/>
  <c r="C60" i="19"/>
  <c r="C61" i="31"/>
  <c r="C56" i="31"/>
  <c r="C63" i="31"/>
  <c r="C57" i="31"/>
  <c r="C64" i="31"/>
  <c r="C60" i="31"/>
  <c r="C62" i="31"/>
  <c r="C59" i="31"/>
  <c r="C58" i="31"/>
  <c r="C63" i="26"/>
  <c r="C57" i="26"/>
  <c r="C59" i="26"/>
  <c r="C62" i="26"/>
  <c r="C61" i="26"/>
  <c r="C64" i="26"/>
  <c r="C58" i="26"/>
  <c r="C56" i="26"/>
  <c r="C60" i="26"/>
  <c r="C58" i="32"/>
  <c r="C64" i="32"/>
  <c r="C63" i="32"/>
  <c r="C61" i="32"/>
  <c r="C62" i="32"/>
  <c r="C56" i="32"/>
  <c r="C59" i="32"/>
  <c r="C57" i="32"/>
  <c r="C60" i="32"/>
  <c r="C60" i="3"/>
  <c r="C56" i="3"/>
  <c r="C64" i="3"/>
  <c r="C57" i="3"/>
  <c r="C58" i="3"/>
  <c r="C61" i="3"/>
  <c r="C63" i="3"/>
  <c r="C59" i="3"/>
  <c r="C62" i="3"/>
  <c r="C64" i="27"/>
  <c r="C57" i="27"/>
  <c r="C56" i="27"/>
  <c r="C62" i="27"/>
  <c r="C58" i="27"/>
  <c r="C61" i="27"/>
  <c r="C59" i="27"/>
  <c r="C60" i="27"/>
  <c r="C63" i="27"/>
  <c r="C61" i="33"/>
  <c r="C58" i="33"/>
  <c r="C62" i="33"/>
  <c r="C56" i="33"/>
  <c r="C63" i="33"/>
  <c r="C64" i="33"/>
  <c r="C60" i="33"/>
  <c r="C57" i="33"/>
  <c r="C59" i="33"/>
  <c r="C61" i="20"/>
  <c r="C57" i="20"/>
  <c r="C59" i="20"/>
  <c r="C60" i="20"/>
  <c r="C64" i="20"/>
  <c r="C56" i="20"/>
  <c r="C58" i="20"/>
  <c r="C63" i="20"/>
  <c r="C62" i="20"/>
  <c r="C59" i="28"/>
  <c r="C62" i="28"/>
  <c r="C57" i="28"/>
  <c r="C56" i="28"/>
  <c r="C58" i="28"/>
  <c r="C61" i="28"/>
  <c r="C63" i="28"/>
  <c r="C64" i="28"/>
  <c r="C60" i="28"/>
  <c r="A3" i="19"/>
  <c r="A3" i="31"/>
  <c r="A3" i="26"/>
  <c r="A3" i="32"/>
  <c r="A3" i="27"/>
  <c r="A3" i="33"/>
  <c r="A3" i="20"/>
  <c r="A3" i="28"/>
  <c r="C59" i="21"/>
  <c r="C64" i="21"/>
  <c r="C63" i="21"/>
  <c r="C56" i="21"/>
  <c r="C62" i="21"/>
  <c r="C57" i="21"/>
  <c r="C61" i="21"/>
  <c r="C60" i="21"/>
  <c r="C58" i="21"/>
  <c r="A3" i="21"/>
  <c r="E25" i="75"/>
  <c r="E27" i="75"/>
  <c r="E28" i="75"/>
  <c r="E25" i="76"/>
  <c r="E27" i="76"/>
  <c r="E28" i="76"/>
  <c r="E25" i="78"/>
  <c r="E27" i="78"/>
  <c r="E28" i="78"/>
  <c r="E29" i="78"/>
  <c r="E25" i="79"/>
  <c r="E27" i="79"/>
  <c r="E28" i="79"/>
  <c r="E29" i="79"/>
  <c r="E30" i="79"/>
  <c r="E31" i="79"/>
  <c r="E32" i="79"/>
  <c r="E33" i="79"/>
  <c r="E34" i="79"/>
  <c r="E35" i="79"/>
  <c r="E25" i="80"/>
  <c r="E27" i="80"/>
  <c r="E28" i="80"/>
  <c r="E29" i="80"/>
  <c r="E30" i="80"/>
  <c r="E31" i="80"/>
  <c r="E32" i="80"/>
  <c r="E33" i="80"/>
  <c r="E34" i="80"/>
  <c r="E35" i="80"/>
  <c r="E25" i="81"/>
  <c r="E27" i="81"/>
  <c r="E28" i="81"/>
  <c r="E29" i="81"/>
  <c r="E30" i="81"/>
  <c r="E31" i="81"/>
  <c r="E32" i="81"/>
  <c r="E33" i="81"/>
  <c r="E34" i="81"/>
  <c r="E35" i="81"/>
  <c r="E25" i="82"/>
  <c r="E27" i="82"/>
  <c r="E28" i="82"/>
  <c r="E29" i="82"/>
  <c r="E30" i="82"/>
  <c r="E31" i="82"/>
  <c r="E32" i="82"/>
  <c r="E33" i="82"/>
  <c r="E34" i="82"/>
  <c r="E35" i="82"/>
  <c r="E25" i="74"/>
  <c r="E27" i="74"/>
  <c r="E31" i="74"/>
  <c r="E32" i="74"/>
  <c r="E33" i="74"/>
  <c r="E34" i="74"/>
  <c r="E35" i="74"/>
  <c r="E25" i="73"/>
  <c r="E27" i="73"/>
  <c r="E31" i="73"/>
  <c r="E32" i="73"/>
  <c r="E33" i="73"/>
  <c r="E34" i="73"/>
  <c r="E35" i="73"/>
  <c r="E26" i="75"/>
  <c r="D24" i="75"/>
  <c r="D36" i="75" s="1"/>
  <c r="E36" i="75" s="1"/>
  <c r="D24" i="76"/>
  <c r="D36" i="76" s="1"/>
  <c r="E36" i="76" s="1"/>
  <c r="E26" i="76"/>
  <c r="D24" i="78"/>
  <c r="D36" i="78" s="1"/>
  <c r="E36" i="78" s="1"/>
  <c r="E26" i="78"/>
  <c r="D24" i="79"/>
  <c r="D36" i="79" s="1"/>
  <c r="E36" i="79" s="1"/>
  <c r="E26" i="79"/>
  <c r="D24" i="80"/>
  <c r="D36" i="80" s="1"/>
  <c r="E36" i="80" s="1"/>
  <c r="E26" i="80"/>
  <c r="D24" i="81"/>
  <c r="D36" i="81" s="1"/>
  <c r="E36" i="81" s="1"/>
  <c r="E26" i="81"/>
  <c r="D24" i="82"/>
  <c r="D36" i="82" s="1"/>
  <c r="E36" i="82" s="1"/>
  <c r="E26" i="82"/>
  <c r="D24" i="74"/>
  <c r="D36" i="74" s="1"/>
  <c r="E36" i="74" s="1"/>
  <c r="E26" i="74"/>
  <c r="E26" i="73"/>
  <c r="A3" i="4"/>
  <c r="D24" i="73"/>
  <c r="D36" i="73" s="1"/>
  <c r="E36" i="73" s="1"/>
  <c r="B24" i="25"/>
  <c r="D24" i="25" s="1"/>
  <c r="D25" i="25"/>
  <c r="E25" i="25" s="1"/>
  <c r="D26" i="25"/>
  <c r="E26" i="25" s="1"/>
  <c r="D27" i="25"/>
  <c r="E27" i="25" s="1"/>
  <c r="D28" i="25"/>
  <c r="E28" i="25" s="1"/>
  <c r="D29" i="25"/>
  <c r="E29" i="25" s="1"/>
  <c r="D30" i="25"/>
  <c r="E30" i="25" s="1"/>
  <c r="D31" i="25"/>
  <c r="E31" i="25" s="1"/>
  <c r="D32" i="25"/>
  <c r="E32" i="25" s="1"/>
  <c r="D33" i="25"/>
  <c r="E33" i="25" s="1"/>
  <c r="D34" i="25"/>
  <c r="E34" i="25" s="1"/>
  <c r="D35" i="25"/>
  <c r="E35" i="25" s="1"/>
  <c r="B24" i="37"/>
  <c r="D24" i="37" s="1"/>
  <c r="D25" i="37"/>
  <c r="E25" i="37" s="1"/>
  <c r="D26" i="37"/>
  <c r="E26" i="37" s="1"/>
  <c r="D27" i="37"/>
  <c r="E27" i="37" s="1"/>
  <c r="D28" i="37"/>
  <c r="E28" i="37" s="1"/>
  <c r="D29" i="37"/>
  <c r="E29" i="37" s="1"/>
  <c r="D30" i="37"/>
  <c r="E30" i="37" s="1"/>
  <c r="D31" i="37"/>
  <c r="E31" i="37" s="1"/>
  <c r="D32" i="37"/>
  <c r="E32" i="37" s="1"/>
  <c r="D33" i="37"/>
  <c r="E33" i="37" s="1"/>
  <c r="D34" i="37"/>
  <c r="E34" i="37" s="1"/>
  <c r="D35" i="37"/>
  <c r="E35" i="37" s="1"/>
  <c r="B24" i="15"/>
  <c r="D24" i="15" s="1"/>
  <c r="D25" i="15"/>
  <c r="E25" i="15" s="1"/>
  <c r="D26" i="15"/>
  <c r="E26" i="15" s="1"/>
  <c r="D27" i="15"/>
  <c r="E27" i="15" s="1"/>
  <c r="D28" i="15"/>
  <c r="E28" i="15" s="1"/>
  <c r="D29" i="15"/>
  <c r="E29" i="15" s="1"/>
  <c r="D30" i="15"/>
  <c r="E30" i="15" s="1"/>
  <c r="D31" i="15"/>
  <c r="E31" i="15" s="1"/>
  <c r="D32" i="15"/>
  <c r="E32" i="15" s="1"/>
  <c r="D33" i="15"/>
  <c r="E33" i="15" s="1"/>
  <c r="D34" i="15"/>
  <c r="E34" i="15" s="1"/>
  <c r="D35" i="15"/>
  <c r="E35" i="15" s="1"/>
  <c r="B24" i="66"/>
  <c r="D24" i="66" s="1"/>
  <c r="E24" i="66" s="1"/>
  <c r="D34" i="66"/>
  <c r="E34" i="66" s="1"/>
  <c r="B24" i="55"/>
  <c r="D24" i="55" s="1"/>
  <c r="E24" i="55" s="1"/>
  <c r="D30" i="55"/>
  <c r="E30" i="55" s="1"/>
  <c r="D31" i="55"/>
  <c r="E31" i="55" s="1"/>
  <c r="B24" i="72"/>
  <c r="D24" i="72" s="1"/>
  <c r="E24" i="72" s="1"/>
  <c r="D26" i="72"/>
  <c r="E26" i="72" s="1"/>
  <c r="D27" i="72"/>
  <c r="E27" i="72" s="1"/>
  <c r="B24" i="46"/>
  <c r="D24" i="46" s="1"/>
  <c r="E24" i="46" s="1"/>
  <c r="D25" i="46"/>
  <c r="E25" i="46" s="1"/>
  <c r="D26" i="46"/>
  <c r="E26" i="46" s="1"/>
  <c r="D27" i="46"/>
  <c r="E27" i="46" s="1"/>
  <c r="D28" i="46"/>
  <c r="E28" i="46" s="1"/>
  <c r="D29" i="46"/>
  <c r="E29" i="46" s="1"/>
  <c r="D30" i="46"/>
  <c r="E30" i="46" s="1"/>
  <c r="D31" i="46"/>
  <c r="E31" i="46" s="1"/>
  <c r="D32" i="46"/>
  <c r="E32" i="46" s="1"/>
  <c r="D33" i="46"/>
  <c r="E33" i="46" s="1"/>
  <c r="D34" i="46"/>
  <c r="E34" i="46" s="1"/>
  <c r="D35" i="46"/>
  <c r="E35" i="46" s="1"/>
  <c r="B24" i="67"/>
  <c r="D24" i="67" s="1"/>
  <c r="E24" i="67" s="1"/>
  <c r="D25" i="67"/>
  <c r="E25" i="67" s="1"/>
  <c r="D26" i="67"/>
  <c r="E26" i="67" s="1"/>
  <c r="D27" i="67"/>
  <c r="E27" i="67" s="1"/>
  <c r="D28" i="67"/>
  <c r="E28" i="67" s="1"/>
  <c r="D29" i="67"/>
  <c r="E29" i="67" s="1"/>
  <c r="D30" i="67"/>
  <c r="E30" i="67" s="1"/>
  <c r="D31" i="67"/>
  <c r="E31" i="67" s="1"/>
  <c r="D32" i="67"/>
  <c r="E32" i="67" s="1"/>
  <c r="D33" i="67"/>
  <c r="E33" i="67" s="1"/>
  <c r="D34" i="67"/>
  <c r="E34" i="67" s="1"/>
  <c r="D35" i="67"/>
  <c r="E35" i="67" s="1"/>
  <c r="B24" i="41"/>
  <c r="D24" i="41" s="1"/>
  <c r="E24" i="41" s="1"/>
  <c r="D25" i="41"/>
  <c r="E25" i="41" s="1"/>
  <c r="D26" i="41"/>
  <c r="E26" i="41" s="1"/>
  <c r="D27" i="41"/>
  <c r="E27" i="41" s="1"/>
  <c r="D28" i="41"/>
  <c r="E28" i="41" s="1"/>
  <c r="D29" i="41"/>
  <c r="E29" i="41" s="1"/>
  <c r="D30" i="41"/>
  <c r="E30" i="41" s="1"/>
  <c r="D31" i="41"/>
  <c r="E31" i="41" s="1"/>
  <c r="D32" i="41"/>
  <c r="E32" i="41" s="1"/>
  <c r="D33" i="41"/>
  <c r="E33" i="41" s="1"/>
  <c r="D34" i="41"/>
  <c r="E34" i="41" s="1"/>
  <c r="D35" i="41"/>
  <c r="E35" i="41" s="1"/>
  <c r="B24" i="47"/>
  <c r="D24" i="47" s="1"/>
  <c r="E24" i="47" s="1"/>
  <c r="D25" i="47"/>
  <c r="E25" i="47" s="1"/>
  <c r="D26" i="47"/>
  <c r="E26" i="47" s="1"/>
  <c r="D27" i="47"/>
  <c r="E27" i="47" s="1"/>
  <c r="D28" i="47"/>
  <c r="E28" i="47" s="1"/>
  <c r="D29" i="47"/>
  <c r="E29" i="47" s="1"/>
  <c r="D30" i="47"/>
  <c r="E30" i="47" s="1"/>
  <c r="D31" i="47"/>
  <c r="E31" i="47" s="1"/>
  <c r="D32" i="47"/>
  <c r="E32" i="47" s="1"/>
  <c r="D33" i="47"/>
  <c r="E33" i="47" s="1"/>
  <c r="D34" i="47"/>
  <c r="E34" i="47" s="1"/>
  <c r="D35" i="47"/>
  <c r="E35" i="47" s="1"/>
  <c r="B24" i="62"/>
  <c r="D24" i="62" s="1"/>
  <c r="E24" i="62" s="1"/>
  <c r="D25" i="62"/>
  <c r="E25" i="62" s="1"/>
  <c r="D26" i="62"/>
  <c r="E26" i="62" s="1"/>
  <c r="D27" i="62"/>
  <c r="E27" i="62" s="1"/>
  <c r="D28" i="62"/>
  <c r="E28" i="62" s="1"/>
  <c r="D29" i="62"/>
  <c r="E29" i="62" s="1"/>
  <c r="D30" i="62"/>
  <c r="E30" i="62" s="1"/>
  <c r="D31" i="62"/>
  <c r="E31" i="62" s="1"/>
  <c r="D32" i="62"/>
  <c r="E32" i="62" s="1"/>
  <c r="D33" i="62"/>
  <c r="E33" i="62" s="1"/>
  <c r="D34" i="62"/>
  <c r="E34" i="62" s="1"/>
  <c r="D35" i="62"/>
  <c r="E35" i="62" s="1"/>
  <c r="B24" i="40"/>
  <c r="D24" i="40" s="1"/>
  <c r="E24" i="40" s="1"/>
  <c r="D25" i="40"/>
  <c r="E25" i="40" s="1"/>
  <c r="D26" i="40"/>
  <c r="E26" i="40" s="1"/>
  <c r="D27" i="40"/>
  <c r="E27" i="40" s="1"/>
  <c r="D28" i="40"/>
  <c r="E28" i="40" s="1"/>
  <c r="D29" i="40"/>
  <c r="E29" i="40" s="1"/>
  <c r="D30" i="40"/>
  <c r="E30" i="40" s="1"/>
  <c r="D31" i="40"/>
  <c r="E31" i="40" s="1"/>
  <c r="D32" i="40"/>
  <c r="E32" i="40" s="1"/>
  <c r="D33" i="40"/>
  <c r="E33" i="40" s="1"/>
  <c r="D34" i="40"/>
  <c r="E34" i="40" s="1"/>
  <c r="D35" i="40"/>
  <c r="E35" i="40" s="1"/>
  <c r="B24" i="39"/>
  <c r="D24" i="39" s="1"/>
  <c r="E24" i="39" s="1"/>
  <c r="D25" i="39"/>
  <c r="E25" i="39" s="1"/>
  <c r="D26" i="39"/>
  <c r="E26" i="39" s="1"/>
  <c r="D27" i="39"/>
  <c r="E27" i="39" s="1"/>
  <c r="D28" i="39"/>
  <c r="E28" i="39" s="1"/>
  <c r="D29" i="39"/>
  <c r="E29" i="39" s="1"/>
  <c r="D30" i="39"/>
  <c r="E30" i="39" s="1"/>
  <c r="D31" i="39"/>
  <c r="E31" i="39" s="1"/>
  <c r="D32" i="39"/>
  <c r="E32" i="39" s="1"/>
  <c r="D33" i="39"/>
  <c r="E33" i="39" s="1"/>
  <c r="D34" i="39"/>
  <c r="E34" i="39" s="1"/>
  <c r="D35" i="39"/>
  <c r="E35" i="39" s="1"/>
  <c r="B24" i="63"/>
  <c r="D24" i="63" s="1"/>
  <c r="E24" i="63" s="1"/>
  <c r="D25" i="63"/>
  <c r="E25" i="63" s="1"/>
  <c r="D26" i="63"/>
  <c r="E26" i="63" s="1"/>
  <c r="D27" i="63"/>
  <c r="E27" i="63" s="1"/>
  <c r="D28" i="63"/>
  <c r="E28" i="63" s="1"/>
  <c r="D29" i="63"/>
  <c r="E29" i="63" s="1"/>
  <c r="D30" i="63"/>
  <c r="E30" i="63" s="1"/>
  <c r="D31" i="63"/>
  <c r="E31" i="63" s="1"/>
  <c r="D32" i="63"/>
  <c r="E32" i="63" s="1"/>
  <c r="D33" i="63"/>
  <c r="E33" i="63" s="1"/>
  <c r="D34" i="63"/>
  <c r="E34" i="63" s="1"/>
  <c r="D35" i="63"/>
  <c r="E35" i="63" s="1"/>
  <c r="B24" i="52"/>
  <c r="D24" i="52" s="1"/>
  <c r="E24" i="52" s="1"/>
  <c r="D25" i="52"/>
  <c r="E25" i="52" s="1"/>
  <c r="D26" i="52"/>
  <c r="E26" i="52" s="1"/>
  <c r="D27" i="52"/>
  <c r="E27" i="52" s="1"/>
  <c r="D28" i="52"/>
  <c r="E28" i="52" s="1"/>
  <c r="D29" i="52"/>
  <c r="E29" i="52" s="1"/>
  <c r="D30" i="52"/>
  <c r="E30" i="52" s="1"/>
  <c r="D31" i="52"/>
  <c r="E31" i="52" s="1"/>
  <c r="D32" i="52"/>
  <c r="E32" i="52" s="1"/>
  <c r="D33" i="52"/>
  <c r="E33" i="52" s="1"/>
  <c r="D34" i="52"/>
  <c r="E34" i="52" s="1"/>
  <c r="D35" i="52"/>
  <c r="E35" i="52" s="1"/>
  <c r="B24" i="50"/>
  <c r="D24" i="50" s="1"/>
  <c r="E24" i="50" s="1"/>
  <c r="D25" i="50"/>
  <c r="E25" i="50" s="1"/>
  <c r="D26" i="50"/>
  <c r="E26" i="50" s="1"/>
  <c r="D27" i="50"/>
  <c r="E27" i="50" s="1"/>
  <c r="D28" i="50"/>
  <c r="E28" i="50" s="1"/>
  <c r="D29" i="50"/>
  <c r="E29" i="50" s="1"/>
  <c r="D30" i="50"/>
  <c r="E30" i="50" s="1"/>
  <c r="D31" i="50"/>
  <c r="E31" i="50" s="1"/>
  <c r="D32" i="50"/>
  <c r="E32" i="50" s="1"/>
  <c r="D33" i="50"/>
  <c r="E33" i="50" s="1"/>
  <c r="D34" i="50"/>
  <c r="E34" i="50" s="1"/>
  <c r="D35" i="50"/>
  <c r="E35" i="50" s="1"/>
  <c r="B24" i="45"/>
  <c r="D24" i="45" s="1"/>
  <c r="E24" i="45" s="1"/>
  <c r="D25" i="45"/>
  <c r="E25" i="45" s="1"/>
  <c r="D26" i="45"/>
  <c r="E26" i="45" s="1"/>
  <c r="E27" i="45"/>
  <c r="D28" i="45"/>
  <c r="E28" i="45" s="1"/>
  <c r="D29" i="45"/>
  <c r="E29" i="45" s="1"/>
  <c r="D30" i="45"/>
  <c r="E30" i="45" s="1"/>
  <c r="D31" i="45"/>
  <c r="E31" i="45" s="1"/>
  <c r="D32" i="45"/>
  <c r="E32" i="45" s="1"/>
  <c r="D33" i="45"/>
  <c r="E33" i="45" s="1"/>
  <c r="D34" i="45"/>
  <c r="E34" i="45" s="1"/>
  <c r="D35" i="45"/>
  <c r="E35" i="45" s="1"/>
  <c r="B24" i="48"/>
  <c r="D24" i="48" s="1"/>
  <c r="E24" i="48" s="1"/>
  <c r="D25" i="48"/>
  <c r="E25" i="48" s="1"/>
  <c r="D26" i="48"/>
  <c r="E26" i="48" s="1"/>
  <c r="D27" i="48"/>
  <c r="E27" i="48" s="1"/>
  <c r="D28" i="48"/>
  <c r="E28" i="48" s="1"/>
  <c r="D29" i="48"/>
  <c r="E29" i="48" s="1"/>
  <c r="D30" i="48"/>
  <c r="E30" i="48" s="1"/>
  <c r="D31" i="48"/>
  <c r="E31" i="48" s="1"/>
  <c r="D32" i="48"/>
  <c r="E32" i="48" s="1"/>
  <c r="D33" i="48"/>
  <c r="E33" i="48" s="1"/>
  <c r="D34" i="48"/>
  <c r="E34" i="48" s="1"/>
  <c r="D35" i="48"/>
  <c r="E35" i="48" s="1"/>
  <c r="B24" i="57"/>
  <c r="D24" i="57" s="1"/>
  <c r="E24" i="57" s="1"/>
  <c r="D25" i="57"/>
  <c r="E25" i="57" s="1"/>
  <c r="D26" i="57"/>
  <c r="E26" i="57" s="1"/>
  <c r="D27" i="57"/>
  <c r="E27" i="57" s="1"/>
  <c r="D28" i="57"/>
  <c r="E28" i="57" s="1"/>
  <c r="D29" i="57"/>
  <c r="E29" i="57" s="1"/>
  <c r="D30" i="57"/>
  <c r="E30" i="57" s="1"/>
  <c r="D31" i="57"/>
  <c r="E31" i="57" s="1"/>
  <c r="D32" i="57"/>
  <c r="E32" i="57" s="1"/>
  <c r="D33" i="57"/>
  <c r="E33" i="57" s="1"/>
  <c r="D34" i="57"/>
  <c r="E34" i="57" s="1"/>
  <c r="D35" i="57"/>
  <c r="E35" i="57" s="1"/>
  <c r="B24" i="53"/>
  <c r="D24" i="53" s="1"/>
  <c r="E24" i="53" s="1"/>
  <c r="D25" i="53"/>
  <c r="E25" i="53" s="1"/>
  <c r="D26" i="53"/>
  <c r="E26" i="53" s="1"/>
  <c r="D27" i="53"/>
  <c r="E27" i="53" s="1"/>
  <c r="D28" i="53"/>
  <c r="E28" i="53" s="1"/>
  <c r="D29" i="53"/>
  <c r="E29" i="53" s="1"/>
  <c r="D30" i="53"/>
  <c r="E30" i="53" s="1"/>
  <c r="D31" i="53"/>
  <c r="E31" i="53" s="1"/>
  <c r="D32" i="53"/>
  <c r="E32" i="53" s="1"/>
  <c r="D33" i="53"/>
  <c r="E33" i="53" s="1"/>
  <c r="D34" i="53"/>
  <c r="E34" i="53" s="1"/>
  <c r="D35" i="53"/>
  <c r="E35" i="53" s="1"/>
  <c r="B24" i="64"/>
  <c r="D24" i="64" s="1"/>
  <c r="E24" i="64" s="1"/>
  <c r="D25" i="64"/>
  <c r="E25" i="64" s="1"/>
  <c r="D26" i="64"/>
  <c r="E26" i="64" s="1"/>
  <c r="D27" i="64"/>
  <c r="E27" i="64" s="1"/>
  <c r="D28" i="64"/>
  <c r="E28" i="64" s="1"/>
  <c r="D29" i="64"/>
  <c r="E29" i="64" s="1"/>
  <c r="D30" i="64"/>
  <c r="E30" i="64" s="1"/>
  <c r="D31" i="64"/>
  <c r="E31" i="64" s="1"/>
  <c r="D32" i="64"/>
  <c r="E32" i="64" s="1"/>
  <c r="D33" i="64"/>
  <c r="E33" i="64" s="1"/>
  <c r="D34" i="64"/>
  <c r="E34" i="64" s="1"/>
  <c r="D35" i="64"/>
  <c r="E35" i="64" s="1"/>
  <c r="B24" i="56"/>
  <c r="D24" i="56" s="1"/>
  <c r="E24" i="56" s="1"/>
  <c r="D25" i="56"/>
  <c r="E25" i="56" s="1"/>
  <c r="D26" i="56"/>
  <c r="E26" i="56" s="1"/>
  <c r="D27" i="56"/>
  <c r="E27" i="56" s="1"/>
  <c r="D28" i="56"/>
  <c r="E28" i="56" s="1"/>
  <c r="D29" i="56"/>
  <c r="E29" i="56" s="1"/>
  <c r="D30" i="56"/>
  <c r="E30" i="56" s="1"/>
  <c r="D31" i="56"/>
  <c r="E31" i="56" s="1"/>
  <c r="D32" i="56"/>
  <c r="E32" i="56" s="1"/>
  <c r="D33" i="56"/>
  <c r="E33" i="56" s="1"/>
  <c r="D34" i="56"/>
  <c r="E34" i="56" s="1"/>
  <c r="D35" i="56"/>
  <c r="E35" i="56" s="1"/>
  <c r="B24" i="49"/>
  <c r="D24" i="49" s="1"/>
  <c r="E24" i="49" s="1"/>
  <c r="D25" i="49"/>
  <c r="E25" i="49" s="1"/>
  <c r="D26" i="49"/>
  <c r="E26" i="49" s="1"/>
  <c r="D27" i="49"/>
  <c r="E27" i="49" s="1"/>
  <c r="D28" i="49"/>
  <c r="E28" i="49" s="1"/>
  <c r="D29" i="49"/>
  <c r="E29" i="49" s="1"/>
  <c r="D30" i="49"/>
  <c r="E30" i="49" s="1"/>
  <c r="D31" i="49"/>
  <c r="E31" i="49" s="1"/>
  <c r="D32" i="49"/>
  <c r="E32" i="49" s="1"/>
  <c r="D33" i="49"/>
  <c r="E33" i="49" s="1"/>
  <c r="D34" i="49"/>
  <c r="E34" i="49" s="1"/>
  <c r="D35" i="49"/>
  <c r="E35" i="49" s="1"/>
  <c r="B24" i="42"/>
  <c r="D24" i="42" s="1"/>
  <c r="E24" i="42" s="1"/>
  <c r="D25" i="42"/>
  <c r="E25" i="42" s="1"/>
  <c r="D26" i="42"/>
  <c r="E26" i="42" s="1"/>
  <c r="D27" i="42"/>
  <c r="E27" i="42" s="1"/>
  <c r="D28" i="42"/>
  <c r="E28" i="42" s="1"/>
  <c r="D29" i="42"/>
  <c r="E29" i="42" s="1"/>
  <c r="D30" i="42"/>
  <c r="E30" i="42" s="1"/>
  <c r="D31" i="42"/>
  <c r="E31" i="42" s="1"/>
  <c r="D33" i="42"/>
  <c r="E33" i="42" s="1"/>
  <c r="D34" i="42"/>
  <c r="E34" i="42" s="1"/>
  <c r="D35" i="42"/>
  <c r="E35" i="42" s="1"/>
  <c r="B24" i="51"/>
  <c r="D24" i="51" s="1"/>
  <c r="E24" i="51" s="1"/>
  <c r="D25" i="51"/>
  <c r="E25" i="51" s="1"/>
  <c r="D26" i="51"/>
  <c r="E26" i="51" s="1"/>
  <c r="D27" i="51"/>
  <c r="E27" i="51" s="1"/>
  <c r="D28" i="51"/>
  <c r="E28" i="51" s="1"/>
  <c r="D29" i="51"/>
  <c r="E29" i="51" s="1"/>
  <c r="D30" i="51"/>
  <c r="E30" i="51" s="1"/>
  <c r="D31" i="51"/>
  <c r="E31" i="51" s="1"/>
  <c r="D32" i="51"/>
  <c r="E32" i="51" s="1"/>
  <c r="D33" i="51"/>
  <c r="E33" i="51" s="1"/>
  <c r="D34" i="51"/>
  <c r="E34" i="51" s="1"/>
  <c r="D35" i="51"/>
  <c r="E35" i="51" s="1"/>
  <c r="B24" i="38"/>
  <c r="D24" i="38" s="1"/>
  <c r="E24" i="38" s="1"/>
  <c r="D25" i="38"/>
  <c r="E25" i="38" s="1"/>
  <c r="D26" i="38"/>
  <c r="E26" i="38" s="1"/>
  <c r="D27" i="38"/>
  <c r="E27" i="38" s="1"/>
  <c r="D28" i="38"/>
  <c r="E28" i="38" s="1"/>
  <c r="D29" i="38"/>
  <c r="E29" i="38" s="1"/>
  <c r="D30" i="38"/>
  <c r="E30" i="38" s="1"/>
  <c r="D31" i="38"/>
  <c r="E31" i="38" s="1"/>
  <c r="D32" i="38"/>
  <c r="E32" i="38" s="1"/>
  <c r="D33" i="38"/>
  <c r="E33" i="38" s="1"/>
  <c r="D34" i="38"/>
  <c r="E34" i="38" s="1"/>
  <c r="D35" i="38"/>
  <c r="E35" i="38" s="1"/>
  <c r="B24" i="59"/>
  <c r="D24" i="59" s="1"/>
  <c r="E24" i="59" s="1"/>
  <c r="D25" i="59"/>
  <c r="E25" i="59" s="1"/>
  <c r="D26" i="59"/>
  <c r="E26" i="59" s="1"/>
  <c r="D27" i="59"/>
  <c r="E27" i="59" s="1"/>
  <c r="D28" i="59"/>
  <c r="E28" i="59" s="1"/>
  <c r="D29" i="59"/>
  <c r="E29" i="59" s="1"/>
  <c r="D30" i="59"/>
  <c r="E30" i="59" s="1"/>
  <c r="D31" i="59"/>
  <c r="E31" i="59" s="1"/>
  <c r="D32" i="59"/>
  <c r="E32" i="59" s="1"/>
  <c r="D33" i="59"/>
  <c r="E33" i="59" s="1"/>
  <c r="D34" i="59"/>
  <c r="E34" i="59" s="1"/>
  <c r="D35" i="59"/>
  <c r="E35" i="59" s="1"/>
  <c r="B24" i="54"/>
  <c r="D24" i="54" s="1"/>
  <c r="E24" i="54" s="1"/>
  <c r="D25" i="54"/>
  <c r="E25" i="54" s="1"/>
  <c r="D26" i="54"/>
  <c r="E26" i="54" s="1"/>
  <c r="D27" i="54"/>
  <c r="E27" i="54" s="1"/>
  <c r="D28" i="54"/>
  <c r="E28" i="54" s="1"/>
  <c r="D29" i="54"/>
  <c r="E29" i="54" s="1"/>
  <c r="D30" i="54"/>
  <c r="E30" i="54" s="1"/>
  <c r="D31" i="54"/>
  <c r="E31" i="54" s="1"/>
  <c r="D32" i="54"/>
  <c r="E32" i="54" s="1"/>
  <c r="D33" i="54"/>
  <c r="E33" i="54" s="1"/>
  <c r="D34" i="54"/>
  <c r="E34" i="54" s="1"/>
  <c r="D35" i="54"/>
  <c r="E35" i="54" s="1"/>
  <c r="B24" i="60"/>
  <c r="D24" i="60" s="1"/>
  <c r="E24" i="60" s="1"/>
  <c r="D25" i="60"/>
  <c r="E25" i="60" s="1"/>
  <c r="D26" i="60"/>
  <c r="E26" i="60" s="1"/>
  <c r="D27" i="60"/>
  <c r="E27" i="60" s="1"/>
  <c r="D28" i="60"/>
  <c r="E28" i="60" s="1"/>
  <c r="D29" i="60"/>
  <c r="E29" i="60" s="1"/>
  <c r="D30" i="60"/>
  <c r="E30" i="60" s="1"/>
  <c r="D31" i="60"/>
  <c r="E31" i="60" s="1"/>
  <c r="D32" i="60"/>
  <c r="E32" i="60" s="1"/>
  <c r="D33" i="60"/>
  <c r="E33" i="60" s="1"/>
  <c r="D34" i="60"/>
  <c r="E34" i="60" s="1"/>
  <c r="D35" i="60"/>
  <c r="E35" i="60" s="1"/>
  <c r="B24" i="65"/>
  <c r="D24" i="65" s="1"/>
  <c r="E24" i="65" s="1"/>
  <c r="D25" i="65"/>
  <c r="E25" i="65" s="1"/>
  <c r="D26" i="65"/>
  <c r="E26" i="65" s="1"/>
  <c r="D27" i="65"/>
  <c r="E27" i="65" s="1"/>
  <c r="D28" i="65"/>
  <c r="E28" i="65" s="1"/>
  <c r="D29" i="65"/>
  <c r="E29" i="65" s="1"/>
  <c r="D30" i="65"/>
  <c r="E30" i="65" s="1"/>
  <c r="D31" i="65"/>
  <c r="E31" i="65" s="1"/>
  <c r="D32" i="65"/>
  <c r="E32" i="65" s="1"/>
  <c r="D33" i="65"/>
  <c r="E33" i="65" s="1"/>
  <c r="D34" i="65"/>
  <c r="E34" i="65" s="1"/>
  <c r="D35" i="65"/>
  <c r="E35" i="65" s="1"/>
  <c r="B24" i="58"/>
  <c r="D24" i="58" s="1"/>
  <c r="E24" i="58" s="1"/>
  <c r="D25" i="58"/>
  <c r="E25" i="58" s="1"/>
  <c r="D26" i="58"/>
  <c r="E26" i="58" s="1"/>
  <c r="D27" i="58"/>
  <c r="E27" i="58" s="1"/>
  <c r="D29" i="58"/>
  <c r="E29" i="58" s="1"/>
  <c r="D30" i="58"/>
  <c r="E30" i="58" s="1"/>
  <c r="D31" i="58"/>
  <c r="E31" i="58" s="1"/>
  <c r="D32" i="58"/>
  <c r="E32" i="58" s="1"/>
  <c r="D33" i="58"/>
  <c r="E33" i="58" s="1"/>
  <c r="D34" i="58"/>
  <c r="E34" i="58" s="1"/>
  <c r="D35" i="58"/>
  <c r="E35" i="58" s="1"/>
  <c r="B24" i="43"/>
  <c r="D24" i="43" s="1"/>
  <c r="D34" i="43"/>
  <c r="E34" i="43" s="1"/>
  <c r="D35" i="43"/>
  <c r="E35" i="43" s="1"/>
  <c r="D25" i="69"/>
  <c r="E25" i="69" s="1"/>
  <c r="D26" i="69"/>
  <c r="E26" i="69" s="1"/>
  <c r="D28" i="69"/>
  <c r="E28" i="69" s="1"/>
  <c r="D29" i="69"/>
  <c r="E29" i="69" s="1"/>
  <c r="D30" i="69"/>
  <c r="E30" i="69" s="1"/>
  <c r="D31" i="69"/>
  <c r="E31" i="69" s="1"/>
  <c r="D32" i="69"/>
  <c r="E32" i="69" s="1"/>
  <c r="D33" i="69"/>
  <c r="E33" i="69" s="1"/>
  <c r="D34" i="69"/>
  <c r="E34" i="69" s="1"/>
  <c r="D35" i="69"/>
  <c r="E35" i="69" s="1"/>
  <c r="B24" i="70"/>
  <c r="D24" i="70" s="1"/>
  <c r="D25" i="70"/>
  <c r="E25" i="70" s="1"/>
  <c r="D26" i="70"/>
  <c r="E26" i="70" s="1"/>
  <c r="D27" i="70"/>
  <c r="E27" i="70" s="1"/>
  <c r="D28" i="70"/>
  <c r="E28" i="70" s="1"/>
  <c r="D29" i="70"/>
  <c r="E29" i="70" s="1"/>
  <c r="D30" i="70"/>
  <c r="E30" i="70" s="1"/>
  <c r="D31" i="70"/>
  <c r="E31" i="70" s="1"/>
  <c r="D32" i="70"/>
  <c r="E32" i="70" s="1"/>
  <c r="D33" i="70"/>
  <c r="E33" i="70" s="1"/>
  <c r="D34" i="70"/>
  <c r="E34" i="70" s="1"/>
  <c r="D35" i="70"/>
  <c r="E35" i="70" s="1"/>
  <c r="B24" i="16"/>
  <c r="D24" i="16" s="1"/>
  <c r="D25" i="16"/>
  <c r="E25" i="16" s="1"/>
  <c r="D26" i="16"/>
  <c r="E26" i="16" s="1"/>
  <c r="D28" i="16"/>
  <c r="E28" i="16" s="1"/>
  <c r="D29" i="16"/>
  <c r="E29" i="16" s="1"/>
  <c r="D30" i="16"/>
  <c r="E30" i="16" s="1"/>
  <c r="D31" i="16"/>
  <c r="E31" i="16" s="1"/>
  <c r="D32" i="16"/>
  <c r="E32" i="16" s="1"/>
  <c r="D33" i="16"/>
  <c r="E33" i="16" s="1"/>
  <c r="D34" i="16"/>
  <c r="E34" i="16" s="1"/>
  <c r="D35" i="16"/>
  <c r="E35" i="16" s="1"/>
  <c r="B24" i="10"/>
  <c r="D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B24" i="9"/>
  <c r="D24" i="9" s="1"/>
  <c r="D25" i="9"/>
  <c r="E25" i="9" s="1"/>
  <c r="D26" i="9"/>
  <c r="E26" i="9" s="1"/>
  <c r="D27" i="9"/>
  <c r="E27" i="9" s="1"/>
  <c r="D28" i="9"/>
  <c r="E28" i="9" s="1"/>
  <c r="D29" i="9"/>
  <c r="E29" i="9" s="1"/>
  <c r="D30" i="9"/>
  <c r="E30" i="9" s="1"/>
  <c r="D31" i="9"/>
  <c r="E31" i="9" s="1"/>
  <c r="D32" i="9"/>
  <c r="E32" i="9" s="1"/>
  <c r="D33" i="9"/>
  <c r="E33" i="9" s="1"/>
  <c r="D34" i="9"/>
  <c r="E34" i="9" s="1"/>
  <c r="D35" i="9"/>
  <c r="E35" i="9" s="1"/>
  <c r="B24" i="17"/>
  <c r="D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B24" i="12"/>
  <c r="D24" i="12" s="1"/>
  <c r="E24" i="12" s="1"/>
  <c r="D25" i="12"/>
  <c r="E25" i="12" s="1"/>
  <c r="D26" i="12"/>
  <c r="E26" i="12" s="1"/>
  <c r="D27" i="12"/>
  <c r="E27" i="12" s="1"/>
  <c r="D28" i="12"/>
  <c r="E28" i="12" s="1"/>
  <c r="E29" i="12"/>
  <c r="D30" i="12"/>
  <c r="E30" i="12" s="1"/>
  <c r="D31" i="12"/>
  <c r="E31" i="12" s="1"/>
  <c r="D32" i="12"/>
  <c r="E32" i="12" s="1"/>
  <c r="D33" i="12"/>
  <c r="E33" i="12" s="1"/>
  <c r="D34" i="12"/>
  <c r="E34" i="12" s="1"/>
  <c r="D35" i="12"/>
  <c r="E35" i="12" s="1"/>
  <c r="B24" i="35"/>
  <c r="D24" i="35" s="1"/>
  <c r="D25" i="35"/>
  <c r="E25" i="35" s="1"/>
  <c r="D26" i="35"/>
  <c r="E26" i="35" s="1"/>
  <c r="D27" i="35"/>
  <c r="E27" i="35" s="1"/>
  <c r="D28" i="35"/>
  <c r="E28" i="35" s="1"/>
  <c r="D29" i="35"/>
  <c r="E29" i="35" s="1"/>
  <c r="D30" i="35"/>
  <c r="E30" i="35" s="1"/>
  <c r="D31" i="35"/>
  <c r="E31" i="35" s="1"/>
  <c r="D32" i="35"/>
  <c r="E32" i="35" s="1"/>
  <c r="D33" i="35"/>
  <c r="E33" i="35" s="1"/>
  <c r="D34" i="35"/>
  <c r="E34" i="35" s="1"/>
  <c r="D35" i="35"/>
  <c r="E35" i="35" s="1"/>
  <c r="B24" i="36"/>
  <c r="D24" i="36" s="1"/>
  <c r="D25" i="36"/>
  <c r="E25" i="36" s="1"/>
  <c r="D26" i="36"/>
  <c r="E26" i="36" s="1"/>
  <c r="D27" i="36"/>
  <c r="E27" i="36" s="1"/>
  <c r="D28" i="36"/>
  <c r="E28" i="36" s="1"/>
  <c r="D29" i="36"/>
  <c r="E29" i="36" s="1"/>
  <c r="D30" i="36"/>
  <c r="E30" i="36" s="1"/>
  <c r="D31" i="36"/>
  <c r="E31" i="36" s="1"/>
  <c r="D32" i="36"/>
  <c r="E32" i="36" s="1"/>
  <c r="D33" i="36"/>
  <c r="E33" i="36" s="1"/>
  <c r="D34" i="36"/>
  <c r="E34" i="36" s="1"/>
  <c r="D35" i="36"/>
  <c r="E35" i="36" s="1"/>
  <c r="B24" i="24"/>
  <c r="D24" i="24" s="1"/>
  <c r="D25" i="24"/>
  <c r="E25" i="24" s="1"/>
  <c r="D26" i="24"/>
  <c r="E26" i="24" s="1"/>
  <c r="D27" i="24"/>
  <c r="E27" i="24" s="1"/>
  <c r="D28" i="24"/>
  <c r="E28" i="24" s="1"/>
  <c r="D29" i="24"/>
  <c r="E29" i="24" s="1"/>
  <c r="D30" i="24"/>
  <c r="E30" i="24" s="1"/>
  <c r="D31" i="24"/>
  <c r="E31" i="24" s="1"/>
  <c r="D32" i="24"/>
  <c r="E32" i="24" s="1"/>
  <c r="D33" i="24"/>
  <c r="E33" i="24" s="1"/>
  <c r="D34" i="24"/>
  <c r="E34" i="24" s="1"/>
  <c r="D35" i="24"/>
  <c r="E35" i="24" s="1"/>
  <c r="B24" i="13"/>
  <c r="D24" i="13" s="1"/>
  <c r="D25" i="13"/>
  <c r="E25" i="13" s="1"/>
  <c r="D26" i="13"/>
  <c r="E26" i="13" s="1"/>
  <c r="D27" i="13"/>
  <c r="E27" i="13" s="1"/>
  <c r="D28" i="13"/>
  <c r="E28" i="13" s="1"/>
  <c r="D29" i="13"/>
  <c r="E29" i="13" s="1"/>
  <c r="D30" i="13"/>
  <c r="E30" i="13" s="1"/>
  <c r="D31" i="13"/>
  <c r="E31" i="13" s="1"/>
  <c r="D32" i="13"/>
  <c r="E32" i="13" s="1"/>
  <c r="D33" i="13"/>
  <c r="E33" i="13" s="1"/>
  <c r="D34" i="13"/>
  <c r="E34" i="13" s="1"/>
  <c r="D35" i="13"/>
  <c r="E35" i="13" s="1"/>
  <c r="B24" i="8"/>
  <c r="D24" i="8" s="1"/>
  <c r="D25" i="8"/>
  <c r="E25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B24" i="22"/>
  <c r="D24" i="22" s="1"/>
  <c r="D25" i="22"/>
  <c r="E25" i="22" s="1"/>
  <c r="D26" i="22"/>
  <c r="E26" i="22" s="1"/>
  <c r="D27" i="22"/>
  <c r="E27" i="22" s="1"/>
  <c r="D28" i="22"/>
  <c r="E28" i="22" s="1"/>
  <c r="D29" i="22"/>
  <c r="E29" i="22" s="1"/>
  <c r="D30" i="22"/>
  <c r="E30" i="22" s="1"/>
  <c r="D31" i="22"/>
  <c r="E31" i="22" s="1"/>
  <c r="D32" i="22"/>
  <c r="E32" i="22" s="1"/>
  <c r="D33" i="22"/>
  <c r="E33" i="22" s="1"/>
  <c r="D34" i="22"/>
  <c r="E34" i="22" s="1"/>
  <c r="D35" i="22"/>
  <c r="E35" i="22" s="1"/>
  <c r="B24" i="11"/>
  <c r="D24" i="11" s="1"/>
  <c r="D25" i="11"/>
  <c r="E25" i="11" s="1"/>
  <c r="D26" i="11"/>
  <c r="E26" i="11" s="1"/>
  <c r="D27" i="11"/>
  <c r="D28" i="11"/>
  <c r="E28" i="11" s="1"/>
  <c r="D29" i="11"/>
  <c r="E29" i="11" s="1"/>
  <c r="D30" i="11"/>
  <c r="E30" i="11" s="1"/>
  <c r="D31" i="11"/>
  <c r="E31" i="11" s="1"/>
  <c r="D32" i="11"/>
  <c r="E32" i="11" s="1"/>
  <c r="D33" i="11"/>
  <c r="E33" i="11" s="1"/>
  <c r="D34" i="11"/>
  <c r="E34" i="11" s="1"/>
  <c r="D35" i="11"/>
  <c r="E35" i="11" s="1"/>
  <c r="B24" i="23"/>
  <c r="D24" i="23" s="1"/>
  <c r="D25" i="23"/>
  <c r="E25" i="23" s="1"/>
  <c r="D26" i="23"/>
  <c r="E26" i="23" s="1"/>
  <c r="D27" i="23"/>
  <c r="E27" i="23" s="1"/>
  <c r="D28" i="23"/>
  <c r="E28" i="23" s="1"/>
  <c r="D29" i="23"/>
  <c r="E29" i="23" s="1"/>
  <c r="D30" i="23"/>
  <c r="E30" i="23" s="1"/>
  <c r="D31" i="23"/>
  <c r="E31" i="23" s="1"/>
  <c r="D32" i="23"/>
  <c r="E32" i="23" s="1"/>
  <c r="D33" i="23"/>
  <c r="E33" i="23" s="1"/>
  <c r="D34" i="23"/>
  <c r="E34" i="23" s="1"/>
  <c r="D35" i="23"/>
  <c r="E35" i="23" s="1"/>
  <c r="B24" i="14"/>
  <c r="D24" i="14" s="1"/>
  <c r="D25" i="14"/>
  <c r="E25" i="14" s="1"/>
  <c r="D26" i="14"/>
  <c r="E26" i="14" s="1"/>
  <c r="D27" i="14"/>
  <c r="E27" i="14" s="1"/>
  <c r="D28" i="14"/>
  <c r="E28" i="14" s="1"/>
  <c r="D29" i="14"/>
  <c r="E29" i="14" s="1"/>
  <c r="D30" i="14"/>
  <c r="E30" i="14" s="1"/>
  <c r="D31" i="14"/>
  <c r="E31" i="14" s="1"/>
  <c r="D32" i="14"/>
  <c r="E32" i="14" s="1"/>
  <c r="D33" i="14"/>
  <c r="E33" i="14" s="1"/>
  <c r="D34" i="14"/>
  <c r="E34" i="14" s="1"/>
  <c r="D35" i="14"/>
  <c r="E35" i="14" s="1"/>
  <c r="D24" i="7"/>
  <c r="D35" i="7"/>
  <c r="E35" i="7" s="1"/>
  <c r="D34" i="7"/>
  <c r="E34" i="7" s="1"/>
  <c r="D33" i="7"/>
  <c r="E33" i="7" s="1"/>
  <c r="D32" i="7"/>
  <c r="E32" i="7" s="1"/>
  <c r="D31" i="7"/>
  <c r="E31" i="7" s="1"/>
  <c r="D30" i="7"/>
  <c r="E30" i="7" s="1"/>
  <c r="D29" i="7"/>
  <c r="E29" i="7" s="1"/>
  <c r="D28" i="7"/>
  <c r="E28" i="7" s="1"/>
  <c r="D27" i="7"/>
  <c r="E27" i="7" s="1"/>
  <c r="D26" i="7"/>
  <c r="E26" i="7" s="1"/>
  <c r="D25" i="7"/>
  <c r="E25" i="7" s="1"/>
  <c r="D35" i="61"/>
  <c r="E35" i="61" s="1"/>
  <c r="D33" i="61"/>
  <c r="E33" i="61" s="1"/>
  <c r="D31" i="61"/>
  <c r="E31" i="61" s="1"/>
  <c r="D29" i="61"/>
  <c r="E29" i="61" s="1"/>
  <c r="D28" i="61"/>
  <c r="D27" i="61"/>
  <c r="E27" i="61" s="1"/>
  <c r="D26" i="61"/>
  <c r="E26" i="61" s="1"/>
  <c r="D32" i="61"/>
  <c r="D30" i="61"/>
  <c r="D34" i="61"/>
  <c r="D25" i="61"/>
  <c r="D26" i="43"/>
  <c r="D25" i="43"/>
  <c r="E25" i="43" s="1"/>
  <c r="D33" i="43"/>
  <c r="D32" i="43"/>
  <c r="D31" i="43"/>
  <c r="D30" i="43"/>
  <c r="E30" i="43" s="1"/>
  <c r="D29" i="43"/>
  <c r="E29" i="43" s="1"/>
  <c r="D28" i="43"/>
  <c r="D27" i="43"/>
  <c r="D35" i="72"/>
  <c r="D25" i="72"/>
  <c r="D34" i="72"/>
  <c r="D33" i="72"/>
  <c r="D32" i="72"/>
  <c r="D31" i="72"/>
  <c r="D30" i="72"/>
  <c r="D29" i="72"/>
  <c r="D28" i="72"/>
  <c r="D29" i="55"/>
  <c r="D28" i="55"/>
  <c r="D27" i="55"/>
  <c r="D26" i="55"/>
  <c r="E26" i="55" s="1"/>
  <c r="D35" i="55"/>
  <c r="D25" i="55"/>
  <c r="D34" i="55"/>
  <c r="D33" i="55"/>
  <c r="D32" i="55"/>
  <c r="D33" i="44"/>
  <c r="D25" i="44"/>
  <c r="D26" i="44"/>
  <c r="D32" i="44"/>
  <c r="D34" i="44"/>
  <c r="D31" i="44"/>
  <c r="D29" i="44"/>
  <c r="D35" i="44"/>
  <c r="D28" i="44"/>
  <c r="D30" i="44"/>
  <c r="D27" i="44"/>
  <c r="D30" i="66"/>
  <c r="D29" i="66"/>
  <c r="D35" i="66"/>
  <c r="D28" i="66"/>
  <c r="D27" i="66"/>
  <c r="D33" i="66"/>
  <c r="D26" i="66"/>
  <c r="D32" i="66"/>
  <c r="D25" i="66"/>
  <c r="D31" i="66"/>
  <c r="D24" i="61"/>
  <c r="D24" i="6"/>
  <c r="E8" i="6"/>
  <c r="E27" i="16"/>
  <c r="A3" i="3"/>
  <c r="A3" i="2"/>
  <c r="E6" i="5"/>
  <c r="D18" i="66"/>
  <c r="E18" i="66" s="1"/>
  <c r="E6" i="66"/>
  <c r="D18" i="55"/>
  <c r="E18" i="55" s="1"/>
  <c r="E6" i="55"/>
  <c r="D18" i="44"/>
  <c r="E18" i="44" s="1"/>
  <c r="E6" i="44"/>
  <c r="D18" i="72"/>
  <c r="E18" i="72" s="1"/>
  <c r="E6" i="72"/>
  <c r="D18" i="46"/>
  <c r="E18" i="46" s="1"/>
  <c r="E6" i="46"/>
  <c r="D18" i="67"/>
  <c r="E18" i="67" s="1"/>
  <c r="E6" i="67"/>
  <c r="D18" i="41"/>
  <c r="E18" i="41" s="1"/>
  <c r="E6" i="41"/>
  <c r="D18" i="47"/>
  <c r="E18" i="47" s="1"/>
  <c r="E6" i="47"/>
  <c r="D18" i="40"/>
  <c r="E18" i="40" s="1"/>
  <c r="E6" i="40"/>
  <c r="D18" i="62"/>
  <c r="E18" i="62" s="1"/>
  <c r="E6" i="62"/>
  <c r="D18" i="39"/>
  <c r="E18" i="39" s="1"/>
  <c r="E6" i="39"/>
  <c r="D18" i="63"/>
  <c r="E18" i="63" s="1"/>
  <c r="E6" i="63"/>
  <c r="D18" i="52"/>
  <c r="E18" i="52" s="1"/>
  <c r="E6" i="52"/>
  <c r="D18" i="45"/>
  <c r="E18" i="45" s="1"/>
  <c r="E6" i="45"/>
  <c r="D18" i="50"/>
  <c r="E18" i="50" s="1"/>
  <c r="E6" i="50"/>
  <c r="D18" i="48"/>
  <c r="E18" i="48" s="1"/>
  <c r="E6" i="48"/>
  <c r="D18" i="57"/>
  <c r="E18" i="57" s="1"/>
  <c r="E6" i="57"/>
  <c r="D18" i="53"/>
  <c r="E18" i="53" s="1"/>
  <c r="E6" i="53"/>
  <c r="D18" i="64"/>
  <c r="E18" i="64" s="1"/>
  <c r="E6" i="64"/>
  <c r="D18" i="56"/>
  <c r="E18" i="56" s="1"/>
  <c r="E6" i="56"/>
  <c r="D18" i="49"/>
  <c r="E18" i="49" s="1"/>
  <c r="E6" i="49"/>
  <c r="D18" i="42"/>
  <c r="E18" i="42" s="1"/>
  <c r="E6" i="42"/>
  <c r="D18" i="51"/>
  <c r="E18" i="51" s="1"/>
  <c r="E6" i="51"/>
  <c r="D18" i="38"/>
  <c r="E18" i="38" s="1"/>
  <c r="E6" i="38"/>
  <c r="D18" i="59"/>
  <c r="E18" i="59" s="1"/>
  <c r="E6" i="59"/>
  <c r="D18" i="54"/>
  <c r="E18" i="54" s="1"/>
  <c r="E6" i="54"/>
  <c r="D18" i="60"/>
  <c r="E18" i="60" s="1"/>
  <c r="E6" i="60"/>
  <c r="D18" i="65"/>
  <c r="E18" i="65" s="1"/>
  <c r="E6" i="65"/>
  <c r="D18" i="58"/>
  <c r="E18" i="58" s="1"/>
  <c r="E6" i="58"/>
  <c r="D18" i="43"/>
  <c r="E6" i="43"/>
  <c r="D18" i="61"/>
  <c r="E6" i="61"/>
  <c r="D18" i="69"/>
  <c r="E18" i="69" s="1"/>
  <c r="E6" i="69"/>
  <c r="D18" i="70"/>
  <c r="E18" i="70" s="1"/>
  <c r="E6" i="70"/>
  <c r="D18" i="16"/>
  <c r="E18" i="16" s="1"/>
  <c r="E6" i="16"/>
  <c r="D18" i="10"/>
  <c r="E18" i="10" s="1"/>
  <c r="E6" i="10"/>
  <c r="D18" i="9"/>
  <c r="E18" i="9" s="1"/>
  <c r="E6" i="9"/>
  <c r="D18" i="25"/>
  <c r="E18" i="25" s="1"/>
  <c r="E6" i="25"/>
  <c r="D18" i="37"/>
  <c r="E18" i="37" s="1"/>
  <c r="E6" i="37"/>
  <c r="D18" i="15"/>
  <c r="E18" i="15" s="1"/>
  <c r="E6" i="15"/>
  <c r="D18" i="17"/>
  <c r="E18" i="17" s="1"/>
  <c r="E6" i="17"/>
  <c r="D18" i="12"/>
  <c r="E18" i="12" s="1"/>
  <c r="E6" i="12"/>
  <c r="D18" i="35"/>
  <c r="E18" i="35" s="1"/>
  <c r="E6" i="35"/>
  <c r="D18" i="36"/>
  <c r="E18" i="36" s="1"/>
  <c r="E6" i="36"/>
  <c r="D18" i="24"/>
  <c r="E18" i="24" s="1"/>
  <c r="E6" i="24"/>
  <c r="D18" i="13"/>
  <c r="E18" i="13" s="1"/>
  <c r="E6" i="13"/>
  <c r="D18" i="8"/>
  <c r="E18" i="8" s="1"/>
  <c r="E6" i="8"/>
  <c r="D18" i="22"/>
  <c r="E18" i="22" s="1"/>
  <c r="E6" i="22"/>
  <c r="D18" i="11"/>
  <c r="E18" i="11" s="1"/>
  <c r="E6" i="11"/>
  <c r="D18" i="23"/>
  <c r="E18" i="23" s="1"/>
  <c r="E6" i="23"/>
  <c r="D18" i="7"/>
  <c r="E18" i="7" s="1"/>
  <c r="E6" i="7"/>
  <c r="D18" i="14"/>
  <c r="E18" i="14" s="1"/>
  <c r="E6" i="14"/>
  <c r="C52" i="4" a="1"/>
  <c r="H63" i="33" a="1"/>
  <c r="C53" i="2" a="1"/>
  <c r="H61" i="27" a="1"/>
  <c r="H58" i="3" a="1"/>
  <c r="H50" i="4" a="1"/>
  <c r="C49" i="4" a="1"/>
  <c r="H61" i="26" a="1"/>
  <c r="C50" i="4" a="1"/>
  <c r="H54" i="2" a="1"/>
  <c r="C46" i="2" a="1"/>
  <c r="C55" i="4" a="1"/>
  <c r="H62" i="21" a="1"/>
  <c r="H59" i="26" a="1"/>
  <c r="H58" i="26" a="1"/>
  <c r="H59" i="3" a="1"/>
  <c r="C3" i="21" a="1"/>
  <c r="H63" i="26" a="1"/>
  <c r="H63" i="31" a="1"/>
  <c r="H59" i="31" a="1"/>
  <c r="H63" i="19" a="1"/>
  <c r="H60" i="20" a="1"/>
  <c r="H59" i="20" a="1"/>
  <c r="H63" i="32" a="1"/>
  <c r="H60" i="21" a="1"/>
  <c r="H54" i="4" a="1"/>
  <c r="H60" i="31" a="1"/>
  <c r="C47" i="2" a="1"/>
  <c r="H49" i="2" a="1"/>
  <c r="H63" i="28" a="1"/>
  <c r="H62" i="31" a="1"/>
  <c r="H63" i="21" a="1"/>
  <c r="H47" i="2" a="1"/>
  <c r="H56" i="21" a="1"/>
  <c r="H63" i="27" a="1"/>
  <c r="H63" i="3" a="1"/>
  <c r="H62" i="28" a="1"/>
  <c r="H63" i="20" a="1"/>
  <c r="H62" i="3" a="1"/>
  <c r="H59" i="21" a="1"/>
  <c r="H58" i="19" a="1"/>
  <c r="H62" i="32" a="1"/>
  <c r="C51" i="4" a="1"/>
  <c r="C53" i="4" a="1"/>
  <c r="C51" i="2" a="1"/>
  <c r="H48" i="4" a="1"/>
  <c r="H52" i="2" a="1"/>
  <c r="H60" i="19" a="1"/>
  <c r="H59" i="28" a="1"/>
  <c r="H51" i="4" a="1"/>
  <c r="C54" i="2" a="1"/>
  <c r="H58" i="28" a="1"/>
  <c r="H62" i="26" a="1"/>
  <c r="H64" i="32" a="1"/>
  <c r="H60" i="28" a="1"/>
  <c r="H60" i="27" a="1"/>
  <c r="H60" i="26" a="1"/>
  <c r="H53" i="2" a="1"/>
  <c r="H45" i="2" a="1"/>
  <c r="C49" i="2" a="1"/>
  <c r="H59" i="33" a="1"/>
  <c r="H62" i="27" a="1"/>
  <c r="H59" i="19" a="1"/>
  <c r="C56" i="2" a="1"/>
  <c r="C50" i="2" a="1"/>
  <c r="H56" i="4" a="1"/>
  <c r="H58" i="31" a="1"/>
  <c r="C45" i="2" a="1"/>
  <c r="H49" i="4" a="1"/>
  <c r="C48" i="4" a="1"/>
  <c r="H62" i="33" a="1"/>
  <c r="C48" i="2" a="1"/>
  <c r="H58" i="32" a="1"/>
  <c r="H51" i="2" a="1"/>
  <c r="C55" i="2" a="1"/>
  <c r="C56" i="4" a="1"/>
  <c r="H59" i="32" a="1"/>
  <c r="C52" i="2" a="1"/>
  <c r="H62" i="20" a="1"/>
  <c r="H60" i="3" a="1"/>
  <c r="H60" i="33" a="1"/>
  <c r="H58" i="21" a="1"/>
  <c r="H58" i="27" a="1"/>
  <c r="H58" i="20" a="1"/>
  <c r="H62" i="19" a="1"/>
  <c r="H48" i="2" a="1"/>
  <c r="H52" i="4" a="1"/>
  <c r="H59" i="27" a="1"/>
  <c r="C54" i="4" a="1"/>
  <c r="H58" i="33" a="1"/>
  <c r="H60" i="32" a="1"/>
  <c r="D27" i="69" l="1"/>
  <c r="E27" i="69" s="1"/>
  <c r="D36" i="6"/>
  <c r="E36" i="6" s="1"/>
  <c r="E24" i="82"/>
  <c r="D36" i="23"/>
  <c r="E36" i="23" s="1"/>
  <c r="D36" i="61"/>
  <c r="E36" i="61" s="1"/>
  <c r="D36" i="14"/>
  <c r="E36" i="14" s="1"/>
  <c r="D36" i="10"/>
  <c r="E36" i="10" s="1"/>
  <c r="E24" i="75"/>
  <c r="D36" i="16"/>
  <c r="E36" i="16" s="1"/>
  <c r="D36" i="72"/>
  <c r="E36" i="72" s="1"/>
  <c r="D36" i="7"/>
  <c r="E36" i="7" s="1"/>
  <c r="E24" i="78"/>
  <c r="D36" i="48"/>
  <c r="E36" i="48" s="1"/>
  <c r="D36" i="60"/>
  <c r="E36" i="60" s="1"/>
  <c r="D36" i="45"/>
  <c r="E36" i="45" s="1"/>
  <c r="D36" i="63"/>
  <c r="E36" i="63" s="1"/>
  <c r="D36" i="36"/>
  <c r="E36" i="36" s="1"/>
  <c r="D36" i="22"/>
  <c r="E36" i="22" s="1"/>
  <c r="D36" i="35"/>
  <c r="E36" i="35" s="1"/>
  <c r="D36" i="57"/>
  <c r="E36" i="57" s="1"/>
  <c r="D36" i="38"/>
  <c r="E36" i="38" s="1"/>
  <c r="D36" i="15"/>
  <c r="E36" i="15" s="1"/>
  <c r="D36" i="37"/>
  <c r="E36" i="37" s="1"/>
  <c r="E24" i="7"/>
  <c r="D36" i="56"/>
  <c r="E36" i="56" s="1"/>
  <c r="D36" i="55"/>
  <c r="E36" i="55" s="1"/>
  <c r="D36" i="53"/>
  <c r="E36" i="53" s="1"/>
  <c r="D36" i="58"/>
  <c r="E36" i="58" s="1"/>
  <c r="D36" i="40"/>
  <c r="E36" i="40" s="1"/>
  <c r="D36" i="52"/>
  <c r="E36" i="52" s="1"/>
  <c r="D36" i="64"/>
  <c r="E36" i="64" s="1"/>
  <c r="D36" i="51"/>
  <c r="E36" i="51" s="1"/>
  <c r="D36" i="54"/>
  <c r="E36" i="54" s="1"/>
  <c r="D36" i="67"/>
  <c r="E36" i="67" s="1"/>
  <c r="D36" i="66"/>
  <c r="E36" i="66" s="1"/>
  <c r="D36" i="47"/>
  <c r="E36" i="47" s="1"/>
  <c r="D36" i="65"/>
  <c r="E36" i="65" s="1"/>
  <c r="D36" i="59"/>
  <c r="E36" i="59" s="1"/>
  <c r="D36" i="49"/>
  <c r="E36" i="49" s="1"/>
  <c r="D36" i="41"/>
  <c r="E36" i="41" s="1"/>
  <c r="D36" i="39"/>
  <c r="E36" i="39" s="1"/>
  <c r="D36" i="46"/>
  <c r="E36" i="46" s="1"/>
  <c r="D36" i="62"/>
  <c r="E36" i="62" s="1"/>
  <c r="D36" i="50"/>
  <c r="E36" i="50" s="1"/>
  <c r="D36" i="42"/>
  <c r="E36" i="42" s="1"/>
  <c r="D36" i="17"/>
  <c r="E36" i="17" s="1"/>
  <c r="D36" i="25"/>
  <c r="E36" i="25" s="1"/>
  <c r="D36" i="13"/>
  <c r="E36" i="13" s="1"/>
  <c r="D36" i="12"/>
  <c r="E36" i="12" s="1"/>
  <c r="E24" i="73"/>
  <c r="D36" i="24"/>
  <c r="E36" i="24" s="1"/>
  <c r="D36" i="8"/>
  <c r="E36" i="8" s="1"/>
  <c r="D36" i="11"/>
  <c r="E36" i="11" s="1"/>
  <c r="E27" i="11"/>
  <c r="C3" i="21"/>
  <c r="H56" i="21"/>
  <c r="H58" i="33"/>
  <c r="H58" i="19"/>
  <c r="H59" i="31"/>
  <c r="H59" i="21"/>
  <c r="H60" i="27"/>
  <c r="H62" i="27"/>
  <c r="H63" i="31"/>
  <c r="H64" i="32"/>
  <c r="H62" i="26"/>
  <c r="H63" i="28"/>
  <c r="H58" i="32"/>
  <c r="H58" i="20"/>
  <c r="H59" i="28"/>
  <c r="H59" i="3"/>
  <c r="H60" i="26"/>
  <c r="H62" i="19"/>
  <c r="H63" i="26"/>
  <c r="H63" i="27"/>
  <c r="H58" i="31"/>
  <c r="H58" i="21"/>
  <c r="H59" i="27"/>
  <c r="H60" i="33"/>
  <c r="H60" i="19"/>
  <c r="H62" i="20"/>
  <c r="H63" i="19"/>
  <c r="H63" i="20"/>
  <c r="H58" i="28"/>
  <c r="H58" i="3"/>
  <c r="H59" i="26"/>
  <c r="H60" i="32"/>
  <c r="H60" i="20"/>
  <c r="H62" i="21"/>
  <c r="H63" i="21"/>
  <c r="H58" i="27"/>
  <c r="H59" i="33"/>
  <c r="H59" i="19"/>
  <c r="H60" i="31"/>
  <c r="H60" i="21"/>
  <c r="H61" i="27"/>
  <c r="H62" i="33"/>
  <c r="H62" i="3"/>
  <c r="H62" i="32"/>
  <c r="H63" i="3"/>
  <c r="H58" i="26"/>
  <c r="H59" i="20"/>
  <c r="H60" i="28"/>
  <c r="H60" i="3"/>
  <c r="H61" i="26"/>
  <c r="H63" i="33"/>
  <c r="H59" i="32"/>
  <c r="H62" i="31"/>
  <c r="H62" i="28"/>
  <c r="H63" i="32"/>
  <c r="E24" i="76"/>
  <c r="E24" i="79"/>
  <c r="E24" i="80"/>
  <c r="E24" i="81"/>
  <c r="E24" i="74"/>
  <c r="C54" i="4"/>
  <c r="C49" i="2"/>
  <c r="H52" i="4"/>
  <c r="H54" i="2"/>
  <c r="H48" i="2"/>
  <c r="C52" i="4"/>
  <c r="C55" i="2"/>
  <c r="H51" i="4"/>
  <c r="H53" i="2"/>
  <c r="H47" i="2"/>
  <c r="C51" i="4"/>
  <c r="C54" i="2"/>
  <c r="C48" i="2"/>
  <c r="C53" i="2"/>
  <c r="C47" i="2"/>
  <c r="H56" i="4"/>
  <c r="H50" i="4"/>
  <c r="C50" i="2"/>
  <c r="H52" i="2"/>
  <c r="C50" i="4"/>
  <c r="C52" i="2"/>
  <c r="C46" i="2"/>
  <c r="H49" i="4"/>
  <c r="H51" i="2"/>
  <c r="H45" i="2"/>
  <c r="C55" i="4"/>
  <c r="C49" i="4"/>
  <c r="C56" i="4"/>
  <c r="C51" i="2"/>
  <c r="C45" i="2"/>
  <c r="H54" i="4"/>
  <c r="H48" i="4"/>
  <c r="C48" i="4"/>
  <c r="C56" i="2"/>
  <c r="H49" i="2"/>
  <c r="C53" i="4"/>
  <c r="D36" i="9"/>
  <c r="E36" i="9" s="1"/>
  <c r="D36" i="69"/>
  <c r="E36" i="69" s="1"/>
  <c r="D36" i="70"/>
  <c r="E36" i="70" s="1"/>
  <c r="D36" i="44"/>
  <c r="E36" i="44" s="1"/>
  <c r="D36" i="43"/>
  <c r="E36" i="43" s="1"/>
  <c r="E25" i="61"/>
  <c r="E28" i="61"/>
  <c r="E18" i="61"/>
  <c r="E34" i="61"/>
  <c r="E30" i="61"/>
  <c r="E32" i="61"/>
  <c r="E18" i="43"/>
  <c r="E27" i="43"/>
  <c r="E28" i="43"/>
  <c r="E31" i="43"/>
  <c r="E32" i="43"/>
  <c r="E33" i="43"/>
  <c r="E26" i="43"/>
  <c r="E28" i="72"/>
  <c r="E29" i="72"/>
  <c r="E30" i="72"/>
  <c r="E31" i="72"/>
  <c r="E32" i="72"/>
  <c r="E33" i="72"/>
  <c r="E34" i="72"/>
  <c r="E25" i="72"/>
  <c r="E35" i="72"/>
  <c r="E32" i="55"/>
  <c r="E33" i="55"/>
  <c r="E34" i="55"/>
  <c r="E25" i="55"/>
  <c r="E35" i="55"/>
  <c r="E27" i="55"/>
  <c r="E28" i="55"/>
  <c r="E29" i="55"/>
  <c r="E27" i="44"/>
  <c r="E30" i="44"/>
  <c r="E28" i="44"/>
  <c r="E35" i="44"/>
  <c r="E29" i="44"/>
  <c r="E31" i="44"/>
  <c r="E34" i="44"/>
  <c r="E32" i="44"/>
  <c r="E26" i="44"/>
  <c r="E25" i="44"/>
  <c r="E33" i="44"/>
  <c r="E31" i="66"/>
  <c r="E25" i="66"/>
  <c r="E32" i="66"/>
  <c r="E26" i="66"/>
  <c r="E33" i="66"/>
  <c r="E27" i="66"/>
  <c r="E28" i="66"/>
  <c r="E35" i="66"/>
  <c r="E29" i="66"/>
  <c r="E30" i="66"/>
  <c r="E24" i="43"/>
  <c r="E24" i="61"/>
  <c r="E24" i="69"/>
  <c r="E24" i="70"/>
  <c r="E24" i="16"/>
  <c r="E24" i="10"/>
  <c r="E24" i="9"/>
  <c r="E24" i="25"/>
  <c r="E24" i="37"/>
  <c r="E24" i="15"/>
  <c r="E24" i="17"/>
  <c r="E24" i="35"/>
  <c r="E24" i="36"/>
  <c r="E24" i="24"/>
  <c r="E24" i="13"/>
  <c r="E24" i="8"/>
  <c r="E24" i="22"/>
  <c r="E24" i="11"/>
  <c r="E24" i="23"/>
  <c r="E24" i="14"/>
  <c r="E24" i="6"/>
  <c r="H61" i="33" a="1"/>
  <c r="H64" i="27" a="1"/>
  <c r="H64" i="26" a="1"/>
  <c r="H64" i="28" a="1"/>
  <c r="H56" i="33" a="1"/>
  <c r="H53" i="4" a="1"/>
  <c r="H61" i="32" a="1"/>
  <c r="H61" i="31" a="1"/>
  <c r="H61" i="3" a="1"/>
  <c r="H61" i="19" a="1"/>
  <c r="H57" i="32" a="1"/>
  <c r="H57" i="33" a="1"/>
  <c r="H64" i="20" a="1"/>
  <c r="H56" i="32" a="1"/>
  <c r="H56" i="2" a="1"/>
  <c r="H64" i="33" a="1"/>
  <c r="H57" i="19" a="1"/>
  <c r="H61" i="28" a="1"/>
  <c r="H56" i="3" a="1"/>
  <c r="H57" i="21" a="1"/>
  <c r="H64" i="3" a="1"/>
  <c r="H56" i="31" a="1"/>
  <c r="H61" i="21" a="1"/>
  <c r="H55" i="2" a="1"/>
  <c r="H56" i="20" a="1"/>
  <c r="H56" i="19" a="1"/>
  <c r="H56" i="26" a="1"/>
  <c r="H57" i="20" a="1"/>
  <c r="H57" i="26" a="1"/>
  <c r="H55" i="4" a="1"/>
  <c r="H57" i="27" a="1"/>
  <c r="H64" i="31" a="1"/>
  <c r="H61" i="20" a="1"/>
  <c r="H64" i="21" a="1"/>
  <c r="H46" i="2" a="1"/>
  <c r="H56" i="28" a="1"/>
  <c r="H64" i="19" a="1"/>
  <c r="H13" i="21" a="1"/>
  <c r="H57" i="28" a="1"/>
  <c r="H57" i="31" a="1"/>
  <c r="H57" i="3" a="1"/>
  <c r="H56" i="27" a="1"/>
  <c r="H50" i="2" a="1"/>
  <c r="H56" i="26" l="1"/>
  <c r="H56" i="20"/>
  <c r="H56" i="27"/>
  <c r="H56" i="19"/>
  <c r="H56" i="33"/>
  <c r="H56" i="3"/>
  <c r="H56" i="28"/>
  <c r="H56" i="32"/>
  <c r="H56" i="31"/>
  <c r="H50" i="2"/>
  <c r="H55" i="2"/>
  <c r="H61" i="19"/>
  <c r="H61" i="20"/>
  <c r="H61" i="21"/>
  <c r="H61" i="33"/>
  <c r="H61" i="3"/>
  <c r="H61" i="32"/>
  <c r="H61" i="31"/>
  <c r="H61" i="28"/>
  <c r="H57" i="33"/>
  <c r="H57" i="31"/>
  <c r="H57" i="20"/>
  <c r="H57" i="3"/>
  <c r="H57" i="26"/>
  <c r="H57" i="21"/>
  <c r="H57" i="28"/>
  <c r="H57" i="32"/>
  <c r="H57" i="27"/>
  <c r="H57" i="19"/>
  <c r="H64" i="33"/>
  <c r="H64" i="19"/>
  <c r="H64" i="20"/>
  <c r="H64" i="21"/>
  <c r="H64" i="31"/>
  <c r="H64" i="27"/>
  <c r="H64" i="28"/>
  <c r="H64" i="26"/>
  <c r="H64" i="3"/>
  <c r="H46" i="2"/>
  <c r="H13" i="21"/>
  <c r="H55" i="4"/>
  <c r="H53" i="4"/>
  <c r="H56" i="2"/>
  <c r="B18" i="5"/>
  <c r="B24" i="5" s="1" a="1"/>
  <c r="B24" i="5" s="1"/>
  <c r="C18" i="5"/>
  <c r="D25" i="5" l="1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18" i="5"/>
  <c r="E18" i="5" s="1"/>
  <c r="D24" i="5" l="1"/>
  <c r="E24" i="5" s="1"/>
  <c r="C36" i="5" l="1"/>
  <c r="D36" i="5" l="1"/>
  <c r="E36" i="5" l="1"/>
  <c r="H10" i="18" l="1" a="1"/>
  <c r="H10" i="18" s="1"/>
  <c r="C10" i="30" a="1"/>
  <c r="C10" i="30" s="1"/>
  <c r="H10" i="30" a="1"/>
  <c r="H10" i="30" s="1"/>
  <c r="C10" i="29" a="1"/>
  <c r="C10" i="29" s="1"/>
  <c r="H10" i="29" a="1"/>
  <c r="H10" i="29" s="1"/>
  <c r="C10" i="18" a="1"/>
  <c r="C10" i="18" s="1"/>
  <c r="B10" i="18" l="1" a="1"/>
  <c r="B10" i="18" s="1"/>
  <c r="G10" i="18" s="1"/>
  <c r="I10" i="18" s="1"/>
  <c r="J10" i="18" s="1"/>
  <c r="B10" i="30" a="1"/>
  <c r="B10" i="30" s="1"/>
  <c r="B10" i="29" a="1"/>
  <c r="B10" i="29" s="1"/>
  <c r="D10" i="18" l="1"/>
  <c r="E10" i="18" s="1"/>
  <c r="G10" i="30"/>
  <c r="I10" i="30" s="1"/>
  <c r="J10" i="30" s="1"/>
  <c r="D10" i="30"/>
  <c r="E10" i="30" s="1"/>
  <c r="D10" i="29"/>
  <c r="E10" i="29" s="1"/>
  <c r="G10" i="29"/>
  <c r="I10" i="29" s="1"/>
  <c r="J10" i="29" s="1"/>
  <c r="H42" i="19" a="1"/>
  <c r="H23" i="32" a="1"/>
  <c r="C25" i="31" a="1"/>
  <c r="C40" i="31" a="1"/>
  <c r="H20" i="21" a="1"/>
  <c r="C35" i="2" a="1"/>
  <c r="C23" i="4" a="1"/>
  <c r="H18" i="21" a="1"/>
  <c r="C18" i="20" a="1"/>
  <c r="C4" i="4" a="1"/>
  <c r="H49" i="20" a="1"/>
  <c r="H31" i="33" a="1"/>
  <c r="C28" i="32" a="1"/>
  <c r="H21" i="32" a="1"/>
  <c r="C8" i="28" a="1"/>
  <c r="C16" i="4" a="1"/>
  <c r="C18" i="33" a="1"/>
  <c r="H25" i="33" a="1"/>
  <c r="C9" i="19" a="1"/>
  <c r="C50" i="3" a="1"/>
  <c r="C6" i="3" a="1"/>
  <c r="H21" i="2" a="1"/>
  <c r="C7" i="33" a="1"/>
  <c r="C11" i="20" a="1"/>
  <c r="C39" i="31" a="1"/>
  <c r="H38" i="27" a="1"/>
  <c r="C60" i="4" a="1"/>
  <c r="C52" i="19" a="1"/>
  <c r="H11" i="2" a="1"/>
  <c r="C10" i="33" a="1"/>
  <c r="C4" i="2" a="1"/>
  <c r="C9" i="27" a="1"/>
  <c r="H6" i="27" a="1"/>
  <c r="H50" i="26" a="1"/>
  <c r="C24" i="33" a="1"/>
  <c r="C5" i="26" a="1"/>
  <c r="C45" i="19" a="1"/>
  <c r="C15" i="2" a="1"/>
  <c r="C5" i="27" a="1"/>
  <c r="C27" i="27" a="1"/>
  <c r="C11" i="27" a="1"/>
  <c r="C17" i="26" a="1"/>
  <c r="H47" i="32" a="1"/>
  <c r="C15" i="21" a="1"/>
  <c r="C49" i="27" a="1"/>
  <c r="C40" i="32" a="1"/>
  <c r="C33" i="2" a="1"/>
  <c r="H52" i="20" a="1"/>
  <c r="C9" i="32" a="1"/>
  <c r="H42" i="32" a="1"/>
  <c r="C3" i="33" a="1"/>
  <c r="H10" i="21" a="1"/>
  <c r="C22" i="21" a="1"/>
  <c r="H19" i="19" a="1"/>
  <c r="C50" i="19" a="1"/>
  <c r="C26" i="3" a="1"/>
  <c r="H17" i="31" a="1"/>
  <c r="C29" i="20" a="1"/>
  <c r="H18" i="31" a="1"/>
  <c r="C53" i="32" a="1"/>
  <c r="C24" i="20" a="1"/>
  <c r="H7" i="20" a="1"/>
  <c r="H25" i="27" a="1"/>
  <c r="C55" i="26" a="1"/>
  <c r="C21" i="19" a="1"/>
  <c r="H14" i="3" a="1"/>
  <c r="C9" i="4" a="1"/>
  <c r="H28" i="20" a="1"/>
  <c r="H10" i="3" a="1"/>
  <c r="C58" i="2" a="1"/>
  <c r="C15" i="19" a="1"/>
  <c r="H11" i="31" a="1"/>
  <c r="H43" i="31" a="1"/>
  <c r="C18" i="26" a="1"/>
  <c r="H44" i="20" a="1"/>
  <c r="H47" i="4" a="1"/>
  <c r="C34" i="27" a="1"/>
  <c r="C25" i="4" a="1"/>
  <c r="H29" i="21" a="1"/>
  <c r="C4" i="20" a="1"/>
  <c r="H18" i="4" a="1"/>
  <c r="C28" i="31" a="1"/>
  <c r="C37" i="28" a="1"/>
  <c r="H32" i="3" a="1"/>
  <c r="C34" i="21" a="1"/>
  <c r="C6" i="19" a="1"/>
  <c r="C15" i="20" a="1"/>
  <c r="C32" i="28" a="1"/>
  <c r="H7" i="27" a="1"/>
  <c r="C18" i="32" a="1"/>
  <c r="C55" i="31" a="1"/>
  <c r="C47" i="21" a="1"/>
  <c r="C23" i="19" a="1"/>
  <c r="C31" i="31" a="1"/>
  <c r="C59" i="4" a="1"/>
  <c r="H10" i="19" a="1"/>
  <c r="H10" i="27" a="1"/>
  <c r="C47" i="28" a="1"/>
  <c r="H15" i="21" a="1"/>
  <c r="C34" i="31" a="1"/>
  <c r="C9" i="31" a="1"/>
  <c r="H4" i="33" a="1"/>
  <c r="C41" i="20" a="1"/>
  <c r="C30" i="27" a="1"/>
  <c r="H55" i="31" a="1"/>
  <c r="H19" i="31" a="1"/>
  <c r="H3" i="28" a="1"/>
  <c r="H8" i="4" a="1"/>
  <c r="C61" i="2" a="1"/>
  <c r="H55" i="27" a="1"/>
  <c r="C16" i="2" a="1"/>
  <c r="C54" i="26" a="1"/>
  <c r="C23" i="21" a="1"/>
  <c r="C54" i="20" a="1"/>
  <c r="H64" i="2" a="1"/>
  <c r="H4" i="3" a="1"/>
  <c r="C3" i="31" a="1"/>
  <c r="C41" i="28" a="1"/>
  <c r="H28" i="4" a="1"/>
  <c r="C55" i="28" a="1"/>
  <c r="H24" i="21" a="1"/>
  <c r="H25" i="2" a="1"/>
  <c r="H26" i="31" a="1"/>
  <c r="H21" i="26" a="1"/>
  <c r="C18" i="4" a="1"/>
  <c r="C14" i="21" a="1"/>
  <c r="C23" i="31" a="1"/>
  <c r="C6" i="4" a="1"/>
  <c r="C8" i="3" a="1"/>
  <c r="H8" i="31" a="1"/>
  <c r="H54" i="31" a="1"/>
  <c r="H14" i="26" a="1"/>
  <c r="H48" i="20" a="1"/>
  <c r="H45" i="28" a="1"/>
  <c r="H30" i="28" a="1"/>
  <c r="C7" i="3" a="1"/>
  <c r="C5" i="28" a="1"/>
  <c r="C53" i="20" a="1"/>
  <c r="C7" i="20" a="1"/>
  <c r="H63" i="4" a="1"/>
  <c r="H45" i="33" a="1"/>
  <c r="C41" i="19" a="1"/>
  <c r="H40" i="20" a="1"/>
  <c r="H55" i="21" a="1"/>
  <c r="H58" i="2" a="1"/>
  <c r="C34" i="19" a="1"/>
  <c r="H29" i="4" a="1"/>
  <c r="C45" i="27" a="1"/>
  <c r="C47" i="4" a="1"/>
  <c r="H24" i="31" a="1"/>
  <c r="H26" i="32" a="1"/>
  <c r="H22" i="3" a="1"/>
  <c r="H38" i="4" a="1"/>
  <c r="C26" i="21" a="1"/>
  <c r="C31" i="27" a="1"/>
  <c r="C46" i="19" a="1"/>
  <c r="C12" i="20" a="1"/>
  <c r="C44" i="21" a="1"/>
  <c r="H31" i="21" a="1"/>
  <c r="C27" i="32" a="1"/>
  <c r="C25" i="3" a="1"/>
  <c r="H27" i="26" a="1"/>
  <c r="H16" i="28" a="1"/>
  <c r="C48" i="31" a="1"/>
  <c r="C50" i="28" a="1"/>
  <c r="H44" i="33" a="1"/>
  <c r="C15" i="3" a="1"/>
  <c r="H42" i="33" a="1"/>
  <c r="H17" i="33" a="1"/>
  <c r="H40" i="19" a="1"/>
  <c r="H25" i="21" a="1"/>
  <c r="C38" i="27" a="1"/>
  <c r="C47" i="20" a="1"/>
  <c r="H37" i="2" a="1"/>
  <c r="C8" i="19" a="1"/>
  <c r="H40" i="4" a="1"/>
  <c r="H11" i="4" a="1"/>
  <c r="H19" i="20" a="1"/>
  <c r="H19" i="21" a="1"/>
  <c r="H41" i="20" a="1"/>
  <c r="H22" i="20" a="1"/>
  <c r="C63" i="4" a="1"/>
  <c r="H11" i="3" a="1"/>
  <c r="H20" i="3" a="1"/>
  <c r="H43" i="20" a="1"/>
  <c r="H30" i="4" a="1"/>
  <c r="C30" i="19" a="1"/>
  <c r="H57" i="2" a="1"/>
  <c r="H39" i="4" a="1"/>
  <c r="C38" i="33" a="1"/>
  <c r="H14" i="4" a="1"/>
  <c r="C5" i="19" a="1"/>
  <c r="C42" i="33" a="1"/>
  <c r="C29" i="2" a="1"/>
  <c r="H24" i="4" a="1"/>
  <c r="C18" i="28" a="1"/>
  <c r="C40" i="4" a="1"/>
  <c r="C49" i="21" a="1"/>
  <c r="C3" i="4" a="1"/>
  <c r="C13" i="2" a="1"/>
  <c r="C44" i="28" a="1"/>
  <c r="C42" i="21" a="1"/>
  <c r="C7" i="4" a="1"/>
  <c r="C47" i="32" a="1"/>
  <c r="C6" i="33" a="1"/>
  <c r="C11" i="21" a="1"/>
  <c r="C15" i="4" a="1"/>
  <c r="H46" i="4" a="1"/>
  <c r="H31" i="19" a="1"/>
  <c r="H59" i="2" a="1"/>
  <c r="C20" i="32" a="1"/>
  <c r="H11" i="20" a="1"/>
  <c r="C45" i="33" a="1"/>
  <c r="H28" i="27" a="1"/>
  <c r="H6" i="32" a="1"/>
  <c r="C38" i="28" a="1"/>
  <c r="H16" i="32" a="1"/>
  <c r="C28" i="27" a="1"/>
  <c r="H38" i="21" a="1"/>
  <c r="H34" i="4" a="1"/>
  <c r="H27" i="3" a="1"/>
  <c r="C21" i="26" a="1"/>
  <c r="H31" i="32" a="1"/>
  <c r="H25" i="19" a="1"/>
  <c r="H48" i="28" a="1"/>
  <c r="C53" i="21" a="1"/>
  <c r="C33" i="28" a="1"/>
  <c r="C21" i="33" a="1"/>
  <c r="C17" i="19" a="1"/>
  <c r="H15" i="31" a="1"/>
  <c r="H50" i="19" a="1"/>
  <c r="H23" i="26" a="1"/>
  <c r="C30" i="31" a="1"/>
  <c r="C26" i="2" a="1"/>
  <c r="C46" i="26" a="1"/>
  <c r="H49" i="3" a="1"/>
  <c r="C41" i="31" a="1"/>
  <c r="H8" i="33" a="1"/>
  <c r="H34" i="31" a="1"/>
  <c r="H34" i="32" a="1"/>
  <c r="H18" i="19" a="1"/>
  <c r="H42" i="28" a="1"/>
  <c r="C35" i="31" a="1"/>
  <c r="C31" i="3" a="1"/>
  <c r="C45" i="26" a="1"/>
  <c r="H26" i="33" a="1"/>
  <c r="H36" i="32" a="1"/>
  <c r="H7" i="33" a="1"/>
  <c r="H16" i="20" a="1"/>
  <c r="H32" i="33" a="1"/>
  <c r="H50" i="20" a="1"/>
  <c r="C36" i="26" a="1"/>
  <c r="C17" i="3" a="1"/>
  <c r="H8" i="20" a="1"/>
  <c r="C54" i="19" a="1"/>
  <c r="C23" i="3" a="1"/>
  <c r="C20" i="19" a="1"/>
  <c r="H12" i="27" a="1"/>
  <c r="H36" i="33" a="1"/>
  <c r="H19" i="33" a="1"/>
  <c r="H23" i="27" a="1"/>
  <c r="C54" i="33" a="1"/>
  <c r="C38" i="19" a="1"/>
  <c r="C22" i="28" a="1"/>
  <c r="C14" i="28" a="1"/>
  <c r="C31" i="2" a="1"/>
  <c r="H51" i="27" a="1"/>
  <c r="H24" i="32" a="1"/>
  <c r="C13" i="21" a="1"/>
  <c r="C14" i="3" a="1"/>
  <c r="H54" i="28" a="1"/>
  <c r="H11" i="19" a="1"/>
  <c r="H33" i="31" a="1"/>
  <c r="C40" i="3" a="1"/>
  <c r="C52" i="31" a="1"/>
  <c r="C44" i="32" a="1"/>
  <c r="C11" i="3" a="1"/>
  <c r="C12" i="33" a="1"/>
  <c r="C30" i="28" a="1"/>
  <c r="C43" i="28" a="1"/>
  <c r="C40" i="2" a="1"/>
  <c r="H54" i="21" a="1"/>
  <c r="H32" i="19" a="1"/>
  <c r="C16" i="32" a="1"/>
  <c r="H10" i="33" a="1"/>
  <c r="C32" i="32" a="1"/>
  <c r="H29" i="32" a="1"/>
  <c r="H40" i="31" a="1"/>
  <c r="H14" i="20" a="1"/>
  <c r="C29" i="33" a="1"/>
  <c r="C22" i="20" a="1"/>
  <c r="C37" i="21" a="1"/>
  <c r="C29" i="21" a="1"/>
  <c r="H31" i="20" a="1"/>
  <c r="C44" i="20" a="1"/>
  <c r="C45" i="21" a="1"/>
  <c r="H29" i="2" a="1"/>
  <c r="C11" i="31" a="1"/>
  <c r="H31" i="3" a="1"/>
  <c r="H22" i="2" a="1"/>
  <c r="H37" i="3" a="1"/>
  <c r="H27" i="4" a="1"/>
  <c r="C6" i="27" a="1"/>
  <c r="H11" i="28" a="1"/>
  <c r="C40" i="20" a="1"/>
  <c r="H19" i="4" a="1"/>
  <c r="H30" i="27" a="1"/>
  <c r="H21" i="20" a="1"/>
  <c r="C49" i="28" a="1"/>
  <c r="H30" i="33" a="1"/>
  <c r="H10" i="31" a="1"/>
  <c r="H42" i="2" a="1"/>
  <c r="C40" i="21" a="1"/>
  <c r="H41" i="31" a="1"/>
  <c r="C20" i="31" a="1"/>
  <c r="H36" i="31" a="1"/>
  <c r="H8" i="2" a="1"/>
  <c r="H41" i="32" a="1"/>
  <c r="H5" i="20" a="1"/>
  <c r="C34" i="26" a="1"/>
  <c r="H43" i="2" a="1"/>
  <c r="H7" i="4" a="1"/>
  <c r="H49" i="28" a="1"/>
  <c r="H10" i="4" a="1"/>
  <c r="H63" i="2" a="1"/>
  <c r="C5" i="31" a="1"/>
  <c r="C32" i="19" a="1"/>
  <c r="C41" i="27" a="1"/>
  <c r="C38" i="26" a="1"/>
  <c r="H8" i="21" a="1"/>
  <c r="C22" i="19" a="1"/>
  <c r="C55" i="21" a="1"/>
  <c r="H9" i="31" a="1"/>
  <c r="H36" i="20" a="1"/>
  <c r="C30" i="20" a="1"/>
  <c r="C50" i="21" a="1"/>
  <c r="H21" i="33" a="1"/>
  <c r="C20" i="27" a="1"/>
  <c r="C32" i="33" a="1"/>
  <c r="H32" i="28" a="1"/>
  <c r="H43" i="19" a="1"/>
  <c r="C38" i="31" a="1"/>
  <c r="C29" i="3" a="1"/>
  <c r="H44" i="21" a="1"/>
  <c r="C15" i="28" a="1"/>
  <c r="C46" i="33" a="1"/>
  <c r="H49" i="33" a="1"/>
  <c r="H24" i="33" a="1"/>
  <c r="C21" i="20" a="1"/>
  <c r="H39" i="3" a="1"/>
  <c r="H38" i="28" a="1"/>
  <c r="C36" i="27" a="1"/>
  <c r="H35" i="28" a="1"/>
  <c r="C49" i="19" a="1"/>
  <c r="H16" i="27" a="1"/>
  <c r="H22" i="31" a="1"/>
  <c r="H35" i="19" a="1"/>
  <c r="H46" i="27" a="1"/>
  <c r="C26" i="26" a="1"/>
  <c r="C43" i="26" a="1"/>
  <c r="C13" i="32" a="1"/>
  <c r="C41" i="3" a="1"/>
  <c r="C61" i="4" a="1"/>
  <c r="H25" i="26" a="1"/>
  <c r="C31" i="26" a="1"/>
  <c r="C30" i="26" a="1"/>
  <c r="C40" i="33" a="1"/>
  <c r="H24" i="27" a="1"/>
  <c r="H17" i="27" a="1"/>
  <c r="C6" i="31" a="1"/>
  <c r="C17" i="31" a="1"/>
  <c r="C3" i="26" a="1"/>
  <c r="C59" i="2" a="1"/>
  <c r="H42" i="31" a="1"/>
  <c r="H28" i="19" a="1"/>
  <c r="H14" i="21" a="1"/>
  <c r="C20" i="21" a="1"/>
  <c r="C8" i="26" a="1"/>
  <c r="H9" i="26" a="1"/>
  <c r="C37" i="20" a="1"/>
  <c r="C57" i="4" a="1"/>
  <c r="H9" i="33" a="1"/>
  <c r="H51" i="32" a="1"/>
  <c r="H51" i="31" a="1"/>
  <c r="H36" i="28" a="1"/>
  <c r="C22" i="32" a="1"/>
  <c r="C6" i="2" a="1"/>
  <c r="H40" i="32" a="1"/>
  <c r="C4" i="19" a="1"/>
  <c r="C16" i="31" a="1"/>
  <c r="C6" i="20" a="1"/>
  <c r="H7" i="3" a="1"/>
  <c r="C13" i="20" a="1"/>
  <c r="H60" i="2" a="1"/>
  <c r="C19" i="33" a="1"/>
  <c r="C25" i="20" a="1"/>
  <c r="C28" i="26" a="1"/>
  <c r="C20" i="3" a="1"/>
  <c r="C10" i="28" a="1"/>
  <c r="C35" i="32" a="1"/>
  <c r="H37" i="26" a="1"/>
  <c r="H15" i="28" a="1"/>
  <c r="C31" i="21" a="1"/>
  <c r="H37" i="32" a="1"/>
  <c r="C35" i="20" a="1"/>
  <c r="C33" i="20" a="1"/>
  <c r="C44" i="4" a="1"/>
  <c r="C13" i="27" a="1"/>
  <c r="C53" i="28" a="1"/>
  <c r="C20" i="26" a="1"/>
  <c r="H11" i="26" a="1"/>
  <c r="C5" i="20" a="1"/>
  <c r="H26" i="26" a="1"/>
  <c r="H62" i="2" a="1"/>
  <c r="H35" i="21" a="1"/>
  <c r="H4" i="21" a="1"/>
  <c r="H38" i="32" a="1"/>
  <c r="H48" i="26" a="1"/>
  <c r="C9" i="3" a="1"/>
  <c r="C28" i="33" a="1"/>
  <c r="C53" i="31" a="1"/>
  <c r="C46" i="3" a="1"/>
  <c r="C52" i="27" a="1"/>
  <c r="H32" i="26" a="1"/>
  <c r="H13" i="2" a="1"/>
  <c r="H37" i="21" a="1"/>
  <c r="H51" i="33" a="1"/>
  <c r="C44" i="27" a="1"/>
  <c r="H11" i="32" a="1"/>
  <c r="H22" i="19" a="1"/>
  <c r="C45" i="3" a="1"/>
  <c r="C54" i="21" a="1"/>
  <c r="H51" i="26" a="1"/>
  <c r="C18" i="3" a="1"/>
  <c r="C32" i="2" a="1"/>
  <c r="C37" i="19" a="1"/>
  <c r="H9" i="19" a="1"/>
  <c r="H39" i="19" a="1"/>
  <c r="H39" i="28" a="1"/>
  <c r="C25" i="27" a="1"/>
  <c r="H62" i="4" a="1"/>
  <c r="C16" i="21" a="1"/>
  <c r="H16" i="26" a="1"/>
  <c r="C34" i="32" a="1"/>
  <c r="C12" i="4" a="1"/>
  <c r="C37" i="33" a="1"/>
  <c r="C36" i="32" a="1"/>
  <c r="C39" i="19" a="1"/>
  <c r="C17" i="33" a="1"/>
  <c r="C45" i="32" a="1"/>
  <c r="H17" i="26" a="1"/>
  <c r="C52" i="28" a="1"/>
  <c r="C14" i="2" a="1"/>
  <c r="C28" i="20" a="1"/>
  <c r="C15" i="33" a="1"/>
  <c r="H14" i="32" a="1"/>
  <c r="C30" i="21" a="1"/>
  <c r="H58" i="4" a="1"/>
  <c r="C4" i="28" a="1"/>
  <c r="C36" i="20" a="1"/>
  <c r="C38" i="21" a="1"/>
  <c r="C43" i="27" a="1"/>
  <c r="H18" i="28" a="1"/>
  <c r="C7" i="19" a="1"/>
  <c r="C40" i="27" a="1"/>
  <c r="H49" i="26" a="1"/>
  <c r="H20" i="31" a="1"/>
  <c r="C24" i="31" a="1"/>
  <c r="C24" i="27" a="1"/>
  <c r="C13" i="19" a="1"/>
  <c r="C19" i="26" a="1"/>
  <c r="H53" i="19" a="1"/>
  <c r="C47" i="31" a="1"/>
  <c r="C23" i="33" a="1"/>
  <c r="H52" i="21" a="1"/>
  <c r="H18" i="2" a="1"/>
  <c r="C12" i="21" a="1"/>
  <c r="H14" i="2" a="1"/>
  <c r="C35" i="21" a="1"/>
  <c r="C49" i="33" a="1"/>
  <c r="H44" i="4" a="1"/>
  <c r="H12" i="21" a="1"/>
  <c r="C27" i="31" a="1"/>
  <c r="C8" i="32" a="1"/>
  <c r="C35" i="27" a="1"/>
  <c r="C11" i="33" a="1"/>
  <c r="H42" i="20" a="1"/>
  <c r="H28" i="3" a="1"/>
  <c r="H46" i="31" a="1"/>
  <c r="C16" i="28" a="1"/>
  <c r="C44" i="33" a="1"/>
  <c r="C30" i="2" a="1"/>
  <c r="H48" i="33" a="1"/>
  <c r="C55" i="3" a="1"/>
  <c r="H21" i="3" a="1"/>
  <c r="H31" i="4" a="1"/>
  <c r="H25" i="28" a="1"/>
  <c r="C4" i="32" a="1"/>
  <c r="C15" i="26" a="1"/>
  <c r="C15" i="27" a="1"/>
  <c r="C51" i="28" a="1"/>
  <c r="C21" i="32" a="1"/>
  <c r="C44" i="3" a="1"/>
  <c r="H38" i="20" a="1"/>
  <c r="H21" i="31" a="1"/>
  <c r="H48" i="27" a="1"/>
  <c r="H28" i="21" a="1"/>
  <c r="H5" i="26" a="1"/>
  <c r="H13" i="27" a="1"/>
  <c r="H26" i="2" a="1"/>
  <c r="H28" i="2" a="1"/>
  <c r="C8" i="27" a="1"/>
  <c r="C51" i="27" a="1"/>
  <c r="C14" i="20" a="1"/>
  <c r="C51" i="31" a="1"/>
  <c r="C10" i="3" a="1"/>
  <c r="H18" i="3" a="1"/>
  <c r="C36" i="3" a="1"/>
  <c r="C9" i="2" a="1"/>
  <c r="C17" i="32" a="1"/>
  <c r="C10" i="26" a="1"/>
  <c r="C45" i="4" a="1"/>
  <c r="C53" i="19" a="1"/>
  <c r="C20" i="28" a="1"/>
  <c r="C22" i="31" a="1"/>
  <c r="H12" i="31" a="1"/>
  <c r="H35" i="32" a="1"/>
  <c r="C26" i="33" a="1"/>
  <c r="C30" i="4" a="1"/>
  <c r="H12" i="4" a="1"/>
  <c r="C7" i="27" a="1"/>
  <c r="H53" i="32" a="1"/>
  <c r="C37" i="3" a="1"/>
  <c r="H27" i="21" a="1"/>
  <c r="H22" i="26" a="1"/>
  <c r="C23" i="2" a="1"/>
  <c r="C27" i="33" a="1"/>
  <c r="C39" i="20" a="1"/>
  <c r="C44" i="31" a="1"/>
  <c r="H27" i="2" a="1"/>
  <c r="H36" i="3" a="1"/>
  <c r="C47" i="27" a="1"/>
  <c r="H43" i="28" a="1"/>
  <c r="C4" i="26" a="1"/>
  <c r="C21" i="4" a="1"/>
  <c r="C32" i="20" a="1"/>
  <c r="C12" i="27" a="1"/>
  <c r="H52" i="33" a="1"/>
  <c r="H49" i="27" a="1"/>
  <c r="C16" i="3" a="1"/>
  <c r="H23" i="3" a="1"/>
  <c r="H14" i="33" a="1"/>
  <c r="H51" i="20" a="1"/>
  <c r="H45" i="26" a="1"/>
  <c r="C46" i="20" a="1"/>
  <c r="H16" i="4" a="1"/>
  <c r="C45" i="31" a="1"/>
  <c r="C48" i="33" a="1"/>
  <c r="H28" i="28" a="1"/>
  <c r="H55" i="19" a="1"/>
  <c r="H13" i="4" a="1"/>
  <c r="C43" i="2" a="1"/>
  <c r="C27" i="21" a="1"/>
  <c r="C52" i="32" a="1"/>
  <c r="H19" i="2" a="1"/>
  <c r="H13" i="20" a="1"/>
  <c r="H7" i="2" a="1"/>
  <c r="H50" i="21" a="1"/>
  <c r="H18" i="20" a="1"/>
  <c r="H23" i="21" a="1"/>
  <c r="H55" i="33" a="1"/>
  <c r="H15" i="2" a="1"/>
  <c r="C33" i="3" a="1"/>
  <c r="H39" i="20" a="1"/>
  <c r="H3" i="3" a="1"/>
  <c r="H14" i="27" a="1"/>
  <c r="H3" i="21" a="1"/>
  <c r="H40" i="2" a="1"/>
  <c r="C40" i="19" a="1"/>
  <c r="C29" i="27" a="1"/>
  <c r="C16" i="20" a="1"/>
  <c r="H44" i="28" a="1"/>
  <c r="C42" i="26" a="1"/>
  <c r="H30" i="32" a="1"/>
  <c r="C17" i="27" a="1"/>
  <c r="H32" i="4" a="1"/>
  <c r="H57" i="4" a="1"/>
  <c r="H34" i="3" a="1"/>
  <c r="H37" i="27" a="1"/>
  <c r="H47" i="26" a="1"/>
  <c r="H50" i="33" a="1"/>
  <c r="C8" i="4" a="1"/>
  <c r="C24" i="4" a="1"/>
  <c r="C17" i="4" a="1"/>
  <c r="C51" i="33" a="1"/>
  <c r="C24" i="21" a="1"/>
  <c r="C64" i="2" a="1"/>
  <c r="H44" i="3" a="1"/>
  <c r="C34" i="33" a="1"/>
  <c r="H20" i="33" a="1"/>
  <c r="H47" i="20" a="1"/>
  <c r="H28" i="32" a="1"/>
  <c r="C12" i="31" a="1"/>
  <c r="C14" i="26" a="1"/>
  <c r="C32" i="26" a="1"/>
  <c r="C54" i="31" a="1"/>
  <c r="H3" i="2" a="1"/>
  <c r="C12" i="32" a="1"/>
  <c r="C7" i="26" a="1"/>
  <c r="H6" i="2" a="1"/>
  <c r="C51" i="3" a="1"/>
  <c r="H6" i="21" a="1"/>
  <c r="H52" i="19" a="1"/>
  <c r="C44" i="19" a="1"/>
  <c r="C55" i="20" a="1"/>
  <c r="C55" i="19" a="1"/>
  <c r="H22" i="33" a="1"/>
  <c r="H23" i="19" a="1"/>
  <c r="H24" i="19" a="1"/>
  <c r="H51" i="19" a="1"/>
  <c r="C22" i="2" a="1"/>
  <c r="H47" i="27" a="1"/>
  <c r="C29" i="26" a="1"/>
  <c r="C29" i="31" a="1"/>
  <c r="C46" i="31" a="1"/>
  <c r="H51" i="28" a="1"/>
  <c r="H15" i="26" a="1"/>
  <c r="H40" i="28" a="1"/>
  <c r="H7" i="28" a="1"/>
  <c r="H44" i="31" a="1"/>
  <c r="C8" i="21" a="1"/>
  <c r="H8" i="19" a="1"/>
  <c r="C28" i="19" a="1"/>
  <c r="C32" i="21" a="1"/>
  <c r="H31" i="26" a="1"/>
  <c r="C45" i="20" a="1"/>
  <c r="H7" i="32" a="1"/>
  <c r="C9" i="28" a="1"/>
  <c r="C50" i="20" a="1"/>
  <c r="H20" i="2" a="1"/>
  <c r="H5" i="3" a="1"/>
  <c r="C37" i="32" a="1"/>
  <c r="C57" i="2" a="1"/>
  <c r="H53" i="21" a="1"/>
  <c r="H45" i="20" a="1"/>
  <c r="H40" i="3" a="1"/>
  <c r="C4" i="21" a="1"/>
  <c r="C39" i="33" a="1"/>
  <c r="C12" i="19" a="1"/>
  <c r="H37" i="28" a="1"/>
  <c r="H17" i="28" a="1"/>
  <c r="C18" i="2" a="1"/>
  <c r="C3" i="19" a="1"/>
  <c r="C3" i="27" a="1"/>
  <c r="C14" i="31" a="1"/>
  <c r="H43" i="32" a="1"/>
  <c r="H46" i="3" a="1"/>
  <c r="H21" i="28" a="1"/>
  <c r="C12" i="26" a="1"/>
  <c r="H41" i="21" a="1"/>
  <c r="H48" i="31" a="1"/>
  <c r="H24" i="3" a="1"/>
  <c r="H46" i="19" a="1"/>
  <c r="H36" i="26" a="1"/>
  <c r="H27" i="32" a="1"/>
  <c r="H27" i="27" a="1"/>
  <c r="H26" i="19" a="1"/>
  <c r="H36" i="4" a="1"/>
  <c r="H40" i="33" a="1"/>
  <c r="C48" i="20" a="1"/>
  <c r="H44" i="26" a="1"/>
  <c r="C63" i="2" a="1"/>
  <c r="H52" i="26" a="1"/>
  <c r="H38" i="3" a="1"/>
  <c r="H37" i="19" a="1"/>
  <c r="C11" i="26" a="1"/>
  <c r="C34" i="3" a="1"/>
  <c r="H45" i="27" a="1"/>
  <c r="H34" i="27" a="1"/>
  <c r="C43" i="19" a="1"/>
  <c r="H16" i="31" a="1"/>
  <c r="C64" i="4" a="1"/>
  <c r="H36" i="27" a="1"/>
  <c r="C38" i="2" a="1"/>
  <c r="C7" i="31" a="1"/>
  <c r="C28" i="4" a="1"/>
  <c r="H59" i="4" a="1"/>
  <c r="H41" i="3" a="1"/>
  <c r="H12" i="2" a="1"/>
  <c r="H24" i="2" a="1"/>
  <c r="H50" i="31" a="1"/>
  <c r="H38" i="19" a="1"/>
  <c r="H29" i="19" a="1"/>
  <c r="H5" i="19" a="1"/>
  <c r="C43" i="31" a="1"/>
  <c r="H36" i="2" a="1"/>
  <c r="C16" i="19" a="1"/>
  <c r="H12" i="28" a="1"/>
  <c r="H3" i="19" a="1"/>
  <c r="C27" i="26" a="1"/>
  <c r="C35" i="28" a="1"/>
  <c r="C30" i="3" a="1"/>
  <c r="H35" i="2" a="1"/>
  <c r="C54" i="32" a="1"/>
  <c r="C13" i="31" a="1"/>
  <c r="C16" i="27" a="1"/>
  <c r="C8" i="33" a="1"/>
  <c r="C29" i="32" a="1"/>
  <c r="C4" i="31" a="1"/>
  <c r="C7" i="21" a="1"/>
  <c r="C19" i="31" a="1"/>
  <c r="H10" i="32" a="1"/>
  <c r="C36" i="19" a="1"/>
  <c r="C49" i="3" a="1"/>
  <c r="C50" i="32" a="1"/>
  <c r="C48" i="19" a="1"/>
  <c r="C19" i="19" a="1"/>
  <c r="C13" i="33" a="1"/>
  <c r="H53" i="31" a="1"/>
  <c r="H12" i="33" a="1"/>
  <c r="H6" i="19" a="1"/>
  <c r="C14" i="4" a="1"/>
  <c r="C23" i="20" a="1"/>
  <c r="H8" i="28" a="1"/>
  <c r="C49" i="32" a="1"/>
  <c r="C28" i="3" a="1"/>
  <c r="C26" i="31" a="1"/>
  <c r="C26" i="4" a="1"/>
  <c r="C38" i="32" a="1"/>
  <c r="H32" i="2" a="1"/>
  <c r="H20" i="32" a="1"/>
  <c r="H20" i="28" a="1"/>
  <c r="H26" i="3" a="1"/>
  <c r="H33" i="19" a="1"/>
  <c r="H23" i="4" a="1"/>
  <c r="C31" i="4" a="1"/>
  <c r="H52" i="28" a="1"/>
  <c r="H39" i="26" a="1"/>
  <c r="H5" i="2" a="1"/>
  <c r="C36" i="21" a="1"/>
  <c r="C12" i="2" a="1"/>
  <c r="C6" i="26" a="1"/>
  <c r="C31" i="19" a="1"/>
  <c r="C26" i="19" a="1"/>
  <c r="C25" i="33" a="1"/>
  <c r="H15" i="27" a="1"/>
  <c r="C38" i="3" a="1"/>
  <c r="H31" i="2" a="1"/>
  <c r="C29" i="19" a="1"/>
  <c r="H24" i="20" a="1"/>
  <c r="C31" i="20" a="1"/>
  <c r="C8" i="20" a="1"/>
  <c r="H19" i="3" a="1"/>
  <c r="C30" i="33" a="1"/>
  <c r="H9" i="3" a="1"/>
  <c r="H3" i="26" a="1"/>
  <c r="H25" i="32" a="1"/>
  <c r="C17" i="28" a="1"/>
  <c r="H12" i="32" a="1"/>
  <c r="C41" i="21" a="1"/>
  <c r="C32" i="27" a="1"/>
  <c r="H24" i="26" a="1"/>
  <c r="C42" i="28" a="1"/>
  <c r="H54" i="33" a="1"/>
  <c r="H35" i="33" a="1"/>
  <c r="H37" i="31" a="1"/>
  <c r="C47" i="3" a="1"/>
  <c r="C12" i="3" a="1"/>
  <c r="C48" i="3" a="1"/>
  <c r="C11" i="28" a="1"/>
  <c r="H11" i="21" a="1"/>
  <c r="C43" i="33" a="1"/>
  <c r="H34" i="28" a="1"/>
  <c r="H14" i="19" a="1"/>
  <c r="C18" i="31" a="1"/>
  <c r="C35" i="33" a="1"/>
  <c r="C13" i="4" a="1"/>
  <c r="C31" i="32" a="1"/>
  <c r="H13" i="31" a="1"/>
  <c r="C44" i="2" a="1"/>
  <c r="C51" i="26" a="1"/>
  <c r="H23" i="2" a="1"/>
  <c r="C20" i="20" a="1"/>
  <c r="C10" i="4" a="1"/>
  <c r="C45" i="28" a="1"/>
  <c r="H30" i="26" a="1"/>
  <c r="H50" i="32" a="1"/>
  <c r="C3" i="32" a="1"/>
  <c r="C26" i="28" a="1"/>
  <c r="H60" i="4" a="1"/>
  <c r="H20" i="27" a="1"/>
  <c r="C11" i="32" a="1"/>
  <c r="H18" i="33" a="1"/>
  <c r="H30" i="3" a="1"/>
  <c r="H33" i="27" a="1"/>
  <c r="C37" i="26" a="1"/>
  <c r="C4" i="27" a="1"/>
  <c r="H17" i="32" a="1"/>
  <c r="C34" i="20" a="1"/>
  <c r="H44" i="27" a="1"/>
  <c r="H32" i="27" a="1"/>
  <c r="H42" i="3" a="1"/>
  <c r="C16" i="26" a="1"/>
  <c r="C36" i="31" a="1"/>
  <c r="C41" i="32" a="1"/>
  <c r="H26" i="21" a="1"/>
  <c r="C51" i="20" a="1"/>
  <c r="C14" i="19" a="1"/>
  <c r="C53" i="3" a="1"/>
  <c r="C39" i="32" a="1"/>
  <c r="H50" i="28" a="1"/>
  <c r="H17" i="4" a="1"/>
  <c r="C6" i="32" a="1"/>
  <c r="C33" i="19" a="1"/>
  <c r="C27" i="19" a="1"/>
  <c r="C50" i="27" a="1"/>
  <c r="H18" i="27" a="1"/>
  <c r="H53" i="27" a="1"/>
  <c r="C46" i="32" a="1"/>
  <c r="H33" i="33" a="1"/>
  <c r="C33" i="4" a="1"/>
  <c r="H35" i="31" a="1"/>
  <c r="H7" i="21" a="1"/>
  <c r="H3" i="32" a="1"/>
  <c r="H17" i="3" a="1"/>
  <c r="H23" i="31" a="1"/>
  <c r="H33" i="21" a="1"/>
  <c r="H27" i="28" a="1"/>
  <c r="C19" i="28" a="1"/>
  <c r="C50" i="26" a="1"/>
  <c r="C9" i="20" a="1"/>
  <c r="C43" i="32" a="1"/>
  <c r="H22" i="4" a="1"/>
  <c r="C51" i="21" a="1"/>
  <c r="C20" i="33" a="1"/>
  <c r="H41" i="26" a="1"/>
  <c r="H54" i="26" a="1"/>
  <c r="H5" i="32" a="1"/>
  <c r="C28" i="2" a="1"/>
  <c r="C32" i="3" a="1"/>
  <c r="C47" i="33" a="1"/>
  <c r="H23" i="20" a="1"/>
  <c r="C25" i="28" a="1"/>
  <c r="C11" i="2" a="1"/>
  <c r="H49" i="31" a="1"/>
  <c r="C21" i="27" a="1"/>
  <c r="H47" i="28" a="1"/>
  <c r="C51" i="19" a="1"/>
  <c r="H11" i="27" a="1"/>
  <c r="H52" i="32" a="1"/>
  <c r="C13" i="28" a="1"/>
  <c r="H7" i="19" a="1"/>
  <c r="C3" i="20" a="1"/>
  <c r="H18" i="32" a="1"/>
  <c r="H46" i="20" a="1"/>
  <c r="H20" i="20" a="1"/>
  <c r="H19" i="27" a="1"/>
  <c r="C13" i="3" a="1"/>
  <c r="C42" i="2" a="1"/>
  <c r="H14" i="28" a="1"/>
  <c r="H9" i="20" a="1"/>
  <c r="H15" i="19" a="1"/>
  <c r="H4" i="4" a="1"/>
  <c r="C27" i="2" a="1"/>
  <c r="H17" i="19" a="1"/>
  <c r="C48" i="32" a="1"/>
  <c r="C14" i="32" a="1"/>
  <c r="C10" i="32" a="1"/>
  <c r="C37" i="2" a="1"/>
  <c r="C19" i="20" a="1"/>
  <c r="H55" i="3" a="1"/>
  <c r="H28" i="26" a="1"/>
  <c r="H8" i="26" a="1"/>
  <c r="H13" i="3" a="1"/>
  <c r="C3" i="2" a="1"/>
  <c r="C25" i="2" a="1"/>
  <c r="H47" i="31" a="1"/>
  <c r="H49" i="21" a="1"/>
  <c r="C23" i="26" a="1"/>
  <c r="H5" i="4" a="1"/>
  <c r="H45" i="3" a="1"/>
  <c r="H11" i="33" a="1"/>
  <c r="H21" i="27" a="1"/>
  <c r="H6" i="26" a="1"/>
  <c r="C5" i="3" a="1"/>
  <c r="C18" i="19" a="1"/>
  <c r="H15" i="33" a="1"/>
  <c r="C26" i="20" a="1"/>
  <c r="H14" i="31" a="1"/>
  <c r="H32" i="21" a="1"/>
  <c r="C41" i="4" a="1"/>
  <c r="C25" i="32" a="1"/>
  <c r="C46" i="27" a="1"/>
  <c r="H10" i="20" a="1"/>
  <c r="C28" i="21" a="1"/>
  <c r="H41" i="27" a="1"/>
  <c r="H16" i="3" a="1"/>
  <c r="H39" i="27" a="1"/>
  <c r="C25" i="26" a="1"/>
  <c r="H38" i="31" a="1"/>
  <c r="C9" i="33" a="1"/>
  <c r="C26" i="32" a="1"/>
  <c r="H35" i="4" a="1"/>
  <c r="H15" i="3" a="1"/>
  <c r="C36" i="28" a="1"/>
  <c r="C37" i="27" a="1"/>
  <c r="C40" i="28" a="1"/>
  <c r="H53" i="26" a="1"/>
  <c r="H53" i="28" a="1"/>
  <c r="H33" i="3" a="1"/>
  <c r="C48" i="27" a="1"/>
  <c r="H43" i="3" a="1"/>
  <c r="H33" i="4" a="1"/>
  <c r="H39" i="31" a="1"/>
  <c r="C21" i="2" a="1"/>
  <c r="H32" i="32" a="1"/>
  <c r="C33" i="26" a="1"/>
  <c r="C15" i="31" a="1"/>
  <c r="H4" i="20" a="1"/>
  <c r="C50" i="33" a="1"/>
  <c r="H52" i="27" a="1"/>
  <c r="C36" i="33" a="1"/>
  <c r="C24" i="19" a="1"/>
  <c r="C40" i="26" a="1"/>
  <c r="H44" i="32" a="1"/>
  <c r="H26" i="28" a="1"/>
  <c r="C22" i="26" a="1"/>
  <c r="C21" i="3" a="1"/>
  <c r="H45" i="4" a="1"/>
  <c r="C9" i="26" a="1"/>
  <c r="C48" i="21" a="1"/>
  <c r="H42" i="27" a="1"/>
  <c r="H43" i="26" a="1"/>
  <c r="H45" i="21" a="1"/>
  <c r="H41" i="33" a="1"/>
  <c r="H26" i="4" a="1"/>
  <c r="H43" i="33" a="1"/>
  <c r="H54" i="32" a="1"/>
  <c r="H19" i="28" a="1"/>
  <c r="C52" i="33" a="1"/>
  <c r="C53" i="26" a="1"/>
  <c r="H34" i="2" a="1"/>
  <c r="H31" i="27" a="1"/>
  <c r="C20" i="4" a="1"/>
  <c r="C22" i="33" a="1"/>
  <c r="C26" i="27" a="1"/>
  <c r="C25" i="21" a="1"/>
  <c r="H34" i="21" a="1"/>
  <c r="C62" i="4" a="1"/>
  <c r="C33" i="21" a="1"/>
  <c r="H16" i="2" a="1"/>
  <c r="C55" i="32" a="1"/>
  <c r="C11" i="4" a="1"/>
  <c r="C5" i="2" a="1"/>
  <c r="H31" i="31" a="1"/>
  <c r="H29" i="28" a="1"/>
  <c r="C35" i="4" a="1"/>
  <c r="H22" i="32" a="1"/>
  <c r="H43" i="4" a="1"/>
  <c r="H34" i="26" a="1"/>
  <c r="H9" i="28" a="1"/>
  <c r="H38" i="33" a="1"/>
  <c r="C12" i="28" a="1"/>
  <c r="H10" i="28" a="1"/>
  <c r="H47" i="33" a="1"/>
  <c r="H47" i="3" a="1"/>
  <c r="H48" i="32" a="1"/>
  <c r="H38" i="26" a="1"/>
  <c r="H28" i="31" a="1"/>
  <c r="C33" i="27" a="1"/>
  <c r="H39" i="21" a="1"/>
  <c r="H48" i="21" a="1"/>
  <c r="C10" i="27" a="1"/>
  <c r="H7" i="31" a="1"/>
  <c r="C16" i="33" a="1"/>
  <c r="C23" i="28" a="1"/>
  <c r="C46" i="28" a="1"/>
  <c r="H9" i="4" a="1"/>
  <c r="C5" i="4" a="1"/>
  <c r="C32" i="4" a="1"/>
  <c r="H8" i="3" a="1"/>
  <c r="C42" i="31" a="1"/>
  <c r="C60" i="2" a="1"/>
  <c r="H34" i="19" a="1"/>
  <c r="C36" i="2" a="1"/>
  <c r="C10" i="20" a="1"/>
  <c r="H13" i="19" a="1"/>
  <c r="H10" i="26" a="1"/>
  <c r="C53" i="27" a="1"/>
  <c r="C43" i="3" a="1"/>
  <c r="H9" i="27" a="1"/>
  <c r="H39" i="32" a="1"/>
  <c r="H40" i="21" a="1"/>
  <c r="H49" i="32" a="1"/>
  <c r="H9" i="32" a="1"/>
  <c r="H21" i="19" a="1"/>
  <c r="H29" i="31" a="1"/>
  <c r="H17" i="21" a="1"/>
  <c r="C30" i="32" a="1"/>
  <c r="H46" i="28" a="1"/>
  <c r="H42" i="4" a="1"/>
  <c r="H40" i="26" a="1"/>
  <c r="H42" i="21" a="1"/>
  <c r="C50" i="31" a="1"/>
  <c r="C49" i="31" a="1"/>
  <c r="C8" i="31" a="1"/>
  <c r="H36" i="21" a="1"/>
  <c r="C39" i="27" a="1"/>
  <c r="C9" i="21" a="1"/>
  <c r="C21" i="31" a="1"/>
  <c r="H18" i="26" a="1"/>
  <c r="C33" i="31" a="1"/>
  <c r="C17" i="20" a="1"/>
  <c r="H9" i="2" a="1"/>
  <c r="H52" i="3" a="1"/>
  <c r="H29" i="26" a="1"/>
  <c r="H9" i="21" a="1"/>
  <c r="C42" i="20" a="1"/>
  <c r="H30" i="19" a="1"/>
  <c r="C46" i="21" a="1"/>
  <c r="H53" i="20" a="1"/>
  <c r="H4" i="32" a="1"/>
  <c r="C5" i="21" a="1"/>
  <c r="H41" i="28" a="1"/>
  <c r="H12" i="26" a="1"/>
  <c r="C22" i="3" a="1"/>
  <c r="C54" i="27" a="1"/>
  <c r="C22" i="4" a="1"/>
  <c r="H35" i="20" a="1"/>
  <c r="H3" i="20" a="1"/>
  <c r="H33" i="20" a="1"/>
  <c r="H46" i="33" a="1"/>
  <c r="H3" i="33" a="1"/>
  <c r="H55" i="32" a="1"/>
  <c r="H44" i="19" a="1"/>
  <c r="H15" i="32" a="1"/>
  <c r="H5" i="28" a="1"/>
  <c r="H13" i="28" a="1"/>
  <c r="H5" i="33" a="1"/>
  <c r="C18" i="27" a="1"/>
  <c r="C4" i="3" a="1"/>
  <c r="H20" i="19" a="1"/>
  <c r="C54" i="28" a="1"/>
  <c r="H49" i="19" a="1"/>
  <c r="C42" i="32" a="1"/>
  <c r="C39" i="21" a="1"/>
  <c r="H25" i="31" a="1"/>
  <c r="H61" i="4" a="1"/>
  <c r="H23" i="28" a="1"/>
  <c r="H27" i="31" a="1"/>
  <c r="H47" i="19" a="1"/>
  <c r="H35" i="3" a="1"/>
  <c r="H4" i="28" a="1"/>
  <c r="C42" i="19" a="1"/>
  <c r="H30" i="21" a="1"/>
  <c r="H29" i="20" a="1"/>
  <c r="C31" i="33" a="1"/>
  <c r="H23" i="33" a="1"/>
  <c r="H48" i="3" a="1"/>
  <c r="C14" i="33" a="1"/>
  <c r="H4" i="26" a="1"/>
  <c r="H17" i="20" a="1"/>
  <c r="H29" i="33" a="1"/>
  <c r="C21" i="28" a="1"/>
  <c r="C3" i="3" a="1"/>
  <c r="H26" i="27" a="1"/>
  <c r="C33" i="32" a="1"/>
  <c r="H51" i="3" a="1"/>
  <c r="H24" i="28" a="1"/>
  <c r="H3" i="31" a="1"/>
  <c r="H33" i="32" a="1"/>
  <c r="C6" i="28" a="1"/>
  <c r="H27" i="33" a="1"/>
  <c r="C24" i="3" a="1"/>
  <c r="C46" i="4" a="1"/>
  <c r="C32" i="31" a="1"/>
  <c r="C10" i="19" a="1"/>
  <c r="H3" i="4" a="1"/>
  <c r="C41" i="33" a="1"/>
  <c r="H36" i="19" a="1"/>
  <c r="H12" i="19" a="1"/>
  <c r="C13" i="26" a="1"/>
  <c r="C51" i="32" a="1"/>
  <c r="H13" i="32" a="1"/>
  <c r="C23" i="32" a="1"/>
  <c r="C8" i="2" a="1"/>
  <c r="H16" i="33" a="1"/>
  <c r="C21" i="21" a="1"/>
  <c r="H29" i="27" a="1"/>
  <c r="C34" i="2" a="1"/>
  <c r="H27" i="19" a="1"/>
  <c r="H5" i="27" a="1"/>
  <c r="H54" i="19" a="1"/>
  <c r="C48" i="26" a="1"/>
  <c r="H29" i="3" a="1"/>
  <c r="H8" i="27" a="1"/>
  <c r="H6" i="31" a="1"/>
  <c r="C17" i="21" a="1"/>
  <c r="C42" i="3" a="1"/>
  <c r="C22" i="27" a="1"/>
  <c r="C49" i="20" a="1"/>
  <c r="H19" i="26" a="1"/>
  <c r="H54" i="20" a="1"/>
  <c r="H37" i="20" a="1"/>
  <c r="C38" i="20" a="1"/>
  <c r="H20" i="4" a="1"/>
  <c r="H35" i="27" a="1"/>
  <c r="H55" i="28" a="1"/>
  <c r="C29" i="4" a="1"/>
  <c r="H17" i="2" a="1"/>
  <c r="H54" i="3" a="1"/>
  <c r="C37" i="31" a="1"/>
  <c r="H6" i="20" a="1"/>
  <c r="H40" i="27" a="1"/>
  <c r="H55" i="26" a="1"/>
  <c r="C54" i="3" a="1"/>
  <c r="H50" i="27" a="1"/>
  <c r="C33" i="33" a="1"/>
  <c r="C27" i="28" a="1"/>
  <c r="C5" i="33" a="1"/>
  <c r="C41" i="2" a="1"/>
  <c r="C48" i="28" a="1"/>
  <c r="H54" i="27" a="1"/>
  <c r="H27" i="20" a="1"/>
  <c r="C43" i="4" a="1"/>
  <c r="C10" i="2" a="1"/>
  <c r="H26" i="20" a="1"/>
  <c r="H41" i="4" a="1"/>
  <c r="H33" i="2" a="1"/>
  <c r="H44" i="2" a="1"/>
  <c r="C35" i="19" a="1"/>
  <c r="H32" i="31" a="1"/>
  <c r="C19" i="32" a="1"/>
  <c r="H5" i="31" a="1"/>
  <c r="H28" i="33" a="1"/>
  <c r="C62" i="2" a="1"/>
  <c r="H39" i="33" a="1"/>
  <c r="C43" i="20" a="1"/>
  <c r="H25" i="4" a="1"/>
  <c r="H53" i="33" a="1"/>
  <c r="H55" i="20" a="1"/>
  <c r="H48" i="19" a="1"/>
  <c r="H38" i="2" a="1"/>
  <c r="C10" i="31" a="1"/>
  <c r="C14" i="27" a="1"/>
  <c r="H50" i="3" a="1"/>
  <c r="H45" i="31" a="1"/>
  <c r="C5" i="32" a="1"/>
  <c r="C52" i="21" a="1"/>
  <c r="C53" i="33" a="1"/>
  <c r="H12" i="20" a="1"/>
  <c r="H25" i="20" a="1"/>
  <c r="H13" i="33" a="1"/>
  <c r="H51" i="21" a="1"/>
  <c r="H6" i="3" a="1"/>
  <c r="H22" i="28" a="1"/>
  <c r="H33" i="26" a="1"/>
  <c r="H4" i="2" a="1"/>
  <c r="C39" i="26" a="1"/>
  <c r="H21" i="4" a="1"/>
  <c r="C47" i="19" a="1"/>
  <c r="H35" i="26" a="1"/>
  <c r="H4" i="27" a="1"/>
  <c r="C35" i="3" a="1"/>
  <c r="H19" i="32" a="1"/>
  <c r="H22" i="21" a="1"/>
  <c r="H41" i="2" a="1"/>
  <c r="C27" i="3" a="1"/>
  <c r="C27" i="20" a="1"/>
  <c r="C19" i="4" a="1"/>
  <c r="H64" i="4" a="1"/>
  <c r="H39" i="2" a="1"/>
  <c r="C11" i="19" a="1"/>
  <c r="C6" i="21" a="1"/>
  <c r="H46" i="21" a="1"/>
  <c r="C37" i="4" a="1"/>
  <c r="H16" i="21" a="1"/>
  <c r="C17" i="2" a="1"/>
  <c r="H6" i="28" a="1"/>
  <c r="H47" i="21" a="1"/>
  <c r="H37" i="33" a="1"/>
  <c r="C36" i="4" a="1"/>
  <c r="H30" i="31" a="1"/>
  <c r="C24" i="2" a="1"/>
  <c r="H4" i="19" a="1"/>
  <c r="H7" i="26" a="1"/>
  <c r="C7" i="32" a="1"/>
  <c r="C47" i="26" a="1"/>
  <c r="H6" i="4" a="1"/>
  <c r="H61" i="2" a="1"/>
  <c r="C49" i="26" a="1"/>
  <c r="C31" i="28" a="1"/>
  <c r="C39" i="2" a="1"/>
  <c r="H42" i="26" a="1"/>
  <c r="H34" i="33" a="1"/>
  <c r="H45" i="19" a="1"/>
  <c r="C52" i="26" a="1"/>
  <c r="H22" i="27" a="1"/>
  <c r="H31" i="28" a="1"/>
  <c r="C19" i="27" a="1"/>
  <c r="H37" i="4" a="1"/>
  <c r="H15" i="4" a="1"/>
  <c r="H8" i="32" a="1"/>
  <c r="C52" i="3" a="1"/>
  <c r="C41" i="26" a="1"/>
  <c r="H3" i="27" a="1"/>
  <c r="H15" i="20" a="1"/>
  <c r="H32" i="20" a="1"/>
  <c r="C55" i="27" a="1"/>
  <c r="C55" i="33" a="1"/>
  <c r="C29" i="28" a="1"/>
  <c r="C25" i="19" a="1"/>
  <c r="C7" i="28" a="1"/>
  <c r="H5" i="21" a="1"/>
  <c r="C42" i="4" a="1"/>
  <c r="H45" i="32" a="1"/>
  <c r="H41" i="19" a="1"/>
  <c r="C19" i="3" a="1"/>
  <c r="H21" i="21" a="1"/>
  <c r="C20" i="2" a="1"/>
  <c r="C19" i="21" a="1"/>
  <c r="C10" i="21" a="1"/>
  <c r="H43" i="21" a="1"/>
  <c r="C28" i="28" a="1"/>
  <c r="C34" i="28" a="1"/>
  <c r="H46" i="32" a="1"/>
  <c r="H30" i="2" a="1"/>
  <c r="H25" i="3" a="1"/>
  <c r="C24" i="28" a="1"/>
  <c r="H16" i="19" a="1"/>
  <c r="H46" i="26" a="1"/>
  <c r="C3" i="28" a="1"/>
  <c r="H20" i="26" a="1"/>
  <c r="C23" i="27" a="1"/>
  <c r="C44" i="26" a="1"/>
  <c r="H53" i="3" a="1"/>
  <c r="H33" i="28" a="1"/>
  <c r="C43" i="21" a="1"/>
  <c r="H6" i="33" a="1"/>
  <c r="H4" i="31" a="1"/>
  <c r="C15" i="32" a="1"/>
  <c r="C35" i="26" a="1"/>
  <c r="C19" i="2" a="1"/>
  <c r="C18" i="21" a="1"/>
  <c r="C39" i="28" a="1"/>
  <c r="C52" i="20" a="1"/>
  <c r="C39" i="4" a="1"/>
  <c r="C39" i="3" a="1"/>
  <c r="C42" i="27" a="1"/>
  <c r="H43" i="27" a="1"/>
  <c r="H10" i="2" a="1"/>
  <c r="H52" i="31" a="1"/>
  <c r="C24" i="26" a="1"/>
  <c r="C4" i="33" a="1"/>
  <c r="H12" i="3" a="1"/>
  <c r="C58" i="4" a="1"/>
  <c r="H30" i="20" a="1"/>
  <c r="H13" i="26" a="1"/>
  <c r="C27" i="4" a="1"/>
  <c r="C34" i="4" a="1"/>
  <c r="C38" i="4" a="1"/>
  <c r="C24" i="32" a="1"/>
  <c r="H34" i="20" a="1"/>
  <c r="C7" i="2" a="1"/>
  <c r="C4" i="1" l="1" a="1"/>
  <c r="C4" i="1" s="1"/>
  <c r="C7" i="2"/>
  <c r="H34" i="20"/>
  <c r="C24" i="32"/>
  <c r="C38" i="4"/>
  <c r="C34" i="4"/>
  <c r="C27" i="4"/>
  <c r="H13" i="26"/>
  <c r="H30" i="20"/>
  <c r="C58" i="4"/>
  <c r="H12" i="3"/>
  <c r="C4" i="33"/>
  <c r="C24" i="26"/>
  <c r="H52" i="31"/>
  <c r="H10" i="2"/>
  <c r="H43" i="27"/>
  <c r="C42" i="27"/>
  <c r="C39" i="3"/>
  <c r="C39" i="4"/>
  <c r="C52" i="20"/>
  <c r="C39" i="28"/>
  <c r="C18" i="21"/>
  <c r="C19" i="2"/>
  <c r="C6" i="1" a="1"/>
  <c r="C6" i="1" s="1"/>
  <c r="C35" i="26"/>
  <c r="C15" i="32"/>
  <c r="H4" i="31"/>
  <c r="H6" i="33"/>
  <c r="C43" i="21"/>
  <c r="H33" i="28"/>
  <c r="H53" i="3"/>
  <c r="C44" i="26"/>
  <c r="C23" i="27"/>
  <c r="H7" i="29" a="1"/>
  <c r="H7" i="29" s="1"/>
  <c r="H20" i="26"/>
  <c r="C3" i="28"/>
  <c r="D65" i="28"/>
  <c r="H46" i="26"/>
  <c r="H16" i="19"/>
  <c r="C24" i="28"/>
  <c r="H25" i="3"/>
  <c r="H30" i="2"/>
  <c r="H46" i="32"/>
  <c r="C34" i="28"/>
  <c r="C28" i="28"/>
  <c r="H43" i="21"/>
  <c r="C10" i="21"/>
  <c r="C6" i="18" a="1"/>
  <c r="C6" i="18" s="1"/>
  <c r="C19" i="21"/>
  <c r="C20" i="2"/>
  <c r="C7" i="1" a="1"/>
  <c r="C7" i="1" s="1"/>
  <c r="H21" i="21"/>
  <c r="C19" i="3"/>
  <c r="H41" i="19"/>
  <c r="H45" i="32"/>
  <c r="C42" i="4"/>
  <c r="H5" i="21"/>
  <c r="C7" i="28"/>
  <c r="C25" i="19"/>
  <c r="C29" i="28"/>
  <c r="C55" i="33"/>
  <c r="C55" i="27"/>
  <c r="H32" i="20"/>
  <c r="H15" i="20"/>
  <c r="I65" i="27"/>
  <c r="H3" i="27"/>
  <c r="C41" i="26"/>
  <c r="C52" i="3"/>
  <c r="H8" i="32"/>
  <c r="H15" i="4"/>
  <c r="H37" i="4"/>
  <c r="C19" i="27"/>
  <c r="H31" i="28"/>
  <c r="H22" i="27"/>
  <c r="C52" i="26"/>
  <c r="H45" i="19"/>
  <c r="H34" i="33"/>
  <c r="H42" i="26"/>
  <c r="C39" i="2"/>
  <c r="C31" i="28"/>
  <c r="C49" i="26"/>
  <c r="H61" i="2"/>
  <c r="H6" i="4"/>
  <c r="C47" i="26"/>
  <c r="C7" i="32"/>
  <c r="H7" i="26"/>
  <c r="H4" i="29" a="1"/>
  <c r="H4" i="29" s="1"/>
  <c r="H4" i="19"/>
  <c r="C24" i="2"/>
  <c r="H30" i="31"/>
  <c r="C36" i="4"/>
  <c r="H37" i="33"/>
  <c r="H47" i="21"/>
  <c r="H6" i="28"/>
  <c r="C5" i="1" a="1"/>
  <c r="C5" i="1" s="1"/>
  <c r="C17" i="2"/>
  <c r="H16" i="21"/>
  <c r="C37" i="4"/>
  <c r="H46" i="21"/>
  <c r="C6" i="21"/>
  <c r="C11" i="19"/>
  <c r="H39" i="2"/>
  <c r="H64" i="4"/>
  <c r="C19" i="4"/>
  <c r="C27" i="20"/>
  <c r="C27" i="3"/>
  <c r="H41" i="2"/>
  <c r="H22" i="21"/>
  <c r="H19" i="32"/>
  <c r="C35" i="3"/>
  <c r="H4" i="27"/>
  <c r="H35" i="26"/>
  <c r="C47" i="19"/>
  <c r="H21" i="4"/>
  <c r="C39" i="26"/>
  <c r="H4" i="2"/>
  <c r="H33" i="26"/>
  <c r="H22" i="28"/>
  <c r="H6" i="3"/>
  <c r="H51" i="21"/>
  <c r="H13" i="33"/>
  <c r="H25" i="20"/>
  <c r="H12" i="20"/>
  <c r="C53" i="33"/>
  <c r="C52" i="21"/>
  <c r="C5" i="32"/>
  <c r="H45" i="31"/>
  <c r="H50" i="3"/>
  <c r="C14" i="27"/>
  <c r="C10" i="31"/>
  <c r="H38" i="2"/>
  <c r="H48" i="19"/>
  <c r="H55" i="20"/>
  <c r="H53" i="33"/>
  <c r="H25" i="4"/>
  <c r="C43" i="20"/>
  <c r="H39" i="33"/>
  <c r="C62" i="2"/>
  <c r="H28" i="33"/>
  <c r="H5" i="31"/>
  <c r="C19" i="32"/>
  <c r="H32" i="31"/>
  <c r="C35" i="19"/>
  <c r="H44" i="2"/>
  <c r="H33" i="2"/>
  <c r="H41" i="4"/>
  <c r="H26" i="20"/>
  <c r="C10" i="2"/>
  <c r="C43" i="4"/>
  <c r="H27" i="20"/>
  <c r="H54" i="27"/>
  <c r="C48" i="28"/>
  <c r="C41" i="2"/>
  <c r="C5" i="33"/>
  <c r="C27" i="28"/>
  <c r="C33" i="33"/>
  <c r="H50" i="27"/>
  <c r="C54" i="3"/>
  <c r="H55" i="26"/>
  <c r="H40" i="27"/>
  <c r="H6" i="20"/>
  <c r="C37" i="31"/>
  <c r="H54" i="3"/>
  <c r="H17" i="2"/>
  <c r="H5" i="1" a="1"/>
  <c r="H5" i="1" s="1"/>
  <c r="C29" i="4"/>
  <c r="H55" i="28"/>
  <c r="H35" i="27"/>
  <c r="H20" i="4"/>
  <c r="C38" i="20"/>
  <c r="H37" i="20"/>
  <c r="H54" i="20"/>
  <c r="H6" i="29" a="1"/>
  <c r="H6" i="29" s="1"/>
  <c r="H19" i="26"/>
  <c r="C49" i="20"/>
  <c r="C22" i="27"/>
  <c r="C42" i="3"/>
  <c r="C5" i="18" a="1"/>
  <c r="C5" i="18" s="1"/>
  <c r="C17" i="21"/>
  <c r="H6" i="31"/>
  <c r="H8" i="27"/>
  <c r="H29" i="3"/>
  <c r="C48" i="26"/>
  <c r="H54" i="19"/>
  <c r="H5" i="27"/>
  <c r="H27" i="19"/>
  <c r="C34" i="2"/>
  <c r="H29" i="27"/>
  <c r="C21" i="21"/>
  <c r="H16" i="33"/>
  <c r="C8" i="2"/>
  <c r="C23" i="32"/>
  <c r="H13" i="32"/>
  <c r="C51" i="32"/>
  <c r="C13" i="26"/>
  <c r="H12" i="19"/>
  <c r="H36" i="19"/>
  <c r="C41" i="33"/>
  <c r="H3" i="4"/>
  <c r="I65" i="4"/>
  <c r="C10" i="19"/>
  <c r="C32" i="31"/>
  <c r="C46" i="4"/>
  <c r="C24" i="3"/>
  <c r="H27" i="33"/>
  <c r="C6" i="28"/>
  <c r="H33" i="32"/>
  <c r="H3" i="31"/>
  <c r="I65" i="31"/>
  <c r="H3" i="30" a="1"/>
  <c r="H3" i="30" s="1"/>
  <c r="H24" i="28"/>
  <c r="H51" i="3"/>
  <c r="C33" i="32"/>
  <c r="H26" i="27"/>
  <c r="D65" i="3"/>
  <c r="C3" i="3"/>
  <c r="C21" i="28"/>
  <c r="H29" i="33"/>
  <c r="H17" i="20"/>
  <c r="H4" i="26"/>
  <c r="C14" i="33"/>
  <c r="H48" i="3"/>
  <c r="H23" i="33"/>
  <c r="C31" i="33"/>
  <c r="H29" i="20"/>
  <c r="H30" i="21"/>
  <c r="C42" i="19"/>
  <c r="H4" i="28"/>
  <c r="H35" i="3"/>
  <c r="H47" i="19"/>
  <c r="H27" i="31"/>
  <c r="H23" i="28"/>
  <c r="H61" i="4"/>
  <c r="H9" i="30" a="1"/>
  <c r="H9" i="30" s="1"/>
  <c r="H25" i="31"/>
  <c r="C39" i="21"/>
  <c r="C42" i="32"/>
  <c r="H49" i="19"/>
  <c r="C54" i="28"/>
  <c r="H20" i="19"/>
  <c r="C4" i="3"/>
  <c r="C18" i="27"/>
  <c r="H5" i="33"/>
  <c r="H13" i="28"/>
  <c r="H5" i="28"/>
  <c r="H15" i="32"/>
  <c r="H44" i="19"/>
  <c r="H55" i="32"/>
  <c r="H3" i="33"/>
  <c r="I65" i="33"/>
  <c r="H46" i="33"/>
  <c r="H33" i="20"/>
  <c r="H3" i="20"/>
  <c r="I65" i="20"/>
  <c r="H35" i="20"/>
  <c r="C22" i="4"/>
  <c r="C54" i="27"/>
  <c r="C22" i="3"/>
  <c r="H12" i="26"/>
  <c r="H41" i="28"/>
  <c r="C5" i="21"/>
  <c r="H4" i="32"/>
  <c r="H53" i="20"/>
  <c r="C46" i="21"/>
  <c r="H30" i="19"/>
  <c r="C42" i="20"/>
  <c r="H9" i="21"/>
  <c r="H29" i="26"/>
  <c r="H52" i="3"/>
  <c r="H9" i="2"/>
  <c r="C17" i="20"/>
  <c r="C33" i="31"/>
  <c r="H18" i="26"/>
  <c r="C21" i="31"/>
  <c r="C9" i="21"/>
  <c r="C39" i="27"/>
  <c r="H36" i="21"/>
  <c r="C8" i="31"/>
  <c r="C49" i="31"/>
  <c r="C50" i="31"/>
  <c r="H42" i="21"/>
  <c r="H40" i="26"/>
  <c r="H42" i="4"/>
  <c r="H46" i="28"/>
  <c r="C30" i="32"/>
  <c r="H17" i="21"/>
  <c r="H5" i="18" a="1"/>
  <c r="H5" i="18" s="1"/>
  <c r="H29" i="31"/>
  <c r="H21" i="19"/>
  <c r="H9" i="32"/>
  <c r="H49" i="32"/>
  <c r="H40" i="21"/>
  <c r="H39" i="32"/>
  <c r="H9" i="27"/>
  <c r="C43" i="3"/>
  <c r="C53" i="27"/>
  <c r="H10" i="26"/>
  <c r="H13" i="19"/>
  <c r="C10" i="20"/>
  <c r="C36" i="2"/>
  <c r="H34" i="19"/>
  <c r="C60" i="2"/>
  <c r="C42" i="31"/>
  <c r="H8" i="3"/>
  <c r="C32" i="4"/>
  <c r="C5" i="4"/>
  <c r="H9" i="4"/>
  <c r="C46" i="28"/>
  <c r="C23" i="28"/>
  <c r="C16" i="33"/>
  <c r="H4" i="30" a="1"/>
  <c r="H4" i="30" s="1"/>
  <c r="H7" i="31"/>
  <c r="C10" i="27"/>
  <c r="H48" i="21"/>
  <c r="H39" i="21"/>
  <c r="C33" i="27"/>
  <c r="H28" i="31"/>
  <c r="H38" i="26"/>
  <c r="H48" i="32"/>
  <c r="H47" i="3"/>
  <c r="H47" i="33"/>
  <c r="H10" i="28"/>
  <c r="C12" i="28"/>
  <c r="H38" i="33"/>
  <c r="H9" i="28"/>
  <c r="H34" i="26"/>
  <c r="H43" i="4"/>
  <c r="H22" i="32"/>
  <c r="C35" i="4"/>
  <c r="H29" i="28"/>
  <c r="H31" i="31"/>
  <c r="C5" i="2"/>
  <c r="C11" i="4"/>
  <c r="C55" i="32"/>
  <c r="H16" i="2"/>
  <c r="C33" i="21"/>
  <c r="C62" i="4"/>
  <c r="H34" i="21"/>
  <c r="C25" i="21"/>
  <c r="C9" i="18" a="1"/>
  <c r="C9" i="18" s="1"/>
  <c r="C26" i="27"/>
  <c r="C22" i="33"/>
  <c r="C20" i="4"/>
  <c r="H31" i="27"/>
  <c r="H34" i="2"/>
  <c r="C53" i="26"/>
  <c r="C52" i="33"/>
  <c r="H19" i="28"/>
  <c r="H54" i="32"/>
  <c r="H43" i="33"/>
  <c r="H26" i="4"/>
  <c r="H41" i="33"/>
  <c r="H45" i="21"/>
  <c r="H43" i="26"/>
  <c r="H42" i="27"/>
  <c r="C48" i="21"/>
  <c r="C9" i="26"/>
  <c r="H45" i="4"/>
  <c r="C21" i="3"/>
  <c r="C22" i="26"/>
  <c r="H26" i="28"/>
  <c r="H44" i="32"/>
  <c r="C40" i="26"/>
  <c r="C24" i="19"/>
  <c r="C36" i="33"/>
  <c r="H52" i="27"/>
  <c r="C50" i="33"/>
  <c r="H4" i="20"/>
  <c r="C15" i="31"/>
  <c r="C33" i="26"/>
  <c r="H32" i="32"/>
  <c r="C21" i="2"/>
  <c r="H39" i="31"/>
  <c r="H33" i="4"/>
  <c r="H43" i="3"/>
  <c r="C48" i="27"/>
  <c r="H33" i="3"/>
  <c r="H53" i="28"/>
  <c r="H53" i="26"/>
  <c r="C40" i="28"/>
  <c r="C37" i="27"/>
  <c r="C36" i="28"/>
  <c r="H15" i="3"/>
  <c r="H35" i="4"/>
  <c r="C26" i="32"/>
  <c r="C9" i="33"/>
  <c r="H38" i="31"/>
  <c r="C9" i="29" a="1"/>
  <c r="C9" i="29" s="1"/>
  <c r="C25" i="26"/>
  <c r="H39" i="27"/>
  <c r="H16" i="3"/>
  <c r="H41" i="27"/>
  <c r="C28" i="21"/>
  <c r="H10" i="20"/>
  <c r="C46" i="27"/>
  <c r="C25" i="32"/>
  <c r="C41" i="4"/>
  <c r="H32" i="21"/>
  <c r="H14" i="31"/>
  <c r="C26" i="20"/>
  <c r="H15" i="33"/>
  <c r="C18" i="19"/>
  <c r="C5" i="3"/>
  <c r="H6" i="26"/>
  <c r="H21" i="27"/>
  <c r="H11" i="33"/>
  <c r="H45" i="3"/>
  <c r="H5" i="4"/>
  <c r="C8" i="29" a="1"/>
  <c r="C8" i="29" s="1"/>
  <c r="C23" i="26"/>
  <c r="H49" i="21"/>
  <c r="H47" i="31"/>
  <c r="C9" i="1" a="1"/>
  <c r="C9" i="1" s="1"/>
  <c r="C25" i="2"/>
  <c r="D65" i="2"/>
  <c r="C3" i="2"/>
  <c r="C3" i="1" a="1"/>
  <c r="C3" i="1" s="1"/>
  <c r="H13" i="3"/>
  <c r="H8" i="26"/>
  <c r="H28" i="26"/>
  <c r="H55" i="3"/>
  <c r="C19" i="20"/>
  <c r="C37" i="2"/>
  <c r="C10" i="32"/>
  <c r="C14" i="32"/>
  <c r="C48" i="32"/>
  <c r="H17" i="19"/>
  <c r="C27" i="2"/>
  <c r="H4" i="4"/>
  <c r="H15" i="19"/>
  <c r="H9" i="20"/>
  <c r="H14" i="28"/>
  <c r="C42" i="2"/>
  <c r="C13" i="3"/>
  <c r="H19" i="27"/>
  <c r="H20" i="20"/>
  <c r="H46" i="20"/>
  <c r="H18" i="32"/>
  <c r="D65" i="20"/>
  <c r="C3" i="20"/>
  <c r="H7" i="19"/>
  <c r="C13" i="28"/>
  <c r="H52" i="32"/>
  <c r="H11" i="27"/>
  <c r="C51" i="19"/>
  <c r="H47" i="28"/>
  <c r="C21" i="27"/>
  <c r="H49" i="31"/>
  <c r="C11" i="2"/>
  <c r="C25" i="28"/>
  <c r="H23" i="20"/>
  <c r="C47" i="33"/>
  <c r="C32" i="3"/>
  <c r="C28" i="2"/>
  <c r="H5" i="32"/>
  <c r="H54" i="26"/>
  <c r="H41" i="26"/>
  <c r="C20" i="33"/>
  <c r="C51" i="21"/>
  <c r="H22" i="4"/>
  <c r="C43" i="32"/>
  <c r="C9" i="20"/>
  <c r="C50" i="26"/>
  <c r="C19" i="28"/>
  <c r="H27" i="28"/>
  <c r="H33" i="21"/>
  <c r="H8" i="30" a="1"/>
  <c r="H8" i="30" s="1"/>
  <c r="H23" i="31"/>
  <c r="H17" i="3"/>
  <c r="H3" i="32"/>
  <c r="I65" i="32"/>
  <c r="H4" i="18" a="1"/>
  <c r="H4" i="18" s="1"/>
  <c r="H7" i="21"/>
  <c r="H35" i="31"/>
  <c r="C33" i="4"/>
  <c r="H33" i="33"/>
  <c r="C46" i="32"/>
  <c r="H53" i="27"/>
  <c r="H18" i="27"/>
  <c r="C50" i="27"/>
  <c r="C27" i="19"/>
  <c r="C33" i="19"/>
  <c r="C6" i="32"/>
  <c r="H17" i="4"/>
  <c r="H50" i="28"/>
  <c r="C39" i="32"/>
  <c r="C53" i="3"/>
  <c r="C14" i="19"/>
  <c r="C51" i="20"/>
  <c r="H26" i="21"/>
  <c r="C41" i="32"/>
  <c r="C36" i="31"/>
  <c r="C16" i="26"/>
  <c r="H42" i="3"/>
  <c r="H32" i="27"/>
  <c r="H44" i="27"/>
  <c r="C34" i="20"/>
  <c r="H17" i="32"/>
  <c r="C4" i="27"/>
  <c r="C37" i="26"/>
  <c r="H33" i="27"/>
  <c r="H30" i="3"/>
  <c r="H18" i="33"/>
  <c r="C11" i="32"/>
  <c r="H20" i="27"/>
  <c r="H60" i="4"/>
  <c r="C26" i="28"/>
  <c r="D65" i="32"/>
  <c r="C3" i="32"/>
  <c r="H50" i="32"/>
  <c r="H30" i="26"/>
  <c r="C45" i="28"/>
  <c r="C10" i="4"/>
  <c r="C20" i="20"/>
  <c r="H8" i="1" a="1"/>
  <c r="H8" i="1" s="1"/>
  <c r="H23" i="2"/>
  <c r="C51" i="26"/>
  <c r="C44" i="2"/>
  <c r="H13" i="31"/>
  <c r="C31" i="32"/>
  <c r="C13" i="4"/>
  <c r="C35" i="33"/>
  <c r="C18" i="31"/>
  <c r="H14" i="19"/>
  <c r="H34" i="28"/>
  <c r="C43" i="33"/>
  <c r="H11" i="21"/>
  <c r="C11" i="28"/>
  <c r="C48" i="3"/>
  <c r="C12" i="3"/>
  <c r="C47" i="3"/>
  <c r="H37" i="31"/>
  <c r="H35" i="33"/>
  <c r="H54" i="33"/>
  <c r="C42" i="28"/>
  <c r="H24" i="26"/>
  <c r="C32" i="27"/>
  <c r="C41" i="21"/>
  <c r="H12" i="32"/>
  <c r="C17" i="28"/>
  <c r="H25" i="32"/>
  <c r="H3" i="26"/>
  <c r="H3" i="29" a="1"/>
  <c r="H3" i="29" s="1"/>
  <c r="I65" i="26"/>
  <c r="H9" i="3"/>
  <c r="C30" i="33"/>
  <c r="H19" i="3"/>
  <c r="C8" i="20"/>
  <c r="C31" i="20"/>
  <c r="H24" i="20"/>
  <c r="C29" i="19"/>
  <c r="H31" i="2"/>
  <c r="C38" i="3"/>
  <c r="H15" i="27"/>
  <c r="C25" i="33"/>
  <c r="C26" i="19"/>
  <c r="C31" i="19"/>
  <c r="C6" i="26"/>
  <c r="C12" i="2"/>
  <c r="C36" i="21"/>
  <c r="H5" i="2"/>
  <c r="H39" i="26"/>
  <c r="H52" i="28"/>
  <c r="C31" i="4"/>
  <c r="H23" i="4"/>
  <c r="H33" i="19"/>
  <c r="H26" i="3"/>
  <c r="H20" i="28"/>
  <c r="H20" i="32"/>
  <c r="H32" i="2"/>
  <c r="C38" i="32"/>
  <c r="C26" i="4"/>
  <c r="C26" i="31"/>
  <c r="C28" i="3"/>
  <c r="C49" i="32"/>
  <c r="H8" i="28"/>
  <c r="C23" i="20"/>
  <c r="C14" i="4"/>
  <c r="H6" i="19"/>
  <c r="H12" i="33"/>
  <c r="H53" i="31"/>
  <c r="C13" i="33"/>
  <c r="C19" i="19"/>
  <c r="C48" i="19"/>
  <c r="C50" i="32"/>
  <c r="C49" i="3"/>
  <c r="C36" i="19"/>
  <c r="H10" i="32"/>
  <c r="C19" i="31"/>
  <c r="C6" i="30" a="1"/>
  <c r="C6" i="30" s="1"/>
  <c r="C7" i="21"/>
  <c r="C4" i="18" a="1"/>
  <c r="C4" i="18" s="1"/>
  <c r="C4" i="31"/>
  <c r="C29" i="32"/>
  <c r="C8" i="33"/>
  <c r="C16" i="27"/>
  <c r="C13" i="31"/>
  <c r="C54" i="32"/>
  <c r="H35" i="2"/>
  <c r="C30" i="3"/>
  <c r="C35" i="28"/>
  <c r="C27" i="26"/>
  <c r="H3" i="19"/>
  <c r="I65" i="19"/>
  <c r="H12" i="28"/>
  <c r="C16" i="19"/>
  <c r="H36" i="2"/>
  <c r="C43" i="31"/>
  <c r="H5" i="19"/>
  <c r="H29" i="19"/>
  <c r="H38" i="19"/>
  <c r="H50" i="31"/>
  <c r="H24" i="2"/>
  <c r="H12" i="2"/>
  <c r="H41" i="3"/>
  <c r="H59" i="4"/>
  <c r="C28" i="4"/>
  <c r="C7" i="31"/>
  <c r="C4" i="30" a="1"/>
  <c r="C4" i="30" s="1"/>
  <c r="C38" i="2"/>
  <c r="H36" i="27"/>
  <c r="C64" i="4"/>
  <c r="H16" i="31"/>
  <c r="C43" i="19"/>
  <c r="H34" i="27"/>
  <c r="H45" i="27"/>
  <c r="C34" i="3"/>
  <c r="C11" i="26"/>
  <c r="H37" i="19"/>
  <c r="H38" i="3"/>
  <c r="H52" i="26"/>
  <c r="C63" i="2"/>
  <c r="H44" i="26"/>
  <c r="C48" i="20"/>
  <c r="H40" i="33"/>
  <c r="H36" i="4"/>
  <c r="H26" i="19"/>
  <c r="H27" i="27"/>
  <c r="H27" i="32"/>
  <c r="H36" i="26"/>
  <c r="H46" i="19"/>
  <c r="H24" i="3"/>
  <c r="H48" i="31"/>
  <c r="H41" i="21"/>
  <c r="C12" i="26"/>
  <c r="H21" i="28"/>
  <c r="H46" i="3"/>
  <c r="H43" i="32"/>
  <c r="C14" i="31"/>
  <c r="D65" i="27"/>
  <c r="C3" i="27"/>
  <c r="C3" i="19"/>
  <c r="D65" i="19"/>
  <c r="C18" i="2"/>
  <c r="H17" i="28"/>
  <c r="H37" i="28"/>
  <c r="C12" i="19"/>
  <c r="C39" i="33"/>
  <c r="C3" i="18" a="1"/>
  <c r="C3" i="18" s="1"/>
  <c r="C4" i="21"/>
  <c r="D65" i="21"/>
  <c r="H40" i="3"/>
  <c r="H45" i="20"/>
  <c r="H53" i="21"/>
  <c r="C10" i="1" a="1"/>
  <c r="C10" i="1" s="1"/>
  <c r="C10" i="34" s="1"/>
  <c r="C57" i="2"/>
  <c r="C37" i="32"/>
  <c r="H5" i="3"/>
  <c r="H7" i="1" a="1"/>
  <c r="H7" i="1" s="1"/>
  <c r="H20" i="2"/>
  <c r="C50" i="20"/>
  <c r="C9" i="28"/>
  <c r="H7" i="32"/>
  <c r="C45" i="20"/>
  <c r="H31" i="26"/>
  <c r="C32" i="21"/>
  <c r="C28" i="19"/>
  <c r="H8" i="19"/>
  <c r="C8" i="21"/>
  <c r="H44" i="31"/>
  <c r="H7" i="28"/>
  <c r="H40" i="28"/>
  <c r="H15" i="26"/>
  <c r="H51" i="28"/>
  <c r="C46" i="31"/>
  <c r="C29" i="31"/>
  <c r="C29" i="26"/>
  <c r="H47" i="27"/>
  <c r="C22" i="2"/>
  <c r="H51" i="19"/>
  <c r="H24" i="19"/>
  <c r="H23" i="19"/>
  <c r="H22" i="33"/>
  <c r="C55" i="19"/>
  <c r="C55" i="20"/>
  <c r="C44" i="19"/>
  <c r="H52" i="19"/>
  <c r="H6" i="21"/>
  <c r="C51" i="3"/>
  <c r="H6" i="2"/>
  <c r="C7" i="26"/>
  <c r="C4" i="29" a="1"/>
  <c r="C4" i="29" s="1"/>
  <c r="C12" i="32"/>
  <c r="H3" i="2"/>
  <c r="H3" i="1" a="1"/>
  <c r="H3" i="1" s="1"/>
  <c r="I65" i="2"/>
  <c r="C54" i="31"/>
  <c r="C32" i="26"/>
  <c r="C14" i="26"/>
  <c r="C12" i="31"/>
  <c r="H28" i="32"/>
  <c r="H47" i="20"/>
  <c r="H20" i="33"/>
  <c r="C34" i="33"/>
  <c r="H44" i="3"/>
  <c r="C64" i="2"/>
  <c r="C24" i="21"/>
  <c r="C51" i="33"/>
  <c r="C17" i="4"/>
  <c r="C24" i="4"/>
  <c r="C8" i="4"/>
  <c r="H50" i="33"/>
  <c r="H47" i="26"/>
  <c r="H37" i="27"/>
  <c r="H34" i="3"/>
  <c r="H57" i="4"/>
  <c r="H32" i="4"/>
  <c r="C17" i="27"/>
  <c r="H30" i="32"/>
  <c r="C42" i="26"/>
  <c r="H44" i="28"/>
  <c r="C16" i="20"/>
  <c r="C29" i="27"/>
  <c r="C40" i="19"/>
  <c r="H40" i="2"/>
  <c r="H3" i="18" a="1"/>
  <c r="H3" i="18" s="1"/>
  <c r="I65" i="21"/>
  <c r="H3" i="21"/>
  <c r="H14" i="27"/>
  <c r="H3" i="3"/>
  <c r="I65" i="3"/>
  <c r="H39" i="20"/>
  <c r="C33" i="3"/>
  <c r="H15" i="2"/>
  <c r="H55" i="33"/>
  <c r="H23" i="21"/>
  <c r="H8" i="18" a="1"/>
  <c r="H8" i="18" s="1"/>
  <c r="H18" i="20"/>
  <c r="H50" i="21"/>
  <c r="H7" i="2"/>
  <c r="H4" i="1" a="1"/>
  <c r="H4" i="1" s="1"/>
  <c r="H13" i="20"/>
  <c r="H6" i="1" a="1"/>
  <c r="H6" i="1" s="1"/>
  <c r="H19" i="2"/>
  <c r="C52" i="32"/>
  <c r="C27" i="21"/>
  <c r="C43" i="2"/>
  <c r="H13" i="4"/>
  <c r="H55" i="19"/>
  <c r="H28" i="28"/>
  <c r="C48" i="33"/>
  <c r="C45" i="31"/>
  <c r="H16" i="4"/>
  <c r="C46" i="20"/>
  <c r="H45" i="26"/>
  <c r="H51" i="20"/>
  <c r="H14" i="33"/>
  <c r="H23" i="3"/>
  <c r="C16" i="3"/>
  <c r="H49" i="27"/>
  <c r="H52" i="33"/>
  <c r="C12" i="27"/>
  <c r="C32" i="20"/>
  <c r="C21" i="4"/>
  <c r="C4" i="26"/>
  <c r="H43" i="28"/>
  <c r="C47" i="27"/>
  <c r="H36" i="3"/>
  <c r="H27" i="2"/>
  <c r="C44" i="31"/>
  <c r="C39" i="20"/>
  <c r="C27" i="33"/>
  <c r="C23" i="2"/>
  <c r="C8" i="1" a="1"/>
  <c r="C8" i="1" s="1"/>
  <c r="H22" i="26"/>
  <c r="H27" i="21"/>
  <c r="C37" i="3"/>
  <c r="H53" i="32"/>
  <c r="C7" i="27"/>
  <c r="H12" i="4"/>
  <c r="C30" i="4"/>
  <c r="C26" i="33"/>
  <c r="H35" i="32"/>
  <c r="H12" i="31"/>
  <c r="C22" i="31"/>
  <c r="C20" i="28"/>
  <c r="C53" i="19"/>
  <c r="C45" i="4"/>
  <c r="C10" i="26"/>
  <c r="C17" i="32"/>
  <c r="C9" i="2"/>
  <c r="C36" i="3"/>
  <c r="H18" i="3"/>
  <c r="C10" i="3"/>
  <c r="C51" i="31"/>
  <c r="C14" i="20"/>
  <c r="C51" i="27"/>
  <c r="C8" i="27"/>
  <c r="H28" i="2"/>
  <c r="H26" i="2"/>
  <c r="H13" i="27"/>
  <c r="H5" i="26"/>
  <c r="H28" i="21"/>
  <c r="H48" i="27"/>
  <c r="H21" i="31"/>
  <c r="H38" i="20"/>
  <c r="C44" i="3"/>
  <c r="C21" i="32"/>
  <c r="C51" i="28"/>
  <c r="C15" i="27"/>
  <c r="C15" i="26"/>
  <c r="C4" i="32"/>
  <c r="H25" i="28"/>
  <c r="H31" i="4"/>
  <c r="H21" i="3"/>
  <c r="C55" i="3"/>
  <c r="H48" i="33"/>
  <c r="C30" i="2"/>
  <c r="C44" i="33"/>
  <c r="C16" i="28"/>
  <c r="H46" i="31"/>
  <c r="H28" i="3"/>
  <c r="H42" i="20"/>
  <c r="C11" i="33"/>
  <c r="C35" i="27"/>
  <c r="C8" i="32"/>
  <c r="C27" i="31"/>
  <c r="H12" i="21"/>
  <c r="H44" i="4"/>
  <c r="C49" i="33"/>
  <c r="C35" i="21"/>
  <c r="H14" i="2"/>
  <c r="C12" i="21"/>
  <c r="H18" i="2"/>
  <c r="H52" i="21"/>
  <c r="C23" i="33"/>
  <c r="C47" i="31"/>
  <c r="H53" i="19"/>
  <c r="C6" i="29" a="1"/>
  <c r="C6" i="29" s="1"/>
  <c r="C19" i="26"/>
  <c r="C13" i="19"/>
  <c r="C24" i="27"/>
  <c r="C24" i="31"/>
  <c r="H7" i="30" a="1"/>
  <c r="H7" i="30" s="1"/>
  <c r="H20" i="31"/>
  <c r="H49" i="26"/>
  <c r="C40" i="27"/>
  <c r="C7" i="19"/>
  <c r="H18" i="28"/>
  <c r="C43" i="27"/>
  <c r="C38" i="21"/>
  <c r="C36" i="20"/>
  <c r="C4" i="28"/>
  <c r="H58" i="4"/>
  <c r="C30" i="21"/>
  <c r="H14" i="32"/>
  <c r="C15" i="33"/>
  <c r="C28" i="20"/>
  <c r="C14" i="2"/>
  <c r="C52" i="28"/>
  <c r="H5" i="29" a="1"/>
  <c r="H5" i="29" s="1"/>
  <c r="H17" i="26"/>
  <c r="C45" i="32"/>
  <c r="C17" i="33"/>
  <c r="C39" i="19"/>
  <c r="C36" i="32"/>
  <c r="C37" i="33"/>
  <c r="C12" i="4"/>
  <c r="C34" i="32"/>
  <c r="H16" i="26"/>
  <c r="C16" i="21"/>
  <c r="H62" i="4"/>
  <c r="C25" i="27"/>
  <c r="H39" i="28"/>
  <c r="H39" i="19"/>
  <c r="H9" i="19"/>
  <c r="C37" i="19"/>
  <c r="C32" i="2"/>
  <c r="C18" i="3"/>
  <c r="H51" i="26"/>
  <c r="C54" i="21"/>
  <c r="C45" i="3"/>
  <c r="H22" i="19"/>
  <c r="H11" i="32"/>
  <c r="C44" i="27"/>
  <c r="H51" i="33"/>
  <c r="H37" i="21"/>
  <c r="H13" i="2"/>
  <c r="H32" i="26"/>
  <c r="C52" i="27"/>
  <c r="C46" i="3"/>
  <c r="C53" i="31"/>
  <c r="C28" i="33"/>
  <c r="C9" i="3"/>
  <c r="H48" i="26"/>
  <c r="H38" i="32"/>
  <c r="H4" i="21"/>
  <c r="H35" i="21"/>
  <c r="H62" i="2"/>
  <c r="H26" i="26"/>
  <c r="C5" i="20"/>
  <c r="H11" i="26"/>
  <c r="C7" i="29" a="1"/>
  <c r="C7" i="29" s="1"/>
  <c r="C20" i="26"/>
  <c r="C53" i="28"/>
  <c r="C13" i="27"/>
  <c r="C44" i="4"/>
  <c r="C33" i="20"/>
  <c r="C35" i="20"/>
  <c r="H37" i="32"/>
  <c r="C31" i="21"/>
  <c r="H15" i="28"/>
  <c r="H37" i="26"/>
  <c r="C35" i="32"/>
  <c r="C10" i="28"/>
  <c r="C20" i="3"/>
  <c r="C28" i="26"/>
  <c r="C25" i="20"/>
  <c r="C19" i="33"/>
  <c r="H60" i="2"/>
  <c r="C13" i="20"/>
  <c r="H7" i="3"/>
  <c r="C6" i="20"/>
  <c r="C16" i="31"/>
  <c r="C4" i="19"/>
  <c r="H40" i="32"/>
  <c r="C6" i="2"/>
  <c r="C22" i="32"/>
  <c r="H36" i="28"/>
  <c r="H51" i="31"/>
  <c r="H51" i="32"/>
  <c r="H9" i="33"/>
  <c r="C57" i="4"/>
  <c r="C37" i="20"/>
  <c r="H9" i="26"/>
  <c r="C8" i="26"/>
  <c r="C20" i="21"/>
  <c r="C7" i="18" a="1"/>
  <c r="C7" i="18" s="1"/>
  <c r="H14" i="21"/>
  <c r="H28" i="19"/>
  <c r="H42" i="31"/>
  <c r="C59" i="2"/>
  <c r="C3" i="29" a="1"/>
  <c r="C3" i="29" s="1"/>
  <c r="D65" i="26"/>
  <c r="C3" i="26"/>
  <c r="C5" i="30" a="1"/>
  <c r="C5" i="30" s="1"/>
  <c r="C17" i="31"/>
  <c r="C6" i="31"/>
  <c r="H17" i="27"/>
  <c r="H24" i="27"/>
  <c r="C40" i="33"/>
  <c r="C30" i="26"/>
  <c r="C31" i="26"/>
  <c r="H9" i="29" a="1"/>
  <c r="H9" i="29" s="1"/>
  <c r="H25" i="26"/>
  <c r="C61" i="4"/>
  <c r="C41" i="3"/>
  <c r="C13" i="32"/>
  <c r="C43" i="26"/>
  <c r="C26" i="26"/>
  <c r="H46" i="27"/>
  <c r="H35" i="19"/>
  <c r="H22" i="31"/>
  <c r="H16" i="27"/>
  <c r="C49" i="19"/>
  <c r="H35" i="28"/>
  <c r="C36" i="27"/>
  <c r="H38" i="28"/>
  <c r="H39" i="3"/>
  <c r="C21" i="20"/>
  <c r="H24" i="33"/>
  <c r="H49" i="33"/>
  <c r="C46" i="33"/>
  <c r="C15" i="28"/>
  <c r="H44" i="21"/>
  <c r="C29" i="3"/>
  <c r="C38" i="31"/>
  <c r="H43" i="19"/>
  <c r="H32" i="28"/>
  <c r="C32" i="33"/>
  <c r="C20" i="27"/>
  <c r="H21" i="33"/>
  <c r="C50" i="21"/>
  <c r="C30" i="20"/>
  <c r="H36" i="20"/>
  <c r="H9" i="31"/>
  <c r="C55" i="21"/>
  <c r="C22" i="19"/>
  <c r="H8" i="21"/>
  <c r="C38" i="26"/>
  <c r="C41" i="27"/>
  <c r="C32" i="19"/>
  <c r="C5" i="31"/>
  <c r="H63" i="2"/>
  <c r="H10" i="4"/>
  <c r="H49" i="28"/>
  <c r="H7" i="4"/>
  <c r="H43" i="2"/>
  <c r="C34" i="26"/>
  <c r="H5" i="20"/>
  <c r="H41" i="32"/>
  <c r="H8" i="2"/>
  <c r="H36" i="31"/>
  <c r="C7" i="30" a="1"/>
  <c r="C7" i="30" s="1"/>
  <c r="C20" i="31"/>
  <c r="H41" i="31"/>
  <c r="C40" i="21"/>
  <c r="H42" i="2"/>
  <c r="H10" i="31"/>
  <c r="H30" i="33"/>
  <c r="C49" i="28"/>
  <c r="H21" i="20"/>
  <c r="H30" i="27"/>
  <c r="H19" i="4"/>
  <c r="C40" i="20"/>
  <c r="H11" i="28"/>
  <c r="C6" i="27"/>
  <c r="H27" i="4"/>
  <c r="H37" i="3"/>
  <c r="H22" i="2"/>
  <c r="H31" i="3"/>
  <c r="C11" i="31"/>
  <c r="H29" i="2"/>
  <c r="C45" i="21"/>
  <c r="C44" i="20"/>
  <c r="H31" i="20"/>
  <c r="C29" i="21"/>
  <c r="C37" i="21"/>
  <c r="C22" i="20"/>
  <c r="C29" i="33"/>
  <c r="H14" i="20"/>
  <c r="H40" i="31"/>
  <c r="H29" i="32"/>
  <c r="C32" i="32"/>
  <c r="H10" i="33"/>
  <c r="C16" i="32"/>
  <c r="H32" i="19"/>
  <c r="H54" i="21"/>
  <c r="C40" i="2"/>
  <c r="C43" i="28"/>
  <c r="C30" i="28"/>
  <c r="C12" i="33"/>
  <c r="C11" i="3"/>
  <c r="C44" i="32"/>
  <c r="C52" i="31"/>
  <c r="C40" i="3"/>
  <c r="H33" i="31"/>
  <c r="H11" i="19"/>
  <c r="H54" i="28"/>
  <c r="C14" i="3"/>
  <c r="C13" i="21"/>
  <c r="H24" i="32"/>
  <c r="H51" i="27"/>
  <c r="C31" i="2"/>
  <c r="C14" i="28"/>
  <c r="C22" i="28"/>
  <c r="C38" i="19"/>
  <c r="C54" i="33"/>
  <c r="H23" i="27"/>
  <c r="H19" i="33"/>
  <c r="H36" i="33"/>
  <c r="H12" i="27"/>
  <c r="C20" i="19"/>
  <c r="C23" i="3"/>
  <c r="C54" i="19"/>
  <c r="H8" i="20"/>
  <c r="C17" i="3"/>
  <c r="C36" i="26"/>
  <c r="H50" i="20"/>
  <c r="H32" i="33"/>
  <c r="H16" i="20"/>
  <c r="H7" i="33"/>
  <c r="H36" i="32"/>
  <c r="H26" i="33"/>
  <c r="C45" i="26"/>
  <c r="C31" i="3"/>
  <c r="C35" i="31"/>
  <c r="H42" i="28"/>
  <c r="H18" i="19"/>
  <c r="H34" i="32"/>
  <c r="H34" i="31"/>
  <c r="H8" i="33"/>
  <c r="C41" i="31"/>
  <c r="H49" i="3"/>
  <c r="C46" i="26"/>
  <c r="C26" i="2"/>
  <c r="C30" i="31"/>
  <c r="H8" i="29" a="1"/>
  <c r="H8" i="29" s="1"/>
  <c r="H23" i="26"/>
  <c r="H50" i="19"/>
  <c r="H15" i="31"/>
  <c r="C17" i="19"/>
  <c r="C21" i="33"/>
  <c r="C33" i="28"/>
  <c r="C53" i="21"/>
  <c r="H48" i="28"/>
  <c r="H25" i="19"/>
  <c r="H31" i="32"/>
  <c r="C21" i="26"/>
  <c r="H27" i="3"/>
  <c r="H34" i="4"/>
  <c r="H38" i="21"/>
  <c r="C28" i="27"/>
  <c r="H16" i="32"/>
  <c r="C38" i="28"/>
  <c r="H6" i="32"/>
  <c r="H28" i="27"/>
  <c r="C45" i="33"/>
  <c r="H11" i="20"/>
  <c r="C20" i="32"/>
  <c r="H59" i="2"/>
  <c r="H31" i="19"/>
  <c r="H46" i="4"/>
  <c r="C15" i="4"/>
  <c r="C11" i="21"/>
  <c r="C6" i="33"/>
  <c r="C47" i="32"/>
  <c r="C7" i="4"/>
  <c r="C42" i="21"/>
  <c r="C44" i="28"/>
  <c r="C13" i="2"/>
  <c r="C3" i="4"/>
  <c r="D65" i="4"/>
  <c r="C49" i="21"/>
  <c r="C40" i="4"/>
  <c r="C18" i="28"/>
  <c r="H24" i="4"/>
  <c r="C29" i="2"/>
  <c r="C42" i="33"/>
  <c r="C5" i="19"/>
  <c r="H14" i="4"/>
  <c r="C38" i="33"/>
  <c r="H39" i="4"/>
  <c r="H57" i="2"/>
  <c r="H10" i="1" a="1"/>
  <c r="H10" i="1" s="1"/>
  <c r="H10" i="34" s="1"/>
  <c r="C30" i="19"/>
  <c r="H30" i="4"/>
  <c r="H43" i="20"/>
  <c r="H20" i="3"/>
  <c r="H11" i="3"/>
  <c r="C63" i="4"/>
  <c r="H22" i="20"/>
  <c r="H41" i="20"/>
  <c r="H6" i="18" a="1"/>
  <c r="H6" i="18" s="1"/>
  <c r="H19" i="21"/>
  <c r="H19" i="20"/>
  <c r="H11" i="4"/>
  <c r="H40" i="4"/>
  <c r="C8" i="19"/>
  <c r="H37" i="2"/>
  <c r="C47" i="20"/>
  <c r="C38" i="27"/>
  <c r="H9" i="18" a="1"/>
  <c r="H9" i="18" s="1"/>
  <c r="H25" i="21"/>
  <c r="H40" i="19"/>
  <c r="H17" i="33"/>
  <c r="H42" i="33"/>
  <c r="C15" i="3"/>
  <c r="H44" i="33"/>
  <c r="C50" i="28"/>
  <c r="C48" i="31"/>
  <c r="H16" i="28"/>
  <c r="H27" i="26"/>
  <c r="C25" i="3"/>
  <c r="C27" i="32"/>
  <c r="H31" i="21"/>
  <c r="C44" i="21"/>
  <c r="C12" i="20"/>
  <c r="C46" i="19"/>
  <c r="C31" i="27"/>
  <c r="C26" i="21"/>
  <c r="H38" i="4"/>
  <c r="H22" i="3"/>
  <c r="H26" i="32"/>
  <c r="H24" i="31"/>
  <c r="C47" i="4"/>
  <c r="C45" i="27"/>
  <c r="H29" i="4"/>
  <c r="C34" i="19"/>
  <c r="H58" i="2"/>
  <c r="H55" i="21"/>
  <c r="H40" i="20"/>
  <c r="C41" i="19"/>
  <c r="H45" i="33"/>
  <c r="H63" i="4"/>
  <c r="C7" i="20"/>
  <c r="C53" i="20"/>
  <c r="C5" i="28"/>
  <c r="C7" i="3"/>
  <c r="H30" i="28"/>
  <c r="H45" i="28"/>
  <c r="H48" i="20"/>
  <c r="H14" i="26"/>
  <c r="H54" i="31"/>
  <c r="H8" i="31"/>
  <c r="C8" i="3"/>
  <c r="C6" i="4"/>
  <c r="C8" i="30" a="1"/>
  <c r="C8" i="30" s="1"/>
  <c r="C23" i="31"/>
  <c r="C14" i="21"/>
  <c r="C18" i="4"/>
  <c r="H21" i="26"/>
  <c r="H26" i="31"/>
  <c r="H9" i="1" a="1"/>
  <c r="H9" i="1" s="1"/>
  <c r="H25" i="2"/>
  <c r="H24" i="21"/>
  <c r="C55" i="28"/>
  <c r="H28" i="4"/>
  <c r="C41" i="28"/>
  <c r="C3" i="31"/>
  <c r="D65" i="31"/>
  <c r="C3" i="30" a="1"/>
  <c r="C3" i="30" s="1"/>
  <c r="H4" i="3"/>
  <c r="H64" i="2"/>
  <c r="C54" i="20"/>
  <c r="C8" i="18" a="1"/>
  <c r="C8" i="18" s="1"/>
  <c r="C23" i="21"/>
  <c r="C54" i="26"/>
  <c r="C16" i="2"/>
  <c r="H55" i="27"/>
  <c r="C61" i="2"/>
  <c r="H8" i="4"/>
  <c r="H3" i="28"/>
  <c r="I65" i="28"/>
  <c r="H19" i="31"/>
  <c r="H6" i="30" a="1"/>
  <c r="H6" i="30" s="1"/>
  <c r="H55" i="31"/>
  <c r="C30" i="27"/>
  <c r="C41" i="20"/>
  <c r="H4" i="33"/>
  <c r="C9" i="31"/>
  <c r="C34" i="31"/>
  <c r="H15" i="21"/>
  <c r="C47" i="28"/>
  <c r="H10" i="27"/>
  <c r="H10" i="19"/>
  <c r="C59" i="4"/>
  <c r="C31" i="31"/>
  <c r="C23" i="19"/>
  <c r="C47" i="21"/>
  <c r="C55" i="31"/>
  <c r="C18" i="32"/>
  <c r="H7" i="27"/>
  <c r="C32" i="28"/>
  <c r="C15" i="20"/>
  <c r="C6" i="19"/>
  <c r="C34" i="21"/>
  <c r="H32" i="3"/>
  <c r="C37" i="28"/>
  <c r="C28" i="31"/>
  <c r="H18" i="4"/>
  <c r="C4" i="20"/>
  <c r="H29" i="21"/>
  <c r="C25" i="4"/>
  <c r="C34" i="27"/>
  <c r="H47" i="4"/>
  <c r="H44" i="20"/>
  <c r="C18" i="26"/>
  <c r="H43" i="31"/>
  <c r="H11" i="31"/>
  <c r="C15" i="19"/>
  <c r="C58" i="2"/>
  <c r="H10" i="3"/>
  <c r="H28" i="20"/>
  <c r="C9" i="4"/>
  <c r="H14" i="3"/>
  <c r="C21" i="19"/>
  <c r="C55" i="26"/>
  <c r="H25" i="27"/>
  <c r="H7" i="20"/>
  <c r="C24" i="20"/>
  <c r="C53" i="32"/>
  <c r="H18" i="31"/>
  <c r="C29" i="20"/>
  <c r="H17" i="31"/>
  <c r="H5" i="30" a="1"/>
  <c r="H5" i="30" s="1"/>
  <c r="C26" i="3"/>
  <c r="C50" i="19"/>
  <c r="H19" i="19"/>
  <c r="C22" i="21"/>
  <c r="H10" i="21"/>
  <c r="C3" i="33"/>
  <c r="D65" i="33"/>
  <c r="H42" i="32"/>
  <c r="C9" i="32"/>
  <c r="H52" i="20"/>
  <c r="C33" i="2"/>
  <c r="C40" i="32"/>
  <c r="C49" i="27"/>
  <c r="C15" i="21"/>
  <c r="H47" i="32"/>
  <c r="C17" i="26"/>
  <c r="C5" i="29" a="1"/>
  <c r="C5" i="29" s="1"/>
  <c r="C11" i="27"/>
  <c r="C27" i="27"/>
  <c r="C5" i="27"/>
  <c r="C15" i="2"/>
  <c r="C45" i="19"/>
  <c r="C5" i="26"/>
  <c r="C24" i="33"/>
  <c r="H50" i="26"/>
  <c r="H6" i="27"/>
  <c r="C9" i="27"/>
  <c r="C4" i="2"/>
  <c r="C10" i="33"/>
  <c r="H11" i="2"/>
  <c r="C52" i="19"/>
  <c r="C60" i="4"/>
  <c r="H38" i="27"/>
  <c r="C39" i="31"/>
  <c r="C11" i="20"/>
  <c r="C7" i="33"/>
  <c r="H21" i="2"/>
  <c r="C6" i="3"/>
  <c r="C50" i="3"/>
  <c r="C9" i="19"/>
  <c r="H25" i="33"/>
  <c r="C18" i="33"/>
  <c r="C16" i="4"/>
  <c r="C8" i="28"/>
  <c r="H21" i="32"/>
  <c r="C28" i="32"/>
  <c r="H31" i="33"/>
  <c r="H49" i="20"/>
  <c r="C4" i="4"/>
  <c r="C18" i="20"/>
  <c r="H18" i="21"/>
  <c r="C23" i="4"/>
  <c r="C35" i="2"/>
  <c r="H20" i="21"/>
  <c r="H7" i="18" a="1"/>
  <c r="H7" i="18" s="1"/>
  <c r="C40" i="31"/>
  <c r="C25" i="31"/>
  <c r="C9" i="30" a="1"/>
  <c r="C9" i="30" s="1"/>
  <c r="H23" i="32"/>
  <c r="H42" i="19"/>
  <c r="H11" i="18" l="1"/>
  <c r="B5" i="1" a="1"/>
  <c r="B5" i="1" s="1"/>
  <c r="C6" i="34"/>
  <c r="C8" i="34"/>
  <c r="C65" i="20"/>
  <c r="B8" i="1" a="1"/>
  <c r="B8" i="1" s="1"/>
  <c r="B6" i="1" a="1"/>
  <c r="B6" i="1" s="1"/>
  <c r="B5" i="29" a="1"/>
  <c r="B5" i="29" s="1"/>
  <c r="C11" i="30"/>
  <c r="H9" i="34"/>
  <c r="B9" i="1" a="1"/>
  <c r="B9" i="1" s="1"/>
  <c r="B5" i="30" a="1"/>
  <c r="B5" i="30" s="1"/>
  <c r="B6" i="30" a="1"/>
  <c r="B6" i="30" s="1"/>
  <c r="C65" i="32"/>
  <c r="C9" i="34"/>
  <c r="B9" i="29" a="1"/>
  <c r="B9" i="29" s="1"/>
  <c r="H5" i="34"/>
  <c r="H4" i="34"/>
  <c r="B4" i="18" a="1"/>
  <c r="B4" i="18" s="1"/>
  <c r="B4" i="29" a="1"/>
  <c r="B4" i="29" s="1"/>
  <c r="C65" i="33"/>
  <c r="C65" i="31"/>
  <c r="B3" i="30" a="1"/>
  <c r="B3" i="30" s="1"/>
  <c r="C65" i="4"/>
  <c r="C65" i="21"/>
  <c r="B3" i="18" a="1"/>
  <c r="B3" i="18" s="1"/>
  <c r="C65" i="19"/>
  <c r="C65" i="28"/>
  <c r="C65" i="3"/>
  <c r="B9" i="30" a="1"/>
  <c r="B9" i="30" s="1"/>
  <c r="C5" i="34"/>
  <c r="H7" i="34"/>
  <c r="B8" i="18" a="1"/>
  <c r="B8" i="18" s="1"/>
  <c r="C65" i="26"/>
  <c r="B3" i="29" a="1"/>
  <c r="B3" i="29" s="1"/>
  <c r="B7" i="18" a="1"/>
  <c r="B7" i="18" s="1"/>
  <c r="C11" i="18"/>
  <c r="C65" i="27"/>
  <c r="H8" i="34"/>
  <c r="B9" i="18" a="1"/>
  <c r="B9" i="18" s="1"/>
  <c r="B5" i="18" a="1"/>
  <c r="B5" i="18" s="1"/>
  <c r="C7" i="34"/>
  <c r="C65" i="2"/>
  <c r="B3" i="1" a="1"/>
  <c r="B3" i="1" s="1"/>
  <c r="B7" i="30" a="1"/>
  <c r="B7" i="30" s="1"/>
  <c r="H11" i="29"/>
  <c r="B7" i="29" a="1"/>
  <c r="B7" i="29" s="1"/>
  <c r="B6" i="29" a="1"/>
  <c r="B6" i="29" s="1"/>
  <c r="B10" i="1" a="1"/>
  <c r="B10" i="1" s="1"/>
  <c r="B4" i="30" a="1"/>
  <c r="B4" i="30" s="1"/>
  <c r="B8" i="29" a="1"/>
  <c r="B8" i="29" s="1"/>
  <c r="H11" i="30"/>
  <c r="B7" i="1" a="1"/>
  <c r="B7" i="1" s="1"/>
  <c r="B4" i="1" a="1"/>
  <c r="B4" i="1" s="1"/>
  <c r="G5" i="1"/>
  <c r="B5" i="34"/>
  <c r="D5" i="34" s="1"/>
  <c r="E5" i="34" s="1"/>
  <c r="D5" i="1"/>
  <c r="E5" i="1" s="1"/>
  <c r="B8" i="30" a="1"/>
  <c r="B8" i="30" s="1"/>
  <c r="C11" i="29"/>
  <c r="H6" i="34"/>
  <c r="H3" i="34"/>
  <c r="H11" i="1"/>
  <c r="H11" i="34" s="1"/>
  <c r="C3" i="34"/>
  <c r="C11" i="1"/>
  <c r="C11" i="34" s="1"/>
  <c r="B6" i="18" a="1"/>
  <c r="B6" i="18" s="1"/>
  <c r="C4" i="34"/>
  <c r="D3" i="29" l="1"/>
  <c r="E3" i="29" s="1"/>
  <c r="G3" i="29"/>
  <c r="I3" i="29" s="1"/>
  <c r="J3" i="29" s="1"/>
  <c r="B11" i="29"/>
  <c r="E65" i="19"/>
  <c r="F65" i="19" s="1"/>
  <c r="H65" i="19"/>
  <c r="J65" i="19" s="1"/>
  <c r="K65" i="19" s="1"/>
  <c r="B11" i="18"/>
  <c r="D3" i="18"/>
  <c r="E3" i="18" s="1"/>
  <c r="G3" i="18"/>
  <c r="I3" i="18" s="1"/>
  <c r="J3" i="18" s="1"/>
  <c r="D6" i="18"/>
  <c r="E6" i="18" s="1"/>
  <c r="G6" i="18"/>
  <c r="I6" i="18" s="1"/>
  <c r="J6" i="18" s="1"/>
  <c r="D10" i="1"/>
  <c r="E10" i="1" s="1"/>
  <c r="G10" i="1"/>
  <c r="B10" i="34"/>
  <c r="D10" i="34" s="1"/>
  <c r="E10" i="34" s="1"/>
  <c r="D5" i="18"/>
  <c r="E5" i="18" s="1"/>
  <c r="G5" i="18"/>
  <c r="I5" i="18" s="1"/>
  <c r="J5" i="18" s="1"/>
  <c r="D8" i="18"/>
  <c r="E8" i="18" s="1"/>
  <c r="G8" i="18"/>
  <c r="I8" i="18" s="1"/>
  <c r="J8" i="18" s="1"/>
  <c r="E65" i="21"/>
  <c r="F65" i="21" s="1"/>
  <c r="H65" i="21"/>
  <c r="J65" i="21" s="1"/>
  <c r="K65" i="21" s="1"/>
  <c r="D4" i="18"/>
  <c r="E4" i="18" s="1"/>
  <c r="G4" i="18"/>
  <c r="I4" i="18" s="1"/>
  <c r="J4" i="18" s="1"/>
  <c r="D9" i="18"/>
  <c r="E9" i="18" s="1"/>
  <c r="G9" i="18"/>
  <c r="I9" i="18" s="1"/>
  <c r="J9" i="18" s="1"/>
  <c r="H65" i="4"/>
  <c r="J65" i="4" s="1"/>
  <c r="K65" i="4" s="1"/>
  <c r="E65" i="4"/>
  <c r="F65" i="4" s="1"/>
  <c r="G5" i="29"/>
  <c r="I5" i="29" s="1"/>
  <c r="J5" i="29" s="1"/>
  <c r="D5" i="29"/>
  <c r="E5" i="29" s="1"/>
  <c r="G8" i="29"/>
  <c r="I8" i="29" s="1"/>
  <c r="J8" i="29" s="1"/>
  <c r="D8" i="29"/>
  <c r="E8" i="29" s="1"/>
  <c r="E65" i="2"/>
  <c r="F65" i="2" s="1"/>
  <c r="H65" i="2"/>
  <c r="J65" i="2" s="1"/>
  <c r="K65" i="2" s="1"/>
  <c r="D4" i="30"/>
  <c r="E4" i="30" s="1"/>
  <c r="G4" i="30"/>
  <c r="I4" i="30" s="1"/>
  <c r="J4" i="30" s="1"/>
  <c r="G9" i="29"/>
  <c r="I9" i="29" s="1"/>
  <c r="J9" i="29" s="1"/>
  <c r="D9" i="29"/>
  <c r="E9" i="29" s="1"/>
  <c r="I5" i="1"/>
  <c r="J5" i="1" s="1"/>
  <c r="G7" i="29"/>
  <c r="I7" i="29" s="1"/>
  <c r="J7" i="29" s="1"/>
  <c r="D7" i="29"/>
  <c r="E7" i="29" s="1"/>
  <c r="G3" i="30"/>
  <c r="I3" i="30" s="1"/>
  <c r="J3" i="30" s="1"/>
  <c r="B11" i="30"/>
  <c r="D3" i="30"/>
  <c r="E3" i="30" s="1"/>
  <c r="D6" i="1"/>
  <c r="E6" i="1" s="1"/>
  <c r="G6" i="1"/>
  <c r="B6" i="34"/>
  <c r="D6" i="34" s="1"/>
  <c r="E6" i="34" s="1"/>
  <c r="D8" i="30"/>
  <c r="E8" i="30" s="1"/>
  <c r="G8" i="30"/>
  <c r="I8" i="30" s="1"/>
  <c r="J8" i="30" s="1"/>
  <c r="E65" i="26"/>
  <c r="F65" i="26" s="1"/>
  <c r="H65" i="26"/>
  <c r="J65" i="26" s="1"/>
  <c r="K65" i="26" s="1"/>
  <c r="D4" i="1"/>
  <c r="E4" i="1" s="1"/>
  <c r="G4" i="1"/>
  <c r="B4" i="34"/>
  <c r="D4" i="34" s="1"/>
  <c r="E4" i="34" s="1"/>
  <c r="H65" i="27"/>
  <c r="J65" i="27" s="1"/>
  <c r="K65" i="27" s="1"/>
  <c r="E65" i="27"/>
  <c r="F65" i="27" s="1"/>
  <c r="G9" i="30"/>
  <c r="I9" i="30" s="1"/>
  <c r="J9" i="30" s="1"/>
  <c r="D9" i="30"/>
  <c r="E9" i="30" s="1"/>
  <c r="E65" i="31"/>
  <c r="F65" i="31" s="1"/>
  <c r="H65" i="31"/>
  <c r="J65" i="31" s="1"/>
  <c r="K65" i="31" s="1"/>
  <c r="H65" i="32"/>
  <c r="J65" i="32" s="1"/>
  <c r="K65" i="32" s="1"/>
  <c r="E65" i="32"/>
  <c r="F65" i="32" s="1"/>
  <c r="B8" i="34"/>
  <c r="D8" i="34" s="1"/>
  <c r="E8" i="34" s="1"/>
  <c r="G8" i="1"/>
  <c r="D8" i="1"/>
  <c r="E8" i="1" s="1"/>
  <c r="G9" i="1"/>
  <c r="B9" i="34"/>
  <c r="D9" i="34" s="1"/>
  <c r="E9" i="34" s="1"/>
  <c r="D9" i="1"/>
  <c r="E9" i="1" s="1"/>
  <c r="G6" i="29"/>
  <c r="I6" i="29" s="1"/>
  <c r="J6" i="29" s="1"/>
  <c r="D6" i="29"/>
  <c r="E6" i="29" s="1"/>
  <c r="B7" i="34"/>
  <c r="D7" i="34" s="1"/>
  <c r="E7" i="34" s="1"/>
  <c r="D7" i="1"/>
  <c r="E7" i="1" s="1"/>
  <c r="G7" i="1"/>
  <c r="G7" i="30"/>
  <c r="I7" i="30" s="1"/>
  <c r="J7" i="30" s="1"/>
  <c r="D7" i="30"/>
  <c r="E7" i="30" s="1"/>
  <c r="E65" i="3"/>
  <c r="F65" i="3" s="1"/>
  <c r="H65" i="3"/>
  <c r="J65" i="3" s="1"/>
  <c r="K65" i="3" s="1"/>
  <c r="H65" i="33"/>
  <c r="J65" i="33" s="1"/>
  <c r="K65" i="33" s="1"/>
  <c r="E65" i="33"/>
  <c r="F65" i="33" s="1"/>
  <c r="D6" i="30"/>
  <c r="E6" i="30" s="1"/>
  <c r="G6" i="30"/>
  <c r="I6" i="30" s="1"/>
  <c r="J6" i="30" s="1"/>
  <c r="H65" i="20"/>
  <c r="J65" i="20" s="1"/>
  <c r="K65" i="20" s="1"/>
  <c r="E65" i="20"/>
  <c r="F65" i="20" s="1"/>
  <c r="B3" i="34"/>
  <c r="D3" i="34" s="1"/>
  <c r="E3" i="34" s="1"/>
  <c r="D3" i="1"/>
  <c r="E3" i="1" s="1"/>
  <c r="G3" i="1"/>
  <c r="B11" i="1"/>
  <c r="G7" i="18"/>
  <c r="I7" i="18" s="1"/>
  <c r="J7" i="18" s="1"/>
  <c r="D7" i="18"/>
  <c r="E7" i="18" s="1"/>
  <c r="E65" i="28"/>
  <c r="F65" i="28" s="1"/>
  <c r="H65" i="28"/>
  <c r="J65" i="28" s="1"/>
  <c r="K65" i="28" s="1"/>
  <c r="D4" i="29"/>
  <c r="E4" i="29" s="1"/>
  <c r="G4" i="29"/>
  <c r="I4" i="29" s="1"/>
  <c r="J4" i="29" s="1"/>
  <c r="G5" i="30"/>
  <c r="I5" i="30" s="1"/>
  <c r="J5" i="30" s="1"/>
  <c r="D5" i="30"/>
  <c r="E5" i="30" s="1"/>
  <c r="I9" i="1" l="1"/>
  <c r="J9" i="1" s="1"/>
  <c r="G9" i="34"/>
  <c r="I9" i="34" s="1"/>
  <c r="J9" i="34" s="1"/>
  <c r="I8" i="1"/>
  <c r="J8" i="1" s="1"/>
  <c r="G8" i="34"/>
  <c r="I8" i="34" s="1"/>
  <c r="J8" i="34" s="1"/>
  <c r="G11" i="18"/>
  <c r="I11" i="18" s="1"/>
  <c r="J11" i="18" s="1"/>
  <c r="D11" i="18"/>
  <c r="E11" i="18" s="1"/>
  <c r="G5" i="34"/>
  <c r="I5" i="34" s="1"/>
  <c r="J5" i="34" s="1"/>
  <c r="G3" i="34"/>
  <c r="I3" i="34" s="1"/>
  <c r="J3" i="34" s="1"/>
  <c r="G11" i="1"/>
  <c r="I3" i="1"/>
  <c r="J3" i="1" s="1"/>
  <c r="I6" i="1"/>
  <c r="J6" i="1" s="1"/>
  <c r="G6" i="34"/>
  <c r="I6" i="34" s="1"/>
  <c r="J6" i="34" s="1"/>
  <c r="I10" i="1"/>
  <c r="J10" i="1" s="1"/>
  <c r="G10" i="34"/>
  <c r="I10" i="34" s="1"/>
  <c r="J10" i="34" s="1"/>
  <c r="D11" i="1"/>
  <c r="E11" i="1" s="1"/>
  <c r="B11" i="34"/>
  <c r="D11" i="34" s="1"/>
  <c r="E11" i="34" s="1"/>
  <c r="G4" i="34"/>
  <c r="I4" i="34" s="1"/>
  <c r="J4" i="34" s="1"/>
  <c r="I4" i="1"/>
  <c r="J4" i="1" s="1"/>
  <c r="G11" i="29"/>
  <c r="I11" i="29" s="1"/>
  <c r="J11" i="29" s="1"/>
  <c r="D11" i="29"/>
  <c r="E11" i="29" s="1"/>
  <c r="G7" i="34"/>
  <c r="I7" i="34" s="1"/>
  <c r="J7" i="34" s="1"/>
  <c r="I7" i="1"/>
  <c r="J7" i="1" s="1"/>
  <c r="D11" i="30"/>
  <c r="E11" i="30" s="1"/>
  <c r="G11" i="30"/>
  <c r="I11" i="30" s="1"/>
  <c r="J11" i="30" s="1"/>
  <c r="G11" i="34" l="1"/>
  <c r="I11" i="34" s="1"/>
  <c r="J11" i="34" s="1"/>
  <c r="I11" i="1"/>
  <c r="J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<sst xmlns="http://schemas.openxmlformats.org/spreadsheetml/2006/main" count="3342" uniqueCount="222">
  <si>
    <t>WELLS FARGO</t>
  </si>
  <si>
    <t>YTD Total 2024 Actual v. Expected</t>
  </si>
  <si>
    <t>YTD Total 2024 Actual v. Forecasted</t>
  </si>
  <si>
    <t>State</t>
  </si>
  <si>
    <t>Actual</t>
  </si>
  <si>
    <t>Expected</t>
  </si>
  <si>
    <t>Delta</t>
  </si>
  <si>
    <t>%</t>
  </si>
  <si>
    <t>Forecasted</t>
  </si>
  <si>
    <t>Gold highlighted cells for Actual Production vs Expected and Forecasted values varying positive 10% or more.</t>
  </si>
  <si>
    <t>Red highlighted cells for Actual Production vs Expected and Forecasted values varying negative 10% or more.</t>
  </si>
  <si>
    <t>Total</t>
  </si>
  <si>
    <t>1st Quarter 2024 Actual v. Expected</t>
  </si>
  <si>
    <t>1st Quarter 2024 Actual v. Forecasted</t>
  </si>
  <si>
    <t>2nd Quarter 2024 Actual v. Expected</t>
  </si>
  <si>
    <t>2nd Quarter 2024 Actual v. Forecasted</t>
  </si>
  <si>
    <t>3rd Quarter 2024 Actual v. Expected</t>
  </si>
  <si>
    <t>3rd Quarter 2024 Actual v. Forecasted</t>
  </si>
  <si>
    <t>4th Quarter 2024 Actual v. Expected</t>
  </si>
  <si>
    <t>4th Quarter 2024 Actual v. Forecasted</t>
  </si>
  <si>
    <t>01-2024 Actual v. Expected</t>
  </si>
  <si>
    <t>01-2024 Actual v. Forecasted</t>
  </si>
  <si>
    <t>NOTES</t>
  </si>
  <si>
    <t>SR</t>
  </si>
  <si>
    <t>Site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</si>
  <si>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</si>
  <si>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</si>
  <si>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</si>
  <si>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</si>
  <si>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</si>
  <si>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</si>
  <si>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</si>
  <si>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</si>
  <si>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</si>
  <si>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</si>
  <si>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</si>
  <si>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</si>
  <si>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</si>
  <si>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</si>
  <si>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</si>
  <si>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</si>
  <si>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</si>
  <si>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</si>
  <si>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</si>
  <si>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</si>
  <si>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</si>
  <si>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</si>
  <si>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Site DAS Name</t>
  </si>
  <si>
    <t># of sites:</t>
  </si>
  <si>
    <t>62</t>
  </si>
  <si>
    <t>BE 191334 Adams &amp; Broadway</t>
  </si>
  <si>
    <t>Adams &amp; Broadway</t>
  </si>
  <si>
    <t>CA</t>
  </si>
  <si>
    <t>BE 196270 - Otay Mesa (ATM)</t>
  </si>
  <si>
    <t>Otay Mesa</t>
  </si>
  <si>
    <t>BE 144682 - San Leandro Ops Center</t>
  </si>
  <si>
    <t>San Leandro Ops Center</t>
  </si>
  <si>
    <t>AE</t>
  </si>
  <si>
    <t>AEF</t>
  </si>
  <si>
    <t>BE 191705 - Van Nuys</t>
  </si>
  <si>
    <t>Van Nuys</t>
  </si>
  <si>
    <t>A</t>
  </si>
  <si>
    <t>AF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</si>
  <si>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</si>
  <si>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</si>
  <si>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</si>
  <si>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</si>
  <si>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</si>
  <si>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</si>
  <si>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</si>
  <si>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</si>
  <si>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</si>
  <si>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106004 - Havana Gardens</t>
  </si>
  <si>
    <t>Havana Gardens</t>
  </si>
  <si>
    <t>BE 102040 - Highlands Ranch South</t>
  </si>
  <si>
    <t>Highlands Ranch South</t>
  </si>
  <si>
    <t>BE 120717 - Lone Tree</t>
  </si>
  <si>
    <t>Lone Tree</t>
  </si>
  <si>
    <t>BE 103553 - Meridian</t>
  </si>
  <si>
    <t>Meridian</t>
  </si>
  <si>
    <t>BE 105797 - Southglenn Relocation</t>
  </si>
  <si>
    <t>Southglenn Relocation</t>
  </si>
  <si>
    <t>BE 120768 - Standley Lake</t>
  </si>
  <si>
    <t>Standley Lake</t>
  </si>
  <si>
    <t>BE 144783 - East Hartford</t>
  </si>
  <si>
    <t>East Hartford</t>
  </si>
  <si>
    <t>CT</t>
  </si>
  <si>
    <t>BE 144725 - Norwalk Post Road</t>
  </si>
  <si>
    <t>Norwalk Post Road</t>
  </si>
  <si>
    <t>BE 107447 - Hialeah Gardens</t>
  </si>
  <si>
    <t>Hialeah Gardens</t>
  </si>
  <si>
    <t>FL</t>
  </si>
  <si>
    <t>BE 150140 - HMHQ</t>
  </si>
  <si>
    <t>HMHQ</t>
  </si>
  <si>
    <t>IA</t>
  </si>
  <si>
    <t>BE 150496 - West Des Moines Campus East</t>
  </si>
  <si>
    <t>West Des Moines Campus East</t>
  </si>
  <si>
    <t>BE 150496 - West Des Moines Campus SW</t>
  </si>
  <si>
    <t>West Des Moines Campus West</t>
  </si>
  <si>
    <t>BE 141278 - CIC</t>
  </si>
  <si>
    <t>CIC</t>
  </si>
  <si>
    <t>NC</t>
  </si>
  <si>
    <t>BE 141954 - DUC</t>
  </si>
  <si>
    <t>DUC</t>
  </si>
  <si>
    <t>BE 141441 - Barnegat Office</t>
  </si>
  <si>
    <t>Barnegat Office</t>
  </si>
  <si>
    <t>NJ</t>
  </si>
  <si>
    <t>BE 141327 - Bayonne Office</t>
  </si>
  <si>
    <t>Bayonne Office</t>
  </si>
  <si>
    <t>BE 144103 - Bordentown</t>
  </si>
  <si>
    <t>Bordentown</t>
  </si>
  <si>
    <t>BE 141423 - Burlington Springside</t>
  </si>
  <si>
    <t>Burlington Springside</t>
  </si>
  <si>
    <t>BE 141916 - Cherry Hill Short Hills</t>
  </si>
  <si>
    <t>Cherry Hill Short Hills</t>
  </si>
  <si>
    <t>BE 141467 - Clark Office</t>
  </si>
  <si>
    <t>Clark Office</t>
  </si>
  <si>
    <t>BE 141382 - Clifton Office</t>
  </si>
  <si>
    <t>Clifton Office</t>
  </si>
  <si>
    <t>BE 145709 - Clinton Main Relo</t>
  </si>
  <si>
    <t>Clinton Main Relo</t>
  </si>
  <si>
    <t>BE 141468 - Closter Office</t>
  </si>
  <si>
    <t>Closter Office</t>
  </si>
  <si>
    <t>BE 140171 - East Windsor</t>
  </si>
  <si>
    <t>East Windsor</t>
  </si>
  <si>
    <t>BE 141344 - Edison Office</t>
  </si>
  <si>
    <t>Edison Office</t>
  </si>
  <si>
    <t>BE 144566 - Ellisburg Circle Center</t>
  </si>
  <si>
    <t>Ellisburg Circle Center</t>
  </si>
  <si>
    <t>BE 142050 - Flemington</t>
  </si>
  <si>
    <t>Flemington</t>
  </si>
  <si>
    <t>BE 144110 - Franklin Township</t>
  </si>
  <si>
    <t>Franklin Township</t>
  </si>
  <si>
    <t>BE 145739 - Haddon Westmont Plaza</t>
  </si>
  <si>
    <t>Haddon Westmont Plaza</t>
  </si>
  <si>
    <t>BE 142875 - Hainesport Crossroads</t>
  </si>
  <si>
    <t>Hainesport Crossroads</t>
  </si>
  <si>
    <t>BE 140216 - Holmdel - Rt. 35</t>
  </si>
  <si>
    <t>Holmdel Rt. 35</t>
  </si>
  <si>
    <t>BE 141466 - Laurelton Office</t>
  </si>
  <si>
    <t>Laurelton Office</t>
  </si>
  <si>
    <t>BE 142088 - Mahwah</t>
  </si>
  <si>
    <t>Mahwah</t>
  </si>
  <si>
    <t>BE 141445 - Manchester Office</t>
  </si>
  <si>
    <t>Manchester Office</t>
  </si>
  <si>
    <t>BE 140334 - Marlton</t>
  </si>
  <si>
    <t>Marlton</t>
  </si>
  <si>
    <t>BE 140262 - Middletown</t>
  </si>
  <si>
    <t>Middletown</t>
  </si>
  <si>
    <t>BE 143233 - North Brunswick</t>
  </si>
  <si>
    <t>North Brunswick</t>
  </si>
  <si>
    <t>BE 141427 - North Elizabeth</t>
  </si>
  <si>
    <t>North Elizabeth</t>
  </si>
  <si>
    <t>BE 141317 - Nutley</t>
  </si>
  <si>
    <t>Nutley</t>
  </si>
  <si>
    <t>BE 141464 - Parsippany Rt. 46</t>
  </si>
  <si>
    <t>Parsippany Rt. 46</t>
  </si>
  <si>
    <t>BE 140332 - Rt. 22 Springfield</t>
  </si>
  <si>
    <t>Rt. 22 Springfield</t>
  </si>
  <si>
    <t>BE 144813 - Somerset</t>
  </si>
  <si>
    <t>Somerset</t>
  </si>
  <si>
    <t>BE 141918 - South Plainfield</t>
  </si>
  <si>
    <t>South Plainfield</t>
  </si>
  <si>
    <t>BE 144269 - West Deptford / Woodbury</t>
  </si>
  <si>
    <t>West Deptford Woodbury</t>
  </si>
  <si>
    <t>BE 141443 - Whiting</t>
  </si>
  <si>
    <t>Whiting</t>
  </si>
  <si>
    <t>102 - San Antonio Ops</t>
  </si>
  <si>
    <t>TX</t>
  </si>
  <si>
    <t>BE 144679 - 104 - San Antonio Ops</t>
  </si>
  <si>
    <t>104 - San Antonio Ops</t>
  </si>
  <si>
    <t>BE 144679 - 106 - San Antonio Ops</t>
  </si>
  <si>
    <t>106 - San Antonio Ops</t>
  </si>
  <si>
    <t>BE 144679 - 201 - San Antonio Ops</t>
  </si>
  <si>
    <t>201 - San Antonio Ops</t>
  </si>
  <si>
    <t>BE 144679 - 203 - San Antonio Ops</t>
  </si>
  <si>
    <t>203 - San Antonio Ops</t>
  </si>
  <si>
    <t>BE 144679 - 205 - San Antonio Ops</t>
  </si>
  <si>
    <t>205 - San Antonio Ops</t>
  </si>
  <si>
    <t>BE 144679 - 307 - San Antonio Ops</t>
  </si>
  <si>
    <t>307 - San Antonio Ops</t>
  </si>
  <si>
    <t>BE 144679 - 308 - San Antonio Ops</t>
  </si>
  <si>
    <t>308 - San Antonio Ops</t>
  </si>
  <si>
    <t>BE 144679 - GM - San Antonio Ops</t>
  </si>
  <si>
    <t>GM - San Antonio Ops</t>
  </si>
  <si>
    <t>State:</t>
  </si>
  <si>
    <t>Actual vs. Expected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</si>
  <si>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</si>
  <si>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</si>
  <si>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</si>
  <si>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</si>
  <si>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</si>
  <si>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</si>
  <si>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</si>
  <si>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</si>
  <si>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</si>
  <si>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</si>
  <si>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</si>
  <si>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</si>
  <si>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</si>
  <si>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</si>
  <si>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Actual vs. Forecasted</t>
  </si>
  <si>
    <t>Notes</t>
  </si>
  <si>
    <t>Service Request</t>
  </si>
  <si>
    <t xml:space="preserve"> </t>
  </si>
  <si>
    <t>Inverter 4 was replaced on 01/31</t>
  </si>
  <si>
    <t>SR079901</t>
  </si>
  <si>
    <t>03/01/2023 Per Kate - Do Not Pursue Weather Station</t>
  </si>
  <si>
    <t>Site is offline from 05/12/2023</t>
  </si>
  <si>
    <t>SR078942</t>
  </si>
  <si>
    <t>DAS Site Name</t>
  </si>
  <si>
    <t xml:space="preserve">Expected energy was not available till 01/30 </t>
  </si>
  <si>
    <t>SR080333</t>
  </si>
  <si>
    <t xml:space="preserve">Inverter 4 tripped offline on 01/31
Expected energy was not available till 01/30 </t>
  </si>
  <si>
    <t>SR080633
SR080334</t>
  </si>
  <si>
    <t xml:space="preserve">Site de-energized 06/02/2023  due to TIGO investigation. </t>
  </si>
  <si>
    <t>SR078172</t>
  </si>
  <si>
    <t>SR078173</t>
  </si>
  <si>
    <t>No data available</t>
  </si>
  <si>
    <t>Site's de-energized 06/02/2023  due to TIGO investigation</t>
  </si>
  <si>
    <t>Inverter 17 was offline from morning and back online at 14:00 on 01/24</t>
  </si>
  <si>
    <t>SR080443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</si>
</sst>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8"/>
      <color rgb="FF9C5700"/>
      <name val="Calibri"/>
      <family val="2"/>
      <scheme val="minor"/>
    </font>
    <font>
      <sz val="8"/>
      <color rgb="FF9C0006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Arial"/>
      <family val="2"/>
    </font>
    <font>
      <sz val="11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1" borderId="12" applyNumberFormat="0" applyAlignment="0" applyProtection="0"/>
    <xf numFmtId="0" fontId="20" fillId="11" borderId="11" applyNumberFormat="0" applyAlignment="0" applyProtection="0"/>
    <xf numFmtId="0" fontId="21" fillId="0" borderId="13" applyNumberFormat="0" applyFill="0" applyAlignment="0" applyProtection="0"/>
    <xf numFmtId="0" fontId="22" fillId="12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13" borderId="15" applyNumberFormat="0" applyFont="0" applyAlignment="0" applyProtection="0"/>
  </cellStyleXfs>
  <cellXfs count="265">
    <xf numFmtId="0" fontId="0" fillId="0" borderId="0" xfId="0"/>
    <xf numFmtId="3" fontId="3" fillId="3" borderId="3" xfId="0" applyNumberFormat="1" applyFont="1" applyFill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9" fontId="5" fillId="3" borderId="1" xfId="2" applyFont="1" applyFill="1" applyBorder="1" applyAlignment="1">
      <alignment horizontal="center"/>
    </xf>
    <xf numFmtId="9" fontId="5" fillId="0" borderId="0" xfId="2" applyFont="1" applyAlignment="1">
      <alignment horizontal="center"/>
    </xf>
    <xf numFmtId="9" fontId="5" fillId="4" borderId="2" xfId="2" applyFont="1" applyFill="1" applyBorder="1" applyAlignment="1">
      <alignment horizontal="center"/>
    </xf>
    <xf numFmtId="9" fontId="5" fillId="4" borderId="3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4" borderId="6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 vertical="center" wrapText="1"/>
    </xf>
    <xf numFmtId="0" fontId="9" fillId="3" borderId="6" xfId="0" applyFont="1" applyFill="1" applyBorder="1" applyAlignment="1">
      <alignment horizontal="right" vertical="center" wrapText="1"/>
    </xf>
    <xf numFmtId="9" fontId="10" fillId="3" borderId="7" xfId="2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3" fontId="0" fillId="0" borderId="0" xfId="0" applyNumberFormat="1"/>
    <xf numFmtId="0" fontId="27" fillId="0" borderId="1" xfId="43" applyFont="1" applyBorder="1"/>
    <xf numFmtId="0" fontId="27" fillId="0" borderId="3" xfId="43" applyFont="1" applyBorder="1"/>
    <xf numFmtId="0" fontId="27" fillId="0" borderId="4" xfId="43" applyFont="1" applyBorder="1"/>
    <xf numFmtId="0" fontId="27" fillId="0" borderId="19" xfId="43" applyFont="1" applyBorder="1"/>
    <xf numFmtId="0" fontId="27" fillId="0" borderId="18" xfId="43" applyFont="1" applyBorder="1"/>
    <xf numFmtId="0" fontId="27" fillId="0" borderId="20" xfId="43" applyFont="1" applyBorder="1"/>
    <xf numFmtId="0" fontId="27" fillId="0" borderId="21" xfId="43" applyFont="1" applyBorder="1"/>
    <xf numFmtId="0" fontId="0" fillId="0" borderId="19" xfId="0" applyBorder="1"/>
    <xf numFmtId="0" fontId="27" fillId="0" borderId="19" xfId="43" applyFont="1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0" xfId="0" applyNumberFormat="1"/>
    <xf numFmtId="0" fontId="0" fillId="0" borderId="22" xfId="0" applyBorder="1" applyAlignment="1">
      <alignment horizontal="center"/>
    </xf>
    <xf numFmtId="0" fontId="3" fillId="3" borderId="24" xfId="0" applyFont="1" applyFill="1" applyBorder="1" applyAlignment="1">
      <alignment horizontal="center" vertical="center" wrapText="1"/>
    </xf>
    <xf numFmtId="9" fontId="5" fillId="3" borderId="24" xfId="2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 vertical="center" wrapText="1"/>
    </xf>
    <xf numFmtId="9" fontId="5" fillId="4" borderId="24" xfId="2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 wrapText="1"/>
    </xf>
    <xf numFmtId="0" fontId="27" fillId="0" borderId="25" xfId="43" applyFont="1" applyBorder="1"/>
    <xf numFmtId="0" fontId="27" fillId="0" borderId="25" xfId="43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27" fillId="0" borderId="1" xfId="43" applyFont="1" applyBorder="1" applyAlignment="1">
      <alignment horizontal="center" vertical="center"/>
    </xf>
    <xf numFmtId="0" fontId="27" fillId="0" borderId="24" xfId="43" applyFont="1" applyBorder="1" applyAlignment="1">
      <alignment horizontal="center" vertical="center"/>
    </xf>
    <xf numFmtId="0" fontId="27" fillId="0" borderId="4" xfId="43" applyFon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29" xfId="0" applyBorder="1"/>
    <xf numFmtId="0" fontId="6" fillId="2" borderId="19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/>
    </xf>
    <xf numFmtId="0" fontId="9" fillId="3" borderId="41" xfId="0" applyFont="1" applyFill="1" applyBorder="1" applyAlignment="1">
      <alignment horizontal="right" vertical="center" wrapText="1"/>
    </xf>
    <xf numFmtId="9" fontId="10" fillId="3" borderId="45" xfId="2" applyFont="1" applyFill="1" applyBorder="1" applyAlignment="1">
      <alignment horizontal="center" vertical="center" wrapText="1"/>
    </xf>
    <xf numFmtId="9" fontId="10" fillId="4" borderId="39" xfId="2" applyFont="1" applyFill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4" borderId="32" xfId="0" applyFont="1" applyFill="1" applyBorder="1" applyAlignment="1">
      <alignment horizontal="right"/>
    </xf>
    <xf numFmtId="0" fontId="9" fillId="4" borderId="32" xfId="0" applyFont="1" applyFill="1" applyBorder="1" applyAlignment="1">
      <alignment horizontal="right" vertical="center" wrapText="1"/>
    </xf>
    <xf numFmtId="9" fontId="10" fillId="4" borderId="49" xfId="2" applyFont="1" applyFill="1" applyBorder="1" applyAlignment="1">
      <alignment horizontal="center"/>
    </xf>
    <xf numFmtId="49" fontId="0" fillId="0" borderId="0" xfId="0" applyNumberFormat="1"/>
    <xf numFmtId="0" fontId="8" fillId="43" borderId="0" xfId="0" applyFont="1" applyFill="1"/>
    <xf numFmtId="9" fontId="10" fillId="4" borderId="51" xfId="2" applyFont="1" applyFill="1" applyBorder="1" applyAlignment="1">
      <alignment horizontal="center"/>
    </xf>
    <xf numFmtId="9" fontId="10" fillId="4" borderId="52" xfId="2" applyFont="1" applyFill="1" applyBorder="1" applyAlignment="1">
      <alignment horizontal="center"/>
    </xf>
    <xf numFmtId="9" fontId="10" fillId="4" borderId="55" xfId="2" applyFont="1" applyFill="1" applyBorder="1" applyAlignment="1">
      <alignment horizontal="center"/>
    </xf>
    <xf numFmtId="9" fontId="10" fillId="4" borderId="54" xfId="2" applyFont="1" applyFill="1" applyBorder="1" applyAlignment="1">
      <alignment horizontal="center"/>
    </xf>
    <xf numFmtId="49" fontId="0" fillId="0" borderId="19" xfId="0" applyNumberFormat="1" applyBorder="1" applyAlignment="1">
      <alignment wrapText="1"/>
    </xf>
    <xf numFmtId="0" fontId="4" fillId="0" borderId="59" xfId="0" applyFont="1" applyBorder="1" applyAlignment="1">
      <alignment vertical="center"/>
    </xf>
    <xf numFmtId="0" fontId="2" fillId="0" borderId="0" xfId="0" applyFont="1" applyAlignment="1">
      <alignment horizontal="center"/>
    </xf>
    <xf numFmtId="9" fontId="5" fillId="38" borderId="2" xfId="2" applyFont="1" applyFill="1" applyBorder="1" applyAlignment="1">
      <alignment horizontal="center" vertical="center" wrapText="1"/>
    </xf>
    <xf numFmtId="9" fontId="5" fillId="44" borderId="24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8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/>
    </xf>
    <xf numFmtId="9" fontId="5" fillId="4" borderId="3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6" borderId="1" xfId="0" applyNumberFormat="1" applyFill="1" applyBorder="1"/>
    <xf numFmtId="0" fontId="29" fillId="45" borderId="0" xfId="0" applyFont="1" applyFill="1" applyAlignment="1">
      <alignment horizontal="left" vertical="center" wrapText="1" indent="1"/>
    </xf>
    <xf numFmtId="0" fontId="30" fillId="46" borderId="0" xfId="0" applyFont="1" applyFill="1" applyAlignment="1">
      <alignment horizontal="left" vertical="center" wrapText="1" indent="1"/>
    </xf>
    <xf numFmtId="0" fontId="31" fillId="9" borderId="0" xfId="10" applyFont="1" applyAlignment="1">
      <alignment horizontal="left" vertical="center" wrapText="1" indent="1"/>
    </xf>
    <xf numFmtId="0" fontId="32" fillId="8" borderId="0" xfId="9" applyFont="1" applyAlignment="1">
      <alignment horizontal="left" vertical="center" wrapText="1" indent="1"/>
    </xf>
    <xf numFmtId="0" fontId="7" fillId="0" borderId="0" xfId="0" applyFont="1"/>
    <xf numFmtId="9" fontId="10" fillId="3" borderId="7" xfId="2" applyFont="1" applyFill="1" applyBorder="1" applyAlignment="1">
      <alignment vertical="center" wrapText="1"/>
    </xf>
    <xf numFmtId="9" fontId="10" fillId="4" borderId="49" xfId="2" applyFont="1" applyFill="1" applyBorder="1" applyAlignment="1"/>
    <xf numFmtId="3" fontId="3" fillId="47" borderId="0" xfId="0" applyNumberFormat="1" applyFont="1" applyFill="1" applyAlignment="1">
      <alignment horizontal="right"/>
    </xf>
    <xf numFmtId="0" fontId="9" fillId="0" borderId="19" xfId="0" applyFont="1" applyBorder="1" applyAlignment="1">
      <alignment horizontal="center"/>
    </xf>
    <xf numFmtId="0" fontId="9" fillId="3" borderId="19" xfId="0" applyFont="1" applyFill="1" applyBorder="1" applyAlignment="1">
      <alignment horizontal="right" vertical="center" wrapText="1"/>
    </xf>
    <xf numFmtId="9" fontId="10" fillId="3" borderId="19" xfId="2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2" fillId="0" borderId="0" xfId="0" applyFont="1"/>
    <xf numFmtId="0" fontId="0" fillId="0" borderId="62" xfId="0" applyBorder="1"/>
    <xf numFmtId="3" fontId="33" fillId="3" borderId="3" xfId="0" applyNumberFormat="1" applyFont="1" applyFill="1" applyBorder="1" applyAlignment="1">
      <alignment horizontal="right"/>
    </xf>
    <xf numFmtId="9" fontId="33" fillId="3" borderId="3" xfId="2" applyFont="1" applyFill="1" applyBorder="1" applyAlignment="1">
      <alignment horizontal="center"/>
    </xf>
    <xf numFmtId="9" fontId="33" fillId="3" borderId="1" xfId="2" applyFont="1" applyFill="1" applyBorder="1" applyAlignment="1">
      <alignment horizontal="center"/>
    </xf>
    <xf numFmtId="3" fontId="33" fillId="40" borderId="25" xfId="0" applyNumberFormat="1" applyFont="1" applyFill="1" applyBorder="1"/>
    <xf numFmtId="0" fontId="33" fillId="40" borderId="25" xfId="0" applyFont="1" applyFill="1" applyBorder="1"/>
    <xf numFmtId="3" fontId="33" fillId="41" borderId="25" xfId="0" applyNumberFormat="1" applyFont="1" applyFill="1" applyBorder="1"/>
    <xf numFmtId="3" fontId="33" fillId="4" borderId="3" xfId="1" applyNumberFormat="1" applyFont="1" applyFill="1" applyBorder="1"/>
    <xf numFmtId="9" fontId="33" fillId="4" borderId="3" xfId="2" applyFont="1" applyFill="1" applyBorder="1" applyAlignment="1">
      <alignment horizontal="center"/>
    </xf>
    <xf numFmtId="49" fontId="33" fillId="4" borderId="3" xfId="2" applyNumberFormat="1" applyFont="1" applyFill="1" applyBorder="1" applyAlignment="1">
      <alignment horizontal="center"/>
    </xf>
    <xf numFmtId="3" fontId="33" fillId="4" borderId="19" xfId="1" applyNumberFormat="1" applyFont="1" applyFill="1" applyBorder="1"/>
    <xf numFmtId="3" fontId="33" fillId="4" borderId="17" xfId="1" applyNumberFormat="1" applyFont="1" applyFill="1" applyBorder="1"/>
    <xf numFmtId="3" fontId="33" fillId="4" borderId="3" xfId="1" applyNumberFormat="1" applyFont="1" applyFill="1" applyBorder="1" applyAlignment="1">
      <alignment horizontal="right" vertical="center"/>
    </xf>
    <xf numFmtId="9" fontId="33" fillId="4" borderId="3" xfId="2" applyFont="1" applyFill="1" applyBorder="1" applyAlignment="1">
      <alignment horizontal="center" vertical="center"/>
    </xf>
    <xf numFmtId="9" fontId="33" fillId="4" borderId="3" xfId="2" applyFont="1" applyFill="1" applyBorder="1" applyAlignment="1">
      <alignment horizontal="left" wrapText="1"/>
    </xf>
    <xf numFmtId="3" fontId="33" fillId="4" borderId="3" xfId="1" applyNumberFormat="1" applyFont="1" applyFill="1" applyBorder="1" applyAlignment="1">
      <alignment vertical="center"/>
    </xf>
    <xf numFmtId="9" fontId="33" fillId="4" borderId="3" xfId="2" applyFont="1" applyFill="1" applyBorder="1" applyAlignment="1">
      <alignment horizontal="center" vertical="center" wrapText="1"/>
    </xf>
    <xf numFmtId="9" fontId="33" fillId="4" borderId="3" xfId="2" applyFont="1" applyFill="1" applyBorder="1" applyAlignment="1">
      <alignment horizontal="left" vertical="top" wrapText="1"/>
    </xf>
    <xf numFmtId="49" fontId="33" fillId="4" borderId="3" xfId="2" applyNumberFormat="1" applyFont="1" applyFill="1" applyBorder="1" applyAlignment="1">
      <alignment horizontal="left" vertical="top"/>
    </xf>
    <xf numFmtId="9" fontId="33" fillId="4" borderId="3" xfId="2" applyFont="1" applyFill="1" applyBorder="1" applyAlignment="1">
      <alignment horizontal="left" vertical="top"/>
    </xf>
    <xf numFmtId="49" fontId="33" fillId="4" borderId="3" xfId="2" applyNumberFormat="1" applyFont="1" applyFill="1" applyBorder="1" applyAlignment="1">
      <alignment horizontal="left" vertical="top" wrapText="1"/>
    </xf>
    <xf numFmtId="3" fontId="33" fillId="4" borderId="3" xfId="1" applyNumberFormat="1" applyFont="1" applyFill="1" applyBorder="1" applyAlignment="1"/>
    <xf numFmtId="3" fontId="33" fillId="4" borderId="19" xfId="1" applyNumberFormat="1" applyFont="1" applyFill="1" applyBorder="1" applyAlignment="1"/>
    <xf numFmtId="3" fontId="33" fillId="4" borderId="17" xfId="1" applyNumberFormat="1" applyFont="1" applyFill="1" applyBorder="1" applyAlignment="1"/>
    <xf numFmtId="0" fontId="33" fillId="41" borderId="25" xfId="0" applyFont="1" applyFill="1" applyBorder="1"/>
    <xf numFmtId="3" fontId="3" fillId="43" borderId="1" xfId="0" applyNumberFormat="1" applyFont="1" applyFill="1" applyBorder="1" applyAlignment="1">
      <alignment horizontal="right"/>
    </xf>
    <xf numFmtId="49" fontId="33" fillId="4" borderId="19" xfId="0" applyNumberFormat="1" applyFont="1" applyFill="1" applyBorder="1" applyAlignment="1">
      <alignment wrapText="1"/>
    </xf>
    <xf numFmtId="49" fontId="33" fillId="4" borderId="19" xfId="0" applyNumberFormat="1" applyFont="1" applyFill="1" applyBorder="1" applyAlignment="1">
      <alignment horizontal="left" vertical="center" wrapText="1"/>
    </xf>
    <xf numFmtId="3" fontId="28" fillId="6" borderId="1" xfId="0" applyNumberFormat="1" applyFont="1" applyFill="1" applyBorder="1"/>
    <xf numFmtId="9" fontId="28" fillId="6" borderId="1" xfId="2" applyFont="1" applyFill="1" applyBorder="1" applyAlignment="1">
      <alignment horizontal="center"/>
    </xf>
    <xf numFmtId="9" fontId="28" fillId="6" borderId="1" xfId="2" applyFont="1" applyFill="1" applyBorder="1" applyAlignment="1">
      <alignment vertical="top"/>
    </xf>
    <xf numFmtId="3" fontId="33" fillId="38" borderId="60" xfId="1" applyNumberFormat="1" applyFont="1" applyFill="1" applyBorder="1" applyAlignment="1">
      <alignment vertical="center"/>
    </xf>
    <xf numFmtId="3" fontId="33" fillId="38" borderId="3" xfId="1" applyNumberFormat="1" applyFont="1" applyFill="1" applyBorder="1" applyAlignment="1">
      <alignment vertical="center"/>
    </xf>
    <xf numFmtId="0" fontId="33" fillId="38" borderId="19" xfId="0" applyFont="1" applyFill="1" applyBorder="1"/>
    <xf numFmtId="3" fontId="33" fillId="3" borderId="17" xfId="0" applyNumberFormat="1" applyFont="1" applyFill="1" applyBorder="1" applyAlignment="1">
      <alignment horizontal="right"/>
    </xf>
    <xf numFmtId="3" fontId="33" fillId="40" borderId="19" xfId="0" applyNumberFormat="1" applyFont="1" applyFill="1" applyBorder="1"/>
    <xf numFmtId="3" fontId="33" fillId="3" borderId="60" xfId="0" applyNumberFormat="1" applyFont="1" applyFill="1" applyBorder="1" applyAlignment="1">
      <alignment horizontal="right"/>
    </xf>
    <xf numFmtId="3" fontId="33" fillId="3" borderId="19" xfId="0" applyNumberFormat="1" applyFont="1" applyFill="1" applyBorder="1" applyAlignment="1">
      <alignment horizontal="right"/>
    </xf>
    <xf numFmtId="0" fontId="33" fillId="40" borderId="19" xfId="0" applyFont="1" applyFill="1" applyBorder="1"/>
    <xf numFmtId="3" fontId="33" fillId="41" borderId="19" xfId="0" applyNumberFormat="1" applyFont="1" applyFill="1" applyBorder="1"/>
    <xf numFmtId="0" fontId="33" fillId="41" borderId="19" xfId="0" applyFont="1" applyFill="1" applyBorder="1"/>
    <xf numFmtId="3" fontId="33" fillId="4" borderId="60" xfId="1" applyNumberFormat="1" applyFont="1" applyFill="1" applyBorder="1"/>
    <xf numFmtId="3" fontId="33" fillId="4" borderId="35" xfId="1" applyNumberFormat="1" applyFont="1" applyFill="1" applyBorder="1"/>
    <xf numFmtId="0" fontId="33" fillId="44" borderId="19" xfId="0" applyFont="1" applyFill="1" applyBorder="1"/>
    <xf numFmtId="4" fontId="33" fillId="41" borderId="19" xfId="0" applyNumberFormat="1" applyFont="1" applyFill="1" applyBorder="1"/>
    <xf numFmtId="3" fontId="33" fillId="3" borderId="35" xfId="0" applyNumberFormat="1" applyFont="1" applyFill="1" applyBorder="1" applyAlignment="1">
      <alignment horizontal="right"/>
    </xf>
    <xf numFmtId="9" fontId="33" fillId="3" borderId="19" xfId="2" applyFont="1" applyFill="1" applyBorder="1" applyAlignment="1">
      <alignment horizontal="center"/>
    </xf>
    <xf numFmtId="0" fontId="33" fillId="38" borderId="25" xfId="0" applyFont="1" applyFill="1" applyBorder="1"/>
    <xf numFmtId="3" fontId="33" fillId="4" borderId="61" xfId="1" applyNumberFormat="1" applyFont="1" applyFill="1" applyBorder="1"/>
    <xf numFmtId="3" fontId="33" fillId="4" borderId="35" xfId="1" applyNumberFormat="1" applyFont="1" applyFill="1" applyBorder="1" applyAlignment="1"/>
    <xf numFmtId="4" fontId="33" fillId="44" borderId="19" xfId="0" applyNumberFormat="1" applyFont="1" applyFill="1" applyBorder="1"/>
    <xf numFmtId="3" fontId="33" fillId="3" borderId="25" xfId="0" applyNumberFormat="1" applyFont="1" applyFill="1" applyBorder="1" applyAlignment="1">
      <alignment horizontal="right"/>
    </xf>
    <xf numFmtId="9" fontId="33" fillId="3" borderId="25" xfId="2" applyFont="1" applyFill="1" applyBorder="1" applyAlignment="1">
      <alignment horizontal="center"/>
    </xf>
    <xf numFmtId="3" fontId="33" fillId="0" borderId="25" xfId="0" applyNumberFormat="1" applyFont="1" applyBorder="1" applyAlignment="1">
      <alignment horizontal="right"/>
    </xf>
    <xf numFmtId="3" fontId="33" fillId="4" borderId="25" xfId="1" applyNumberFormat="1" applyFont="1" applyFill="1" applyBorder="1"/>
    <xf numFmtId="9" fontId="33" fillId="44" borderId="25" xfId="2" applyFont="1" applyFill="1" applyBorder="1" applyAlignment="1">
      <alignment horizontal="center"/>
    </xf>
    <xf numFmtId="9" fontId="33" fillId="44" borderId="19" xfId="2" applyFont="1" applyFill="1" applyBorder="1" applyAlignment="1">
      <alignment horizontal="center"/>
    </xf>
    <xf numFmtId="9" fontId="33" fillId="3" borderId="20" xfId="2" applyFont="1" applyFill="1" applyBorder="1" applyAlignment="1">
      <alignment horizontal="center"/>
    </xf>
    <xf numFmtId="9" fontId="33" fillId="44" borderId="20" xfId="2" applyFont="1" applyFill="1" applyBorder="1" applyAlignment="1">
      <alignment horizontal="center"/>
    </xf>
    <xf numFmtId="3" fontId="33" fillId="38" borderId="19" xfId="1" applyNumberFormat="1" applyFont="1" applyFill="1" applyBorder="1"/>
    <xf numFmtId="0" fontId="33" fillId="0" borderId="19" xfId="0" applyFont="1" applyBorder="1"/>
    <xf numFmtId="3" fontId="33" fillId="39" borderId="41" xfId="0" applyNumberFormat="1" applyFont="1" applyFill="1" applyBorder="1"/>
    <xf numFmtId="9" fontId="33" fillId="39" borderId="41" xfId="0" applyNumberFormat="1" applyFont="1" applyFill="1" applyBorder="1"/>
    <xf numFmtId="9" fontId="33" fillId="0" borderId="41" xfId="2" applyFont="1" applyFill="1" applyBorder="1" applyAlignment="1">
      <alignment horizontal="center"/>
    </xf>
    <xf numFmtId="3" fontId="33" fillId="39" borderId="41" xfId="1" applyNumberFormat="1" applyFont="1" applyFill="1" applyBorder="1"/>
    <xf numFmtId="9" fontId="33" fillId="0" borderId="41" xfId="2" applyFont="1" applyBorder="1" applyAlignment="1">
      <alignment horizontal="center"/>
    </xf>
    <xf numFmtId="3" fontId="33" fillId="4" borderId="25" xfId="1" applyNumberFormat="1" applyFont="1" applyFill="1" applyBorder="1" applyAlignment="1">
      <alignment horizontal="right"/>
    </xf>
    <xf numFmtId="9" fontId="33" fillId="39" borderId="41" xfId="0" applyNumberFormat="1" applyFont="1" applyFill="1" applyBorder="1" applyAlignment="1">
      <alignment horizontal="right"/>
    </xf>
    <xf numFmtId="49" fontId="33" fillId="0" borderId="25" xfId="0" applyNumberFormat="1" applyFont="1" applyBorder="1" applyAlignment="1">
      <alignment horizontal="left" vertical="top" wrapText="1"/>
    </xf>
    <xf numFmtId="49" fontId="33" fillId="0" borderId="25" xfId="0" applyNumberFormat="1" applyFont="1" applyBorder="1" applyAlignment="1">
      <alignment horizontal="left" vertical="top"/>
    </xf>
    <xf numFmtId="49" fontId="33" fillId="0" borderId="19" xfId="0" applyNumberFormat="1" applyFont="1" applyBorder="1" applyAlignment="1">
      <alignment horizontal="left" vertical="top" wrapText="1"/>
    </xf>
    <xf numFmtId="49" fontId="33" fillId="0" borderId="19" xfId="0" applyNumberFormat="1" applyFont="1" applyBorder="1" applyAlignment="1">
      <alignment horizontal="left" vertical="top"/>
    </xf>
    <xf numFmtId="49" fontId="33" fillId="0" borderId="23" xfId="0" applyNumberFormat="1" applyFont="1" applyBorder="1" applyAlignment="1">
      <alignment horizontal="left" vertical="top" wrapText="1"/>
    </xf>
    <xf numFmtId="3" fontId="33" fillId="0" borderId="3" xfId="0" applyNumberFormat="1" applyFont="1" applyBorder="1" applyAlignment="1">
      <alignment horizontal="right"/>
    </xf>
    <xf numFmtId="3" fontId="33" fillId="4" borderId="1" xfId="1" applyNumberFormat="1" applyFont="1" applyFill="1" applyBorder="1" applyAlignment="1">
      <alignment horizontal="right"/>
    </xf>
    <xf numFmtId="9" fontId="17" fillId="46" borderId="3" xfId="2" applyFont="1" applyFill="1" applyBorder="1" applyAlignment="1">
      <alignment horizontal="center"/>
    </xf>
    <xf numFmtId="9" fontId="33" fillId="4" borderId="60" xfId="2" applyFont="1" applyFill="1" applyBorder="1" applyAlignment="1">
      <alignment horizontal="center"/>
    </xf>
    <xf numFmtId="3" fontId="33" fillId="39" borderId="3" xfId="0" applyNumberFormat="1" applyFont="1" applyFill="1" applyBorder="1"/>
    <xf numFmtId="9" fontId="33" fillId="39" borderId="3" xfId="2" applyFont="1" applyFill="1" applyBorder="1" applyAlignment="1">
      <alignment horizontal="center"/>
    </xf>
    <xf numFmtId="0" fontId="33" fillId="0" borderId="3" xfId="0" applyFont="1" applyBorder="1"/>
    <xf numFmtId="3" fontId="33" fillId="39" borderId="35" xfId="1" applyNumberFormat="1" applyFont="1" applyFill="1" applyBorder="1"/>
    <xf numFmtId="9" fontId="33" fillId="39" borderId="19" xfId="2" applyFont="1" applyFill="1" applyBorder="1" applyAlignment="1">
      <alignment horizontal="center"/>
    </xf>
    <xf numFmtId="4" fontId="33" fillId="38" borderId="19" xfId="0" applyNumberFormat="1" applyFont="1" applyFill="1" applyBorder="1"/>
    <xf numFmtId="9" fontId="33" fillId="4" borderId="35" xfId="2" applyFont="1" applyFill="1" applyBorder="1" applyAlignment="1">
      <alignment horizontal="center"/>
    </xf>
    <xf numFmtId="9" fontId="33" fillId="4" borderId="60" xfId="2" applyFont="1" applyFill="1" applyBorder="1" applyAlignment="1">
      <alignment horizontal="left" vertical="top"/>
    </xf>
    <xf numFmtId="9" fontId="33" fillId="4" borderId="19" xfId="2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9" fontId="33" fillId="4" borderId="17" xfId="2" applyFont="1" applyFill="1" applyBorder="1" applyAlignment="1">
      <alignment horizontal="left" vertical="top"/>
    </xf>
    <xf numFmtId="0" fontId="33" fillId="4" borderId="19" xfId="0" applyFont="1" applyFill="1" applyBorder="1"/>
    <xf numFmtId="0" fontId="34" fillId="0" borderId="0" xfId="0" applyFont="1"/>
    <xf numFmtId="49" fontId="33" fillId="0" borderId="23" xfId="0" applyNumberFormat="1" applyFont="1" applyBorder="1" applyAlignment="1">
      <alignment horizontal="left" vertical="top"/>
    </xf>
    <xf numFmtId="9" fontId="35" fillId="4" borderId="3" xfId="2" applyFont="1" applyFill="1" applyBorder="1" applyAlignment="1">
      <alignment horizontal="left" vertical="top" wrapText="1"/>
    </xf>
    <xf numFmtId="9" fontId="35" fillId="4" borderId="3" xfId="2" applyFont="1" applyFill="1" applyBorder="1" applyAlignment="1">
      <alignment horizontal="left" vertical="top"/>
    </xf>
    <xf numFmtId="9" fontId="10" fillId="4" borderId="64" xfId="2" applyFont="1" applyFill="1" applyBorder="1" applyAlignment="1">
      <alignment horizontal="center"/>
    </xf>
    <xf numFmtId="0" fontId="27" fillId="0" borderId="25" xfId="43" applyFont="1" applyBorder="1" applyAlignment="1">
      <alignment vertical="center"/>
    </xf>
    <xf numFmtId="0" fontId="27" fillId="0" borderId="25" xfId="43" applyFont="1" applyBorder="1" applyAlignment="1">
      <alignment horizontal="center" vertical="center"/>
    </xf>
    <xf numFmtId="3" fontId="33" fillId="3" borderId="25" xfId="0" applyNumberFormat="1" applyFont="1" applyFill="1" applyBorder="1" applyAlignment="1">
      <alignment horizontal="right" vertical="center"/>
    </xf>
    <xf numFmtId="9" fontId="33" fillId="3" borderId="25" xfId="2" applyFont="1" applyFill="1" applyBorder="1" applyAlignment="1">
      <alignment horizontal="center" vertical="center"/>
    </xf>
    <xf numFmtId="3" fontId="33" fillId="0" borderId="25" xfId="0" applyNumberFormat="1" applyFont="1" applyBorder="1" applyAlignment="1">
      <alignment horizontal="right" vertical="center"/>
    </xf>
    <xf numFmtId="3" fontId="33" fillId="4" borderId="25" xfId="1" applyNumberFormat="1" applyFont="1" applyFill="1" applyBorder="1" applyAlignment="1">
      <alignment vertical="center"/>
    </xf>
    <xf numFmtId="9" fontId="33" fillId="44" borderId="25" xfId="2" applyFont="1" applyFill="1" applyBorder="1" applyAlignment="1">
      <alignment horizontal="center" vertical="center"/>
    </xf>
    <xf numFmtId="0" fontId="27" fillId="0" borderId="19" xfId="43" applyFont="1" applyBorder="1" applyAlignment="1">
      <alignment vertical="center"/>
    </xf>
    <xf numFmtId="0" fontId="27" fillId="0" borderId="19" xfId="43" applyFont="1" applyBorder="1" applyAlignment="1">
      <alignment horizontal="center" vertical="center"/>
    </xf>
    <xf numFmtId="9" fontId="33" fillId="3" borderId="19" xfId="2" applyFont="1" applyFill="1" applyBorder="1" applyAlignment="1">
      <alignment horizontal="center" vertical="center"/>
    </xf>
    <xf numFmtId="9" fontId="33" fillId="44" borderId="19" xfId="2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9" fontId="33" fillId="3" borderId="20" xfId="2" applyFont="1" applyFill="1" applyBorder="1" applyAlignment="1">
      <alignment horizontal="center" vertical="center"/>
    </xf>
    <xf numFmtId="9" fontId="33" fillId="44" borderId="20" xfId="2" applyFont="1" applyFill="1" applyBorder="1" applyAlignment="1">
      <alignment horizontal="center" vertical="center"/>
    </xf>
    <xf numFmtId="3" fontId="33" fillId="3" borderId="19" xfId="0" applyNumberFormat="1" applyFont="1" applyFill="1" applyBorder="1" applyAlignment="1">
      <alignment horizontal="right" vertical="center"/>
    </xf>
    <xf numFmtId="3" fontId="33" fillId="38" borderId="19" xfId="1" applyNumberFormat="1" applyFont="1" applyFill="1" applyBorder="1" applyAlignment="1">
      <alignment vertical="center"/>
    </xf>
    <xf numFmtId="0" fontId="33" fillId="0" borderId="19" xfId="0" applyFont="1" applyBorder="1" applyAlignment="1">
      <alignment vertical="center"/>
    </xf>
    <xf numFmtId="3" fontId="33" fillId="4" borderId="19" xfId="1" applyNumberFormat="1" applyFont="1" applyFill="1" applyBorder="1" applyAlignment="1">
      <alignment vertical="center"/>
    </xf>
    <xf numFmtId="0" fontId="33" fillId="4" borderId="19" xfId="0" applyFont="1" applyFill="1" applyBorder="1" applyAlignment="1">
      <alignment wrapText="1"/>
    </xf>
    <xf numFmtId="49" fontId="33" fillId="0" borderId="20" xfId="0" applyNumberFormat="1" applyFont="1" applyBorder="1" applyAlignment="1">
      <alignment horizontal="left" vertical="top" wrapText="1"/>
    </xf>
    <xf numFmtId="3" fontId="33" fillId="39" borderId="41" xfId="0" applyNumberFormat="1" applyFont="1" applyFill="1" applyBorder="1" applyAlignment="1">
      <alignment vertical="center"/>
    </xf>
    <xf numFmtId="9" fontId="33" fillId="39" borderId="41" xfId="0" applyNumberFormat="1" applyFont="1" applyFill="1" applyBorder="1" applyAlignment="1">
      <alignment vertical="center"/>
    </xf>
    <xf numFmtId="9" fontId="33" fillId="0" borderId="41" xfId="2" applyFont="1" applyBorder="1" applyAlignment="1">
      <alignment horizontal="center" vertical="center"/>
    </xf>
    <xf numFmtId="3" fontId="33" fillId="39" borderId="41" xfId="1" applyNumberFormat="1" applyFont="1" applyFill="1" applyBorder="1" applyAlignment="1">
      <alignment vertical="center"/>
    </xf>
    <xf numFmtId="49" fontId="33" fillId="0" borderId="1" xfId="0" applyNumberFormat="1" applyFont="1" applyBorder="1" applyAlignment="1">
      <alignment horizontal="left" vertical="top"/>
    </xf>
    <xf numFmtId="9" fontId="33" fillId="4" borderId="3" xfId="2" applyFont="1" applyFill="1" applyBorder="1" applyAlignment="1">
      <alignment horizontal="left"/>
    </xf>
    <xf numFmtId="49" fontId="33" fillId="0" borderId="19" xfId="0" applyNumberFormat="1" applyFont="1" applyBorder="1" applyAlignment="1">
      <alignment vertical="top"/>
    </xf>
    <xf numFmtId="49" fontId="33" fillId="0" borderId="19" xfId="0" applyNumberFormat="1" applyFont="1" applyBorder="1" applyAlignment="1">
      <alignment vertical="top" wrapText="1"/>
    </xf>
    <xf numFmtId="49" fontId="33" fillId="0" borderId="23" xfId="0" applyNumberFormat="1" applyFont="1" applyBorder="1" applyAlignment="1">
      <alignment vertical="top"/>
    </xf>
    <xf numFmtId="49" fontId="33" fillId="0" borderId="25" xfId="0" applyNumberFormat="1" applyFont="1" applyBorder="1" applyAlignment="1">
      <alignment vertical="top" wrapText="1"/>
    </xf>
    <xf numFmtId="49" fontId="33" fillId="0" borderId="25" xfId="0" applyNumberFormat="1" applyFont="1" applyBorder="1" applyAlignment="1">
      <alignment vertical="top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0" fillId="42" borderId="46" xfId="0" applyFill="1" applyBorder="1" applyAlignment="1">
      <alignment horizontal="right"/>
    </xf>
    <xf numFmtId="0" fontId="0" fillId="42" borderId="50" xfId="0" applyFill="1" applyBorder="1" applyAlignment="1">
      <alignment horizontal="right"/>
    </xf>
    <xf numFmtId="0" fontId="4" fillId="5" borderId="59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42" borderId="46" xfId="0" applyFill="1" applyBorder="1" applyAlignment="1">
      <alignment horizontal="right" vertical="center"/>
    </xf>
    <xf numFmtId="0" fontId="0" fillId="42" borderId="50" xfId="0" applyFill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8" fillId="6" borderId="42" xfId="0" applyFont="1" applyFill="1" applyBorder="1" applyAlignment="1">
      <alignment horizontal="center"/>
    </xf>
    <xf numFmtId="0" fontId="8" fillId="6" borderId="43" xfId="0" applyFont="1" applyFill="1" applyBorder="1" applyAlignment="1">
      <alignment horizontal="center"/>
    </xf>
    <xf numFmtId="0" fontId="8" fillId="6" borderId="44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46" xfId="0" applyFont="1" applyFill="1" applyBorder="1" applyAlignment="1">
      <alignment horizontal="center"/>
    </xf>
    <xf numFmtId="0" fontId="8" fillId="6" borderId="47" xfId="0" applyFont="1" applyFill="1" applyBorder="1" applyAlignment="1">
      <alignment horizontal="center"/>
    </xf>
    <xf numFmtId="0" fontId="8" fillId="6" borderId="53" xfId="0" applyFont="1" applyFill="1" applyBorder="1" applyAlignment="1">
      <alignment horizontal="center"/>
    </xf>
    <xf numFmtId="0" fontId="8" fillId="6" borderId="63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9C9C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E2EFDA"/>
        </patternFill>
      </fill>
    </dxf>
  </dxfs>
  <tableStyles count="0" defaultTableStyle="TableStyleMedium2" defaultPivotStyle="PivotStyleLight16"/>
  <colors>
    <mruColors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1:E63" totalsRowShown="0" headerRowBorderDxfId="3">
  <autoFilter ref="A1:E63" xr:uid="{66A40F5E-D45A-46FE-9183-4A31296D93F1}"/>
  <sortState xmlns:xlrd2="http://schemas.microsoft.com/office/spreadsheetml/2017/richdata2" ref="A2:E63">
    <sortCondition ref="C1:C63"/>
  </sortState>
  <tableColumns count="5">
    <tableColumn id="3" xr3:uid="{BFC0214A-8820-4A19-81D0-852548EDA4BC}" name="Site DAS Name" dataDxfId="2" dataCellStyle="Normal 2"/>
    <tableColumn id="1" xr3:uid="{2ECEDF7A-47C1-4159-BC3D-6E76D6492D27}" name="Site" dataDxfId="1" dataCellStyle="Normal 2"/>
    <tableColumn id="2" xr3:uid="{2C9662E7-9933-4E8D-97A6-DB7E03BCDC09}" name="State" dataDxfId="0" dataCellStyle="Normal 2"/>
    <tableColumn id="4" xr3:uid="{9ACE9023-EA9A-4AD0-A21A-4279A046E2BC}" name="# of sites:"/>
    <tableColumn id="5" xr3:uid="{F1D3BF47-C530-4653-922C-CDF1211AB5F9}" name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M13"/>
  <sheetViews>
    <sheetView zoomScale="90" zoomScaleNormal="90" workbookViewId="0">
      <pane ySplit="2" topLeftCell="A5" activePane="bottomLeft" state="frozen"/>
      <selection pane="bottomLeft" activeCell="B1" sqref="B1:J1"/>
      <selection activeCell="K73" sqref="K73"/>
    </sheetView>
  </sheetViews>
  <sheetFormatPr defaultRowHeight="13.15"/>
  <cols>
    <col min="1" max="1" width="15.85546875" customWidth="1"/>
    <col min="2" max="4" width="11.85546875" customWidth="1"/>
    <col min="5" max="5" width="9.85546875" style="8" customWidth="1"/>
    <col min="6" max="6" width="3" customWidth="1"/>
    <col min="7" max="9" width="11.85546875" customWidth="1"/>
    <col min="10" max="10" width="9.42578125" style="8" customWidth="1"/>
    <col min="12" max="12" width="22.85546875" customWidth="1"/>
  </cols>
  <sheetData>
    <row r="1" spans="1:13" ht="19.5" customHeight="1">
      <c r="A1" s="51" t="s">
        <v>0</v>
      </c>
      <c r="B1" s="221" t="s">
        <v>1</v>
      </c>
      <c r="C1" s="221"/>
      <c r="D1" s="221"/>
      <c r="E1" s="221"/>
      <c r="F1" s="2"/>
      <c r="G1" s="222" t="s">
        <v>2</v>
      </c>
      <c r="H1" s="222"/>
      <c r="I1" s="222"/>
      <c r="J1" s="222"/>
    </row>
    <row r="2" spans="1:13" ht="13.9" thickBot="1">
      <c r="A2" s="52" t="s">
        <v>3</v>
      </c>
      <c r="B2" s="3" t="s">
        <v>4</v>
      </c>
      <c r="C2" s="3" t="s">
        <v>5</v>
      </c>
      <c r="D2" s="3" t="s">
        <v>6</v>
      </c>
      <c r="E2" s="70" t="s">
        <v>7</v>
      </c>
      <c r="F2" s="4"/>
      <c r="G2" s="5" t="s">
        <v>4</v>
      </c>
      <c r="H2" s="5" t="s">
        <v>8</v>
      </c>
      <c r="I2" s="6" t="s">
        <v>6</v>
      </c>
      <c r="J2" s="9" t="s">
        <v>7</v>
      </c>
    </row>
    <row r="3" spans="1:13" ht="45" customHeight="1">
      <c r="A3" s="46" t="str" cm="1">
        <f t="array" ref="A3:A10">_xlfn.UNIQUE(Sites[State])</f>
        <v>CA</v>
      </c>
      <c r="B3" s="96">
        <f ca="1">'1st Quarter 2024'!B3+'2nd Quarter 2024'!B3+'3rd Quarter 2024'!B3+'4th Quarter 2024'!B3</f>
        <v>20561.361928194841</v>
      </c>
      <c r="C3" s="96">
        <f ca="1">'1st Quarter 2024'!C3+'2nd Quarter 2024'!C3+'3rd Quarter 2024'!C3+'4th Quarter 2024'!C3</f>
        <v>25565.67</v>
      </c>
      <c r="D3" s="96">
        <f t="shared" ref="D3:D10" ca="1" si="0">B3-C3</f>
        <v>-5004.3080718051569</v>
      </c>
      <c r="E3" s="97">
        <f t="shared" ref="E3:E10" ca="1" si="1">IFERROR(D3/C3, "-")</f>
        <v>-0.19574327885031595</v>
      </c>
      <c r="F3" s="168"/>
      <c r="G3" s="169">
        <f ca="1">'1st Quarter 2024'!G3+'2nd Quarter 2024'!G3+'3rd Quarter 2024'!G3+'4th Quarter 2024'!G3</f>
        <v>20561.361928194841</v>
      </c>
      <c r="H3" s="169">
        <f ca="1">'1st Quarter 2024'!H3+'2nd Quarter 2024'!H3+'3rd Quarter 2024'!H3+'4th Quarter 2024'!H3</f>
        <v>24910.173000000003</v>
      </c>
      <c r="I3" s="169">
        <f t="shared" ref="I3:I10" ca="1" si="2">G3-H3</f>
        <v>-4348.8110718051612</v>
      </c>
      <c r="J3" s="103">
        <f t="shared" ref="J3:J10" ca="1" si="3">IFERROR(I3/H3, "-")</f>
        <v>-0.17457972177893588</v>
      </c>
      <c r="L3" s="84" t="s">
        <v>9</v>
      </c>
    </row>
    <row r="4" spans="1:13" ht="45" customHeight="1">
      <c r="A4" s="46" t="str">
        <v>CO</v>
      </c>
      <c r="B4" s="96">
        <f ca="1">'1st Quarter 2024'!B4+'2nd Quarter 2024'!B4+'3rd Quarter 2024'!B4+'4th Quarter 2024'!B4</f>
        <v>14268.598365941221</v>
      </c>
      <c r="C4" s="96">
        <f ca="1">'1st Quarter 2024'!C4+'2nd Quarter 2024'!C4+'3rd Quarter 2024'!C4+'4th Quarter 2024'!C4</f>
        <v>0</v>
      </c>
      <c r="D4" s="96">
        <f t="shared" ca="1" si="0"/>
        <v>14268.598365941221</v>
      </c>
      <c r="E4" s="170" t="str">
        <f t="shared" ca="1" si="1"/>
        <v>-</v>
      </c>
      <c r="F4" s="168"/>
      <c r="G4" s="169">
        <f ca="1">'1st Quarter 2024'!G4+'2nd Quarter 2024'!G4+'3rd Quarter 2024'!G4+'4th Quarter 2024'!G4</f>
        <v>14268.598365941221</v>
      </c>
      <c r="H4" s="169">
        <f ca="1">'1st Quarter 2024'!H4+'2nd Quarter 2024'!H4+'3rd Quarter 2024'!H4+'4th Quarter 2024'!H4</f>
        <v>15280.868999999999</v>
      </c>
      <c r="I4" s="169">
        <f t="shared" ca="1" si="2"/>
        <v>-1012.2706340587774</v>
      </c>
      <c r="J4" s="103">
        <f t="shared" ca="1" si="3"/>
        <v>-6.6244310716803964E-2</v>
      </c>
      <c r="L4" s="85" t="s">
        <v>10</v>
      </c>
    </row>
    <row r="5" spans="1:13" ht="45" customHeight="1">
      <c r="A5" s="46" t="str">
        <v>CT</v>
      </c>
      <c r="B5" s="96">
        <f ca="1">'1st Quarter 2024'!B5+'2nd Quarter 2024'!B5+'3rd Quarter 2024'!B5+'4th Quarter 2024'!B5</f>
        <v>237.44057825254001</v>
      </c>
      <c r="C5" s="96">
        <f ca="1">'1st Quarter 2024'!C5+'2nd Quarter 2024'!C5+'3rd Quarter 2024'!C5+'4th Quarter 2024'!C5</f>
        <v>664.21310000000005</v>
      </c>
      <c r="D5" s="96">
        <f t="shared" ca="1" si="0"/>
        <v>-426.77252174746002</v>
      </c>
      <c r="E5" s="97">
        <f t="shared" ca="1" si="1"/>
        <v>-0.64252349396219377</v>
      </c>
      <c r="F5" s="168"/>
      <c r="G5" s="169">
        <f ca="1">'1st Quarter 2024'!G5+'2nd Quarter 2024'!G5+'3rd Quarter 2024'!G5+'4th Quarter 2024'!G5</f>
        <v>237.44057825254001</v>
      </c>
      <c r="H5" s="169">
        <f ca="1">'1st Quarter 2024'!H5+'2nd Quarter 2024'!H5+'3rd Quarter 2024'!H5+'4th Quarter 2024'!H5</f>
        <v>650.03199999999993</v>
      </c>
      <c r="I5" s="169">
        <f t="shared" ca="1" si="2"/>
        <v>-412.59142174745989</v>
      </c>
      <c r="J5" s="103">
        <f t="shared" ca="1" si="3"/>
        <v>-0.63472478546819222</v>
      </c>
    </row>
    <row r="6" spans="1:13" ht="45" customHeight="1">
      <c r="A6" s="46" t="str">
        <v>FL</v>
      </c>
      <c r="B6" s="96">
        <f ca="1">'1st Quarter 2024'!B6+'2nd Quarter 2024'!B6+'3rd Quarter 2024'!B6+'4th Quarter 2024'!B6</f>
        <v>1428.4985294549399</v>
      </c>
      <c r="C6" s="96">
        <f ca="1">'1st Quarter 2024'!C6+'2nd Quarter 2024'!C6+'3rd Quarter 2024'!C6+'4th Quarter 2024'!C6</f>
        <v>2582.0729999999999</v>
      </c>
      <c r="D6" s="96">
        <f t="shared" ca="1" si="0"/>
        <v>-1153.57447054506</v>
      </c>
      <c r="E6" s="97">
        <f t="shared" ca="1" si="1"/>
        <v>-0.44676291899766585</v>
      </c>
      <c r="F6" s="168"/>
      <c r="G6" s="169">
        <f ca="1">'1st Quarter 2024'!G6+'2nd Quarter 2024'!G6+'3rd Quarter 2024'!G6+'4th Quarter 2024'!G6</f>
        <v>1428.4985294549399</v>
      </c>
      <c r="H6" s="169">
        <f ca="1">'1st Quarter 2024'!H6+'2nd Quarter 2024'!H6+'3rd Quarter 2024'!H6+'4th Quarter 2024'!H6</f>
        <v>3451.6610000000001</v>
      </c>
      <c r="I6" s="169">
        <f t="shared" ca="1" si="2"/>
        <v>-2023.1624705450602</v>
      </c>
      <c r="J6" s="103">
        <f t="shared" ca="1" si="3"/>
        <v>-0.58614170700571699</v>
      </c>
    </row>
    <row r="7" spans="1:13" ht="45" customHeight="1">
      <c r="A7" s="46" t="str">
        <v>IA</v>
      </c>
      <c r="B7" s="96">
        <f ca="1">'1st Quarter 2024'!B7+'2nd Quarter 2024'!B7+'3rd Quarter 2024'!B7+'4th Quarter 2024'!B7</f>
        <v>99895.9375</v>
      </c>
      <c r="C7" s="96">
        <f ca="1">'1st Quarter 2024'!C7+'2nd Quarter 2024'!C7+'3rd Quarter 2024'!C7+'4th Quarter 2024'!C7</f>
        <v>29613.754000000001</v>
      </c>
      <c r="D7" s="96">
        <f t="shared" ca="1" si="0"/>
        <v>70282.183499999999</v>
      </c>
      <c r="E7" s="97">
        <f t="shared" ca="1" si="1"/>
        <v>2.3732953106857035</v>
      </c>
      <c r="F7" s="168"/>
      <c r="G7" s="169">
        <f ca="1">'1st Quarter 2024'!G7+'2nd Quarter 2024'!G7+'3rd Quarter 2024'!G7+'4th Quarter 2024'!G7</f>
        <v>99895.9375</v>
      </c>
      <c r="H7" s="169">
        <f ca="1">'1st Quarter 2024'!H7+'2nd Quarter 2024'!H7+'3rd Quarter 2024'!H7+'4th Quarter 2024'!H7</f>
        <v>185906.70699999999</v>
      </c>
      <c r="I7" s="169">
        <f t="shared" ca="1" si="2"/>
        <v>-86010.769499999995</v>
      </c>
      <c r="J7" s="103">
        <f t="shared" ca="1" si="3"/>
        <v>-0.46265554851660085</v>
      </c>
      <c r="M7" s="184"/>
    </row>
    <row r="8" spans="1:13" ht="45" customHeight="1">
      <c r="A8" s="48" t="str">
        <v>NC</v>
      </c>
      <c r="B8" s="96">
        <f ca="1">'1st Quarter 2024'!B8+'2nd Quarter 2024'!B8+'3rd Quarter 2024'!B8+'4th Quarter 2024'!B8</f>
        <v>0</v>
      </c>
      <c r="C8" s="96">
        <f ca="1">'1st Quarter 2024'!C8+'2nd Quarter 2024'!C8+'3rd Quarter 2024'!C8+'4th Quarter 2024'!C8</f>
        <v>0</v>
      </c>
      <c r="D8" s="96">
        <f t="shared" ca="1" si="0"/>
        <v>0</v>
      </c>
      <c r="E8" s="97" t="str">
        <f t="shared" ca="1" si="1"/>
        <v>-</v>
      </c>
      <c r="F8" s="168"/>
      <c r="G8" s="169">
        <f ca="1">'1st Quarter 2024'!G8+'2nd Quarter 2024'!G8+'3rd Quarter 2024'!G8+'4th Quarter 2024'!G8</f>
        <v>0</v>
      </c>
      <c r="H8" s="169">
        <f ca="1">'1st Quarter 2024'!H8+'2nd Quarter 2024'!H8+'3rd Quarter 2024'!H8+'4th Quarter 2024'!H8</f>
        <v>0</v>
      </c>
      <c r="I8" s="169">
        <f t="shared" ca="1" si="2"/>
        <v>0</v>
      </c>
      <c r="J8" s="103" t="str">
        <f t="shared" ca="1" si="3"/>
        <v>-</v>
      </c>
    </row>
    <row r="9" spans="1:13" ht="45" customHeight="1">
      <c r="A9" s="48" t="str">
        <v>NJ</v>
      </c>
      <c r="B9" s="96">
        <f ca="1">'1st Quarter 2024'!B9+'2nd Quarter 2024'!B9+'3rd Quarter 2024'!B9+'4th Quarter 2024'!B9</f>
        <v>22784.798437499969</v>
      </c>
      <c r="C9" s="96">
        <f ca="1">'1st Quarter 2024'!C9+'2nd Quarter 2024'!C9+'3rd Quarter 2024'!C9+'4th Quarter 2024'!C9</f>
        <v>29041.816500000001</v>
      </c>
      <c r="D9" s="96">
        <f t="shared" ca="1" si="0"/>
        <v>-6257.0180625000321</v>
      </c>
      <c r="E9" s="97">
        <f t="shared" ca="1" si="1"/>
        <v>-0.2154485778291462</v>
      </c>
      <c r="F9" s="168"/>
      <c r="G9" s="169">
        <f ca="1">'1st Quarter 2024'!G9+'2nd Quarter 2024'!G9+'3rd Quarter 2024'!G9+'4th Quarter 2024'!G9</f>
        <v>22784.798437499969</v>
      </c>
      <c r="H9" s="169">
        <f ca="1">'1st Quarter 2024'!H9+'2nd Quarter 2024'!H9+'3rd Quarter 2024'!H9+'4th Quarter 2024'!H9</f>
        <v>40758.548999999999</v>
      </c>
      <c r="I9" s="169">
        <f t="shared" ca="1" si="2"/>
        <v>-17973.75056250003</v>
      </c>
      <c r="J9" s="103">
        <f t="shared" ca="1" si="3"/>
        <v>-0.44098111938430462</v>
      </c>
    </row>
    <row r="10" spans="1:13" ht="45" customHeight="1" thickBot="1">
      <c r="A10" s="47" t="str">
        <v>TX</v>
      </c>
      <c r="B10" s="96">
        <f ca="1">'1st Quarter 2024'!B10+'2nd Quarter 2024'!B10+'3rd Quarter 2024'!B10+'4th Quarter 2024'!B10</f>
        <v>275701.25</v>
      </c>
      <c r="C10" s="96">
        <f ca="1">'1st Quarter 2024'!C10+'2nd Quarter 2024'!C10+'3rd Quarter 2024'!C10+'4th Quarter 2024'!C10</f>
        <v>318383.40000000002</v>
      </c>
      <c r="D10" s="96">
        <f t="shared" ca="1" si="0"/>
        <v>-42682.150000000023</v>
      </c>
      <c r="E10" s="97">
        <f t="shared" ca="1" si="1"/>
        <v>-0.13405896789845206</v>
      </c>
      <c r="F10" s="168"/>
      <c r="G10" s="169">
        <f ca="1">'1st Quarter 2024'!G10+'2nd Quarter 2024'!G10+'3rd Quarter 2024'!G10+'4th Quarter 2024'!G10</f>
        <v>275701.25</v>
      </c>
      <c r="H10" s="169">
        <f ca="1">'1st Quarter 2024'!H10+'2nd Quarter 2024'!H10+'3rd Quarter 2024'!H10+'4th Quarter 2024'!H10</f>
        <v>427842.05900000001</v>
      </c>
      <c r="I10" s="169">
        <f t="shared" ca="1" si="2"/>
        <v>-152140.80900000001</v>
      </c>
      <c r="J10" s="171">
        <f t="shared" ca="1" si="3"/>
        <v>-0.35560040393317199</v>
      </c>
    </row>
    <row r="11" spans="1:13" ht="45" customHeight="1">
      <c r="A11" s="49" t="s">
        <v>11</v>
      </c>
      <c r="B11" s="172">
        <f ca="1">'1st Quarter 2024'!B11+'2nd Quarter 2024'!B11+'3rd Quarter 2024'!B10+'4th Quarter 2024'!B10</f>
        <v>434877.88533934351</v>
      </c>
      <c r="C11" s="172">
        <f ca="1">'1st Quarter 2024'!C11+'2nd Quarter 2024'!C11+'3rd Quarter 2024'!C10+'4th Quarter 2024'!C10</f>
        <v>405850.92660000001</v>
      </c>
      <c r="D11" s="172">
        <f t="shared" ref="D11" ca="1" si="4">B11-C11</f>
        <v>29026.958739343507</v>
      </c>
      <c r="E11" s="173">
        <f t="shared" ref="E11" ca="1" si="5">IFERROR(D11/C11, "-")</f>
        <v>7.152123313482539E-2</v>
      </c>
      <c r="F11" s="174"/>
      <c r="G11" s="172">
        <f ca="1">'1st Quarter 2024'!G11+'2nd Quarter 2024'!G11+'3rd Quarter 2024'!G10+'4th Quarter 2024'!G10</f>
        <v>434877.88533934351</v>
      </c>
      <c r="H11" s="172">
        <f ca="1">'1st Quarter 2024'!H11+'2nd Quarter 2024'!H11+'3rd Quarter 2024'!H10+'4th Quarter 2024'!H10</f>
        <v>698800.05</v>
      </c>
      <c r="I11" s="175">
        <f t="shared" ref="I11" ca="1" si="6">G11-H11</f>
        <v>-263922.16466065653</v>
      </c>
      <c r="J11" s="176">
        <f t="shared" ref="J11" ca="1" si="7">IFERROR(I11/H11, "-")</f>
        <v>-0.37767908668675182</v>
      </c>
    </row>
    <row r="12" spans="1:13">
      <c r="C12" s="23"/>
      <c r="H12" s="23"/>
    </row>
    <row r="13" spans="1:13" ht="14.45">
      <c r="C13" s="73"/>
      <c r="D13" s="73"/>
      <c r="E13" s="73"/>
      <c r="F13" s="73"/>
      <c r="G13" s="73"/>
      <c r="H13" s="73"/>
      <c r="I13" s="73"/>
      <c r="J13" s="73"/>
    </row>
  </sheetData>
  <mergeCells count="2">
    <mergeCell ref="B1:E1"/>
    <mergeCell ref="G1:J1"/>
  </mergeCells>
  <conditionalFormatting sqref="E3:E10">
    <cfRule type="cellIs" dxfId="88" priority="2" operator="equal">
      <formula>"-"</formula>
    </cfRule>
  </conditionalFormatting>
  <conditionalFormatting sqref="E3:E11 J3:J11">
    <cfRule type="cellIs" dxfId="87" priority="4" operator="greaterThanOrEqual">
      <formula>0.1</formula>
    </cfRule>
    <cfRule type="cellIs" dxfId="86" priority="5" operator="lessThanOrEqual">
      <formula>-0.1</formula>
    </cfRule>
  </conditionalFormatting>
  <conditionalFormatting sqref="E11 J11">
    <cfRule type="cellIs" dxfId="85" priority="1" operator="equal">
      <formula>"-"</formula>
    </cfRule>
  </conditionalFormatting>
  <conditionalFormatting sqref="J3:J10">
    <cfRule type="cellIs" dxfId="84" priority="3" operator="equal">
      <formula>"-"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15"/>
  <sheetViews>
    <sheetView zoomScale="80" zoomScaleNormal="80" workbookViewId="0">
      <pane ySplit="2" topLeftCell="A3" activePane="bottomLeft" state="frozen"/>
      <selection pane="bottomLeft" activeCell="B1" sqref="B1:J1"/>
      <selection activeCell="K73" sqref="K73"/>
    </sheetView>
  </sheetViews>
  <sheetFormatPr defaultRowHeight="13.15"/>
  <cols>
    <col min="1" max="1" width="15.85546875" customWidth="1"/>
    <col min="2" max="4" width="11.85546875" customWidth="1"/>
    <col min="5" max="5" width="9.85546875" style="8" customWidth="1"/>
    <col min="6" max="6" width="3" customWidth="1"/>
    <col min="7" max="9" width="11.85546875" customWidth="1"/>
    <col min="10" max="10" width="9.42578125" style="8" customWidth="1"/>
    <col min="12" max="12" width="23" customWidth="1"/>
  </cols>
  <sheetData>
    <row r="1" spans="1:12" ht="19.5" customHeight="1">
      <c r="A1" s="51" t="s">
        <v>0</v>
      </c>
      <c r="B1" s="223" t="s">
        <v>12</v>
      </c>
      <c r="C1" s="224"/>
      <c r="D1" s="224"/>
      <c r="E1" s="225"/>
      <c r="F1" s="2"/>
      <c r="G1" s="222" t="s">
        <v>13</v>
      </c>
      <c r="H1" s="222"/>
      <c r="I1" s="222"/>
      <c r="J1" s="222"/>
    </row>
    <row r="2" spans="1:12" ht="13.9" thickBot="1">
      <c r="A2" s="52" t="s">
        <v>3</v>
      </c>
      <c r="B2" s="3" t="s">
        <v>4</v>
      </c>
      <c r="C2" s="3" t="s">
        <v>5</v>
      </c>
      <c r="D2" s="3" t="s">
        <v>6</v>
      </c>
      <c r="E2" s="70" t="s">
        <v>7</v>
      </c>
      <c r="F2" s="4"/>
      <c r="G2" s="5" t="s">
        <v>4</v>
      </c>
      <c r="H2" s="5" t="s">
        <v>8</v>
      </c>
      <c r="I2" s="6" t="s">
        <v>6</v>
      </c>
      <c r="J2" s="9" t="s">
        <v>7</v>
      </c>
    </row>
    <row r="3" spans="1:12" ht="52.35" customHeight="1">
      <c r="A3" s="46" t="str" cm="1">
        <f t="array" ref="A3:A10">_xlfn.UNIQUE(Sites[State])</f>
        <v>CA</v>
      </c>
      <c r="B3" s="96" cm="1">
        <f t="array" aca="1" ref="B3" ca="1">SUM(_xlfn._xlws.FILTER('01-2024'!C$3:$C$64,'01-2024'!$B$3:$B$64=$A3), _xlfn._xlws.FILTER('02-2024'!C$3:$C$64,'02-2024'!$B$3:$B$64=$A3), _xlfn._xlws.FILTER('03-2024'!C$3:$C$64,'03-2024'!$B$3:$B$64=$A3))</f>
        <v>20561.361928194841</v>
      </c>
      <c r="C3" s="96" cm="1">
        <f t="array" aca="1" ref="C3" ca="1">SUM(_xlfn._xlws.FILTER('01-2024'!D$3:$D$64,'01-2024'!$B$3:$B$64=$A3), _xlfn._xlws.FILTER('02-2024'!D$3:$D$64,'02-2024'!$B$3:$B$64=$A3), _xlfn._xlws.FILTER('03-2024'!D$3:$D$64,'03-2024'!$B$3:$B$64=$A3))</f>
        <v>25565.67</v>
      </c>
      <c r="D3" s="96">
        <f t="shared" ref="D3:D11" ca="1" si="0">B3-C3</f>
        <v>-5004.3080718051569</v>
      </c>
      <c r="E3" s="97">
        <f t="shared" ref="E3:E11" ca="1" si="1">IFERROR(D3/C3, "-")</f>
        <v>-0.19574327885031595</v>
      </c>
      <c r="F3" s="168"/>
      <c r="G3" s="169">
        <f t="shared" ref="G3:G10" ca="1" si="2">B3</f>
        <v>20561.361928194841</v>
      </c>
      <c r="H3" s="169" cm="1">
        <f t="array" aca="1" ref="H3" ca="1">SUM(_xlfn._xlws.FILTER('01-2024'!$I$3:$I$64,'01-2024'!$B$3:$B$64=$A3), _xlfn._xlws.FILTER('02-2024'!$I$3:$I$64,'02-2024'!$B$3:$B$64=$A3), _xlfn._xlws.FILTER('03-2024'!I$3:$I$64,'03-2024'!$B$3:$B$64=$A3))</f>
        <v>24910.173000000003</v>
      </c>
      <c r="I3" s="169">
        <f t="shared" ref="I3:I10" ca="1" si="3">G3-H3</f>
        <v>-4348.8110718051612</v>
      </c>
      <c r="J3" s="103">
        <f t="shared" ref="J3:J11" ca="1" si="4">IFERROR(I3/H3, "-")</f>
        <v>-0.17457972177893588</v>
      </c>
      <c r="L3" s="83" t="s">
        <v>9</v>
      </c>
    </row>
    <row r="4" spans="1:12" ht="52.35" customHeight="1">
      <c r="A4" s="46" t="str">
        <v>CO</v>
      </c>
      <c r="B4" s="96" cm="1">
        <f t="array" aca="1" ref="B4" ca="1">SUM(_xlfn._xlws.FILTER('01-2024'!C$3:$C$64,'01-2024'!$B$3:$B$64=$A4), _xlfn._xlws.FILTER('02-2024'!C$3:$C$64,'02-2024'!$B$3:$B$64=$A4), _xlfn._xlws.FILTER('03-2024'!C$3:$C$64,'03-2024'!$B$3:$B$64=$A4))</f>
        <v>14268.598365941221</v>
      </c>
      <c r="C4" s="96" cm="1">
        <f t="array" aca="1" ref="C4" ca="1">SUM(_xlfn._xlws.FILTER('01-2024'!D$3:$D$64,'01-2024'!$B$3:$B$64=$A4), _xlfn._xlws.FILTER('02-2024'!D$3:$D$64,'02-2024'!$B$3:$B$64=$A4), _xlfn._xlws.FILTER('03-2024'!D$3:$D$64,'03-2024'!$B$3:$B$64=$A4))</f>
        <v>0</v>
      </c>
      <c r="D4" s="96">
        <f t="shared" ca="1" si="0"/>
        <v>14268.598365941221</v>
      </c>
      <c r="E4" s="170" t="str">
        <f t="shared" ca="1" si="1"/>
        <v>-</v>
      </c>
      <c r="F4" s="168"/>
      <c r="G4" s="169">
        <f t="shared" ca="1" si="2"/>
        <v>14268.598365941221</v>
      </c>
      <c r="H4" s="169" cm="1">
        <f t="array" aca="1" ref="H4" ca="1">SUM(_xlfn._xlws.FILTER('01-2024'!$I$3:$I$64,'01-2024'!$B$3:$B$64=$A4), _xlfn._xlws.FILTER('02-2024'!$I$3:$I$64,'02-2024'!$B$3:$B$64=$A4), _xlfn._xlws.FILTER('03-2024'!I$3:$I$64,'03-2024'!$B$3:$B$64=$A4))</f>
        <v>15280.868999999999</v>
      </c>
      <c r="I4" s="169">
        <f t="shared" ca="1" si="3"/>
        <v>-1012.2706340587774</v>
      </c>
      <c r="J4" s="103">
        <f t="shared" ca="1" si="4"/>
        <v>-6.6244310716803964E-2</v>
      </c>
      <c r="L4" s="82" t="s">
        <v>10</v>
      </c>
    </row>
    <row r="5" spans="1:12" ht="52.35" customHeight="1">
      <c r="A5" s="46" t="str">
        <v>CT</v>
      </c>
      <c r="B5" s="96" cm="1">
        <f t="array" aca="1" ref="B5" ca="1">SUM(_xlfn._xlws.FILTER('01-2024'!C$3:$C$64,'01-2024'!$B$3:$B$64=$A5), _xlfn._xlws.FILTER('02-2024'!C$3:$C$64,'02-2024'!$B$3:$B$64=$A5), _xlfn._xlws.FILTER('03-2024'!C$3:$C$64,'03-2024'!$B$3:$B$64=$A5))</f>
        <v>237.44057825254001</v>
      </c>
      <c r="C5" s="96" cm="1">
        <f t="array" aca="1" ref="C5" ca="1">SUM(_xlfn._xlws.FILTER('01-2024'!D$3:$D$64,'01-2024'!$B$3:$B$64=$A5), _xlfn._xlws.FILTER('02-2024'!D$3:$D$64,'02-2024'!$B$3:$B$64=$A5), _xlfn._xlws.FILTER('03-2024'!D$3:$D$64,'03-2024'!$B$3:$B$64=$A5))</f>
        <v>664.21310000000005</v>
      </c>
      <c r="D5" s="96">
        <f t="shared" ca="1" si="0"/>
        <v>-426.77252174746002</v>
      </c>
      <c r="E5" s="97">
        <f t="shared" ca="1" si="1"/>
        <v>-0.64252349396219377</v>
      </c>
      <c r="F5" s="168"/>
      <c r="G5" s="169">
        <f t="shared" ca="1" si="2"/>
        <v>237.44057825254001</v>
      </c>
      <c r="H5" s="169" cm="1">
        <f t="array" aca="1" ref="H5" ca="1">SUM(_xlfn._xlws.FILTER('01-2024'!$I$3:$I$64,'01-2024'!$B$3:$B$64=$A5), _xlfn._xlws.FILTER('02-2024'!$I$3:$I$64,'02-2024'!$B$3:$B$64=$A5), _xlfn._xlws.FILTER('03-2024'!I$3:$I$64,'03-2024'!$B$3:$B$64=$A5))</f>
        <v>650.03199999999993</v>
      </c>
      <c r="I5" s="169">
        <f t="shared" ca="1" si="3"/>
        <v>-412.59142174745989</v>
      </c>
      <c r="J5" s="103">
        <f t="shared" ca="1" si="4"/>
        <v>-0.63472478546819222</v>
      </c>
    </row>
    <row r="6" spans="1:12" ht="52.35" customHeight="1">
      <c r="A6" s="46" t="str">
        <v>FL</v>
      </c>
      <c r="B6" s="96" cm="1">
        <f t="array" aca="1" ref="B6" ca="1">SUM(_xlfn._xlws.FILTER('01-2024'!C$3:$C$64,'01-2024'!$B$3:$B$64=$A6), _xlfn._xlws.FILTER('02-2024'!C$3:$C$64,'02-2024'!$B$3:$B$64=$A6), _xlfn._xlws.FILTER('03-2024'!C$3:$C$64,'03-2024'!$B$3:$B$64=$A6))</f>
        <v>1428.4985294549399</v>
      </c>
      <c r="C6" s="96" cm="1">
        <f t="array" aca="1" ref="C6" ca="1">SUM(_xlfn._xlws.FILTER('01-2024'!D$3:$D$64,'01-2024'!$B$3:$B$64=$A6), _xlfn._xlws.FILTER('02-2024'!D$3:$D$64,'02-2024'!$B$3:$B$64=$A6), _xlfn._xlws.FILTER('03-2024'!D$3:$D$64,'03-2024'!$B$3:$B$64=$A6))</f>
        <v>2582.0729999999999</v>
      </c>
      <c r="D6" s="96">
        <f t="shared" ca="1" si="0"/>
        <v>-1153.57447054506</v>
      </c>
      <c r="E6" s="97">
        <f t="shared" ca="1" si="1"/>
        <v>-0.44676291899766585</v>
      </c>
      <c r="F6" s="168"/>
      <c r="G6" s="169">
        <f t="shared" ca="1" si="2"/>
        <v>1428.4985294549399</v>
      </c>
      <c r="H6" s="169" cm="1">
        <f t="array" aca="1" ref="H6" ca="1">SUM(_xlfn._xlws.FILTER('01-2024'!$I$3:$I$64,'01-2024'!$B$3:$B$64=$A6), _xlfn._xlws.FILTER('02-2024'!$I$3:$I$64,'02-2024'!$B$3:$B$64=$A6), _xlfn._xlws.FILTER('03-2024'!I$3:$I$64,'03-2024'!$B$3:$B$64=$A6))</f>
        <v>3451.6610000000001</v>
      </c>
      <c r="I6" s="169">
        <f t="shared" ca="1" si="3"/>
        <v>-2023.1624705450602</v>
      </c>
      <c r="J6" s="103">
        <f t="shared" ca="1" si="4"/>
        <v>-0.58614170700571699</v>
      </c>
    </row>
    <row r="7" spans="1:12" ht="52.35" customHeight="1">
      <c r="A7" s="46" t="str">
        <v>IA</v>
      </c>
      <c r="B7" s="96" cm="1">
        <f t="array" aca="1" ref="B7" ca="1">SUM(_xlfn._xlws.FILTER('01-2024'!C$3:$C$64,'01-2024'!$B$3:$B$64=$A7), _xlfn._xlws.FILTER('02-2024'!C$3:$C$64,'02-2024'!$B$3:$B$64=$A7), _xlfn._xlws.FILTER('03-2024'!C$3:$C$64,'03-2024'!$B$3:$B$64=$A7))</f>
        <v>99895.9375</v>
      </c>
      <c r="C7" s="96" cm="1">
        <f t="array" aca="1" ref="C7" ca="1">SUM(_xlfn._xlws.FILTER('01-2024'!D$3:$D$64,'01-2024'!$B$3:$B$64=$A7), _xlfn._xlws.FILTER('02-2024'!D$3:$D$64,'02-2024'!$B$3:$B$64=$A7), _xlfn._xlws.FILTER('03-2024'!D$3:$D$64,'03-2024'!$B$3:$B$64=$A7))</f>
        <v>29613.754000000001</v>
      </c>
      <c r="D7" s="96">
        <f t="shared" ca="1" si="0"/>
        <v>70282.183499999999</v>
      </c>
      <c r="E7" s="97">
        <f t="shared" ca="1" si="1"/>
        <v>2.3732953106857035</v>
      </c>
      <c r="F7" s="168"/>
      <c r="G7" s="169">
        <f t="shared" ca="1" si="2"/>
        <v>99895.9375</v>
      </c>
      <c r="H7" s="169" cm="1">
        <f t="array" aca="1" ref="H7" ca="1">SUM(_xlfn._xlws.FILTER('01-2024'!$I$3:$I$64,'01-2024'!$B$3:$B$64=$A7), _xlfn._xlws.FILTER('02-2024'!$I$3:$I$64,'02-2024'!$B$3:$B$64=$A7), _xlfn._xlws.FILTER('03-2024'!I$3:$I$64,'03-2024'!$B$3:$B$64=$A7))</f>
        <v>185906.70699999999</v>
      </c>
      <c r="I7" s="169">
        <f t="shared" ca="1" si="3"/>
        <v>-86010.769499999995</v>
      </c>
      <c r="J7" s="103">
        <f t="shared" ca="1" si="4"/>
        <v>-0.46265554851660085</v>
      </c>
    </row>
    <row r="8" spans="1:12" ht="52.35" customHeight="1">
      <c r="A8" s="48" t="str">
        <v>NC</v>
      </c>
      <c r="B8" s="96" cm="1">
        <f t="array" aca="1" ref="B8" ca="1">SUM(_xlfn._xlws.FILTER('01-2024'!C$3:$C$64,'01-2024'!$B$3:$B$64=$A8), _xlfn._xlws.FILTER('02-2024'!C$3:$C$64,'02-2024'!$B$3:$B$64=$A8), _xlfn._xlws.FILTER('03-2024'!C$3:$C$64,'03-2024'!$B$3:$B$64=$A8))</f>
        <v>0</v>
      </c>
      <c r="C8" s="96" cm="1">
        <f t="array" aca="1" ref="C8" ca="1">SUM(_xlfn._xlws.FILTER('01-2024'!D$3:$D$64,'01-2024'!$B$3:$B$64=$A8), _xlfn._xlws.FILTER('02-2024'!D$3:$D$64,'02-2024'!$B$3:$B$64=$A8), _xlfn._xlws.FILTER('03-2024'!D$3:$D$64,'03-2024'!$B$3:$B$64=$A8))</f>
        <v>0</v>
      </c>
      <c r="D8" s="96">
        <f t="shared" ca="1" si="0"/>
        <v>0</v>
      </c>
      <c r="E8" s="97" t="str">
        <f t="shared" ca="1" si="1"/>
        <v>-</v>
      </c>
      <c r="F8" s="168"/>
      <c r="G8" s="169">
        <f t="shared" ca="1" si="2"/>
        <v>0</v>
      </c>
      <c r="H8" s="169" cm="1">
        <f t="array" aca="1" ref="H8" ca="1">SUM(_xlfn._xlws.FILTER('01-2024'!$I$3:$I$64,'01-2024'!$B$3:$B$64=$A8), _xlfn._xlws.FILTER('02-2024'!$I$3:$I$64,'02-2024'!$B$3:$B$64=$A8), _xlfn._xlws.FILTER('03-2024'!I$3:$I$64,'03-2024'!$B$3:$B$64=$A8))</f>
        <v>0</v>
      </c>
      <c r="I8" s="169">
        <f t="shared" ca="1" si="3"/>
        <v>0</v>
      </c>
      <c r="J8" s="103" t="str">
        <f t="shared" ca="1" si="4"/>
        <v>-</v>
      </c>
    </row>
    <row r="9" spans="1:12" ht="52.35" customHeight="1">
      <c r="A9" s="48" t="str">
        <v>NJ</v>
      </c>
      <c r="B9" s="96" cm="1">
        <f t="array" aca="1" ref="B9" ca="1">SUM(_xlfn._xlws.FILTER('01-2024'!C$3:$C$64,'01-2024'!$B$3:$B$64=$A9), _xlfn._xlws.FILTER('02-2024'!C$3:$C$64,'02-2024'!$B$3:$B$64=$A9), _xlfn._xlws.FILTER('03-2024'!C$3:$C$64,'03-2024'!$B$3:$B$64=$A9))</f>
        <v>22784.798437499969</v>
      </c>
      <c r="C9" s="96" cm="1">
        <f t="array" aca="1" ref="C9" ca="1">SUM(_xlfn._xlws.FILTER('01-2024'!D$3:$D$64,'01-2024'!$B$3:$B$64=$A9), _xlfn._xlws.FILTER('02-2024'!D$3:$D$64,'02-2024'!$B$3:$B$64=$A9), _xlfn._xlws.FILTER('03-2024'!D$3:$D$64,'03-2024'!$B$3:$B$64=$A9))</f>
        <v>29041.816500000001</v>
      </c>
      <c r="D9" s="96">
        <f t="shared" ca="1" si="0"/>
        <v>-6257.0180625000321</v>
      </c>
      <c r="E9" s="97">
        <f t="shared" ca="1" si="1"/>
        <v>-0.2154485778291462</v>
      </c>
      <c r="F9" s="168"/>
      <c r="G9" s="169">
        <f t="shared" ca="1" si="2"/>
        <v>22784.798437499969</v>
      </c>
      <c r="H9" s="169" cm="1">
        <f t="array" aca="1" ref="H9" ca="1">SUM(_xlfn._xlws.FILTER('01-2024'!$I$3:$I$64,'01-2024'!$B$3:$B$64=$A9), _xlfn._xlws.FILTER('02-2024'!$I$3:$I$64,'02-2024'!$B$3:$B$64=$A9), _xlfn._xlws.FILTER('03-2024'!I$3:$I$64,'03-2024'!$B$3:$B$64=$A9))</f>
        <v>40758.548999999999</v>
      </c>
      <c r="I9" s="169">
        <f t="shared" ca="1" si="3"/>
        <v>-17973.75056250003</v>
      </c>
      <c r="J9" s="103">
        <f t="shared" ca="1" si="4"/>
        <v>-0.44098111938430462</v>
      </c>
    </row>
    <row r="10" spans="1:12" ht="52.35" customHeight="1" thickBot="1">
      <c r="A10" s="47" t="str">
        <v>TX</v>
      </c>
      <c r="B10" s="96" cm="1">
        <f t="array" aca="1" ref="B10" ca="1">SUM(_xlfn._xlws.FILTER('01-2024'!C$3:$C$64,'01-2024'!$B$3:$B$64=$A10), _xlfn._xlws.FILTER('02-2024'!C$3:$C$64,'02-2024'!$B$3:$B$64=$A10), _xlfn._xlws.FILTER('03-2024'!C$3:$C$64,'03-2024'!$B$3:$B$64=$A10))</f>
        <v>275701.25</v>
      </c>
      <c r="C10" s="96" cm="1">
        <f t="array" aca="1" ref="C10" ca="1">SUM(_xlfn._xlws.FILTER('01-2024'!D$3:$D$64,'01-2024'!$B$3:$B$64=$A10), _xlfn._xlws.FILTER('02-2024'!D$3:$D$64,'02-2024'!$B$3:$B$64=$A10), _xlfn._xlws.FILTER('03-2024'!D$3:$D$64,'03-2024'!$B$3:$B$64=$A10))</f>
        <v>318383.40000000002</v>
      </c>
      <c r="D10" s="96">
        <f t="shared" ca="1" si="0"/>
        <v>-42682.150000000023</v>
      </c>
      <c r="E10" s="97">
        <f t="shared" ca="1" si="1"/>
        <v>-0.13405896789845206</v>
      </c>
      <c r="F10" s="168"/>
      <c r="G10" s="169">
        <f t="shared" ca="1" si="2"/>
        <v>275701.25</v>
      </c>
      <c r="H10" s="169" cm="1">
        <f t="array" aca="1" ref="H10" ca="1">SUM(_xlfn._xlws.FILTER('01-2024'!$I$3:$I$64,'01-2024'!$B$3:$B$64=$A10), _xlfn._xlws.FILTER('02-2024'!$I$3:$I$64,'02-2024'!$B$3:$B$64=$A10), _xlfn._xlws.FILTER('03-2024'!I$3:$I$64,'03-2024'!$B$3:$B$64=$A10))</f>
        <v>427842.05900000001</v>
      </c>
      <c r="I10" s="169">
        <f t="shared" ca="1" si="3"/>
        <v>-152140.80900000001</v>
      </c>
      <c r="J10" s="171">
        <f t="shared" ca="1" si="4"/>
        <v>-0.35560040393317199</v>
      </c>
    </row>
    <row r="11" spans="1:12" ht="52.35" customHeight="1">
      <c r="A11" s="49" t="s">
        <v>11</v>
      </c>
      <c r="B11" s="172">
        <f ca="1">SUM(B3:B10)</f>
        <v>434877.88533934351</v>
      </c>
      <c r="C11" s="172">
        <f ca="1">SUM(C3:C10)</f>
        <v>405850.92660000001</v>
      </c>
      <c r="D11" s="172">
        <f t="shared" ca="1" si="0"/>
        <v>29026.958739343507</v>
      </c>
      <c r="E11" s="173">
        <f t="shared" ca="1" si="1"/>
        <v>7.152123313482539E-2</v>
      </c>
      <c r="F11" s="174"/>
      <c r="G11" s="172">
        <f ca="1">SUM(G3:G10)</f>
        <v>434877.88533934351</v>
      </c>
      <c r="H11" s="172">
        <f ca="1">SUM(H3:H10)</f>
        <v>698800.05</v>
      </c>
      <c r="I11" s="175">
        <f t="shared" ref="I11" ca="1" si="5">G11-H11</f>
        <v>-263922.16466065653</v>
      </c>
      <c r="J11" s="176">
        <f t="shared" ca="1" si="4"/>
        <v>-0.37767908668675182</v>
      </c>
    </row>
    <row r="15" spans="1:12">
      <c r="H15" s="23"/>
    </row>
  </sheetData>
  <sortState xmlns:xlrd2="http://schemas.microsoft.com/office/spreadsheetml/2017/richdata2" ref="A3:J10">
    <sortCondition ref="A3:A10"/>
  </sortState>
  <mergeCells count="2">
    <mergeCell ref="B1:E1"/>
    <mergeCell ref="G1:J1"/>
  </mergeCells>
  <conditionalFormatting sqref="E3:E10">
    <cfRule type="cellIs" dxfId="83" priority="2" operator="equal">
      <formula>"-"</formula>
    </cfRule>
  </conditionalFormatting>
  <conditionalFormatting sqref="E3:E11 J3:J11">
    <cfRule type="cellIs" dxfId="82" priority="4" operator="greaterThanOrEqual">
      <formula>0.1</formula>
    </cfRule>
    <cfRule type="cellIs" dxfId="81" priority="7" operator="lessThanOrEqual">
      <formula>-0.1</formula>
    </cfRule>
  </conditionalFormatting>
  <conditionalFormatting sqref="E11 J11">
    <cfRule type="cellIs" dxfId="80" priority="1" operator="equal">
      <formula>"-"</formula>
    </cfRule>
  </conditionalFormatting>
  <conditionalFormatting sqref="J3:J10">
    <cfRule type="cellIs" dxfId="79" priority="3" operator="equal">
      <formula>"-"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L11"/>
  <sheetViews>
    <sheetView workbookViewId="0">
      <pane ySplit="2" topLeftCell="A3" activePane="bottomLeft" state="frozen"/>
      <selection pane="bottomLeft" activeCell="B1" sqref="B1:J1"/>
      <selection activeCell="K73" sqref="K73"/>
    </sheetView>
  </sheetViews>
  <sheetFormatPr defaultRowHeight="13.15"/>
  <cols>
    <col min="1" max="1" width="15.85546875" customWidth="1"/>
    <col min="2" max="4" width="11.85546875" customWidth="1"/>
    <col min="5" max="5" width="9.85546875" style="8" customWidth="1"/>
    <col min="6" max="6" width="3" customWidth="1"/>
    <col min="7" max="9" width="11.85546875" customWidth="1"/>
    <col min="10" max="10" width="9.42578125" style="8" customWidth="1"/>
    <col min="12" max="12" width="23" customWidth="1"/>
  </cols>
  <sheetData>
    <row r="1" spans="1:12" ht="19.5" customHeight="1">
      <c r="A1" s="51" t="s">
        <v>0</v>
      </c>
      <c r="B1" s="225" t="s">
        <v>14</v>
      </c>
      <c r="C1" s="221"/>
      <c r="D1" s="221"/>
      <c r="E1" s="221"/>
      <c r="F1" s="2"/>
      <c r="G1" s="222" t="s">
        <v>15</v>
      </c>
      <c r="H1" s="222"/>
      <c r="I1" s="222"/>
      <c r="J1" s="222"/>
    </row>
    <row r="2" spans="1:12" ht="13.5" customHeight="1" thickBot="1">
      <c r="A2" s="52" t="s">
        <v>3</v>
      </c>
      <c r="B2" s="3" t="s">
        <v>4</v>
      </c>
      <c r="C2" s="3" t="s">
        <v>5</v>
      </c>
      <c r="D2" s="3" t="s">
        <v>6</v>
      </c>
      <c r="E2" s="70" t="s">
        <v>7</v>
      </c>
      <c r="F2" s="4"/>
      <c r="G2" s="5" t="s">
        <v>4</v>
      </c>
      <c r="H2" s="5" t="s">
        <v>8</v>
      </c>
      <c r="I2" s="6" t="s">
        <v>6</v>
      </c>
      <c r="J2" s="9" t="s">
        <v>7</v>
      </c>
    </row>
    <row r="3" spans="1:12" ht="51.75" customHeight="1">
      <c r="A3" s="46" t="str" cm="1">
        <f t="array" ref="A3:A10">_xlfn.UNIQUE(Sites[State])</f>
        <v>CA</v>
      </c>
      <c r="B3" s="96" cm="1">
        <f t="array" aca="1" ref="B3" ca="1">SUM(_xlfn._xlws.FILTER('04-2024'!$C$3:$C$64,'04-2024'!$B$3:$B$64=$A3), _xlfn._xlws.FILTER('05-2024'!$C$3:$C$64,'05-2024'!$B$3:$B$64=$A3), _xlfn._xlws.FILTER('06-2024'!$C$3:$C$64,'06-2024'!$B$3:$B$64=$A3))</f>
        <v>0</v>
      </c>
      <c r="C3" s="96" cm="1">
        <f t="array" aca="1" ref="C3" ca="1">SUM(_xlfn._xlws.FILTER('04-2024'!$D$3:$D$64,'04-2024'!$B$3:$B$64=$A3), _xlfn._xlws.FILTER('05-2024'!$D$3:$D$64,'05-2024'!$B$3:$B$64=$A3), _xlfn._xlws.FILTER('06-2024'!$D$3:$D$64,'06-2024'!$B$3:$B$64=$A3))</f>
        <v>0</v>
      </c>
      <c r="D3" s="96">
        <f t="shared" ref="D3:D11" ca="1" si="0">B3-C3</f>
        <v>0</v>
      </c>
      <c r="E3" s="97" t="str">
        <f t="shared" ref="E3:E11" ca="1" si="1">IFERROR(D3/C3, "-")</f>
        <v>-</v>
      </c>
      <c r="F3" s="168"/>
      <c r="G3" s="169">
        <f t="shared" ref="G3:G11" ca="1" si="2">B3</f>
        <v>0</v>
      </c>
      <c r="H3" s="169" cm="1">
        <f t="array" aca="1" ref="H3" ca="1">SUM(_xlfn._xlws.FILTER('04-2024'!$I$3:$I$64,'04-2024'!$B$3:$B$64=$A3), _xlfn._xlws.FILTER('05-2024'!I$3:$I$64,'05-2024'!$B$3:$B$64=$A3), _xlfn._xlws.FILTER('06-2024'!$I$3:$I$64,'06-2024'!$B$3:$B$64=$A3))</f>
        <v>0</v>
      </c>
      <c r="I3" s="169">
        <f t="shared" ref="I3:I10" ca="1" si="3">G3-H3</f>
        <v>0</v>
      </c>
      <c r="J3" s="103" t="str">
        <f t="shared" ref="J3:J11" ca="1" si="4">IFERROR(I3/H3, "-")</f>
        <v>-</v>
      </c>
      <c r="L3" s="83" t="s">
        <v>9</v>
      </c>
    </row>
    <row r="4" spans="1:12" ht="51.75" customHeight="1">
      <c r="A4" s="46" t="str">
        <v>CO</v>
      </c>
      <c r="B4" s="96" cm="1">
        <f t="array" aca="1" ref="B4" ca="1">SUM(_xlfn._xlws.FILTER('04-2024'!$C$3:$C$64,'04-2024'!$B$3:$B$64=$A4), _xlfn._xlws.FILTER('05-2024'!$C$3:$C$64,'05-2024'!$B$3:$B$64=$A4), _xlfn._xlws.FILTER('06-2024'!$C$3:$C$64,'06-2024'!$B$3:$B$64=$A4))</f>
        <v>0</v>
      </c>
      <c r="C4" s="96" cm="1">
        <f t="array" aca="1" ref="C4" ca="1">SUM(_xlfn._xlws.FILTER('04-2024'!$D$3:$D$64,'04-2024'!$B$3:$B$64=$A4), _xlfn._xlws.FILTER('05-2024'!$D$3:$D$64,'05-2024'!$B$3:$B$64=$A4), _xlfn._xlws.FILTER('06-2024'!$D$3:$D$64,'06-2024'!$B$3:$B$64=$A4))</f>
        <v>0</v>
      </c>
      <c r="D4" s="96">
        <f t="shared" ca="1" si="0"/>
        <v>0</v>
      </c>
      <c r="E4" s="170" t="str">
        <f t="shared" ca="1" si="1"/>
        <v>-</v>
      </c>
      <c r="F4" s="168"/>
      <c r="G4" s="169">
        <f t="shared" ca="1" si="2"/>
        <v>0</v>
      </c>
      <c r="H4" s="169" cm="1">
        <f t="array" aca="1" ref="H4" ca="1">SUM(_xlfn._xlws.FILTER('04-2024'!$I$3:$I$64,'04-2024'!$B$3:$B$64=$A4), _xlfn._xlws.FILTER('05-2024'!I$3:$I$64,'05-2024'!$B$3:$B$64=$A4), _xlfn._xlws.FILTER('06-2024'!$I$3:$I$64,'06-2024'!$B$3:$B$64=$A4))</f>
        <v>0</v>
      </c>
      <c r="I4" s="169">
        <f t="shared" ca="1" si="3"/>
        <v>0</v>
      </c>
      <c r="J4" s="103" t="str">
        <f t="shared" ca="1" si="4"/>
        <v>-</v>
      </c>
      <c r="L4" s="82" t="s">
        <v>10</v>
      </c>
    </row>
    <row r="5" spans="1:12" ht="51.75" customHeight="1">
      <c r="A5" s="46" t="str">
        <v>CT</v>
      </c>
      <c r="B5" s="96" cm="1">
        <f t="array" aca="1" ref="B5" ca="1">SUM(_xlfn._xlws.FILTER('04-2024'!$C$3:$C$64,'04-2024'!$B$3:$B$64=$A5), _xlfn._xlws.FILTER('05-2024'!$C$3:$C$64,'05-2024'!$B$3:$B$64=$A5), _xlfn._xlws.FILTER('06-2024'!$C$3:$C$64,'06-2024'!$B$3:$B$64=$A5))</f>
        <v>0</v>
      </c>
      <c r="C5" s="96" cm="1">
        <f t="array" aca="1" ref="C5" ca="1">SUM(_xlfn._xlws.FILTER('04-2024'!$D$3:$D$64,'04-2024'!$B$3:$B$64=$A5), _xlfn._xlws.FILTER('05-2024'!$D$3:$D$64,'05-2024'!$B$3:$B$64=$A5), _xlfn._xlws.FILTER('06-2024'!$D$3:$D$64,'06-2024'!$B$3:$B$64=$A5))</f>
        <v>0</v>
      </c>
      <c r="D5" s="96">
        <f t="shared" ca="1" si="0"/>
        <v>0</v>
      </c>
      <c r="E5" s="97" t="str">
        <f t="shared" ca="1" si="1"/>
        <v>-</v>
      </c>
      <c r="F5" s="168"/>
      <c r="G5" s="169">
        <f t="shared" ca="1" si="2"/>
        <v>0</v>
      </c>
      <c r="H5" s="169" cm="1">
        <f t="array" aca="1" ref="H5" ca="1">SUM(_xlfn._xlws.FILTER('04-2024'!$I$3:$I$64,'04-2024'!$B$3:$B$64=$A5), _xlfn._xlws.FILTER('05-2024'!I$3:$I$64,'05-2024'!$B$3:$B$64=$A5), _xlfn._xlws.FILTER('06-2024'!$I$3:$I$64,'06-2024'!$B$3:$B$64=$A5))</f>
        <v>0</v>
      </c>
      <c r="I5" s="169">
        <f t="shared" ca="1" si="3"/>
        <v>0</v>
      </c>
      <c r="J5" s="103" t="str">
        <f t="shared" ca="1" si="4"/>
        <v>-</v>
      </c>
    </row>
    <row r="6" spans="1:12" ht="51.75" customHeight="1">
      <c r="A6" s="46" t="str">
        <v>FL</v>
      </c>
      <c r="B6" s="96" cm="1">
        <f t="array" aca="1" ref="B6" ca="1">SUM(_xlfn._xlws.FILTER('04-2024'!$C$3:$C$64,'04-2024'!$B$3:$B$64=$A6), _xlfn._xlws.FILTER('05-2024'!$C$3:$C$64,'05-2024'!$B$3:$B$64=$A6), _xlfn._xlws.FILTER('06-2024'!$C$3:$C$64,'06-2024'!$B$3:$B$64=$A6))</f>
        <v>0</v>
      </c>
      <c r="C6" s="96" cm="1">
        <f t="array" aca="1" ref="C6" ca="1">SUM(_xlfn._xlws.FILTER('04-2024'!$D$3:$D$64,'04-2024'!$B$3:$B$64=$A6), _xlfn._xlws.FILTER('05-2024'!$D$3:$D$64,'05-2024'!$B$3:$B$64=$A6), _xlfn._xlws.FILTER('06-2024'!$D$3:$D$64,'06-2024'!$B$3:$B$64=$A6))</f>
        <v>0</v>
      </c>
      <c r="D6" s="96">
        <f t="shared" ca="1" si="0"/>
        <v>0</v>
      </c>
      <c r="E6" s="97" t="str">
        <f t="shared" ca="1" si="1"/>
        <v>-</v>
      </c>
      <c r="F6" s="168"/>
      <c r="G6" s="169">
        <f t="shared" ca="1" si="2"/>
        <v>0</v>
      </c>
      <c r="H6" s="169" cm="1">
        <f t="array" aca="1" ref="H6" ca="1">SUM(_xlfn._xlws.FILTER('04-2024'!$I$3:$I$64,'04-2024'!$B$3:$B$64=$A6), _xlfn._xlws.FILTER('05-2024'!I$3:$I$64,'05-2024'!$B$3:$B$64=$A6), _xlfn._xlws.FILTER('06-2024'!$I$3:$I$64,'06-2024'!$B$3:$B$64=$A6))</f>
        <v>0</v>
      </c>
      <c r="I6" s="169">
        <f t="shared" ca="1" si="3"/>
        <v>0</v>
      </c>
      <c r="J6" s="103" t="str">
        <f t="shared" ca="1" si="4"/>
        <v>-</v>
      </c>
    </row>
    <row r="7" spans="1:12" ht="51.75" customHeight="1">
      <c r="A7" s="46" t="str">
        <v>IA</v>
      </c>
      <c r="B7" s="96" cm="1">
        <f t="array" aca="1" ref="B7" ca="1">SUM(_xlfn._xlws.FILTER('04-2024'!$C$3:$C$64,'04-2024'!$B$3:$B$64=$A7), _xlfn._xlws.FILTER('05-2024'!$C$3:$C$64,'05-2024'!$B$3:$B$64=$A7), _xlfn._xlws.FILTER('06-2024'!$C$3:$C$64,'06-2024'!$B$3:$B$64=$A7))</f>
        <v>0</v>
      </c>
      <c r="C7" s="96" cm="1">
        <f t="array" aca="1" ref="C7" ca="1">SUM(_xlfn._xlws.FILTER('04-2024'!$D$3:$D$64,'04-2024'!$B$3:$B$64=$A7), _xlfn._xlws.FILTER('05-2024'!$D$3:$D$64,'05-2024'!$B$3:$B$64=$A7), _xlfn._xlws.FILTER('06-2024'!$D$3:$D$64,'06-2024'!$B$3:$B$64=$A7))</f>
        <v>0</v>
      </c>
      <c r="D7" s="96">
        <f t="shared" ca="1" si="0"/>
        <v>0</v>
      </c>
      <c r="E7" s="97" t="str">
        <f t="shared" ca="1" si="1"/>
        <v>-</v>
      </c>
      <c r="F7" s="168"/>
      <c r="G7" s="169">
        <f t="shared" ca="1" si="2"/>
        <v>0</v>
      </c>
      <c r="H7" s="169" cm="1">
        <f t="array" aca="1" ref="H7" ca="1">SUM(_xlfn._xlws.FILTER('04-2024'!$I$3:$I$64,'04-2024'!$B$3:$B$64=$A7), _xlfn._xlws.FILTER('05-2024'!I$3:$I$64,'05-2024'!$B$3:$B$64=$A7), _xlfn._xlws.FILTER('06-2024'!$I$3:$I$64,'06-2024'!$B$3:$B$64=$A7))</f>
        <v>0</v>
      </c>
      <c r="I7" s="169">
        <f t="shared" ca="1" si="3"/>
        <v>0</v>
      </c>
      <c r="J7" s="103" t="str">
        <f t="shared" ca="1" si="4"/>
        <v>-</v>
      </c>
    </row>
    <row r="8" spans="1:12" ht="51.75" customHeight="1">
      <c r="A8" s="48" t="str">
        <v>NC</v>
      </c>
      <c r="B8" s="96" cm="1">
        <f t="array" aca="1" ref="B8" ca="1">SUM(_xlfn._xlws.FILTER('04-2024'!$C$3:$C$64,'04-2024'!$B$3:$B$64=$A8), _xlfn._xlws.FILTER('05-2024'!$C$3:$C$64,'05-2024'!$B$3:$B$64=$A8), _xlfn._xlws.FILTER('06-2024'!$C$3:$C$64,'06-2024'!$B$3:$B$64=$A8))</f>
        <v>0</v>
      </c>
      <c r="C8" s="96" cm="1">
        <f t="array" aca="1" ref="C8" ca="1">SUM(_xlfn._xlws.FILTER('04-2024'!$D$3:$D$64,'04-2024'!$B$3:$B$64=$A8), _xlfn._xlws.FILTER('05-2024'!$D$3:$D$64,'05-2024'!$B$3:$B$64=$A8), _xlfn._xlws.FILTER('06-2024'!$D$3:$D$64,'06-2024'!$B$3:$B$64=$A8))</f>
        <v>0</v>
      </c>
      <c r="D8" s="96">
        <f t="shared" ca="1" si="0"/>
        <v>0</v>
      </c>
      <c r="E8" s="97" t="str">
        <f t="shared" ca="1" si="1"/>
        <v>-</v>
      </c>
      <c r="F8" s="168"/>
      <c r="G8" s="169">
        <f t="shared" ca="1" si="2"/>
        <v>0</v>
      </c>
      <c r="H8" s="169" cm="1">
        <f t="array" aca="1" ref="H8" ca="1">SUM(_xlfn._xlws.FILTER('04-2024'!$I$3:$I$64,'04-2024'!$B$3:$B$64=$A8), _xlfn._xlws.FILTER('05-2024'!I$3:$I$64,'05-2024'!$B$3:$B$64=$A8), _xlfn._xlws.FILTER('06-2024'!$I$3:$I$64,'06-2024'!$B$3:$B$64=$A8))</f>
        <v>0</v>
      </c>
      <c r="I8" s="169">
        <f t="shared" ca="1" si="3"/>
        <v>0</v>
      </c>
      <c r="J8" s="103" t="str">
        <f t="shared" ca="1" si="4"/>
        <v>-</v>
      </c>
    </row>
    <row r="9" spans="1:12" ht="51.75" customHeight="1">
      <c r="A9" s="48" t="str">
        <v>NJ</v>
      </c>
      <c r="B9" s="96" cm="1">
        <f t="array" aca="1" ref="B9" ca="1">SUM(_xlfn._xlws.FILTER('04-2024'!$C$3:$C$64,'04-2024'!$B$3:$B$64=$A9), _xlfn._xlws.FILTER('05-2024'!$C$3:$C$64,'05-2024'!$B$3:$B$64=$A9), _xlfn._xlws.FILTER('06-2024'!$C$3:$C$64,'06-2024'!$B$3:$B$64=$A9))</f>
        <v>0</v>
      </c>
      <c r="C9" s="96" cm="1">
        <f t="array" aca="1" ref="C9" ca="1">SUM(_xlfn._xlws.FILTER('04-2024'!$D$3:$D$64,'04-2024'!$B$3:$B$64=$A9), _xlfn._xlws.FILTER('05-2024'!$D$3:$D$64,'05-2024'!$B$3:$B$64=$A9), _xlfn._xlws.FILTER('06-2024'!$D$3:$D$64,'06-2024'!$B$3:$B$64=$A9))</f>
        <v>0</v>
      </c>
      <c r="D9" s="96">
        <f t="shared" ca="1" si="0"/>
        <v>0</v>
      </c>
      <c r="E9" s="97" t="str">
        <f t="shared" ca="1" si="1"/>
        <v>-</v>
      </c>
      <c r="F9" s="168"/>
      <c r="G9" s="169">
        <f t="shared" ca="1" si="2"/>
        <v>0</v>
      </c>
      <c r="H9" s="169" cm="1">
        <f t="array" aca="1" ref="H9" ca="1">SUM(_xlfn._xlws.FILTER('04-2024'!$I$3:$I$64,'04-2024'!$B$3:$B$64=$A9), _xlfn._xlws.FILTER('05-2024'!I$3:$I$64,'05-2024'!$B$3:$B$64=$A9), _xlfn._xlws.FILTER('06-2024'!$I$3:$I$64,'06-2024'!$B$3:$B$64=$A9))</f>
        <v>0</v>
      </c>
      <c r="I9" s="169">
        <f t="shared" ca="1" si="3"/>
        <v>0</v>
      </c>
      <c r="J9" s="103" t="str">
        <f t="shared" ca="1" si="4"/>
        <v>-</v>
      </c>
    </row>
    <row r="10" spans="1:12" ht="51.75" customHeight="1" thickBot="1">
      <c r="A10" s="47" t="str">
        <v>TX</v>
      </c>
      <c r="B10" s="96" cm="1">
        <f t="array" aca="1" ref="B10" ca="1">SUM(_xlfn._xlws.FILTER('04-2024'!$C$3:$C$64,'04-2024'!$B$3:$B$64=$A10), _xlfn._xlws.FILTER('05-2024'!$C$3:$C$64,'05-2024'!$B$3:$B$64=$A10), _xlfn._xlws.FILTER('06-2024'!$C$3:$C$64,'06-2024'!$B$3:$B$64=$A10))</f>
        <v>0</v>
      </c>
      <c r="C10" s="96" cm="1">
        <f t="array" aca="1" ref="C10" ca="1">SUM(_xlfn._xlws.FILTER('04-2024'!$D$3:$D$64,'04-2024'!$B$3:$B$64=$A10), _xlfn._xlws.FILTER('05-2024'!$D$3:$D$64,'05-2024'!$B$3:$B$64=$A10), _xlfn._xlws.FILTER('06-2024'!$D$3:$D$64,'06-2024'!$B$3:$B$64=$A10))</f>
        <v>0</v>
      </c>
      <c r="D10" s="96">
        <f t="shared" ca="1" si="0"/>
        <v>0</v>
      </c>
      <c r="E10" s="97" t="str">
        <f t="shared" ca="1" si="1"/>
        <v>-</v>
      </c>
      <c r="F10" s="168"/>
      <c r="G10" s="169">
        <f t="shared" ca="1" si="2"/>
        <v>0</v>
      </c>
      <c r="H10" s="169" cm="1">
        <f t="array" aca="1" ref="H10" ca="1">SUM(_xlfn._xlws.FILTER('04-2024'!$I$3:$I$64,'04-2024'!$B$3:$B$64=$A10), _xlfn._xlws.FILTER('05-2024'!I$3:$I$64,'05-2024'!$B$3:$B$64=$A10), _xlfn._xlws.FILTER('06-2024'!$I$3:$I$64,'06-2024'!$B$3:$B$64=$A10))</f>
        <v>0</v>
      </c>
      <c r="I10" s="169">
        <f t="shared" ca="1" si="3"/>
        <v>0</v>
      </c>
      <c r="J10" s="171" t="str">
        <f t="shared" ca="1" si="4"/>
        <v>-</v>
      </c>
    </row>
    <row r="11" spans="1:12" ht="51.75" customHeight="1">
      <c r="A11" s="49" t="s">
        <v>11</v>
      </c>
      <c r="B11" s="172">
        <f ca="1">SUM(B3:B10)</f>
        <v>0</v>
      </c>
      <c r="C11" s="172">
        <f ca="1">SUM(C3:C10)</f>
        <v>0</v>
      </c>
      <c r="D11" s="172">
        <f t="shared" ca="1" si="0"/>
        <v>0</v>
      </c>
      <c r="E11" s="173" t="str">
        <f t="shared" ca="1" si="1"/>
        <v>-</v>
      </c>
      <c r="F11" s="174"/>
      <c r="G11" s="172">
        <f t="shared" ca="1" si="2"/>
        <v>0</v>
      </c>
      <c r="H11" s="172">
        <f ca="1">SUM(H3:H10)</f>
        <v>0</v>
      </c>
      <c r="I11" s="175">
        <f t="shared" ref="I11" ca="1" si="5">G11-H11</f>
        <v>0</v>
      </c>
      <c r="J11" s="176" t="str">
        <f t="shared" ca="1" si="4"/>
        <v>-</v>
      </c>
    </row>
  </sheetData>
  <sortState xmlns:xlrd2="http://schemas.microsoft.com/office/spreadsheetml/2017/richdata2" ref="A3:J11">
    <sortCondition ref="A3:A11"/>
  </sortState>
  <mergeCells count="2">
    <mergeCell ref="B1:E1"/>
    <mergeCell ref="G1:J1"/>
  </mergeCells>
  <conditionalFormatting sqref="E3:E10">
    <cfRule type="cellIs" dxfId="78" priority="2" operator="equal">
      <formula>"-"</formula>
    </cfRule>
  </conditionalFormatting>
  <conditionalFormatting sqref="E3:E11 J3:J11">
    <cfRule type="cellIs" dxfId="77" priority="4" operator="greaterThanOrEqual">
      <formula>0.1</formula>
    </cfRule>
    <cfRule type="cellIs" dxfId="76" priority="5" operator="lessThanOrEqual">
      <formula>-0.1</formula>
    </cfRule>
  </conditionalFormatting>
  <conditionalFormatting sqref="E11 J11">
    <cfRule type="cellIs" dxfId="75" priority="1" operator="equal">
      <formula>"-"</formula>
    </cfRule>
  </conditionalFormatting>
  <conditionalFormatting sqref="J3:J10">
    <cfRule type="cellIs" dxfId="74" priority="3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L13"/>
  <sheetViews>
    <sheetView workbookViewId="0">
      <pane ySplit="2" topLeftCell="A3" activePane="bottomLeft" state="frozen"/>
      <selection pane="bottomLeft" activeCell="B1" sqref="B1:J1"/>
      <selection activeCell="K73" sqref="K73"/>
    </sheetView>
  </sheetViews>
  <sheetFormatPr defaultRowHeight="13.15"/>
  <cols>
    <col min="1" max="1" width="15.85546875" customWidth="1"/>
    <col min="2" max="4" width="11.85546875" customWidth="1"/>
    <col min="5" max="5" width="9.85546875" style="8" customWidth="1"/>
    <col min="6" max="6" width="3" customWidth="1"/>
    <col min="7" max="9" width="11.85546875" customWidth="1"/>
    <col min="10" max="10" width="9.42578125" style="8" customWidth="1"/>
    <col min="12" max="12" width="23" customWidth="1"/>
  </cols>
  <sheetData>
    <row r="1" spans="1:12" ht="19.5" customHeight="1">
      <c r="A1" s="51" t="s">
        <v>0</v>
      </c>
      <c r="B1" s="225" t="s">
        <v>16</v>
      </c>
      <c r="C1" s="221"/>
      <c r="D1" s="221"/>
      <c r="E1" s="221"/>
      <c r="F1" s="2"/>
      <c r="G1" s="222" t="s">
        <v>17</v>
      </c>
      <c r="H1" s="222"/>
      <c r="I1" s="222"/>
      <c r="J1" s="222"/>
    </row>
    <row r="2" spans="1:12" ht="12.75" customHeight="1" thickBot="1">
      <c r="A2" s="52" t="s">
        <v>3</v>
      </c>
      <c r="B2" s="3" t="s">
        <v>4</v>
      </c>
      <c r="C2" s="3" t="s">
        <v>5</v>
      </c>
      <c r="D2" s="3" t="s">
        <v>6</v>
      </c>
      <c r="E2" s="70" t="s">
        <v>7</v>
      </c>
      <c r="F2" s="4"/>
      <c r="G2" s="5" t="s">
        <v>4</v>
      </c>
      <c r="H2" s="5" t="s">
        <v>8</v>
      </c>
      <c r="I2" s="6" t="s">
        <v>6</v>
      </c>
      <c r="J2" s="9" t="s">
        <v>7</v>
      </c>
    </row>
    <row r="3" spans="1:12" ht="51.75" customHeight="1">
      <c r="A3" s="46" t="str" cm="1">
        <f t="array" ref="A3:A10">_xlfn.UNIQUE(Sites[State])</f>
        <v>CA</v>
      </c>
      <c r="B3" s="96" cm="1">
        <f t="array" aca="1" ref="B3" ca="1">SUM(_xlfn._xlws.FILTER('07-2024'!$C$3:$C$64,'07-2024'!$B$3:$B$64=$A3), _xlfn._xlws.FILTER('08-2024'!$C$3:$C$64,'08-2024'!$B$3:$B$64=$A3), _xlfn._xlws.FILTER('09-2024'!$C$3:$C$64,'09-2024'!$B$3:$B$64=$A3))</f>
        <v>0</v>
      </c>
      <c r="C3" s="96" cm="1">
        <f t="array" aca="1" ref="C3" ca="1">SUM(_xlfn._xlws.FILTER('07-2024'!$D$3:$D$64,'07-2024'!$B$3:$B$64=$A3), _xlfn._xlws.FILTER('08-2024'!$D$3:$D$64,'08-2024'!$B$3:$B$64=$A3), _xlfn._xlws.FILTER('09-2024'!$D$3:$D$64,'09-2024'!$B$3:$B$64=$A3))</f>
        <v>0</v>
      </c>
      <c r="D3" s="96">
        <f t="shared" ref="D3:D11" ca="1" si="0">B3-C3</f>
        <v>0</v>
      </c>
      <c r="E3" s="97" t="str">
        <f t="shared" ref="E3:E11" ca="1" si="1">IFERROR(D3/C3, "-")</f>
        <v>-</v>
      </c>
      <c r="F3" s="168"/>
      <c r="G3" s="169">
        <f t="shared" ref="G3:G11" ca="1" si="2">B3</f>
        <v>0</v>
      </c>
      <c r="H3" s="169" cm="1">
        <f t="array" aca="1" ref="H3" ca="1">SUM(_xlfn._xlws.FILTER('07-2024'!$I$3:$I$64,'07-2024'!$B$3:$B$64=$A3), _xlfn._xlws.FILTER('08-2024'!I$3:$I$64,'08-2024'!$B$3:$B$64=$A3), _xlfn._xlws.FILTER('09-2024'!$I$3:$I$64,'09-2024'!$B$3:$B$64=$A3))</f>
        <v>0</v>
      </c>
      <c r="I3" s="169">
        <f t="shared" ref="I3:I11" ca="1" si="3">G3-H3</f>
        <v>0</v>
      </c>
      <c r="J3" s="103" t="str">
        <f t="shared" ref="J3:J11" ca="1" si="4">IFERROR(I3/H3, "-")</f>
        <v>-</v>
      </c>
      <c r="L3" s="83" t="s">
        <v>9</v>
      </c>
    </row>
    <row r="4" spans="1:12" ht="51.75" customHeight="1">
      <c r="A4" s="46" t="str">
        <v>CO</v>
      </c>
      <c r="B4" s="96" cm="1">
        <f t="array" aca="1" ref="B4" ca="1">SUM(_xlfn._xlws.FILTER('07-2024'!$C$3:$C$64,'07-2024'!$B$3:$B$64=$A4), _xlfn._xlws.FILTER('08-2024'!$C$3:$C$64,'08-2024'!$B$3:$B$64=$A4), _xlfn._xlws.FILTER('09-2024'!$C$3:$C$64,'09-2024'!$B$3:$B$64=$A4))</f>
        <v>0</v>
      </c>
      <c r="C4" s="96" cm="1">
        <f t="array" aca="1" ref="C4" ca="1">SUM(_xlfn._xlws.FILTER('07-2024'!$D$3:$D$64,'07-2024'!$B$3:$B$64=$A4), _xlfn._xlws.FILTER('08-2024'!$D$3:$D$64,'08-2024'!$B$3:$B$64=$A4), _xlfn._xlws.FILTER('09-2024'!$D$3:$D$64,'09-2024'!$B$3:$B$64=$A4))</f>
        <v>0</v>
      </c>
      <c r="D4" s="96">
        <f t="shared" ca="1" si="0"/>
        <v>0</v>
      </c>
      <c r="E4" s="170" t="str">
        <f t="shared" ca="1" si="1"/>
        <v>-</v>
      </c>
      <c r="F4" s="168"/>
      <c r="G4" s="169">
        <f t="shared" ca="1" si="2"/>
        <v>0</v>
      </c>
      <c r="H4" s="169" cm="1">
        <f t="array" aca="1" ref="H4" ca="1">SUM(_xlfn._xlws.FILTER('07-2024'!$I$3:$I$64,'07-2024'!$B$3:$B$64=$A4), _xlfn._xlws.FILTER('08-2024'!I$3:$I$64,'08-2024'!$B$3:$B$64=$A4), _xlfn._xlws.FILTER('09-2024'!$I$3:$I$64,'09-2024'!$B$3:$B$64=$A4))</f>
        <v>0</v>
      </c>
      <c r="I4" s="169">
        <f t="shared" ca="1" si="3"/>
        <v>0</v>
      </c>
      <c r="J4" s="103" t="str">
        <f t="shared" ca="1" si="4"/>
        <v>-</v>
      </c>
      <c r="L4" s="82" t="s">
        <v>10</v>
      </c>
    </row>
    <row r="5" spans="1:12" ht="51.75" customHeight="1">
      <c r="A5" s="46" t="str">
        <v>CT</v>
      </c>
      <c r="B5" s="96" cm="1">
        <f t="array" aca="1" ref="B5" ca="1">SUM(_xlfn._xlws.FILTER('07-2024'!$C$3:$C$64,'07-2024'!$B$3:$B$64=$A5), _xlfn._xlws.FILTER('08-2024'!$C$3:$C$64,'08-2024'!$B$3:$B$64=$A5), _xlfn._xlws.FILTER('09-2024'!$C$3:$C$64,'09-2024'!$B$3:$B$64=$A5))</f>
        <v>0</v>
      </c>
      <c r="C5" s="96" cm="1">
        <f t="array" aca="1" ref="C5" ca="1">SUM(_xlfn._xlws.FILTER('07-2024'!$D$3:$D$64,'07-2024'!$B$3:$B$64=$A5), _xlfn._xlws.FILTER('08-2024'!$D$3:$D$64,'08-2024'!$B$3:$B$64=$A5), _xlfn._xlws.FILTER('09-2024'!$D$3:$D$64,'09-2024'!$B$3:$B$64=$A5))</f>
        <v>0</v>
      </c>
      <c r="D5" s="96">
        <f t="shared" ca="1" si="0"/>
        <v>0</v>
      </c>
      <c r="E5" s="97" t="str">
        <f t="shared" ca="1" si="1"/>
        <v>-</v>
      </c>
      <c r="F5" s="168"/>
      <c r="G5" s="169">
        <f t="shared" ca="1" si="2"/>
        <v>0</v>
      </c>
      <c r="H5" s="169" cm="1">
        <f t="array" aca="1" ref="H5" ca="1">SUM(_xlfn._xlws.FILTER('07-2024'!$I$3:$I$64,'07-2024'!$B$3:$B$64=$A5), _xlfn._xlws.FILTER('08-2024'!I$3:$I$64,'08-2024'!$B$3:$B$64=$A5), _xlfn._xlws.FILTER('09-2024'!$I$3:$I$64,'09-2024'!$B$3:$B$64=$A5))</f>
        <v>0</v>
      </c>
      <c r="I5" s="169">
        <f t="shared" ca="1" si="3"/>
        <v>0</v>
      </c>
      <c r="J5" s="103" t="str">
        <f t="shared" ca="1" si="4"/>
        <v>-</v>
      </c>
    </row>
    <row r="6" spans="1:12" ht="51.75" customHeight="1">
      <c r="A6" s="46" t="str">
        <v>FL</v>
      </c>
      <c r="B6" s="96" cm="1">
        <f t="array" aca="1" ref="B6" ca="1">SUM(_xlfn._xlws.FILTER('07-2024'!$C$3:$C$64,'07-2024'!$B$3:$B$64=$A6), _xlfn._xlws.FILTER('08-2024'!$C$3:$C$64,'08-2024'!$B$3:$B$64=$A6), _xlfn._xlws.FILTER('09-2024'!$C$3:$C$64,'09-2024'!$B$3:$B$64=$A6))</f>
        <v>0</v>
      </c>
      <c r="C6" s="96" cm="1">
        <f t="array" aca="1" ref="C6" ca="1">SUM(_xlfn._xlws.FILTER('07-2024'!$D$3:$D$64,'07-2024'!$B$3:$B$64=$A6), _xlfn._xlws.FILTER('08-2024'!$D$3:$D$64,'08-2024'!$B$3:$B$64=$A6), _xlfn._xlws.FILTER('09-2024'!$D$3:$D$64,'09-2024'!$B$3:$B$64=$A6))</f>
        <v>0</v>
      </c>
      <c r="D6" s="96">
        <f t="shared" ca="1" si="0"/>
        <v>0</v>
      </c>
      <c r="E6" s="97" t="str">
        <f t="shared" ca="1" si="1"/>
        <v>-</v>
      </c>
      <c r="F6" s="168"/>
      <c r="G6" s="169">
        <f t="shared" ca="1" si="2"/>
        <v>0</v>
      </c>
      <c r="H6" s="169" cm="1">
        <f t="array" aca="1" ref="H6" ca="1">SUM(_xlfn._xlws.FILTER('07-2024'!$I$3:$I$64,'07-2024'!$B$3:$B$64=$A6), _xlfn._xlws.FILTER('08-2024'!I$3:$I$64,'08-2024'!$B$3:$B$64=$A6), _xlfn._xlws.FILTER('09-2024'!$I$3:$I$64,'09-2024'!$B$3:$B$64=$A6))</f>
        <v>0</v>
      </c>
      <c r="I6" s="169">
        <f t="shared" ca="1" si="3"/>
        <v>0</v>
      </c>
      <c r="J6" s="103" t="str">
        <f t="shared" ca="1" si="4"/>
        <v>-</v>
      </c>
    </row>
    <row r="7" spans="1:12" ht="51.75" customHeight="1">
      <c r="A7" s="46" t="str">
        <v>IA</v>
      </c>
      <c r="B7" s="96" cm="1">
        <f t="array" aca="1" ref="B7" ca="1">SUM(_xlfn._xlws.FILTER('07-2024'!$C$3:$C$64,'07-2024'!$B$3:$B$64=$A7), _xlfn._xlws.FILTER('08-2024'!$C$3:$C$64,'08-2024'!$B$3:$B$64=$A7), _xlfn._xlws.FILTER('09-2024'!$C$3:$C$64,'09-2024'!$B$3:$B$64=$A7))</f>
        <v>0</v>
      </c>
      <c r="C7" s="96" cm="1">
        <f t="array" aca="1" ref="C7" ca="1">SUM(_xlfn._xlws.FILTER('07-2024'!$D$3:$D$64,'07-2024'!$B$3:$B$64=$A7), _xlfn._xlws.FILTER('08-2024'!$D$3:$D$64,'08-2024'!$B$3:$B$64=$A7), _xlfn._xlws.FILTER('09-2024'!$D$3:$D$64,'09-2024'!$B$3:$B$64=$A7))</f>
        <v>0</v>
      </c>
      <c r="D7" s="96">
        <f t="shared" ca="1" si="0"/>
        <v>0</v>
      </c>
      <c r="E7" s="97" t="str">
        <f t="shared" ca="1" si="1"/>
        <v>-</v>
      </c>
      <c r="F7" s="168"/>
      <c r="G7" s="169">
        <f t="shared" ca="1" si="2"/>
        <v>0</v>
      </c>
      <c r="H7" s="169" cm="1">
        <f t="array" aca="1" ref="H7" ca="1">SUM(_xlfn._xlws.FILTER('07-2024'!$I$3:$I$64,'07-2024'!$B$3:$B$64=$A7), _xlfn._xlws.FILTER('08-2024'!I$3:$I$64,'08-2024'!$B$3:$B$64=$A7), _xlfn._xlws.FILTER('09-2024'!$I$3:$I$64,'09-2024'!$B$3:$B$64=$A7))</f>
        <v>0</v>
      </c>
      <c r="I7" s="169">
        <f t="shared" ca="1" si="3"/>
        <v>0</v>
      </c>
      <c r="J7" s="103" t="str">
        <f t="shared" ca="1" si="4"/>
        <v>-</v>
      </c>
    </row>
    <row r="8" spans="1:12" ht="51.75" customHeight="1">
      <c r="A8" s="48" t="str">
        <v>NC</v>
      </c>
      <c r="B8" s="96" cm="1">
        <f t="array" aca="1" ref="B8" ca="1">SUM(_xlfn._xlws.FILTER('07-2024'!$C$3:$C$64,'07-2024'!$B$3:$B$64=$A8), _xlfn._xlws.FILTER('08-2024'!$C$3:$C$64,'08-2024'!$B$3:$B$64=$A8), _xlfn._xlws.FILTER('09-2024'!$C$3:$C$64,'09-2024'!$B$3:$B$64=$A8))</f>
        <v>0</v>
      </c>
      <c r="C8" s="96" cm="1">
        <f t="array" aca="1" ref="C8" ca="1">SUM(_xlfn._xlws.FILTER('07-2024'!$D$3:$D$64,'07-2024'!$B$3:$B$64=$A8), _xlfn._xlws.FILTER('08-2024'!$D$3:$D$64,'08-2024'!$B$3:$B$64=$A8), _xlfn._xlws.FILTER('09-2024'!$D$3:$D$64,'09-2024'!$B$3:$B$64=$A8))</f>
        <v>0</v>
      </c>
      <c r="D8" s="96">
        <f t="shared" ca="1" si="0"/>
        <v>0</v>
      </c>
      <c r="E8" s="97" t="str">
        <f t="shared" ca="1" si="1"/>
        <v>-</v>
      </c>
      <c r="F8" s="168"/>
      <c r="G8" s="169">
        <f t="shared" ca="1" si="2"/>
        <v>0</v>
      </c>
      <c r="H8" s="169" cm="1">
        <f t="array" aca="1" ref="H8" ca="1">SUM(_xlfn._xlws.FILTER('07-2024'!$I$3:$I$64,'07-2024'!$B$3:$B$64=$A8), _xlfn._xlws.FILTER('08-2024'!I$3:$I$64,'08-2024'!$B$3:$B$64=$A8), _xlfn._xlws.FILTER('09-2024'!$I$3:$I$64,'09-2024'!$B$3:$B$64=$A8))</f>
        <v>0</v>
      </c>
      <c r="I8" s="169">
        <f t="shared" ca="1" si="3"/>
        <v>0</v>
      </c>
      <c r="J8" s="103" t="str">
        <f t="shared" ca="1" si="4"/>
        <v>-</v>
      </c>
    </row>
    <row r="9" spans="1:12" ht="51.75" customHeight="1">
      <c r="A9" s="48" t="str">
        <v>NJ</v>
      </c>
      <c r="B9" s="96" cm="1">
        <f t="array" aca="1" ref="B9" ca="1">SUM(_xlfn._xlws.FILTER('07-2024'!$C$3:$C$64,'07-2024'!$B$3:$B$64=$A9), _xlfn._xlws.FILTER('08-2024'!$C$3:$C$64,'08-2024'!$B$3:$B$64=$A9), _xlfn._xlws.FILTER('09-2024'!$C$3:$C$64,'09-2024'!$B$3:$B$64=$A9))</f>
        <v>0</v>
      </c>
      <c r="C9" s="96" cm="1">
        <f t="array" aca="1" ref="C9" ca="1">SUM(_xlfn._xlws.FILTER('07-2024'!$D$3:$D$64,'07-2024'!$B$3:$B$64=$A9), _xlfn._xlws.FILTER('08-2024'!$D$3:$D$64,'08-2024'!$B$3:$B$64=$A9), _xlfn._xlws.FILTER('09-2024'!$D$3:$D$64,'09-2024'!$B$3:$B$64=$A9))</f>
        <v>0</v>
      </c>
      <c r="D9" s="96">
        <f t="shared" ca="1" si="0"/>
        <v>0</v>
      </c>
      <c r="E9" s="97" t="str">
        <f t="shared" ca="1" si="1"/>
        <v>-</v>
      </c>
      <c r="F9" s="168"/>
      <c r="G9" s="169">
        <f t="shared" ca="1" si="2"/>
        <v>0</v>
      </c>
      <c r="H9" s="169" cm="1">
        <f t="array" aca="1" ref="H9" ca="1">SUM(_xlfn._xlws.FILTER('07-2024'!$I$3:$I$64,'07-2024'!$B$3:$B$64=$A9), _xlfn._xlws.FILTER('08-2024'!I$3:$I$64,'08-2024'!$B$3:$B$64=$A9), _xlfn._xlws.FILTER('09-2024'!$I$3:$I$64,'09-2024'!$B$3:$B$64=$A9))</f>
        <v>0</v>
      </c>
      <c r="I9" s="169">
        <f t="shared" ca="1" si="3"/>
        <v>0</v>
      </c>
      <c r="J9" s="103" t="str">
        <f t="shared" ca="1" si="4"/>
        <v>-</v>
      </c>
    </row>
    <row r="10" spans="1:12" ht="51.75" customHeight="1" thickBot="1">
      <c r="A10" s="47" t="str">
        <v>TX</v>
      </c>
      <c r="B10" s="96" cm="1">
        <f t="array" aca="1" ref="B10" ca="1">SUM(_xlfn._xlws.FILTER('07-2024'!$C$3:$C$64,'07-2024'!$B$3:$B$64=$A10), _xlfn._xlws.FILTER('08-2024'!$C$3:$C$64,'08-2024'!$B$3:$B$64=$A10), _xlfn._xlws.FILTER('09-2024'!$C$3:$C$64,'09-2024'!$B$3:$B$64=$A10))</f>
        <v>0</v>
      </c>
      <c r="C10" s="96" cm="1">
        <f t="array" aca="1" ref="C10" ca="1">SUM(_xlfn._xlws.FILTER('07-2024'!$D$3:$D$64,'07-2024'!$B$3:$B$64=$A10), _xlfn._xlws.FILTER('08-2024'!$D$3:$D$64,'08-2024'!$B$3:$B$64=$A10), _xlfn._xlws.FILTER('09-2024'!$D$3:$D$64,'09-2024'!$B$3:$B$64=$A10))</f>
        <v>0</v>
      </c>
      <c r="D10" s="96">
        <f t="shared" ca="1" si="0"/>
        <v>0</v>
      </c>
      <c r="E10" s="97" t="str">
        <f t="shared" ca="1" si="1"/>
        <v>-</v>
      </c>
      <c r="F10" s="168"/>
      <c r="G10" s="169">
        <f t="shared" ca="1" si="2"/>
        <v>0</v>
      </c>
      <c r="H10" s="169" cm="1">
        <f t="array" aca="1" ref="H10" ca="1">SUM(_xlfn._xlws.FILTER('07-2024'!$I$3:$I$64,'07-2024'!$B$3:$B$64=$A10), _xlfn._xlws.FILTER('08-2024'!I$3:$I$64,'08-2024'!$B$3:$B$64=$A10), _xlfn._xlws.FILTER('09-2024'!$I$3:$I$64,'09-2024'!$B$3:$B$64=$A10))</f>
        <v>0</v>
      </c>
      <c r="I10" s="169">
        <f t="shared" ca="1" si="3"/>
        <v>0</v>
      </c>
      <c r="J10" s="171" t="str">
        <f t="shared" ca="1" si="4"/>
        <v>-</v>
      </c>
    </row>
    <row r="11" spans="1:12" ht="51.75" customHeight="1">
      <c r="A11" s="49" t="s">
        <v>11</v>
      </c>
      <c r="B11" s="172">
        <f ca="1">SUM(B3:B10)</f>
        <v>0</v>
      </c>
      <c r="C11" s="172">
        <f ca="1">SUM(C3:C10)</f>
        <v>0</v>
      </c>
      <c r="D11" s="172">
        <f t="shared" ca="1" si="0"/>
        <v>0</v>
      </c>
      <c r="E11" s="173" t="str">
        <f t="shared" ca="1" si="1"/>
        <v>-</v>
      </c>
      <c r="F11" s="174"/>
      <c r="G11" s="172">
        <f t="shared" ca="1" si="2"/>
        <v>0</v>
      </c>
      <c r="H11" s="172">
        <f ca="1">SUM(H3:H10)</f>
        <v>0</v>
      </c>
      <c r="I11" s="175">
        <f t="shared" ca="1" si="3"/>
        <v>0</v>
      </c>
      <c r="J11" s="176" t="str">
        <f t="shared" ca="1" si="4"/>
        <v>-</v>
      </c>
    </row>
    <row r="13" spans="1:12">
      <c r="B13" s="23"/>
    </row>
  </sheetData>
  <mergeCells count="2">
    <mergeCell ref="B1:E1"/>
    <mergeCell ref="G1:J1"/>
  </mergeCells>
  <conditionalFormatting sqref="E3:E10">
    <cfRule type="cellIs" dxfId="73" priority="2" operator="equal">
      <formula>"-"</formula>
    </cfRule>
  </conditionalFormatting>
  <conditionalFormatting sqref="E3:E11 J3:J11">
    <cfRule type="cellIs" dxfId="72" priority="4" operator="greaterThanOrEqual">
      <formula>0.1</formula>
    </cfRule>
    <cfRule type="cellIs" dxfId="71" priority="5" operator="lessThanOrEqual">
      <formula>-0.1</formula>
    </cfRule>
  </conditionalFormatting>
  <conditionalFormatting sqref="E11 J11">
    <cfRule type="cellIs" dxfId="70" priority="1" operator="equal">
      <formula>"-"</formula>
    </cfRule>
  </conditionalFormatting>
  <conditionalFormatting sqref="J3:J10">
    <cfRule type="cellIs" dxfId="69" priority="3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L11"/>
  <sheetViews>
    <sheetView workbookViewId="0">
      <pane ySplit="2" topLeftCell="A3" activePane="bottomLeft" state="frozen"/>
      <selection pane="bottomLeft" activeCell="B1" sqref="B1:J1"/>
      <selection activeCell="K73" sqref="K73"/>
    </sheetView>
  </sheetViews>
  <sheetFormatPr defaultRowHeight="13.15"/>
  <cols>
    <col min="1" max="1" width="15.85546875" customWidth="1"/>
    <col min="2" max="4" width="11.85546875" customWidth="1"/>
    <col min="5" max="5" width="9.85546875" style="8" customWidth="1"/>
    <col min="6" max="6" width="3" customWidth="1"/>
    <col min="7" max="9" width="11.85546875" customWidth="1"/>
    <col min="10" max="10" width="9.42578125" style="8" customWidth="1"/>
    <col min="11" max="11" width="8.85546875" customWidth="1"/>
    <col min="12" max="12" width="23" customWidth="1"/>
  </cols>
  <sheetData>
    <row r="1" spans="1:12" ht="19.5" customHeight="1">
      <c r="A1" s="51" t="s">
        <v>0</v>
      </c>
      <c r="B1" s="225" t="s">
        <v>18</v>
      </c>
      <c r="C1" s="221"/>
      <c r="D1" s="221"/>
      <c r="E1" s="221"/>
      <c r="F1" s="2"/>
      <c r="G1" s="222" t="s">
        <v>19</v>
      </c>
      <c r="H1" s="222"/>
      <c r="I1" s="222"/>
      <c r="J1" s="222"/>
    </row>
    <row r="2" spans="1:12" ht="13.5" customHeight="1" thickBot="1">
      <c r="A2" s="52" t="s">
        <v>3</v>
      </c>
      <c r="B2" s="3" t="s">
        <v>4</v>
      </c>
      <c r="C2" s="3" t="s">
        <v>5</v>
      </c>
      <c r="D2" s="3" t="s">
        <v>6</v>
      </c>
      <c r="E2" s="70" t="s">
        <v>7</v>
      </c>
      <c r="F2" s="4"/>
      <c r="G2" s="5" t="s">
        <v>4</v>
      </c>
      <c r="H2" s="5" t="s">
        <v>8</v>
      </c>
      <c r="I2" s="6" t="s">
        <v>6</v>
      </c>
      <c r="J2" s="9" t="s">
        <v>7</v>
      </c>
    </row>
    <row r="3" spans="1:12" ht="51.75" customHeight="1">
      <c r="A3" s="46" t="str" cm="1">
        <f t="array" ref="A3:A10">_xlfn.UNIQUE(Sites[State])</f>
        <v>CA</v>
      </c>
      <c r="B3" s="96" cm="1">
        <f t="array" aca="1" ref="B3" ca="1">SUM(_xlfn._xlws.FILTER('10-2024'!$C$3:$C$64,'10-2024'!$B$3:$B$64=$A3), _xlfn._xlws.FILTER('11-2024'!$C$3:$C$64,'11-2024'!$B$3:$B$64=$A3), _xlfn._xlws.FILTER('12-2024'!$C$3:$C$64,'12-2024'!$B$3:$B$64=$A3))</f>
        <v>0</v>
      </c>
      <c r="C3" s="96" cm="1">
        <f t="array" aca="1" ref="C3" ca="1">SUM(_xlfn._xlws.FILTER('10-2024'!$D$3:$D$64,'10-2024'!$B$3:$B$64=$A3), _xlfn._xlws.FILTER('11-2024'!$D$3:$D$64,'11-2024'!$B$3:$B$64=$A3), _xlfn._xlws.FILTER('12-2024'!$D$3:$D$64,'12-2024'!$B$3:$B$64=$A3))</f>
        <v>0</v>
      </c>
      <c r="D3" s="96">
        <f t="shared" ref="D3:D11" ca="1" si="0">B3-C3</f>
        <v>0</v>
      </c>
      <c r="E3" s="97" t="str">
        <f t="shared" ref="E3:E11" ca="1" si="1">IFERROR(D3/C3, "-")</f>
        <v>-</v>
      </c>
      <c r="F3" s="168"/>
      <c r="G3" s="169">
        <f t="shared" ref="G3:G11" ca="1" si="2">B3</f>
        <v>0</v>
      </c>
      <c r="H3" s="169" cm="1">
        <f t="array" aca="1" ref="H3" ca="1">SUM(_xlfn._xlws.FILTER('10-2024'!$I$3:$I$64,'10-2024'!$B$3:$B$64=$A3), _xlfn._xlws.FILTER('11-2024'!I$3:$I$64,'11-2024'!$B$3:$B$64=$A3), _xlfn._xlws.FILTER('12-2024'!$I$3:$I$64,'12-2024'!$B$3:$B$64=$A3))</f>
        <v>0</v>
      </c>
      <c r="I3" s="169">
        <f t="shared" ref="I3:I11" ca="1" si="3">G3-H3</f>
        <v>0</v>
      </c>
      <c r="J3" s="103" t="str">
        <f t="shared" ref="J3:J11" ca="1" si="4">IFERROR(I3/H3, "-")</f>
        <v>-</v>
      </c>
      <c r="L3" s="83" t="s">
        <v>9</v>
      </c>
    </row>
    <row r="4" spans="1:12" ht="51.75" customHeight="1">
      <c r="A4" s="46" t="str">
        <v>CO</v>
      </c>
      <c r="B4" s="96" cm="1">
        <f t="array" aca="1" ref="B4" ca="1">SUM(_xlfn._xlws.FILTER('10-2024'!$C$3:$C$64,'10-2024'!$B$3:$B$64=$A4), _xlfn._xlws.FILTER('11-2024'!$C$3:$C$64,'11-2024'!$B$3:$B$64=$A4), _xlfn._xlws.FILTER('12-2024'!$C$3:$C$64,'12-2024'!$B$3:$B$64=$A4))</f>
        <v>0</v>
      </c>
      <c r="C4" s="96" cm="1">
        <f t="array" aca="1" ref="C4" ca="1">SUM(_xlfn._xlws.FILTER('10-2024'!$D$3:$D$64,'10-2024'!$B$3:$B$64=$A4), _xlfn._xlws.FILTER('11-2024'!$D$3:$D$64,'11-2024'!$B$3:$B$64=$A4), _xlfn._xlws.FILTER('12-2024'!$D$3:$D$64,'12-2024'!$B$3:$B$64=$A4))</f>
        <v>0</v>
      </c>
      <c r="D4" s="96">
        <f t="shared" ca="1" si="0"/>
        <v>0</v>
      </c>
      <c r="E4" s="170" t="str">
        <f t="shared" ca="1" si="1"/>
        <v>-</v>
      </c>
      <c r="F4" s="168"/>
      <c r="G4" s="169">
        <f t="shared" ca="1" si="2"/>
        <v>0</v>
      </c>
      <c r="H4" s="169" cm="1">
        <f t="array" aca="1" ref="H4" ca="1">SUM(_xlfn._xlws.FILTER('10-2024'!$I$3:$I$64,'10-2024'!$B$3:$B$64=$A4), _xlfn._xlws.FILTER('11-2024'!I$3:$I$64,'11-2024'!$B$3:$B$64=$A4), _xlfn._xlws.FILTER('12-2024'!$I$3:$I$64,'12-2024'!$B$3:$B$64=$A4))</f>
        <v>0</v>
      </c>
      <c r="I4" s="169">
        <f t="shared" ca="1" si="3"/>
        <v>0</v>
      </c>
      <c r="J4" s="103" t="str">
        <f t="shared" ca="1" si="4"/>
        <v>-</v>
      </c>
      <c r="L4" s="82" t="s">
        <v>10</v>
      </c>
    </row>
    <row r="5" spans="1:12" ht="51.75" customHeight="1">
      <c r="A5" s="46" t="str">
        <v>CT</v>
      </c>
      <c r="B5" s="96" cm="1">
        <f t="array" aca="1" ref="B5" ca="1">SUM(_xlfn._xlws.FILTER('10-2024'!$C$3:$C$64,'10-2024'!$B$3:$B$64=$A5), _xlfn._xlws.FILTER('11-2024'!$C$3:$C$64,'11-2024'!$B$3:$B$64=$A5), _xlfn._xlws.FILTER('12-2024'!$C$3:$C$64,'12-2024'!$B$3:$B$64=$A5))</f>
        <v>0</v>
      </c>
      <c r="C5" s="96" cm="1">
        <f t="array" aca="1" ref="C5" ca="1">SUM(_xlfn._xlws.FILTER('10-2024'!$D$3:$D$64,'10-2024'!$B$3:$B$64=$A5), _xlfn._xlws.FILTER('11-2024'!$D$3:$D$64,'11-2024'!$B$3:$B$64=$A5), _xlfn._xlws.FILTER('12-2024'!$D$3:$D$64,'12-2024'!$B$3:$B$64=$A5))</f>
        <v>0</v>
      </c>
      <c r="D5" s="96">
        <f t="shared" ca="1" si="0"/>
        <v>0</v>
      </c>
      <c r="E5" s="97" t="str">
        <f t="shared" ca="1" si="1"/>
        <v>-</v>
      </c>
      <c r="F5" s="168"/>
      <c r="G5" s="169">
        <f t="shared" ca="1" si="2"/>
        <v>0</v>
      </c>
      <c r="H5" s="169" cm="1">
        <f t="array" aca="1" ref="H5" ca="1">SUM(_xlfn._xlws.FILTER('10-2024'!$I$3:$I$64,'10-2024'!$B$3:$B$64=$A5), _xlfn._xlws.FILTER('11-2024'!I$3:$I$64,'11-2024'!$B$3:$B$64=$A5), _xlfn._xlws.FILTER('12-2024'!$I$3:$I$64,'12-2024'!$B$3:$B$64=$A5))</f>
        <v>0</v>
      </c>
      <c r="I5" s="169">
        <f t="shared" ca="1" si="3"/>
        <v>0</v>
      </c>
      <c r="J5" s="103" t="str">
        <f t="shared" ca="1" si="4"/>
        <v>-</v>
      </c>
    </row>
    <row r="6" spans="1:12" ht="51.75" customHeight="1">
      <c r="A6" s="46" t="str">
        <v>FL</v>
      </c>
      <c r="B6" s="96" cm="1">
        <f t="array" aca="1" ref="B6" ca="1">SUM(_xlfn._xlws.FILTER('10-2024'!$C$3:$C$64,'10-2024'!$B$3:$B$64=$A6), _xlfn._xlws.FILTER('11-2024'!$C$3:$C$64,'11-2024'!$B$3:$B$64=$A6), _xlfn._xlws.FILTER('12-2024'!$C$3:$C$64,'12-2024'!$B$3:$B$64=$A6))</f>
        <v>0</v>
      </c>
      <c r="C6" s="96" cm="1">
        <f t="array" aca="1" ref="C6" ca="1">SUM(_xlfn._xlws.FILTER('10-2024'!$D$3:$D$64,'10-2024'!$B$3:$B$64=$A6), _xlfn._xlws.FILTER('11-2024'!$D$3:$D$64,'11-2024'!$B$3:$B$64=$A6), _xlfn._xlws.FILTER('12-2024'!$D$3:$D$64,'12-2024'!$B$3:$B$64=$A6))</f>
        <v>0</v>
      </c>
      <c r="D6" s="96">
        <f t="shared" ca="1" si="0"/>
        <v>0</v>
      </c>
      <c r="E6" s="97" t="str">
        <f t="shared" ca="1" si="1"/>
        <v>-</v>
      </c>
      <c r="F6" s="168"/>
      <c r="G6" s="169">
        <f t="shared" ca="1" si="2"/>
        <v>0</v>
      </c>
      <c r="H6" s="169" cm="1">
        <f t="array" aca="1" ref="H6" ca="1">SUM(_xlfn._xlws.FILTER('10-2024'!$I$3:$I$64,'10-2024'!$B$3:$B$64=$A6), _xlfn._xlws.FILTER('11-2024'!I$3:$I$64,'11-2024'!$B$3:$B$64=$A6), _xlfn._xlws.FILTER('12-2024'!$I$3:$I$64,'12-2024'!$B$3:$B$64=$A6))</f>
        <v>0</v>
      </c>
      <c r="I6" s="169">
        <f t="shared" ca="1" si="3"/>
        <v>0</v>
      </c>
      <c r="J6" s="103" t="str">
        <f t="shared" ca="1" si="4"/>
        <v>-</v>
      </c>
    </row>
    <row r="7" spans="1:12" ht="51.75" customHeight="1">
      <c r="A7" s="46" t="str">
        <v>IA</v>
      </c>
      <c r="B7" s="96" cm="1">
        <f t="array" aca="1" ref="B7" ca="1">SUM(_xlfn._xlws.FILTER('10-2024'!$C$3:$C$64,'10-2024'!$B$3:$B$64=$A7), _xlfn._xlws.FILTER('11-2024'!$C$3:$C$64,'11-2024'!$B$3:$B$64=$A7), _xlfn._xlws.FILTER('12-2024'!$C$3:$C$64,'12-2024'!$B$3:$B$64=$A7))</f>
        <v>0</v>
      </c>
      <c r="C7" s="96" cm="1">
        <f t="array" aca="1" ref="C7" ca="1">SUM(_xlfn._xlws.FILTER('10-2024'!$D$3:$D$64,'10-2024'!$B$3:$B$64=$A7), _xlfn._xlws.FILTER('11-2024'!$D$3:$D$64,'11-2024'!$B$3:$B$64=$A7), _xlfn._xlws.FILTER('12-2024'!$D$3:$D$64,'12-2024'!$B$3:$B$64=$A7))</f>
        <v>0</v>
      </c>
      <c r="D7" s="96">
        <f t="shared" ca="1" si="0"/>
        <v>0</v>
      </c>
      <c r="E7" s="97" t="str">
        <f t="shared" ca="1" si="1"/>
        <v>-</v>
      </c>
      <c r="F7" s="168"/>
      <c r="G7" s="169">
        <f t="shared" ca="1" si="2"/>
        <v>0</v>
      </c>
      <c r="H7" s="169" cm="1">
        <f t="array" aca="1" ref="H7" ca="1">SUM(_xlfn._xlws.FILTER('10-2024'!$I$3:$I$64,'10-2024'!$B$3:$B$64=$A7), _xlfn._xlws.FILTER('11-2024'!I$3:$I$64,'11-2024'!$B$3:$B$64=$A7), _xlfn._xlws.FILTER('12-2024'!$I$3:$I$64,'12-2024'!$B$3:$B$64=$A7))</f>
        <v>0</v>
      </c>
      <c r="I7" s="169">
        <f t="shared" ca="1" si="3"/>
        <v>0</v>
      </c>
      <c r="J7" s="103" t="str">
        <f t="shared" ca="1" si="4"/>
        <v>-</v>
      </c>
    </row>
    <row r="8" spans="1:12" ht="51.75" customHeight="1">
      <c r="A8" s="48" t="str">
        <v>NC</v>
      </c>
      <c r="B8" s="96" cm="1">
        <f t="array" aca="1" ref="B8" ca="1">SUM(_xlfn._xlws.FILTER('10-2024'!$C$3:$C$64,'10-2024'!$B$3:$B$64=$A8), _xlfn._xlws.FILTER('11-2024'!$C$3:$C$64,'11-2024'!$B$3:$B$64=$A8), _xlfn._xlws.FILTER('12-2024'!$C$3:$C$64,'12-2024'!$B$3:$B$64=$A8))</f>
        <v>0</v>
      </c>
      <c r="C8" s="96" cm="1">
        <f t="array" aca="1" ref="C8" ca="1">SUM(_xlfn._xlws.FILTER('10-2024'!$D$3:$D$64,'10-2024'!$B$3:$B$64=$A8), _xlfn._xlws.FILTER('11-2024'!$D$3:$D$64,'11-2024'!$B$3:$B$64=$A8), _xlfn._xlws.FILTER('12-2024'!$D$3:$D$64,'12-2024'!$B$3:$B$64=$A8))</f>
        <v>0</v>
      </c>
      <c r="D8" s="96">
        <f t="shared" ca="1" si="0"/>
        <v>0</v>
      </c>
      <c r="E8" s="97" t="str">
        <f t="shared" ca="1" si="1"/>
        <v>-</v>
      </c>
      <c r="F8" s="168"/>
      <c r="G8" s="169">
        <f t="shared" ca="1" si="2"/>
        <v>0</v>
      </c>
      <c r="H8" s="169" cm="1">
        <f t="array" aca="1" ref="H8" ca="1">SUM(_xlfn._xlws.FILTER('10-2024'!$I$3:$I$64,'10-2024'!$B$3:$B$64=$A8), _xlfn._xlws.FILTER('11-2024'!I$3:$I$64,'11-2024'!$B$3:$B$64=$A8), _xlfn._xlws.FILTER('12-2024'!$I$3:$I$64,'12-2024'!$B$3:$B$64=$A8))</f>
        <v>0</v>
      </c>
      <c r="I8" s="169">
        <f t="shared" ca="1" si="3"/>
        <v>0</v>
      </c>
      <c r="J8" s="103" t="str">
        <f t="shared" ca="1" si="4"/>
        <v>-</v>
      </c>
    </row>
    <row r="9" spans="1:12" ht="51.75" customHeight="1">
      <c r="A9" s="48" t="str">
        <v>NJ</v>
      </c>
      <c r="B9" s="96" cm="1">
        <f t="array" aca="1" ref="B9" ca="1">SUM(_xlfn._xlws.FILTER('10-2024'!$C$3:$C$64,'10-2024'!$B$3:$B$64=$A9), _xlfn._xlws.FILTER('11-2024'!$C$3:$C$64,'11-2024'!$B$3:$B$64=$A9), _xlfn._xlws.FILTER('12-2024'!$C$3:$C$64,'12-2024'!$B$3:$B$64=$A9))</f>
        <v>0</v>
      </c>
      <c r="C9" s="96" cm="1">
        <f t="array" aca="1" ref="C9" ca="1">SUM(_xlfn._xlws.FILTER('10-2024'!$D$3:$D$64,'10-2024'!$B$3:$B$64=$A9), _xlfn._xlws.FILTER('11-2024'!$D$3:$D$64,'11-2024'!$B$3:$B$64=$A9), _xlfn._xlws.FILTER('12-2024'!$D$3:$D$64,'12-2024'!$B$3:$B$64=$A9))</f>
        <v>0</v>
      </c>
      <c r="D9" s="96">
        <f t="shared" ca="1" si="0"/>
        <v>0</v>
      </c>
      <c r="E9" s="97" t="str">
        <f t="shared" ca="1" si="1"/>
        <v>-</v>
      </c>
      <c r="F9" s="168"/>
      <c r="G9" s="169">
        <f t="shared" ca="1" si="2"/>
        <v>0</v>
      </c>
      <c r="H9" s="169" cm="1">
        <f t="array" aca="1" ref="H9" ca="1">SUM(_xlfn._xlws.FILTER('10-2024'!$I$3:$I$64,'10-2024'!$B$3:$B$64=$A9), _xlfn._xlws.FILTER('11-2024'!I$3:$I$64,'11-2024'!$B$3:$B$64=$A9), _xlfn._xlws.FILTER('12-2024'!$I$3:$I$64,'12-2024'!$B$3:$B$64=$A9))</f>
        <v>0</v>
      </c>
      <c r="I9" s="169">
        <f t="shared" ca="1" si="3"/>
        <v>0</v>
      </c>
      <c r="J9" s="103" t="str">
        <f t="shared" ca="1" si="4"/>
        <v>-</v>
      </c>
    </row>
    <row r="10" spans="1:12" ht="51.75" customHeight="1" thickBot="1">
      <c r="A10" s="47" t="str">
        <v>TX</v>
      </c>
      <c r="B10" s="96" cm="1">
        <f t="array" aca="1" ref="B10" ca="1">SUM(_xlfn._xlws.FILTER('10-2024'!$C$3:$C$64,'10-2024'!$B$3:$B$64=$A10), _xlfn._xlws.FILTER('11-2024'!$C$3:$C$64,'11-2024'!$B$3:$B$64=$A10), _xlfn._xlws.FILTER('12-2024'!$C$3:$C$64,'12-2024'!$B$3:$B$64=$A10))</f>
        <v>0</v>
      </c>
      <c r="C10" s="96" cm="1">
        <f t="array" aca="1" ref="C10" ca="1">SUM(_xlfn._xlws.FILTER('10-2024'!$D$3:$D$64,'10-2024'!$B$3:$B$64=$A10), _xlfn._xlws.FILTER('11-2024'!$D$3:$D$64,'11-2024'!$B$3:$B$64=$A10), _xlfn._xlws.FILTER('12-2024'!$D$3:$D$64,'12-2024'!$B$3:$B$64=$A10))</f>
        <v>0</v>
      </c>
      <c r="D10" s="96">
        <f t="shared" ca="1" si="0"/>
        <v>0</v>
      </c>
      <c r="E10" s="97" t="str">
        <f t="shared" ca="1" si="1"/>
        <v>-</v>
      </c>
      <c r="F10" s="168"/>
      <c r="G10" s="169">
        <f t="shared" ca="1" si="2"/>
        <v>0</v>
      </c>
      <c r="H10" s="169" cm="1">
        <f t="array" aca="1" ref="H10" ca="1">SUM(_xlfn._xlws.FILTER('10-2024'!$I$3:$I$64,'10-2024'!$B$3:$B$64=$A10), _xlfn._xlws.FILTER('11-2024'!I$3:$I$64,'11-2024'!$B$3:$B$64=$A10), _xlfn._xlws.FILTER('12-2024'!$I$3:$I$64,'12-2024'!$B$3:$B$64=$A10))</f>
        <v>0</v>
      </c>
      <c r="I10" s="169">
        <f t="shared" ca="1" si="3"/>
        <v>0</v>
      </c>
      <c r="J10" s="171" t="str">
        <f t="shared" ca="1" si="4"/>
        <v>-</v>
      </c>
    </row>
    <row r="11" spans="1:12" ht="51.75" customHeight="1">
      <c r="A11" s="49" t="s">
        <v>11</v>
      </c>
      <c r="B11" s="172">
        <f ca="1">SUM(B3:B10)</f>
        <v>0</v>
      </c>
      <c r="C11" s="172">
        <f ca="1">SUM(C3:C10)</f>
        <v>0</v>
      </c>
      <c r="D11" s="172">
        <f t="shared" ca="1" si="0"/>
        <v>0</v>
      </c>
      <c r="E11" s="173" t="str">
        <f t="shared" ca="1" si="1"/>
        <v>-</v>
      </c>
      <c r="F11" s="174"/>
      <c r="G11" s="172">
        <f t="shared" ca="1" si="2"/>
        <v>0</v>
      </c>
      <c r="H11" s="172">
        <f ca="1">SUM(H3:H10)</f>
        <v>0</v>
      </c>
      <c r="I11" s="175">
        <f t="shared" ca="1" si="3"/>
        <v>0</v>
      </c>
      <c r="J11" s="176" t="str">
        <f t="shared" ca="1" si="4"/>
        <v>-</v>
      </c>
    </row>
  </sheetData>
  <mergeCells count="2">
    <mergeCell ref="B1:E1"/>
    <mergeCell ref="G1:J1"/>
  </mergeCells>
  <conditionalFormatting sqref="E3:E10">
    <cfRule type="cellIs" dxfId="68" priority="2" operator="equal">
      <formula>"-"</formula>
    </cfRule>
  </conditionalFormatting>
  <conditionalFormatting sqref="E3:E11 J3:J11">
    <cfRule type="cellIs" dxfId="67" priority="4" operator="greaterThanOrEqual">
      <formula>0.1</formula>
    </cfRule>
    <cfRule type="cellIs" dxfId="66" priority="5" operator="lessThanOrEqual">
      <formula>-0.1</formula>
    </cfRule>
  </conditionalFormatting>
  <conditionalFormatting sqref="E11 J11">
    <cfRule type="cellIs" dxfId="65" priority="1" operator="equal">
      <formula>"-"</formula>
    </cfRule>
  </conditionalFormatting>
  <conditionalFormatting sqref="J3:J10">
    <cfRule type="cellIs" dxfId="64" priority="3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M71"/>
  <sheetViews>
    <sheetView zoomScale="90" zoomScaleNormal="90" workbookViewId="0">
      <pane ySplit="2" topLeftCell="A48" activePane="bottomLeft" state="frozen"/>
      <selection pane="bottomLeft" activeCell="L17" sqref="L17"/>
      <selection activeCell="K73" sqref="K7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85546875" style="8" customWidth="1"/>
    <col min="12" max="12" width="68.85546875" customWidth="1"/>
    <col min="13" max="13" width="14.140625" customWidth="1"/>
  </cols>
  <sheetData>
    <row r="1" spans="1:13" ht="19.5" customHeight="1">
      <c r="A1" s="236" t="s">
        <v>0</v>
      </c>
      <c r="B1" s="237"/>
      <c r="C1" s="230" t="s">
        <v>20</v>
      </c>
      <c r="D1" s="231"/>
      <c r="E1" s="231"/>
      <c r="F1" s="232"/>
      <c r="G1" s="68"/>
      <c r="H1" s="233" t="s">
        <v>21</v>
      </c>
      <c r="I1" s="234"/>
      <c r="J1" s="234"/>
      <c r="K1" s="235"/>
      <c r="L1" s="228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71" t="s">
        <v>7</v>
      </c>
      <c r="L2" s="229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cm="1">
        <f t="array" aca="1" ref="C3:F3" ca="1">IF(ISBLANK(INDIRECT("'"&amp;$A3&amp;"'!B6:E6")), "", INDIRECT("'"&amp;$A3&amp;"'!B6:E6"))</f>
        <v>668.5</v>
      </c>
      <c r="D3" s="146">
        <f ca="1"/>
        <v>0</v>
      </c>
      <c r="E3" s="146">
        <f ca="1"/>
        <v>668.5</v>
      </c>
      <c r="F3" s="147" t="str">
        <f ca="1"/>
        <v>-</v>
      </c>
      <c r="G3" s="148"/>
      <c r="H3" s="149" cm="1">
        <f t="array" aca="1" ref="H3:M3" ca="1">IF(ISBLANK(INDIRECT("'"&amp;$A3&amp;"'!B24:G24")), "", INDIRECT("'"&amp;$A3&amp;"'!B24:G24"))</f>
        <v>668.5</v>
      </c>
      <c r="I3" s="149">
        <f ca="1"/>
        <v>660.25800000000004</v>
      </c>
      <c r="J3" s="149">
        <f ca="1"/>
        <v>8.2419999999999618</v>
      </c>
      <c r="K3" s="150">
        <f ca="1"/>
        <v>1.2482999070060433E-2</v>
      </c>
      <c r="L3" s="219" t="str">
        <f ca="1"/>
        <v xml:space="preserve"> </v>
      </c>
      <c r="M3" s="220" t="str">
        <f ca="1"/>
        <v xml:space="preserve"> </v>
      </c>
    </row>
    <row r="4" spans="1:13" ht="14.45">
      <c r="A4" s="27" t="str">
        <v>Otay Mesa</v>
      </c>
      <c r="B4" s="32" t="str">
        <v>CA</v>
      </c>
      <c r="C4" s="146" cm="1">
        <f t="array" aca="1" ref="C4:F4" ca="1">IF(ISBLANK(INDIRECT("'"&amp;$A4&amp;"'!B6:E6")), "", INDIRECT("'"&amp;$A4&amp;"'!B6:E6"))</f>
        <v>37.789000000000001</v>
      </c>
      <c r="D4" s="146">
        <f ca="1"/>
        <v>0</v>
      </c>
      <c r="E4" s="146">
        <f ca="1"/>
        <v>37.789000000000001</v>
      </c>
      <c r="F4" s="141" t="str">
        <f ca="1"/>
        <v>-</v>
      </c>
      <c r="G4" s="148"/>
      <c r="H4" s="149" cm="1">
        <f t="array" aca="1" ref="H4:M4" ca="1">IF(ISBLANK(INDIRECT("'"&amp;$A4&amp;"'!B24:G24")), "", INDIRECT("'"&amp;$A4&amp;"'!B24:G24"))</f>
        <v>37.789000000000001</v>
      </c>
      <c r="I4" s="149">
        <f ca="1"/>
        <v>0</v>
      </c>
      <c r="J4" s="149">
        <f ca="1"/>
        <v>37.789000000000001</v>
      </c>
      <c r="K4" s="151" t="str">
        <f ca="1"/>
        <v>-</v>
      </c>
      <c r="L4" s="217" t="str">
        <f ca="1"/>
        <v xml:space="preserve"> </v>
      </c>
      <c r="M4" s="216" t="str">
        <f ca="1"/>
        <v xml:space="preserve"> </v>
      </c>
    </row>
    <row r="5" spans="1:13" ht="14.45">
      <c r="A5" s="27" t="str">
        <v>San Leandro Ops Center</v>
      </c>
      <c r="B5" s="32" t="str">
        <v>CA</v>
      </c>
      <c r="C5" s="146" cm="1">
        <f t="array" aca="1" ref="C5:F5" ca="1">IF(ISBLANK(INDIRECT("'"&amp;$A5&amp;"'!B6:E6")), "", INDIRECT("'"&amp;$A5&amp;"'!B6:E6"))</f>
        <v>18587.375</v>
      </c>
      <c r="D5" s="146">
        <f ca="1"/>
        <v>25565.67</v>
      </c>
      <c r="E5" s="146">
        <f ca="1"/>
        <v>-6978.2949999999983</v>
      </c>
      <c r="F5" s="141">
        <f ca="1"/>
        <v>-0.27295568627773098</v>
      </c>
      <c r="G5" s="148"/>
      <c r="H5" s="149" cm="1">
        <f t="array" aca="1" ref="H5:M5" ca="1">IF(ISBLANK(INDIRECT("'"&amp;$A5&amp;"'!B24:G24")), "", INDIRECT("'"&amp;$A5&amp;"'!B24:G24"))</f>
        <v>18587.375</v>
      </c>
      <c r="I5" s="149">
        <f ca="1"/>
        <v>22910.168000000001</v>
      </c>
      <c r="J5" s="149">
        <f ca="1"/>
        <v>-4322.7930000000015</v>
      </c>
      <c r="K5" s="151">
        <f ca="1"/>
        <v>-0.18868447407282221</v>
      </c>
      <c r="L5" s="217" t="str">
        <f ca="1"/>
        <v>Inverter 4 was replaced on 01/31</v>
      </c>
      <c r="M5" s="216" t="str">
        <f ca="1"/>
        <v>SR079901</v>
      </c>
    </row>
    <row r="6" spans="1:13" ht="14.45">
      <c r="A6" s="27" t="str">
        <v>Van Nuys</v>
      </c>
      <c r="B6" s="32" t="str">
        <v>CA</v>
      </c>
      <c r="C6" s="146" cm="1">
        <f t="array" aca="1" ref="C6:F6" ca="1">IF(ISBLANK(INDIRECT("'"&amp;$A6&amp;"'!B6:E6")), "", INDIRECT("'"&amp;$A6&amp;"'!B6:E6"))</f>
        <v>1267.69792819484</v>
      </c>
      <c r="D6" s="146">
        <f ca="1"/>
        <v>0</v>
      </c>
      <c r="E6" s="146">
        <f ca="1"/>
        <v>1267.69792819484</v>
      </c>
      <c r="F6" s="141" t="str">
        <f ca="1"/>
        <v>-</v>
      </c>
      <c r="G6" s="148"/>
      <c r="H6" s="149" cm="1">
        <f t="array" aca="1" ref="H6:M6" ca="1">IF(ISBLANK(INDIRECT("'"&amp;$A6&amp;"'!B24:G24")), "", INDIRECT("'"&amp;$A6&amp;"'!B24:G24"))</f>
        <v>1267.69792819484</v>
      </c>
      <c r="I6" s="149">
        <f ca="1"/>
        <v>1339.7470000000001</v>
      </c>
      <c r="J6" s="149">
        <f ca="1"/>
        <v>-72.049071805160111</v>
      </c>
      <c r="K6" s="151">
        <f ca="1"/>
        <v>-5.377811766337981E-2</v>
      </c>
      <c r="L6" s="217" t="str">
        <f ca="1"/>
        <v/>
      </c>
      <c r="M6" s="216" t="str">
        <f ca="1"/>
        <v/>
      </c>
    </row>
    <row r="7" spans="1:13" ht="14.45">
      <c r="A7" s="27" t="str">
        <v>98th &amp; Grant</v>
      </c>
      <c r="B7" s="32" t="str">
        <v>CO</v>
      </c>
      <c r="C7" s="146" cm="1">
        <f t="array" aca="1" ref="C7:F7" ca="1">IF(ISBLANK(INDIRECT("'"&amp;$A7&amp;"'!B6:E6")), "", INDIRECT("'"&amp;$A7&amp;"'!B6:E6"))</f>
        <v>724.20000000000402</v>
      </c>
      <c r="D7" s="146">
        <f ca="1"/>
        <v>0</v>
      </c>
      <c r="E7" s="146">
        <f ca="1"/>
        <v>724.20000000000402</v>
      </c>
      <c r="F7" s="141" t="str">
        <f ca="1"/>
        <v>-</v>
      </c>
      <c r="G7" s="148"/>
      <c r="H7" s="149" cm="1">
        <f t="array" aca="1" ref="H7:M7" ca="1">IF(ISBLANK(INDIRECT("'"&amp;$A7&amp;"'!B24:G24")), "", INDIRECT("'"&amp;$A7&amp;"'!B24:G24"))</f>
        <v>724.20000000000402</v>
      </c>
      <c r="I7" s="149">
        <f ca="1"/>
        <v>1165.0160000000001</v>
      </c>
      <c r="J7" s="149">
        <f ca="1"/>
        <v>-440.81599999999605</v>
      </c>
      <c r="K7" s="151">
        <f ca="1"/>
        <v>-0.37837763601529595</v>
      </c>
      <c r="L7" s="217" t="str">
        <f ca="1"/>
        <v/>
      </c>
      <c r="M7" s="216" t="str">
        <f ca="1"/>
        <v/>
      </c>
    </row>
    <row r="8" spans="1:13" ht="14.45">
      <c r="A8" s="27" t="str">
        <v>Arapahoe Crossings</v>
      </c>
      <c r="B8" s="32" t="str">
        <v>CO</v>
      </c>
      <c r="C8" s="146" cm="1">
        <f t="array" aca="1" ref="C8:F8" ca="1">IF(ISBLANK(INDIRECT("'"&amp;$A8&amp;"'!B6:E6")), "", INDIRECT("'"&amp;$A8&amp;"'!B6:E6"))</f>
        <v>2121.2003780567402</v>
      </c>
      <c r="D8" s="146">
        <f ca="1"/>
        <v>0</v>
      </c>
      <c r="E8" s="146">
        <f ca="1"/>
        <v>2121.2003780567402</v>
      </c>
      <c r="F8" s="141" t="str">
        <f ca="1"/>
        <v>-</v>
      </c>
      <c r="G8" s="148"/>
      <c r="H8" s="149" cm="1">
        <f t="array" aca="1" ref="H8:M8" ca="1">IF(ISBLANK(INDIRECT("'"&amp;$A8&amp;"'!B24:G24")), "", INDIRECT("'"&amp;$A8&amp;"'!B24:G24"))</f>
        <v>2121.2003780567402</v>
      </c>
      <c r="I8" s="149">
        <f ca="1"/>
        <v>2132.9670000000001</v>
      </c>
      <c r="J8" s="149">
        <f ca="1"/>
        <v>-11.766621943259906</v>
      </c>
      <c r="K8" s="151">
        <f ca="1"/>
        <v>-5.5165513312019857E-3</v>
      </c>
      <c r="L8" s="217" t="str">
        <f ca="1"/>
        <v/>
      </c>
      <c r="M8" s="216" t="str">
        <f ca="1"/>
        <v/>
      </c>
    </row>
    <row r="9" spans="1:13" ht="14.45">
      <c r="A9" s="27" t="str">
        <v>Aurora City Center</v>
      </c>
      <c r="B9" s="32" t="str">
        <v>CO</v>
      </c>
      <c r="C9" s="146" cm="1">
        <f t="array" aca="1" ref="C9:F9" ca="1">IF(ISBLANK(INDIRECT("'"&amp;$A9&amp;"'!B6:E6")), "", INDIRECT("'"&amp;$A9&amp;"'!B6:E6"))</f>
        <v>1077.5</v>
      </c>
      <c r="D9" s="146">
        <f ca="1"/>
        <v>0</v>
      </c>
      <c r="E9" s="146">
        <f ca="1"/>
        <v>1077.5</v>
      </c>
      <c r="F9" s="141" t="str">
        <f ca="1"/>
        <v>-</v>
      </c>
      <c r="G9" s="148"/>
      <c r="H9" s="149" cm="1">
        <f t="array" aca="1" ref="H9:M9" ca="1">IF(ISBLANK(INDIRECT("'"&amp;$A9&amp;"'!B24:G24")), "", INDIRECT("'"&amp;$A9&amp;"'!B24:G24"))</f>
        <v>1077.5</v>
      </c>
      <c r="I9" s="149">
        <f ca="1"/>
        <v>1040.5160000000001</v>
      </c>
      <c r="J9" s="149">
        <f ca="1"/>
        <v>36.983999999999924</v>
      </c>
      <c r="K9" s="151">
        <f ca="1"/>
        <v>3.5543903217249824E-2</v>
      </c>
      <c r="L9" s="217" t="str">
        <f ca="1"/>
        <v/>
      </c>
      <c r="M9" s="216" t="str">
        <f ca="1"/>
        <v/>
      </c>
    </row>
    <row r="10" spans="1:13" ht="14.45">
      <c r="A10" s="27" t="str">
        <v>Dry Creek</v>
      </c>
      <c r="B10" s="32" t="str">
        <v>CO</v>
      </c>
      <c r="C10" s="146" cm="1">
        <f t="array" aca="1" ref="C10:F10" ca="1">IF(ISBLANK(INDIRECT("'"&amp;$A10&amp;"'!B6:E6")), "", INDIRECT("'"&amp;$A10&amp;"'!B6:E6"))</f>
        <v>-0.40201211551175198</v>
      </c>
      <c r="D10" s="146">
        <f ca="1"/>
        <v>0</v>
      </c>
      <c r="E10" s="146">
        <f ca="1"/>
        <v>-0.40201211551175198</v>
      </c>
      <c r="F10" s="141" t="str">
        <f ca="1"/>
        <v>-</v>
      </c>
      <c r="G10" s="148"/>
      <c r="H10" s="149" cm="1">
        <f t="array" aca="1" ref="H10:M10" ca="1">IF(ISBLANK(INDIRECT("'"&amp;$A10&amp;"'!B24:G24")), "", INDIRECT("'"&amp;$A10&amp;"'!B24:G24"))</f>
        <v>-0.40201211551175198</v>
      </c>
      <c r="I10" s="149">
        <f ca="1"/>
        <v>1258.0160000000001</v>
      </c>
      <c r="J10" s="149">
        <f ca="1"/>
        <v>-1258.4180121155118</v>
      </c>
      <c r="K10" s="151">
        <f ca="1"/>
        <v>-1.0003195604153776</v>
      </c>
      <c r="L10" s="217" t="str">
        <f ca="1"/>
        <v>Site is offline from 05/12/2023</v>
      </c>
      <c r="M10" s="216" t="str">
        <f ca="1"/>
        <v>SR078942</v>
      </c>
    </row>
    <row r="11" spans="1:13" ht="14.45">
      <c r="A11" s="27" t="str">
        <v>Havana Gardens</v>
      </c>
      <c r="B11" s="32" t="str">
        <v>CO</v>
      </c>
      <c r="C11" s="146" cm="1">
        <f t="array" aca="1" ref="C11:F11" ca="1">IF(ISBLANK(INDIRECT("'"&amp;$A11&amp;"'!B6:E6")), "", INDIRECT("'"&amp;$A11&amp;"'!B6:E6"))</f>
        <v>1739.79999999999</v>
      </c>
      <c r="D11" s="146">
        <f ca="1"/>
        <v>0</v>
      </c>
      <c r="E11" s="146">
        <f ca="1"/>
        <v>1739.79999999999</v>
      </c>
      <c r="F11" s="141" t="str">
        <f ca="1"/>
        <v>-</v>
      </c>
      <c r="G11" s="148"/>
      <c r="H11" s="149" cm="1">
        <f t="array" aca="1" ref="H11:M11" ca="1">IF(ISBLANK(INDIRECT("'"&amp;$A11&amp;"'!B24:G24")), "", INDIRECT("'"&amp;$A11&amp;"'!B24:G24"))</f>
        <v>1739.79999999999</v>
      </c>
      <c r="I11" s="149">
        <f ca="1"/>
        <v>846.25800000000004</v>
      </c>
      <c r="J11" s="149">
        <f ca="1"/>
        <v>893.54199999998991</v>
      </c>
      <c r="K11" s="151">
        <f ca="1"/>
        <v>1.055874213301369</v>
      </c>
      <c r="L11" s="217" t="str">
        <f ca="1"/>
        <v>03/01/2023 Per Kate - Do Not Pursue Weather Station</v>
      </c>
      <c r="M11" s="216" t="str">
        <f ca="1"/>
        <v/>
      </c>
    </row>
    <row r="12" spans="1:13" ht="14.45">
      <c r="A12" s="27" t="str">
        <v>Highlands Ranch South</v>
      </c>
      <c r="B12" s="32" t="str">
        <v>CO</v>
      </c>
      <c r="C12" s="146" cm="1">
        <f t="array" aca="1" ref="C12:F12" ca="1">IF(ISBLANK(INDIRECT("'"&amp;$A12&amp;"'!B6:E6")), "", INDIRECT("'"&amp;$A12&amp;"'!B6:E6"))</f>
        <v>1000.7</v>
      </c>
      <c r="D12" s="146">
        <f ca="1"/>
        <v>0</v>
      </c>
      <c r="E12" s="146">
        <f ca="1"/>
        <v>1000.7</v>
      </c>
      <c r="F12" s="141" t="str">
        <f ca="1"/>
        <v>-</v>
      </c>
      <c r="G12" s="148"/>
      <c r="H12" s="149" cm="1">
        <f t="array" aca="1" ref="H12:M12" ca="1">IF(ISBLANK(INDIRECT("'"&amp;$A12&amp;"'!B24:G24")), "", INDIRECT("'"&amp;$A12&amp;"'!B24:G24"))</f>
        <v>1000.7</v>
      </c>
      <c r="I12" s="149">
        <f ca="1"/>
        <v>1110.7739999999999</v>
      </c>
      <c r="J12" s="149">
        <f ca="1"/>
        <v>-110.07399999999984</v>
      </c>
      <c r="K12" s="151">
        <f ca="1"/>
        <v>-9.9096665928442559E-2</v>
      </c>
      <c r="L12" s="217" t="str">
        <f ca="1"/>
        <v/>
      </c>
      <c r="M12" s="216" t="str">
        <f ca="1"/>
        <v/>
      </c>
    </row>
    <row r="13" spans="1:13" ht="14.45">
      <c r="A13" s="27" t="str">
        <v>Lone Tree</v>
      </c>
      <c r="B13" s="32" t="str">
        <v>CO</v>
      </c>
      <c r="C13" s="146" cm="1">
        <f t="array" aca="1" ref="C13:F13" ca="1">IF(ISBLANK(INDIRECT("'"&amp;$A13&amp;"'!B6:E6")), "", INDIRECT("'"&amp;$A13&amp;"'!B6:E6"))</f>
        <v>2395.4000000000101</v>
      </c>
      <c r="D13" s="146">
        <f ca="1"/>
        <v>0</v>
      </c>
      <c r="E13" s="146">
        <f ca="1"/>
        <v>2395.4000000000101</v>
      </c>
      <c r="F13" s="141" t="str">
        <f ca="1"/>
        <v>-</v>
      </c>
      <c r="G13" s="148"/>
      <c r="H13" s="149" cm="1">
        <f t="array" aca="1" ref="H13:M13" ca="1">IF(ISBLANK(INDIRECT("'"&amp;$A13&amp;"'!B24:G24")), "", INDIRECT("'"&amp;$A13&amp;"'!B24:G24"))</f>
        <v>2395.4000000000101</v>
      </c>
      <c r="I13" s="149">
        <f ca="1"/>
        <v>2590.4189999999999</v>
      </c>
      <c r="J13" s="149">
        <f ca="1"/>
        <v>-195.01899999998977</v>
      </c>
      <c r="K13" s="151">
        <f ca="1"/>
        <v>-7.5284731929463833E-2</v>
      </c>
      <c r="L13" s="217" t="str">
        <f ca="1"/>
        <v/>
      </c>
      <c r="M13" s="216" t="str">
        <f ca="1"/>
        <v/>
      </c>
    </row>
    <row r="14" spans="1:13" ht="14.45">
      <c r="A14" s="27" t="str">
        <v>Meridian</v>
      </c>
      <c r="B14" s="32" t="str">
        <v>CO</v>
      </c>
      <c r="C14" s="146" cm="1">
        <f t="array" aca="1" ref="C14:F14" ca="1">IF(ISBLANK(INDIRECT("'"&amp;$A14&amp;"'!B6:E6")), "", INDIRECT("'"&amp;$A14&amp;"'!B6:E6"))</f>
        <v>1646.0999999999799</v>
      </c>
      <c r="D14" s="146">
        <f ca="1"/>
        <v>0</v>
      </c>
      <c r="E14" s="146">
        <f ca="1"/>
        <v>1646.0999999999799</v>
      </c>
      <c r="F14" s="141" t="str">
        <f ca="1"/>
        <v>-</v>
      </c>
      <c r="G14" s="148"/>
      <c r="H14" s="149" cm="1">
        <f t="array" aca="1" ref="H14:M14" ca="1">IF(ISBLANK(INDIRECT("'"&amp;$A14&amp;"'!B24:G24")), "", INDIRECT("'"&amp;$A14&amp;"'!B24:G24"))</f>
        <v>1646.0999999999799</v>
      </c>
      <c r="I14" s="149">
        <f ca="1"/>
        <v>1355.097</v>
      </c>
      <c r="J14" s="149">
        <f ca="1"/>
        <v>291.00299999997992</v>
      </c>
      <c r="K14" s="151">
        <f ca="1"/>
        <v>0.21474698859194577</v>
      </c>
      <c r="L14" s="216" t="str">
        <f ca="1"/>
        <v/>
      </c>
      <c r="M14" s="216" t="str">
        <f ca="1"/>
        <v/>
      </c>
    </row>
    <row r="15" spans="1:13" ht="14.45">
      <c r="A15" s="27" t="str">
        <v>Southglenn Relocation</v>
      </c>
      <c r="B15" s="32" t="str">
        <v>CO</v>
      </c>
      <c r="C15" s="146" cm="1">
        <f t="array" aca="1" ref="C15:F15" ca="1">IF(ISBLANK(INDIRECT("'"&amp;$A15&amp;"'!B6:E6")), "", INDIRECT("'"&amp;$A15&amp;"'!B6:E6"))</f>
        <v>1513</v>
      </c>
      <c r="D15" s="146">
        <f ca="1"/>
        <v>0</v>
      </c>
      <c r="E15" s="146">
        <f ca="1"/>
        <v>1513</v>
      </c>
      <c r="F15" s="141" t="str">
        <f ca="1"/>
        <v>-</v>
      </c>
      <c r="G15" s="148"/>
      <c r="H15" s="149" cm="1">
        <f t="array" aca="1" ref="H15:M15" ca="1">IF(ISBLANK(INDIRECT("'"&amp;$A15&amp;"'!B24:G24")), "", INDIRECT("'"&amp;$A15&amp;"'!B24:G24"))</f>
        <v>1513</v>
      </c>
      <c r="I15" s="149">
        <f ca="1"/>
        <v>1611.403</v>
      </c>
      <c r="J15" s="149">
        <f ca="1"/>
        <v>-98.40300000000002</v>
      </c>
      <c r="K15" s="151">
        <f ca="1"/>
        <v>-6.1066660543638074E-2</v>
      </c>
      <c r="L15" s="216" t="str">
        <f ca="1"/>
        <v/>
      </c>
      <c r="M15" s="216" t="str">
        <f ca="1"/>
        <v/>
      </c>
    </row>
    <row r="16" spans="1:13" ht="14.45">
      <c r="A16" s="27" t="str">
        <v>Standley Lake</v>
      </c>
      <c r="B16" s="32" t="str">
        <v>CO</v>
      </c>
      <c r="C16" s="146" cm="1">
        <f t="array" aca="1" ref="C16:F16" ca="1">IF(ISBLANK(INDIRECT("'"&amp;$A16&amp;"'!B6:E6")), "", INDIRECT("'"&amp;$A16&amp;"'!B6:E6"))</f>
        <v>2051.1000000000099</v>
      </c>
      <c r="D16" s="146">
        <f ca="1"/>
        <v>0</v>
      </c>
      <c r="E16" s="146">
        <f ca="1"/>
        <v>2051.1000000000099</v>
      </c>
      <c r="F16" s="141" t="str">
        <f ca="1"/>
        <v>-</v>
      </c>
      <c r="G16" s="148"/>
      <c r="H16" s="149" cm="1">
        <f t="array" aca="1" ref="H16:M16" ca="1">IF(ISBLANK(INDIRECT("'"&amp;$A16&amp;"'!B24:G24")), "", INDIRECT("'"&amp;$A16&amp;"'!B24:G24"))</f>
        <v>2051.1000000000099</v>
      </c>
      <c r="I16" s="149">
        <f ca="1"/>
        <v>2170.4029999999998</v>
      </c>
      <c r="J16" s="149">
        <f ca="1"/>
        <v>-119.30299999998988</v>
      </c>
      <c r="K16" s="151">
        <f ca="1"/>
        <v>-5.4968132646328764E-2</v>
      </c>
      <c r="L16" s="216" t="str">
        <f ca="1"/>
        <v/>
      </c>
      <c r="M16" s="216" t="str">
        <f ca="1"/>
        <v/>
      </c>
    </row>
    <row r="17" spans="1:13" ht="14.45">
      <c r="A17" s="27" t="str">
        <v>East Hartford</v>
      </c>
      <c r="B17" s="32" t="str">
        <v>CT</v>
      </c>
      <c r="C17" s="146" cm="1">
        <f t="array" aca="1" ref="C17:F17" ca="1">IF(ISBLANK(INDIRECT("'"&amp;$A17&amp;"'!B6:E6")), "", INDIRECT("'"&amp;$A17&amp;"'!B6:E6"))</f>
        <v>119.7</v>
      </c>
      <c r="D17" s="146">
        <f ca="1"/>
        <v>246.8964</v>
      </c>
      <c r="E17" s="146">
        <f ca="1"/>
        <v>-127.1964</v>
      </c>
      <c r="F17" s="141">
        <f ca="1"/>
        <v>-0.51518126631251004</v>
      </c>
      <c r="G17" s="148"/>
      <c r="H17" s="149" cm="1">
        <f t="array" aca="1" ref="H17:M17" ca="1">IF(ISBLANK(INDIRECT("'"&amp;$A17&amp;"'!B24:G24")), "", INDIRECT("'"&amp;$A17&amp;"'!B24:G24"))</f>
        <v>119.7</v>
      </c>
      <c r="I17" s="149">
        <f ca="1"/>
        <v>273.27499999999998</v>
      </c>
      <c r="J17" s="149">
        <f ca="1"/>
        <v>-153.57499999999999</v>
      </c>
      <c r="K17" s="151">
        <f ca="1"/>
        <v>-0.56197969078766807</v>
      </c>
      <c r="L17" s="216" t="str">
        <f ca="1"/>
        <v xml:space="preserve"> </v>
      </c>
      <c r="M17" s="216" t="str">
        <f ca="1"/>
        <v xml:space="preserve"> </v>
      </c>
    </row>
    <row r="18" spans="1:13" ht="14.45">
      <c r="A18" s="27" t="str">
        <v>Norwalk Post Road</v>
      </c>
      <c r="B18" s="32" t="str">
        <v>CT</v>
      </c>
      <c r="C18" s="146" cm="1">
        <f t="array" aca="1" ref="C18:F18" ca="1">IF(ISBLANK(INDIRECT("'"&amp;$A18&amp;"'!B6:E6")), "", INDIRECT("'"&amp;$A18&amp;"'!B6:E6"))</f>
        <v>117.74057825254</v>
      </c>
      <c r="D18" s="146">
        <f ca="1"/>
        <v>417.31670000000003</v>
      </c>
      <c r="E18" s="146">
        <f ca="1"/>
        <v>-299.57612174746004</v>
      </c>
      <c r="F18" s="141">
        <f ca="1"/>
        <v>-0.71786276884548361</v>
      </c>
      <c r="G18" s="148"/>
      <c r="H18" s="149" cm="1">
        <f t="array" aca="1" ref="H18:M18" ca="1">IF(ISBLANK(INDIRECT("'"&amp;$A18&amp;"'!B24:G24")), "", INDIRECT("'"&amp;$A18&amp;"'!B24:G24"))</f>
        <v>117.74057825254</v>
      </c>
      <c r="I18" s="149">
        <f ca="1"/>
        <v>376.75700000000001</v>
      </c>
      <c r="J18" s="149">
        <f ca="1"/>
        <v>-259.01642174746002</v>
      </c>
      <c r="K18" s="151">
        <f ca="1"/>
        <v>-0.68748934126628047</v>
      </c>
      <c r="L18" s="216" t="str">
        <f ca="1"/>
        <v/>
      </c>
      <c r="M18" s="216" t="str">
        <f ca="1"/>
        <v/>
      </c>
    </row>
    <row r="19" spans="1:13" ht="14.45">
      <c r="A19" s="27" t="str">
        <v>Hialeah Gardens</v>
      </c>
      <c r="B19" s="32" t="str">
        <v>FL</v>
      </c>
      <c r="C19" s="146" cm="1">
        <f t="array" aca="1" ref="C19:F19" ca="1">IF(ISBLANK(INDIRECT("'"&amp;$A19&amp;"'!B6:E6")), "", INDIRECT("'"&amp;$A19&amp;"'!B6:E6"))</f>
        <v>1428.4985294549399</v>
      </c>
      <c r="D19" s="146">
        <f ca="1"/>
        <v>2582.0729999999999</v>
      </c>
      <c r="E19" s="146">
        <f ca="1"/>
        <v>-1153.57447054506</v>
      </c>
      <c r="F19" s="141">
        <f ca="1"/>
        <v>-0.44676291899766585</v>
      </c>
      <c r="G19" s="148"/>
      <c r="H19" s="149" cm="1">
        <f t="array" aca="1" ref="H19:M19" ca="1">IF(ISBLANK(INDIRECT("'"&amp;$A19&amp;"'!B24:G24")), "", INDIRECT("'"&amp;$A19&amp;"'!B24:G24"))</f>
        <v>1428.4985294549399</v>
      </c>
      <c r="I19" s="149">
        <f ca="1"/>
        <v>3451.6610000000001</v>
      </c>
      <c r="J19" s="149">
        <f ca="1"/>
        <v>-2023.1624705450602</v>
      </c>
      <c r="K19" s="151">
        <f ca="1"/>
        <v>-0.58614170700571699</v>
      </c>
      <c r="L19" s="216" t="str">
        <f ca="1"/>
        <v/>
      </c>
      <c r="M19" s="216" t="str">
        <f ca="1"/>
        <v/>
      </c>
    </row>
    <row r="20" spans="1:13" ht="14.45">
      <c r="A20" s="27" t="str">
        <v>HMHQ</v>
      </c>
      <c r="B20" s="32" t="str">
        <v>IA</v>
      </c>
      <c r="C20" s="146" cm="1">
        <f t="array" aca="1" ref="C20:F20" ca="1">IF(ISBLANK(INDIRECT("'"&amp;$A20&amp;"'!B6:E6")), "", INDIRECT("'"&amp;$A20&amp;"'!B6:E6"))</f>
        <v>12390.9375</v>
      </c>
      <c r="D20" s="146">
        <f ca="1"/>
        <v>16455.02</v>
      </c>
      <c r="E20" s="146">
        <f ca="1"/>
        <v>-4064.0825000000004</v>
      </c>
      <c r="F20" s="141">
        <f ca="1"/>
        <v>-0.24698131633993761</v>
      </c>
      <c r="G20" s="148"/>
      <c r="H20" s="149" cm="1">
        <f t="array" aca="1" ref="H20:M20" ca="1">IF(ISBLANK(INDIRECT("'"&amp;$A20&amp;"'!B24:G24")), "", INDIRECT("'"&amp;$A20&amp;"'!B24:G24"))</f>
        <v>12390.9375</v>
      </c>
      <c r="I20" s="149">
        <f ca="1"/>
        <v>23956.603999999999</v>
      </c>
      <c r="J20" s="149">
        <f ca="1"/>
        <v>-11565.666499999999</v>
      </c>
      <c r="K20" s="151">
        <f ca="1"/>
        <v>-0.48277570977923245</v>
      </c>
      <c r="L20" s="216" t="str">
        <f ca="1"/>
        <v/>
      </c>
      <c r="M20" s="21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cm="1">
        <f t="array" aca="1" ref="C21:F21" ca="1">IF(ISBLANK(INDIRECT("'"&amp;$A21&amp;"'!B6:E6")), "", INDIRECT("'"&amp;$A21&amp;"'!B6:E6"))</f>
        <v>62192.5</v>
      </c>
      <c r="D21" s="146">
        <f ca="1"/>
        <v>8477.2479999999996</v>
      </c>
      <c r="E21" s="146">
        <f ca="1"/>
        <v>53715.252</v>
      </c>
      <c r="F21" s="141">
        <f ca="1"/>
        <v>6.3364020965294401</v>
      </c>
      <c r="G21" s="148"/>
      <c r="H21" s="149" cm="1">
        <f t="array" aca="1" ref="H21:M21" ca="1">IF(ISBLANK(INDIRECT("'"&amp;$A21&amp;"'!B24:G24")), "", INDIRECT("'"&amp;$A21&amp;"'!B24:G24"))</f>
        <v>62192.5</v>
      </c>
      <c r="I21" s="149">
        <f ca="1"/>
        <v>105997.32</v>
      </c>
      <c r="J21" s="149">
        <f ca="1"/>
        <v>-43804.820000000007</v>
      </c>
      <c r="K21" s="151">
        <f ca="1"/>
        <v>-0.41326346741596864</v>
      </c>
      <c r="L21" s="217" t="str">
        <f ca="1"/>
        <v xml:space="preserve">Expected energy was not available till 01/30 </v>
      </c>
      <c r="M21" s="216" t="str">
        <f ca="1"/>
        <v>SR080333</v>
      </c>
    </row>
    <row r="22" spans="1:13" ht="28.9">
      <c r="A22" s="27" t="str">
        <v>West Des Moines Campus West</v>
      </c>
      <c r="B22" s="32" t="str">
        <v>IA</v>
      </c>
      <c r="C22" s="146" cm="1">
        <f t="array" aca="1" ref="C22:F22" ca="1">IF(ISBLANK(INDIRECT("'"&amp;$A22&amp;"'!B6:E6")), "", INDIRECT("'"&amp;$A22&amp;"'!B6:E6"))</f>
        <v>25312.5</v>
      </c>
      <c r="D22" s="146">
        <f ca="1"/>
        <v>4681.4859999999999</v>
      </c>
      <c r="E22" s="146">
        <f ca="1"/>
        <v>20631.013999999999</v>
      </c>
      <c r="F22" s="141">
        <f ca="1"/>
        <v>4.4069370281145774</v>
      </c>
      <c r="G22" s="148"/>
      <c r="H22" s="149" cm="1">
        <f t="array" aca="1" ref="H22:M22" ca="1">IF(ISBLANK(INDIRECT("'"&amp;$A22&amp;"'!B24:G24")), "", INDIRECT("'"&amp;$A22&amp;"'!B24:G24"))</f>
        <v>25312.5</v>
      </c>
      <c r="I22" s="149">
        <f ca="1"/>
        <v>55952.783000000003</v>
      </c>
      <c r="J22" s="149">
        <f ca="1"/>
        <v>-30640.283000000003</v>
      </c>
      <c r="K22" s="151">
        <f ca="1"/>
        <v>-0.54760963364413884</v>
      </c>
      <c r="L22" s="217" t="str">
        <f ca="1"/>
        <v xml:space="preserve">Inverter 4 tripped offline on 01/31
Expected energy was not available till 01/30 </v>
      </c>
      <c r="M22" s="217" t="str">
        <f ca="1"/>
        <v>SR080633
SR080334</v>
      </c>
    </row>
    <row r="23" spans="1:13" ht="14.45">
      <c r="A23" s="31" t="str">
        <v>CIC</v>
      </c>
      <c r="B23" s="33" t="str">
        <v>NC</v>
      </c>
      <c r="C23" s="146" cm="1">
        <f t="array" aca="1" ref="C23:F23" ca="1">IF(ISBLANK(INDIRECT("'"&amp;$A23&amp;"'!B6:E6")), "", INDIRECT("'"&amp;$A23&amp;"'!B6:E6"))</f>
        <v>0</v>
      </c>
      <c r="D23" s="146">
        <f ca="1"/>
        <v>0</v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IF(ISBLANK(INDIRECT("'"&amp;$A23&amp;"'!B24:G24")), "", INDIRECT("'"&amp;$A23&amp;"'!B24:G24"))</f>
        <v>0</v>
      </c>
      <c r="I23" s="149">
        <f ca="1"/>
        <v>0</v>
      </c>
      <c r="J23" s="149">
        <f ca="1"/>
        <v>0</v>
      </c>
      <c r="K23" s="151" t="str">
        <f ca="1"/>
        <v>-</v>
      </c>
      <c r="L23" s="216" t="str">
        <f ca="1"/>
        <v xml:space="preserve">Site de-energized 06/02/2023  due to TIGO investigation. </v>
      </c>
      <c r="M23" s="216" t="str">
        <f ca="1"/>
        <v>SR078172</v>
      </c>
    </row>
    <row r="24" spans="1:13" ht="14.45">
      <c r="A24" s="31" t="str">
        <v>DUC</v>
      </c>
      <c r="B24" s="33" t="str">
        <v>NC</v>
      </c>
      <c r="C24" s="146" cm="1">
        <f t="array" aca="1" ref="C24:F24" ca="1">IF(ISBLANK(INDIRECT("'"&amp;$A24&amp;"'!B6:E6")), "", INDIRECT("'"&amp;$A24&amp;"'!B6:E6"))</f>
        <v>0</v>
      </c>
      <c r="D24" s="146">
        <f ca="1"/>
        <v>0</v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IF(ISBLANK(INDIRECT("'"&amp;$A24&amp;"'!B24:G24")), "", INDIRECT("'"&amp;$A24&amp;"'!B24:G24"))</f>
        <v>0</v>
      </c>
      <c r="I24" s="149">
        <f ca="1"/>
        <v>0</v>
      </c>
      <c r="J24" s="149">
        <f ca="1"/>
        <v>0</v>
      </c>
      <c r="K24" s="151" t="str">
        <f ca="1"/>
        <v>-</v>
      </c>
      <c r="L24" s="216" t="str">
        <f ca="1"/>
        <v xml:space="preserve">Site de-energized 06/02/2023  due to TIGO investigation. </v>
      </c>
      <c r="M24" s="216" t="str">
        <f ca="1"/>
        <v>SR078173</v>
      </c>
    </row>
    <row r="25" spans="1:13" ht="14.45">
      <c r="A25" s="31" t="str">
        <v>Barnegat Office</v>
      </c>
      <c r="B25" s="33" t="str">
        <v>NJ</v>
      </c>
      <c r="C25" s="146" cm="1">
        <f t="array" aca="1" ref="C25:F25" ca="1">IF(ISBLANK(INDIRECT("'"&amp;$A25&amp;"'!B6:E6")), "", INDIRECT("'"&amp;$A25&amp;"'!B6:E6"))</f>
        <v>1678.6484375</v>
      </c>
      <c r="D25" s="146">
        <f ca="1"/>
        <v>1609.7439999999999</v>
      </c>
      <c r="E25" s="146">
        <f ca="1"/>
        <v>68.904437500000085</v>
      </c>
      <c r="F25" s="141">
        <f ca="1"/>
        <v>4.2804593463308505E-2</v>
      </c>
      <c r="G25" s="148"/>
      <c r="H25" s="149" cm="1">
        <f t="array" aca="1" ref="H25:M25" ca="1">IF(ISBLANK(INDIRECT("'"&amp;$A25&amp;"'!B24:G24")), "", INDIRECT("'"&amp;$A25&amp;"'!B24:G24"))</f>
        <v>1678.6484375</v>
      </c>
      <c r="I25" s="149">
        <f ca="1"/>
        <v>2100.114</v>
      </c>
      <c r="J25" s="149">
        <f ca="1"/>
        <v>-421.46556250000003</v>
      </c>
      <c r="K25" s="151">
        <f ca="1"/>
        <v>-0.20068699246802793</v>
      </c>
      <c r="L25" s="216" t="str">
        <f ca="1"/>
        <v/>
      </c>
      <c r="M25" s="216" t="str">
        <f ca="1"/>
        <v xml:space="preserve"> </v>
      </c>
    </row>
    <row r="26" spans="1:13" ht="14.45">
      <c r="A26" s="31" t="str">
        <v>Bayonne Office</v>
      </c>
      <c r="B26" s="33" t="str">
        <v>NJ</v>
      </c>
      <c r="C26" s="146" cm="1">
        <f t="array" aca="1" ref="C26:F26" ca="1">IF(ISBLANK(INDIRECT("'"&amp;$A26&amp;"'!B6:E6")), "", INDIRECT("'"&amp;$A26&amp;"'!B6:E6"))</f>
        <v>792.69999999999698</v>
      </c>
      <c r="D26" s="146">
        <f ca="1"/>
        <v>1075.8119999999999</v>
      </c>
      <c r="E26" s="146">
        <f ca="1"/>
        <v>-283.11200000000292</v>
      </c>
      <c r="F26" s="141">
        <f ca="1"/>
        <v>-0.26316122147736126</v>
      </c>
      <c r="G26" s="148"/>
      <c r="H26" s="149" cm="1">
        <f t="array" aca="1" ref="H26:M26" ca="1">IF(ISBLANK(INDIRECT("'"&amp;$A26&amp;"'!B24:G24")), "", INDIRECT("'"&amp;$A26&amp;"'!B24:G24"))</f>
        <v>792.69999999999698</v>
      </c>
      <c r="I26" s="149">
        <f ca="1"/>
        <v>2010.779</v>
      </c>
      <c r="J26" s="149">
        <f ca="1"/>
        <v>-1218.0790000000029</v>
      </c>
      <c r="K26" s="151">
        <f ca="1"/>
        <v>-0.60577467737628199</v>
      </c>
      <c r="L26" s="216" t="str">
        <f ca="1"/>
        <v/>
      </c>
      <c r="M26" s="216" t="str">
        <f ca="1"/>
        <v/>
      </c>
    </row>
    <row r="27" spans="1:13" ht="14.45">
      <c r="A27" s="31" t="str">
        <v>Bordentown</v>
      </c>
      <c r="B27" s="33" t="str">
        <v>NJ</v>
      </c>
      <c r="C27" s="146" cm="1">
        <f t="array" aca="1" ref="C27:F27" ca="1">IF(ISBLANK(INDIRECT("'"&amp;$A27&amp;"'!B6:E6")), "", INDIRECT("'"&amp;$A27&amp;"'!B6:E6"))</f>
        <v>705.70000000001198</v>
      </c>
      <c r="D27" s="146">
        <f ca="1"/>
        <v>734.38490000000002</v>
      </c>
      <c r="E27" s="146">
        <f ca="1"/>
        <v>-28.684899999988033</v>
      </c>
      <c r="F27" s="141">
        <f ca="1"/>
        <v>-3.9059762802840896E-2</v>
      </c>
      <c r="G27" s="148"/>
      <c r="H27" s="149" cm="1">
        <f t="array" aca="1" ref="H27:M27" ca="1">IF(ISBLANK(INDIRECT("'"&amp;$A27&amp;"'!B24:G24")), "", INDIRECT("'"&amp;$A27&amp;"'!B24:G24"))</f>
        <v>705.70000000001198</v>
      </c>
      <c r="I27" s="149">
        <f ca="1"/>
        <v>1121.3510000000001</v>
      </c>
      <c r="J27" s="149">
        <f ca="1"/>
        <v>-415.65099999998813</v>
      </c>
      <c r="K27" s="151">
        <f ca="1"/>
        <v>-0.37066984378663603</v>
      </c>
      <c r="L27" s="216" t="str">
        <f ca="1"/>
        <v/>
      </c>
      <c r="M27" s="216" t="str">
        <f ca="1"/>
        <v xml:space="preserve"> </v>
      </c>
    </row>
    <row r="28" spans="1:13" ht="14.45">
      <c r="A28" s="31" t="str">
        <v>Burlington Springside</v>
      </c>
      <c r="B28" s="33" t="str">
        <v>NJ</v>
      </c>
      <c r="C28" s="146" cm="1">
        <f t="array" aca="1" ref="C28:F28" ca="1">IF(ISBLANK(INDIRECT("'"&amp;$A28&amp;"'!B6:E6")), "", INDIRECT("'"&amp;$A28&amp;"'!B6:E6"))</f>
        <v>720</v>
      </c>
      <c r="D28" s="146">
        <f ca="1"/>
        <v>848.94200000000001</v>
      </c>
      <c r="E28" s="146">
        <f ca="1"/>
        <v>-128.94200000000001</v>
      </c>
      <c r="F28" s="141">
        <f ca="1"/>
        <v>-0.15188552339264638</v>
      </c>
      <c r="G28" s="148"/>
      <c r="H28" s="149" cm="1">
        <f t="array" aca="1" ref="H28:M28" ca="1">IF(ISBLANK(INDIRECT("'"&amp;$A28&amp;"'!B24:G24")), "", INDIRECT("'"&amp;$A28&amp;"'!B24:G24"))</f>
        <v>720</v>
      </c>
      <c r="I28" s="149">
        <f ca="1"/>
        <v>1105.296</v>
      </c>
      <c r="J28" s="149">
        <f ca="1"/>
        <v>-385.29600000000005</v>
      </c>
      <c r="K28" s="151">
        <f ca="1"/>
        <v>-0.34859078473096805</v>
      </c>
      <c r="L28" s="216" t="str">
        <f ca="1"/>
        <v/>
      </c>
      <c r="M28" s="216" t="str">
        <f ca="1"/>
        <v xml:space="preserve"> </v>
      </c>
    </row>
    <row r="29" spans="1:13" ht="14.45">
      <c r="A29" s="31" t="str">
        <v>Cherry Hill Short Hills</v>
      </c>
      <c r="B29" s="33" t="str">
        <v>NJ</v>
      </c>
      <c r="C29" s="146" cm="1">
        <f t="array" aca="1" ref="C29:F29" ca="1">IF(ISBLANK(INDIRECT("'"&amp;$A29&amp;"'!B6:E6")), "", INDIRECT("'"&amp;$A29&amp;"'!B6:E6"))</f>
        <v>566.71484375</v>
      </c>
      <c r="D29" s="146">
        <f ca="1"/>
        <v>844.154</v>
      </c>
      <c r="E29" s="146">
        <f ca="1"/>
        <v>-277.43915625</v>
      </c>
      <c r="F29" s="141">
        <f ca="1"/>
        <v>-0.32865941078286665</v>
      </c>
      <c r="G29" s="148"/>
      <c r="H29" s="149" cm="1">
        <f t="array" aca="1" ref="H29:M29" ca="1">IF(ISBLANK(INDIRECT("'"&amp;$A29&amp;"'!B24:G24")), "", INDIRECT("'"&amp;$A29&amp;"'!B24:G24"))</f>
        <v>566.71484375</v>
      </c>
      <c r="I29" s="149">
        <f ca="1"/>
        <v>928.45899999999995</v>
      </c>
      <c r="J29" s="149">
        <f ca="1"/>
        <v>-361.74415624999995</v>
      </c>
      <c r="K29" s="151">
        <f ca="1"/>
        <v>-0.38961780353251996</v>
      </c>
      <c r="L29" s="216" t="str">
        <f ca="1"/>
        <v/>
      </c>
      <c r="M29" s="216" t="str">
        <f ca="1"/>
        <v/>
      </c>
    </row>
    <row r="30" spans="1:13" ht="14.45">
      <c r="A30" s="31" t="str">
        <v>Clark Office</v>
      </c>
      <c r="B30" s="33" t="str">
        <v>NJ</v>
      </c>
      <c r="C30" s="146" cm="1">
        <f t="array" aca="1" ref="C30:F30" ca="1">IF(ISBLANK(INDIRECT("'"&amp;$A30&amp;"'!B6:E6")), "", INDIRECT("'"&amp;$A30&amp;"'!B6:E6"))</f>
        <v>559.79999999999598</v>
      </c>
      <c r="D30" s="146">
        <f ca="1"/>
        <v>806.62959999999998</v>
      </c>
      <c r="E30" s="146">
        <f ca="1"/>
        <v>-246.82960000000401</v>
      </c>
      <c r="F30" s="141">
        <f ca="1"/>
        <v>-0.30600116831815249</v>
      </c>
      <c r="G30" s="148"/>
      <c r="H30" s="149" cm="1">
        <f t="array" aca="1" ref="H30:M30" ca="1">IF(ISBLANK(INDIRECT("'"&amp;$A30&amp;"'!B24:G24")), "", INDIRECT("'"&amp;$A30&amp;"'!B24:G24"))</f>
        <v>559.79999999999598</v>
      </c>
      <c r="I30" s="149">
        <f ca="1"/>
        <v>953.54600000000005</v>
      </c>
      <c r="J30" s="149">
        <f ca="1"/>
        <v>-393.74600000000407</v>
      </c>
      <c r="K30" s="151">
        <f ca="1"/>
        <v>-0.41292816497578938</v>
      </c>
      <c r="L30" s="216" t="str">
        <f ca="1"/>
        <v xml:space="preserve"> </v>
      </c>
      <c r="M30" s="216" t="str">
        <f ca="1"/>
        <v xml:space="preserve"> </v>
      </c>
    </row>
    <row r="31" spans="1:13" ht="14.45">
      <c r="A31" s="31" t="str">
        <v>Clifton Office</v>
      </c>
      <c r="B31" s="33" t="str">
        <v>NJ</v>
      </c>
      <c r="C31" s="146" cm="1">
        <f t="array" aca="1" ref="C31:F31" ca="1">IF(ISBLANK(INDIRECT("'"&amp;$A31&amp;"'!B6:E6")), "", INDIRECT("'"&amp;$A31&amp;"'!B6:E6"))</f>
        <v>824.296875</v>
      </c>
      <c r="D31" s="146">
        <f ca="1"/>
        <v>1479.194</v>
      </c>
      <c r="E31" s="146">
        <f ca="1"/>
        <v>-654.89712499999996</v>
      </c>
      <c r="F31" s="141">
        <f ca="1"/>
        <v>-0.44273917079166086</v>
      </c>
      <c r="G31" s="148"/>
      <c r="H31" s="149" cm="1">
        <f t="array" aca="1" ref="H31:M31" ca="1">IF(ISBLANK(INDIRECT("'"&amp;$A31&amp;"'!B24:G24")), "", INDIRECT("'"&amp;$A31&amp;"'!B24:G24"))</f>
        <v>824.296875</v>
      </c>
      <c r="I31" s="149">
        <f ca="1"/>
        <v>2566.1019999999999</v>
      </c>
      <c r="J31" s="149">
        <f ca="1"/>
        <v>-1741.8051249999999</v>
      </c>
      <c r="K31" s="151">
        <f ca="1"/>
        <v>-0.67877470381146188</v>
      </c>
      <c r="L31" s="216" t="str">
        <f ca="1"/>
        <v xml:space="preserve"> </v>
      </c>
      <c r="M31" s="216" t="str">
        <f ca="1"/>
        <v xml:space="preserve"> </v>
      </c>
    </row>
    <row r="32" spans="1:13" ht="14.45">
      <c r="A32" s="31" t="str">
        <v>Clinton Main Relo</v>
      </c>
      <c r="B32" s="33" t="str">
        <v>NJ</v>
      </c>
      <c r="C32" s="146" cm="1">
        <f t="array" aca="1" ref="C32:F32" ca="1">IF(ISBLANK(INDIRECT("'"&amp;$A32&amp;"'!B6:E6")), "", INDIRECT("'"&amp;$A32&amp;"'!B6:E6"))</f>
        <v>611.73828125</v>
      </c>
      <c r="D32" s="146">
        <f ca="1"/>
        <v>1001.651</v>
      </c>
      <c r="E32" s="146">
        <f ca="1"/>
        <v>-389.91271874999995</v>
      </c>
      <c r="F32" s="141">
        <f ca="1"/>
        <v>-0.38927003392399145</v>
      </c>
      <c r="G32" s="148"/>
      <c r="H32" s="149" cm="1">
        <f t="array" aca="1" ref="H32:M32" ca="1">IF(ISBLANK(INDIRECT("'"&amp;$A32&amp;"'!B24:G24")), "", INDIRECT("'"&amp;$A32&amp;"'!B24:G24"))</f>
        <v>611.73828125</v>
      </c>
      <c r="I32" s="149">
        <f ca="1"/>
        <v>1153.7650000000001</v>
      </c>
      <c r="J32" s="149">
        <f ca="1"/>
        <v>-542.0267187500001</v>
      </c>
      <c r="K32" s="151">
        <f ca="1"/>
        <v>-0.46978953144704516</v>
      </c>
      <c r="L32" s="216" t="str">
        <f ca="1"/>
        <v/>
      </c>
      <c r="M32" s="216" t="str">
        <f ca="1"/>
        <v/>
      </c>
    </row>
    <row r="33" spans="1:13" ht="14.45">
      <c r="A33" s="31" t="str">
        <v>Closter Office</v>
      </c>
      <c r="B33" s="33" t="str">
        <v>NJ</v>
      </c>
      <c r="C33" s="146" cm="1">
        <f t="array" aca="1" ref="C33:F33" ca="1">IF(ISBLANK(INDIRECT("'"&amp;$A33&amp;"'!B6:E6")), "", INDIRECT("'"&amp;$A33&amp;"'!B6:E6"))</f>
        <v>144.199999999997</v>
      </c>
      <c r="D33" s="146">
        <f ca="1"/>
        <v>202.64850000000001</v>
      </c>
      <c r="E33" s="146">
        <f ca="1"/>
        <v>-58.448500000003008</v>
      </c>
      <c r="F33" s="141">
        <f ca="1"/>
        <v>-0.28842305765896614</v>
      </c>
      <c r="G33" s="148"/>
      <c r="H33" s="149" cm="1">
        <f t="array" aca="1" ref="H33:M33" ca="1">IF(ISBLANK(INDIRECT("'"&amp;$A33&amp;"'!B24:G24")), "", INDIRECT("'"&amp;$A33&amp;"'!B24:G24"))</f>
        <v>144.199999999997</v>
      </c>
      <c r="I33" s="149">
        <f ca="1"/>
        <v>494.76900000000001</v>
      </c>
      <c r="J33" s="149">
        <f ca="1"/>
        <v>-350.56900000000303</v>
      </c>
      <c r="K33" s="151">
        <f ca="1"/>
        <v>-0.70855085908778248</v>
      </c>
      <c r="L33" s="216" t="str">
        <f ca="1"/>
        <v/>
      </c>
      <c r="M33" s="216" t="str">
        <f ca="1"/>
        <v xml:space="preserve"> </v>
      </c>
    </row>
    <row r="34" spans="1:13" ht="14.45">
      <c r="A34" s="31" t="str">
        <v>East Windsor</v>
      </c>
      <c r="B34" s="33" t="str">
        <v>NJ</v>
      </c>
      <c r="C34" s="146" cm="1">
        <f t="array" aca="1" ref="C34:F34" ca="1">IF(ISBLANK(INDIRECT("'"&amp;$A34&amp;"'!B6:E6")), "", INDIRECT("'"&amp;$A34&amp;"'!B6:E6"))</f>
        <v>234.39999999999799</v>
      </c>
      <c r="D34" s="146">
        <f ca="1"/>
        <v>395.19540000000001</v>
      </c>
      <c r="E34" s="146">
        <f ca="1"/>
        <v>-160.79540000000202</v>
      </c>
      <c r="F34" s="141">
        <f ca="1"/>
        <v>-0.40687568731822793</v>
      </c>
      <c r="G34" s="148"/>
      <c r="H34" s="149" cm="1">
        <f t="array" aca="1" ref="H34:M34" ca="1">IF(ISBLANK(INDIRECT("'"&amp;$A34&amp;"'!B24:G24")), "", INDIRECT("'"&amp;$A34&amp;"'!B24:G24"))</f>
        <v>234.39999999999799</v>
      </c>
      <c r="I34" s="149">
        <f ca="1"/>
        <v>408.178</v>
      </c>
      <c r="J34" s="149">
        <f ca="1"/>
        <v>-173.77800000000201</v>
      </c>
      <c r="K34" s="151">
        <f ca="1"/>
        <v>-0.42574073075962449</v>
      </c>
      <c r="L34" s="216" t="str">
        <f ca="1"/>
        <v/>
      </c>
      <c r="M34" s="216" t="str">
        <f ca="1"/>
        <v xml:space="preserve"> </v>
      </c>
    </row>
    <row r="35" spans="1:13" ht="14.45">
      <c r="A35" s="31" t="str">
        <v>Edison Office</v>
      </c>
      <c r="B35" s="33" t="str">
        <v>NJ</v>
      </c>
      <c r="C35" s="146" cm="1">
        <f t="array" aca="1" ref="C35:F35" ca="1">IF(ISBLANK(INDIRECT("'"&amp;$A35&amp;"'!B6:E6")), "", INDIRECT("'"&amp;$A35&amp;"'!B6:E6"))</f>
        <v>923</v>
      </c>
      <c r="D35" s="146">
        <f ca="1"/>
        <v>960.84810000000004</v>
      </c>
      <c r="E35" s="146">
        <f ca="1"/>
        <v>-37.848100000000045</v>
      </c>
      <c r="F35" s="141">
        <f ca="1"/>
        <v>-3.9390305293833687E-2</v>
      </c>
      <c r="G35" s="148"/>
      <c r="H35" s="149" cm="1">
        <f t="array" aca="1" ref="H35:M35" ca="1">IF(ISBLANK(INDIRECT("'"&amp;$A35&amp;"'!B24:G24")), "", INDIRECT("'"&amp;$A35&amp;"'!B24:G24"))</f>
        <v>923</v>
      </c>
      <c r="I35" s="149">
        <f ca="1"/>
        <v>1532.135</v>
      </c>
      <c r="J35" s="149">
        <f ca="1"/>
        <v>-609.13499999999999</v>
      </c>
      <c r="K35" s="151">
        <f ca="1"/>
        <v>-0.39757266820482529</v>
      </c>
      <c r="L35" s="216" t="str">
        <f ca="1"/>
        <v/>
      </c>
      <c r="M35" s="216" t="str">
        <f ca="1"/>
        <v xml:space="preserve"> </v>
      </c>
    </row>
    <row r="36" spans="1:13" ht="14.45">
      <c r="A36" s="31" t="str">
        <v>Ellisburg Circle Center</v>
      </c>
      <c r="B36" s="33" t="str">
        <v>NJ</v>
      </c>
      <c r="C36" s="146" cm="1">
        <f t="array" aca="1" ref="C36:F36" ca="1">IF(ISBLANK(INDIRECT("'"&amp;$A36&amp;"'!B6:E6")), "", INDIRECT("'"&amp;$A36&amp;"'!B6:E6"))</f>
        <v>241</v>
      </c>
      <c r="D36" s="146">
        <f ca="1"/>
        <v>385.1902</v>
      </c>
      <c r="E36" s="146">
        <f ca="1"/>
        <v>-144.1902</v>
      </c>
      <c r="F36" s="141">
        <f ca="1"/>
        <v>-0.37433506875304723</v>
      </c>
      <c r="G36" s="148"/>
      <c r="H36" s="149" cm="1">
        <f t="array" aca="1" ref="H36:M36" ca="1">IF(ISBLANK(INDIRECT("'"&amp;$A36&amp;"'!B24:G24")), "", INDIRECT("'"&amp;$A36&amp;"'!B24:G24"))</f>
        <v>241</v>
      </c>
      <c r="I36" s="149">
        <f ca="1"/>
        <v>451.60599999999999</v>
      </c>
      <c r="J36" s="149">
        <f ca="1"/>
        <v>-210.60599999999999</v>
      </c>
      <c r="K36" s="151">
        <f ca="1"/>
        <v>-0.46634898562020877</v>
      </c>
      <c r="L36" s="216" t="str">
        <f ca="1"/>
        <v/>
      </c>
      <c r="M36" s="216" t="str">
        <f ca="1"/>
        <v xml:space="preserve"> </v>
      </c>
    </row>
    <row r="37" spans="1:13" ht="14.45">
      <c r="A37" s="31" t="str">
        <v>Flemington</v>
      </c>
      <c r="B37" s="33" t="str">
        <v>NJ</v>
      </c>
      <c r="C37" s="146" cm="1">
        <f t="array" aca="1" ref="C37:F37" ca="1">IF(ISBLANK(INDIRECT("'"&amp;$A37&amp;"'!B6:E6")), "", INDIRECT("'"&amp;$A37&amp;"'!B6:E6"))</f>
        <v>745.80000000000996</v>
      </c>
      <c r="D37" s="146">
        <f ca="1"/>
        <v>1052.367</v>
      </c>
      <c r="E37" s="146">
        <f ca="1"/>
        <v>-306.56699999999</v>
      </c>
      <c r="F37" s="141">
        <f ca="1"/>
        <v>-0.2913118712388264</v>
      </c>
      <c r="G37" s="148"/>
      <c r="H37" s="149" cm="1">
        <f t="array" aca="1" ref="H37:M37" ca="1">IF(ISBLANK(INDIRECT("'"&amp;$A37&amp;"'!B24:G24")), "", INDIRECT("'"&amp;$A37&amp;"'!B24:G24"))</f>
        <v>745.80000000000996</v>
      </c>
      <c r="I37" s="149">
        <f ca="1"/>
        <v>1315.7850000000001</v>
      </c>
      <c r="J37" s="149">
        <f ca="1"/>
        <v>-569.98499999999012</v>
      </c>
      <c r="K37" s="151">
        <f ca="1"/>
        <v>-0.43319007284624017</v>
      </c>
      <c r="L37" s="216" t="str">
        <f ca="1"/>
        <v/>
      </c>
      <c r="M37" s="216" t="str">
        <f ca="1"/>
        <v xml:space="preserve"> </v>
      </c>
    </row>
    <row r="38" spans="1:13" ht="14.45">
      <c r="A38" s="31" t="str">
        <v>Franklin Township</v>
      </c>
      <c r="B38" s="33" t="str">
        <v>NJ</v>
      </c>
      <c r="C38" s="146" cm="1">
        <f t="array" aca="1" ref="C38:F38" ca="1">IF(ISBLANK(INDIRECT("'"&amp;$A38&amp;"'!B6:E6")), "", INDIRECT("'"&amp;$A38&amp;"'!B6:E6"))</f>
        <v>643.099999999999</v>
      </c>
      <c r="D38" s="146">
        <f ca="1"/>
        <v>924.32209999999998</v>
      </c>
      <c r="E38" s="146">
        <f ca="1"/>
        <v>-281.22210000000098</v>
      </c>
      <c r="F38" s="141">
        <f ca="1"/>
        <v>-0.30424686372856496</v>
      </c>
      <c r="G38" s="148"/>
      <c r="H38" s="149" cm="1">
        <f t="array" aca="1" ref="H38:M38" ca="1">IF(ISBLANK(INDIRECT("'"&amp;$A38&amp;"'!B24:G24")), "", INDIRECT("'"&amp;$A38&amp;"'!B24:G24"))</f>
        <v>643.099999999999</v>
      </c>
      <c r="I38" s="149">
        <f ca="1"/>
        <v>1767.34</v>
      </c>
      <c r="J38" s="149">
        <f ca="1"/>
        <v>-1124.2400000000009</v>
      </c>
      <c r="K38" s="151">
        <f ca="1"/>
        <v>-0.63611981848427634</v>
      </c>
      <c r="L38" s="216" t="str">
        <f ca="1"/>
        <v xml:space="preserve"> </v>
      </c>
      <c r="M38" s="216" t="str">
        <f ca="1"/>
        <v xml:space="preserve"> </v>
      </c>
    </row>
    <row r="39" spans="1:13" ht="14.45">
      <c r="A39" s="31" t="str">
        <v>Haddon Westmont Plaza</v>
      </c>
      <c r="B39" s="33" t="str">
        <v>NJ</v>
      </c>
      <c r="C39" s="146" cm="1">
        <f t="array" aca="1" ref="C39:F39" ca="1">IF(ISBLANK(INDIRECT("'"&amp;$A39&amp;"'!B6:E6")), "", INDIRECT("'"&amp;$A39&amp;"'!B6:E6"))</f>
        <v>494.19999999999698</v>
      </c>
      <c r="D39" s="146">
        <f ca="1"/>
        <v>789.42079999999999</v>
      </c>
      <c r="E39" s="146">
        <f ca="1"/>
        <v>-295.22080000000301</v>
      </c>
      <c r="F39" s="141">
        <f ca="1"/>
        <v>-0.37397139776403537</v>
      </c>
      <c r="G39" s="148"/>
      <c r="H39" s="149" cm="1">
        <f t="array" aca="1" ref="H39:M39" ca="1">IF(ISBLANK(INDIRECT("'"&amp;$A39&amp;"'!B24:G24")), "", INDIRECT("'"&amp;$A39&amp;"'!B24:G24"))</f>
        <v>494.19999999999698</v>
      </c>
      <c r="I39" s="149">
        <f ca="1"/>
        <v>999.19299999999998</v>
      </c>
      <c r="J39" s="149">
        <f ca="1"/>
        <v>-504.99300000000301</v>
      </c>
      <c r="K39" s="151">
        <f ca="1"/>
        <v>-0.50540085849280669</v>
      </c>
      <c r="L39" s="216" t="str">
        <f ca="1"/>
        <v/>
      </c>
      <c r="M39" s="216" t="str">
        <f ca="1"/>
        <v xml:space="preserve"> </v>
      </c>
    </row>
    <row r="40" spans="1:13" ht="14.45">
      <c r="A40" s="31" t="str">
        <v>Hainesport Crossroads</v>
      </c>
      <c r="B40" s="33" t="str">
        <v>NJ</v>
      </c>
      <c r="C40" s="146" cm="1">
        <f t="array" aca="1" ref="C40:F40" ca="1">IF(ISBLANK(INDIRECT("'"&amp;$A40&amp;"'!B6:E6")), "", INDIRECT("'"&amp;$A40&amp;"'!B6:E6"))</f>
        <v>701.099999999999</v>
      </c>
      <c r="D40" s="146">
        <f ca="1"/>
        <v>866.38070000000005</v>
      </c>
      <c r="E40" s="146">
        <f ca="1"/>
        <v>-165.28070000000105</v>
      </c>
      <c r="F40" s="141">
        <f ca="1"/>
        <v>-0.19077144724022713</v>
      </c>
      <c r="G40" s="148"/>
      <c r="H40" s="149" cm="1">
        <f t="array" aca="1" ref="H40:M40" ca="1">IF(ISBLANK(INDIRECT("'"&amp;$A40&amp;"'!B24:G24")), "", INDIRECT("'"&amp;$A40&amp;"'!B24:G24"))</f>
        <v>701.099999999999</v>
      </c>
      <c r="I40" s="149">
        <f ca="1"/>
        <v>998.58500000000004</v>
      </c>
      <c r="J40" s="149">
        <f ca="1"/>
        <v>-297.48500000000104</v>
      </c>
      <c r="K40" s="151">
        <f ca="1"/>
        <v>-0.29790653775091858</v>
      </c>
      <c r="L40" s="216" t="str">
        <f ca="1"/>
        <v/>
      </c>
      <c r="M40" s="216" t="str">
        <f ca="1"/>
        <v xml:space="preserve"> </v>
      </c>
    </row>
    <row r="41" spans="1:13" ht="14.45">
      <c r="A41" s="31" t="str">
        <v>Holmdel Rt. 35</v>
      </c>
      <c r="B41" s="33" t="str">
        <v>NJ</v>
      </c>
      <c r="C41" s="146" cm="1">
        <f t="array" aca="1" ref="C41:F41" ca="1">IF(ISBLANK(INDIRECT("'"&amp;$A41&amp;"'!B6:E6")), "", INDIRECT("'"&amp;$A41&amp;"'!B6:E6"))</f>
        <v>450.30000000000302</v>
      </c>
      <c r="D41" s="146">
        <f ca="1"/>
        <v>643.08439999999996</v>
      </c>
      <c r="E41" s="146">
        <f ca="1"/>
        <v>-192.78439999999694</v>
      </c>
      <c r="F41" s="141">
        <f ca="1"/>
        <v>-0.29978086857649938</v>
      </c>
      <c r="G41" s="148"/>
      <c r="H41" s="149" cm="1">
        <f t="array" aca="1" ref="H41:M41" ca="1">IF(ISBLANK(INDIRECT("'"&amp;$A41&amp;"'!B24:G24")), "", INDIRECT("'"&amp;$A41&amp;"'!B24:G24"))</f>
        <v>450.30000000000302</v>
      </c>
      <c r="I41" s="149">
        <f ca="1"/>
        <v>809.70399999999995</v>
      </c>
      <c r="J41" s="149">
        <f ca="1"/>
        <v>-359.40399999999693</v>
      </c>
      <c r="K41" s="151">
        <f ca="1"/>
        <v>-0.4438708466303698</v>
      </c>
      <c r="L41" s="216" t="str">
        <f ca="1"/>
        <v/>
      </c>
      <c r="M41" s="216" t="str">
        <f ca="1"/>
        <v xml:space="preserve"> </v>
      </c>
    </row>
    <row r="42" spans="1:13" ht="14.45">
      <c r="A42" s="31" t="str">
        <v>Laurelton Office</v>
      </c>
      <c r="B42" s="33" t="str">
        <v>NJ</v>
      </c>
      <c r="C42" s="146" cm="1">
        <f t="array" aca="1" ref="C42:F42" ca="1">IF(ISBLANK(INDIRECT("'"&amp;$A42&amp;"'!B6:E6")), "", INDIRECT("'"&amp;$A42&amp;"'!B6:E6"))</f>
        <v>799.400000000001</v>
      </c>
      <c r="D42" s="146">
        <f ca="1"/>
        <v>861.14009999999996</v>
      </c>
      <c r="E42" s="146">
        <f ca="1"/>
        <v>-61.740099999998961</v>
      </c>
      <c r="F42" s="141">
        <f ca="1"/>
        <v>-7.1695767041854125E-2</v>
      </c>
      <c r="G42" s="148"/>
      <c r="H42" s="149" cm="1">
        <f t="array" aca="1" ref="H42:M42" ca="1">IF(ISBLANK(INDIRECT("'"&amp;$A42&amp;"'!B24:G24")), "", INDIRECT("'"&amp;$A42&amp;"'!B24:G24"))</f>
        <v>799.400000000001</v>
      </c>
      <c r="I42" s="149">
        <f ca="1"/>
        <v>1207.299</v>
      </c>
      <c r="J42" s="149">
        <f ca="1"/>
        <v>-407.89899999999898</v>
      </c>
      <c r="K42" s="151">
        <f ca="1"/>
        <v>-0.33786079504745631</v>
      </c>
      <c r="L42" s="216" t="str">
        <f ca="1"/>
        <v/>
      </c>
      <c r="M42" s="216" t="str">
        <f ca="1"/>
        <v xml:space="preserve"> </v>
      </c>
    </row>
    <row r="43" spans="1:13" ht="14.45">
      <c r="A43" s="31" t="str">
        <v>Mahwah</v>
      </c>
      <c r="B43" s="33" t="str">
        <v>NJ</v>
      </c>
      <c r="C43" s="146" cm="1">
        <f t="array" aca="1" ref="C43:F43" ca="1">IF(ISBLANK(INDIRECT("'"&amp;$A43&amp;"'!B6:E6")), "", INDIRECT("'"&amp;$A43&amp;"'!B6:E6"))</f>
        <v>530.099999999999</v>
      </c>
      <c r="D43" s="146">
        <f ca="1"/>
        <v>950.65279999999996</v>
      </c>
      <c r="E43" s="146">
        <f ca="1"/>
        <v>-420.55280000000096</v>
      </c>
      <c r="F43" s="141">
        <f ca="1"/>
        <v>-0.44238317080641953</v>
      </c>
      <c r="G43" s="148"/>
      <c r="H43" s="149" cm="1">
        <f t="array" aca="1" ref="H43:M43" ca="1">IF(ISBLANK(INDIRECT("'"&amp;$A43&amp;"'!B24:G24")), "", INDIRECT("'"&amp;$A43&amp;"'!B24:G24"))</f>
        <v>530.099999999999</v>
      </c>
      <c r="I43" s="149">
        <f ca="1"/>
        <v>1061.701</v>
      </c>
      <c r="J43" s="149">
        <f ca="1"/>
        <v>-531.60100000000102</v>
      </c>
      <c r="K43" s="151">
        <f ca="1"/>
        <v>-0.50070688451833523</v>
      </c>
      <c r="L43" s="216" t="str">
        <f ca="1"/>
        <v/>
      </c>
      <c r="M43" s="216" t="str">
        <f ca="1"/>
        <v xml:space="preserve"> </v>
      </c>
    </row>
    <row r="44" spans="1:13" ht="14.45">
      <c r="A44" s="31" t="str">
        <v>Manchester Office</v>
      </c>
      <c r="B44" s="33" t="str">
        <v>NJ</v>
      </c>
      <c r="C44" s="146" cm="1">
        <f t="array" aca="1" ref="C44:F44" ca="1">IF(ISBLANK(INDIRECT("'"&amp;$A44&amp;"'!B6:E6")), "", INDIRECT("'"&amp;$A44&amp;"'!B6:E6"))</f>
        <v>1243.7</v>
      </c>
      <c r="D44" s="146">
        <f ca="1"/>
        <v>1242.431</v>
      </c>
      <c r="E44" s="146">
        <f ca="1"/>
        <v>1.2690000000000055</v>
      </c>
      <c r="F44" s="141">
        <f ca="1"/>
        <v>1.0213846885662105E-3</v>
      </c>
      <c r="G44" s="148"/>
      <c r="H44" s="149" cm="1">
        <f t="array" aca="1" ref="H44:M44" ca="1">IF(ISBLANK(INDIRECT("'"&amp;$A44&amp;"'!B24:G24")), "", INDIRECT("'"&amp;$A44&amp;"'!B24:G24"))</f>
        <v>1243.7</v>
      </c>
      <c r="I44" s="149">
        <f ca="1"/>
        <v>2172.9290000000001</v>
      </c>
      <c r="J44" s="149">
        <f ca="1"/>
        <v>-929.22900000000004</v>
      </c>
      <c r="K44" s="151">
        <f ca="1"/>
        <v>-0.42763891503127804</v>
      </c>
      <c r="L44" s="216" t="str">
        <f ca="1"/>
        <v/>
      </c>
      <c r="M44" s="216" t="str">
        <f ca="1"/>
        <v xml:space="preserve"> </v>
      </c>
    </row>
    <row r="45" spans="1:13" ht="14.45">
      <c r="A45" s="31" t="str">
        <v>Marlton</v>
      </c>
      <c r="B45" s="33" t="str">
        <v>NJ</v>
      </c>
      <c r="C45" s="146" cm="1">
        <f t="array" aca="1" ref="C45:F45" ca="1">IF(ISBLANK(INDIRECT("'"&amp;$A45&amp;"'!B6:E6")), "", INDIRECT("'"&amp;$A45&amp;"'!B6:E6"))</f>
        <v>1016.59999999999</v>
      </c>
      <c r="D45" s="146">
        <f ca="1"/>
        <v>1055.635</v>
      </c>
      <c r="E45" s="146">
        <f ca="1"/>
        <v>-39.035000000009973</v>
      </c>
      <c r="F45" s="141">
        <f ca="1"/>
        <v>-3.69777432540698E-2</v>
      </c>
      <c r="G45" s="148"/>
      <c r="H45" s="149" cm="1">
        <f t="array" aca="1" ref="H45:M45" ca="1">IF(ISBLANK(INDIRECT("'"&amp;$A45&amp;"'!B24:G24")), "", INDIRECT("'"&amp;$A45&amp;"'!B24:G24"))</f>
        <v>1016.59999999999</v>
      </c>
      <c r="I45" s="149">
        <f ca="1"/>
        <v>1680.2619999999999</v>
      </c>
      <c r="J45" s="149">
        <f ca="1"/>
        <v>-663.66200000000993</v>
      </c>
      <c r="K45" s="151">
        <f ca="1"/>
        <v>-0.3949753074223008</v>
      </c>
      <c r="L45" s="216" t="str">
        <f ca="1"/>
        <v/>
      </c>
      <c r="M45" s="216" t="str">
        <f ca="1"/>
        <v xml:space="preserve"> </v>
      </c>
    </row>
    <row r="46" spans="1:13" ht="14.45">
      <c r="A46" s="31" t="str">
        <v>Middletown</v>
      </c>
      <c r="B46" s="33" t="str">
        <v>NJ</v>
      </c>
      <c r="C46" s="146" cm="1">
        <f t="array" aca="1" ref="C46:F46" ca="1">IF(ISBLANK(INDIRECT("'"&amp;$A46&amp;"'!B6:E6")), "", INDIRECT("'"&amp;$A46&amp;"'!B6:E6"))</f>
        <v>994.099999999999</v>
      </c>
      <c r="D46" s="146">
        <f ca="1"/>
        <v>964.94500000000005</v>
      </c>
      <c r="E46" s="146">
        <f ca="1"/>
        <v>29.15499999999895</v>
      </c>
      <c r="F46" s="141">
        <f ca="1"/>
        <v>3.0214157283574659E-2</v>
      </c>
      <c r="G46" s="148"/>
      <c r="H46" s="149" cm="1">
        <f t="array" aca="1" ref="H46:M46" ca="1">IF(ISBLANK(INDIRECT("'"&amp;$A46&amp;"'!B24:G24")), "", INDIRECT("'"&amp;$A46&amp;"'!B24:G24"))</f>
        <v>994.099999999999</v>
      </c>
      <c r="I46" s="149">
        <f ca="1"/>
        <v>1643.9359999999999</v>
      </c>
      <c r="J46" s="149">
        <f ca="1"/>
        <v>-649.83600000000092</v>
      </c>
      <c r="K46" s="151">
        <f ca="1"/>
        <v>-0.39529276078874176</v>
      </c>
      <c r="L46" s="216" t="str">
        <f ca="1"/>
        <v/>
      </c>
      <c r="M46" s="216" t="str">
        <f ca="1"/>
        <v xml:space="preserve"> </v>
      </c>
    </row>
    <row r="47" spans="1:13" ht="14.45">
      <c r="A47" s="31" t="str">
        <v>North Brunswick</v>
      </c>
      <c r="B47" s="33" t="str">
        <v>NJ</v>
      </c>
      <c r="C47" s="146" cm="1">
        <f t="array" aca="1" ref="C47:F47" ca="1">IF(ISBLANK(INDIRECT("'"&amp;$A47&amp;"'!B6:E6")), "", INDIRECT("'"&amp;$A47&amp;"'!B6:E6"))</f>
        <v>740.09999999999104</v>
      </c>
      <c r="D47" s="146">
        <f ca="1"/>
        <v>851.9058</v>
      </c>
      <c r="E47" s="146">
        <f ca="1"/>
        <v>-111.80580000000896</v>
      </c>
      <c r="F47" s="141">
        <f ca="1"/>
        <v>-0.13124197534517193</v>
      </c>
      <c r="G47" s="148"/>
      <c r="H47" s="149" cm="1">
        <f t="array" aca="1" ref="H47:M47" ca="1">IF(ISBLANK(INDIRECT("'"&amp;$A47&amp;"'!B24:G24")), "", INDIRECT("'"&amp;$A47&amp;"'!B24:G24"))</f>
        <v>740.09999999999104</v>
      </c>
      <c r="I47" s="149">
        <f ca="1"/>
        <v>1435.0250000000001</v>
      </c>
      <c r="J47" s="149">
        <f ca="1"/>
        <v>-694.92500000000905</v>
      </c>
      <c r="K47" s="151">
        <f ca="1"/>
        <v>-0.48425985610007422</v>
      </c>
      <c r="L47" s="216" t="str">
        <f ca="1"/>
        <v/>
      </c>
      <c r="M47" s="216" t="str">
        <f ca="1"/>
        <v xml:space="preserve"> </v>
      </c>
    </row>
    <row r="48" spans="1:13" ht="14.45">
      <c r="A48" s="31" t="str">
        <v>North Elizabeth</v>
      </c>
      <c r="B48" s="33" t="str">
        <v>NJ</v>
      </c>
      <c r="C48" s="146" cm="1">
        <f t="array" aca="1" ref="C48:F48" ca="1">IF(ISBLANK(INDIRECT("'"&amp;$A48&amp;"'!B6:E6")), "", INDIRECT("'"&amp;$A48&amp;"'!B6:E6"))</f>
        <v>784.099999999999</v>
      </c>
      <c r="D48" s="146">
        <f ca="1"/>
        <v>751.98900000000003</v>
      </c>
      <c r="E48" s="146">
        <f ca="1"/>
        <v>32.110999999998967</v>
      </c>
      <c r="F48" s="141">
        <f ca="1"/>
        <v>4.270142249421064E-2</v>
      </c>
      <c r="G48" s="148"/>
      <c r="H48" s="149" cm="1">
        <f t="array" aca="1" ref="H48:M48" ca="1">IF(ISBLANK(INDIRECT("'"&amp;$A48&amp;"'!B24:G24")), "", INDIRECT("'"&amp;$A48&amp;"'!B24:G24"))</f>
        <v>784.099999999999</v>
      </c>
      <c r="I48" s="149">
        <f ca="1"/>
        <v>1413.1279999999999</v>
      </c>
      <c r="J48" s="149">
        <f ca="1"/>
        <v>-629.02800000000093</v>
      </c>
      <c r="K48" s="151">
        <f ca="1"/>
        <v>-0.44513165120215648</v>
      </c>
      <c r="L48" s="216" t="str">
        <f ca="1"/>
        <v xml:space="preserve"> </v>
      </c>
      <c r="M48" s="216" t="str">
        <f ca="1"/>
        <v xml:space="preserve"> </v>
      </c>
    </row>
    <row r="49" spans="1:13" ht="14.45">
      <c r="A49" s="31" t="str">
        <v>Nutley</v>
      </c>
      <c r="B49" s="33" t="str">
        <v>NJ</v>
      </c>
      <c r="C49" s="146" cm="1">
        <f t="array" aca="1" ref="C49:F49" ca="1">IF(ISBLANK(INDIRECT("'"&amp;$A49&amp;"'!B6:E6")), "", INDIRECT("'"&amp;$A49&amp;"'!B6:E6"))</f>
        <v>770.89999999999395</v>
      </c>
      <c r="D49" s="146">
        <f ca="1"/>
        <v>1199.326</v>
      </c>
      <c r="E49" s="146">
        <f ca="1"/>
        <v>-428.42600000000607</v>
      </c>
      <c r="F49" s="141">
        <f ca="1"/>
        <v>-0.35722230652883874</v>
      </c>
      <c r="G49" s="148"/>
      <c r="H49" s="149" cm="1">
        <f t="array" aca="1" ref="H49:M49" ca="1">IF(ISBLANK(INDIRECT("'"&amp;$A49&amp;"'!B24:G24")), "", INDIRECT("'"&amp;$A49&amp;"'!B24:G24"))</f>
        <v>770.89999999999395</v>
      </c>
      <c r="I49" s="149">
        <f ca="1"/>
        <v>1734.511</v>
      </c>
      <c r="J49" s="149">
        <f ca="1"/>
        <v>-963.61100000000602</v>
      </c>
      <c r="K49" s="151">
        <f ca="1"/>
        <v>-0.555551968249268</v>
      </c>
      <c r="L49" s="216" t="str">
        <f ca="1"/>
        <v/>
      </c>
      <c r="M49" s="216" t="str">
        <f ca="1"/>
        <v xml:space="preserve"> </v>
      </c>
    </row>
    <row r="50" spans="1:13" ht="14.45">
      <c r="A50" s="31" t="str">
        <v>Parsippany Rt. 46</v>
      </c>
      <c r="B50" s="33" t="str">
        <v>NJ</v>
      </c>
      <c r="C50" s="146" cm="1">
        <f t="array" aca="1" ref="C50:F50" ca="1">IF(ISBLANK(INDIRECT("'"&amp;$A50&amp;"'!B6:E6")), "", INDIRECT("'"&amp;$A50&amp;"'!B6:E6"))</f>
        <v>583.80000000000302</v>
      </c>
      <c r="D50" s="146">
        <f ca="1"/>
        <v>1291.575</v>
      </c>
      <c r="E50" s="146">
        <f ca="1"/>
        <v>-707.77499999999702</v>
      </c>
      <c r="F50" s="141">
        <f ca="1"/>
        <v>-0.54799372858718776</v>
      </c>
      <c r="G50" s="148"/>
      <c r="H50" s="149" cm="1">
        <f t="array" aca="1" ref="H50:M50" ca="1">IF(ISBLANK(INDIRECT("'"&amp;$A50&amp;"'!B24:G24")), "", INDIRECT("'"&amp;$A50&amp;"'!B24:G24"))</f>
        <v>583.80000000000302</v>
      </c>
      <c r="I50" s="149">
        <f ca="1"/>
        <v>1156.298</v>
      </c>
      <c r="J50" s="149">
        <f ca="1"/>
        <v>-572.49799999999698</v>
      </c>
      <c r="K50" s="151">
        <f ca="1"/>
        <v>-0.49511285153135004</v>
      </c>
      <c r="L50" s="216" t="str">
        <f ca="1"/>
        <v xml:space="preserve"> </v>
      </c>
      <c r="M50" s="216" t="str">
        <f ca="1"/>
        <v xml:space="preserve"> </v>
      </c>
    </row>
    <row r="51" spans="1:13" ht="14.45">
      <c r="A51" s="31" t="str">
        <v>Rt. 22 Springfield</v>
      </c>
      <c r="B51" s="33" t="str">
        <v>NJ</v>
      </c>
      <c r="C51" s="146" cm="1">
        <f t="array" aca="1" ref="C51:F51" ca="1">IF(ISBLANK(INDIRECT("'"&amp;$A51&amp;"'!B6:E6")), "", INDIRECT("'"&amp;$A51&amp;"'!B6:E6"))</f>
        <v>933.70000000000402</v>
      </c>
      <c r="D51" s="146">
        <f ca="1"/>
        <v>1153.6600000000001</v>
      </c>
      <c r="E51" s="146">
        <f ca="1"/>
        <v>-219.95999999999606</v>
      </c>
      <c r="F51" s="141">
        <f ca="1"/>
        <v>-0.19066276025865164</v>
      </c>
      <c r="G51" s="148"/>
      <c r="H51" s="149" cm="1">
        <f t="array" aca="1" ref="H51:M51" ca="1">IF(ISBLANK(INDIRECT("'"&amp;$A51&amp;"'!B24:G24")), "", INDIRECT("'"&amp;$A51&amp;"'!B24:G24"))</f>
        <v>933.70000000000402</v>
      </c>
      <c r="I51" s="149">
        <f ca="1"/>
        <v>1296.3989999999999</v>
      </c>
      <c r="J51" s="149">
        <f ca="1"/>
        <v>-362.69899999999586</v>
      </c>
      <c r="K51" s="151">
        <f ca="1"/>
        <v>-0.27977420531795838</v>
      </c>
      <c r="L51" s="216" t="str">
        <f ca="1"/>
        <v xml:space="preserve"> </v>
      </c>
      <c r="M51" s="216" t="str">
        <f ca="1"/>
        <v xml:space="preserve"> </v>
      </c>
    </row>
    <row r="52" spans="1:13" ht="14.45">
      <c r="A52" s="31" t="str">
        <v>Somerset</v>
      </c>
      <c r="B52" s="33" t="str">
        <v>NJ</v>
      </c>
      <c r="C52" s="146" cm="1">
        <f t="array" aca="1" ref="C52:F52" ca="1">IF(ISBLANK(INDIRECT("'"&amp;$A52&amp;"'!B6:E6")), "", INDIRECT("'"&amp;$A52&amp;"'!B6:E6"))</f>
        <v>0</v>
      </c>
      <c r="D52" s="146">
        <f ca="1"/>
        <v>0</v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IF(ISBLANK(INDIRECT("'"&amp;$A52&amp;"'!B24:G24")), "", INDIRECT("'"&amp;$A52&amp;"'!B24:G24"))</f>
        <v>0</v>
      </c>
      <c r="I52" s="149">
        <f ca="1"/>
        <v>0</v>
      </c>
      <c r="J52" s="149">
        <f ca="1"/>
        <v>0</v>
      </c>
      <c r="K52" s="151" t="str">
        <f ca="1"/>
        <v>-</v>
      </c>
      <c r="L52" s="216" t="str">
        <f ca="1"/>
        <v>No data available</v>
      </c>
      <c r="M52" s="216" t="str">
        <f ca="1"/>
        <v/>
      </c>
    </row>
    <row r="53" spans="1:13" ht="14.45">
      <c r="A53" s="31" t="str">
        <v>South Plainfield</v>
      </c>
      <c r="B53" s="33" t="str">
        <v>NJ</v>
      </c>
      <c r="C53" s="146" cm="1">
        <f t="array" aca="1" ref="C53:F53" ca="1">IF(ISBLANK(INDIRECT("'"&amp;$A53&amp;"'!B6:E6")), "", INDIRECT("'"&amp;$A53&amp;"'!B6:E6"))</f>
        <v>440.79999999999899</v>
      </c>
      <c r="D53" s="146">
        <f ca="1"/>
        <v>493.0951</v>
      </c>
      <c r="E53" s="146">
        <f ca="1"/>
        <v>-52.295100000001014</v>
      </c>
      <c r="F53" s="141">
        <f ca="1"/>
        <v>-0.10605479551510655</v>
      </c>
      <c r="G53" s="148"/>
      <c r="H53" s="149" cm="1">
        <f t="array" aca="1" ref="H53:M53" ca="1">IF(ISBLANK(INDIRECT("'"&amp;$A53&amp;"'!B24:G24")), "", INDIRECT("'"&amp;$A53&amp;"'!B24:G24"))</f>
        <v>440.79999999999899</v>
      </c>
      <c r="I53" s="149">
        <f ca="1"/>
        <v>750.99599999999998</v>
      </c>
      <c r="J53" s="149">
        <f ca="1"/>
        <v>-310.19600000000099</v>
      </c>
      <c r="K53" s="151">
        <f ca="1"/>
        <v>-0.4130461413909009</v>
      </c>
      <c r="L53" s="216" t="str">
        <f ca="1"/>
        <v/>
      </c>
      <c r="M53" s="216" t="str">
        <f ca="1"/>
        <v xml:space="preserve"> </v>
      </c>
    </row>
    <row r="54" spans="1:13" ht="14.45">
      <c r="A54" s="31" t="str">
        <v>West Deptford Woodbury</v>
      </c>
      <c r="B54" s="33" t="str">
        <v>NJ</v>
      </c>
      <c r="C54" s="146" cm="1">
        <f t="array" aca="1" ref="C54:F54" ca="1">IF(ISBLANK(INDIRECT("'"&amp;$A54&amp;"'!B6:E6")), "", INDIRECT("'"&amp;$A54&amp;"'!B6:E6"))</f>
        <v>1385.8999999999901</v>
      </c>
      <c r="D54" s="146">
        <f ca="1"/>
        <v>1614.307</v>
      </c>
      <c r="E54" s="146">
        <f ca="1"/>
        <v>-228.40700000000993</v>
      </c>
      <c r="F54" s="141">
        <f ca="1"/>
        <v>-0.1414891962929046</v>
      </c>
      <c r="G54" s="148"/>
      <c r="H54" s="149" cm="1">
        <f t="array" aca="1" ref="H54:M54" ca="1">IF(ISBLANK(INDIRECT("'"&amp;$A54&amp;"'!B24:G24")), "", INDIRECT("'"&amp;$A54&amp;"'!B24:G24"))</f>
        <v>1385.8999999999901</v>
      </c>
      <c r="I54" s="149">
        <f ca="1"/>
        <v>1978.3620000000001</v>
      </c>
      <c r="J54" s="149">
        <f ca="1"/>
        <v>-592.46200000000999</v>
      </c>
      <c r="K54" s="151">
        <f ca="1"/>
        <v>-0.29947097649470117</v>
      </c>
      <c r="L54" s="216" t="str">
        <f ca="1"/>
        <v/>
      </c>
      <c r="M54" s="216" t="str">
        <f ca="1"/>
        <v xml:space="preserve"> </v>
      </c>
    </row>
    <row r="55" spans="1:13" ht="14.45">
      <c r="A55" s="31" t="str">
        <v>Whiting</v>
      </c>
      <c r="B55" s="33" t="str">
        <v>NJ</v>
      </c>
      <c r="C55" s="146" cm="1">
        <f t="array" aca="1" ref="C55:F55" ca="1">IF(ISBLANK(INDIRECT("'"&amp;$A55&amp;"'!B6:E6")), "", INDIRECT("'"&amp;$A55&amp;"'!B6:E6"))</f>
        <v>1524.8999999999901</v>
      </c>
      <c r="D55" s="146">
        <f ca="1"/>
        <v>1991.1859999999999</v>
      </c>
      <c r="E55" s="146">
        <f ca="1"/>
        <v>-466.28600000000984</v>
      </c>
      <c r="F55" s="152">
        <f ca="1"/>
        <v>-0.23417500926583948</v>
      </c>
      <c r="G55" s="148"/>
      <c r="H55" s="149" cm="1">
        <f t="array" aca="1" ref="H55:M55" ca="1">IF(ISBLANK(INDIRECT("'"&amp;$A55&amp;"'!B24:G24")), "", INDIRECT("'"&amp;$A55&amp;"'!B24:G24"))</f>
        <v>1524.8999999999901</v>
      </c>
      <c r="I55" s="149">
        <f ca="1"/>
        <v>2510.9960000000001</v>
      </c>
      <c r="J55" s="149">
        <f ca="1"/>
        <v>-986.09600000001001</v>
      </c>
      <c r="K55" s="153">
        <f ca="1"/>
        <v>-0.39271109949996336</v>
      </c>
      <c r="L55" s="216" t="str">
        <f ca="1"/>
        <v/>
      </c>
      <c r="M55" s="216" t="str">
        <f ca="1"/>
        <v/>
      </c>
    </row>
    <row r="56" spans="1:13" ht="14.45">
      <c r="A56" s="31" t="str">
        <v>102 - San Antonio Ops</v>
      </c>
      <c r="B56" s="33" t="str">
        <v>TX</v>
      </c>
      <c r="C56" s="146" cm="1">
        <f t="array" aca="1" ref="C56:F56" ca="1">IF(ISBLANK(INDIRECT("'"&amp;$A56&amp;"'!B6:E6")), "", INDIRECT("'"&amp;$A56&amp;"'!B6:E6"))</f>
        <v>0</v>
      </c>
      <c r="D56" s="132">
        <f ca="1"/>
        <v>0</v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IF(ISBLANK(INDIRECT("'"&amp;$A56&amp;"'!B24:G24")), "", INDIRECT("'"&amp;$A56&amp;"'!B24:G24"))</f>
        <v>0</v>
      </c>
      <c r="I56" s="149">
        <f ca="1"/>
        <v>0</v>
      </c>
      <c r="J56" s="105">
        <f ca="1"/>
        <v>0</v>
      </c>
      <c r="K56" s="151" t="str">
        <f ca="1"/>
        <v>-</v>
      </c>
      <c r="L56" s="218" t="str">
        <f ca="1"/>
        <v>Site's de-energized 06/02/2023  due to TIGO investigation</v>
      </c>
      <c r="M56" s="216" t="str">
        <f ca="1"/>
        <v/>
      </c>
    </row>
    <row r="57" spans="1:13" ht="14.45">
      <c r="A57" s="31" t="str">
        <v>104 - San Antonio Ops</v>
      </c>
      <c r="B57" s="33" t="str">
        <v>TX</v>
      </c>
      <c r="C57" s="146" cm="1">
        <f t="array" aca="1" ref="C57:F57" ca="1">IF(ISBLANK(INDIRECT("'"&amp;$A57&amp;"'!B6:E6")), "", INDIRECT("'"&amp;$A57&amp;"'!B6:E6"))</f>
        <v>0</v>
      </c>
      <c r="D57" s="132">
        <f ca="1"/>
        <v>0</v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IF(ISBLANK(INDIRECT("'"&amp;$A57&amp;"'!B24:G24")), "", INDIRECT("'"&amp;$A57&amp;"'!B24:G24"))</f>
        <v>0</v>
      </c>
      <c r="I57" s="149">
        <f ca="1"/>
        <v>0</v>
      </c>
      <c r="J57" s="149">
        <f ca="1"/>
        <v>0</v>
      </c>
      <c r="K57" s="151" t="str">
        <f ca="1"/>
        <v>-</v>
      </c>
      <c r="L57" s="218" t="str">
        <f ca="1"/>
        <v>Site's de-energized 06/02/2023  due to TIGO investigation</v>
      </c>
      <c r="M57" s="216" t="str">
        <f ca="1"/>
        <v/>
      </c>
    </row>
    <row r="58" spans="1:13" ht="14.45">
      <c r="A58" s="31" t="str">
        <v>106 - San Antonio Ops</v>
      </c>
      <c r="B58" s="33" t="str">
        <v>TX</v>
      </c>
      <c r="C58" s="146" cm="1">
        <f t="array" aca="1" ref="C58:F58" ca="1">IF(ISBLANK(INDIRECT("'"&amp;$A58&amp;"'!B6:E6")), "", INDIRECT("'"&amp;$A58&amp;"'!B6:E6"))</f>
        <v>0</v>
      </c>
      <c r="D58" s="132">
        <f ca="1"/>
        <v>0</v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IF(ISBLANK(INDIRECT("'"&amp;$A58&amp;"'!B24:G24")), "", INDIRECT("'"&amp;$A58&amp;"'!B24:G24"))</f>
        <v>0</v>
      </c>
      <c r="I58" s="149">
        <f ca="1"/>
        <v>0</v>
      </c>
      <c r="J58" s="105">
        <f ca="1"/>
        <v>0</v>
      </c>
      <c r="K58" s="151" t="str">
        <f ca="1"/>
        <v>-</v>
      </c>
      <c r="L58" s="218" t="str">
        <f ca="1"/>
        <v>Site's de-energized 06/02/2023  due to TIGO investigation</v>
      </c>
      <c r="M58" s="216" t="str">
        <f ca="1"/>
        <v/>
      </c>
    </row>
    <row r="59" spans="1:13" ht="14.45">
      <c r="A59" s="31" t="str">
        <v>201 - San Antonio Ops</v>
      </c>
      <c r="B59" s="33" t="str">
        <v>TX</v>
      </c>
      <c r="C59" s="146" cm="1">
        <f t="array" aca="1" ref="C59:F59" ca="1">IF(ISBLANK(INDIRECT("'"&amp;$A59&amp;"'!B6:E6")), "", INDIRECT("'"&amp;$A59&amp;"'!B6:E6"))</f>
        <v>0</v>
      </c>
      <c r="D59" s="132">
        <f ca="1"/>
        <v>0</v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IF(ISBLANK(INDIRECT("'"&amp;$A59&amp;"'!B24:G24")), "", INDIRECT("'"&amp;$A59&amp;"'!B24:G24"))</f>
        <v>0</v>
      </c>
      <c r="I59" s="149">
        <f ca="1"/>
        <v>35803.379999999997</v>
      </c>
      <c r="J59" s="149">
        <f ca="1"/>
        <v>-35803.379999999997</v>
      </c>
      <c r="K59" s="151">
        <f ca="1"/>
        <v>-1</v>
      </c>
      <c r="L59" s="218" t="str">
        <f ca="1"/>
        <v>Site's de-energized 06/02/2023  due to TIGO investigation</v>
      </c>
      <c r="M59" s="216" t="str">
        <f ca="1"/>
        <v/>
      </c>
    </row>
    <row r="60" spans="1:13" ht="14.45">
      <c r="A60" s="31" t="str">
        <v>203 - San Antonio Ops</v>
      </c>
      <c r="B60" s="33" t="str">
        <v>TX</v>
      </c>
      <c r="C60" s="146" cm="1">
        <f t="array" aca="1" ref="C60:F60" ca="1">IF(ISBLANK(INDIRECT("'"&amp;$A60&amp;"'!B6:E6")), "", INDIRECT("'"&amp;$A60&amp;"'!B6:E6"))</f>
        <v>0</v>
      </c>
      <c r="D60" s="132">
        <f ca="1"/>
        <v>0</v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IF(ISBLANK(INDIRECT("'"&amp;$A60&amp;"'!B24:G24")), "", INDIRECT("'"&amp;$A60&amp;"'!B24:G24"))</f>
        <v>0</v>
      </c>
      <c r="I60" s="149">
        <f ca="1"/>
        <v>0</v>
      </c>
      <c r="J60" s="105">
        <f ca="1"/>
        <v>0</v>
      </c>
      <c r="K60" s="151" t="str">
        <f ca="1"/>
        <v>-</v>
      </c>
      <c r="L60" s="218" t="str">
        <f ca="1"/>
        <v>Site's de-energized 06/02/2023  due to TIGO investigation</v>
      </c>
      <c r="M60" s="216" t="str">
        <f ca="1"/>
        <v/>
      </c>
    </row>
    <row r="61" spans="1:13" ht="14.45">
      <c r="A61" s="31" t="str">
        <v>205 - San Antonio Ops</v>
      </c>
      <c r="B61" s="33" t="str">
        <v>TX</v>
      </c>
      <c r="C61" s="146" cm="1">
        <f t="array" aca="1" ref="C61:F61" ca="1">IF(ISBLANK(INDIRECT("'"&amp;$A61&amp;"'!B6:E6")), "", INDIRECT("'"&amp;$A61&amp;"'!B6:E6"))</f>
        <v>0</v>
      </c>
      <c r="D61" s="132">
        <f ca="1"/>
        <v>0</v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IF(ISBLANK(INDIRECT("'"&amp;$A61&amp;"'!B24:G24")), "", INDIRECT("'"&amp;$A61&amp;"'!B24:G24"))</f>
        <v>0</v>
      </c>
      <c r="I61" s="149">
        <f ca="1"/>
        <v>33517.699000000001</v>
      </c>
      <c r="J61" s="149">
        <f ca="1"/>
        <v>-33517.699000000001</v>
      </c>
      <c r="K61" s="151">
        <f ca="1"/>
        <v>-1</v>
      </c>
      <c r="L61" s="218" t="str">
        <f ca="1"/>
        <v>Site's de-energized 06/02/2023  due to TIGO investigation</v>
      </c>
      <c r="M61" s="216" t="str">
        <f ca="1"/>
        <v/>
      </c>
    </row>
    <row r="62" spans="1:13" ht="14.45">
      <c r="A62" s="31" t="str">
        <v>307 - San Antonio Ops</v>
      </c>
      <c r="B62" s="33" t="str">
        <v>TX</v>
      </c>
      <c r="C62" s="146" cm="1">
        <f t="array" aca="1" ref="C62:F62" ca="1">IF(ISBLANK(INDIRECT("'"&amp;$A62&amp;"'!B6:E6")), "", INDIRECT("'"&amp;$A62&amp;"'!B6:E6"))</f>
        <v>0</v>
      </c>
      <c r="D62" s="132">
        <f ca="1"/>
        <v>0</v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IF(ISBLANK(INDIRECT("'"&amp;$A62&amp;"'!B24:G24")), "", INDIRECT("'"&amp;$A62&amp;"'!B24:G24"))</f>
        <v>0</v>
      </c>
      <c r="I62" s="149">
        <f ca="1"/>
        <v>34698.845000000001</v>
      </c>
      <c r="J62" s="105">
        <f ca="1"/>
        <v>-34698.845000000001</v>
      </c>
      <c r="K62" s="151">
        <f ca="1"/>
        <v>-1</v>
      </c>
      <c r="L62" s="218" t="str">
        <f ca="1"/>
        <v>Site's de-energized 06/02/2023  due to TIGO investigation</v>
      </c>
      <c r="M62" s="216" t="str">
        <f ca="1"/>
        <v/>
      </c>
    </row>
    <row r="63" spans="1:13" ht="14.45">
      <c r="A63" s="31" t="str">
        <v>308 - San Antonio Ops</v>
      </c>
      <c r="B63" s="33" t="str">
        <v>TX</v>
      </c>
      <c r="C63" s="146" cm="1">
        <f t="array" aca="1" ref="C63:F63" ca="1">IF(ISBLANK(INDIRECT("'"&amp;$A63&amp;"'!B6:E6")), "", INDIRECT("'"&amp;$A63&amp;"'!B6:E6"))</f>
        <v>24.25</v>
      </c>
      <c r="D63" s="132">
        <f ca="1"/>
        <v>0</v>
      </c>
      <c r="E63" s="154">
        <f ca="1"/>
        <v>24.25</v>
      </c>
      <c r="F63" s="141" t="str">
        <f ca="1"/>
        <v>-</v>
      </c>
      <c r="G63" s="155"/>
      <c r="H63" s="149" cm="1">
        <f t="array" aca="1" ref="H63:M63" ca="1">IF(ISBLANK(INDIRECT("'"&amp;$A63&amp;"'!B24:G24")), "", INDIRECT("'"&amp;$A63&amp;"'!B24:G24"))</f>
        <v>24.25</v>
      </c>
      <c r="I63" s="149">
        <f ca="1"/>
        <v>34211.300999999999</v>
      </c>
      <c r="J63" s="149">
        <f ca="1"/>
        <v>-34187.050999999999</v>
      </c>
      <c r="K63" s="151">
        <f ca="1"/>
        <v>-0.9992911698973389</v>
      </c>
      <c r="L63" s="218" t="str">
        <f ca="1"/>
        <v>Site's de-energized 06/02/2023  due to TIGO investigation</v>
      </c>
      <c r="M63" s="21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cm="1">
        <f t="array" aca="1" ref="C64:F64" ca="1">IF(ISBLANK(INDIRECT("'"&amp;$A64&amp;"'!B6:E6")), "", INDIRECT("'"&amp;$A64&amp;"'!B6:E6"))</f>
        <v>275677</v>
      </c>
      <c r="D64" s="132">
        <f ca="1"/>
        <v>318383.40000000002</v>
      </c>
      <c r="E64" s="154">
        <f ca="1"/>
        <v>-42706.400000000023</v>
      </c>
      <c r="F64" s="141">
        <f ca="1"/>
        <v>-0.13413513392972126</v>
      </c>
      <c r="G64" s="155"/>
      <c r="H64" s="149" cm="1">
        <f t="array" aca="1" ref="H64:M64" ca="1">IF(ISBLANK(INDIRECT("'"&amp;$A64&amp;"'!B24:G24")), "", INDIRECT("'"&amp;$A64&amp;"'!B24:G24"))</f>
        <v>275677</v>
      </c>
      <c r="I64" s="149">
        <f ca="1"/>
        <v>289610.83399999997</v>
      </c>
      <c r="J64" s="105">
        <f ca="1"/>
        <v>-13933.833999999973</v>
      </c>
      <c r="K64" s="151">
        <f ca="1"/>
        <v>-4.811226778898739E-2</v>
      </c>
      <c r="L64" s="218" t="str">
        <f ca="1"/>
        <v>Inverter 17 was offline from morning and back online at 14:00 on 01/24</v>
      </c>
      <c r="M64" s="216" t="str">
        <f ca="1"/>
        <v>SR080443</v>
      </c>
    </row>
    <row r="65" spans="1:12" ht="15" thickBot="1">
      <c r="A65" s="226" t="s">
        <v>11</v>
      </c>
      <c r="B65" s="227"/>
      <c r="C65" s="156">
        <f ca="1">SUM(C3:C64)</f>
        <v>434877.88533934351</v>
      </c>
      <c r="D65" s="156">
        <f ca="1">SUM(D3:D64)</f>
        <v>405850.92660000001</v>
      </c>
      <c r="E65" s="156">
        <f ca="1">C65-D65</f>
        <v>29026.958739343507</v>
      </c>
      <c r="F65" s="157">
        <f t="shared" ref="F65" ca="1" si="0">IFERROR(E65/D65, "-")</f>
        <v>7.152123313482539E-2</v>
      </c>
      <c r="G65" s="158"/>
      <c r="H65" s="156">
        <f t="shared" ref="H65" ca="1" si="1">C65</f>
        <v>434877.88533934351</v>
      </c>
      <c r="I65" s="156">
        <f ca="1">SUM(I3:I64)</f>
        <v>698800.05</v>
      </c>
      <c r="J65" s="159">
        <f ca="1">H65-I65</f>
        <v>-263922.16466065653</v>
      </c>
      <c r="K65" s="157">
        <f t="shared" ref="K65" ca="1" si="2">IFERROR(J65/I65, "-")</f>
        <v>-0.37767908668675182</v>
      </c>
      <c r="L65" s="61"/>
    </row>
    <row r="66" spans="1:12">
      <c r="L66" s="61"/>
    </row>
    <row r="67" spans="1:12">
      <c r="L67" s="61"/>
    </row>
    <row r="68" spans="1:12">
      <c r="L68" s="61"/>
    </row>
    <row r="69" spans="1:12">
      <c r="L69" s="61"/>
    </row>
    <row r="70" spans="1:12">
      <c r="L70" s="61"/>
    </row>
    <row r="71" spans="1:12">
      <c r="L71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63" priority="3" operator="equal">
      <formula>"-"</formula>
    </cfRule>
  </conditionalFormatting>
  <conditionalFormatting sqref="F3:F65 K3:K65">
    <cfRule type="cellIs" dxfId="62" priority="4" operator="lessThanOrEqual">
      <formula>-0.1</formula>
    </cfRule>
    <cfRule type="cellIs" dxfId="61" priority="5" operator="greaterThanOrEqual">
      <formula>0.1</formula>
    </cfRule>
  </conditionalFormatting>
  <conditionalFormatting sqref="F65 K65">
    <cfRule type="cellIs" dxfId="60" priority="1" operator="equal">
      <formula>"-"</formula>
    </cfRule>
  </conditionalFormatting>
  <conditionalFormatting sqref="K3:K64">
    <cfRule type="cellIs" dxfId="59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65"/>
  <sheetViews>
    <sheetView workbookViewId="0">
      <pane ySplit="2" topLeftCell="A44" activePane="bottomLeft" state="frozen"/>
      <selection pane="bottomLeft" activeCell="K73" sqref="K73"/>
      <selection activeCell="K73" sqref="K73"/>
    </sheetView>
  </sheetViews>
  <sheetFormatPr defaultRowHeight="13.15"/>
  <cols>
    <col min="1" max="1" width="28.1406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85546875" style="8" customWidth="1"/>
    <col min="12" max="12" width="45.140625" customWidth="1"/>
    <col min="13" max="13" width="9.5703125" bestFit="1" customWidth="1"/>
    <col min="14" max="14" width="44" customWidth="1"/>
  </cols>
  <sheetData>
    <row r="1" spans="1:13" ht="19.5" customHeight="1">
      <c r="A1" s="244" t="s">
        <v>0</v>
      </c>
      <c r="B1" s="245"/>
      <c r="C1" s="238" t="s">
        <v>25</v>
      </c>
      <c r="D1" s="239"/>
      <c r="E1" s="239"/>
      <c r="F1" s="240"/>
      <c r="G1" s="45"/>
      <c r="H1" s="241" t="s">
        <v>26</v>
      </c>
      <c r="I1" s="242"/>
      <c r="J1" s="242"/>
      <c r="K1" s="243"/>
      <c r="L1" s="228" t="s">
        <v>22</v>
      </c>
      <c r="M1" s="228" t="s">
        <v>23</v>
      </c>
    </row>
    <row r="2" spans="1:13" ht="15.75" customHeigh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71" t="s">
        <v>7</v>
      </c>
      <c r="L2" s="229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IF(ISBLANK(INDIRECT("'"&amp;$A3&amp;"'!B7:E7")), "", INDIRECT("'"&amp;$A3&amp;"'!B7:E7"))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IF(ISBLANK(INDIRECT("'"&amp;$A3&amp;"'!B25:G25")), "", INDIRECT("'"&amp;$A3&amp;"'!B25:G25"))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IF(ISBLANK(INDIRECT("'"&amp;$A4&amp;"'!B7:E7")), "", INDIRECT("'"&amp;$A4&amp;"'!B7:E7"))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IF(ISBLANK(INDIRECT("'"&amp;$A4&amp;"'!B25:G25")), "", INDIRECT("'"&amp;$A4&amp;"'!B25:G25"))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IF(ISBLANK(INDIRECT("'"&amp;$A5&amp;"'!B7:E7")), "", INDIRECT("'"&amp;$A5&amp;"'!B7:E7"))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IF(ISBLANK(INDIRECT("'"&amp;$A5&amp;"'!B25:G25")), "", INDIRECT("'"&amp;$A5&amp;"'!B25:G25"))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IF(ISBLANK(INDIRECT("'"&amp;$A6&amp;"'!B7:E7")), "", INDIRECT("'"&amp;$A6&amp;"'!B7:E7"))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IF(ISBLANK(INDIRECT("'"&amp;$A6&amp;"'!B25:G25")), "", INDIRECT("'"&amp;$A6&amp;"'!B25:G25"))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IF(ISBLANK(INDIRECT("'"&amp;$A7&amp;"'!B7:E7")), "", INDIRECT("'"&amp;$A7&amp;"'!B7:E7"))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IF(ISBLANK(INDIRECT("'"&amp;$A7&amp;"'!B25:G25")), "", INDIRECT("'"&amp;$A7&amp;"'!B25:G25"))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IF(ISBLANK(INDIRECT("'"&amp;$A8&amp;"'!B7:E7")), "", INDIRECT("'"&amp;$A8&amp;"'!B7:E7"))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IF(ISBLANK(INDIRECT("'"&amp;$A8&amp;"'!B25:G25")), "", INDIRECT("'"&amp;$A8&amp;"'!B25:G25"))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IF(ISBLANK(INDIRECT("'"&amp;$A9&amp;"'!B7:E7")), "", INDIRECT("'"&amp;$A9&amp;"'!B7:E7"))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IF(ISBLANK(INDIRECT("'"&amp;$A9&amp;"'!B25:G25")), "", INDIRECT("'"&amp;$A9&amp;"'!B25:G25"))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IF(ISBLANK(INDIRECT("'"&amp;$A10&amp;"'!B7:E7")), "", INDIRECT("'"&amp;$A10&amp;"'!B7:E7"))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IF(ISBLANK(INDIRECT("'"&amp;$A10&amp;"'!B25:G25")), "", INDIRECT("'"&amp;$A10&amp;"'!B25:G25"))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IF(ISBLANK(INDIRECT("'"&amp;$A11&amp;"'!B7:E7")), "", INDIRECT("'"&amp;$A11&amp;"'!B7:E7"))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IF(ISBLANK(INDIRECT("'"&amp;$A11&amp;"'!B25:G25")), "", INDIRECT("'"&amp;$A11&amp;"'!B25:G25"))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IF(ISBLANK(INDIRECT("'"&amp;$A12&amp;"'!B7:E7")), "", INDIRECT("'"&amp;$A12&amp;"'!B7:E7"))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IF(ISBLANK(INDIRECT("'"&amp;$A12&amp;"'!B25:G25")), "", INDIRECT("'"&amp;$A12&amp;"'!B25:G25"))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IF(ISBLANK(INDIRECT("'"&amp;$A13&amp;"'!B7:E7")), "", INDIRECT("'"&amp;$A13&amp;"'!B7:E7"))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IF(ISBLANK(INDIRECT("'"&amp;$A13&amp;"'!B25:G25")), "", INDIRECT("'"&amp;$A13&amp;"'!B25:G25"))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IF(ISBLANK(INDIRECT("'"&amp;$A14&amp;"'!B7:E7")), "", INDIRECT("'"&amp;$A14&amp;"'!B7:E7"))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IF(ISBLANK(INDIRECT("'"&amp;$A14&amp;"'!B25:G25")), "", INDIRECT("'"&amp;$A14&amp;"'!B25:G25"))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IF(ISBLANK(INDIRECT("'"&amp;$A15&amp;"'!B7:E7")), "", INDIRECT("'"&amp;$A15&amp;"'!B7:E7"))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IF(ISBLANK(INDIRECT("'"&amp;$A15&amp;"'!B25:G25")), "", INDIRECT("'"&amp;$A15&amp;"'!B25:G25"))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IF(ISBLANK(INDIRECT("'"&amp;$A16&amp;"'!B7:E7")), "", INDIRECT("'"&amp;$A16&amp;"'!B7:E7"))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IF(ISBLANK(INDIRECT("'"&amp;$A16&amp;"'!B25:G25")), "", INDIRECT("'"&amp;$A16&amp;"'!B25:G25"))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4" ht="27" customHeight="1">
      <c r="A17" s="27" t="str">
        <v>East Hartford</v>
      </c>
      <c r="B17" s="32" t="str">
        <v>CT</v>
      </c>
      <c r="C17" s="146" t="str" cm="1">
        <f t="array" aca="1" ref="C17:F17" ca="1">IF(ISBLANK(INDIRECT("'"&amp;$A17&amp;"'!B7:E7")), "", INDIRECT("'"&amp;$A17&amp;"'!B7:E7"))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IF(ISBLANK(INDIRECT("'"&amp;$A17&amp;"'!B25:G25")), "", INDIRECT("'"&amp;$A17&amp;"'!B25:G25"))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  <c r="N17" s="67"/>
    </row>
    <row r="18" spans="1:14" ht="14.45" customHeight="1">
      <c r="A18" s="27" t="str">
        <v>Norwalk Post Road</v>
      </c>
      <c r="B18" s="32" t="str">
        <v>CT</v>
      </c>
      <c r="C18" s="146" t="str" cm="1">
        <f t="array" aca="1" ref="C18:F18" ca="1">IF(ISBLANK(INDIRECT("'"&amp;$A18&amp;"'!B7:E7")), "", INDIRECT("'"&amp;$A18&amp;"'!B7:E7"))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IF(ISBLANK(INDIRECT("'"&amp;$A18&amp;"'!B25:G25")), "", INDIRECT("'"&amp;$A18&amp;"'!B25:G25"))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  <c r="N18" s="67"/>
    </row>
    <row r="19" spans="1:14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IF(ISBLANK(INDIRECT("'"&amp;$A19&amp;"'!B7:E7")), "", INDIRECT("'"&amp;$A19&amp;"'!B7:E7"))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IF(ISBLANK(INDIRECT("'"&amp;$A19&amp;"'!B25:G25")), "", INDIRECT("'"&amp;$A19&amp;"'!B25:G25"))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4" ht="14.45">
      <c r="A20" s="27" t="str">
        <v>HMHQ</v>
      </c>
      <c r="B20" s="32" t="str">
        <v>IA</v>
      </c>
      <c r="C20" s="146" t="str" cm="1">
        <f t="array" aca="1" ref="C20:F20" ca="1">IF(ISBLANK(INDIRECT("'"&amp;$A20&amp;"'!B7:E7")), "", INDIRECT("'"&amp;$A20&amp;"'!B7:E7"))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IF(ISBLANK(INDIRECT("'"&amp;$A20&amp;"'!B25:G25")), "", INDIRECT("'"&amp;$A20&amp;"'!B25:G25"))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4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IF(ISBLANK(INDIRECT("'"&amp;$A21&amp;"'!B7:E7")), "", INDIRECT("'"&amp;$A21&amp;"'!B7:E7"))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IF(ISBLANK(INDIRECT("'"&amp;$A21&amp;"'!B25:G25")), "", INDIRECT("'"&amp;$A21&amp;"'!B25:G25"))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4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IF(ISBLANK(INDIRECT("'"&amp;$A22&amp;"'!B7:E7")), "", INDIRECT("'"&amp;$A22&amp;"'!B7:E7"))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IF(ISBLANK(INDIRECT("'"&amp;$A22&amp;"'!B25:G25")), "", INDIRECT("'"&amp;$A22&amp;"'!B25:G25"))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4" ht="14.45">
      <c r="A23" s="31" t="str">
        <v>CIC</v>
      </c>
      <c r="B23" s="33" t="str">
        <v>NC</v>
      </c>
      <c r="C23" s="146" t="str" cm="1">
        <f t="array" aca="1" ref="C23:F23" ca="1">IF(ISBLANK(INDIRECT("'"&amp;$A23&amp;"'!B7:E7")), "", INDIRECT("'"&amp;$A23&amp;"'!B7:E7"))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IF(ISBLANK(INDIRECT("'"&amp;$A23&amp;"'!B25:G25")), "", INDIRECT("'"&amp;$A23&amp;"'!B25:G25"))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4" ht="14.45">
      <c r="A24" s="31" t="str">
        <v>DUC</v>
      </c>
      <c r="B24" s="33" t="str">
        <v>NC</v>
      </c>
      <c r="C24" s="146" t="str" cm="1">
        <f t="array" aca="1" ref="C24:F24" ca="1">IF(ISBLANK(INDIRECT("'"&amp;$A24&amp;"'!B7:E7")), "", INDIRECT("'"&amp;$A24&amp;"'!B7:E7"))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IF(ISBLANK(INDIRECT("'"&amp;$A24&amp;"'!B25:G25")), "", INDIRECT("'"&amp;$A24&amp;"'!B25:G25"))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4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IF(ISBLANK(INDIRECT("'"&amp;$A25&amp;"'!B7:E7")), "", INDIRECT("'"&amp;$A25&amp;"'!B7:E7"))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IF(ISBLANK(INDIRECT("'"&amp;$A25&amp;"'!B25:G25")), "", INDIRECT("'"&amp;$A25&amp;"'!B25:G25"))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 xml:space="preserve"> </v>
      </c>
    </row>
    <row r="26" spans="1:14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IF(ISBLANK(INDIRECT("'"&amp;$A26&amp;"'!B7:E7")), "", INDIRECT("'"&amp;$A26&amp;"'!B7:E7"))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IF(ISBLANK(INDIRECT("'"&amp;$A26&amp;"'!B25:G25")), "", INDIRECT("'"&amp;$A26&amp;"'!B25:G25"))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4" ht="14.45">
      <c r="A27" s="31" t="str">
        <v>Bordentown</v>
      </c>
      <c r="B27" s="33" t="str">
        <v>NJ</v>
      </c>
      <c r="C27" s="146" t="str" cm="1">
        <f t="array" aca="1" ref="C27:F27" ca="1">IF(ISBLANK(INDIRECT("'"&amp;$A27&amp;"'!B7:E7")), "", INDIRECT("'"&amp;$A27&amp;"'!B7:E7"))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IF(ISBLANK(INDIRECT("'"&amp;$A27&amp;"'!B25:G25")), "", INDIRECT("'"&amp;$A27&amp;"'!B25:G25"))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 xml:space="preserve"> </v>
      </c>
    </row>
    <row r="28" spans="1:14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IF(ISBLANK(INDIRECT("'"&amp;$A28&amp;"'!B7:E7")), "", INDIRECT("'"&amp;$A28&amp;"'!B7:E7"))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IF(ISBLANK(INDIRECT("'"&amp;$A28&amp;"'!B25:G25")), "", INDIRECT("'"&amp;$A28&amp;"'!B25:G25"))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 xml:space="preserve"> </v>
      </c>
    </row>
    <row r="29" spans="1:14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IF(ISBLANK(INDIRECT("'"&amp;$A29&amp;"'!B7:E7")), "", INDIRECT("'"&amp;$A29&amp;"'!B7:E7"))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IF(ISBLANK(INDIRECT("'"&amp;$A29&amp;"'!B25:G25")), "", INDIRECT("'"&amp;$A29&amp;"'!B25:G25"))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4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IF(ISBLANK(INDIRECT("'"&amp;$A30&amp;"'!B7:E7")), "", INDIRECT("'"&amp;$A30&amp;"'!B7:E7"))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IF(ISBLANK(INDIRECT("'"&amp;$A30&amp;"'!B25:G25")), "", INDIRECT("'"&amp;$A30&amp;"'!B25:G25"))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 xml:space="preserve"> </v>
      </c>
    </row>
    <row r="31" spans="1:14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IF(ISBLANK(INDIRECT("'"&amp;$A31&amp;"'!B7:E7")), "", INDIRECT("'"&amp;$A31&amp;"'!B7:E7"))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IF(ISBLANK(INDIRECT("'"&amp;$A31&amp;"'!B25:G25")), "", INDIRECT("'"&amp;$A31&amp;"'!B25:G25"))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 xml:space="preserve"> </v>
      </c>
    </row>
    <row r="32" spans="1:14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IF(ISBLANK(INDIRECT("'"&amp;$A32&amp;"'!B7:E7")), "", INDIRECT("'"&amp;$A32&amp;"'!B7:E7"))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IF(ISBLANK(INDIRECT("'"&amp;$A32&amp;"'!B25:G25")), "", INDIRECT("'"&amp;$A32&amp;"'!B25:G25"))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IF(ISBLANK(INDIRECT("'"&amp;$A33&amp;"'!B7:E7")), "", INDIRECT("'"&amp;$A33&amp;"'!B7:E7"))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IF(ISBLANK(INDIRECT("'"&amp;$A33&amp;"'!B25:G25")), "", INDIRECT("'"&amp;$A33&amp;"'!B25:G25"))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 xml:space="preserve"> </v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IF(ISBLANK(INDIRECT("'"&amp;$A34&amp;"'!B7:E7")), "", INDIRECT("'"&amp;$A34&amp;"'!B7:E7"))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IF(ISBLANK(INDIRECT("'"&amp;$A34&amp;"'!B25:G25")), "", INDIRECT("'"&amp;$A34&amp;"'!B25:G25"))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 xml:space="preserve"> </v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IF(ISBLANK(INDIRECT("'"&amp;$A35&amp;"'!B7:E7")), "", INDIRECT("'"&amp;$A35&amp;"'!B7:E7"))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IF(ISBLANK(INDIRECT("'"&amp;$A35&amp;"'!B25:G25")), "", INDIRECT("'"&amp;$A35&amp;"'!B25:G25"))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 xml:space="preserve"> </v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IF(ISBLANK(INDIRECT("'"&amp;$A36&amp;"'!B7:E7")), "", INDIRECT("'"&amp;$A36&amp;"'!B7:E7"))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IF(ISBLANK(INDIRECT("'"&amp;$A36&amp;"'!B25:G25")), "", INDIRECT("'"&amp;$A36&amp;"'!B25:G25"))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 xml:space="preserve"> </v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IF(ISBLANK(INDIRECT("'"&amp;$A37&amp;"'!B7:E7")), "", INDIRECT("'"&amp;$A37&amp;"'!B7:E7"))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IF(ISBLANK(INDIRECT("'"&amp;$A37&amp;"'!B25:G25")), "", INDIRECT("'"&amp;$A37&amp;"'!B25:G25"))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 xml:space="preserve"> </v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IF(ISBLANK(INDIRECT("'"&amp;$A38&amp;"'!B7:E7")), "", INDIRECT("'"&amp;$A38&amp;"'!B7:E7"))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IF(ISBLANK(INDIRECT("'"&amp;$A38&amp;"'!B25:G25")), "", INDIRECT("'"&amp;$A38&amp;"'!B25:G25"))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 xml:space="preserve"> </v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IF(ISBLANK(INDIRECT("'"&amp;$A39&amp;"'!B7:E7")), "", INDIRECT("'"&amp;$A39&amp;"'!B7:E7"))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IF(ISBLANK(INDIRECT("'"&amp;$A39&amp;"'!B25:G25")), "", INDIRECT("'"&amp;$A39&amp;"'!B25:G25"))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 xml:space="preserve"> </v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IF(ISBLANK(INDIRECT("'"&amp;$A40&amp;"'!B7:E7")), "", INDIRECT("'"&amp;$A40&amp;"'!B7:E7"))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IF(ISBLANK(INDIRECT("'"&amp;$A40&amp;"'!B25:G25")), "", INDIRECT("'"&amp;$A40&amp;"'!B25:G25"))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 xml:space="preserve"> </v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IF(ISBLANK(INDIRECT("'"&amp;$A41&amp;"'!B7:E7")), "", INDIRECT("'"&amp;$A41&amp;"'!B7:E7"))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IF(ISBLANK(INDIRECT("'"&amp;$A41&amp;"'!B25:G25")), "", INDIRECT("'"&amp;$A41&amp;"'!B25:G25"))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 xml:space="preserve"> </v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IF(ISBLANK(INDIRECT("'"&amp;$A42&amp;"'!B7:E7")), "", INDIRECT("'"&amp;$A42&amp;"'!B7:E7"))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IF(ISBLANK(INDIRECT("'"&amp;$A42&amp;"'!B25:G25")), "", INDIRECT("'"&amp;$A42&amp;"'!B25:G25"))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 xml:space="preserve"> </v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IF(ISBLANK(INDIRECT("'"&amp;$A43&amp;"'!B7:E7")), "", INDIRECT("'"&amp;$A43&amp;"'!B7:E7"))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IF(ISBLANK(INDIRECT("'"&amp;$A43&amp;"'!B25:G25")), "", INDIRECT("'"&amp;$A43&amp;"'!B25:G25"))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 xml:space="preserve"> </v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IF(ISBLANK(INDIRECT("'"&amp;$A44&amp;"'!B7:E7")), "", INDIRECT("'"&amp;$A44&amp;"'!B7:E7"))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IF(ISBLANK(INDIRECT("'"&amp;$A44&amp;"'!B25:G25")), "", INDIRECT("'"&amp;$A44&amp;"'!B25:G25"))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 xml:space="preserve"> </v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IF(ISBLANK(INDIRECT("'"&amp;$A45&amp;"'!B7:E7")), "", INDIRECT("'"&amp;$A45&amp;"'!B7:E7"))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IF(ISBLANK(INDIRECT("'"&amp;$A45&amp;"'!B25:G25")), "", INDIRECT("'"&amp;$A45&amp;"'!B25:G25"))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 xml:space="preserve"> </v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IF(ISBLANK(INDIRECT("'"&amp;$A46&amp;"'!B7:E7")), "", INDIRECT("'"&amp;$A46&amp;"'!B7:E7"))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IF(ISBLANK(INDIRECT("'"&amp;$A46&amp;"'!B25:G25")), "", INDIRECT("'"&amp;$A46&amp;"'!B25:G25"))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 xml:space="preserve"> </v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IF(ISBLANK(INDIRECT("'"&amp;$A47&amp;"'!B7:E7")), "", INDIRECT("'"&amp;$A47&amp;"'!B7:E7"))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IF(ISBLANK(INDIRECT("'"&amp;$A47&amp;"'!B25:G25")), "", INDIRECT("'"&amp;$A47&amp;"'!B25:G25"))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 xml:space="preserve"> </v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IF(ISBLANK(INDIRECT("'"&amp;$A48&amp;"'!B7:E7")), "", INDIRECT("'"&amp;$A48&amp;"'!B7:E7"))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IF(ISBLANK(INDIRECT("'"&amp;$A48&amp;"'!B25:G25")), "", INDIRECT("'"&amp;$A48&amp;"'!B25:G25"))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 xml:space="preserve"> </v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IF(ISBLANK(INDIRECT("'"&amp;$A49&amp;"'!B7:E7")), "", INDIRECT("'"&amp;$A49&amp;"'!B7:E7"))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IF(ISBLANK(INDIRECT("'"&amp;$A49&amp;"'!B25:G25")), "", INDIRECT("'"&amp;$A49&amp;"'!B25:G25"))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 xml:space="preserve"> </v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IF(ISBLANK(INDIRECT("'"&amp;$A50&amp;"'!B7:E7")), "", INDIRECT("'"&amp;$A50&amp;"'!B7:E7"))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IF(ISBLANK(INDIRECT("'"&amp;$A50&amp;"'!B25:G25")), "", INDIRECT("'"&amp;$A50&amp;"'!B25:G25"))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 xml:space="preserve"> </v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IF(ISBLANK(INDIRECT("'"&amp;$A51&amp;"'!B7:E7")), "", INDIRECT("'"&amp;$A51&amp;"'!B7:E7"))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IF(ISBLANK(INDIRECT("'"&amp;$A51&amp;"'!B25:G25")), "", INDIRECT("'"&amp;$A51&amp;"'!B25:G25"))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 xml:space="preserve"> </v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IF(ISBLANK(INDIRECT("'"&amp;$A52&amp;"'!B7:E7")), "", INDIRECT("'"&amp;$A52&amp;"'!B7:E7"))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IF(ISBLANK(INDIRECT("'"&amp;$A52&amp;"'!B25:G25")), "", INDIRECT("'"&amp;$A52&amp;"'!B25:G25"))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IF(ISBLANK(INDIRECT("'"&amp;$A53&amp;"'!B7:E7")), "", INDIRECT("'"&amp;$A53&amp;"'!B7:E7"))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IF(ISBLANK(INDIRECT("'"&amp;$A53&amp;"'!B25:G25")), "", INDIRECT("'"&amp;$A53&amp;"'!B25:G25"))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 xml:space="preserve"> </v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IF(ISBLANK(INDIRECT("'"&amp;$A54&amp;"'!B7:E7")), "", INDIRECT("'"&amp;$A54&amp;"'!B7:E7"))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IF(ISBLANK(INDIRECT("'"&amp;$A54&amp;"'!B25:G25")), "", INDIRECT("'"&amp;$A54&amp;"'!B25:G25"))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 xml:space="preserve"> </v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IF(ISBLANK(INDIRECT("'"&amp;$A55&amp;"'!B7:E7")), "", INDIRECT("'"&amp;$A55&amp;"'!B7:E7"))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IF(ISBLANK(INDIRECT("'"&amp;$A55&amp;"'!B25:G25")), "", INDIRECT("'"&amp;$A55&amp;"'!B25:G25"))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4.45">
      <c r="A56" s="31" t="str">
        <v>102 - San Antonio Ops</v>
      </c>
      <c r="B56" s="33" t="str">
        <v>TX</v>
      </c>
      <c r="C56" s="146" t="str" cm="1">
        <f t="array" aca="1" ref="C56:F56" ca="1">IF(ISBLANK(INDIRECT("'"&amp;$A56&amp;"'!B7:E7")), "", INDIRECT("'"&amp;$A56&amp;"'!B7:E7"))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IF(ISBLANK(INDIRECT("'"&amp;$A56&amp;"'!B25:G25")), "", INDIRECT("'"&amp;$A56&amp;"'!B25:G25"))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4.45">
      <c r="A57" s="31" t="str">
        <v>104 - San Antonio Ops</v>
      </c>
      <c r="B57" s="33" t="str">
        <v>TX</v>
      </c>
      <c r="C57" s="146" t="str" cm="1">
        <f t="array" aca="1" ref="C57:F57" ca="1">IF(ISBLANK(INDIRECT("'"&amp;$A57&amp;"'!B7:E7")), "", INDIRECT("'"&amp;$A57&amp;"'!B7:E7"))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IF(ISBLANK(INDIRECT("'"&amp;$A57&amp;"'!B25:G25")), "", INDIRECT("'"&amp;$A57&amp;"'!B25:G25"))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IF(ISBLANK(INDIRECT("'"&amp;$A58&amp;"'!B7:E7")), "", INDIRECT("'"&amp;$A58&amp;"'!B7:E7"))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IF(ISBLANK(INDIRECT("'"&amp;$A58&amp;"'!B25:G25")), "", INDIRECT("'"&amp;$A58&amp;"'!B25:G25"))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IF(ISBLANK(INDIRECT("'"&amp;$A59&amp;"'!B7:E7")), "", INDIRECT("'"&amp;$A59&amp;"'!B7:E7"))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IF(ISBLANK(INDIRECT("'"&amp;$A59&amp;"'!B25:G25")), "", INDIRECT("'"&amp;$A59&amp;"'!B25:G25"))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IF(ISBLANK(INDIRECT("'"&amp;$A60&amp;"'!B7:E7")), "", INDIRECT("'"&amp;$A60&amp;"'!B7:E7"))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IF(ISBLANK(INDIRECT("'"&amp;$A60&amp;"'!B25:G25")), "", INDIRECT("'"&amp;$A60&amp;"'!B25:G25"))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IF(ISBLANK(INDIRECT("'"&amp;$A61&amp;"'!B7:E7")), "", INDIRECT("'"&amp;$A61&amp;"'!B7:E7"))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IF(ISBLANK(INDIRECT("'"&amp;$A61&amp;"'!B25:G25")), "", INDIRECT("'"&amp;$A61&amp;"'!B25:G25"))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IF(ISBLANK(INDIRECT("'"&amp;$A62&amp;"'!B7:E7")), "", INDIRECT("'"&amp;$A62&amp;"'!B7:E7"))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IF(ISBLANK(INDIRECT("'"&amp;$A62&amp;"'!B25:G25")), "", INDIRECT("'"&amp;$A62&amp;"'!B25:G25"))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IF(ISBLANK(INDIRECT("'"&amp;$A63&amp;"'!B7:E7")), "", INDIRECT("'"&amp;$A63&amp;"'!B7:E7"))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IF(ISBLANK(INDIRECT("'"&amp;$A63&amp;"'!B25:G25")), "", INDIRECT("'"&amp;$A63&amp;"'!B25:G25"))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4.45">
      <c r="A64" s="31" t="str">
        <v>GM - San Antonio Ops</v>
      </c>
      <c r="B64" s="33" t="str">
        <v>TX</v>
      </c>
      <c r="C64" s="146" t="str" cm="1">
        <f t="array" aca="1" ref="C64:F64" ca="1">IF(ISBLANK(INDIRECT("'"&amp;$A64&amp;"'!B7:E7")), "", INDIRECT("'"&amp;$A64&amp;"'!B7:E7"))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IF(ISBLANK(INDIRECT("'"&amp;$A64&amp;"'!B25:G25")), "", INDIRECT("'"&amp;$A64&amp;"'!B25:G25"))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6" t="str">
        <f ca="1"/>
        <v/>
      </c>
    </row>
    <row r="65" spans="1:12" ht="14.45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t="shared" ref="F65" ca="1" si="0">IFERROR(E65/D65, "-")</f>
        <v>-</v>
      </c>
      <c r="G65" s="158"/>
      <c r="H65" s="156">
        <f t="shared" ref="H65" ca="1" si="1">C65</f>
        <v>0</v>
      </c>
      <c r="I65" s="156">
        <f ca="1">SUM(I3:I64)</f>
        <v>0</v>
      </c>
      <c r="J65" s="159">
        <f ca="1">H65-I65</f>
        <v>0</v>
      </c>
      <c r="K65" s="157" t="str">
        <f t="shared" ref="K65" ca="1" si="2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58" priority="3" operator="equal">
      <formula>"-"</formula>
    </cfRule>
  </conditionalFormatting>
  <conditionalFormatting sqref="F3:F65 K3:K65">
    <cfRule type="cellIs" dxfId="57" priority="4" operator="lessThanOrEqual">
      <formula>-0.1</formula>
    </cfRule>
    <cfRule type="cellIs" dxfId="56" priority="5" operator="greaterThanOrEqual">
      <formula>0.1</formula>
    </cfRule>
  </conditionalFormatting>
  <conditionalFormatting sqref="F65 K65">
    <cfRule type="cellIs" dxfId="55" priority="1" operator="equal">
      <formula>"-"</formula>
    </cfRule>
  </conditionalFormatting>
  <conditionalFormatting sqref="K3:K64">
    <cfRule type="cellIs" dxfId="54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65"/>
  <sheetViews>
    <sheetView topLeftCell="B1" workbookViewId="0">
      <pane ySplit="2" topLeftCell="A3" activePane="bottomLeft" state="frozen"/>
      <selection pane="bottomLeft" activeCell="K73" sqref="K73"/>
      <selection activeCell="K73" sqref="K7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52.85546875" customWidth="1"/>
    <col min="13" max="13" width="12" bestFit="1" customWidth="1"/>
  </cols>
  <sheetData>
    <row r="1" spans="1:13" ht="19.5" customHeight="1">
      <c r="A1" s="244" t="s">
        <v>0</v>
      </c>
      <c r="B1" s="245"/>
      <c r="C1" s="238" t="s">
        <v>27</v>
      </c>
      <c r="D1" s="239"/>
      <c r="E1" s="239"/>
      <c r="F1" s="240"/>
      <c r="G1" s="45"/>
      <c r="H1" s="241" t="s">
        <v>28</v>
      </c>
      <c r="I1" s="242"/>
      <c r="J1" s="242"/>
      <c r="K1" s="243"/>
      <c r="L1" s="246" t="s">
        <v>22</v>
      </c>
      <c r="M1" s="228" t="s">
        <v>23</v>
      </c>
    </row>
    <row r="2" spans="1:13" ht="15.75" customHeight="1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IF(ISBLANK(INDIRECT("'"&amp;$A3&amp;"'!B8:E8")), "", INDIRECT("'"&amp;$A3&amp;"'!B8:E8"))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IF(ISBLANK(INDIRECT("'"&amp;$A3&amp;"'!B26:G26")), "", INDIRECT("'"&amp;$A3&amp;"'!B26:G26"))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IF(ISBLANK(INDIRECT("'"&amp;$A4&amp;"'!B8:E8")), "", INDIRECT("'"&amp;$A4&amp;"'!B8:E8"))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IF(ISBLANK(INDIRECT("'"&amp;$A4&amp;"'!B26:G26")), "", INDIRECT("'"&amp;$A4&amp;"'!B26:G26"))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IF(ISBLANK(INDIRECT("'"&amp;$A5&amp;"'!B8:E8")), "", INDIRECT("'"&amp;$A5&amp;"'!B8:E8"))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IF(ISBLANK(INDIRECT("'"&amp;$A5&amp;"'!B26:G26")), "", INDIRECT("'"&amp;$A5&amp;"'!B26:G26"))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IF(ISBLANK(INDIRECT("'"&amp;$A6&amp;"'!B8:E8")), "", INDIRECT("'"&amp;$A6&amp;"'!B8:E8"))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IF(ISBLANK(INDIRECT("'"&amp;$A6&amp;"'!B26:G26")), "", INDIRECT("'"&amp;$A6&amp;"'!B26:G26"))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IF(ISBLANK(INDIRECT("'"&amp;$A7&amp;"'!B8:E8")), "", INDIRECT("'"&amp;$A7&amp;"'!B8:E8"))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IF(ISBLANK(INDIRECT("'"&amp;$A7&amp;"'!B26:G26")), "", INDIRECT("'"&amp;$A7&amp;"'!B26:G26"))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IF(ISBLANK(INDIRECT("'"&amp;$A8&amp;"'!B8:E8")), "", INDIRECT("'"&amp;$A8&amp;"'!B8:E8"))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IF(ISBLANK(INDIRECT("'"&amp;$A8&amp;"'!B26:G26")), "", INDIRECT("'"&amp;$A8&amp;"'!B26:G26"))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IF(ISBLANK(INDIRECT("'"&amp;$A9&amp;"'!B8:E8")), "", INDIRECT("'"&amp;$A9&amp;"'!B8:E8"))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IF(ISBLANK(INDIRECT("'"&amp;$A9&amp;"'!B26:G26")), "", INDIRECT("'"&amp;$A9&amp;"'!B26:G26"))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IF(ISBLANK(INDIRECT("'"&amp;$A10&amp;"'!B8:E8")), "", INDIRECT("'"&amp;$A10&amp;"'!B8:E8"))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IF(ISBLANK(INDIRECT("'"&amp;$A10&amp;"'!B26:G26")), "", INDIRECT("'"&amp;$A10&amp;"'!B26:G26"))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IF(ISBLANK(INDIRECT("'"&amp;$A11&amp;"'!B8:E8")), "", INDIRECT("'"&amp;$A11&amp;"'!B8:E8"))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IF(ISBLANK(INDIRECT("'"&amp;$A11&amp;"'!B26:G26")), "", INDIRECT("'"&amp;$A11&amp;"'!B26:G26"))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IF(ISBLANK(INDIRECT("'"&amp;$A12&amp;"'!B8:E8")), "", INDIRECT("'"&amp;$A12&amp;"'!B8:E8"))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IF(ISBLANK(INDIRECT("'"&amp;$A12&amp;"'!B26:G26")), "", INDIRECT("'"&amp;$A12&amp;"'!B26:G26"))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IF(ISBLANK(INDIRECT("'"&amp;$A13&amp;"'!B8:E8")), "", INDIRECT("'"&amp;$A13&amp;"'!B8:E8"))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IF(ISBLANK(INDIRECT("'"&amp;$A13&amp;"'!B26:G26")), "", INDIRECT("'"&amp;$A13&amp;"'!B26:G26"))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IF(ISBLANK(INDIRECT("'"&amp;$A14&amp;"'!B8:E8")), "", INDIRECT("'"&amp;$A14&amp;"'!B8:E8"))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IF(ISBLANK(INDIRECT("'"&amp;$A14&amp;"'!B26:G26")), "", INDIRECT("'"&amp;$A14&amp;"'!B26:G26"))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IF(ISBLANK(INDIRECT("'"&amp;$A15&amp;"'!B8:E8")), "", INDIRECT("'"&amp;$A15&amp;"'!B8:E8"))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IF(ISBLANK(INDIRECT("'"&amp;$A15&amp;"'!B26:G26")), "", INDIRECT("'"&amp;$A15&amp;"'!B26:G26"))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IF(ISBLANK(INDIRECT("'"&amp;$A16&amp;"'!B8:E8")), "", INDIRECT("'"&amp;$A16&amp;"'!B8:E8"))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IF(ISBLANK(INDIRECT("'"&amp;$A16&amp;"'!B26:G26")), "", INDIRECT("'"&amp;$A16&amp;"'!B26:G26"))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IF(ISBLANK(INDIRECT("'"&amp;$A17&amp;"'!B8:E8")), "", INDIRECT("'"&amp;$A17&amp;"'!B8:E8"))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IF(ISBLANK(INDIRECT("'"&amp;$A17&amp;"'!B26:G26")), "", INDIRECT("'"&amp;$A17&amp;"'!B26:G26"))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IF(ISBLANK(INDIRECT("'"&amp;$A18&amp;"'!B8:E8")), "", INDIRECT("'"&amp;$A18&amp;"'!B8:E8"))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IF(ISBLANK(INDIRECT("'"&amp;$A18&amp;"'!B26:G26")), "", INDIRECT("'"&amp;$A18&amp;"'!B26:G26"))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IF(ISBLANK(INDIRECT("'"&amp;$A19&amp;"'!B8:E8")), "", INDIRECT("'"&amp;$A19&amp;"'!B8:E8"))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IF(ISBLANK(INDIRECT("'"&amp;$A19&amp;"'!B26:G26")), "", INDIRECT("'"&amp;$A19&amp;"'!B26:G26"))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IF(ISBLANK(INDIRECT("'"&amp;$A20&amp;"'!B8:E8")), "", INDIRECT("'"&amp;$A20&amp;"'!B8:E8"))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IF(ISBLANK(INDIRECT("'"&amp;$A20&amp;"'!B26:G26")), "", INDIRECT("'"&amp;$A20&amp;"'!B26:G26"))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IF(ISBLANK(INDIRECT("'"&amp;$A21&amp;"'!B8:E8")), "", INDIRECT("'"&amp;$A21&amp;"'!B8:E8"))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IF(ISBLANK(INDIRECT("'"&amp;$A21&amp;"'!B26:G26")), "", INDIRECT("'"&amp;$A21&amp;"'!B26:G26"))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IF(ISBLANK(INDIRECT("'"&amp;$A22&amp;"'!B8:E8")), "", INDIRECT("'"&amp;$A22&amp;"'!B8:E8"))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IF(ISBLANK(INDIRECT("'"&amp;$A22&amp;"'!B26:G26")), "", INDIRECT("'"&amp;$A22&amp;"'!B26:G26"))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IF(ISBLANK(INDIRECT("'"&amp;$A23&amp;"'!B8:E8")), "", INDIRECT("'"&amp;$A23&amp;"'!B8:E8"))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IF(ISBLANK(INDIRECT("'"&amp;$A23&amp;"'!B26:G26")), "", INDIRECT("'"&amp;$A23&amp;"'!B26:G26"))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IF(ISBLANK(INDIRECT("'"&amp;$A24&amp;"'!B8:E8")), "", INDIRECT("'"&amp;$A24&amp;"'!B8:E8"))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IF(ISBLANK(INDIRECT("'"&amp;$A24&amp;"'!B26:G26")), "", INDIRECT("'"&amp;$A24&amp;"'!B26:G26"))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IF(ISBLANK(INDIRECT("'"&amp;$A25&amp;"'!B8:E8")), "", INDIRECT("'"&amp;$A25&amp;"'!B8:E8"))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IF(ISBLANK(INDIRECT("'"&amp;$A25&amp;"'!B26:G26")), "", INDIRECT("'"&amp;$A25&amp;"'!B26:G26"))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 xml:space="preserve"> </v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IF(ISBLANK(INDIRECT("'"&amp;$A26&amp;"'!B8:E8")), "", INDIRECT("'"&amp;$A26&amp;"'!B8:E8"))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IF(ISBLANK(INDIRECT("'"&amp;$A26&amp;"'!B26:G26")), "", INDIRECT("'"&amp;$A26&amp;"'!B26:G26"))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IF(ISBLANK(INDIRECT("'"&amp;$A27&amp;"'!B8:E8")), "", INDIRECT("'"&amp;$A27&amp;"'!B8:E8"))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IF(ISBLANK(INDIRECT("'"&amp;$A27&amp;"'!B26:G26")), "", INDIRECT("'"&amp;$A27&amp;"'!B26:G26"))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IF(ISBLANK(INDIRECT("'"&amp;$A28&amp;"'!B8:E8")), "", INDIRECT("'"&amp;$A28&amp;"'!B8:E8"))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IF(ISBLANK(INDIRECT("'"&amp;$A28&amp;"'!B26:G26")), "", INDIRECT("'"&amp;$A28&amp;"'!B26:G26"))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IF(ISBLANK(INDIRECT("'"&amp;$A29&amp;"'!B8:E8")), "", INDIRECT("'"&amp;$A29&amp;"'!B8:E8"))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IF(ISBLANK(INDIRECT("'"&amp;$A29&amp;"'!B26:G26")), "", INDIRECT("'"&amp;$A29&amp;"'!B26:G26"))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IF(ISBLANK(INDIRECT("'"&amp;$A30&amp;"'!B8:E8")), "", INDIRECT("'"&amp;$A30&amp;"'!B8:E8"))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IF(ISBLANK(INDIRECT("'"&amp;$A30&amp;"'!B26:G26")), "", INDIRECT("'"&amp;$A30&amp;"'!B26:G26"))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IF(ISBLANK(INDIRECT("'"&amp;$A31&amp;"'!B8:E8")), "", INDIRECT("'"&amp;$A31&amp;"'!B8:E8"))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IF(ISBLANK(INDIRECT("'"&amp;$A31&amp;"'!B26:G26")), "", INDIRECT("'"&amp;$A31&amp;"'!B26:G26"))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IF(ISBLANK(INDIRECT("'"&amp;$A32&amp;"'!B8:E8")), "", INDIRECT("'"&amp;$A32&amp;"'!B8:E8"))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IF(ISBLANK(INDIRECT("'"&amp;$A32&amp;"'!B26:G26")), "", INDIRECT("'"&amp;$A32&amp;"'!B26:G26"))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IF(ISBLANK(INDIRECT("'"&amp;$A33&amp;"'!B8:E8")), "", INDIRECT("'"&amp;$A33&amp;"'!B8:E8"))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IF(ISBLANK(INDIRECT("'"&amp;$A33&amp;"'!B26:G26")), "", INDIRECT("'"&amp;$A33&amp;"'!B26:G26"))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IF(ISBLANK(INDIRECT("'"&amp;$A34&amp;"'!B8:E8")), "", INDIRECT("'"&amp;$A34&amp;"'!B8:E8"))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IF(ISBLANK(INDIRECT("'"&amp;$A34&amp;"'!B26:G26")), "", INDIRECT("'"&amp;$A34&amp;"'!B26:G26"))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IF(ISBLANK(INDIRECT("'"&amp;$A35&amp;"'!B8:E8")), "", INDIRECT("'"&amp;$A35&amp;"'!B8:E8"))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IF(ISBLANK(INDIRECT("'"&amp;$A35&amp;"'!B26:G26")), "", INDIRECT("'"&amp;$A35&amp;"'!B26:G26"))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IF(ISBLANK(INDIRECT("'"&amp;$A36&amp;"'!B8:E8")), "", INDIRECT("'"&amp;$A36&amp;"'!B8:E8"))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IF(ISBLANK(INDIRECT("'"&amp;$A36&amp;"'!B26:G26")), "", INDIRECT("'"&amp;$A36&amp;"'!B26:G26"))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IF(ISBLANK(INDIRECT("'"&amp;$A37&amp;"'!B8:E8")), "", INDIRECT("'"&amp;$A37&amp;"'!B8:E8"))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IF(ISBLANK(INDIRECT("'"&amp;$A37&amp;"'!B26:G26")), "", INDIRECT("'"&amp;$A37&amp;"'!B26:G26"))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IF(ISBLANK(INDIRECT("'"&amp;$A38&amp;"'!B8:E8")), "", INDIRECT("'"&amp;$A38&amp;"'!B8:E8"))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IF(ISBLANK(INDIRECT("'"&amp;$A38&amp;"'!B26:G26")), "", INDIRECT("'"&amp;$A38&amp;"'!B26:G26"))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IF(ISBLANK(INDIRECT("'"&amp;$A39&amp;"'!B8:E8")), "", INDIRECT("'"&amp;$A39&amp;"'!B8:E8"))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IF(ISBLANK(INDIRECT("'"&amp;$A39&amp;"'!B26:G26")), "", INDIRECT("'"&amp;$A39&amp;"'!B26:G26"))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IF(ISBLANK(INDIRECT("'"&amp;$A40&amp;"'!B8:E8")), "", INDIRECT("'"&amp;$A40&amp;"'!B8:E8"))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IF(ISBLANK(INDIRECT("'"&amp;$A40&amp;"'!B26:G26")), "", INDIRECT("'"&amp;$A40&amp;"'!B26:G26"))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IF(ISBLANK(INDIRECT("'"&amp;$A41&amp;"'!B8:E8")), "", INDIRECT("'"&amp;$A41&amp;"'!B8:E8"))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IF(ISBLANK(INDIRECT("'"&amp;$A41&amp;"'!B26:G26")), "", INDIRECT("'"&amp;$A41&amp;"'!B26:G26"))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IF(ISBLANK(INDIRECT("'"&amp;$A42&amp;"'!B8:E8")), "", INDIRECT("'"&amp;$A42&amp;"'!B8:E8"))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IF(ISBLANK(INDIRECT("'"&amp;$A42&amp;"'!B26:G26")), "", INDIRECT("'"&amp;$A42&amp;"'!B26:G26"))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IF(ISBLANK(INDIRECT("'"&amp;$A43&amp;"'!B8:E8")), "", INDIRECT("'"&amp;$A43&amp;"'!B8:E8"))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IF(ISBLANK(INDIRECT("'"&amp;$A43&amp;"'!B26:G26")), "", INDIRECT("'"&amp;$A43&amp;"'!B26:G26"))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IF(ISBLANK(INDIRECT("'"&amp;$A44&amp;"'!B8:E8")), "", INDIRECT("'"&amp;$A44&amp;"'!B8:E8"))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IF(ISBLANK(INDIRECT("'"&amp;$A44&amp;"'!B26:G26")), "", INDIRECT("'"&amp;$A44&amp;"'!B26:G26"))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IF(ISBLANK(INDIRECT("'"&amp;$A45&amp;"'!B8:E8")), "", INDIRECT("'"&amp;$A45&amp;"'!B8:E8"))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IF(ISBLANK(INDIRECT("'"&amp;$A45&amp;"'!B26:G26")), "", INDIRECT("'"&amp;$A45&amp;"'!B26:G26"))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IF(ISBLANK(INDIRECT("'"&amp;$A46&amp;"'!B8:E8")), "", INDIRECT("'"&amp;$A46&amp;"'!B8:E8"))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IF(ISBLANK(INDIRECT("'"&amp;$A46&amp;"'!B26:G26")), "", INDIRECT("'"&amp;$A46&amp;"'!B26:G26"))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IF(ISBLANK(INDIRECT("'"&amp;$A47&amp;"'!B8:E8")), "", INDIRECT("'"&amp;$A47&amp;"'!B8:E8"))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IF(ISBLANK(INDIRECT("'"&amp;$A47&amp;"'!B26:G26")), "", INDIRECT("'"&amp;$A47&amp;"'!B26:G26"))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IF(ISBLANK(INDIRECT("'"&amp;$A48&amp;"'!B8:E8")), "", INDIRECT("'"&amp;$A48&amp;"'!B8:E8"))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IF(ISBLANK(INDIRECT("'"&amp;$A48&amp;"'!B26:G26")), "", INDIRECT("'"&amp;$A48&amp;"'!B26:G26"))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IF(ISBLANK(INDIRECT("'"&amp;$A49&amp;"'!B8:E8")), "", INDIRECT("'"&amp;$A49&amp;"'!B8:E8"))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IF(ISBLANK(INDIRECT("'"&amp;$A49&amp;"'!B26:G26")), "", INDIRECT("'"&amp;$A49&amp;"'!B26:G26"))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IF(ISBLANK(INDIRECT("'"&amp;$A50&amp;"'!B8:E8")), "", INDIRECT("'"&amp;$A50&amp;"'!B8:E8"))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IF(ISBLANK(INDIRECT("'"&amp;$A50&amp;"'!B26:G26")), "", INDIRECT("'"&amp;$A50&amp;"'!B26:G26"))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IF(ISBLANK(INDIRECT("'"&amp;$A51&amp;"'!B8:E8")), "", INDIRECT("'"&amp;$A51&amp;"'!B8:E8"))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IF(ISBLANK(INDIRECT("'"&amp;$A51&amp;"'!B26:G26")), "", INDIRECT("'"&amp;$A51&amp;"'!B26:G26"))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IF(ISBLANK(INDIRECT("'"&amp;$A52&amp;"'!B8:E8")), "", INDIRECT("'"&amp;$A52&amp;"'!B8:E8"))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IF(ISBLANK(INDIRECT("'"&amp;$A52&amp;"'!B26:G26")), "", INDIRECT("'"&amp;$A52&amp;"'!B26:G26"))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IF(ISBLANK(INDIRECT("'"&amp;$A53&amp;"'!B8:E8")), "", INDIRECT("'"&amp;$A53&amp;"'!B8:E8"))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IF(ISBLANK(INDIRECT("'"&amp;$A53&amp;"'!B26:G26")), "", INDIRECT("'"&amp;$A53&amp;"'!B26:G26"))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IF(ISBLANK(INDIRECT("'"&amp;$A54&amp;"'!B8:E8")), "", INDIRECT("'"&amp;$A54&amp;"'!B8:E8"))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IF(ISBLANK(INDIRECT("'"&amp;$A54&amp;"'!B26:G26")), "", INDIRECT("'"&amp;$A54&amp;"'!B26:G26"))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IF(ISBLANK(INDIRECT("'"&amp;$A55&amp;"'!B8:E8")), "", INDIRECT("'"&amp;$A55&amp;"'!B8:E8"))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IF(ISBLANK(INDIRECT("'"&amp;$A55&amp;"'!B26:G26")), "", INDIRECT("'"&amp;$A55&amp;"'!B26:G26"))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4.45">
      <c r="A56" s="31" t="str">
        <v>102 - San Antonio Ops</v>
      </c>
      <c r="B56" s="33" t="str">
        <v>TX</v>
      </c>
      <c r="C56" s="146" t="str" cm="1">
        <f t="array" aca="1" ref="C56:F56" ca="1">IF(ISBLANK(INDIRECT("'"&amp;$A56&amp;"'!B8:E8")), "", INDIRECT("'"&amp;$A56&amp;"'!B8:E8"))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IF(ISBLANK(INDIRECT("'"&amp;$A56&amp;"'!B26:G26")), "", INDIRECT("'"&amp;$A56&amp;"'!B26:G26"))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4.45">
      <c r="A57" s="31" t="str">
        <v>104 - San Antonio Ops</v>
      </c>
      <c r="B57" s="33" t="str">
        <v>TX</v>
      </c>
      <c r="C57" s="146" t="str" cm="1">
        <f t="array" aca="1" ref="C57:F57" ca="1">IF(ISBLANK(INDIRECT("'"&amp;$A57&amp;"'!B8:E8")), "", INDIRECT("'"&amp;$A57&amp;"'!B8:E8"))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IF(ISBLANK(INDIRECT("'"&amp;$A57&amp;"'!B26:G26")), "", INDIRECT("'"&amp;$A57&amp;"'!B26:G26"))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IF(ISBLANK(INDIRECT("'"&amp;$A58&amp;"'!B8:E8")), "", INDIRECT("'"&amp;$A58&amp;"'!B8:E8"))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IF(ISBLANK(INDIRECT("'"&amp;$A58&amp;"'!B26:G26")), "", INDIRECT("'"&amp;$A58&amp;"'!B26:G26"))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IF(ISBLANK(INDIRECT("'"&amp;$A59&amp;"'!B8:E8")), "", INDIRECT("'"&amp;$A59&amp;"'!B8:E8"))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IF(ISBLANK(INDIRECT("'"&amp;$A59&amp;"'!B26:G26")), "", INDIRECT("'"&amp;$A59&amp;"'!B26:G26"))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IF(ISBLANK(INDIRECT("'"&amp;$A60&amp;"'!B8:E8")), "", INDIRECT("'"&amp;$A60&amp;"'!B8:E8"))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IF(ISBLANK(INDIRECT("'"&amp;$A60&amp;"'!B26:G26")), "", INDIRECT("'"&amp;$A60&amp;"'!B26:G26"))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IF(ISBLANK(INDIRECT("'"&amp;$A61&amp;"'!B8:E8")), "", INDIRECT("'"&amp;$A61&amp;"'!B8:E8"))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IF(ISBLANK(INDIRECT("'"&amp;$A61&amp;"'!B26:G26")), "", INDIRECT("'"&amp;$A61&amp;"'!B26:G26"))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IF(ISBLANK(INDIRECT("'"&amp;$A62&amp;"'!B8:E8")), "", INDIRECT("'"&amp;$A62&amp;"'!B8:E8"))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IF(ISBLANK(INDIRECT("'"&amp;$A62&amp;"'!B26:G26")), "", INDIRECT("'"&amp;$A62&amp;"'!B26:G26"))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IF(ISBLANK(INDIRECT("'"&amp;$A63&amp;"'!B8:E8")), "", INDIRECT("'"&amp;$A63&amp;"'!B8:E8"))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IF(ISBLANK(INDIRECT("'"&amp;$A63&amp;"'!B26:G26")), "", INDIRECT("'"&amp;$A63&amp;"'!B26:G26"))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IF(ISBLANK(INDIRECT("'"&amp;$A64&amp;"'!B8:E8")), "", INDIRECT("'"&amp;$A64&amp;"'!B8:E8"))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IF(ISBLANK(INDIRECT("'"&amp;$A64&amp;"'!B26:G26")), "", INDIRECT("'"&amp;$A64&amp;"'!B26:G26"))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6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62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53" priority="3" operator="equal">
      <formula>"-"</formula>
    </cfRule>
  </conditionalFormatting>
  <conditionalFormatting sqref="F3:F65 K3:K65">
    <cfRule type="cellIs" dxfId="52" priority="4" operator="lessThanOrEqual">
      <formula>-0.1</formula>
    </cfRule>
    <cfRule type="cellIs" dxfId="51" priority="5" operator="greaterThanOrEqual">
      <formula>0.1</formula>
    </cfRule>
  </conditionalFormatting>
  <conditionalFormatting sqref="F65 K65">
    <cfRule type="cellIs" dxfId="50" priority="1" operator="equal">
      <formula>"-"</formula>
    </cfRule>
  </conditionalFormatting>
  <conditionalFormatting sqref="K3:K64">
    <cfRule type="cellIs" dxfId="49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65"/>
  <sheetViews>
    <sheetView topLeftCell="C1" workbookViewId="0">
      <pane ySplit="2" topLeftCell="A53" activePane="bottomLeft" state="frozen"/>
      <selection pane="bottomLeft" activeCell="K73" sqref="K73"/>
      <selection activeCell="K73" sqref="K7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58" customWidth="1"/>
    <col min="13" max="13" width="25.140625" customWidth="1"/>
  </cols>
  <sheetData>
    <row r="1" spans="1:13" ht="19.5" customHeight="1">
      <c r="A1" s="244" t="s">
        <v>0</v>
      </c>
      <c r="B1" s="245"/>
      <c r="C1" s="238" t="s">
        <v>29</v>
      </c>
      <c r="D1" s="239"/>
      <c r="E1" s="239"/>
      <c r="F1" s="240"/>
      <c r="G1" s="45"/>
      <c r="H1" s="241" t="s">
        <v>30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IF(ISBLANK(INDIRECT("'"&amp;$A3&amp;"'!B9:E9")), "", INDIRECT("'"&amp;$A3&amp;"'!B9:E9"))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IF(ISBLANK(INDIRECT("'"&amp;$A3&amp;"'!B27:G27")), "", INDIRECT("'"&amp;$A3&amp;"'!B27:G27"))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IF(ISBLANK(INDIRECT("'"&amp;$A4&amp;"'!B9:E9")), "", INDIRECT("'"&amp;$A4&amp;"'!B9:E9"))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IF(ISBLANK(INDIRECT("'"&amp;$A4&amp;"'!B27:G27")), "", INDIRECT("'"&amp;$A4&amp;"'!B27:G27"))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IF(ISBLANK(INDIRECT("'"&amp;$A5&amp;"'!B9:E9")), "", INDIRECT("'"&amp;$A5&amp;"'!B9:E9"))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IF(ISBLANK(INDIRECT("'"&amp;$A5&amp;"'!B27:G27")), "", INDIRECT("'"&amp;$A5&amp;"'!B27:G27"))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IF(ISBLANK(INDIRECT("'"&amp;$A6&amp;"'!B9:E9")), "", INDIRECT("'"&amp;$A6&amp;"'!B9:E9"))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IF(ISBLANK(INDIRECT("'"&amp;$A6&amp;"'!B27:G27")), "", INDIRECT("'"&amp;$A6&amp;"'!B27:G27"))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IF(ISBLANK(INDIRECT("'"&amp;$A7&amp;"'!B9:E9")), "", INDIRECT("'"&amp;$A7&amp;"'!B9:E9"))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IF(ISBLANK(INDIRECT("'"&amp;$A7&amp;"'!B27:G27")), "", INDIRECT("'"&amp;$A7&amp;"'!B27:G27"))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IF(ISBLANK(INDIRECT("'"&amp;$A8&amp;"'!B9:E9")), "", INDIRECT("'"&amp;$A8&amp;"'!B9:E9"))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IF(ISBLANK(INDIRECT("'"&amp;$A8&amp;"'!B27:G27")), "", INDIRECT("'"&amp;$A8&amp;"'!B27:G27"))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IF(ISBLANK(INDIRECT("'"&amp;$A9&amp;"'!B9:E9")), "", INDIRECT("'"&amp;$A9&amp;"'!B9:E9"))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IF(ISBLANK(INDIRECT("'"&amp;$A9&amp;"'!B27:G27")), "", INDIRECT("'"&amp;$A9&amp;"'!B27:G27"))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IF(ISBLANK(INDIRECT("'"&amp;$A10&amp;"'!B9:E9")), "", INDIRECT("'"&amp;$A10&amp;"'!B9:E9"))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IF(ISBLANK(INDIRECT("'"&amp;$A10&amp;"'!B27:G27")), "", INDIRECT("'"&amp;$A10&amp;"'!B27:G27"))</f>
        <v>0</v>
      </c>
      <c r="I10" s="161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IF(ISBLANK(INDIRECT("'"&amp;$A11&amp;"'!B9:E9")), "", INDIRECT("'"&amp;$A11&amp;"'!B9:E9"))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IF(ISBLANK(INDIRECT("'"&amp;$A11&amp;"'!B27:G27")), "", INDIRECT("'"&amp;$A11&amp;"'!B27:G27"))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IF(ISBLANK(INDIRECT("'"&amp;$A12&amp;"'!B9:E9")), "", INDIRECT("'"&amp;$A12&amp;"'!B9:E9"))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IF(ISBLANK(INDIRECT("'"&amp;$A12&amp;"'!B27:G27")), "", INDIRECT("'"&amp;$A12&amp;"'!B27:G27"))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IF(ISBLANK(INDIRECT("'"&amp;$A13&amp;"'!B9:E9")), "", INDIRECT("'"&amp;$A13&amp;"'!B9:E9"))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IF(ISBLANK(INDIRECT("'"&amp;$A13&amp;"'!B27:G27")), "", INDIRECT("'"&amp;$A13&amp;"'!B27:G27"))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IF(ISBLANK(INDIRECT("'"&amp;$A14&amp;"'!B9:E9")), "", INDIRECT("'"&amp;$A14&amp;"'!B9:E9"))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IF(ISBLANK(INDIRECT("'"&amp;$A14&amp;"'!B27:G27")), "", INDIRECT("'"&amp;$A14&amp;"'!B27:G27"))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IF(ISBLANK(INDIRECT("'"&amp;$A15&amp;"'!B9:E9")), "", INDIRECT("'"&amp;$A15&amp;"'!B9:E9"))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IF(ISBLANK(INDIRECT("'"&amp;$A15&amp;"'!B27:G27")), "", INDIRECT("'"&amp;$A15&amp;"'!B27:G27"))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IF(ISBLANK(INDIRECT("'"&amp;$A16&amp;"'!B9:E9")), "", INDIRECT("'"&amp;$A16&amp;"'!B9:E9"))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IF(ISBLANK(INDIRECT("'"&amp;$A16&amp;"'!B27:G27")), "", INDIRECT("'"&amp;$A16&amp;"'!B27:G27"))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IF(ISBLANK(INDIRECT("'"&amp;$A17&amp;"'!B9:E9")), "", INDIRECT("'"&amp;$A17&amp;"'!B9:E9"))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IF(ISBLANK(INDIRECT("'"&amp;$A17&amp;"'!B27:G27")), "", INDIRECT("'"&amp;$A17&amp;"'!B27:G27"))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IF(ISBLANK(INDIRECT("'"&amp;$A18&amp;"'!B9:E9")), "", INDIRECT("'"&amp;$A18&amp;"'!B9:E9"))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IF(ISBLANK(INDIRECT("'"&amp;$A18&amp;"'!B27:G27")), "", INDIRECT("'"&amp;$A18&amp;"'!B27:G27"))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IF(ISBLANK(INDIRECT("'"&amp;$A19&amp;"'!B9:E9")), "", INDIRECT("'"&amp;$A19&amp;"'!B9:E9"))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IF(ISBLANK(INDIRECT("'"&amp;$A19&amp;"'!B27:G27")), "", INDIRECT("'"&amp;$A19&amp;"'!B27:G27"))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IF(ISBLANK(INDIRECT("'"&amp;$A20&amp;"'!B9:E9")), "", INDIRECT("'"&amp;$A20&amp;"'!B9:E9"))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IF(ISBLANK(INDIRECT("'"&amp;$A20&amp;"'!B27:G27")), "", INDIRECT("'"&amp;$A20&amp;"'!B27:G27"))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IF(ISBLANK(INDIRECT("'"&amp;$A21&amp;"'!B9:E9")), "", INDIRECT("'"&amp;$A21&amp;"'!B9:E9"))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IF(ISBLANK(INDIRECT("'"&amp;$A21&amp;"'!B27:G27")), "", INDIRECT("'"&amp;$A21&amp;"'!B27:G27"))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IF(ISBLANK(INDIRECT("'"&amp;$A22&amp;"'!B9:E9")), "", INDIRECT("'"&amp;$A22&amp;"'!B9:E9"))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IF(ISBLANK(INDIRECT("'"&amp;$A22&amp;"'!B27:G27")), "", INDIRECT("'"&amp;$A22&amp;"'!B27:G27"))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IF(ISBLANK(INDIRECT("'"&amp;$A23&amp;"'!B9:E9")), "", INDIRECT("'"&amp;$A23&amp;"'!B9:E9"))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IF(ISBLANK(INDIRECT("'"&amp;$A23&amp;"'!B27:G27")), "", INDIRECT("'"&amp;$A23&amp;"'!B27:G27"))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IF(ISBLANK(INDIRECT("'"&amp;$A24&amp;"'!B9:E9")), "", INDIRECT("'"&amp;$A24&amp;"'!B9:E9"))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IF(ISBLANK(INDIRECT("'"&amp;$A24&amp;"'!B27:G27")), "", INDIRECT("'"&amp;$A24&amp;"'!B27:G27"))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IF(ISBLANK(INDIRECT("'"&amp;$A25&amp;"'!B9:E9")), "", INDIRECT("'"&amp;$A25&amp;"'!B9:E9"))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IF(ISBLANK(INDIRECT("'"&amp;$A25&amp;"'!B27:G27")), "", INDIRECT("'"&amp;$A25&amp;"'!B27:G27"))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IF(ISBLANK(INDIRECT("'"&amp;$A26&amp;"'!B9:E9")), "", INDIRECT("'"&amp;$A26&amp;"'!B9:E9"))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IF(ISBLANK(INDIRECT("'"&amp;$A26&amp;"'!B27:G27")), "", INDIRECT("'"&amp;$A26&amp;"'!B27:G27"))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IF(ISBLANK(INDIRECT("'"&amp;$A27&amp;"'!B9:E9")), "", INDIRECT("'"&amp;$A27&amp;"'!B9:E9"))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IF(ISBLANK(INDIRECT("'"&amp;$A27&amp;"'!B27:G27")), "", INDIRECT("'"&amp;$A27&amp;"'!B27:G27"))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IF(ISBLANK(INDIRECT("'"&amp;$A28&amp;"'!B9:E9")), "", INDIRECT("'"&amp;$A28&amp;"'!B9:E9"))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IF(ISBLANK(INDIRECT("'"&amp;$A28&amp;"'!B27:G27")), "", INDIRECT("'"&amp;$A28&amp;"'!B27:G27"))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IF(ISBLANK(INDIRECT("'"&amp;$A29&amp;"'!B9:E9")), "", INDIRECT("'"&amp;$A29&amp;"'!B9:E9"))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IF(ISBLANK(INDIRECT("'"&amp;$A29&amp;"'!B27:G27")), "", INDIRECT("'"&amp;$A29&amp;"'!B27:G27"))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IF(ISBLANK(INDIRECT("'"&amp;$A30&amp;"'!B9:E9")), "", INDIRECT("'"&amp;$A30&amp;"'!B9:E9"))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IF(ISBLANK(INDIRECT("'"&amp;$A30&amp;"'!B27:G27")), "", INDIRECT("'"&amp;$A30&amp;"'!B27:G27"))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IF(ISBLANK(INDIRECT("'"&amp;$A31&amp;"'!B9:E9")), "", INDIRECT("'"&amp;$A31&amp;"'!B9:E9"))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IF(ISBLANK(INDIRECT("'"&amp;$A31&amp;"'!B27:G27")), "", INDIRECT("'"&amp;$A31&amp;"'!B27:G27"))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IF(ISBLANK(INDIRECT("'"&amp;$A32&amp;"'!B9:E9")), "", INDIRECT("'"&amp;$A32&amp;"'!B9:E9"))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IF(ISBLANK(INDIRECT("'"&amp;$A32&amp;"'!B27:G27")), "", INDIRECT("'"&amp;$A32&amp;"'!B27:G27"))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IF(ISBLANK(INDIRECT("'"&amp;$A33&amp;"'!B9:E9")), "", INDIRECT("'"&amp;$A33&amp;"'!B9:E9"))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IF(ISBLANK(INDIRECT("'"&amp;$A33&amp;"'!B27:G27")), "", INDIRECT("'"&amp;$A33&amp;"'!B27:G27"))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IF(ISBLANK(INDIRECT("'"&amp;$A34&amp;"'!B9:E9")), "", INDIRECT("'"&amp;$A34&amp;"'!B9:E9"))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IF(ISBLANK(INDIRECT("'"&amp;$A34&amp;"'!B27:G27")), "", INDIRECT("'"&amp;$A34&amp;"'!B27:G27"))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IF(ISBLANK(INDIRECT("'"&amp;$A35&amp;"'!B9:E9")), "", INDIRECT("'"&amp;$A35&amp;"'!B9:E9"))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IF(ISBLANK(INDIRECT("'"&amp;$A35&amp;"'!B27:G27")), "", INDIRECT("'"&amp;$A35&amp;"'!B27:G27"))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IF(ISBLANK(INDIRECT("'"&amp;$A36&amp;"'!B9:E9")), "", INDIRECT("'"&amp;$A36&amp;"'!B9:E9"))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IF(ISBLANK(INDIRECT("'"&amp;$A36&amp;"'!B27:G27")), "", INDIRECT("'"&amp;$A36&amp;"'!B27:G27"))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IF(ISBLANK(INDIRECT("'"&amp;$A37&amp;"'!B9:E9")), "", INDIRECT("'"&amp;$A37&amp;"'!B9:E9"))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IF(ISBLANK(INDIRECT("'"&amp;$A37&amp;"'!B27:G27")), "", INDIRECT("'"&amp;$A37&amp;"'!B27:G27"))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IF(ISBLANK(INDIRECT("'"&amp;$A38&amp;"'!B9:E9")), "", INDIRECT("'"&amp;$A38&amp;"'!B9:E9"))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IF(ISBLANK(INDIRECT("'"&amp;$A38&amp;"'!B27:G27")), "", INDIRECT("'"&amp;$A38&amp;"'!B27:G27"))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IF(ISBLANK(INDIRECT("'"&amp;$A39&amp;"'!B9:E9")), "", INDIRECT("'"&amp;$A39&amp;"'!B9:E9"))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IF(ISBLANK(INDIRECT("'"&amp;$A39&amp;"'!B27:G27")), "", INDIRECT("'"&amp;$A39&amp;"'!B27:G27"))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IF(ISBLANK(INDIRECT("'"&amp;$A40&amp;"'!B9:E9")), "", INDIRECT("'"&amp;$A40&amp;"'!B9:E9"))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IF(ISBLANK(INDIRECT("'"&amp;$A40&amp;"'!B27:G27")), "", INDIRECT("'"&amp;$A40&amp;"'!B27:G27"))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IF(ISBLANK(INDIRECT("'"&amp;$A41&amp;"'!B9:E9")), "", INDIRECT("'"&amp;$A41&amp;"'!B9:E9"))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IF(ISBLANK(INDIRECT("'"&amp;$A41&amp;"'!B27:G27")), "", INDIRECT("'"&amp;$A41&amp;"'!B27:G27"))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IF(ISBLANK(INDIRECT("'"&amp;$A42&amp;"'!B9:E9")), "", INDIRECT("'"&amp;$A42&amp;"'!B9:E9"))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IF(ISBLANK(INDIRECT("'"&amp;$A42&amp;"'!B27:G27")), "", INDIRECT("'"&amp;$A42&amp;"'!B27:G27"))</f>
        <v>0</v>
      </c>
      <c r="I42" s="161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IF(ISBLANK(INDIRECT("'"&amp;$A43&amp;"'!B9:E9")), "", INDIRECT("'"&amp;$A43&amp;"'!B9:E9"))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IF(ISBLANK(INDIRECT("'"&amp;$A43&amp;"'!B27:G27")), "", INDIRECT("'"&amp;$A43&amp;"'!B27:G27"))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IF(ISBLANK(INDIRECT("'"&amp;$A44&amp;"'!B9:E9")), "", INDIRECT("'"&amp;$A44&amp;"'!B9:E9"))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IF(ISBLANK(INDIRECT("'"&amp;$A44&amp;"'!B27:G27")), "", INDIRECT("'"&amp;$A44&amp;"'!B27:G27"))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IF(ISBLANK(INDIRECT("'"&amp;$A45&amp;"'!B9:E9")), "", INDIRECT("'"&amp;$A45&amp;"'!B9:E9"))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IF(ISBLANK(INDIRECT("'"&amp;$A45&amp;"'!B27:G27")), "", INDIRECT("'"&amp;$A45&amp;"'!B27:G27"))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IF(ISBLANK(INDIRECT("'"&amp;$A46&amp;"'!B9:E9")), "", INDIRECT("'"&amp;$A46&amp;"'!B9:E9"))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IF(ISBLANK(INDIRECT("'"&amp;$A46&amp;"'!B27:G27")), "", INDIRECT("'"&amp;$A46&amp;"'!B27:G27"))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IF(ISBLANK(INDIRECT("'"&amp;$A47&amp;"'!B9:E9")), "", INDIRECT("'"&amp;$A47&amp;"'!B9:E9"))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IF(ISBLANK(INDIRECT("'"&amp;$A47&amp;"'!B27:G27")), "", INDIRECT("'"&amp;$A47&amp;"'!B27:G27"))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IF(ISBLANK(INDIRECT("'"&amp;$A48&amp;"'!B9:E9")), "", INDIRECT("'"&amp;$A48&amp;"'!B9:E9"))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IF(ISBLANK(INDIRECT("'"&amp;$A48&amp;"'!B27:G27")), "", INDIRECT("'"&amp;$A48&amp;"'!B27:G27"))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IF(ISBLANK(INDIRECT("'"&amp;$A49&amp;"'!B9:E9")), "", INDIRECT("'"&amp;$A49&amp;"'!B9:E9"))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IF(ISBLANK(INDIRECT("'"&amp;$A49&amp;"'!B27:G27")), "", INDIRECT("'"&amp;$A49&amp;"'!B27:G27"))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IF(ISBLANK(INDIRECT("'"&amp;$A50&amp;"'!B9:E9")), "", INDIRECT("'"&amp;$A50&amp;"'!B9:E9"))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IF(ISBLANK(INDIRECT("'"&amp;$A50&amp;"'!B27:G27")), "", INDIRECT("'"&amp;$A50&amp;"'!B27:G27"))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IF(ISBLANK(INDIRECT("'"&amp;$A51&amp;"'!B9:E9")), "", INDIRECT("'"&amp;$A51&amp;"'!B9:E9"))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IF(ISBLANK(INDIRECT("'"&amp;$A51&amp;"'!B27:G27")), "", INDIRECT("'"&amp;$A51&amp;"'!B27:G27"))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IF(ISBLANK(INDIRECT("'"&amp;$A52&amp;"'!B9:E9")), "", INDIRECT("'"&amp;$A52&amp;"'!B9:E9"))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IF(ISBLANK(INDIRECT("'"&amp;$A52&amp;"'!B27:G27")), "", INDIRECT("'"&amp;$A52&amp;"'!B27:G27"))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IF(ISBLANK(INDIRECT("'"&amp;$A53&amp;"'!B9:E9")), "", INDIRECT("'"&amp;$A53&amp;"'!B9:E9"))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IF(ISBLANK(INDIRECT("'"&amp;$A53&amp;"'!B27:G27")), "", INDIRECT("'"&amp;$A53&amp;"'!B27:G27"))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IF(ISBLANK(INDIRECT("'"&amp;$A54&amp;"'!B9:E9")), "", INDIRECT("'"&amp;$A54&amp;"'!B9:E9"))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IF(ISBLANK(INDIRECT("'"&amp;$A54&amp;"'!B27:G27")), "", INDIRECT("'"&amp;$A54&amp;"'!B27:G27"))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IF(ISBLANK(INDIRECT("'"&amp;$A55&amp;"'!B9:E9")), "", INDIRECT("'"&amp;$A55&amp;"'!B9:E9"))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IF(ISBLANK(INDIRECT("'"&amp;$A55&amp;"'!B27:G27")), "", INDIRECT("'"&amp;$A55&amp;"'!B27:G27"))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3.5" customHeight="1">
      <c r="A56" s="31" t="str">
        <v>102 - San Antonio Ops</v>
      </c>
      <c r="B56" s="33" t="str">
        <v>TX</v>
      </c>
      <c r="C56" s="146" t="str" cm="1">
        <f t="array" aca="1" ref="C56:F56" ca="1">IF(ISBLANK(INDIRECT("'"&amp;$A56&amp;"'!B9:E9")), "", INDIRECT("'"&amp;$A56&amp;"'!B9:E9"))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IF(ISBLANK(INDIRECT("'"&amp;$A56&amp;"'!B27:G27")), "", INDIRECT("'"&amp;$A56&amp;"'!B27:G27"))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3.5" customHeight="1">
      <c r="A57" s="31" t="str">
        <v>104 - San Antonio Ops</v>
      </c>
      <c r="B57" s="33" t="str">
        <v>TX</v>
      </c>
      <c r="C57" s="146" t="str" cm="1">
        <f t="array" aca="1" ref="C57:F57" ca="1">IF(ISBLANK(INDIRECT("'"&amp;$A57&amp;"'!B9:E9")), "", INDIRECT("'"&amp;$A57&amp;"'!B9:E9"))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IF(ISBLANK(INDIRECT("'"&amp;$A57&amp;"'!B27:G27")), "", INDIRECT("'"&amp;$A57&amp;"'!B27:G27"))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IF(ISBLANK(INDIRECT("'"&amp;$A58&amp;"'!B9:E9")), "", INDIRECT("'"&amp;$A58&amp;"'!B9:E9"))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IF(ISBLANK(INDIRECT("'"&amp;$A58&amp;"'!B27:G27")), "", INDIRECT("'"&amp;$A58&amp;"'!B27:G27"))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IF(ISBLANK(INDIRECT("'"&amp;$A59&amp;"'!B9:E9")), "", INDIRECT("'"&amp;$A59&amp;"'!B9:E9"))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IF(ISBLANK(INDIRECT("'"&amp;$A59&amp;"'!B27:G27")), "", INDIRECT("'"&amp;$A59&amp;"'!B27:G27"))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IF(ISBLANK(INDIRECT("'"&amp;$A60&amp;"'!B9:E9")), "", INDIRECT("'"&amp;$A60&amp;"'!B9:E9"))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IF(ISBLANK(INDIRECT("'"&amp;$A60&amp;"'!B27:G27")), "", INDIRECT("'"&amp;$A60&amp;"'!B27:G27"))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IF(ISBLANK(INDIRECT("'"&amp;$A61&amp;"'!B9:E9")), "", INDIRECT("'"&amp;$A61&amp;"'!B9:E9"))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IF(ISBLANK(INDIRECT("'"&amp;$A61&amp;"'!B27:G27")), "", INDIRECT("'"&amp;$A61&amp;"'!B27:G27"))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IF(ISBLANK(INDIRECT("'"&amp;$A62&amp;"'!B9:E9")), "", INDIRECT("'"&amp;$A62&amp;"'!B9:E9"))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IF(ISBLANK(INDIRECT("'"&amp;$A62&amp;"'!B27:G27")), "", INDIRECT("'"&amp;$A62&amp;"'!B27:G27"))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IF(ISBLANK(INDIRECT("'"&amp;$A63&amp;"'!B9:E9")), "", INDIRECT("'"&amp;$A63&amp;"'!B9:E9"))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IF(ISBLANK(INDIRECT("'"&amp;$A63&amp;"'!B27:G27")), "", INDIRECT("'"&amp;$A63&amp;"'!B27:G27"))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IF(ISBLANK(INDIRECT("'"&amp;$A64&amp;"'!B9:E9")), "", INDIRECT("'"&amp;$A64&amp;"'!B9:E9"))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IF(ISBLANK(INDIRECT("'"&amp;$A64&amp;"'!B27:G27")), "", INDIRECT("'"&amp;$A64&amp;"'!B27:G27"))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5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62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48" priority="3" operator="equal">
      <formula>"-"</formula>
    </cfRule>
  </conditionalFormatting>
  <conditionalFormatting sqref="F3:F65 K3:K65">
    <cfRule type="cellIs" dxfId="47" priority="4" operator="lessThanOrEqual">
      <formula>-0.1</formula>
    </cfRule>
    <cfRule type="cellIs" dxfId="46" priority="5" operator="greaterThanOrEqual">
      <formula>0.1</formula>
    </cfRule>
  </conditionalFormatting>
  <conditionalFormatting sqref="F65 K65">
    <cfRule type="cellIs" dxfId="45" priority="1" operator="equal">
      <formula>"-"</formula>
    </cfRule>
  </conditionalFormatting>
  <conditionalFormatting sqref="K3:K64">
    <cfRule type="cellIs" dxfId="44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65"/>
  <sheetViews>
    <sheetView workbookViewId="0">
      <pane ySplit="2" topLeftCell="A47" activePane="bottomLeft" state="frozen"/>
      <selection pane="bottomLeft" activeCell="K73" sqref="K73"/>
      <selection activeCell="K73" sqref="K7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45.140625" customWidth="1"/>
    <col min="13" max="13" width="12" customWidth="1"/>
  </cols>
  <sheetData>
    <row r="1" spans="1:13" ht="19.5" customHeight="1">
      <c r="A1" s="244" t="s">
        <v>0</v>
      </c>
      <c r="B1" s="245"/>
      <c r="C1" s="238" t="s">
        <v>31</v>
      </c>
      <c r="D1" s="239"/>
      <c r="E1" s="239"/>
      <c r="F1" s="240"/>
      <c r="G1" s="45"/>
      <c r="H1" s="241" t="s">
        <v>32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IF(ISBLANK(INDIRECT("'"&amp;$A3&amp;"'!B10:E10")), "", INDIRECT("'"&amp;$A3&amp;"'!B10:E10"))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IF(ISBLANK(INDIRECT("'"&amp;$A3&amp;"'!B28:G28")), "", INDIRECT("'"&amp;$A3&amp;"'!B28:G28"))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IF(ISBLANK(INDIRECT("'"&amp;$A4&amp;"'!B10:E10")), "", INDIRECT("'"&amp;$A4&amp;"'!B10:E10"))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IF(ISBLANK(INDIRECT("'"&amp;$A4&amp;"'!B28:G28")), "", INDIRECT("'"&amp;$A4&amp;"'!B28:G28"))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IF(ISBLANK(INDIRECT("'"&amp;$A5&amp;"'!B10:E10")), "", INDIRECT("'"&amp;$A5&amp;"'!B10:E10"))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IF(ISBLANK(INDIRECT("'"&amp;$A5&amp;"'!B28:G28")), "", INDIRECT("'"&amp;$A5&amp;"'!B28:G28"))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IF(ISBLANK(INDIRECT("'"&amp;$A6&amp;"'!B10:E10")), "", INDIRECT("'"&amp;$A6&amp;"'!B10:E10"))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IF(ISBLANK(INDIRECT("'"&amp;$A6&amp;"'!B28:G28")), "", INDIRECT("'"&amp;$A6&amp;"'!B28:G28"))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77.45" customHeight="1">
      <c r="A7" s="27" t="str">
        <v>98th &amp; Grant</v>
      </c>
      <c r="B7" s="32" t="str">
        <v>CO</v>
      </c>
      <c r="C7" s="146" t="str" cm="1">
        <f t="array" aca="1" ref="C7:F7" ca="1">IF(ISBLANK(INDIRECT("'"&amp;$A7&amp;"'!B10:E10")), "", INDIRECT("'"&amp;$A7&amp;"'!B10:E10"))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IF(ISBLANK(INDIRECT("'"&amp;$A7&amp;"'!B28:G28")), "", INDIRECT("'"&amp;$A7&amp;"'!B28:G28"))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IF(ISBLANK(INDIRECT("'"&amp;$A8&amp;"'!B10:E10")), "", INDIRECT("'"&amp;$A8&amp;"'!B10:E10"))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IF(ISBLANK(INDIRECT("'"&amp;$A8&amp;"'!B28:G28")), "", INDIRECT("'"&amp;$A8&amp;"'!B28:G28"))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IF(ISBLANK(INDIRECT("'"&amp;$A9&amp;"'!B10:E10")), "", INDIRECT("'"&amp;$A9&amp;"'!B10:E10"))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IF(ISBLANK(INDIRECT("'"&amp;$A9&amp;"'!B28:G28")), "", INDIRECT("'"&amp;$A9&amp;"'!B28:G28"))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IF(ISBLANK(INDIRECT("'"&amp;$A10&amp;"'!B10:E10")), "", INDIRECT("'"&amp;$A10&amp;"'!B10:E10"))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IF(ISBLANK(INDIRECT("'"&amp;$A10&amp;"'!B28:G28")), "", INDIRECT("'"&amp;$A10&amp;"'!B28:G28"))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IF(ISBLANK(INDIRECT("'"&amp;$A11&amp;"'!B10:E10")), "", INDIRECT("'"&amp;$A11&amp;"'!B10:E10"))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IF(ISBLANK(INDIRECT("'"&amp;$A11&amp;"'!B28:G28")), "", INDIRECT("'"&amp;$A11&amp;"'!B28:G28"))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IF(ISBLANK(INDIRECT("'"&amp;$A12&amp;"'!B10:E10")), "", INDIRECT("'"&amp;$A12&amp;"'!B10:E10"))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IF(ISBLANK(INDIRECT("'"&amp;$A12&amp;"'!B28:G28")), "", INDIRECT("'"&amp;$A12&amp;"'!B28:G28"))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IF(ISBLANK(INDIRECT("'"&amp;$A13&amp;"'!B10:E10")), "", INDIRECT("'"&amp;$A13&amp;"'!B10:E10"))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IF(ISBLANK(INDIRECT("'"&amp;$A13&amp;"'!B28:G28")), "", INDIRECT("'"&amp;$A13&amp;"'!B28:G28"))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IF(ISBLANK(INDIRECT("'"&amp;$A14&amp;"'!B10:E10")), "", INDIRECT("'"&amp;$A14&amp;"'!B10:E10"))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IF(ISBLANK(INDIRECT("'"&amp;$A14&amp;"'!B28:G28")), "", INDIRECT("'"&amp;$A14&amp;"'!B28:G28"))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IF(ISBLANK(INDIRECT("'"&amp;$A15&amp;"'!B10:E10")), "", INDIRECT("'"&amp;$A15&amp;"'!B10:E10"))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IF(ISBLANK(INDIRECT("'"&amp;$A15&amp;"'!B28:G28")), "", INDIRECT("'"&amp;$A15&amp;"'!B28:G28"))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IF(ISBLANK(INDIRECT("'"&amp;$A16&amp;"'!B10:E10")), "", INDIRECT("'"&amp;$A16&amp;"'!B10:E10"))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IF(ISBLANK(INDIRECT("'"&amp;$A16&amp;"'!B28:G28")), "", INDIRECT("'"&amp;$A16&amp;"'!B28:G28"))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IF(ISBLANK(INDIRECT("'"&amp;$A17&amp;"'!B10:E10")), "", INDIRECT("'"&amp;$A17&amp;"'!B10:E10"))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IF(ISBLANK(INDIRECT("'"&amp;$A17&amp;"'!B28:G28")), "", INDIRECT("'"&amp;$A17&amp;"'!B28:G28"))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IF(ISBLANK(INDIRECT("'"&amp;$A18&amp;"'!B10:E10")), "", INDIRECT("'"&amp;$A18&amp;"'!B10:E10"))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IF(ISBLANK(INDIRECT("'"&amp;$A18&amp;"'!B28:G28")), "", INDIRECT("'"&amp;$A18&amp;"'!B28:G28"))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IF(ISBLANK(INDIRECT("'"&amp;$A19&amp;"'!B10:E10")), "", INDIRECT("'"&amp;$A19&amp;"'!B10:E10"))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IF(ISBLANK(INDIRECT("'"&amp;$A19&amp;"'!B28:G28")), "", INDIRECT("'"&amp;$A19&amp;"'!B28:G28"))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IF(ISBLANK(INDIRECT("'"&amp;$A20&amp;"'!B10:E10")), "", INDIRECT("'"&amp;$A20&amp;"'!B10:E10"))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IF(ISBLANK(INDIRECT("'"&amp;$A20&amp;"'!B28:G28")), "", INDIRECT("'"&amp;$A20&amp;"'!B28:G28"))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IF(ISBLANK(INDIRECT("'"&amp;$A21&amp;"'!B10:E10")), "", INDIRECT("'"&amp;$A21&amp;"'!B10:E10"))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IF(ISBLANK(INDIRECT("'"&amp;$A21&amp;"'!B28:G28")), "", INDIRECT("'"&amp;$A21&amp;"'!B28:G28"))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IF(ISBLANK(INDIRECT("'"&amp;$A22&amp;"'!B10:E10")), "", INDIRECT("'"&amp;$A22&amp;"'!B10:E10"))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IF(ISBLANK(INDIRECT("'"&amp;$A22&amp;"'!B28:G28")), "", INDIRECT("'"&amp;$A22&amp;"'!B28:G28"))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IF(ISBLANK(INDIRECT("'"&amp;$A23&amp;"'!B10:E10")), "", INDIRECT("'"&amp;$A23&amp;"'!B10:E10"))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IF(ISBLANK(INDIRECT("'"&amp;$A23&amp;"'!B28:G28")), "", INDIRECT("'"&amp;$A23&amp;"'!B28:G28"))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IF(ISBLANK(INDIRECT("'"&amp;$A24&amp;"'!B10:E10")), "", INDIRECT("'"&amp;$A24&amp;"'!B10:E10"))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IF(ISBLANK(INDIRECT("'"&amp;$A24&amp;"'!B28:G28")), "", INDIRECT("'"&amp;$A24&amp;"'!B28:G28"))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IF(ISBLANK(INDIRECT("'"&amp;$A25&amp;"'!B10:E10")), "", INDIRECT("'"&amp;$A25&amp;"'!B10:E10"))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IF(ISBLANK(INDIRECT("'"&amp;$A25&amp;"'!B28:G28")), "", INDIRECT("'"&amp;$A25&amp;"'!B28:G28"))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IF(ISBLANK(INDIRECT("'"&amp;$A26&amp;"'!B10:E10")), "", INDIRECT("'"&amp;$A26&amp;"'!B10:E10"))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IF(ISBLANK(INDIRECT("'"&amp;$A26&amp;"'!B28:G28")), "", INDIRECT("'"&amp;$A26&amp;"'!B28:G28"))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IF(ISBLANK(INDIRECT("'"&amp;$A27&amp;"'!B10:E10")), "", INDIRECT("'"&amp;$A27&amp;"'!B10:E10"))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IF(ISBLANK(INDIRECT("'"&amp;$A27&amp;"'!B28:G28")), "", INDIRECT("'"&amp;$A27&amp;"'!B28:G28"))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IF(ISBLANK(INDIRECT("'"&amp;$A28&amp;"'!B10:E10")), "", INDIRECT("'"&amp;$A28&amp;"'!B10:E10"))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IF(ISBLANK(INDIRECT("'"&amp;$A28&amp;"'!B28:G28")), "", INDIRECT("'"&amp;$A28&amp;"'!B28:G28"))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IF(ISBLANK(INDIRECT("'"&amp;$A29&amp;"'!B10:E10")), "", INDIRECT("'"&amp;$A29&amp;"'!B10:E10"))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IF(ISBLANK(INDIRECT("'"&amp;$A29&amp;"'!B28:G28")), "", INDIRECT("'"&amp;$A29&amp;"'!B28:G28"))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IF(ISBLANK(INDIRECT("'"&amp;$A30&amp;"'!B10:E10")), "", INDIRECT("'"&amp;$A30&amp;"'!B10:E10"))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IF(ISBLANK(INDIRECT("'"&amp;$A30&amp;"'!B28:G28")), "", INDIRECT("'"&amp;$A30&amp;"'!B28:G28"))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IF(ISBLANK(INDIRECT("'"&amp;$A31&amp;"'!B10:E10")), "", INDIRECT("'"&amp;$A31&amp;"'!B10:E10"))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IF(ISBLANK(INDIRECT("'"&amp;$A31&amp;"'!B28:G28")), "", INDIRECT("'"&amp;$A31&amp;"'!B28:G28"))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IF(ISBLANK(INDIRECT("'"&amp;$A32&amp;"'!B10:E10")), "", INDIRECT("'"&amp;$A32&amp;"'!B10:E10"))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IF(ISBLANK(INDIRECT("'"&amp;$A32&amp;"'!B28:G28")), "", INDIRECT("'"&amp;$A32&amp;"'!B28:G28"))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IF(ISBLANK(INDIRECT("'"&amp;$A33&amp;"'!B10:E10")), "", INDIRECT("'"&amp;$A33&amp;"'!B10:E10"))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IF(ISBLANK(INDIRECT("'"&amp;$A33&amp;"'!B28:G28")), "", INDIRECT("'"&amp;$A33&amp;"'!B28:G28"))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IF(ISBLANK(INDIRECT("'"&amp;$A34&amp;"'!B10:E10")), "", INDIRECT("'"&amp;$A34&amp;"'!B10:E10"))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IF(ISBLANK(INDIRECT("'"&amp;$A34&amp;"'!B28:G28")), "", INDIRECT("'"&amp;$A34&amp;"'!B28:G28"))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IF(ISBLANK(INDIRECT("'"&amp;$A35&amp;"'!B10:E10")), "", INDIRECT("'"&amp;$A35&amp;"'!B10:E10"))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IF(ISBLANK(INDIRECT("'"&amp;$A35&amp;"'!B28:G28")), "", INDIRECT("'"&amp;$A35&amp;"'!B28:G28"))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IF(ISBLANK(INDIRECT("'"&amp;$A36&amp;"'!B10:E10")), "", INDIRECT("'"&amp;$A36&amp;"'!B10:E10"))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IF(ISBLANK(INDIRECT("'"&amp;$A36&amp;"'!B28:G28")), "", INDIRECT("'"&amp;$A36&amp;"'!B28:G28"))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IF(ISBLANK(INDIRECT("'"&amp;$A37&amp;"'!B10:E10")), "", INDIRECT("'"&amp;$A37&amp;"'!B10:E10"))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IF(ISBLANK(INDIRECT("'"&amp;$A37&amp;"'!B28:G28")), "", INDIRECT("'"&amp;$A37&amp;"'!B28:G28"))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IF(ISBLANK(INDIRECT("'"&amp;$A38&amp;"'!B10:E10")), "", INDIRECT("'"&amp;$A38&amp;"'!B10:E10"))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IF(ISBLANK(INDIRECT("'"&amp;$A38&amp;"'!B28:G28")), "", INDIRECT("'"&amp;$A38&amp;"'!B28:G28"))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IF(ISBLANK(INDIRECT("'"&amp;$A39&amp;"'!B10:E10")), "", INDIRECT("'"&amp;$A39&amp;"'!B10:E10"))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IF(ISBLANK(INDIRECT("'"&amp;$A39&amp;"'!B28:G28")), "", INDIRECT("'"&amp;$A39&amp;"'!B28:G28"))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IF(ISBLANK(INDIRECT("'"&amp;$A40&amp;"'!B10:E10")), "", INDIRECT("'"&amp;$A40&amp;"'!B10:E10"))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IF(ISBLANK(INDIRECT("'"&amp;$A40&amp;"'!B28:G28")), "", INDIRECT("'"&amp;$A40&amp;"'!B28:G28"))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IF(ISBLANK(INDIRECT("'"&amp;$A41&amp;"'!B10:E10")), "", INDIRECT("'"&amp;$A41&amp;"'!B10:E10"))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IF(ISBLANK(INDIRECT("'"&amp;$A41&amp;"'!B28:G28")), "", INDIRECT("'"&amp;$A41&amp;"'!B28:G28"))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IF(ISBLANK(INDIRECT("'"&amp;$A42&amp;"'!B10:E10")), "", INDIRECT("'"&amp;$A42&amp;"'!B10:E10"))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IF(ISBLANK(INDIRECT("'"&amp;$A42&amp;"'!B28:G28")), "", INDIRECT("'"&amp;$A42&amp;"'!B28:G28"))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IF(ISBLANK(INDIRECT("'"&amp;$A43&amp;"'!B10:E10")), "", INDIRECT("'"&amp;$A43&amp;"'!B10:E10"))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IF(ISBLANK(INDIRECT("'"&amp;$A43&amp;"'!B28:G28")), "", INDIRECT("'"&amp;$A43&amp;"'!B28:G28"))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IF(ISBLANK(INDIRECT("'"&amp;$A44&amp;"'!B10:E10")), "", INDIRECT("'"&amp;$A44&amp;"'!B10:E10"))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IF(ISBLANK(INDIRECT("'"&amp;$A44&amp;"'!B28:G28")), "", INDIRECT("'"&amp;$A44&amp;"'!B28:G28"))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IF(ISBLANK(INDIRECT("'"&amp;$A45&amp;"'!B10:E10")), "", INDIRECT("'"&amp;$A45&amp;"'!B10:E10"))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IF(ISBLANK(INDIRECT("'"&amp;$A45&amp;"'!B28:G28")), "", INDIRECT("'"&amp;$A45&amp;"'!B28:G28"))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IF(ISBLANK(INDIRECT("'"&amp;$A46&amp;"'!B10:E10")), "", INDIRECT("'"&amp;$A46&amp;"'!B10:E10"))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IF(ISBLANK(INDIRECT("'"&amp;$A46&amp;"'!B28:G28")), "", INDIRECT("'"&amp;$A46&amp;"'!B28:G28"))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IF(ISBLANK(INDIRECT("'"&amp;$A47&amp;"'!B10:E10")), "", INDIRECT("'"&amp;$A47&amp;"'!B10:E10"))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IF(ISBLANK(INDIRECT("'"&amp;$A47&amp;"'!B28:G28")), "", INDIRECT("'"&amp;$A47&amp;"'!B28:G28"))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IF(ISBLANK(INDIRECT("'"&amp;$A48&amp;"'!B10:E10")), "", INDIRECT("'"&amp;$A48&amp;"'!B10:E10"))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IF(ISBLANK(INDIRECT("'"&amp;$A48&amp;"'!B28:G28")), "", INDIRECT("'"&amp;$A48&amp;"'!B28:G28"))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IF(ISBLANK(INDIRECT("'"&amp;$A49&amp;"'!B10:E10")), "", INDIRECT("'"&amp;$A49&amp;"'!B10:E10"))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IF(ISBLANK(INDIRECT("'"&amp;$A49&amp;"'!B28:G28")), "", INDIRECT("'"&amp;$A49&amp;"'!B28:G28"))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IF(ISBLANK(INDIRECT("'"&amp;$A50&amp;"'!B10:E10")), "", INDIRECT("'"&amp;$A50&amp;"'!B10:E10"))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IF(ISBLANK(INDIRECT("'"&amp;$A50&amp;"'!B28:G28")), "", INDIRECT("'"&amp;$A50&amp;"'!B28:G28"))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IF(ISBLANK(INDIRECT("'"&amp;$A51&amp;"'!B10:E10")), "", INDIRECT("'"&amp;$A51&amp;"'!B10:E10"))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IF(ISBLANK(INDIRECT("'"&amp;$A51&amp;"'!B28:G28")), "", INDIRECT("'"&amp;$A51&amp;"'!B28:G28"))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IF(ISBLANK(INDIRECT("'"&amp;$A52&amp;"'!B10:E10")), "", INDIRECT("'"&amp;$A52&amp;"'!B10:E10"))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IF(ISBLANK(INDIRECT("'"&amp;$A52&amp;"'!B28:G28")), "", INDIRECT("'"&amp;$A52&amp;"'!B28:G28"))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IF(ISBLANK(INDIRECT("'"&amp;$A53&amp;"'!B10:E10")), "", INDIRECT("'"&amp;$A53&amp;"'!B10:E10"))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IF(ISBLANK(INDIRECT("'"&amp;$A53&amp;"'!B28:G28")), "", INDIRECT("'"&amp;$A53&amp;"'!B28:G28"))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IF(ISBLANK(INDIRECT("'"&amp;$A54&amp;"'!B10:E10")), "", INDIRECT("'"&amp;$A54&amp;"'!B10:E10"))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IF(ISBLANK(INDIRECT("'"&amp;$A54&amp;"'!B28:G28")), "", INDIRECT("'"&amp;$A54&amp;"'!B28:G28"))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IF(ISBLANK(INDIRECT("'"&amp;$A55&amp;"'!B10:E10")), "", INDIRECT("'"&amp;$A55&amp;"'!B10:E10"))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IF(ISBLANK(INDIRECT("'"&amp;$A55&amp;"'!B28:G28")), "", INDIRECT("'"&amp;$A55&amp;"'!B28:G28"))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3.5" customHeight="1">
      <c r="A56" s="31" t="str">
        <v>102 - San Antonio Ops</v>
      </c>
      <c r="B56" s="33" t="str">
        <v>TX</v>
      </c>
      <c r="C56" s="146" t="str" cm="1">
        <f t="array" aca="1" ref="C56:F56" ca="1">IF(ISBLANK(INDIRECT("'"&amp;$A56&amp;"'!B10:E10")), "", INDIRECT("'"&amp;$A56&amp;"'!B10:E10"))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IF(ISBLANK(INDIRECT("'"&amp;$A56&amp;"'!B28:G28")), "", INDIRECT("'"&amp;$A56&amp;"'!B28:G28"))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3.5" customHeight="1">
      <c r="A57" s="31" t="str">
        <v>104 - San Antonio Ops</v>
      </c>
      <c r="B57" s="33" t="str">
        <v>TX</v>
      </c>
      <c r="C57" s="146" t="str" cm="1">
        <f t="array" aca="1" ref="C57:F57" ca="1">IF(ISBLANK(INDIRECT("'"&amp;$A57&amp;"'!B10:E10")), "", INDIRECT("'"&amp;$A57&amp;"'!B10:E10"))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IF(ISBLANK(INDIRECT("'"&amp;$A57&amp;"'!B28:G28")), "", INDIRECT("'"&amp;$A57&amp;"'!B28:G28"))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IF(ISBLANK(INDIRECT("'"&amp;$A58&amp;"'!B10:E10")), "", INDIRECT("'"&amp;$A58&amp;"'!B10:E10"))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IF(ISBLANK(INDIRECT("'"&amp;$A58&amp;"'!B28:G28")), "", INDIRECT("'"&amp;$A58&amp;"'!B28:G28"))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IF(ISBLANK(INDIRECT("'"&amp;$A59&amp;"'!B10:E10")), "", INDIRECT("'"&amp;$A59&amp;"'!B10:E10"))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IF(ISBLANK(INDIRECT("'"&amp;$A59&amp;"'!B28:G28")), "", INDIRECT("'"&amp;$A59&amp;"'!B28:G28"))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IF(ISBLANK(INDIRECT("'"&amp;$A60&amp;"'!B10:E10")), "", INDIRECT("'"&amp;$A60&amp;"'!B10:E10"))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IF(ISBLANK(INDIRECT("'"&amp;$A60&amp;"'!B28:G28")), "", INDIRECT("'"&amp;$A60&amp;"'!B28:G28"))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IF(ISBLANK(INDIRECT("'"&amp;$A61&amp;"'!B10:E10")), "", INDIRECT("'"&amp;$A61&amp;"'!B10:E10"))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IF(ISBLANK(INDIRECT("'"&amp;$A61&amp;"'!B28:G28")), "", INDIRECT("'"&amp;$A61&amp;"'!B28:G28"))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IF(ISBLANK(INDIRECT("'"&amp;$A62&amp;"'!B10:E10")), "", INDIRECT("'"&amp;$A62&amp;"'!B10:E10"))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IF(ISBLANK(INDIRECT("'"&amp;$A62&amp;"'!B28:G28")), "", INDIRECT("'"&amp;$A62&amp;"'!B28:G28"))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IF(ISBLANK(INDIRECT("'"&amp;$A63&amp;"'!B10:E10")), "", INDIRECT("'"&amp;$A63&amp;"'!B10:E10"))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IF(ISBLANK(INDIRECT("'"&amp;$A63&amp;"'!B28:G28")), "", INDIRECT("'"&amp;$A63&amp;"'!B28:G28"))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IF(ISBLANK(INDIRECT("'"&amp;$A64&amp;"'!B10:E10")), "", INDIRECT("'"&amp;$A64&amp;"'!B10:E10"))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IF(ISBLANK(INDIRECT("'"&amp;$A64&amp;"'!B28:G28")), "", INDIRECT("'"&amp;$A64&amp;"'!B28:G28"))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6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43" priority="3" operator="equal">
      <formula>"-"</formula>
    </cfRule>
  </conditionalFormatting>
  <conditionalFormatting sqref="F3:F65 K3:K65">
    <cfRule type="cellIs" dxfId="42" priority="4" operator="lessThanOrEqual">
      <formula>-0.1</formula>
    </cfRule>
    <cfRule type="cellIs" dxfId="41" priority="5" operator="greaterThanOrEqual">
      <formula>0.1</formula>
    </cfRule>
  </conditionalFormatting>
  <conditionalFormatting sqref="F65 K65">
    <cfRule type="cellIs" dxfId="40" priority="1" operator="equal">
      <formula>"-"</formula>
    </cfRule>
  </conditionalFormatting>
  <conditionalFormatting sqref="K3:K64">
    <cfRule type="cellIs" dxfId="39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65"/>
  <sheetViews>
    <sheetView tabSelected="1" workbookViewId="0">
      <pane ySplit="2" topLeftCell="A13" activePane="bottomLeft" state="frozen"/>
      <selection pane="bottomLeft" activeCell="N20" sqref="N20"/>
      <selection activeCell="K73" sqref="K7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45.140625" customWidth="1"/>
    <col min="13" max="13" width="12.42578125" customWidth="1"/>
  </cols>
  <sheetData>
    <row r="1" spans="1:13" ht="19.5" customHeight="1">
      <c r="A1" s="244" t="s">
        <v>0</v>
      </c>
      <c r="B1" s="245"/>
      <c r="C1" s="238" t="s">
        <v>33</v>
      </c>
      <c r="D1" s="239"/>
      <c r="E1" s="239"/>
      <c r="F1" s="240"/>
      <c r="G1" s="45"/>
      <c r="H1" s="241" t="s">
        <v>34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IF(ISBLANK(INDIRECT("'"&amp;$A3&amp;"'!B11:E11")), "", INDIRECT("'"&amp;$A3&amp;"'!B11:E11"))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IF(ISBLANK(INDIRECT("'"&amp;$A3&amp;"'!B29:G29")), "", INDIRECT("'"&amp;$A3&amp;"'!B29:G29"))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IF(ISBLANK(INDIRECT("'"&amp;$A4&amp;"'!B11:E11")), "", INDIRECT("'"&amp;$A4&amp;"'!B11:E11"))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IF(ISBLANK(INDIRECT("'"&amp;$A4&amp;"'!B29:G29")), "", INDIRECT("'"&amp;$A4&amp;"'!B29:G29"))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IF(ISBLANK(INDIRECT("'"&amp;$A5&amp;"'!B11:E11")), "", INDIRECT("'"&amp;$A5&amp;"'!B11:E11"))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IF(ISBLANK(INDIRECT("'"&amp;$A5&amp;"'!B29:G29")), "", INDIRECT("'"&amp;$A5&amp;"'!B29:G29"))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IF(ISBLANK(INDIRECT("'"&amp;$A6&amp;"'!B11:E11")), "", INDIRECT("'"&amp;$A6&amp;"'!B11:E11"))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IF(ISBLANK(INDIRECT("'"&amp;$A6&amp;"'!B29:G29")), "", INDIRECT("'"&amp;$A6&amp;"'!B29:G29"))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IF(ISBLANK(INDIRECT("'"&amp;$A7&amp;"'!B11:E11")), "", INDIRECT("'"&amp;$A7&amp;"'!B11:E11"))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IF(ISBLANK(INDIRECT("'"&amp;$A7&amp;"'!B29:G29")), "", INDIRECT("'"&amp;$A7&amp;"'!B29:G29"))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IF(ISBLANK(INDIRECT("'"&amp;$A8&amp;"'!B11:E11")), "", INDIRECT("'"&amp;$A8&amp;"'!B11:E11"))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IF(ISBLANK(INDIRECT("'"&amp;$A8&amp;"'!B29:G29")), "", INDIRECT("'"&amp;$A8&amp;"'!B29:G29"))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IF(ISBLANK(INDIRECT("'"&amp;$A9&amp;"'!B11:E11")), "", INDIRECT("'"&amp;$A9&amp;"'!B11:E11"))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IF(ISBLANK(INDIRECT("'"&amp;$A9&amp;"'!B29:G29")), "", INDIRECT("'"&amp;$A9&amp;"'!B29:G29"))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IF(ISBLANK(INDIRECT("'"&amp;$A10&amp;"'!B11:E11")), "", INDIRECT("'"&amp;$A10&amp;"'!B11:E11"))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IF(ISBLANK(INDIRECT("'"&amp;$A10&amp;"'!B29:G29")), "", INDIRECT("'"&amp;$A10&amp;"'!B29:G29"))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IF(ISBLANK(INDIRECT("'"&amp;$A11&amp;"'!B11:E11")), "", INDIRECT("'"&amp;$A11&amp;"'!B11:E11"))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IF(ISBLANK(INDIRECT("'"&amp;$A11&amp;"'!B29:G29")), "", INDIRECT("'"&amp;$A11&amp;"'!B29:G29"))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IF(ISBLANK(INDIRECT("'"&amp;$A12&amp;"'!B11:E11")), "", INDIRECT("'"&amp;$A12&amp;"'!B11:E11"))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IF(ISBLANK(INDIRECT("'"&amp;$A12&amp;"'!B29:G29")), "", INDIRECT("'"&amp;$A12&amp;"'!B29:G29"))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IF(ISBLANK(INDIRECT("'"&amp;$A13&amp;"'!B11:E11")), "", INDIRECT("'"&amp;$A13&amp;"'!B11:E11"))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IF(ISBLANK(INDIRECT("'"&amp;$A13&amp;"'!B29:G29")), "", INDIRECT("'"&amp;$A13&amp;"'!B29:G29"))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IF(ISBLANK(INDIRECT("'"&amp;$A14&amp;"'!B11:E11")), "", INDIRECT("'"&amp;$A14&amp;"'!B11:E11"))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IF(ISBLANK(INDIRECT("'"&amp;$A14&amp;"'!B29:G29")), "", INDIRECT("'"&amp;$A14&amp;"'!B29:G29"))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IF(ISBLANK(INDIRECT("'"&amp;$A15&amp;"'!B11:E11")), "", INDIRECT("'"&amp;$A15&amp;"'!B11:E11"))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IF(ISBLANK(INDIRECT("'"&amp;$A15&amp;"'!B29:G29")), "", INDIRECT("'"&amp;$A15&amp;"'!B29:G29"))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IF(ISBLANK(INDIRECT("'"&amp;$A16&amp;"'!B11:E11")), "", INDIRECT("'"&amp;$A16&amp;"'!B11:E11"))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IF(ISBLANK(INDIRECT("'"&amp;$A16&amp;"'!B29:G29")), "", INDIRECT("'"&amp;$A16&amp;"'!B29:G29"))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4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IF(ISBLANK(INDIRECT("'"&amp;$A17&amp;"'!B11:E11")), "", INDIRECT("'"&amp;$A17&amp;"'!B11:E11"))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IF(ISBLANK(INDIRECT("'"&amp;$A17&amp;"'!B29:G29")), "", INDIRECT("'"&amp;$A17&amp;"'!B29:G29"))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4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IF(ISBLANK(INDIRECT("'"&amp;$A18&amp;"'!B11:E11")), "", INDIRECT("'"&amp;$A18&amp;"'!B11:E11"))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IF(ISBLANK(INDIRECT("'"&amp;$A18&amp;"'!B29:G29")), "", INDIRECT("'"&amp;$A18&amp;"'!B29:G29"))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4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IF(ISBLANK(INDIRECT("'"&amp;$A19&amp;"'!B11:E11")), "", INDIRECT("'"&amp;$A19&amp;"'!B11:E11"))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IF(ISBLANK(INDIRECT("'"&amp;$A19&amp;"'!B29:G29")), "", INDIRECT("'"&amp;$A19&amp;"'!B29:G29"))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4" ht="14.45">
      <c r="A20" s="27" t="str">
        <v>HMHQ</v>
      </c>
      <c r="B20" s="32" t="str">
        <v>IA</v>
      </c>
      <c r="C20" s="146" t="str" cm="1">
        <f t="array" aca="1" ref="C20:F20" ca="1">IF(ISBLANK(INDIRECT("'"&amp;$A20&amp;"'!B11:E11")), "", INDIRECT("'"&amp;$A20&amp;"'!B11:E11"))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IF(ISBLANK(INDIRECT("'"&amp;$A20&amp;"'!B29:G29")), "", INDIRECT("'"&amp;$A20&amp;"'!B29:G29"))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  <c r="N20" s="94"/>
    </row>
    <row r="21" spans="1:14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IF(ISBLANK(INDIRECT("'"&amp;$A21&amp;"'!B11:E11")), "", INDIRECT("'"&amp;$A21&amp;"'!B11:E11"))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IF(ISBLANK(INDIRECT("'"&amp;$A21&amp;"'!B29:G29")), "", INDIRECT("'"&amp;$A21&amp;"'!B29:G29"))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4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IF(ISBLANK(INDIRECT("'"&amp;$A22&amp;"'!B11:E11")), "", INDIRECT("'"&amp;$A22&amp;"'!B11:E11"))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IF(ISBLANK(INDIRECT("'"&amp;$A22&amp;"'!B29:G29")), "", INDIRECT("'"&amp;$A22&amp;"'!B29:G29"))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4" ht="14.45">
      <c r="A23" s="31" t="str">
        <v>CIC</v>
      </c>
      <c r="B23" s="33" t="str">
        <v>NC</v>
      </c>
      <c r="C23" s="146" t="str" cm="1">
        <f t="array" aca="1" ref="C23:F23" ca="1">IF(ISBLANK(INDIRECT("'"&amp;$A23&amp;"'!B11:E11")), "", INDIRECT("'"&amp;$A23&amp;"'!B11:E11"))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IF(ISBLANK(INDIRECT("'"&amp;$A23&amp;"'!B29:G29")), "", INDIRECT("'"&amp;$A23&amp;"'!B29:G29"))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4" ht="14.45">
      <c r="A24" s="31" t="str">
        <v>DUC</v>
      </c>
      <c r="B24" s="33" t="str">
        <v>NC</v>
      </c>
      <c r="C24" s="146" t="str" cm="1">
        <f t="array" aca="1" ref="C24:F24" ca="1">IF(ISBLANK(INDIRECT("'"&amp;$A24&amp;"'!B11:E11")), "", INDIRECT("'"&amp;$A24&amp;"'!B11:E11"))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IF(ISBLANK(INDIRECT("'"&amp;$A24&amp;"'!B29:G29")), "", INDIRECT("'"&amp;$A24&amp;"'!B29:G29"))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4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IF(ISBLANK(INDIRECT("'"&amp;$A25&amp;"'!B11:E11")), "", INDIRECT("'"&amp;$A25&amp;"'!B11:E11"))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IF(ISBLANK(INDIRECT("'"&amp;$A25&amp;"'!B29:G29")), "", INDIRECT("'"&amp;$A25&amp;"'!B29:G29"))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/>
      </c>
    </row>
    <row r="26" spans="1:14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IF(ISBLANK(INDIRECT("'"&amp;$A26&amp;"'!B11:E11")), "", INDIRECT("'"&amp;$A26&amp;"'!B11:E11"))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IF(ISBLANK(INDIRECT("'"&amp;$A26&amp;"'!B29:G29")), "", INDIRECT("'"&amp;$A26&amp;"'!B29:G29"))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4" ht="14.45">
      <c r="A27" s="31" t="str">
        <v>Bordentown</v>
      </c>
      <c r="B27" s="33" t="str">
        <v>NJ</v>
      </c>
      <c r="C27" s="146" t="str" cm="1">
        <f t="array" aca="1" ref="C27:F27" ca="1">IF(ISBLANK(INDIRECT("'"&amp;$A27&amp;"'!B11:E11")), "", INDIRECT("'"&amp;$A27&amp;"'!B11:E11"))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IF(ISBLANK(INDIRECT("'"&amp;$A27&amp;"'!B29:G29")), "", INDIRECT("'"&amp;$A27&amp;"'!B29:G29"))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4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IF(ISBLANK(INDIRECT("'"&amp;$A28&amp;"'!B11:E11")), "", INDIRECT("'"&amp;$A28&amp;"'!B11:E11"))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IF(ISBLANK(INDIRECT("'"&amp;$A28&amp;"'!B29:G29")), "", INDIRECT("'"&amp;$A28&amp;"'!B29:G29"))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4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IF(ISBLANK(INDIRECT("'"&amp;$A29&amp;"'!B11:E11")), "", INDIRECT("'"&amp;$A29&amp;"'!B11:E11"))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IF(ISBLANK(INDIRECT("'"&amp;$A29&amp;"'!B29:G29")), "", INDIRECT("'"&amp;$A29&amp;"'!B29:G29"))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4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IF(ISBLANK(INDIRECT("'"&amp;$A30&amp;"'!B11:E11")), "", INDIRECT("'"&amp;$A30&amp;"'!B11:E11"))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IF(ISBLANK(INDIRECT("'"&amp;$A30&amp;"'!B29:G29")), "", INDIRECT("'"&amp;$A30&amp;"'!B29:G29"))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4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IF(ISBLANK(INDIRECT("'"&amp;$A31&amp;"'!B11:E11")), "", INDIRECT("'"&amp;$A31&amp;"'!B11:E11"))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IF(ISBLANK(INDIRECT("'"&amp;$A31&amp;"'!B29:G29")), "", INDIRECT("'"&amp;$A31&amp;"'!B29:G29"))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4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IF(ISBLANK(INDIRECT("'"&amp;$A32&amp;"'!B11:E11")), "", INDIRECT("'"&amp;$A32&amp;"'!B11:E11"))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IF(ISBLANK(INDIRECT("'"&amp;$A32&amp;"'!B29:G29")), "", INDIRECT("'"&amp;$A32&amp;"'!B29:G29"))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IF(ISBLANK(INDIRECT("'"&amp;$A33&amp;"'!B11:E11")), "", INDIRECT("'"&amp;$A33&amp;"'!B11:E11"))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IF(ISBLANK(INDIRECT("'"&amp;$A33&amp;"'!B29:G29")), "", INDIRECT("'"&amp;$A33&amp;"'!B29:G29"))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IF(ISBLANK(INDIRECT("'"&amp;$A34&amp;"'!B11:E11")), "", INDIRECT("'"&amp;$A34&amp;"'!B11:E11"))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IF(ISBLANK(INDIRECT("'"&amp;$A34&amp;"'!B29:G29")), "", INDIRECT("'"&amp;$A34&amp;"'!B29:G29"))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IF(ISBLANK(INDIRECT("'"&amp;$A35&amp;"'!B11:E11")), "", INDIRECT("'"&amp;$A35&amp;"'!B11:E11"))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IF(ISBLANK(INDIRECT("'"&amp;$A35&amp;"'!B29:G29")), "", INDIRECT("'"&amp;$A35&amp;"'!B29:G29"))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IF(ISBLANK(INDIRECT("'"&amp;$A36&amp;"'!B11:E11")), "", INDIRECT("'"&amp;$A36&amp;"'!B11:E11"))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IF(ISBLANK(INDIRECT("'"&amp;$A36&amp;"'!B29:G29")), "", INDIRECT("'"&amp;$A36&amp;"'!B29:G29"))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IF(ISBLANK(INDIRECT("'"&amp;$A37&amp;"'!B11:E11")), "", INDIRECT("'"&amp;$A37&amp;"'!B11:E11"))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IF(ISBLANK(INDIRECT("'"&amp;$A37&amp;"'!B29:G29")), "", INDIRECT("'"&amp;$A37&amp;"'!B29:G29"))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IF(ISBLANK(INDIRECT("'"&amp;$A38&amp;"'!B11:E11")), "", INDIRECT("'"&amp;$A38&amp;"'!B11:E11"))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IF(ISBLANK(INDIRECT("'"&amp;$A38&amp;"'!B29:G29")), "", INDIRECT("'"&amp;$A38&amp;"'!B29:G29"))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IF(ISBLANK(INDIRECT("'"&amp;$A39&amp;"'!B11:E11")), "", INDIRECT("'"&amp;$A39&amp;"'!B11:E11"))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IF(ISBLANK(INDIRECT("'"&amp;$A39&amp;"'!B29:G29")), "", INDIRECT("'"&amp;$A39&amp;"'!B29:G29"))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IF(ISBLANK(INDIRECT("'"&amp;$A40&amp;"'!B11:E11")), "", INDIRECT("'"&amp;$A40&amp;"'!B11:E11"))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IF(ISBLANK(INDIRECT("'"&amp;$A40&amp;"'!B29:G29")), "", INDIRECT("'"&amp;$A40&amp;"'!B29:G29"))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IF(ISBLANK(INDIRECT("'"&amp;$A41&amp;"'!B11:E11")), "", INDIRECT("'"&amp;$A41&amp;"'!B11:E11"))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IF(ISBLANK(INDIRECT("'"&amp;$A41&amp;"'!B29:G29")), "", INDIRECT("'"&amp;$A41&amp;"'!B29:G29"))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IF(ISBLANK(INDIRECT("'"&amp;$A42&amp;"'!B11:E11")), "", INDIRECT("'"&amp;$A42&amp;"'!B11:E11"))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IF(ISBLANK(INDIRECT("'"&amp;$A42&amp;"'!B29:G29")), "", INDIRECT("'"&amp;$A42&amp;"'!B29:G29"))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IF(ISBLANK(INDIRECT("'"&amp;$A43&amp;"'!B11:E11")), "", INDIRECT("'"&amp;$A43&amp;"'!B11:E11"))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IF(ISBLANK(INDIRECT("'"&amp;$A43&amp;"'!B29:G29")), "", INDIRECT("'"&amp;$A43&amp;"'!B29:G29"))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IF(ISBLANK(INDIRECT("'"&amp;$A44&amp;"'!B11:E11")), "", INDIRECT("'"&amp;$A44&amp;"'!B11:E11"))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IF(ISBLANK(INDIRECT("'"&amp;$A44&amp;"'!B29:G29")), "", INDIRECT("'"&amp;$A44&amp;"'!B29:G29"))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IF(ISBLANK(INDIRECT("'"&amp;$A45&amp;"'!B11:E11")), "", INDIRECT("'"&amp;$A45&amp;"'!B11:E11"))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IF(ISBLANK(INDIRECT("'"&amp;$A45&amp;"'!B29:G29")), "", INDIRECT("'"&amp;$A45&amp;"'!B29:G29"))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IF(ISBLANK(INDIRECT("'"&amp;$A46&amp;"'!B11:E11")), "", INDIRECT("'"&amp;$A46&amp;"'!B11:E11"))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IF(ISBLANK(INDIRECT("'"&amp;$A46&amp;"'!B29:G29")), "", INDIRECT("'"&amp;$A46&amp;"'!B29:G29"))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IF(ISBLANK(INDIRECT("'"&amp;$A47&amp;"'!B11:E11")), "", INDIRECT("'"&amp;$A47&amp;"'!B11:E11"))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IF(ISBLANK(INDIRECT("'"&amp;$A47&amp;"'!B29:G29")), "", INDIRECT("'"&amp;$A47&amp;"'!B29:G29"))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IF(ISBLANK(INDIRECT("'"&amp;$A48&amp;"'!B11:E11")), "", INDIRECT("'"&amp;$A48&amp;"'!B11:E11"))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IF(ISBLANK(INDIRECT("'"&amp;$A48&amp;"'!B29:G29")), "", INDIRECT("'"&amp;$A48&amp;"'!B29:G29"))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IF(ISBLANK(INDIRECT("'"&amp;$A49&amp;"'!B11:E11")), "", INDIRECT("'"&amp;$A49&amp;"'!B11:E11"))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IF(ISBLANK(INDIRECT("'"&amp;$A49&amp;"'!B29:G29")), "", INDIRECT("'"&amp;$A49&amp;"'!B29:G29"))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IF(ISBLANK(INDIRECT("'"&amp;$A50&amp;"'!B11:E11")), "", INDIRECT("'"&amp;$A50&amp;"'!B11:E11"))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IF(ISBLANK(INDIRECT("'"&amp;$A50&amp;"'!B29:G29")), "", INDIRECT("'"&amp;$A50&amp;"'!B29:G29"))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IF(ISBLANK(INDIRECT("'"&amp;$A51&amp;"'!B11:E11")), "", INDIRECT("'"&amp;$A51&amp;"'!B11:E11"))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IF(ISBLANK(INDIRECT("'"&amp;$A51&amp;"'!B29:G29")), "", INDIRECT("'"&amp;$A51&amp;"'!B29:G29"))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IF(ISBLANK(INDIRECT("'"&amp;$A52&amp;"'!B11:E11")), "", INDIRECT("'"&amp;$A52&amp;"'!B11:E11"))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IF(ISBLANK(INDIRECT("'"&amp;$A52&amp;"'!B29:G29")), "", INDIRECT("'"&amp;$A52&amp;"'!B29:G29"))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IF(ISBLANK(INDIRECT("'"&amp;$A53&amp;"'!B11:E11")), "", INDIRECT("'"&amp;$A53&amp;"'!B11:E11"))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IF(ISBLANK(INDIRECT("'"&amp;$A53&amp;"'!B29:G29")), "", INDIRECT("'"&amp;$A53&amp;"'!B29:G29"))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IF(ISBLANK(INDIRECT("'"&amp;$A54&amp;"'!B11:E11")), "", INDIRECT("'"&amp;$A54&amp;"'!B11:E11"))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IF(ISBLANK(INDIRECT("'"&amp;$A54&amp;"'!B29:G29")), "", INDIRECT("'"&amp;$A54&amp;"'!B29:G29"))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IF(ISBLANK(INDIRECT("'"&amp;$A55&amp;"'!B11:E11")), "", INDIRECT("'"&amp;$A55&amp;"'!B11:E11"))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IF(ISBLANK(INDIRECT("'"&amp;$A55&amp;"'!B29:G29")), "", INDIRECT("'"&amp;$A55&amp;"'!B29:G29"))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3.5" customHeight="1">
      <c r="A56" s="31" t="str">
        <v>102 - San Antonio Ops</v>
      </c>
      <c r="B56" s="33" t="str">
        <v>TX</v>
      </c>
      <c r="C56" s="146" t="str" cm="1">
        <f t="array" aca="1" ref="C56:F56" ca="1">IF(ISBLANK(INDIRECT("'"&amp;$A56&amp;"'!B11:E11")), "", INDIRECT("'"&amp;$A56&amp;"'!B11:E11"))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IF(ISBLANK(INDIRECT("'"&amp;$A56&amp;"'!B29:G29")), "", INDIRECT("'"&amp;$A56&amp;"'!B29:G29"))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3.5" customHeight="1">
      <c r="A57" s="31" t="str">
        <v>104 - San Antonio Ops</v>
      </c>
      <c r="B57" s="33" t="str">
        <v>TX</v>
      </c>
      <c r="C57" s="146" t="str" cm="1">
        <f t="array" aca="1" ref="C57:F57" ca="1">IF(ISBLANK(INDIRECT("'"&amp;$A57&amp;"'!B11:E11")), "", INDIRECT("'"&amp;$A57&amp;"'!B11:E11"))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IF(ISBLANK(INDIRECT("'"&amp;$A57&amp;"'!B29:G29")), "", INDIRECT("'"&amp;$A57&amp;"'!B29:G29"))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IF(ISBLANK(INDIRECT("'"&amp;$A58&amp;"'!B11:E11")), "", INDIRECT("'"&amp;$A58&amp;"'!B11:E11"))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IF(ISBLANK(INDIRECT("'"&amp;$A58&amp;"'!B29:G29")), "", INDIRECT("'"&amp;$A58&amp;"'!B29:G29"))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IF(ISBLANK(INDIRECT("'"&amp;$A59&amp;"'!B11:E11")), "", INDIRECT("'"&amp;$A59&amp;"'!B11:E11"))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IF(ISBLANK(INDIRECT("'"&amp;$A59&amp;"'!B29:G29")), "", INDIRECT("'"&amp;$A59&amp;"'!B29:G29"))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IF(ISBLANK(INDIRECT("'"&amp;$A60&amp;"'!B11:E11")), "", INDIRECT("'"&amp;$A60&amp;"'!B11:E11"))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IF(ISBLANK(INDIRECT("'"&amp;$A60&amp;"'!B29:G29")), "", INDIRECT("'"&amp;$A60&amp;"'!B29:G29"))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IF(ISBLANK(INDIRECT("'"&amp;$A61&amp;"'!B11:E11")), "", INDIRECT("'"&amp;$A61&amp;"'!B11:E11"))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IF(ISBLANK(INDIRECT("'"&amp;$A61&amp;"'!B29:G29")), "", INDIRECT("'"&amp;$A61&amp;"'!B29:G29"))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IF(ISBLANK(INDIRECT("'"&amp;$A62&amp;"'!B11:E11")), "", INDIRECT("'"&amp;$A62&amp;"'!B11:E11"))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IF(ISBLANK(INDIRECT("'"&amp;$A62&amp;"'!B29:G29")), "", INDIRECT("'"&amp;$A62&amp;"'!B29:G29"))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IF(ISBLANK(INDIRECT("'"&amp;$A63&amp;"'!B11:E11")), "", INDIRECT("'"&amp;$A63&amp;"'!B11:E11"))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IF(ISBLANK(INDIRECT("'"&amp;$A63&amp;"'!B29:G29")), "", INDIRECT("'"&amp;$A63&amp;"'!B29:G29"))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30" customHeight="1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IF(ISBLANK(INDIRECT("'"&amp;$A64&amp;"'!B11:E11")), "", INDIRECT("'"&amp;$A64&amp;"'!B11:E11"))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IF(ISBLANK(INDIRECT("'"&amp;$A64&amp;"'!B29:G29")), "", INDIRECT("'"&amp;$A64&amp;"'!B29:G29"))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5" t="str">
        <f ca="1"/>
        <v/>
      </c>
    </row>
    <row r="65" spans="1:13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181"/>
      <c r="M65" s="75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38" priority="3" operator="equal">
      <formula>"-"</formula>
    </cfRule>
  </conditionalFormatting>
  <conditionalFormatting sqref="F3:F65 K3:K65">
    <cfRule type="cellIs" dxfId="37" priority="4" operator="lessThanOrEqual">
      <formula>-0.1</formula>
    </cfRule>
    <cfRule type="cellIs" dxfId="36" priority="5" operator="greaterThanOrEqual">
      <formula>0.1</formula>
    </cfRule>
  </conditionalFormatting>
  <conditionalFormatting sqref="F65 K65">
    <cfRule type="cellIs" dxfId="35" priority="1" operator="equal">
      <formula>"-"</formula>
    </cfRule>
  </conditionalFormatting>
  <conditionalFormatting sqref="K3:K64">
    <cfRule type="cellIs" dxfId="34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65"/>
  <sheetViews>
    <sheetView workbookViewId="0">
      <pane ySplit="2" topLeftCell="A24" activePane="bottomLeft" state="frozen"/>
      <selection pane="bottomLeft" activeCell="K73" sqref="K73"/>
      <selection activeCell="K73" sqref="K7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47.140625" customWidth="1"/>
    <col min="13" max="13" width="11" bestFit="1" customWidth="1"/>
  </cols>
  <sheetData>
    <row r="1" spans="1:13" ht="19.5" customHeight="1">
      <c r="A1" s="244" t="s">
        <v>0</v>
      </c>
      <c r="B1" s="245"/>
      <c r="C1" s="238" t="s">
        <v>35</v>
      </c>
      <c r="D1" s="239"/>
      <c r="E1" s="239"/>
      <c r="F1" s="240"/>
      <c r="G1" s="45"/>
      <c r="H1" s="241" t="s">
        <v>36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IF(ISBLANK(INDIRECT("'"&amp;$A3&amp;"'!B12:E12")), "", INDIRECT("'"&amp;$A3&amp;"'!B12:E12"))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IF(ISBLANK(INDIRECT("'"&amp;$A3&amp;"'!B30:G30")), "", INDIRECT("'"&amp;$A3&amp;"'!B30:G30"))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IF(ISBLANK(INDIRECT("'"&amp;$A4&amp;"'!B12:E12")), "", INDIRECT("'"&amp;$A4&amp;"'!B12:E12"))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IF(ISBLANK(INDIRECT("'"&amp;$A4&amp;"'!B30:G30")), "", INDIRECT("'"&amp;$A4&amp;"'!B30:G30"))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IF(ISBLANK(INDIRECT("'"&amp;$A5&amp;"'!B12:E12")), "", INDIRECT("'"&amp;$A5&amp;"'!B12:E12"))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IF(ISBLANK(INDIRECT("'"&amp;$A5&amp;"'!B30:G30")), "", INDIRECT("'"&amp;$A5&amp;"'!B30:G30"))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IF(ISBLANK(INDIRECT("'"&amp;$A6&amp;"'!B12:E12")), "", INDIRECT("'"&amp;$A6&amp;"'!B12:E12"))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IF(ISBLANK(INDIRECT("'"&amp;$A6&amp;"'!B30:G30")), "", INDIRECT("'"&amp;$A6&amp;"'!B30:G30"))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IF(ISBLANK(INDIRECT("'"&amp;$A7&amp;"'!B12:E12")), "", INDIRECT("'"&amp;$A7&amp;"'!B12:E12"))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IF(ISBLANK(INDIRECT("'"&amp;$A7&amp;"'!B30:G30")), "", INDIRECT("'"&amp;$A7&amp;"'!B30:G30"))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IF(ISBLANK(INDIRECT("'"&amp;$A8&amp;"'!B12:E12")), "", INDIRECT("'"&amp;$A8&amp;"'!B12:E12"))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IF(ISBLANK(INDIRECT("'"&amp;$A8&amp;"'!B30:G30")), "", INDIRECT("'"&amp;$A8&amp;"'!B30:G30"))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IF(ISBLANK(INDIRECT("'"&amp;$A9&amp;"'!B12:E12")), "", INDIRECT("'"&amp;$A9&amp;"'!B12:E12"))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IF(ISBLANK(INDIRECT("'"&amp;$A9&amp;"'!B30:G30")), "", INDIRECT("'"&amp;$A9&amp;"'!B30:G30"))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IF(ISBLANK(INDIRECT("'"&amp;$A10&amp;"'!B12:E12")), "", INDIRECT("'"&amp;$A10&amp;"'!B12:E12"))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IF(ISBLANK(INDIRECT("'"&amp;$A10&amp;"'!B30:G30")), "", INDIRECT("'"&amp;$A10&amp;"'!B30:G30"))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IF(ISBLANK(INDIRECT("'"&amp;$A11&amp;"'!B12:E12")), "", INDIRECT("'"&amp;$A11&amp;"'!B12:E12"))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IF(ISBLANK(INDIRECT("'"&amp;$A11&amp;"'!B30:G30")), "", INDIRECT("'"&amp;$A11&amp;"'!B30:G30"))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IF(ISBLANK(INDIRECT("'"&amp;$A12&amp;"'!B12:E12")), "", INDIRECT("'"&amp;$A12&amp;"'!B12:E12"))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IF(ISBLANK(INDIRECT("'"&amp;$A12&amp;"'!B30:G30")), "", INDIRECT("'"&amp;$A12&amp;"'!B30:G30"))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IF(ISBLANK(INDIRECT("'"&amp;$A13&amp;"'!B12:E12")), "", INDIRECT("'"&amp;$A13&amp;"'!B12:E12"))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IF(ISBLANK(INDIRECT("'"&amp;$A13&amp;"'!B30:G30")), "", INDIRECT("'"&amp;$A13&amp;"'!B30:G30"))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IF(ISBLANK(INDIRECT("'"&amp;$A14&amp;"'!B12:E12")), "", INDIRECT("'"&amp;$A14&amp;"'!B12:E12"))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IF(ISBLANK(INDIRECT("'"&amp;$A14&amp;"'!B30:G30")), "", INDIRECT("'"&amp;$A14&amp;"'!B30:G30"))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IF(ISBLANK(INDIRECT("'"&amp;$A15&amp;"'!B12:E12")), "", INDIRECT("'"&amp;$A15&amp;"'!B12:E12"))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IF(ISBLANK(INDIRECT("'"&amp;$A15&amp;"'!B30:G30")), "", INDIRECT("'"&amp;$A15&amp;"'!B30:G30"))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IF(ISBLANK(INDIRECT("'"&amp;$A16&amp;"'!B12:E12")), "", INDIRECT("'"&amp;$A16&amp;"'!B12:E12"))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IF(ISBLANK(INDIRECT("'"&amp;$A16&amp;"'!B30:G30")), "", INDIRECT("'"&amp;$A16&amp;"'!B30:G30"))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IF(ISBLANK(INDIRECT("'"&amp;$A17&amp;"'!B12:E12")), "", INDIRECT("'"&amp;$A17&amp;"'!B12:E12"))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IF(ISBLANK(INDIRECT("'"&amp;$A17&amp;"'!B30:G30")), "", INDIRECT("'"&amp;$A17&amp;"'!B30:G30"))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IF(ISBLANK(INDIRECT("'"&amp;$A18&amp;"'!B12:E12")), "", INDIRECT("'"&amp;$A18&amp;"'!B12:E12"))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IF(ISBLANK(INDIRECT("'"&amp;$A18&amp;"'!B30:G30")), "", INDIRECT("'"&amp;$A18&amp;"'!B30:G30"))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IF(ISBLANK(INDIRECT("'"&amp;$A19&amp;"'!B12:E12")), "", INDIRECT("'"&amp;$A19&amp;"'!B12:E12"))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IF(ISBLANK(INDIRECT("'"&amp;$A19&amp;"'!B30:G30")), "", INDIRECT("'"&amp;$A19&amp;"'!B30:G30"))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IF(ISBLANK(INDIRECT("'"&amp;$A20&amp;"'!B12:E12")), "", INDIRECT("'"&amp;$A20&amp;"'!B12:E12"))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IF(ISBLANK(INDIRECT("'"&amp;$A20&amp;"'!B30:G30")), "", INDIRECT("'"&amp;$A20&amp;"'!B30:G30"))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IF(ISBLANK(INDIRECT("'"&amp;$A21&amp;"'!B12:E12")), "", INDIRECT("'"&amp;$A21&amp;"'!B12:E12"))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IF(ISBLANK(INDIRECT("'"&amp;$A21&amp;"'!B30:G30")), "", INDIRECT("'"&amp;$A21&amp;"'!B30:G30"))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IF(ISBLANK(INDIRECT("'"&amp;$A22&amp;"'!B12:E12")), "", INDIRECT("'"&amp;$A22&amp;"'!B12:E12"))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IF(ISBLANK(INDIRECT("'"&amp;$A22&amp;"'!B30:G30")), "", INDIRECT("'"&amp;$A22&amp;"'!B30:G30"))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IF(ISBLANK(INDIRECT("'"&amp;$A23&amp;"'!B12:E12")), "", INDIRECT("'"&amp;$A23&amp;"'!B12:E12"))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IF(ISBLANK(INDIRECT("'"&amp;$A23&amp;"'!B30:G30")), "", INDIRECT("'"&amp;$A23&amp;"'!B30:G30"))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IF(ISBLANK(INDIRECT("'"&amp;$A24&amp;"'!B12:E12")), "", INDIRECT("'"&amp;$A24&amp;"'!B12:E12"))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IF(ISBLANK(INDIRECT("'"&amp;$A24&amp;"'!B30:G30")), "", INDIRECT("'"&amp;$A24&amp;"'!B30:G30"))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IF(ISBLANK(INDIRECT("'"&amp;$A25&amp;"'!B12:E12")), "", INDIRECT("'"&amp;$A25&amp;"'!B12:E12"))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IF(ISBLANK(INDIRECT("'"&amp;$A25&amp;"'!B30:G30")), "", INDIRECT("'"&amp;$A25&amp;"'!B30:G30"))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IF(ISBLANK(INDIRECT("'"&amp;$A26&amp;"'!B12:E12")), "", INDIRECT("'"&amp;$A26&amp;"'!B12:E12"))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IF(ISBLANK(INDIRECT("'"&amp;$A26&amp;"'!B30:G30")), "", INDIRECT("'"&amp;$A26&amp;"'!B30:G30"))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IF(ISBLANK(INDIRECT("'"&amp;$A27&amp;"'!B12:E12")), "", INDIRECT("'"&amp;$A27&amp;"'!B12:E12"))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IF(ISBLANK(INDIRECT("'"&amp;$A27&amp;"'!B30:G30")), "", INDIRECT("'"&amp;$A27&amp;"'!B30:G30"))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IF(ISBLANK(INDIRECT("'"&amp;$A28&amp;"'!B12:E12")), "", INDIRECT("'"&amp;$A28&amp;"'!B12:E12"))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IF(ISBLANK(INDIRECT("'"&amp;$A28&amp;"'!B30:G30")), "", INDIRECT("'"&amp;$A28&amp;"'!B30:G30"))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IF(ISBLANK(INDIRECT("'"&amp;$A29&amp;"'!B12:E12")), "", INDIRECT("'"&amp;$A29&amp;"'!B12:E12"))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IF(ISBLANK(INDIRECT("'"&amp;$A29&amp;"'!B30:G30")), "", INDIRECT("'"&amp;$A29&amp;"'!B30:G30"))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IF(ISBLANK(INDIRECT("'"&amp;$A30&amp;"'!B12:E12")), "", INDIRECT("'"&amp;$A30&amp;"'!B12:E12"))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IF(ISBLANK(INDIRECT("'"&amp;$A30&amp;"'!B30:G30")), "", INDIRECT("'"&amp;$A30&amp;"'!B30:G30"))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IF(ISBLANK(INDIRECT("'"&amp;$A31&amp;"'!B12:E12")), "", INDIRECT("'"&amp;$A31&amp;"'!B12:E12"))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IF(ISBLANK(INDIRECT("'"&amp;$A31&amp;"'!B30:G30")), "", INDIRECT("'"&amp;$A31&amp;"'!B30:G30"))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IF(ISBLANK(INDIRECT("'"&amp;$A32&amp;"'!B12:E12")), "", INDIRECT("'"&amp;$A32&amp;"'!B12:E12"))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IF(ISBLANK(INDIRECT("'"&amp;$A32&amp;"'!B30:G30")), "", INDIRECT("'"&amp;$A32&amp;"'!B30:G30"))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IF(ISBLANK(INDIRECT("'"&amp;$A33&amp;"'!B12:E12")), "", INDIRECT("'"&amp;$A33&amp;"'!B12:E12"))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IF(ISBLANK(INDIRECT("'"&amp;$A33&amp;"'!B30:G30")), "", INDIRECT("'"&amp;$A33&amp;"'!B30:G30"))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IF(ISBLANK(INDIRECT("'"&amp;$A34&amp;"'!B12:E12")), "", INDIRECT("'"&amp;$A34&amp;"'!B12:E12"))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IF(ISBLANK(INDIRECT("'"&amp;$A34&amp;"'!B30:G30")), "", INDIRECT("'"&amp;$A34&amp;"'!B30:G30"))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IF(ISBLANK(INDIRECT("'"&amp;$A35&amp;"'!B12:E12")), "", INDIRECT("'"&amp;$A35&amp;"'!B12:E12"))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IF(ISBLANK(INDIRECT("'"&amp;$A35&amp;"'!B30:G30")), "", INDIRECT("'"&amp;$A35&amp;"'!B30:G30"))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IF(ISBLANK(INDIRECT("'"&amp;$A36&amp;"'!B12:E12")), "", INDIRECT("'"&amp;$A36&amp;"'!B12:E12"))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IF(ISBLANK(INDIRECT("'"&amp;$A36&amp;"'!B30:G30")), "", INDIRECT("'"&amp;$A36&amp;"'!B30:G30"))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IF(ISBLANK(INDIRECT("'"&amp;$A37&amp;"'!B12:E12")), "", INDIRECT("'"&amp;$A37&amp;"'!B12:E12"))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IF(ISBLANK(INDIRECT("'"&amp;$A37&amp;"'!B30:G30")), "", INDIRECT("'"&amp;$A37&amp;"'!B30:G30"))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IF(ISBLANK(INDIRECT("'"&amp;$A38&amp;"'!B12:E12")), "", INDIRECT("'"&amp;$A38&amp;"'!B12:E12"))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IF(ISBLANK(INDIRECT("'"&amp;$A38&amp;"'!B30:G30")), "", INDIRECT("'"&amp;$A38&amp;"'!B30:G30"))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IF(ISBLANK(INDIRECT("'"&amp;$A39&amp;"'!B12:E12")), "", INDIRECT("'"&amp;$A39&amp;"'!B12:E12"))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IF(ISBLANK(INDIRECT("'"&amp;$A39&amp;"'!B30:G30")), "", INDIRECT("'"&amp;$A39&amp;"'!B30:G30"))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IF(ISBLANK(INDIRECT("'"&amp;$A40&amp;"'!B12:E12")), "", INDIRECT("'"&amp;$A40&amp;"'!B12:E12"))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IF(ISBLANK(INDIRECT("'"&amp;$A40&amp;"'!B30:G30")), "", INDIRECT("'"&amp;$A40&amp;"'!B30:G30"))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IF(ISBLANK(INDIRECT("'"&amp;$A41&amp;"'!B12:E12")), "", INDIRECT("'"&amp;$A41&amp;"'!B12:E12"))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IF(ISBLANK(INDIRECT("'"&amp;$A41&amp;"'!B30:G30")), "", INDIRECT("'"&amp;$A41&amp;"'!B30:G30"))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IF(ISBLANK(INDIRECT("'"&amp;$A42&amp;"'!B12:E12")), "", INDIRECT("'"&amp;$A42&amp;"'!B12:E12"))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IF(ISBLANK(INDIRECT("'"&amp;$A42&amp;"'!B30:G30")), "", INDIRECT("'"&amp;$A42&amp;"'!B30:G30"))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IF(ISBLANK(INDIRECT("'"&amp;$A43&amp;"'!B12:E12")), "", INDIRECT("'"&amp;$A43&amp;"'!B12:E12"))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IF(ISBLANK(INDIRECT("'"&amp;$A43&amp;"'!B30:G30")), "", INDIRECT("'"&amp;$A43&amp;"'!B30:G30"))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IF(ISBLANK(INDIRECT("'"&amp;$A44&amp;"'!B12:E12")), "", INDIRECT("'"&amp;$A44&amp;"'!B12:E12"))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IF(ISBLANK(INDIRECT("'"&amp;$A44&amp;"'!B30:G30")), "", INDIRECT("'"&amp;$A44&amp;"'!B30:G30"))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IF(ISBLANK(INDIRECT("'"&amp;$A45&amp;"'!B12:E12")), "", INDIRECT("'"&amp;$A45&amp;"'!B12:E12"))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IF(ISBLANK(INDIRECT("'"&amp;$A45&amp;"'!B30:G30")), "", INDIRECT("'"&amp;$A45&amp;"'!B30:G30"))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IF(ISBLANK(INDIRECT("'"&amp;$A46&amp;"'!B12:E12")), "", INDIRECT("'"&amp;$A46&amp;"'!B12:E12"))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IF(ISBLANK(INDIRECT("'"&amp;$A46&amp;"'!B30:G30")), "", INDIRECT("'"&amp;$A46&amp;"'!B30:G30"))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IF(ISBLANK(INDIRECT("'"&amp;$A47&amp;"'!B12:E12")), "", INDIRECT("'"&amp;$A47&amp;"'!B12:E12"))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IF(ISBLANK(INDIRECT("'"&amp;$A47&amp;"'!B30:G30")), "", INDIRECT("'"&amp;$A47&amp;"'!B30:G30"))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IF(ISBLANK(INDIRECT("'"&amp;$A48&amp;"'!B12:E12")), "", INDIRECT("'"&amp;$A48&amp;"'!B12:E12"))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IF(ISBLANK(INDIRECT("'"&amp;$A48&amp;"'!B30:G30")), "", INDIRECT("'"&amp;$A48&amp;"'!B30:G30"))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IF(ISBLANK(INDIRECT("'"&amp;$A49&amp;"'!B12:E12")), "", INDIRECT("'"&amp;$A49&amp;"'!B12:E12"))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IF(ISBLANK(INDIRECT("'"&amp;$A49&amp;"'!B30:G30")), "", INDIRECT("'"&amp;$A49&amp;"'!B30:G30"))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IF(ISBLANK(INDIRECT("'"&amp;$A50&amp;"'!B12:E12")), "", INDIRECT("'"&amp;$A50&amp;"'!B12:E12"))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IF(ISBLANK(INDIRECT("'"&amp;$A50&amp;"'!B30:G30")), "", INDIRECT("'"&amp;$A50&amp;"'!B30:G30"))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IF(ISBLANK(INDIRECT("'"&amp;$A51&amp;"'!B12:E12")), "", INDIRECT("'"&amp;$A51&amp;"'!B12:E12"))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IF(ISBLANK(INDIRECT("'"&amp;$A51&amp;"'!B30:G30")), "", INDIRECT("'"&amp;$A51&amp;"'!B30:G30"))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IF(ISBLANK(INDIRECT("'"&amp;$A52&amp;"'!B12:E12")), "", INDIRECT("'"&amp;$A52&amp;"'!B12:E12"))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IF(ISBLANK(INDIRECT("'"&amp;$A52&amp;"'!B30:G30")), "", INDIRECT("'"&amp;$A52&amp;"'!B30:G30"))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IF(ISBLANK(INDIRECT("'"&amp;$A53&amp;"'!B12:E12")), "", INDIRECT("'"&amp;$A53&amp;"'!B12:E12"))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IF(ISBLANK(INDIRECT("'"&amp;$A53&amp;"'!B30:G30")), "", INDIRECT("'"&amp;$A53&amp;"'!B30:G30"))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IF(ISBLANK(INDIRECT("'"&amp;$A54&amp;"'!B12:E12")), "", INDIRECT("'"&amp;$A54&amp;"'!B12:E12"))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IF(ISBLANK(INDIRECT("'"&amp;$A54&amp;"'!B30:G30")), "", INDIRECT("'"&amp;$A54&amp;"'!B30:G30"))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IF(ISBLANK(INDIRECT("'"&amp;$A55&amp;"'!B12:E12")), "", INDIRECT("'"&amp;$A55&amp;"'!B12:E12"))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IF(ISBLANK(INDIRECT("'"&amp;$A55&amp;"'!B30:G30")), "", INDIRECT("'"&amp;$A55&amp;"'!B30:G30"))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4.45">
      <c r="A56" s="31" t="str">
        <v>102 - San Antonio Ops</v>
      </c>
      <c r="B56" s="33" t="str">
        <v>TX</v>
      </c>
      <c r="C56" s="146" t="str" cm="1">
        <f t="array" aca="1" ref="C56:F56" ca="1">IF(ISBLANK(INDIRECT("'"&amp;$A56&amp;"'!B12:E12")), "", INDIRECT("'"&amp;$A56&amp;"'!B12:E12"))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IF(ISBLANK(INDIRECT("'"&amp;$A56&amp;"'!B30:G30")), "", INDIRECT("'"&amp;$A56&amp;"'!B30:G30"))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4.45">
      <c r="A57" s="31" t="str">
        <v>104 - San Antonio Ops</v>
      </c>
      <c r="B57" s="33" t="str">
        <v>TX</v>
      </c>
      <c r="C57" s="146" t="str" cm="1">
        <f t="array" aca="1" ref="C57:F57" ca="1">IF(ISBLANK(INDIRECT("'"&amp;$A57&amp;"'!B12:E12")), "", INDIRECT("'"&amp;$A57&amp;"'!B12:E12"))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IF(ISBLANK(INDIRECT("'"&amp;$A57&amp;"'!B30:G30")), "", INDIRECT("'"&amp;$A57&amp;"'!B30:G30"))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IF(ISBLANK(INDIRECT("'"&amp;$A58&amp;"'!B12:E12")), "", INDIRECT("'"&amp;$A58&amp;"'!B12:E12"))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IF(ISBLANK(INDIRECT("'"&amp;$A58&amp;"'!B30:G30")), "", INDIRECT("'"&amp;$A58&amp;"'!B30:G30"))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IF(ISBLANK(INDIRECT("'"&amp;$A59&amp;"'!B12:E12")), "", INDIRECT("'"&amp;$A59&amp;"'!B12:E12"))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IF(ISBLANK(INDIRECT("'"&amp;$A59&amp;"'!B30:G30")), "", INDIRECT("'"&amp;$A59&amp;"'!B30:G30"))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IF(ISBLANK(INDIRECT("'"&amp;$A60&amp;"'!B12:E12")), "", INDIRECT("'"&amp;$A60&amp;"'!B12:E12"))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IF(ISBLANK(INDIRECT("'"&amp;$A60&amp;"'!B30:G30")), "", INDIRECT("'"&amp;$A60&amp;"'!B30:G30"))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IF(ISBLANK(INDIRECT("'"&amp;$A61&amp;"'!B12:E12")), "", INDIRECT("'"&amp;$A61&amp;"'!B12:E12"))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IF(ISBLANK(INDIRECT("'"&amp;$A61&amp;"'!B30:G30")), "", INDIRECT("'"&amp;$A61&amp;"'!B30:G30"))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IF(ISBLANK(INDIRECT("'"&amp;$A62&amp;"'!B12:E12")), "", INDIRECT("'"&amp;$A62&amp;"'!B12:E12"))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IF(ISBLANK(INDIRECT("'"&amp;$A62&amp;"'!B30:G30")), "", INDIRECT("'"&amp;$A62&amp;"'!B30:G30"))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IF(ISBLANK(INDIRECT("'"&amp;$A63&amp;"'!B12:E12")), "", INDIRECT("'"&amp;$A63&amp;"'!B12:E12"))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IF(ISBLANK(INDIRECT("'"&amp;$A63&amp;"'!B30:G30")), "", INDIRECT("'"&amp;$A63&amp;"'!B30:G30"))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IF(ISBLANK(INDIRECT("'"&amp;$A64&amp;"'!B12:E12")), "", INDIRECT("'"&amp;$A64&amp;"'!B12:E12"))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IF(ISBLANK(INDIRECT("'"&amp;$A64&amp;"'!B30:G30")), "", INDIRECT("'"&amp;$A64&amp;"'!B30:G30"))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6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61"/>
    </row>
  </sheetData>
  <sortState xmlns:xlrd2="http://schemas.microsoft.com/office/spreadsheetml/2017/richdata2" ref="A3:K19">
    <sortCondition ref="A3:A19"/>
  </sortState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33" priority="3" operator="equal">
      <formula>"-"</formula>
    </cfRule>
  </conditionalFormatting>
  <conditionalFormatting sqref="F3:F65 K3:K65">
    <cfRule type="cellIs" dxfId="32" priority="4" operator="lessThanOrEqual">
      <formula>-0.1</formula>
    </cfRule>
    <cfRule type="cellIs" dxfId="31" priority="5" operator="greaterThanOrEqual">
      <formula>0.1</formula>
    </cfRule>
  </conditionalFormatting>
  <conditionalFormatting sqref="F65 K65">
    <cfRule type="cellIs" dxfId="30" priority="1" operator="equal">
      <formula>"-"</formula>
    </cfRule>
  </conditionalFormatting>
  <conditionalFormatting sqref="K3:K64">
    <cfRule type="cellIs" dxfId="29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65"/>
  <sheetViews>
    <sheetView zoomScaleNormal="100" workbookViewId="0">
      <pane ySplit="2" topLeftCell="A47" activePane="bottomLeft" state="frozen"/>
      <selection pane="bottomLeft" activeCell="L53" sqref="L53"/>
      <selection activeCell="L53" sqref="L5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74" customWidth="1"/>
    <col min="13" max="13" width="12" customWidth="1"/>
  </cols>
  <sheetData>
    <row r="1" spans="1:13" ht="19.5" customHeight="1">
      <c r="A1" s="244" t="s">
        <v>0</v>
      </c>
      <c r="B1" s="245"/>
      <c r="C1" s="238" t="s">
        <v>37</v>
      </c>
      <c r="D1" s="239"/>
      <c r="E1" s="239"/>
      <c r="F1" s="240"/>
      <c r="G1" s="45"/>
      <c r="H1" s="241" t="s">
        <v>38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IF(ISBLANK(INDIRECT("'"&amp;$A3&amp;"'!B13:E13")), "", INDIRECT("'"&amp;$A3&amp;"'!B13:E13"))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IF(ISBLANK(INDIRECT("'"&amp;$A3&amp;"'!B31:G31")), "", INDIRECT("'"&amp;$A3&amp;"'!B31:G31"))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IF(ISBLANK(INDIRECT("'"&amp;$A4&amp;"'!B13:E13")), "", INDIRECT("'"&amp;$A4&amp;"'!B13:E13"))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IF(ISBLANK(INDIRECT("'"&amp;$A4&amp;"'!B31:G31")), "", INDIRECT("'"&amp;$A4&amp;"'!B31:G31"))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IF(ISBLANK(INDIRECT("'"&amp;$A5&amp;"'!B13:E13")), "", INDIRECT("'"&amp;$A5&amp;"'!B13:E13"))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IF(ISBLANK(INDIRECT("'"&amp;$A5&amp;"'!B31:G31")), "", INDIRECT("'"&amp;$A5&amp;"'!B31:G31"))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IF(ISBLANK(INDIRECT("'"&amp;$A6&amp;"'!B13:E13")), "", INDIRECT("'"&amp;$A6&amp;"'!B13:E13"))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IF(ISBLANK(INDIRECT("'"&amp;$A6&amp;"'!B31:G31")), "", INDIRECT("'"&amp;$A6&amp;"'!B31:G31"))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6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IF(ISBLANK(INDIRECT("'"&amp;$A7&amp;"'!B13:E13")), "", INDIRECT("'"&amp;$A7&amp;"'!B13:E13"))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IF(ISBLANK(INDIRECT("'"&amp;$A7&amp;"'!B31:G31")), "", INDIRECT("'"&amp;$A7&amp;"'!B31:G31"))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6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IF(ISBLANK(INDIRECT("'"&amp;$A8&amp;"'!B13:E13")), "", INDIRECT("'"&amp;$A8&amp;"'!B13:E13"))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IF(ISBLANK(INDIRECT("'"&amp;$A8&amp;"'!B31:G31")), "", INDIRECT("'"&amp;$A8&amp;"'!B31:G31"))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6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IF(ISBLANK(INDIRECT("'"&amp;$A9&amp;"'!B13:E13")), "", INDIRECT("'"&amp;$A9&amp;"'!B13:E13"))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IF(ISBLANK(INDIRECT("'"&amp;$A9&amp;"'!B31:G31")), "", INDIRECT("'"&amp;$A9&amp;"'!B31:G31"))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6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IF(ISBLANK(INDIRECT("'"&amp;$A10&amp;"'!B13:E13")), "", INDIRECT("'"&amp;$A10&amp;"'!B13:E13"))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IF(ISBLANK(INDIRECT("'"&amp;$A10&amp;"'!B31:G31")), "", INDIRECT("'"&amp;$A10&amp;"'!B31:G31"))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6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IF(ISBLANK(INDIRECT("'"&amp;$A11&amp;"'!B13:E13")), "", INDIRECT("'"&amp;$A11&amp;"'!B13:E13"))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IF(ISBLANK(INDIRECT("'"&amp;$A11&amp;"'!B31:G31")), "", INDIRECT("'"&amp;$A11&amp;"'!B31:G31"))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6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IF(ISBLANK(INDIRECT("'"&amp;$A12&amp;"'!B13:E13")), "", INDIRECT("'"&amp;$A12&amp;"'!B13:E13"))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IF(ISBLANK(INDIRECT("'"&amp;$A12&amp;"'!B31:G31")), "", INDIRECT("'"&amp;$A12&amp;"'!B31:G31"))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6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IF(ISBLANK(INDIRECT("'"&amp;$A13&amp;"'!B13:E13")), "", INDIRECT("'"&amp;$A13&amp;"'!B13:E13"))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IF(ISBLANK(INDIRECT("'"&amp;$A13&amp;"'!B31:G31")), "", INDIRECT("'"&amp;$A13&amp;"'!B31:G31"))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6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IF(ISBLANK(INDIRECT("'"&amp;$A14&amp;"'!B13:E13")), "", INDIRECT("'"&amp;$A14&amp;"'!B13:E13"))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IF(ISBLANK(INDIRECT("'"&amp;$A14&amp;"'!B31:G31")), "", INDIRECT("'"&amp;$A14&amp;"'!B31:G31"))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6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IF(ISBLANK(INDIRECT("'"&amp;$A15&amp;"'!B13:E13")), "", INDIRECT("'"&amp;$A15&amp;"'!B13:E13"))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IF(ISBLANK(INDIRECT("'"&amp;$A15&amp;"'!B31:G31")), "", INDIRECT("'"&amp;$A15&amp;"'!B31:G31"))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6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IF(ISBLANK(INDIRECT("'"&amp;$A16&amp;"'!B13:E13")), "", INDIRECT("'"&amp;$A16&amp;"'!B13:E13"))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IF(ISBLANK(INDIRECT("'"&amp;$A16&amp;"'!B31:G31")), "", INDIRECT("'"&amp;$A16&amp;"'!B31:G31"))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6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IF(ISBLANK(INDIRECT("'"&amp;$A17&amp;"'!B13:E13")), "", INDIRECT("'"&amp;$A17&amp;"'!B13:E13"))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IF(ISBLANK(INDIRECT("'"&amp;$A17&amp;"'!B31:G31")), "", INDIRECT("'"&amp;$A17&amp;"'!B31:G31"))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6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IF(ISBLANK(INDIRECT("'"&amp;$A18&amp;"'!B13:E13")), "", INDIRECT("'"&amp;$A18&amp;"'!B13:E13"))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IF(ISBLANK(INDIRECT("'"&amp;$A18&amp;"'!B31:G31")), "", INDIRECT("'"&amp;$A18&amp;"'!B31:G31"))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6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IF(ISBLANK(INDIRECT("'"&amp;$A19&amp;"'!B13:E13")), "", INDIRECT("'"&amp;$A19&amp;"'!B13:E13"))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IF(ISBLANK(INDIRECT("'"&amp;$A19&amp;"'!B31:G31")), "", INDIRECT("'"&amp;$A19&amp;"'!B31:G31"))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6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IF(ISBLANK(INDIRECT("'"&amp;$A20&amp;"'!B13:E13")), "", INDIRECT("'"&amp;$A20&amp;"'!B13:E13"))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IF(ISBLANK(INDIRECT("'"&amp;$A20&amp;"'!B31:G31")), "", INDIRECT("'"&amp;$A20&amp;"'!B31:G31"))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6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IF(ISBLANK(INDIRECT("'"&amp;$A21&amp;"'!B13:E13")), "", INDIRECT("'"&amp;$A21&amp;"'!B13:E13"))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IF(ISBLANK(INDIRECT("'"&amp;$A21&amp;"'!B31:G31")), "", INDIRECT("'"&amp;$A21&amp;"'!B31:G31"))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6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IF(ISBLANK(INDIRECT("'"&amp;$A22&amp;"'!B13:E13")), "", INDIRECT("'"&amp;$A22&amp;"'!B13:E13"))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IF(ISBLANK(INDIRECT("'"&amp;$A22&amp;"'!B31:G31")), "", INDIRECT("'"&amp;$A22&amp;"'!B31:G31"))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6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IF(ISBLANK(INDIRECT("'"&amp;$A23&amp;"'!B13:E13")), "", INDIRECT("'"&amp;$A23&amp;"'!B13:E13"))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IF(ISBLANK(INDIRECT("'"&amp;$A23&amp;"'!B31:G31")), "", INDIRECT("'"&amp;$A23&amp;"'!B31:G31"))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6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IF(ISBLANK(INDIRECT("'"&amp;$A24&amp;"'!B13:E13")), "", INDIRECT("'"&amp;$A24&amp;"'!B13:E13"))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IF(ISBLANK(INDIRECT("'"&amp;$A24&amp;"'!B31:G31")), "", INDIRECT("'"&amp;$A24&amp;"'!B31:G31"))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6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IF(ISBLANK(INDIRECT("'"&amp;$A25&amp;"'!B13:E13")), "", INDIRECT("'"&amp;$A25&amp;"'!B13:E13"))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IF(ISBLANK(INDIRECT("'"&amp;$A25&amp;"'!B31:G31")), "", INDIRECT("'"&amp;$A25&amp;"'!B31:G31"))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6" t="str">
        <f ca="1"/>
        <v/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IF(ISBLANK(INDIRECT("'"&amp;$A26&amp;"'!B13:E13")), "", INDIRECT("'"&amp;$A26&amp;"'!B13:E13"))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IF(ISBLANK(INDIRECT("'"&amp;$A26&amp;"'!B31:G31")), "", INDIRECT("'"&amp;$A26&amp;"'!B31:G31"))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6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IF(ISBLANK(INDIRECT("'"&amp;$A27&amp;"'!B13:E13")), "", INDIRECT("'"&amp;$A27&amp;"'!B13:E13"))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IF(ISBLANK(INDIRECT("'"&amp;$A27&amp;"'!B31:G31")), "", INDIRECT("'"&amp;$A27&amp;"'!B31:G31"))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6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IF(ISBLANK(INDIRECT("'"&amp;$A28&amp;"'!B13:E13")), "", INDIRECT("'"&amp;$A28&amp;"'!B13:E13"))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IF(ISBLANK(INDIRECT("'"&amp;$A28&amp;"'!B31:G31")), "", INDIRECT("'"&amp;$A28&amp;"'!B31:G31"))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6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IF(ISBLANK(INDIRECT("'"&amp;$A29&amp;"'!B13:E13")), "", INDIRECT("'"&amp;$A29&amp;"'!B13:E13"))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IF(ISBLANK(INDIRECT("'"&amp;$A29&amp;"'!B31:G31")), "", INDIRECT("'"&amp;$A29&amp;"'!B31:G31"))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6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IF(ISBLANK(INDIRECT("'"&amp;$A30&amp;"'!B13:E13")), "", INDIRECT("'"&amp;$A30&amp;"'!B13:E13"))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IF(ISBLANK(INDIRECT("'"&amp;$A30&amp;"'!B31:G31")), "", INDIRECT("'"&amp;$A30&amp;"'!B31:G31"))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6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IF(ISBLANK(INDIRECT("'"&amp;$A31&amp;"'!B13:E13")), "", INDIRECT("'"&amp;$A31&amp;"'!B13:E13"))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IF(ISBLANK(INDIRECT("'"&amp;$A31&amp;"'!B31:G31")), "", INDIRECT("'"&amp;$A31&amp;"'!B31:G31"))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6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IF(ISBLANK(INDIRECT("'"&amp;$A32&amp;"'!B13:E13")), "", INDIRECT("'"&amp;$A32&amp;"'!B13:E13"))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IF(ISBLANK(INDIRECT("'"&amp;$A32&amp;"'!B31:G31")), "", INDIRECT("'"&amp;$A32&amp;"'!B31:G31"))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6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IF(ISBLANK(INDIRECT("'"&amp;$A33&amp;"'!B13:E13")), "", INDIRECT("'"&amp;$A33&amp;"'!B13:E13"))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IF(ISBLANK(INDIRECT("'"&amp;$A33&amp;"'!B31:G31")), "", INDIRECT("'"&amp;$A33&amp;"'!B31:G31"))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6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IF(ISBLANK(INDIRECT("'"&amp;$A34&amp;"'!B13:E13")), "", INDIRECT("'"&amp;$A34&amp;"'!B13:E13"))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IF(ISBLANK(INDIRECT("'"&amp;$A34&amp;"'!B31:G31")), "", INDIRECT("'"&amp;$A34&amp;"'!B31:G31"))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6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IF(ISBLANK(INDIRECT("'"&amp;$A35&amp;"'!B13:E13")), "", INDIRECT("'"&amp;$A35&amp;"'!B13:E13"))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IF(ISBLANK(INDIRECT("'"&amp;$A35&amp;"'!B31:G31")), "", INDIRECT("'"&amp;$A35&amp;"'!B31:G31"))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6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IF(ISBLANK(INDIRECT("'"&amp;$A36&amp;"'!B13:E13")), "", INDIRECT("'"&amp;$A36&amp;"'!B13:E13"))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IF(ISBLANK(INDIRECT("'"&amp;$A36&amp;"'!B31:G31")), "", INDIRECT("'"&amp;$A36&amp;"'!B31:G31"))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6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IF(ISBLANK(INDIRECT("'"&amp;$A37&amp;"'!B13:E13")), "", INDIRECT("'"&amp;$A37&amp;"'!B13:E13"))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IF(ISBLANK(INDIRECT("'"&amp;$A37&amp;"'!B31:G31")), "", INDIRECT("'"&amp;$A37&amp;"'!B31:G31"))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6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IF(ISBLANK(INDIRECT("'"&amp;$A38&amp;"'!B13:E13")), "", INDIRECT("'"&amp;$A38&amp;"'!B13:E13"))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IF(ISBLANK(INDIRECT("'"&amp;$A38&amp;"'!B31:G31")), "", INDIRECT("'"&amp;$A38&amp;"'!B31:G31"))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6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IF(ISBLANK(INDIRECT("'"&amp;$A39&amp;"'!B13:E13")), "", INDIRECT("'"&amp;$A39&amp;"'!B13:E13"))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IF(ISBLANK(INDIRECT("'"&amp;$A39&amp;"'!B31:G31")), "", INDIRECT("'"&amp;$A39&amp;"'!B31:G31"))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6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IF(ISBLANK(INDIRECT("'"&amp;$A40&amp;"'!B13:E13")), "", INDIRECT("'"&amp;$A40&amp;"'!B13:E13"))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IF(ISBLANK(INDIRECT("'"&amp;$A40&amp;"'!B31:G31")), "", INDIRECT("'"&amp;$A40&amp;"'!B31:G31"))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6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IF(ISBLANK(INDIRECT("'"&amp;$A41&amp;"'!B13:E13")), "", INDIRECT("'"&amp;$A41&amp;"'!B13:E13"))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IF(ISBLANK(INDIRECT("'"&amp;$A41&amp;"'!B31:G31")), "", INDIRECT("'"&amp;$A41&amp;"'!B31:G31"))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6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IF(ISBLANK(INDIRECT("'"&amp;$A42&amp;"'!B13:E13")), "", INDIRECT("'"&amp;$A42&amp;"'!B13:E13"))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IF(ISBLANK(INDIRECT("'"&amp;$A42&amp;"'!B31:G31")), "", INDIRECT("'"&amp;$A42&amp;"'!B31:G31"))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6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IF(ISBLANK(INDIRECT("'"&amp;$A43&amp;"'!B13:E13")), "", INDIRECT("'"&amp;$A43&amp;"'!B13:E13"))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IF(ISBLANK(INDIRECT("'"&amp;$A43&amp;"'!B31:G31")), "", INDIRECT("'"&amp;$A43&amp;"'!B31:G31"))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6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IF(ISBLANK(INDIRECT("'"&amp;$A44&amp;"'!B13:E13")), "", INDIRECT("'"&amp;$A44&amp;"'!B13:E13"))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IF(ISBLANK(INDIRECT("'"&amp;$A44&amp;"'!B31:G31")), "", INDIRECT("'"&amp;$A44&amp;"'!B31:G31"))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6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IF(ISBLANK(INDIRECT("'"&amp;$A45&amp;"'!B13:E13")), "", INDIRECT("'"&amp;$A45&amp;"'!B13:E13"))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IF(ISBLANK(INDIRECT("'"&amp;$A45&amp;"'!B31:G31")), "", INDIRECT("'"&amp;$A45&amp;"'!B31:G31"))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6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IF(ISBLANK(INDIRECT("'"&amp;$A46&amp;"'!B13:E13")), "", INDIRECT("'"&amp;$A46&amp;"'!B13:E13"))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IF(ISBLANK(INDIRECT("'"&amp;$A46&amp;"'!B31:G31")), "", INDIRECT("'"&amp;$A46&amp;"'!B31:G31"))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6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IF(ISBLANK(INDIRECT("'"&amp;$A47&amp;"'!B13:E13")), "", INDIRECT("'"&amp;$A47&amp;"'!B13:E13"))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IF(ISBLANK(INDIRECT("'"&amp;$A47&amp;"'!B31:G31")), "", INDIRECT("'"&amp;$A47&amp;"'!B31:G31"))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6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IF(ISBLANK(INDIRECT("'"&amp;$A48&amp;"'!B13:E13")), "", INDIRECT("'"&amp;$A48&amp;"'!B13:E13"))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IF(ISBLANK(INDIRECT("'"&amp;$A48&amp;"'!B31:G31")), "", INDIRECT("'"&amp;$A48&amp;"'!B31:G31"))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6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IF(ISBLANK(INDIRECT("'"&amp;$A49&amp;"'!B13:E13")), "", INDIRECT("'"&amp;$A49&amp;"'!B13:E13"))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IF(ISBLANK(INDIRECT("'"&amp;$A49&amp;"'!B31:G31")), "", INDIRECT("'"&amp;$A49&amp;"'!B31:G31"))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6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IF(ISBLANK(INDIRECT("'"&amp;$A50&amp;"'!B13:E13")), "", INDIRECT("'"&amp;$A50&amp;"'!B13:E13"))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IF(ISBLANK(INDIRECT("'"&amp;$A50&amp;"'!B31:G31")), "", INDIRECT("'"&amp;$A50&amp;"'!B31:G31"))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6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IF(ISBLANK(INDIRECT("'"&amp;$A51&amp;"'!B13:E13")), "", INDIRECT("'"&amp;$A51&amp;"'!B13:E13"))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IF(ISBLANK(INDIRECT("'"&amp;$A51&amp;"'!B31:G31")), "", INDIRECT("'"&amp;$A51&amp;"'!B31:G31"))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6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IF(ISBLANK(INDIRECT("'"&amp;$A52&amp;"'!B13:E13")), "", INDIRECT("'"&amp;$A52&amp;"'!B13:E13"))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IF(ISBLANK(INDIRECT("'"&amp;$A52&amp;"'!B31:G31")), "", INDIRECT("'"&amp;$A52&amp;"'!B31:G31"))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6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IF(ISBLANK(INDIRECT("'"&amp;$A53&amp;"'!B13:E13")), "", INDIRECT("'"&amp;$A53&amp;"'!B13:E13"))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IF(ISBLANK(INDIRECT("'"&amp;$A53&amp;"'!B31:G31")), "", INDIRECT("'"&amp;$A53&amp;"'!B31:G31"))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6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IF(ISBLANK(INDIRECT("'"&amp;$A54&amp;"'!B13:E13")), "", INDIRECT("'"&amp;$A54&amp;"'!B13:E13"))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IF(ISBLANK(INDIRECT("'"&amp;$A54&amp;"'!B31:G31")), "", INDIRECT("'"&amp;$A54&amp;"'!B31:G31"))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6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IF(ISBLANK(INDIRECT("'"&amp;$A55&amp;"'!B13:E13")), "", INDIRECT("'"&amp;$A55&amp;"'!B13:E13"))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IF(ISBLANK(INDIRECT("'"&amp;$A55&amp;"'!B31:G31")), "", INDIRECT("'"&amp;$A55&amp;"'!B31:G31"))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6" t="str">
        <f ca="1"/>
        <v/>
      </c>
      <c r="M55" s="166" t="str">
        <f ca="1"/>
        <v/>
      </c>
    </row>
    <row r="56" spans="1:13" ht="13.5" customHeight="1">
      <c r="A56" s="31" t="str">
        <v>102 - San Antonio Ops</v>
      </c>
      <c r="B56" s="33" t="str">
        <v>TX</v>
      </c>
      <c r="C56" s="146" t="str" cm="1">
        <f t="array" aca="1" ref="C56:F56" ca="1">IF(ISBLANK(INDIRECT("'"&amp;$A56&amp;"'!B13:E13")), "", INDIRECT("'"&amp;$A56&amp;"'!B13:E13"))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IF(ISBLANK(INDIRECT("'"&amp;$A56&amp;"'!B31:G31")), "", INDIRECT("'"&amp;$A56&amp;"'!B31:G31"))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85" t="str">
        <f ca="1"/>
        <v/>
      </c>
      <c r="M56" s="166" t="str">
        <f ca="1"/>
        <v/>
      </c>
    </row>
    <row r="57" spans="1:13" ht="13.5" customHeight="1">
      <c r="A57" s="31" t="str">
        <v>104 - San Antonio Ops</v>
      </c>
      <c r="B57" s="33" t="str">
        <v>TX</v>
      </c>
      <c r="C57" s="146" t="str" cm="1">
        <f t="array" aca="1" ref="C57:F57" ca="1">IF(ISBLANK(INDIRECT("'"&amp;$A57&amp;"'!B13:E13")), "", INDIRECT("'"&amp;$A57&amp;"'!B13:E13"))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IF(ISBLANK(INDIRECT("'"&amp;$A57&amp;"'!B31:G31")), "", INDIRECT("'"&amp;$A57&amp;"'!B31:G31"))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85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IF(ISBLANK(INDIRECT("'"&amp;$A58&amp;"'!B13:E13")), "", INDIRECT("'"&amp;$A58&amp;"'!B13:E13"))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IF(ISBLANK(INDIRECT("'"&amp;$A58&amp;"'!B31:G31")), "", INDIRECT("'"&amp;$A58&amp;"'!B31:G31"))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85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IF(ISBLANK(INDIRECT("'"&amp;$A59&amp;"'!B13:E13")), "", INDIRECT("'"&amp;$A59&amp;"'!B13:E13"))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IF(ISBLANK(INDIRECT("'"&amp;$A59&amp;"'!B31:G31")), "", INDIRECT("'"&amp;$A59&amp;"'!B31:G31"))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85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IF(ISBLANK(INDIRECT("'"&amp;$A60&amp;"'!B13:E13")), "", INDIRECT("'"&amp;$A60&amp;"'!B13:E13"))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IF(ISBLANK(INDIRECT("'"&amp;$A60&amp;"'!B31:G31")), "", INDIRECT("'"&amp;$A60&amp;"'!B31:G31"))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85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IF(ISBLANK(INDIRECT("'"&amp;$A61&amp;"'!B13:E13")), "", INDIRECT("'"&amp;$A61&amp;"'!B13:E13"))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IF(ISBLANK(INDIRECT("'"&amp;$A61&amp;"'!B31:G31")), "", INDIRECT("'"&amp;$A61&amp;"'!B31:G31"))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85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IF(ISBLANK(INDIRECT("'"&amp;$A62&amp;"'!B13:E13")), "", INDIRECT("'"&amp;$A62&amp;"'!B13:E13"))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IF(ISBLANK(INDIRECT("'"&amp;$A62&amp;"'!B31:G31")), "", INDIRECT("'"&amp;$A62&amp;"'!B31:G31"))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85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IF(ISBLANK(INDIRECT("'"&amp;$A63&amp;"'!B13:E13")), "", INDIRECT("'"&amp;$A63&amp;"'!B13:E13"))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IF(ISBLANK(INDIRECT("'"&amp;$A63&amp;"'!B31:G31")), "", INDIRECT("'"&amp;$A63&amp;"'!B31:G31"))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85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IF(ISBLANK(INDIRECT("'"&amp;$A64&amp;"'!B13:E13")), "", INDIRECT("'"&amp;$A64&amp;"'!B13:E13"))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IF(ISBLANK(INDIRECT("'"&amp;$A64&amp;"'!B31:G31")), "", INDIRECT("'"&amp;$A64&amp;"'!B31:G31"))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85" t="str">
        <f ca="1"/>
        <v/>
      </c>
      <c r="M64" s="166" t="str">
        <f ca="1"/>
        <v/>
      </c>
    </row>
    <row r="65" spans="1:13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181"/>
      <c r="M65" s="75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28" priority="3" operator="equal">
      <formula>"-"</formula>
    </cfRule>
  </conditionalFormatting>
  <conditionalFormatting sqref="F3:F65 K3:K65">
    <cfRule type="cellIs" dxfId="27" priority="4" operator="lessThanOrEqual">
      <formula>-0.1</formula>
    </cfRule>
    <cfRule type="cellIs" dxfId="26" priority="5" operator="greaterThanOrEqual">
      <formula>0.1</formula>
    </cfRule>
  </conditionalFormatting>
  <conditionalFormatting sqref="F65 K65">
    <cfRule type="cellIs" dxfId="25" priority="1" operator="equal">
      <formula>"-"</formula>
    </cfRule>
  </conditionalFormatting>
  <conditionalFormatting sqref="K3:K64">
    <cfRule type="cellIs" dxfId="24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65"/>
  <sheetViews>
    <sheetView workbookViewId="0">
      <pane ySplit="2" topLeftCell="A52" activePane="bottomLeft" state="frozen"/>
      <selection pane="bottomLeft" activeCell="L53" sqref="L53"/>
      <selection activeCell="L53" sqref="L5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45.42578125" customWidth="1"/>
    <col min="13" max="13" width="11.85546875" bestFit="1" customWidth="1"/>
  </cols>
  <sheetData>
    <row r="1" spans="1:13" ht="19.5" customHeight="1">
      <c r="A1" s="244" t="s">
        <v>0</v>
      </c>
      <c r="B1" s="245"/>
      <c r="C1" s="238" t="s">
        <v>39</v>
      </c>
      <c r="D1" s="239"/>
      <c r="E1" s="239"/>
      <c r="F1" s="240"/>
      <c r="G1" s="45"/>
      <c r="H1" s="241" t="s">
        <v>40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IF(ISBLANK(INDIRECT("'"&amp;$A3&amp;"'!B14:E14")), "", INDIRECT("'"&amp;$A3&amp;"'!B14:E14"))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IF(ISBLANK(INDIRECT("'"&amp;$A3&amp;"'!B32:G32")), "", INDIRECT("'"&amp;$A3&amp;"'!B32:G32"))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IF(ISBLANK(INDIRECT("'"&amp;$A4&amp;"'!B14:E14")), "", INDIRECT("'"&amp;$A4&amp;"'!B14:E14"))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IF(ISBLANK(INDIRECT("'"&amp;$A4&amp;"'!B32:G32")), "", INDIRECT("'"&amp;$A4&amp;"'!B32:G32"))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IF(ISBLANK(INDIRECT("'"&amp;$A5&amp;"'!B14:E14")), "", INDIRECT("'"&amp;$A5&amp;"'!B14:E14"))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IF(ISBLANK(INDIRECT("'"&amp;$A5&amp;"'!B32:G32")), "", INDIRECT("'"&amp;$A5&amp;"'!B32:G32"))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IF(ISBLANK(INDIRECT("'"&amp;$A6&amp;"'!B14:E14")), "", INDIRECT("'"&amp;$A6&amp;"'!B14:E14"))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IF(ISBLANK(INDIRECT("'"&amp;$A6&amp;"'!B32:G32")), "", INDIRECT("'"&amp;$A6&amp;"'!B32:G32"))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IF(ISBLANK(INDIRECT("'"&amp;$A7&amp;"'!B14:E14")), "", INDIRECT("'"&amp;$A7&amp;"'!B14:E14"))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IF(ISBLANK(INDIRECT("'"&amp;$A7&amp;"'!B32:G32")), "", INDIRECT("'"&amp;$A7&amp;"'!B32:G32"))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IF(ISBLANK(INDIRECT("'"&amp;$A8&amp;"'!B14:E14")), "", INDIRECT("'"&amp;$A8&amp;"'!B14:E14"))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IF(ISBLANK(INDIRECT("'"&amp;$A8&amp;"'!B32:G32")), "", INDIRECT("'"&amp;$A8&amp;"'!B32:G32"))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IF(ISBLANK(INDIRECT("'"&amp;$A9&amp;"'!B14:E14")), "", INDIRECT("'"&amp;$A9&amp;"'!B14:E14"))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IF(ISBLANK(INDIRECT("'"&amp;$A9&amp;"'!B32:G32")), "", INDIRECT("'"&amp;$A9&amp;"'!B32:G32"))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IF(ISBLANK(INDIRECT("'"&amp;$A10&amp;"'!B14:E14")), "", INDIRECT("'"&amp;$A10&amp;"'!B14:E14"))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IF(ISBLANK(INDIRECT("'"&amp;$A10&amp;"'!B32:G32")), "", INDIRECT("'"&amp;$A10&amp;"'!B32:G32"))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IF(ISBLANK(INDIRECT("'"&amp;$A11&amp;"'!B14:E14")), "", INDIRECT("'"&amp;$A11&amp;"'!B14:E14"))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IF(ISBLANK(INDIRECT("'"&amp;$A11&amp;"'!B32:G32")), "", INDIRECT("'"&amp;$A11&amp;"'!B32:G32"))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IF(ISBLANK(INDIRECT("'"&amp;$A12&amp;"'!B14:E14")), "", INDIRECT("'"&amp;$A12&amp;"'!B14:E14"))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IF(ISBLANK(INDIRECT("'"&amp;$A12&amp;"'!B32:G32")), "", INDIRECT("'"&amp;$A12&amp;"'!B32:G32"))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IF(ISBLANK(INDIRECT("'"&amp;$A13&amp;"'!B14:E14")), "", INDIRECT("'"&amp;$A13&amp;"'!B14:E14"))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IF(ISBLANK(INDIRECT("'"&amp;$A13&amp;"'!B32:G32")), "", INDIRECT("'"&amp;$A13&amp;"'!B32:G32"))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IF(ISBLANK(INDIRECT("'"&amp;$A14&amp;"'!B14:E14")), "", INDIRECT("'"&amp;$A14&amp;"'!B14:E14"))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IF(ISBLANK(INDIRECT("'"&amp;$A14&amp;"'!B32:G32")), "", INDIRECT("'"&amp;$A14&amp;"'!B32:G32"))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IF(ISBLANK(INDIRECT("'"&amp;$A15&amp;"'!B14:E14")), "", INDIRECT("'"&amp;$A15&amp;"'!B14:E14"))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IF(ISBLANK(INDIRECT("'"&amp;$A15&amp;"'!B32:G32")), "", INDIRECT("'"&amp;$A15&amp;"'!B32:G32"))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IF(ISBLANK(INDIRECT("'"&amp;$A16&amp;"'!B14:E14")), "", INDIRECT("'"&amp;$A16&amp;"'!B14:E14"))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IF(ISBLANK(INDIRECT("'"&amp;$A16&amp;"'!B32:G32")), "", INDIRECT("'"&amp;$A16&amp;"'!B32:G32"))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IF(ISBLANK(INDIRECT("'"&amp;$A17&amp;"'!B14:E14")), "", INDIRECT("'"&amp;$A17&amp;"'!B14:E14"))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IF(ISBLANK(INDIRECT("'"&amp;$A17&amp;"'!B32:G32")), "", INDIRECT("'"&amp;$A17&amp;"'!B32:G32"))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IF(ISBLANK(INDIRECT("'"&amp;$A18&amp;"'!B14:E14")), "", INDIRECT("'"&amp;$A18&amp;"'!B14:E14"))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IF(ISBLANK(INDIRECT("'"&amp;$A18&amp;"'!B32:G32")), "", INDIRECT("'"&amp;$A18&amp;"'!B32:G32"))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IF(ISBLANK(INDIRECT("'"&amp;$A19&amp;"'!B14:E14")), "", INDIRECT("'"&amp;$A19&amp;"'!B14:E14"))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IF(ISBLANK(INDIRECT("'"&amp;$A19&amp;"'!B32:G32")), "", INDIRECT("'"&amp;$A19&amp;"'!B32:G32"))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IF(ISBLANK(INDIRECT("'"&amp;$A20&amp;"'!B14:E14")), "", INDIRECT("'"&amp;$A20&amp;"'!B14:E14"))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IF(ISBLANK(INDIRECT("'"&amp;$A20&amp;"'!B32:G32")), "", INDIRECT("'"&amp;$A20&amp;"'!B32:G32"))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IF(ISBLANK(INDIRECT("'"&amp;$A21&amp;"'!B14:E14")), "", INDIRECT("'"&amp;$A21&amp;"'!B14:E14"))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IF(ISBLANK(INDIRECT("'"&amp;$A21&amp;"'!B32:G32")), "", INDIRECT("'"&amp;$A21&amp;"'!B32:G32"))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IF(ISBLANK(INDIRECT("'"&amp;$A22&amp;"'!B14:E14")), "", INDIRECT("'"&amp;$A22&amp;"'!B14:E14"))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IF(ISBLANK(INDIRECT("'"&amp;$A22&amp;"'!B32:G32")), "", INDIRECT("'"&amp;$A22&amp;"'!B32:G32"))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IF(ISBLANK(INDIRECT("'"&amp;$A23&amp;"'!B14:E14")), "", INDIRECT("'"&amp;$A23&amp;"'!B14:E14"))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IF(ISBLANK(INDIRECT("'"&amp;$A23&amp;"'!B32:G32")), "", INDIRECT("'"&amp;$A23&amp;"'!B32:G32"))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IF(ISBLANK(INDIRECT("'"&amp;$A24&amp;"'!B14:E14")), "", INDIRECT("'"&amp;$A24&amp;"'!B14:E14"))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IF(ISBLANK(INDIRECT("'"&amp;$A24&amp;"'!B32:G32")), "", INDIRECT("'"&amp;$A24&amp;"'!B32:G32"))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IF(ISBLANK(INDIRECT("'"&amp;$A25&amp;"'!B14:E14")), "", INDIRECT("'"&amp;$A25&amp;"'!B14:E14"))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IF(ISBLANK(INDIRECT("'"&amp;$A25&amp;"'!B32:G32")), "", INDIRECT("'"&amp;$A25&amp;"'!B32:G32"))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IF(ISBLANK(INDIRECT("'"&amp;$A26&amp;"'!B14:E14")), "", INDIRECT("'"&amp;$A26&amp;"'!B14:E14"))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IF(ISBLANK(INDIRECT("'"&amp;$A26&amp;"'!B32:G32")), "", INDIRECT("'"&amp;$A26&amp;"'!B32:G32"))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IF(ISBLANK(INDIRECT("'"&amp;$A27&amp;"'!B14:E14")), "", INDIRECT("'"&amp;$A27&amp;"'!B14:E14"))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IF(ISBLANK(INDIRECT("'"&amp;$A27&amp;"'!B32:G32")), "", INDIRECT("'"&amp;$A27&amp;"'!B32:G32"))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IF(ISBLANK(INDIRECT("'"&amp;$A28&amp;"'!B14:E14")), "", INDIRECT("'"&amp;$A28&amp;"'!B14:E14"))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IF(ISBLANK(INDIRECT("'"&amp;$A28&amp;"'!B32:G32")), "", INDIRECT("'"&amp;$A28&amp;"'!B32:G32"))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IF(ISBLANK(INDIRECT("'"&amp;$A29&amp;"'!B14:E14")), "", INDIRECT("'"&amp;$A29&amp;"'!B14:E14"))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IF(ISBLANK(INDIRECT("'"&amp;$A29&amp;"'!B32:G32")), "", INDIRECT("'"&amp;$A29&amp;"'!B32:G32"))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IF(ISBLANK(INDIRECT("'"&amp;$A30&amp;"'!B14:E14")), "", INDIRECT("'"&amp;$A30&amp;"'!B14:E14"))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IF(ISBLANK(INDIRECT("'"&amp;$A30&amp;"'!B32:G32")), "", INDIRECT("'"&amp;$A30&amp;"'!B32:G32"))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IF(ISBLANK(INDIRECT("'"&amp;$A31&amp;"'!B14:E14")), "", INDIRECT("'"&amp;$A31&amp;"'!B14:E14"))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IF(ISBLANK(INDIRECT("'"&amp;$A31&amp;"'!B32:G32")), "", INDIRECT("'"&amp;$A31&amp;"'!B32:G32"))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IF(ISBLANK(INDIRECT("'"&amp;$A32&amp;"'!B14:E14")), "", INDIRECT("'"&amp;$A32&amp;"'!B14:E14"))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IF(ISBLANK(INDIRECT("'"&amp;$A32&amp;"'!B32:G32")), "", INDIRECT("'"&amp;$A32&amp;"'!B32:G32"))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IF(ISBLANK(INDIRECT("'"&amp;$A33&amp;"'!B14:E14")), "", INDIRECT("'"&amp;$A33&amp;"'!B14:E14"))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IF(ISBLANK(INDIRECT("'"&amp;$A33&amp;"'!B32:G32")), "", INDIRECT("'"&amp;$A33&amp;"'!B32:G32"))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IF(ISBLANK(INDIRECT("'"&amp;$A34&amp;"'!B14:E14")), "", INDIRECT("'"&amp;$A34&amp;"'!B14:E14"))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IF(ISBLANK(INDIRECT("'"&amp;$A34&amp;"'!B32:G32")), "", INDIRECT("'"&amp;$A34&amp;"'!B32:G32"))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IF(ISBLANK(INDIRECT("'"&amp;$A35&amp;"'!B14:E14")), "", INDIRECT("'"&amp;$A35&amp;"'!B14:E14"))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IF(ISBLANK(INDIRECT("'"&amp;$A35&amp;"'!B32:G32")), "", INDIRECT("'"&amp;$A35&amp;"'!B32:G32"))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IF(ISBLANK(INDIRECT("'"&amp;$A36&amp;"'!B14:E14")), "", INDIRECT("'"&amp;$A36&amp;"'!B14:E14"))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IF(ISBLANK(INDIRECT("'"&amp;$A36&amp;"'!B32:G32")), "", INDIRECT("'"&amp;$A36&amp;"'!B32:G32"))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IF(ISBLANK(INDIRECT("'"&amp;$A37&amp;"'!B14:E14")), "", INDIRECT("'"&amp;$A37&amp;"'!B14:E14"))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IF(ISBLANK(INDIRECT("'"&amp;$A37&amp;"'!B32:G32")), "", INDIRECT("'"&amp;$A37&amp;"'!B32:G32"))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IF(ISBLANK(INDIRECT("'"&amp;$A38&amp;"'!B14:E14")), "", INDIRECT("'"&amp;$A38&amp;"'!B14:E14"))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IF(ISBLANK(INDIRECT("'"&amp;$A38&amp;"'!B32:G32")), "", INDIRECT("'"&amp;$A38&amp;"'!B32:G32"))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IF(ISBLANK(INDIRECT("'"&amp;$A39&amp;"'!B14:E14")), "", INDIRECT("'"&amp;$A39&amp;"'!B14:E14"))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IF(ISBLANK(INDIRECT("'"&amp;$A39&amp;"'!B32:G32")), "", INDIRECT("'"&amp;$A39&amp;"'!B32:G32"))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IF(ISBLANK(INDIRECT("'"&amp;$A40&amp;"'!B14:E14")), "", INDIRECT("'"&amp;$A40&amp;"'!B14:E14"))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IF(ISBLANK(INDIRECT("'"&amp;$A40&amp;"'!B32:G32")), "", INDIRECT("'"&amp;$A40&amp;"'!B32:G32"))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IF(ISBLANK(INDIRECT("'"&amp;$A41&amp;"'!B14:E14")), "", INDIRECT("'"&amp;$A41&amp;"'!B14:E14"))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IF(ISBLANK(INDIRECT("'"&amp;$A41&amp;"'!B32:G32")), "", INDIRECT("'"&amp;$A41&amp;"'!B32:G32"))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IF(ISBLANK(INDIRECT("'"&amp;$A42&amp;"'!B14:E14")), "", INDIRECT("'"&amp;$A42&amp;"'!B14:E14"))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IF(ISBLANK(INDIRECT("'"&amp;$A42&amp;"'!B32:G32")), "", INDIRECT("'"&amp;$A42&amp;"'!B32:G32"))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IF(ISBLANK(INDIRECT("'"&amp;$A43&amp;"'!B14:E14")), "", INDIRECT("'"&amp;$A43&amp;"'!B14:E14"))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IF(ISBLANK(INDIRECT("'"&amp;$A43&amp;"'!B32:G32")), "", INDIRECT("'"&amp;$A43&amp;"'!B32:G32"))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IF(ISBLANK(INDIRECT("'"&amp;$A44&amp;"'!B14:E14")), "", INDIRECT("'"&amp;$A44&amp;"'!B14:E14"))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IF(ISBLANK(INDIRECT("'"&amp;$A44&amp;"'!B32:G32")), "", INDIRECT("'"&amp;$A44&amp;"'!B32:G32"))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IF(ISBLANK(INDIRECT("'"&amp;$A45&amp;"'!B14:E14")), "", INDIRECT("'"&amp;$A45&amp;"'!B14:E14"))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IF(ISBLANK(INDIRECT("'"&amp;$A45&amp;"'!B32:G32")), "", INDIRECT("'"&amp;$A45&amp;"'!B32:G32"))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IF(ISBLANK(INDIRECT("'"&amp;$A46&amp;"'!B14:E14")), "", INDIRECT("'"&amp;$A46&amp;"'!B14:E14"))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IF(ISBLANK(INDIRECT("'"&amp;$A46&amp;"'!B32:G32")), "", INDIRECT("'"&amp;$A46&amp;"'!B32:G32"))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IF(ISBLANK(INDIRECT("'"&amp;$A47&amp;"'!B14:E14")), "", INDIRECT("'"&amp;$A47&amp;"'!B14:E14"))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IF(ISBLANK(INDIRECT("'"&amp;$A47&amp;"'!B32:G32")), "", INDIRECT("'"&amp;$A47&amp;"'!B32:G32"))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IF(ISBLANK(INDIRECT("'"&amp;$A48&amp;"'!B14:E14")), "", INDIRECT("'"&amp;$A48&amp;"'!B14:E14"))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IF(ISBLANK(INDIRECT("'"&amp;$A48&amp;"'!B32:G32")), "", INDIRECT("'"&amp;$A48&amp;"'!B32:G32"))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IF(ISBLANK(INDIRECT("'"&amp;$A49&amp;"'!B14:E14")), "", INDIRECT("'"&amp;$A49&amp;"'!B14:E14"))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IF(ISBLANK(INDIRECT("'"&amp;$A49&amp;"'!B32:G32")), "", INDIRECT("'"&amp;$A49&amp;"'!B32:G32"))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IF(ISBLANK(INDIRECT("'"&amp;$A50&amp;"'!B14:E14")), "", INDIRECT("'"&amp;$A50&amp;"'!B14:E14"))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IF(ISBLANK(INDIRECT("'"&amp;$A50&amp;"'!B32:G32")), "", INDIRECT("'"&amp;$A50&amp;"'!B32:G32"))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IF(ISBLANK(INDIRECT("'"&amp;$A51&amp;"'!B14:E14")), "", INDIRECT("'"&amp;$A51&amp;"'!B14:E14"))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IF(ISBLANK(INDIRECT("'"&amp;$A51&amp;"'!B32:G32")), "", INDIRECT("'"&amp;$A51&amp;"'!B32:G32"))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IF(ISBLANK(INDIRECT("'"&amp;$A52&amp;"'!B14:E14")), "", INDIRECT("'"&amp;$A52&amp;"'!B14:E14"))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IF(ISBLANK(INDIRECT("'"&amp;$A52&amp;"'!B32:G32")), "", INDIRECT("'"&amp;$A52&amp;"'!B32:G32"))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IF(ISBLANK(INDIRECT("'"&amp;$A53&amp;"'!B14:E14")), "", INDIRECT("'"&amp;$A53&amp;"'!B14:E14"))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IF(ISBLANK(INDIRECT("'"&amp;$A53&amp;"'!B32:G32")), "", INDIRECT("'"&amp;$A53&amp;"'!B32:G32"))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IF(ISBLANK(INDIRECT("'"&amp;$A54&amp;"'!B14:E14")), "", INDIRECT("'"&amp;$A54&amp;"'!B14:E14"))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IF(ISBLANK(INDIRECT("'"&amp;$A54&amp;"'!B32:G32")), "", INDIRECT("'"&amp;$A54&amp;"'!B32:G32"))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IF(ISBLANK(INDIRECT("'"&amp;$A55&amp;"'!B14:E14")), "", INDIRECT("'"&amp;$A55&amp;"'!B14:E14"))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IF(ISBLANK(INDIRECT("'"&amp;$A55&amp;"'!B32:G32")), "", INDIRECT("'"&amp;$A55&amp;"'!B32:G32"))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3.5" customHeight="1">
      <c r="A56" s="31" t="str">
        <v>102 - San Antonio Ops</v>
      </c>
      <c r="B56" s="33" t="str">
        <v>TX</v>
      </c>
      <c r="C56" s="146" t="str" cm="1">
        <f t="array" aca="1" ref="C56:F56" ca="1">IF(ISBLANK(INDIRECT("'"&amp;$A56&amp;"'!B14:E14")), "", INDIRECT("'"&amp;$A56&amp;"'!B14:E14"))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IF(ISBLANK(INDIRECT("'"&amp;$A56&amp;"'!B32:G32")), "", INDIRECT("'"&amp;$A56&amp;"'!B32:G32"))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3.5" customHeight="1">
      <c r="A57" s="31" t="str">
        <v>104 - San Antonio Ops</v>
      </c>
      <c r="B57" s="33" t="str">
        <v>TX</v>
      </c>
      <c r="C57" s="146" t="str" cm="1">
        <f t="array" aca="1" ref="C57:F57" ca="1">IF(ISBLANK(INDIRECT("'"&amp;$A57&amp;"'!B14:E14")), "", INDIRECT("'"&amp;$A57&amp;"'!B14:E14"))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IF(ISBLANK(INDIRECT("'"&amp;$A57&amp;"'!B32:G32")), "", INDIRECT("'"&amp;$A57&amp;"'!B32:G32"))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IF(ISBLANK(INDIRECT("'"&amp;$A58&amp;"'!B14:E14")), "", INDIRECT("'"&amp;$A58&amp;"'!B14:E14"))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IF(ISBLANK(INDIRECT("'"&amp;$A58&amp;"'!B32:G32")), "", INDIRECT("'"&amp;$A58&amp;"'!B32:G32"))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IF(ISBLANK(INDIRECT("'"&amp;$A59&amp;"'!B14:E14")), "", INDIRECT("'"&amp;$A59&amp;"'!B14:E14"))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IF(ISBLANK(INDIRECT("'"&amp;$A59&amp;"'!B32:G32")), "", INDIRECT("'"&amp;$A59&amp;"'!B32:G32"))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IF(ISBLANK(INDIRECT("'"&amp;$A60&amp;"'!B14:E14")), "", INDIRECT("'"&amp;$A60&amp;"'!B14:E14"))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IF(ISBLANK(INDIRECT("'"&amp;$A60&amp;"'!B32:G32")), "", INDIRECT("'"&amp;$A60&amp;"'!B32:G32"))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IF(ISBLANK(INDIRECT("'"&amp;$A61&amp;"'!B14:E14")), "", INDIRECT("'"&amp;$A61&amp;"'!B14:E14"))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IF(ISBLANK(INDIRECT("'"&amp;$A61&amp;"'!B32:G32")), "", INDIRECT("'"&amp;$A61&amp;"'!B32:G32"))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IF(ISBLANK(INDIRECT("'"&amp;$A62&amp;"'!B14:E14")), "", INDIRECT("'"&amp;$A62&amp;"'!B14:E14"))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IF(ISBLANK(INDIRECT("'"&amp;$A62&amp;"'!B32:G32")), "", INDIRECT("'"&amp;$A62&amp;"'!B32:G32"))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IF(ISBLANK(INDIRECT("'"&amp;$A63&amp;"'!B14:E14")), "", INDIRECT("'"&amp;$A63&amp;"'!B14:E14"))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IF(ISBLANK(INDIRECT("'"&amp;$A63&amp;"'!B32:G32")), "", INDIRECT("'"&amp;$A63&amp;"'!B32:G32"))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IF(ISBLANK(INDIRECT("'"&amp;$A64&amp;"'!B14:E14")), "", INDIRECT("'"&amp;$A64&amp;"'!B14:E14"))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IF(ISBLANK(INDIRECT("'"&amp;$A64&amp;"'!B32:G32")), "", INDIRECT("'"&amp;$A64&amp;"'!B32:G32"))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6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23" priority="3" operator="equal">
      <formula>"-"</formula>
    </cfRule>
  </conditionalFormatting>
  <conditionalFormatting sqref="F3:F65 K3:K65">
    <cfRule type="cellIs" dxfId="22" priority="4" operator="lessThanOrEqual">
      <formula>-0.1</formula>
    </cfRule>
    <cfRule type="cellIs" dxfId="21" priority="5" operator="greaterThanOrEqual">
      <formula>0.1</formula>
    </cfRule>
  </conditionalFormatting>
  <conditionalFormatting sqref="F65 K65">
    <cfRule type="cellIs" dxfId="20" priority="1" operator="equal">
      <formula>"-"</formula>
    </cfRule>
  </conditionalFormatting>
  <conditionalFormatting sqref="K3:K64">
    <cfRule type="cellIs" dxfId="19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65"/>
  <sheetViews>
    <sheetView zoomScaleNormal="100" workbookViewId="0">
      <pane ySplit="2" topLeftCell="A28" activePane="bottomLeft" state="frozen"/>
      <selection pane="bottomLeft" activeCell="L53" sqref="L53"/>
      <selection activeCell="L53" sqref="L5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45.140625" customWidth="1"/>
    <col min="13" max="13" width="12.85546875" customWidth="1"/>
  </cols>
  <sheetData>
    <row r="1" spans="1:13" ht="19.5" customHeight="1">
      <c r="A1" s="244" t="s">
        <v>0</v>
      </c>
      <c r="B1" s="245"/>
      <c r="C1" s="238" t="s">
        <v>41</v>
      </c>
      <c r="D1" s="239"/>
      <c r="E1" s="239"/>
      <c r="F1" s="240"/>
      <c r="G1" s="45"/>
      <c r="H1" s="241" t="s">
        <v>42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189" t="str" cm="1">
        <f t="array" ref="A3:A64">Sites[Site]</f>
        <v>Adams &amp; Broadway</v>
      </c>
      <c r="B3" s="190" t="str" cm="1">
        <f t="array" ref="B3:B64">Sites[State]</f>
        <v>CA</v>
      </c>
      <c r="C3" s="191" t="str" cm="1">
        <f t="array" aca="1" ref="C3:F3" ca="1">IF(ISBLANK(INDIRECT("'"&amp;$A3&amp;"'!B15:E15")), "", INDIRECT("'"&amp;$A3&amp;"'!B15:E15"))</f>
        <v/>
      </c>
      <c r="D3" s="191" t="str">
        <f ca="1"/>
        <v/>
      </c>
      <c r="E3" s="191">
        <f ca="1"/>
        <v>0</v>
      </c>
      <c r="F3" s="192" t="str">
        <f ca="1"/>
        <v>-</v>
      </c>
      <c r="G3" s="193"/>
      <c r="H3" s="194" cm="1">
        <f t="array" aca="1" ref="H3:M3" ca="1">IF(ISBLANK(INDIRECT("'"&amp;$A3&amp;"'!B33:G33")), "", INDIRECT("'"&amp;$A3&amp;"'!B33:G33"))</f>
        <v>0</v>
      </c>
      <c r="I3" s="194" t="str">
        <f ca="1"/>
        <v/>
      </c>
      <c r="J3" s="194">
        <f ca="1"/>
        <v>0</v>
      </c>
      <c r="K3" s="195" t="str">
        <f ca="1"/>
        <v>-</v>
      </c>
      <c r="L3" s="163" t="str">
        <f ca="1"/>
        <v/>
      </c>
      <c r="M3" s="163" t="str">
        <f ca="1"/>
        <v/>
      </c>
    </row>
    <row r="4" spans="1:13" ht="14.45">
      <c r="A4" s="196" t="str">
        <v>Otay Mesa</v>
      </c>
      <c r="B4" s="197" t="str">
        <v>CA</v>
      </c>
      <c r="C4" s="191" t="str" cm="1">
        <f t="array" aca="1" ref="C4:F4" ca="1">IF(ISBLANK(INDIRECT("'"&amp;$A4&amp;"'!B15:E15")), "", INDIRECT("'"&amp;$A4&amp;"'!B15:E15"))</f>
        <v/>
      </c>
      <c r="D4" s="191" t="str">
        <f ca="1"/>
        <v/>
      </c>
      <c r="E4" s="191">
        <f ca="1"/>
        <v>0</v>
      </c>
      <c r="F4" s="198" t="str">
        <f ca="1"/>
        <v>-</v>
      </c>
      <c r="G4" s="193"/>
      <c r="H4" s="194" cm="1">
        <f t="array" aca="1" ref="H4:M4" ca="1">IF(ISBLANK(INDIRECT("'"&amp;$A4&amp;"'!B33:G33")), "", INDIRECT("'"&amp;$A4&amp;"'!B33:G33"))</f>
        <v>0</v>
      </c>
      <c r="I4" s="194" t="str">
        <f ca="1"/>
        <v/>
      </c>
      <c r="J4" s="194">
        <f ca="1"/>
        <v>0</v>
      </c>
      <c r="K4" s="199" t="str">
        <f ca="1"/>
        <v>-</v>
      </c>
      <c r="L4" s="165" t="str">
        <f ca="1"/>
        <v/>
      </c>
      <c r="M4" s="165" t="str">
        <f ca="1"/>
        <v/>
      </c>
    </row>
    <row r="5" spans="1:13" ht="14.45">
      <c r="A5" s="196" t="str">
        <v>San Leandro Ops Center</v>
      </c>
      <c r="B5" s="197" t="str">
        <v>CA</v>
      </c>
      <c r="C5" s="191" t="str" cm="1">
        <f t="array" aca="1" ref="C5:F5" ca="1">IF(ISBLANK(INDIRECT("'"&amp;$A5&amp;"'!B15:E15")), "", INDIRECT("'"&amp;$A5&amp;"'!B15:E15"))</f>
        <v/>
      </c>
      <c r="D5" s="191" t="str">
        <f ca="1"/>
        <v/>
      </c>
      <c r="E5" s="191">
        <f ca="1"/>
        <v>0</v>
      </c>
      <c r="F5" s="198" t="str">
        <f ca="1"/>
        <v>-</v>
      </c>
      <c r="G5" s="193"/>
      <c r="H5" s="194" cm="1">
        <f t="array" aca="1" ref="H5:M5" ca="1">IF(ISBLANK(INDIRECT("'"&amp;$A5&amp;"'!B33:G33")), "", INDIRECT("'"&amp;$A5&amp;"'!B33:G33"))</f>
        <v>0</v>
      </c>
      <c r="I5" s="194" t="str">
        <f ca="1"/>
        <v/>
      </c>
      <c r="J5" s="194">
        <f ca="1"/>
        <v>0</v>
      </c>
      <c r="K5" s="199" t="str">
        <f ca="1"/>
        <v>-</v>
      </c>
      <c r="L5" s="165" t="str">
        <f ca="1"/>
        <v/>
      </c>
      <c r="M5" s="165" t="str">
        <f ca="1"/>
        <v/>
      </c>
    </row>
    <row r="6" spans="1:13" ht="14.45">
      <c r="A6" s="196" t="str">
        <v>Van Nuys</v>
      </c>
      <c r="B6" s="197" t="str">
        <v>CA</v>
      </c>
      <c r="C6" s="191" t="str" cm="1">
        <f t="array" aca="1" ref="C6:F6" ca="1">IF(ISBLANK(INDIRECT("'"&amp;$A6&amp;"'!B15:E15")), "", INDIRECT("'"&amp;$A6&amp;"'!B15:E15"))</f>
        <v/>
      </c>
      <c r="D6" s="191" t="str">
        <f ca="1"/>
        <v/>
      </c>
      <c r="E6" s="191">
        <f ca="1"/>
        <v>0</v>
      </c>
      <c r="F6" s="198" t="str">
        <f ca="1"/>
        <v>-</v>
      </c>
      <c r="G6" s="193"/>
      <c r="H6" s="194" cm="1">
        <f t="array" aca="1" ref="H6:M6" ca="1">IF(ISBLANK(INDIRECT("'"&amp;$A6&amp;"'!B33:G33")), "", INDIRECT("'"&amp;$A6&amp;"'!B33:G33"))</f>
        <v>0</v>
      </c>
      <c r="I6" s="194" t="str">
        <f ca="1"/>
        <v/>
      </c>
      <c r="J6" s="194">
        <f ca="1"/>
        <v>0</v>
      </c>
      <c r="K6" s="199" t="str">
        <f ca="1"/>
        <v>-</v>
      </c>
      <c r="L6" s="165" t="str">
        <f ca="1"/>
        <v/>
      </c>
      <c r="M6" s="165" t="str">
        <f ca="1"/>
        <v/>
      </c>
    </row>
    <row r="7" spans="1:13" ht="14.45">
      <c r="A7" s="196" t="str">
        <v>98th &amp; Grant</v>
      </c>
      <c r="B7" s="197" t="str">
        <v>CO</v>
      </c>
      <c r="C7" s="191" t="str" cm="1">
        <f t="array" aca="1" ref="C7:F7" ca="1">IF(ISBLANK(INDIRECT("'"&amp;$A7&amp;"'!B15:E15")), "", INDIRECT("'"&amp;$A7&amp;"'!B15:E15"))</f>
        <v/>
      </c>
      <c r="D7" s="191" t="str">
        <f ca="1"/>
        <v/>
      </c>
      <c r="E7" s="191">
        <f ca="1"/>
        <v>0</v>
      </c>
      <c r="F7" s="198" t="str">
        <f ca="1"/>
        <v>-</v>
      </c>
      <c r="G7" s="193"/>
      <c r="H7" s="194" cm="1">
        <f t="array" aca="1" ref="H7:M7" ca="1">IF(ISBLANK(INDIRECT("'"&amp;$A7&amp;"'!B33:G33")), "", INDIRECT("'"&amp;$A7&amp;"'!B33:G33"))</f>
        <v>0</v>
      </c>
      <c r="I7" s="194" t="str">
        <f ca="1"/>
        <v/>
      </c>
      <c r="J7" s="194">
        <f ca="1"/>
        <v>0</v>
      </c>
      <c r="K7" s="199" t="str">
        <f ca="1"/>
        <v>-</v>
      </c>
      <c r="L7" s="165" t="str">
        <f ca="1"/>
        <v/>
      </c>
      <c r="M7" s="165" t="str">
        <f ca="1"/>
        <v/>
      </c>
    </row>
    <row r="8" spans="1:13" ht="14.45">
      <c r="A8" s="196" t="str">
        <v>Arapahoe Crossings</v>
      </c>
      <c r="B8" s="197" t="str">
        <v>CO</v>
      </c>
      <c r="C8" s="191" t="str" cm="1">
        <f t="array" aca="1" ref="C8:F8" ca="1">IF(ISBLANK(INDIRECT("'"&amp;$A8&amp;"'!B15:E15")), "", INDIRECT("'"&amp;$A8&amp;"'!B15:E15"))</f>
        <v/>
      </c>
      <c r="D8" s="191" t="str">
        <f ca="1"/>
        <v/>
      </c>
      <c r="E8" s="191">
        <f ca="1"/>
        <v>0</v>
      </c>
      <c r="F8" s="198" t="str">
        <f ca="1"/>
        <v>-</v>
      </c>
      <c r="G8" s="193"/>
      <c r="H8" s="194" cm="1">
        <f t="array" aca="1" ref="H8:M8" ca="1">IF(ISBLANK(INDIRECT("'"&amp;$A8&amp;"'!B33:G33")), "", INDIRECT("'"&amp;$A8&amp;"'!B33:G33"))</f>
        <v>0</v>
      </c>
      <c r="I8" s="194" t="str">
        <f ca="1"/>
        <v/>
      </c>
      <c r="J8" s="194">
        <f ca="1"/>
        <v>0</v>
      </c>
      <c r="K8" s="199" t="str">
        <f ca="1"/>
        <v>-</v>
      </c>
      <c r="L8" s="165" t="str">
        <f ca="1"/>
        <v/>
      </c>
      <c r="M8" s="165" t="str">
        <f ca="1"/>
        <v/>
      </c>
    </row>
    <row r="9" spans="1:13" ht="14.45">
      <c r="A9" s="196" t="str">
        <v>Aurora City Center</v>
      </c>
      <c r="B9" s="197" t="str">
        <v>CO</v>
      </c>
      <c r="C9" s="191" t="str" cm="1">
        <f t="array" aca="1" ref="C9:F9" ca="1">IF(ISBLANK(INDIRECT("'"&amp;$A9&amp;"'!B15:E15")), "", INDIRECT("'"&amp;$A9&amp;"'!B15:E15"))</f>
        <v/>
      </c>
      <c r="D9" s="191" t="str">
        <f ca="1"/>
        <v/>
      </c>
      <c r="E9" s="191">
        <f ca="1"/>
        <v>0</v>
      </c>
      <c r="F9" s="198" t="str">
        <f ca="1"/>
        <v>-</v>
      </c>
      <c r="G9" s="193"/>
      <c r="H9" s="194" cm="1">
        <f t="array" aca="1" ref="H9:M9" ca="1">IF(ISBLANK(INDIRECT("'"&amp;$A9&amp;"'!B33:G33")), "", INDIRECT("'"&amp;$A9&amp;"'!B33:G33"))</f>
        <v>0</v>
      </c>
      <c r="I9" s="194" t="str">
        <f ca="1"/>
        <v/>
      </c>
      <c r="J9" s="194">
        <f ca="1"/>
        <v>0</v>
      </c>
      <c r="K9" s="199" t="str">
        <f ca="1"/>
        <v>-</v>
      </c>
      <c r="L9" s="165" t="str">
        <f ca="1"/>
        <v/>
      </c>
      <c r="M9" s="165" t="str">
        <f ca="1"/>
        <v/>
      </c>
    </row>
    <row r="10" spans="1:13" ht="14.45">
      <c r="A10" s="196" t="str">
        <v>Dry Creek</v>
      </c>
      <c r="B10" s="197" t="str">
        <v>CO</v>
      </c>
      <c r="C10" s="191" t="str" cm="1">
        <f t="array" aca="1" ref="C10:F10" ca="1">IF(ISBLANK(INDIRECT("'"&amp;$A10&amp;"'!B15:E15")), "", INDIRECT("'"&amp;$A10&amp;"'!B15:E15"))</f>
        <v/>
      </c>
      <c r="D10" s="191" t="str">
        <f ca="1"/>
        <v/>
      </c>
      <c r="E10" s="191">
        <f ca="1"/>
        <v>0</v>
      </c>
      <c r="F10" s="198" t="str">
        <f ca="1"/>
        <v>-</v>
      </c>
      <c r="G10" s="193"/>
      <c r="H10" s="194" cm="1">
        <f t="array" aca="1" ref="H10:M10" ca="1">IF(ISBLANK(INDIRECT("'"&amp;$A10&amp;"'!B33:G33")), "", INDIRECT("'"&amp;$A10&amp;"'!B33:G33"))</f>
        <v>0</v>
      </c>
      <c r="I10" s="194" t="str">
        <f ca="1"/>
        <v/>
      </c>
      <c r="J10" s="194">
        <f ca="1"/>
        <v>0</v>
      </c>
      <c r="K10" s="199" t="str">
        <f ca="1"/>
        <v>-</v>
      </c>
      <c r="L10" s="165" t="str">
        <f ca="1"/>
        <v/>
      </c>
      <c r="M10" s="165" t="str">
        <f ca="1"/>
        <v/>
      </c>
    </row>
    <row r="11" spans="1:13" ht="14.45">
      <c r="A11" s="196" t="str">
        <v>Havana Gardens</v>
      </c>
      <c r="B11" s="197" t="str">
        <v>CO</v>
      </c>
      <c r="C11" s="191" t="str" cm="1">
        <f t="array" aca="1" ref="C11:F11" ca="1">IF(ISBLANK(INDIRECT("'"&amp;$A11&amp;"'!B15:E15")), "", INDIRECT("'"&amp;$A11&amp;"'!B15:E15"))</f>
        <v/>
      </c>
      <c r="D11" s="191" t="str">
        <f ca="1"/>
        <v/>
      </c>
      <c r="E11" s="191">
        <f ca="1"/>
        <v>0</v>
      </c>
      <c r="F11" s="198" t="str">
        <f ca="1"/>
        <v>-</v>
      </c>
      <c r="G11" s="193"/>
      <c r="H11" s="194" cm="1">
        <f t="array" aca="1" ref="H11:M11" ca="1">IF(ISBLANK(INDIRECT("'"&amp;$A11&amp;"'!B33:G33")), "", INDIRECT("'"&amp;$A11&amp;"'!B33:G33"))</f>
        <v>0</v>
      </c>
      <c r="I11" s="194" t="str">
        <f ca="1"/>
        <v/>
      </c>
      <c r="J11" s="194">
        <f ca="1"/>
        <v>0</v>
      </c>
      <c r="K11" s="199" t="str">
        <f ca="1"/>
        <v>-</v>
      </c>
      <c r="L11" s="165" t="str">
        <f ca="1"/>
        <v/>
      </c>
      <c r="M11" s="165" t="str">
        <f ca="1"/>
        <v/>
      </c>
    </row>
    <row r="12" spans="1:13" ht="14.45">
      <c r="A12" s="196" t="str">
        <v>Highlands Ranch South</v>
      </c>
      <c r="B12" s="197" t="str">
        <v>CO</v>
      </c>
      <c r="C12" s="191" t="str" cm="1">
        <f t="array" aca="1" ref="C12:F12" ca="1">IF(ISBLANK(INDIRECT("'"&amp;$A12&amp;"'!B15:E15")), "", INDIRECT("'"&amp;$A12&amp;"'!B15:E15"))</f>
        <v/>
      </c>
      <c r="D12" s="191" t="str">
        <f ca="1"/>
        <v/>
      </c>
      <c r="E12" s="191">
        <f ca="1"/>
        <v>0</v>
      </c>
      <c r="F12" s="198" t="str">
        <f ca="1"/>
        <v>-</v>
      </c>
      <c r="G12" s="193"/>
      <c r="H12" s="194" cm="1">
        <f t="array" aca="1" ref="H12:M12" ca="1">IF(ISBLANK(INDIRECT("'"&amp;$A12&amp;"'!B33:G33")), "", INDIRECT("'"&amp;$A12&amp;"'!B33:G33"))</f>
        <v>0</v>
      </c>
      <c r="I12" s="194" t="str">
        <f ca="1"/>
        <v/>
      </c>
      <c r="J12" s="194">
        <f ca="1"/>
        <v>0</v>
      </c>
      <c r="K12" s="199" t="str">
        <f ca="1"/>
        <v>-</v>
      </c>
      <c r="L12" s="165" t="str">
        <f ca="1"/>
        <v/>
      </c>
      <c r="M12" s="165" t="str">
        <f ca="1"/>
        <v/>
      </c>
    </row>
    <row r="13" spans="1:13" ht="14.45">
      <c r="A13" s="196" t="str">
        <v>Lone Tree</v>
      </c>
      <c r="B13" s="197" t="str">
        <v>CO</v>
      </c>
      <c r="C13" s="191" t="str" cm="1">
        <f t="array" aca="1" ref="C13:F13" ca="1">IF(ISBLANK(INDIRECT("'"&amp;$A13&amp;"'!B15:E15")), "", INDIRECT("'"&amp;$A13&amp;"'!B15:E15"))</f>
        <v/>
      </c>
      <c r="D13" s="191" t="str">
        <f ca="1"/>
        <v/>
      </c>
      <c r="E13" s="191">
        <f ca="1"/>
        <v>0</v>
      </c>
      <c r="F13" s="198" t="str">
        <f ca="1"/>
        <v>-</v>
      </c>
      <c r="G13" s="193"/>
      <c r="H13" s="194" cm="1">
        <f t="array" aca="1" ref="H13:M13" ca="1">IF(ISBLANK(INDIRECT("'"&amp;$A13&amp;"'!B33:G33")), "", INDIRECT("'"&amp;$A13&amp;"'!B33:G33"))</f>
        <v>0</v>
      </c>
      <c r="I13" s="194" t="str">
        <f ca="1"/>
        <v/>
      </c>
      <c r="J13" s="194">
        <f ca="1"/>
        <v>0</v>
      </c>
      <c r="K13" s="199" t="str">
        <f ca="1"/>
        <v>-</v>
      </c>
      <c r="L13" s="165" t="str">
        <f ca="1"/>
        <v/>
      </c>
      <c r="M13" s="165" t="str">
        <f ca="1"/>
        <v/>
      </c>
    </row>
    <row r="14" spans="1:13" ht="14.45">
      <c r="A14" s="196" t="str">
        <v>Meridian</v>
      </c>
      <c r="B14" s="197" t="str">
        <v>CO</v>
      </c>
      <c r="C14" s="191" t="str" cm="1">
        <f t="array" aca="1" ref="C14:F14" ca="1">IF(ISBLANK(INDIRECT("'"&amp;$A14&amp;"'!B15:E15")), "", INDIRECT("'"&amp;$A14&amp;"'!B15:E15"))</f>
        <v/>
      </c>
      <c r="D14" s="191" t="str">
        <f ca="1"/>
        <v/>
      </c>
      <c r="E14" s="191">
        <f ca="1"/>
        <v>0</v>
      </c>
      <c r="F14" s="198" t="str">
        <f ca="1"/>
        <v>-</v>
      </c>
      <c r="G14" s="193"/>
      <c r="H14" s="194" cm="1">
        <f t="array" aca="1" ref="H14:M14" ca="1">IF(ISBLANK(INDIRECT("'"&amp;$A14&amp;"'!B33:G33")), "", INDIRECT("'"&amp;$A14&amp;"'!B33:G33"))</f>
        <v>0</v>
      </c>
      <c r="I14" s="194" t="str">
        <f ca="1"/>
        <v/>
      </c>
      <c r="J14" s="194">
        <f ca="1"/>
        <v>0</v>
      </c>
      <c r="K14" s="199" t="str">
        <f ca="1"/>
        <v>-</v>
      </c>
      <c r="L14" s="165" t="str">
        <f ca="1"/>
        <v/>
      </c>
      <c r="M14" s="165" t="str">
        <f ca="1"/>
        <v/>
      </c>
    </row>
    <row r="15" spans="1:13" ht="14.45">
      <c r="A15" s="196" t="str">
        <v>Southglenn Relocation</v>
      </c>
      <c r="B15" s="197" t="str">
        <v>CO</v>
      </c>
      <c r="C15" s="191" t="str" cm="1">
        <f t="array" aca="1" ref="C15:F15" ca="1">IF(ISBLANK(INDIRECT("'"&amp;$A15&amp;"'!B15:E15")), "", INDIRECT("'"&amp;$A15&amp;"'!B15:E15"))</f>
        <v/>
      </c>
      <c r="D15" s="191" t="str">
        <f ca="1"/>
        <v/>
      </c>
      <c r="E15" s="191">
        <f ca="1"/>
        <v>0</v>
      </c>
      <c r="F15" s="198" t="str">
        <f ca="1"/>
        <v>-</v>
      </c>
      <c r="G15" s="193"/>
      <c r="H15" s="194" cm="1">
        <f t="array" aca="1" ref="H15:M15" ca="1">IF(ISBLANK(INDIRECT("'"&amp;$A15&amp;"'!B33:G33")), "", INDIRECT("'"&amp;$A15&amp;"'!B33:G33"))</f>
        <v>0</v>
      </c>
      <c r="I15" s="194" t="str">
        <f ca="1"/>
        <v/>
      </c>
      <c r="J15" s="194">
        <f ca="1"/>
        <v>0</v>
      </c>
      <c r="K15" s="199" t="str">
        <f ca="1"/>
        <v>-</v>
      </c>
      <c r="L15" s="165" t="str">
        <f ca="1"/>
        <v/>
      </c>
      <c r="M15" s="165" t="str">
        <f ca="1"/>
        <v/>
      </c>
    </row>
    <row r="16" spans="1:13" ht="14.45">
      <c r="A16" s="196" t="str">
        <v>Standley Lake</v>
      </c>
      <c r="B16" s="197" t="str">
        <v>CO</v>
      </c>
      <c r="C16" s="191" t="str" cm="1">
        <f t="array" aca="1" ref="C16:F16" ca="1">IF(ISBLANK(INDIRECT("'"&amp;$A16&amp;"'!B15:E15")), "", INDIRECT("'"&amp;$A16&amp;"'!B15:E15"))</f>
        <v/>
      </c>
      <c r="D16" s="191" t="str">
        <f ca="1"/>
        <v/>
      </c>
      <c r="E16" s="191">
        <f ca="1"/>
        <v>0</v>
      </c>
      <c r="F16" s="198" t="str">
        <f ca="1"/>
        <v>-</v>
      </c>
      <c r="G16" s="193"/>
      <c r="H16" s="194" cm="1">
        <f t="array" aca="1" ref="H16:M16" ca="1">IF(ISBLANK(INDIRECT("'"&amp;$A16&amp;"'!B33:G33")), "", INDIRECT("'"&amp;$A16&amp;"'!B33:G33"))</f>
        <v>0</v>
      </c>
      <c r="I16" s="194" t="str">
        <f ca="1"/>
        <v/>
      </c>
      <c r="J16" s="194">
        <f ca="1"/>
        <v>0</v>
      </c>
      <c r="K16" s="199" t="str">
        <f ca="1"/>
        <v>-</v>
      </c>
      <c r="L16" s="165" t="str">
        <f ca="1"/>
        <v/>
      </c>
      <c r="M16" s="165" t="str">
        <f ca="1"/>
        <v/>
      </c>
    </row>
    <row r="17" spans="1:13" ht="14.45">
      <c r="A17" s="196" t="str">
        <v>East Hartford</v>
      </c>
      <c r="B17" s="197" t="str">
        <v>CT</v>
      </c>
      <c r="C17" s="191" t="str" cm="1">
        <f t="array" aca="1" ref="C17:F17" ca="1">IF(ISBLANK(INDIRECT("'"&amp;$A17&amp;"'!B15:E15")), "", INDIRECT("'"&amp;$A17&amp;"'!B15:E15"))</f>
        <v/>
      </c>
      <c r="D17" s="191" t="str">
        <f ca="1"/>
        <v/>
      </c>
      <c r="E17" s="191">
        <f ca="1"/>
        <v>0</v>
      </c>
      <c r="F17" s="198" t="str">
        <f ca="1"/>
        <v>-</v>
      </c>
      <c r="G17" s="193"/>
      <c r="H17" s="194" cm="1">
        <f t="array" aca="1" ref="H17:M17" ca="1">IF(ISBLANK(INDIRECT("'"&amp;$A17&amp;"'!B33:G33")), "", INDIRECT("'"&amp;$A17&amp;"'!B33:G33"))</f>
        <v>0</v>
      </c>
      <c r="I17" s="194" t="str">
        <f ca="1"/>
        <v/>
      </c>
      <c r="J17" s="194">
        <f ca="1"/>
        <v>0</v>
      </c>
      <c r="K17" s="199" t="str">
        <f ca="1"/>
        <v>-</v>
      </c>
      <c r="L17" s="165" t="str">
        <f ca="1"/>
        <v/>
      </c>
      <c r="M17" s="165" t="str">
        <f ca="1"/>
        <v/>
      </c>
    </row>
    <row r="18" spans="1:13" ht="14.45">
      <c r="A18" s="196" t="str">
        <v>Norwalk Post Road</v>
      </c>
      <c r="B18" s="197" t="str">
        <v>CT</v>
      </c>
      <c r="C18" s="191" t="str" cm="1">
        <f t="array" aca="1" ref="C18:F18" ca="1">IF(ISBLANK(INDIRECT("'"&amp;$A18&amp;"'!B15:E15")), "", INDIRECT("'"&amp;$A18&amp;"'!B15:E15"))</f>
        <v/>
      </c>
      <c r="D18" s="191" t="str">
        <f ca="1"/>
        <v/>
      </c>
      <c r="E18" s="191">
        <f ca="1"/>
        <v>0</v>
      </c>
      <c r="F18" s="198" t="str">
        <f ca="1"/>
        <v>-</v>
      </c>
      <c r="G18" s="193"/>
      <c r="H18" s="194" cm="1">
        <f t="array" aca="1" ref="H18:M18" ca="1">IF(ISBLANK(INDIRECT("'"&amp;$A18&amp;"'!B33:G33")), "", INDIRECT("'"&amp;$A18&amp;"'!B33:G33"))</f>
        <v>0</v>
      </c>
      <c r="I18" s="194" t="str">
        <f ca="1"/>
        <v/>
      </c>
      <c r="J18" s="194">
        <f ca="1"/>
        <v>0</v>
      </c>
      <c r="K18" s="199" t="str">
        <f ca="1"/>
        <v>-</v>
      </c>
      <c r="L18" s="165" t="str">
        <f ca="1"/>
        <v/>
      </c>
      <c r="M18" s="165" t="str">
        <f ca="1"/>
        <v/>
      </c>
    </row>
    <row r="19" spans="1:13" ht="14.45">
      <c r="A19" s="196" t="str">
        <v>Hialeah Gardens</v>
      </c>
      <c r="B19" s="197" t="str">
        <v>FL</v>
      </c>
      <c r="C19" s="191" t="str" cm="1">
        <f t="array" aca="1" ref="C19:F19" ca="1">IF(ISBLANK(INDIRECT("'"&amp;$A19&amp;"'!B15:E15")), "", INDIRECT("'"&amp;$A19&amp;"'!B15:E15"))</f>
        <v/>
      </c>
      <c r="D19" s="191" t="str">
        <f ca="1"/>
        <v/>
      </c>
      <c r="E19" s="191">
        <f ca="1"/>
        <v>0</v>
      </c>
      <c r="F19" s="198" t="str">
        <f ca="1"/>
        <v>-</v>
      </c>
      <c r="G19" s="193"/>
      <c r="H19" s="194" cm="1">
        <f t="array" aca="1" ref="H19:M19" ca="1">IF(ISBLANK(INDIRECT("'"&amp;$A19&amp;"'!B33:G33")), "", INDIRECT("'"&amp;$A19&amp;"'!B33:G33"))</f>
        <v>0</v>
      </c>
      <c r="I19" s="194" t="str">
        <f ca="1"/>
        <v/>
      </c>
      <c r="J19" s="194">
        <f ca="1"/>
        <v>0</v>
      </c>
      <c r="K19" s="199" t="str">
        <f ca="1"/>
        <v>-</v>
      </c>
      <c r="L19" s="165" t="str">
        <f ca="1"/>
        <v/>
      </c>
      <c r="M19" s="165" t="str">
        <f ca="1"/>
        <v/>
      </c>
    </row>
    <row r="20" spans="1:13" ht="14.45">
      <c r="A20" s="196" t="str">
        <v>HMHQ</v>
      </c>
      <c r="B20" s="197" t="str">
        <v>IA</v>
      </c>
      <c r="C20" s="191" t="str" cm="1">
        <f t="array" aca="1" ref="C20:F20" ca="1">IF(ISBLANK(INDIRECT("'"&amp;$A20&amp;"'!B15:E15")), "", INDIRECT("'"&amp;$A20&amp;"'!B15:E15"))</f>
        <v/>
      </c>
      <c r="D20" s="191" t="str">
        <f ca="1"/>
        <v/>
      </c>
      <c r="E20" s="191">
        <f ca="1"/>
        <v>0</v>
      </c>
      <c r="F20" s="198" t="str">
        <f ca="1"/>
        <v>-</v>
      </c>
      <c r="G20" s="193"/>
      <c r="H20" s="194" cm="1">
        <f t="array" aca="1" ref="H20:M20" ca="1">IF(ISBLANK(INDIRECT("'"&amp;$A20&amp;"'!B33:G33")), "", INDIRECT("'"&amp;$A20&amp;"'!B33:G33"))</f>
        <v>0</v>
      </c>
      <c r="I20" s="194" t="str">
        <f ca="1"/>
        <v/>
      </c>
      <c r="J20" s="194">
        <f ca="1"/>
        <v>0</v>
      </c>
      <c r="K20" s="199" t="str">
        <f ca="1"/>
        <v>-</v>
      </c>
      <c r="L20" s="165" t="str">
        <f ca="1"/>
        <v/>
      </c>
      <c r="M20" s="165" t="str">
        <f ca="1"/>
        <v/>
      </c>
    </row>
    <row r="21" spans="1:13" ht="14.45">
      <c r="A21" s="196" t="str">
        <v>West Des Moines Campus East</v>
      </c>
      <c r="B21" s="197" t="str">
        <v>IA</v>
      </c>
      <c r="C21" s="191" t="str" cm="1">
        <f t="array" aca="1" ref="C21:F21" ca="1">IF(ISBLANK(INDIRECT("'"&amp;$A21&amp;"'!B15:E15")), "", INDIRECT("'"&amp;$A21&amp;"'!B15:E15"))</f>
        <v/>
      </c>
      <c r="D21" s="191" t="str">
        <f ca="1"/>
        <v/>
      </c>
      <c r="E21" s="191">
        <f ca="1"/>
        <v>0</v>
      </c>
      <c r="F21" s="198" t="str">
        <f ca="1"/>
        <v>-</v>
      </c>
      <c r="G21" s="193"/>
      <c r="H21" s="194" cm="1">
        <f t="array" aca="1" ref="H21:M21" ca="1">IF(ISBLANK(INDIRECT("'"&amp;$A21&amp;"'!B33:G33")), "", INDIRECT("'"&amp;$A21&amp;"'!B33:G33"))</f>
        <v>0</v>
      </c>
      <c r="I21" s="194" t="str">
        <f ca="1"/>
        <v/>
      </c>
      <c r="J21" s="194">
        <f ca="1"/>
        <v>0</v>
      </c>
      <c r="K21" s="199" t="str">
        <f ca="1"/>
        <v>-</v>
      </c>
      <c r="L21" s="165" t="str">
        <f ca="1"/>
        <v/>
      </c>
      <c r="M21" s="165" t="str">
        <f ca="1"/>
        <v/>
      </c>
    </row>
    <row r="22" spans="1:13" ht="14.45">
      <c r="A22" s="196" t="str">
        <v>West Des Moines Campus West</v>
      </c>
      <c r="B22" s="197" t="str">
        <v>IA</v>
      </c>
      <c r="C22" s="191" t="str" cm="1">
        <f t="array" aca="1" ref="C22:F22" ca="1">IF(ISBLANK(INDIRECT("'"&amp;$A22&amp;"'!B15:E15")), "", INDIRECT("'"&amp;$A22&amp;"'!B15:E15"))</f>
        <v/>
      </c>
      <c r="D22" s="191" t="str">
        <f ca="1"/>
        <v/>
      </c>
      <c r="E22" s="191">
        <f ca="1"/>
        <v>0</v>
      </c>
      <c r="F22" s="198" t="str">
        <f ca="1"/>
        <v>-</v>
      </c>
      <c r="G22" s="193"/>
      <c r="H22" s="194" cm="1">
        <f t="array" aca="1" ref="H22:M22" ca="1">IF(ISBLANK(INDIRECT("'"&amp;$A22&amp;"'!B33:G33")), "", INDIRECT("'"&amp;$A22&amp;"'!B33:G33"))</f>
        <v>0</v>
      </c>
      <c r="I22" s="194" t="str">
        <f ca="1"/>
        <v/>
      </c>
      <c r="J22" s="194">
        <f ca="1"/>
        <v>0</v>
      </c>
      <c r="K22" s="199" t="str">
        <f ca="1"/>
        <v>-</v>
      </c>
      <c r="L22" s="165" t="str">
        <f ca="1"/>
        <v/>
      </c>
      <c r="M22" s="165" t="str">
        <f ca="1"/>
        <v/>
      </c>
    </row>
    <row r="23" spans="1:13" ht="14.45">
      <c r="A23" s="200" t="str">
        <v>CIC</v>
      </c>
      <c r="B23" s="201" t="str">
        <v>NC</v>
      </c>
      <c r="C23" s="191" t="str" cm="1">
        <f t="array" aca="1" ref="C23:F23" ca="1">IF(ISBLANK(INDIRECT("'"&amp;$A23&amp;"'!B15:E15")), "", INDIRECT("'"&amp;$A23&amp;"'!B15:E15"))</f>
        <v/>
      </c>
      <c r="D23" s="191" t="str">
        <f ca="1"/>
        <v/>
      </c>
      <c r="E23" s="191">
        <f ca="1"/>
        <v>0</v>
      </c>
      <c r="F23" s="198" t="str">
        <f ca="1"/>
        <v>-</v>
      </c>
      <c r="G23" s="193"/>
      <c r="H23" s="194" cm="1">
        <f t="array" aca="1" ref="H23:M23" ca="1">IF(ISBLANK(INDIRECT("'"&amp;$A23&amp;"'!B33:G33")), "", INDIRECT("'"&amp;$A23&amp;"'!B33:G33"))</f>
        <v>0</v>
      </c>
      <c r="I23" s="194" t="str">
        <f ca="1"/>
        <v/>
      </c>
      <c r="J23" s="194">
        <f ca="1"/>
        <v>0</v>
      </c>
      <c r="K23" s="199" t="str">
        <f ca="1"/>
        <v>-</v>
      </c>
      <c r="L23" s="165" t="str">
        <f ca="1"/>
        <v/>
      </c>
      <c r="M23" s="165" t="str">
        <f ca="1"/>
        <v/>
      </c>
    </row>
    <row r="24" spans="1:13" ht="14.45">
      <c r="A24" s="200" t="str">
        <v>DUC</v>
      </c>
      <c r="B24" s="201" t="str">
        <v>NC</v>
      </c>
      <c r="C24" s="191" t="str" cm="1">
        <f t="array" aca="1" ref="C24:F24" ca="1">IF(ISBLANK(INDIRECT("'"&amp;$A24&amp;"'!B15:E15")), "", INDIRECT("'"&amp;$A24&amp;"'!B15:E15"))</f>
        <v/>
      </c>
      <c r="D24" s="191" t="str">
        <f ca="1"/>
        <v/>
      </c>
      <c r="E24" s="191">
        <f ca="1"/>
        <v>0</v>
      </c>
      <c r="F24" s="198" t="str">
        <f ca="1"/>
        <v>-</v>
      </c>
      <c r="G24" s="193"/>
      <c r="H24" s="194" cm="1">
        <f t="array" aca="1" ref="H24:M24" ca="1">IF(ISBLANK(INDIRECT("'"&amp;$A24&amp;"'!B33:G33")), "", INDIRECT("'"&amp;$A24&amp;"'!B33:G33"))</f>
        <v>0</v>
      </c>
      <c r="I24" s="194" t="str">
        <f ca="1"/>
        <v/>
      </c>
      <c r="J24" s="194">
        <f ca="1"/>
        <v>0</v>
      </c>
      <c r="K24" s="199" t="str">
        <f ca="1"/>
        <v>-</v>
      </c>
      <c r="L24" s="165" t="str">
        <f ca="1"/>
        <v/>
      </c>
      <c r="M24" s="165" t="str">
        <f ca="1"/>
        <v/>
      </c>
    </row>
    <row r="25" spans="1:13" ht="14.45">
      <c r="A25" s="200" t="str">
        <v>Barnegat Office</v>
      </c>
      <c r="B25" s="201" t="str">
        <v>NJ</v>
      </c>
      <c r="C25" s="191" t="str" cm="1">
        <f t="array" aca="1" ref="C25:F25" ca="1">IF(ISBLANK(INDIRECT("'"&amp;$A25&amp;"'!B15:E15")), "", INDIRECT("'"&amp;$A25&amp;"'!B15:E15"))</f>
        <v/>
      </c>
      <c r="D25" s="191" t="str">
        <f ca="1"/>
        <v/>
      </c>
      <c r="E25" s="191">
        <f ca="1"/>
        <v>0</v>
      </c>
      <c r="F25" s="198" t="str">
        <f ca="1"/>
        <v>-</v>
      </c>
      <c r="G25" s="193"/>
      <c r="H25" s="194" cm="1">
        <f t="array" aca="1" ref="H25:M25" ca="1">IF(ISBLANK(INDIRECT("'"&amp;$A25&amp;"'!B33:G33")), "", INDIRECT("'"&amp;$A25&amp;"'!B33:G33"))</f>
        <v>0</v>
      </c>
      <c r="I25" s="194" t="str">
        <f ca="1"/>
        <v/>
      </c>
      <c r="J25" s="194">
        <f ca="1"/>
        <v>0</v>
      </c>
      <c r="K25" s="199" t="str">
        <f ca="1"/>
        <v>-</v>
      </c>
      <c r="L25" s="165" t="str">
        <f ca="1"/>
        <v/>
      </c>
      <c r="M25" s="165" t="str">
        <f ca="1"/>
        <v/>
      </c>
    </row>
    <row r="26" spans="1:13" ht="14.45">
      <c r="A26" s="200" t="str">
        <v>Bayonne Office</v>
      </c>
      <c r="B26" s="201" t="str">
        <v>NJ</v>
      </c>
      <c r="C26" s="191" t="str" cm="1">
        <f t="array" aca="1" ref="C26:F26" ca="1">IF(ISBLANK(INDIRECT("'"&amp;$A26&amp;"'!B15:E15")), "", INDIRECT("'"&amp;$A26&amp;"'!B15:E15"))</f>
        <v/>
      </c>
      <c r="D26" s="191" t="str">
        <f ca="1"/>
        <v/>
      </c>
      <c r="E26" s="191">
        <f ca="1"/>
        <v>0</v>
      </c>
      <c r="F26" s="198" t="str">
        <f ca="1"/>
        <v>-</v>
      </c>
      <c r="G26" s="193"/>
      <c r="H26" s="194" cm="1">
        <f t="array" aca="1" ref="H26:M26" ca="1">IF(ISBLANK(INDIRECT("'"&amp;$A26&amp;"'!B33:G33")), "", INDIRECT("'"&amp;$A26&amp;"'!B33:G33"))</f>
        <v>0</v>
      </c>
      <c r="I26" s="194" t="str">
        <f ca="1"/>
        <v/>
      </c>
      <c r="J26" s="194">
        <f ca="1"/>
        <v>0</v>
      </c>
      <c r="K26" s="199" t="str">
        <f ca="1"/>
        <v>-</v>
      </c>
      <c r="L26" s="165" t="str">
        <f ca="1"/>
        <v/>
      </c>
      <c r="M26" s="165" t="str">
        <f ca="1"/>
        <v/>
      </c>
    </row>
    <row r="27" spans="1:13" ht="14.45">
      <c r="A27" s="200" t="str">
        <v>Bordentown</v>
      </c>
      <c r="B27" s="201" t="str">
        <v>NJ</v>
      </c>
      <c r="C27" s="191" t="str" cm="1">
        <f t="array" aca="1" ref="C27:F27" ca="1">IF(ISBLANK(INDIRECT("'"&amp;$A27&amp;"'!B15:E15")), "", INDIRECT("'"&amp;$A27&amp;"'!B15:E15"))</f>
        <v/>
      </c>
      <c r="D27" s="191" t="str">
        <f ca="1"/>
        <v/>
      </c>
      <c r="E27" s="191">
        <f ca="1"/>
        <v>0</v>
      </c>
      <c r="F27" s="198" t="str">
        <f ca="1"/>
        <v>-</v>
      </c>
      <c r="G27" s="193"/>
      <c r="H27" s="194" cm="1">
        <f t="array" aca="1" ref="H27:M27" ca="1">IF(ISBLANK(INDIRECT("'"&amp;$A27&amp;"'!B33:G33")), "", INDIRECT("'"&amp;$A27&amp;"'!B33:G33"))</f>
        <v>0</v>
      </c>
      <c r="I27" s="194" t="str">
        <f ca="1"/>
        <v/>
      </c>
      <c r="J27" s="194">
        <f ca="1"/>
        <v>0</v>
      </c>
      <c r="K27" s="199" t="str">
        <f ca="1"/>
        <v>-</v>
      </c>
      <c r="L27" s="165" t="str">
        <f ca="1"/>
        <v/>
      </c>
      <c r="M27" s="165" t="str">
        <f ca="1"/>
        <v/>
      </c>
    </row>
    <row r="28" spans="1:13" ht="14.45">
      <c r="A28" s="200" t="str">
        <v>Burlington Springside</v>
      </c>
      <c r="B28" s="201" t="str">
        <v>NJ</v>
      </c>
      <c r="C28" s="191" t="str" cm="1">
        <f t="array" aca="1" ref="C28:F28" ca="1">IF(ISBLANK(INDIRECT("'"&amp;$A28&amp;"'!B15:E15")), "", INDIRECT("'"&amp;$A28&amp;"'!B15:E15"))</f>
        <v/>
      </c>
      <c r="D28" s="191" t="str">
        <f ca="1"/>
        <v/>
      </c>
      <c r="E28" s="191">
        <f ca="1"/>
        <v>0</v>
      </c>
      <c r="F28" s="198" t="str">
        <f ca="1"/>
        <v>-</v>
      </c>
      <c r="G28" s="193"/>
      <c r="H28" s="194" cm="1">
        <f t="array" aca="1" ref="H28:M28" ca="1">IF(ISBLANK(INDIRECT("'"&amp;$A28&amp;"'!B33:G33")), "", INDIRECT("'"&amp;$A28&amp;"'!B33:G33"))</f>
        <v>0</v>
      </c>
      <c r="I28" s="194" t="str">
        <f ca="1"/>
        <v/>
      </c>
      <c r="J28" s="194">
        <f ca="1"/>
        <v>0</v>
      </c>
      <c r="K28" s="199" t="str">
        <f ca="1"/>
        <v>-</v>
      </c>
      <c r="L28" s="165" t="str">
        <f ca="1"/>
        <v/>
      </c>
      <c r="M28" s="165" t="str">
        <f ca="1"/>
        <v/>
      </c>
    </row>
    <row r="29" spans="1:13" ht="14.45">
      <c r="A29" s="200" t="str">
        <v>Cherry Hill Short Hills</v>
      </c>
      <c r="B29" s="201" t="str">
        <v>NJ</v>
      </c>
      <c r="C29" s="191" t="str" cm="1">
        <f t="array" aca="1" ref="C29:F29" ca="1">IF(ISBLANK(INDIRECT("'"&amp;$A29&amp;"'!B15:E15")), "", INDIRECT("'"&amp;$A29&amp;"'!B15:E15"))</f>
        <v/>
      </c>
      <c r="D29" s="191" t="str">
        <f ca="1"/>
        <v/>
      </c>
      <c r="E29" s="191">
        <f ca="1"/>
        <v>0</v>
      </c>
      <c r="F29" s="198" t="str">
        <f ca="1"/>
        <v>-</v>
      </c>
      <c r="G29" s="193"/>
      <c r="H29" s="194" cm="1">
        <f t="array" aca="1" ref="H29:M29" ca="1">IF(ISBLANK(INDIRECT("'"&amp;$A29&amp;"'!B33:G33")), "", INDIRECT("'"&amp;$A29&amp;"'!B33:G33"))</f>
        <v>0</v>
      </c>
      <c r="I29" s="194" t="str">
        <f ca="1"/>
        <v/>
      </c>
      <c r="J29" s="194">
        <f ca="1"/>
        <v>0</v>
      </c>
      <c r="K29" s="199" t="str">
        <f ca="1"/>
        <v>-</v>
      </c>
      <c r="L29" s="165" t="str">
        <f ca="1"/>
        <v/>
      </c>
      <c r="M29" s="165" t="str">
        <f ca="1"/>
        <v/>
      </c>
    </row>
    <row r="30" spans="1:13" ht="14.45">
      <c r="A30" s="200" t="str">
        <v>Clark Office</v>
      </c>
      <c r="B30" s="201" t="str">
        <v>NJ</v>
      </c>
      <c r="C30" s="191" t="str" cm="1">
        <f t="array" aca="1" ref="C30:F30" ca="1">IF(ISBLANK(INDIRECT("'"&amp;$A30&amp;"'!B15:E15")), "", INDIRECT("'"&amp;$A30&amp;"'!B15:E15"))</f>
        <v/>
      </c>
      <c r="D30" s="191" t="str">
        <f ca="1"/>
        <v/>
      </c>
      <c r="E30" s="191">
        <f ca="1"/>
        <v>0</v>
      </c>
      <c r="F30" s="198" t="str">
        <f ca="1"/>
        <v>-</v>
      </c>
      <c r="G30" s="193"/>
      <c r="H30" s="194" cm="1">
        <f t="array" aca="1" ref="H30:M30" ca="1">IF(ISBLANK(INDIRECT("'"&amp;$A30&amp;"'!B33:G33")), "", INDIRECT("'"&amp;$A30&amp;"'!B33:G33"))</f>
        <v>0</v>
      </c>
      <c r="I30" s="194" t="str">
        <f ca="1"/>
        <v/>
      </c>
      <c r="J30" s="194">
        <f ca="1"/>
        <v>0</v>
      </c>
      <c r="K30" s="199" t="str">
        <f ca="1"/>
        <v>-</v>
      </c>
      <c r="L30" s="165" t="str">
        <f ca="1"/>
        <v/>
      </c>
      <c r="M30" s="165" t="str">
        <f ca="1"/>
        <v/>
      </c>
    </row>
    <row r="31" spans="1:13" ht="14.45">
      <c r="A31" s="200" t="str">
        <v>Clifton Office</v>
      </c>
      <c r="B31" s="201" t="str">
        <v>NJ</v>
      </c>
      <c r="C31" s="191" t="str" cm="1">
        <f t="array" aca="1" ref="C31:F31" ca="1">IF(ISBLANK(INDIRECT("'"&amp;$A31&amp;"'!B15:E15")), "", INDIRECT("'"&amp;$A31&amp;"'!B15:E15"))</f>
        <v/>
      </c>
      <c r="D31" s="191" t="str">
        <f ca="1"/>
        <v/>
      </c>
      <c r="E31" s="191">
        <f ca="1"/>
        <v>0</v>
      </c>
      <c r="F31" s="198" t="str">
        <f ca="1"/>
        <v>-</v>
      </c>
      <c r="G31" s="193"/>
      <c r="H31" s="194" cm="1">
        <f t="array" aca="1" ref="H31:M31" ca="1">IF(ISBLANK(INDIRECT("'"&amp;$A31&amp;"'!B33:G33")), "", INDIRECT("'"&amp;$A31&amp;"'!B33:G33"))</f>
        <v>0</v>
      </c>
      <c r="I31" s="194" t="str">
        <f ca="1"/>
        <v/>
      </c>
      <c r="J31" s="194">
        <f ca="1"/>
        <v>0</v>
      </c>
      <c r="K31" s="199" t="str">
        <f ca="1"/>
        <v>-</v>
      </c>
      <c r="L31" s="165" t="str">
        <f ca="1"/>
        <v/>
      </c>
      <c r="M31" s="165" t="str">
        <f ca="1"/>
        <v/>
      </c>
    </row>
    <row r="32" spans="1:13" ht="14.45">
      <c r="A32" s="200" t="str">
        <v>Clinton Main Relo</v>
      </c>
      <c r="B32" s="201" t="str">
        <v>NJ</v>
      </c>
      <c r="C32" s="191" t="str" cm="1">
        <f t="array" aca="1" ref="C32:F32" ca="1">IF(ISBLANK(INDIRECT("'"&amp;$A32&amp;"'!B15:E15")), "", INDIRECT("'"&amp;$A32&amp;"'!B15:E15"))</f>
        <v/>
      </c>
      <c r="D32" s="191" t="str">
        <f ca="1"/>
        <v/>
      </c>
      <c r="E32" s="191">
        <f ca="1"/>
        <v>0</v>
      </c>
      <c r="F32" s="198" t="str">
        <f ca="1"/>
        <v>-</v>
      </c>
      <c r="G32" s="193"/>
      <c r="H32" s="194" cm="1">
        <f t="array" aca="1" ref="H32:M32" ca="1">IF(ISBLANK(INDIRECT("'"&amp;$A32&amp;"'!B33:G33")), "", INDIRECT("'"&amp;$A32&amp;"'!B33:G33"))</f>
        <v>0</v>
      </c>
      <c r="I32" s="194" t="str">
        <f ca="1"/>
        <v/>
      </c>
      <c r="J32" s="194">
        <f ca="1"/>
        <v>0</v>
      </c>
      <c r="K32" s="199" t="str">
        <f ca="1"/>
        <v>-</v>
      </c>
      <c r="L32" s="165" t="str">
        <f ca="1"/>
        <v/>
      </c>
      <c r="M32" s="165" t="str">
        <f ca="1"/>
        <v/>
      </c>
    </row>
    <row r="33" spans="1:13" ht="14.45">
      <c r="A33" s="200" t="str">
        <v>Closter Office</v>
      </c>
      <c r="B33" s="201" t="str">
        <v>NJ</v>
      </c>
      <c r="C33" s="191" t="str" cm="1">
        <f t="array" aca="1" ref="C33:F33" ca="1">IF(ISBLANK(INDIRECT("'"&amp;$A33&amp;"'!B15:E15")), "", INDIRECT("'"&amp;$A33&amp;"'!B15:E15"))</f>
        <v/>
      </c>
      <c r="D33" s="191" t="str">
        <f ca="1"/>
        <v/>
      </c>
      <c r="E33" s="191">
        <f ca="1"/>
        <v>0</v>
      </c>
      <c r="F33" s="198" t="str">
        <f ca="1"/>
        <v>-</v>
      </c>
      <c r="G33" s="193"/>
      <c r="H33" s="194" cm="1">
        <f t="array" aca="1" ref="H33:M33" ca="1">IF(ISBLANK(INDIRECT("'"&amp;$A33&amp;"'!B33:G33")), "", INDIRECT("'"&amp;$A33&amp;"'!B33:G33"))</f>
        <v>0</v>
      </c>
      <c r="I33" s="194" t="str">
        <f ca="1"/>
        <v/>
      </c>
      <c r="J33" s="194">
        <f ca="1"/>
        <v>0</v>
      </c>
      <c r="K33" s="199" t="str">
        <f ca="1"/>
        <v>-</v>
      </c>
      <c r="L33" s="165" t="str">
        <f ca="1"/>
        <v/>
      </c>
      <c r="M33" s="165" t="str">
        <f ca="1"/>
        <v/>
      </c>
    </row>
    <row r="34" spans="1:13" ht="14.45">
      <c r="A34" s="200" t="str">
        <v>East Windsor</v>
      </c>
      <c r="B34" s="201" t="str">
        <v>NJ</v>
      </c>
      <c r="C34" s="191" t="str" cm="1">
        <f t="array" aca="1" ref="C34:F34" ca="1">IF(ISBLANK(INDIRECT("'"&amp;$A34&amp;"'!B15:E15")), "", INDIRECT("'"&amp;$A34&amp;"'!B15:E15"))</f>
        <v/>
      </c>
      <c r="D34" s="191" t="str">
        <f ca="1"/>
        <v/>
      </c>
      <c r="E34" s="191">
        <f ca="1"/>
        <v>0</v>
      </c>
      <c r="F34" s="198" t="str">
        <f ca="1"/>
        <v>-</v>
      </c>
      <c r="G34" s="193"/>
      <c r="H34" s="194" cm="1">
        <f t="array" aca="1" ref="H34:M34" ca="1">IF(ISBLANK(INDIRECT("'"&amp;$A34&amp;"'!B33:G33")), "", INDIRECT("'"&amp;$A34&amp;"'!B33:G33"))</f>
        <v>0</v>
      </c>
      <c r="I34" s="194" t="str">
        <f ca="1"/>
        <v/>
      </c>
      <c r="J34" s="194">
        <f ca="1"/>
        <v>0</v>
      </c>
      <c r="K34" s="199" t="str">
        <f ca="1"/>
        <v>-</v>
      </c>
      <c r="L34" s="165" t="str">
        <f ca="1"/>
        <v/>
      </c>
      <c r="M34" s="165" t="str">
        <f ca="1"/>
        <v/>
      </c>
    </row>
    <row r="35" spans="1:13" ht="14.45">
      <c r="A35" s="200" t="str">
        <v>Edison Office</v>
      </c>
      <c r="B35" s="201" t="str">
        <v>NJ</v>
      </c>
      <c r="C35" s="191" t="str" cm="1">
        <f t="array" aca="1" ref="C35:F35" ca="1">IF(ISBLANK(INDIRECT("'"&amp;$A35&amp;"'!B15:E15")), "", INDIRECT("'"&amp;$A35&amp;"'!B15:E15"))</f>
        <v/>
      </c>
      <c r="D35" s="191" t="str">
        <f ca="1"/>
        <v/>
      </c>
      <c r="E35" s="191">
        <f ca="1"/>
        <v>0</v>
      </c>
      <c r="F35" s="198" t="str">
        <f ca="1"/>
        <v>-</v>
      </c>
      <c r="G35" s="193"/>
      <c r="H35" s="194" cm="1">
        <f t="array" aca="1" ref="H35:M35" ca="1">IF(ISBLANK(INDIRECT("'"&amp;$A35&amp;"'!B33:G33")), "", INDIRECT("'"&amp;$A35&amp;"'!B33:G33"))</f>
        <v>0</v>
      </c>
      <c r="I35" s="194" t="str">
        <f ca="1"/>
        <v/>
      </c>
      <c r="J35" s="194">
        <f ca="1"/>
        <v>0</v>
      </c>
      <c r="K35" s="199" t="str">
        <f ca="1"/>
        <v>-</v>
      </c>
      <c r="L35" s="165" t="str">
        <f ca="1"/>
        <v/>
      </c>
      <c r="M35" s="165" t="str">
        <f ca="1"/>
        <v/>
      </c>
    </row>
    <row r="36" spans="1:13" ht="14.45">
      <c r="A36" s="200" t="str">
        <v>Ellisburg Circle Center</v>
      </c>
      <c r="B36" s="201" t="str">
        <v>NJ</v>
      </c>
      <c r="C36" s="191" t="str" cm="1">
        <f t="array" aca="1" ref="C36:F36" ca="1">IF(ISBLANK(INDIRECT("'"&amp;$A36&amp;"'!B15:E15")), "", INDIRECT("'"&amp;$A36&amp;"'!B15:E15"))</f>
        <v/>
      </c>
      <c r="D36" s="191" t="str">
        <f ca="1"/>
        <v/>
      </c>
      <c r="E36" s="191">
        <f ca="1"/>
        <v>0</v>
      </c>
      <c r="F36" s="198" t="str">
        <f ca="1"/>
        <v>-</v>
      </c>
      <c r="G36" s="193"/>
      <c r="H36" s="194" cm="1">
        <f t="array" aca="1" ref="H36:M36" ca="1">IF(ISBLANK(INDIRECT("'"&amp;$A36&amp;"'!B33:G33")), "", INDIRECT("'"&amp;$A36&amp;"'!B33:G33"))</f>
        <v>0</v>
      </c>
      <c r="I36" s="194" t="str">
        <f ca="1"/>
        <v/>
      </c>
      <c r="J36" s="194">
        <f ca="1"/>
        <v>0</v>
      </c>
      <c r="K36" s="199" t="str">
        <f ca="1"/>
        <v>-</v>
      </c>
      <c r="L36" s="165" t="str">
        <f ca="1"/>
        <v/>
      </c>
      <c r="M36" s="165" t="str">
        <f ca="1"/>
        <v/>
      </c>
    </row>
    <row r="37" spans="1:13" ht="14.45">
      <c r="A37" s="200" t="str">
        <v>Flemington</v>
      </c>
      <c r="B37" s="201" t="str">
        <v>NJ</v>
      </c>
      <c r="C37" s="191" t="str" cm="1">
        <f t="array" aca="1" ref="C37:F37" ca="1">IF(ISBLANK(INDIRECT("'"&amp;$A37&amp;"'!B15:E15")), "", INDIRECT("'"&amp;$A37&amp;"'!B15:E15"))</f>
        <v/>
      </c>
      <c r="D37" s="191" t="str">
        <f ca="1"/>
        <v/>
      </c>
      <c r="E37" s="191">
        <f ca="1"/>
        <v>0</v>
      </c>
      <c r="F37" s="198" t="str">
        <f ca="1"/>
        <v>-</v>
      </c>
      <c r="G37" s="193"/>
      <c r="H37" s="194" cm="1">
        <f t="array" aca="1" ref="H37:M37" ca="1">IF(ISBLANK(INDIRECT("'"&amp;$A37&amp;"'!B33:G33")), "", INDIRECT("'"&amp;$A37&amp;"'!B33:G33"))</f>
        <v>0</v>
      </c>
      <c r="I37" s="194" t="str">
        <f ca="1"/>
        <v/>
      </c>
      <c r="J37" s="194">
        <f ca="1"/>
        <v>0</v>
      </c>
      <c r="K37" s="199" t="str">
        <f ca="1"/>
        <v>-</v>
      </c>
      <c r="L37" s="165" t="str">
        <f ca="1"/>
        <v/>
      </c>
      <c r="M37" s="165" t="str">
        <f ca="1"/>
        <v/>
      </c>
    </row>
    <row r="38" spans="1:13" ht="14.45">
      <c r="A38" s="200" t="str">
        <v>Franklin Township</v>
      </c>
      <c r="B38" s="201" t="str">
        <v>NJ</v>
      </c>
      <c r="C38" s="191" t="str" cm="1">
        <f t="array" aca="1" ref="C38:F38" ca="1">IF(ISBLANK(INDIRECT("'"&amp;$A38&amp;"'!B15:E15")), "", INDIRECT("'"&amp;$A38&amp;"'!B15:E15"))</f>
        <v/>
      </c>
      <c r="D38" s="191" t="str">
        <f ca="1"/>
        <v/>
      </c>
      <c r="E38" s="191">
        <f ca="1"/>
        <v>0</v>
      </c>
      <c r="F38" s="198" t="str">
        <f ca="1"/>
        <v>-</v>
      </c>
      <c r="G38" s="193"/>
      <c r="H38" s="194" cm="1">
        <f t="array" aca="1" ref="H38:M38" ca="1">IF(ISBLANK(INDIRECT("'"&amp;$A38&amp;"'!B33:G33")), "", INDIRECT("'"&amp;$A38&amp;"'!B33:G33"))</f>
        <v>0</v>
      </c>
      <c r="I38" s="194" t="str">
        <f ca="1"/>
        <v/>
      </c>
      <c r="J38" s="194">
        <f ca="1"/>
        <v>0</v>
      </c>
      <c r="K38" s="199" t="str">
        <f ca="1"/>
        <v>-</v>
      </c>
      <c r="L38" s="165" t="str">
        <f ca="1"/>
        <v/>
      </c>
      <c r="M38" s="165" t="str">
        <f ca="1"/>
        <v/>
      </c>
    </row>
    <row r="39" spans="1:13" ht="14.45">
      <c r="A39" s="200" t="str">
        <v>Haddon Westmont Plaza</v>
      </c>
      <c r="B39" s="201" t="str">
        <v>NJ</v>
      </c>
      <c r="C39" s="191" t="str" cm="1">
        <f t="array" aca="1" ref="C39:F39" ca="1">IF(ISBLANK(INDIRECT("'"&amp;$A39&amp;"'!B15:E15")), "", INDIRECT("'"&amp;$A39&amp;"'!B15:E15"))</f>
        <v/>
      </c>
      <c r="D39" s="191" t="str">
        <f ca="1"/>
        <v/>
      </c>
      <c r="E39" s="191">
        <f ca="1"/>
        <v>0</v>
      </c>
      <c r="F39" s="198" t="str">
        <f ca="1"/>
        <v>-</v>
      </c>
      <c r="G39" s="193"/>
      <c r="H39" s="194" cm="1">
        <f t="array" aca="1" ref="H39:M39" ca="1">IF(ISBLANK(INDIRECT("'"&amp;$A39&amp;"'!B33:G33")), "", INDIRECT("'"&amp;$A39&amp;"'!B33:G33"))</f>
        <v>0</v>
      </c>
      <c r="I39" s="194" t="str">
        <f ca="1"/>
        <v/>
      </c>
      <c r="J39" s="194">
        <f ca="1"/>
        <v>0</v>
      </c>
      <c r="K39" s="199" t="str">
        <f ca="1"/>
        <v>-</v>
      </c>
      <c r="L39" s="165" t="str">
        <f ca="1"/>
        <v/>
      </c>
      <c r="M39" s="165" t="str">
        <f ca="1"/>
        <v/>
      </c>
    </row>
    <row r="40" spans="1:13" ht="14.45">
      <c r="A40" s="200" t="str">
        <v>Hainesport Crossroads</v>
      </c>
      <c r="B40" s="201" t="str">
        <v>NJ</v>
      </c>
      <c r="C40" s="191" t="str" cm="1">
        <f t="array" aca="1" ref="C40:F40" ca="1">IF(ISBLANK(INDIRECT("'"&amp;$A40&amp;"'!B15:E15")), "", INDIRECT("'"&amp;$A40&amp;"'!B15:E15"))</f>
        <v/>
      </c>
      <c r="D40" s="191" t="str">
        <f ca="1"/>
        <v/>
      </c>
      <c r="E40" s="191">
        <f ca="1"/>
        <v>0</v>
      </c>
      <c r="F40" s="198" t="str">
        <f ca="1"/>
        <v>-</v>
      </c>
      <c r="G40" s="193"/>
      <c r="H40" s="194" cm="1">
        <f t="array" aca="1" ref="H40:M40" ca="1">IF(ISBLANK(INDIRECT("'"&amp;$A40&amp;"'!B33:G33")), "", INDIRECT("'"&amp;$A40&amp;"'!B33:G33"))</f>
        <v>0</v>
      </c>
      <c r="I40" s="194" t="str">
        <f ca="1"/>
        <v/>
      </c>
      <c r="J40" s="194">
        <f ca="1"/>
        <v>0</v>
      </c>
      <c r="K40" s="199" t="str">
        <f ca="1"/>
        <v>-</v>
      </c>
      <c r="L40" s="165" t="str">
        <f ca="1"/>
        <v/>
      </c>
      <c r="M40" s="165" t="str">
        <f ca="1"/>
        <v/>
      </c>
    </row>
    <row r="41" spans="1:13" ht="14.45">
      <c r="A41" s="200" t="str">
        <v>Holmdel Rt. 35</v>
      </c>
      <c r="B41" s="201" t="str">
        <v>NJ</v>
      </c>
      <c r="C41" s="191" t="str" cm="1">
        <f t="array" aca="1" ref="C41:F41" ca="1">IF(ISBLANK(INDIRECT("'"&amp;$A41&amp;"'!B15:E15")), "", INDIRECT("'"&amp;$A41&amp;"'!B15:E15"))</f>
        <v/>
      </c>
      <c r="D41" s="191" t="str">
        <f ca="1"/>
        <v/>
      </c>
      <c r="E41" s="191">
        <f ca="1"/>
        <v>0</v>
      </c>
      <c r="F41" s="198" t="str">
        <f ca="1"/>
        <v>-</v>
      </c>
      <c r="G41" s="193"/>
      <c r="H41" s="194" cm="1">
        <f t="array" aca="1" ref="H41:M41" ca="1">IF(ISBLANK(INDIRECT("'"&amp;$A41&amp;"'!B33:G33")), "", INDIRECT("'"&amp;$A41&amp;"'!B33:G33"))</f>
        <v>0</v>
      </c>
      <c r="I41" s="194" t="str">
        <f ca="1"/>
        <v/>
      </c>
      <c r="J41" s="194">
        <f ca="1"/>
        <v>0</v>
      </c>
      <c r="K41" s="199" t="str">
        <f ca="1"/>
        <v>-</v>
      </c>
      <c r="L41" s="165" t="str">
        <f ca="1"/>
        <v/>
      </c>
      <c r="M41" s="165" t="str">
        <f ca="1"/>
        <v/>
      </c>
    </row>
    <row r="42" spans="1:13" ht="14.45">
      <c r="A42" s="200" t="str">
        <v>Laurelton Office</v>
      </c>
      <c r="B42" s="201" t="str">
        <v>NJ</v>
      </c>
      <c r="C42" s="191" t="str" cm="1">
        <f t="array" aca="1" ref="C42:F42" ca="1">IF(ISBLANK(INDIRECT("'"&amp;$A42&amp;"'!B15:E15")), "", INDIRECT("'"&amp;$A42&amp;"'!B15:E15"))</f>
        <v/>
      </c>
      <c r="D42" s="191" t="str">
        <f ca="1"/>
        <v/>
      </c>
      <c r="E42" s="191">
        <f ca="1"/>
        <v>0</v>
      </c>
      <c r="F42" s="198" t="str">
        <f ca="1"/>
        <v>-</v>
      </c>
      <c r="G42" s="193"/>
      <c r="H42" s="194" cm="1">
        <f t="array" aca="1" ref="H42:M42" ca="1">IF(ISBLANK(INDIRECT("'"&amp;$A42&amp;"'!B33:G33")), "", INDIRECT("'"&amp;$A42&amp;"'!B33:G33"))</f>
        <v>0</v>
      </c>
      <c r="I42" s="194" t="str">
        <f ca="1"/>
        <v/>
      </c>
      <c r="J42" s="194">
        <f ca="1"/>
        <v>0</v>
      </c>
      <c r="K42" s="199" t="str">
        <f ca="1"/>
        <v>-</v>
      </c>
      <c r="L42" s="165" t="str">
        <f ca="1"/>
        <v/>
      </c>
      <c r="M42" s="165" t="str">
        <f ca="1"/>
        <v/>
      </c>
    </row>
    <row r="43" spans="1:13" ht="14.45">
      <c r="A43" s="200" t="str">
        <v>Mahwah</v>
      </c>
      <c r="B43" s="201" t="str">
        <v>NJ</v>
      </c>
      <c r="C43" s="191" t="str" cm="1">
        <f t="array" aca="1" ref="C43:F43" ca="1">IF(ISBLANK(INDIRECT("'"&amp;$A43&amp;"'!B15:E15")), "", INDIRECT("'"&amp;$A43&amp;"'!B15:E15"))</f>
        <v/>
      </c>
      <c r="D43" s="191" t="str">
        <f ca="1"/>
        <v/>
      </c>
      <c r="E43" s="191">
        <f ca="1"/>
        <v>0</v>
      </c>
      <c r="F43" s="198" t="str">
        <f ca="1"/>
        <v>-</v>
      </c>
      <c r="G43" s="193"/>
      <c r="H43" s="194" cm="1">
        <f t="array" aca="1" ref="H43:M43" ca="1">IF(ISBLANK(INDIRECT("'"&amp;$A43&amp;"'!B33:G33")), "", INDIRECT("'"&amp;$A43&amp;"'!B33:G33"))</f>
        <v>0</v>
      </c>
      <c r="I43" s="194" t="str">
        <f ca="1"/>
        <v/>
      </c>
      <c r="J43" s="194">
        <f ca="1"/>
        <v>0</v>
      </c>
      <c r="K43" s="199" t="str">
        <f ca="1"/>
        <v>-</v>
      </c>
      <c r="L43" s="165" t="str">
        <f ca="1"/>
        <v/>
      </c>
      <c r="M43" s="165" t="str">
        <f ca="1"/>
        <v/>
      </c>
    </row>
    <row r="44" spans="1:13" ht="14.45">
      <c r="A44" s="200" t="str">
        <v>Manchester Office</v>
      </c>
      <c r="B44" s="201" t="str">
        <v>NJ</v>
      </c>
      <c r="C44" s="191" t="str" cm="1">
        <f t="array" aca="1" ref="C44:F44" ca="1">IF(ISBLANK(INDIRECT("'"&amp;$A44&amp;"'!B15:E15")), "", INDIRECT("'"&amp;$A44&amp;"'!B15:E15"))</f>
        <v/>
      </c>
      <c r="D44" s="191" t="str">
        <f ca="1"/>
        <v/>
      </c>
      <c r="E44" s="191">
        <f ca="1"/>
        <v>0</v>
      </c>
      <c r="F44" s="198" t="str">
        <f ca="1"/>
        <v>-</v>
      </c>
      <c r="G44" s="193"/>
      <c r="H44" s="194" cm="1">
        <f t="array" aca="1" ref="H44:M44" ca="1">IF(ISBLANK(INDIRECT("'"&amp;$A44&amp;"'!B33:G33")), "", INDIRECT("'"&amp;$A44&amp;"'!B33:G33"))</f>
        <v>0</v>
      </c>
      <c r="I44" s="194" t="str">
        <f ca="1"/>
        <v/>
      </c>
      <c r="J44" s="194">
        <f ca="1"/>
        <v>0</v>
      </c>
      <c r="K44" s="199" t="str">
        <f ca="1"/>
        <v>-</v>
      </c>
      <c r="L44" s="165" t="str">
        <f ca="1"/>
        <v/>
      </c>
      <c r="M44" s="165" t="str">
        <f ca="1"/>
        <v/>
      </c>
    </row>
    <row r="45" spans="1:13" ht="14.45">
      <c r="A45" s="200" t="str">
        <v>Marlton</v>
      </c>
      <c r="B45" s="201" t="str">
        <v>NJ</v>
      </c>
      <c r="C45" s="191" t="str" cm="1">
        <f t="array" aca="1" ref="C45:F45" ca="1">IF(ISBLANK(INDIRECT("'"&amp;$A45&amp;"'!B15:E15")), "", INDIRECT("'"&amp;$A45&amp;"'!B15:E15"))</f>
        <v/>
      </c>
      <c r="D45" s="191" t="str">
        <f ca="1"/>
        <v/>
      </c>
      <c r="E45" s="191">
        <f ca="1"/>
        <v>0</v>
      </c>
      <c r="F45" s="198" t="str">
        <f ca="1"/>
        <v>-</v>
      </c>
      <c r="G45" s="193"/>
      <c r="H45" s="194" cm="1">
        <f t="array" aca="1" ref="H45:M45" ca="1">IF(ISBLANK(INDIRECT("'"&amp;$A45&amp;"'!B33:G33")), "", INDIRECT("'"&amp;$A45&amp;"'!B33:G33"))</f>
        <v>0</v>
      </c>
      <c r="I45" s="194" t="str">
        <f ca="1"/>
        <v/>
      </c>
      <c r="J45" s="194">
        <f ca="1"/>
        <v>0</v>
      </c>
      <c r="K45" s="199" t="str">
        <f ca="1"/>
        <v>-</v>
      </c>
      <c r="L45" s="165" t="str">
        <f ca="1"/>
        <v/>
      </c>
      <c r="M45" s="165" t="str">
        <f ca="1"/>
        <v/>
      </c>
    </row>
    <row r="46" spans="1:13" ht="14.45">
      <c r="A46" s="200" t="str">
        <v>Middletown</v>
      </c>
      <c r="B46" s="201" t="str">
        <v>NJ</v>
      </c>
      <c r="C46" s="191" t="str" cm="1">
        <f t="array" aca="1" ref="C46:F46" ca="1">IF(ISBLANK(INDIRECT("'"&amp;$A46&amp;"'!B15:E15")), "", INDIRECT("'"&amp;$A46&amp;"'!B15:E15"))</f>
        <v/>
      </c>
      <c r="D46" s="191" t="str">
        <f ca="1"/>
        <v/>
      </c>
      <c r="E46" s="191">
        <f ca="1"/>
        <v>0</v>
      </c>
      <c r="F46" s="198" t="str">
        <f ca="1"/>
        <v>-</v>
      </c>
      <c r="G46" s="193"/>
      <c r="H46" s="194" cm="1">
        <f t="array" aca="1" ref="H46:M46" ca="1">IF(ISBLANK(INDIRECT("'"&amp;$A46&amp;"'!B33:G33")), "", INDIRECT("'"&amp;$A46&amp;"'!B33:G33"))</f>
        <v>0</v>
      </c>
      <c r="I46" s="194" t="str">
        <f ca="1"/>
        <v/>
      </c>
      <c r="J46" s="194">
        <f ca="1"/>
        <v>0</v>
      </c>
      <c r="K46" s="199" t="str">
        <f ca="1"/>
        <v>-</v>
      </c>
      <c r="L46" s="165" t="str">
        <f ca="1"/>
        <v/>
      </c>
      <c r="M46" s="165" t="str">
        <f ca="1"/>
        <v/>
      </c>
    </row>
    <row r="47" spans="1:13" ht="14.45">
      <c r="A47" s="200" t="str">
        <v>North Brunswick</v>
      </c>
      <c r="B47" s="201" t="str">
        <v>NJ</v>
      </c>
      <c r="C47" s="191" t="str" cm="1">
        <f t="array" aca="1" ref="C47:F47" ca="1">IF(ISBLANK(INDIRECT("'"&amp;$A47&amp;"'!B15:E15")), "", INDIRECT("'"&amp;$A47&amp;"'!B15:E15"))</f>
        <v/>
      </c>
      <c r="D47" s="191" t="str">
        <f ca="1"/>
        <v/>
      </c>
      <c r="E47" s="191">
        <f ca="1"/>
        <v>0</v>
      </c>
      <c r="F47" s="198" t="str">
        <f ca="1"/>
        <v>-</v>
      </c>
      <c r="G47" s="193"/>
      <c r="H47" s="194" cm="1">
        <f t="array" aca="1" ref="H47:M47" ca="1">IF(ISBLANK(INDIRECT("'"&amp;$A47&amp;"'!B33:G33")), "", INDIRECT("'"&amp;$A47&amp;"'!B33:G33"))</f>
        <v>0</v>
      </c>
      <c r="I47" s="194" t="str">
        <f ca="1"/>
        <v/>
      </c>
      <c r="J47" s="194">
        <f ca="1"/>
        <v>0</v>
      </c>
      <c r="K47" s="199" t="str">
        <f ca="1"/>
        <v>-</v>
      </c>
      <c r="L47" s="165" t="str">
        <f ca="1"/>
        <v/>
      </c>
      <c r="M47" s="165" t="str">
        <f ca="1"/>
        <v/>
      </c>
    </row>
    <row r="48" spans="1:13" ht="14.45">
      <c r="A48" s="200" t="str">
        <v>North Elizabeth</v>
      </c>
      <c r="B48" s="201" t="str">
        <v>NJ</v>
      </c>
      <c r="C48" s="191" t="str" cm="1">
        <f t="array" aca="1" ref="C48:F48" ca="1">IF(ISBLANK(INDIRECT("'"&amp;$A48&amp;"'!B15:E15")), "", INDIRECT("'"&amp;$A48&amp;"'!B15:E15"))</f>
        <v/>
      </c>
      <c r="D48" s="191" t="str">
        <f ca="1"/>
        <v/>
      </c>
      <c r="E48" s="191">
        <f ca="1"/>
        <v>0</v>
      </c>
      <c r="F48" s="198" t="str">
        <f ca="1"/>
        <v>-</v>
      </c>
      <c r="G48" s="193"/>
      <c r="H48" s="194" cm="1">
        <f t="array" aca="1" ref="H48:M48" ca="1">IF(ISBLANK(INDIRECT("'"&amp;$A48&amp;"'!B33:G33")), "", INDIRECT("'"&amp;$A48&amp;"'!B33:G33"))</f>
        <v>0</v>
      </c>
      <c r="I48" s="194" t="str">
        <f ca="1"/>
        <v/>
      </c>
      <c r="J48" s="194">
        <f ca="1"/>
        <v>0</v>
      </c>
      <c r="K48" s="199" t="str">
        <f ca="1"/>
        <v>-</v>
      </c>
      <c r="L48" s="165" t="str">
        <f ca="1"/>
        <v/>
      </c>
      <c r="M48" s="165" t="str">
        <f ca="1"/>
        <v/>
      </c>
    </row>
    <row r="49" spans="1:13" ht="14.45">
      <c r="A49" s="200" t="str">
        <v>Nutley</v>
      </c>
      <c r="B49" s="201" t="str">
        <v>NJ</v>
      </c>
      <c r="C49" s="191" t="str" cm="1">
        <f t="array" aca="1" ref="C49:F49" ca="1">IF(ISBLANK(INDIRECT("'"&amp;$A49&amp;"'!B15:E15")), "", INDIRECT("'"&amp;$A49&amp;"'!B15:E15"))</f>
        <v/>
      </c>
      <c r="D49" s="191" t="str">
        <f ca="1"/>
        <v/>
      </c>
      <c r="E49" s="191">
        <f ca="1"/>
        <v>0</v>
      </c>
      <c r="F49" s="198" t="str">
        <f ca="1"/>
        <v>-</v>
      </c>
      <c r="G49" s="193"/>
      <c r="H49" s="194" cm="1">
        <f t="array" aca="1" ref="H49:M49" ca="1">IF(ISBLANK(INDIRECT("'"&amp;$A49&amp;"'!B33:G33")), "", INDIRECT("'"&amp;$A49&amp;"'!B33:G33"))</f>
        <v>0</v>
      </c>
      <c r="I49" s="194" t="str">
        <f ca="1"/>
        <v/>
      </c>
      <c r="J49" s="194">
        <f ca="1"/>
        <v>0</v>
      </c>
      <c r="K49" s="199" t="str">
        <f ca="1"/>
        <v>-</v>
      </c>
      <c r="L49" s="165" t="str">
        <f ca="1"/>
        <v/>
      </c>
      <c r="M49" s="165" t="str">
        <f ca="1"/>
        <v/>
      </c>
    </row>
    <row r="50" spans="1:13" ht="14.45">
      <c r="A50" s="200" t="str">
        <v>Parsippany Rt. 46</v>
      </c>
      <c r="B50" s="201" t="str">
        <v>NJ</v>
      </c>
      <c r="C50" s="191" t="str" cm="1">
        <f t="array" aca="1" ref="C50:F50" ca="1">IF(ISBLANK(INDIRECT("'"&amp;$A50&amp;"'!B15:E15")), "", INDIRECT("'"&amp;$A50&amp;"'!B15:E15"))</f>
        <v/>
      </c>
      <c r="D50" s="191" t="str">
        <f ca="1"/>
        <v/>
      </c>
      <c r="E50" s="191">
        <f ca="1"/>
        <v>0</v>
      </c>
      <c r="F50" s="198" t="str">
        <f ca="1"/>
        <v>-</v>
      </c>
      <c r="G50" s="193"/>
      <c r="H50" s="194" cm="1">
        <f t="array" aca="1" ref="H50:M50" ca="1">IF(ISBLANK(INDIRECT("'"&amp;$A50&amp;"'!B33:G33")), "", INDIRECT("'"&amp;$A50&amp;"'!B33:G33"))</f>
        <v>0</v>
      </c>
      <c r="I50" s="194" t="str">
        <f ca="1"/>
        <v/>
      </c>
      <c r="J50" s="194">
        <f ca="1"/>
        <v>0</v>
      </c>
      <c r="K50" s="199" t="str">
        <f ca="1"/>
        <v>-</v>
      </c>
      <c r="L50" s="165" t="str">
        <f ca="1"/>
        <v/>
      </c>
      <c r="M50" s="165" t="str">
        <f ca="1"/>
        <v/>
      </c>
    </row>
    <row r="51" spans="1:13" ht="14.45">
      <c r="A51" s="200" t="str">
        <v>Rt. 22 Springfield</v>
      </c>
      <c r="B51" s="201" t="str">
        <v>NJ</v>
      </c>
      <c r="C51" s="191" t="str" cm="1">
        <f t="array" aca="1" ref="C51:F51" ca="1">IF(ISBLANK(INDIRECT("'"&amp;$A51&amp;"'!B15:E15")), "", INDIRECT("'"&amp;$A51&amp;"'!B15:E15"))</f>
        <v/>
      </c>
      <c r="D51" s="191" t="str">
        <f ca="1"/>
        <v/>
      </c>
      <c r="E51" s="191">
        <f ca="1"/>
        <v>0</v>
      </c>
      <c r="F51" s="198" t="str">
        <f ca="1"/>
        <v>-</v>
      </c>
      <c r="G51" s="193"/>
      <c r="H51" s="194" cm="1">
        <f t="array" aca="1" ref="H51:M51" ca="1">IF(ISBLANK(INDIRECT("'"&amp;$A51&amp;"'!B33:G33")), "", INDIRECT("'"&amp;$A51&amp;"'!B33:G33"))</f>
        <v>0</v>
      </c>
      <c r="I51" s="194" t="str">
        <f ca="1"/>
        <v/>
      </c>
      <c r="J51" s="194">
        <f ca="1"/>
        <v>0</v>
      </c>
      <c r="K51" s="199" t="str">
        <f ca="1"/>
        <v>-</v>
      </c>
      <c r="L51" s="165" t="str">
        <f ca="1"/>
        <v/>
      </c>
      <c r="M51" s="165" t="str">
        <f ca="1"/>
        <v/>
      </c>
    </row>
    <row r="52" spans="1:13" ht="14.45">
      <c r="A52" s="200" t="str">
        <v>Somerset</v>
      </c>
      <c r="B52" s="201" t="str">
        <v>NJ</v>
      </c>
      <c r="C52" s="191" t="str" cm="1">
        <f t="array" aca="1" ref="C52:F52" ca="1">IF(ISBLANK(INDIRECT("'"&amp;$A52&amp;"'!B15:E15")), "", INDIRECT("'"&amp;$A52&amp;"'!B15:E15"))</f>
        <v/>
      </c>
      <c r="D52" s="191" t="str">
        <f ca="1"/>
        <v/>
      </c>
      <c r="E52" s="191">
        <f ca="1"/>
        <v>0</v>
      </c>
      <c r="F52" s="198" t="str">
        <f ca="1"/>
        <v>-</v>
      </c>
      <c r="G52" s="193"/>
      <c r="H52" s="194" cm="1">
        <f t="array" aca="1" ref="H52:M52" ca="1">IF(ISBLANK(INDIRECT("'"&amp;$A52&amp;"'!B33:G33")), "", INDIRECT("'"&amp;$A52&amp;"'!B33:G33"))</f>
        <v>0</v>
      </c>
      <c r="I52" s="194" t="str">
        <f ca="1"/>
        <v/>
      </c>
      <c r="J52" s="194">
        <f ca="1"/>
        <v>0</v>
      </c>
      <c r="K52" s="199" t="str">
        <f ca="1"/>
        <v>-</v>
      </c>
      <c r="L52" s="165" t="str">
        <f ca="1"/>
        <v/>
      </c>
      <c r="M52" s="165" t="str">
        <f ca="1"/>
        <v/>
      </c>
    </row>
    <row r="53" spans="1:13" ht="14.45">
      <c r="A53" s="200" t="str">
        <v>South Plainfield</v>
      </c>
      <c r="B53" s="201" t="str">
        <v>NJ</v>
      </c>
      <c r="C53" s="191" t="str" cm="1">
        <f t="array" aca="1" ref="C53:F53" ca="1">IF(ISBLANK(INDIRECT("'"&amp;$A53&amp;"'!B15:E15")), "", INDIRECT("'"&amp;$A53&amp;"'!B15:E15"))</f>
        <v/>
      </c>
      <c r="D53" s="191" t="str">
        <f ca="1"/>
        <v/>
      </c>
      <c r="E53" s="191">
        <f ca="1"/>
        <v>0</v>
      </c>
      <c r="F53" s="198" t="str">
        <f ca="1"/>
        <v>-</v>
      </c>
      <c r="G53" s="193"/>
      <c r="H53" s="194" cm="1">
        <f t="array" aca="1" ref="H53:M53" ca="1">IF(ISBLANK(INDIRECT("'"&amp;$A53&amp;"'!B33:G33")), "", INDIRECT("'"&amp;$A53&amp;"'!B33:G33"))</f>
        <v>0</v>
      </c>
      <c r="I53" s="194" t="str">
        <f ca="1"/>
        <v/>
      </c>
      <c r="J53" s="194">
        <f ca="1"/>
        <v>0</v>
      </c>
      <c r="K53" s="199" t="str">
        <f ca="1"/>
        <v>-</v>
      </c>
      <c r="L53" s="165" t="str">
        <f ca="1"/>
        <v/>
      </c>
      <c r="M53" s="165" t="str">
        <f ca="1"/>
        <v/>
      </c>
    </row>
    <row r="54" spans="1:13" ht="14.45">
      <c r="A54" s="200" t="str">
        <v>West Deptford Woodbury</v>
      </c>
      <c r="B54" s="201" t="str">
        <v>NJ</v>
      </c>
      <c r="C54" s="191" t="str" cm="1">
        <f t="array" aca="1" ref="C54:F54" ca="1">IF(ISBLANK(INDIRECT("'"&amp;$A54&amp;"'!B15:E15")), "", INDIRECT("'"&amp;$A54&amp;"'!B15:E15"))</f>
        <v/>
      </c>
      <c r="D54" s="191" t="str">
        <f ca="1"/>
        <v/>
      </c>
      <c r="E54" s="191">
        <f ca="1"/>
        <v>0</v>
      </c>
      <c r="F54" s="198" t="str">
        <f ca="1"/>
        <v>-</v>
      </c>
      <c r="G54" s="193"/>
      <c r="H54" s="194" cm="1">
        <f t="array" aca="1" ref="H54:M54" ca="1">IF(ISBLANK(INDIRECT("'"&amp;$A54&amp;"'!B33:G33")), "", INDIRECT("'"&amp;$A54&amp;"'!B33:G33"))</f>
        <v>0</v>
      </c>
      <c r="I54" s="194" t="str">
        <f ca="1"/>
        <v/>
      </c>
      <c r="J54" s="194">
        <f ca="1"/>
        <v>0</v>
      </c>
      <c r="K54" s="199" t="str">
        <f ca="1"/>
        <v>-</v>
      </c>
      <c r="L54" s="165" t="str">
        <f ca="1"/>
        <v/>
      </c>
      <c r="M54" s="165" t="str">
        <f ca="1"/>
        <v/>
      </c>
    </row>
    <row r="55" spans="1:13" ht="14.45">
      <c r="A55" s="200" t="str">
        <v>Whiting</v>
      </c>
      <c r="B55" s="201" t="str">
        <v>NJ</v>
      </c>
      <c r="C55" s="191" t="str" cm="1">
        <f t="array" aca="1" ref="C55:F55" ca="1">IF(ISBLANK(INDIRECT("'"&amp;$A55&amp;"'!B15:E15")), "", INDIRECT("'"&amp;$A55&amp;"'!B15:E15"))</f>
        <v/>
      </c>
      <c r="D55" s="191" t="str">
        <f ca="1"/>
        <v/>
      </c>
      <c r="E55" s="191">
        <f ca="1"/>
        <v>0</v>
      </c>
      <c r="F55" s="202" t="str">
        <f ca="1"/>
        <v>-</v>
      </c>
      <c r="G55" s="193"/>
      <c r="H55" s="194" cm="1">
        <f t="array" aca="1" ref="H55:M55" ca="1">IF(ISBLANK(INDIRECT("'"&amp;$A55&amp;"'!B33:G33")), "", INDIRECT("'"&amp;$A55&amp;"'!B33:G33"))</f>
        <v>0</v>
      </c>
      <c r="I55" s="194" t="str">
        <f ca="1"/>
        <v/>
      </c>
      <c r="J55" s="194">
        <f ca="1"/>
        <v>0</v>
      </c>
      <c r="K55" s="203" t="str">
        <f ca="1"/>
        <v>-</v>
      </c>
      <c r="L55" s="165" t="str">
        <f ca="1"/>
        <v/>
      </c>
      <c r="M55" s="165" t="str">
        <f ca="1"/>
        <v/>
      </c>
    </row>
    <row r="56" spans="1:13" ht="13.5" customHeight="1">
      <c r="A56" s="200" t="str">
        <v>102 - San Antonio Ops</v>
      </c>
      <c r="B56" s="201" t="str">
        <v>TX</v>
      </c>
      <c r="C56" s="191" t="str" cm="1">
        <f t="array" aca="1" ref="C56:F56" ca="1">IF(ISBLANK(INDIRECT("'"&amp;$A56&amp;"'!B15:E15")), "", INDIRECT("'"&amp;$A56&amp;"'!B15:E15"))</f>
        <v/>
      </c>
      <c r="D56" s="204" t="str">
        <f ca="1"/>
        <v/>
      </c>
      <c r="E56" s="205">
        <f ca="1"/>
        <v>0</v>
      </c>
      <c r="F56" s="198" t="str">
        <f ca="1"/>
        <v>-</v>
      </c>
      <c r="G56" s="206"/>
      <c r="H56" s="194" cm="1">
        <f t="array" aca="1" ref="H56:M56" ca="1">IF(ISBLANK(INDIRECT("'"&amp;$A56&amp;"'!B33:G33")), "", INDIRECT("'"&amp;$A56&amp;"'!B33:G33"))</f>
        <v>0</v>
      </c>
      <c r="I56" s="194" t="str">
        <f ca="1"/>
        <v/>
      </c>
      <c r="J56" s="207">
        <f ca="1"/>
        <v>0</v>
      </c>
      <c r="K56" s="199" t="str">
        <f ca="1"/>
        <v>-</v>
      </c>
      <c r="L56" s="167" t="str">
        <f ca="1"/>
        <v/>
      </c>
      <c r="M56" s="165" t="str">
        <f ca="1"/>
        <v/>
      </c>
    </row>
    <row r="57" spans="1:13" ht="13.5" customHeight="1">
      <c r="A57" s="200" t="str">
        <v>104 - San Antonio Ops</v>
      </c>
      <c r="B57" s="201" t="str">
        <v>TX</v>
      </c>
      <c r="C57" s="191" t="str" cm="1">
        <f t="array" aca="1" ref="C57:F57" ca="1">IF(ISBLANK(INDIRECT("'"&amp;$A57&amp;"'!B15:E15")), "", INDIRECT("'"&amp;$A57&amp;"'!B15:E15"))</f>
        <v/>
      </c>
      <c r="D57" s="204" t="str">
        <f ca="1"/>
        <v/>
      </c>
      <c r="E57" s="205">
        <f ca="1"/>
        <v>0</v>
      </c>
      <c r="F57" s="198" t="str">
        <f ca="1"/>
        <v>-</v>
      </c>
      <c r="G57" s="206"/>
      <c r="H57" s="194" cm="1">
        <f t="array" aca="1" ref="H57:M57" ca="1">IF(ISBLANK(INDIRECT("'"&amp;$A57&amp;"'!B33:G33")), "", INDIRECT("'"&amp;$A57&amp;"'!B33:G33"))</f>
        <v>0</v>
      </c>
      <c r="I57" s="194" t="str">
        <f ca="1"/>
        <v/>
      </c>
      <c r="J57" s="194">
        <f ca="1"/>
        <v>0</v>
      </c>
      <c r="K57" s="199" t="str">
        <f ca="1"/>
        <v>-</v>
      </c>
      <c r="L57" s="167" t="str">
        <f ca="1"/>
        <v/>
      </c>
      <c r="M57" s="165" t="str">
        <f ca="1"/>
        <v/>
      </c>
    </row>
    <row r="58" spans="1:13" ht="14.45">
      <c r="A58" s="200" t="str">
        <v>106 - San Antonio Ops</v>
      </c>
      <c r="B58" s="201" t="str">
        <v>TX</v>
      </c>
      <c r="C58" s="191" t="str" cm="1">
        <f t="array" aca="1" ref="C58:F58" ca="1">IF(ISBLANK(INDIRECT("'"&amp;$A58&amp;"'!B15:E15")), "", INDIRECT("'"&amp;$A58&amp;"'!B15:E15"))</f>
        <v/>
      </c>
      <c r="D58" s="204" t="str">
        <f ca="1"/>
        <v/>
      </c>
      <c r="E58" s="205">
        <f ca="1"/>
        <v>0</v>
      </c>
      <c r="F58" s="198" t="str">
        <f ca="1"/>
        <v>-</v>
      </c>
      <c r="G58" s="206"/>
      <c r="H58" s="194" cm="1">
        <f t="array" aca="1" ref="H58:M58" ca="1">IF(ISBLANK(INDIRECT("'"&amp;$A58&amp;"'!B33:G33")), "", INDIRECT("'"&amp;$A58&amp;"'!B33:G33"))</f>
        <v>0</v>
      </c>
      <c r="I58" s="194" t="str">
        <f ca="1"/>
        <v/>
      </c>
      <c r="J58" s="207">
        <f ca="1"/>
        <v>0</v>
      </c>
      <c r="K58" s="199" t="str">
        <f ca="1"/>
        <v>-</v>
      </c>
      <c r="L58" s="167" t="str">
        <f ca="1"/>
        <v/>
      </c>
      <c r="M58" s="165" t="str">
        <f ca="1"/>
        <v/>
      </c>
    </row>
    <row r="59" spans="1:13" ht="14.45">
      <c r="A59" s="200" t="str">
        <v>201 - San Antonio Ops</v>
      </c>
      <c r="B59" s="201" t="str">
        <v>TX</v>
      </c>
      <c r="C59" s="191" t="str" cm="1">
        <f t="array" aca="1" ref="C59:F59" ca="1">IF(ISBLANK(INDIRECT("'"&amp;$A59&amp;"'!B15:E15")), "", INDIRECT("'"&amp;$A59&amp;"'!B15:E15"))</f>
        <v/>
      </c>
      <c r="D59" s="204" t="str">
        <f ca="1"/>
        <v/>
      </c>
      <c r="E59" s="205">
        <f ca="1"/>
        <v>0</v>
      </c>
      <c r="F59" s="198" t="str">
        <f ca="1"/>
        <v>-</v>
      </c>
      <c r="G59" s="206"/>
      <c r="H59" s="194" cm="1">
        <f t="array" aca="1" ref="H59:M59" ca="1">IF(ISBLANK(INDIRECT("'"&amp;$A59&amp;"'!B33:G33")), "", INDIRECT("'"&amp;$A59&amp;"'!B33:G33"))</f>
        <v>0</v>
      </c>
      <c r="I59" s="194" t="str">
        <f ca="1"/>
        <v/>
      </c>
      <c r="J59" s="194">
        <f ca="1"/>
        <v>0</v>
      </c>
      <c r="K59" s="199" t="str">
        <f ca="1"/>
        <v>-</v>
      </c>
      <c r="L59" s="167" t="str">
        <f ca="1"/>
        <v/>
      </c>
      <c r="M59" s="165" t="str">
        <f ca="1"/>
        <v/>
      </c>
    </row>
    <row r="60" spans="1:13" ht="14.45">
      <c r="A60" s="200" t="str">
        <v>203 - San Antonio Ops</v>
      </c>
      <c r="B60" s="201" t="str">
        <v>TX</v>
      </c>
      <c r="C60" s="191" t="str" cm="1">
        <f t="array" aca="1" ref="C60:F60" ca="1">IF(ISBLANK(INDIRECT("'"&amp;$A60&amp;"'!B15:E15")), "", INDIRECT("'"&amp;$A60&amp;"'!B15:E15"))</f>
        <v/>
      </c>
      <c r="D60" s="204" t="str">
        <f ca="1"/>
        <v/>
      </c>
      <c r="E60" s="205">
        <f ca="1"/>
        <v>0</v>
      </c>
      <c r="F60" s="198" t="str">
        <f ca="1"/>
        <v>-</v>
      </c>
      <c r="G60" s="206"/>
      <c r="H60" s="194" cm="1">
        <f t="array" aca="1" ref="H60:M60" ca="1">IF(ISBLANK(INDIRECT("'"&amp;$A60&amp;"'!B33:G33")), "", INDIRECT("'"&amp;$A60&amp;"'!B33:G33"))</f>
        <v>0</v>
      </c>
      <c r="I60" s="194" t="str">
        <f ca="1"/>
        <v/>
      </c>
      <c r="J60" s="207">
        <f ca="1"/>
        <v>0</v>
      </c>
      <c r="K60" s="199" t="str">
        <f ca="1"/>
        <v>-</v>
      </c>
      <c r="L60" s="167" t="str">
        <f ca="1"/>
        <v/>
      </c>
      <c r="M60" s="165" t="str">
        <f ca="1"/>
        <v/>
      </c>
    </row>
    <row r="61" spans="1:13" ht="14.45">
      <c r="A61" s="200" t="str">
        <v>205 - San Antonio Ops</v>
      </c>
      <c r="B61" s="201" t="str">
        <v>TX</v>
      </c>
      <c r="C61" s="191" t="str" cm="1">
        <f t="array" aca="1" ref="C61:F61" ca="1">IF(ISBLANK(INDIRECT("'"&amp;$A61&amp;"'!B15:E15")), "", INDIRECT("'"&amp;$A61&amp;"'!B15:E15"))</f>
        <v/>
      </c>
      <c r="D61" s="204" t="str">
        <f ca="1"/>
        <v/>
      </c>
      <c r="E61" s="205">
        <f ca="1"/>
        <v>0</v>
      </c>
      <c r="F61" s="198" t="str">
        <f ca="1"/>
        <v>-</v>
      </c>
      <c r="G61" s="206"/>
      <c r="H61" s="194" cm="1">
        <f t="array" aca="1" ref="H61:M61" ca="1">IF(ISBLANK(INDIRECT("'"&amp;$A61&amp;"'!B33:G33")), "", INDIRECT("'"&amp;$A61&amp;"'!B33:G33"))</f>
        <v>0</v>
      </c>
      <c r="I61" s="194" t="str">
        <f ca="1"/>
        <v/>
      </c>
      <c r="J61" s="194">
        <f ca="1"/>
        <v>0</v>
      </c>
      <c r="K61" s="199" t="str">
        <f ca="1"/>
        <v>-</v>
      </c>
      <c r="L61" s="167" t="str">
        <f ca="1"/>
        <v/>
      </c>
      <c r="M61" s="165" t="str">
        <f ca="1"/>
        <v/>
      </c>
    </row>
    <row r="62" spans="1:13" ht="14.45">
      <c r="A62" s="200" t="str">
        <v>307 - San Antonio Ops</v>
      </c>
      <c r="B62" s="201" t="str">
        <v>TX</v>
      </c>
      <c r="C62" s="191" t="str" cm="1">
        <f t="array" aca="1" ref="C62:F62" ca="1">IF(ISBLANK(INDIRECT("'"&amp;$A62&amp;"'!B15:E15")), "", INDIRECT("'"&amp;$A62&amp;"'!B15:E15"))</f>
        <v/>
      </c>
      <c r="D62" s="204" t="str">
        <f ca="1"/>
        <v/>
      </c>
      <c r="E62" s="205">
        <f ca="1"/>
        <v>0</v>
      </c>
      <c r="F62" s="198" t="str">
        <f ca="1"/>
        <v>-</v>
      </c>
      <c r="G62" s="206"/>
      <c r="H62" s="194" cm="1">
        <f t="array" aca="1" ref="H62:M62" ca="1">IF(ISBLANK(INDIRECT("'"&amp;$A62&amp;"'!B33:G33")), "", INDIRECT("'"&amp;$A62&amp;"'!B33:G33"))</f>
        <v>0</v>
      </c>
      <c r="I62" s="194" t="str">
        <f ca="1"/>
        <v/>
      </c>
      <c r="J62" s="207">
        <f ca="1"/>
        <v>0</v>
      </c>
      <c r="K62" s="199" t="str">
        <f ca="1"/>
        <v>-</v>
      </c>
      <c r="L62" s="167" t="str">
        <f ca="1"/>
        <v/>
      </c>
      <c r="M62" s="165" t="str">
        <f ca="1"/>
        <v/>
      </c>
    </row>
    <row r="63" spans="1:13" ht="14.45">
      <c r="A63" s="200" t="str">
        <v>308 - San Antonio Ops</v>
      </c>
      <c r="B63" s="201" t="str">
        <v>TX</v>
      </c>
      <c r="C63" s="191" t="str" cm="1">
        <f t="array" aca="1" ref="C63:F63" ca="1">IF(ISBLANK(INDIRECT("'"&amp;$A63&amp;"'!B15:E15")), "", INDIRECT("'"&amp;$A63&amp;"'!B15:E15"))</f>
        <v/>
      </c>
      <c r="D63" s="204" t="str">
        <f ca="1"/>
        <v/>
      </c>
      <c r="E63" s="205">
        <f ca="1"/>
        <v>0</v>
      </c>
      <c r="F63" s="198" t="str">
        <f ca="1"/>
        <v>-</v>
      </c>
      <c r="G63" s="206"/>
      <c r="H63" s="194" cm="1">
        <f t="array" aca="1" ref="H63:M63" ca="1">IF(ISBLANK(INDIRECT("'"&amp;$A63&amp;"'!B33:G33")), "", INDIRECT("'"&amp;$A63&amp;"'!B33:G33"))</f>
        <v>0</v>
      </c>
      <c r="I63" s="194" t="str">
        <f ca="1"/>
        <v/>
      </c>
      <c r="J63" s="194">
        <f ca="1"/>
        <v>0</v>
      </c>
      <c r="K63" s="199" t="str">
        <f ca="1"/>
        <v>-</v>
      </c>
      <c r="L63" s="167" t="str">
        <f ca="1"/>
        <v/>
      </c>
      <c r="M63" s="165" t="str">
        <f ca="1"/>
        <v/>
      </c>
    </row>
    <row r="64" spans="1:13" ht="15" thickBot="1">
      <c r="A64" s="200" t="str">
        <v>GM - San Antonio Ops</v>
      </c>
      <c r="B64" s="201" t="str">
        <v>TX</v>
      </c>
      <c r="C64" s="191" t="str" cm="1">
        <f t="array" aca="1" ref="C64:F64" ca="1">IF(ISBLANK(INDIRECT("'"&amp;$A64&amp;"'!B15:E15")), "", INDIRECT("'"&amp;$A64&amp;"'!B15:E15"))</f>
        <v/>
      </c>
      <c r="D64" s="204" t="str">
        <f ca="1"/>
        <v/>
      </c>
      <c r="E64" s="205">
        <f ca="1"/>
        <v>0</v>
      </c>
      <c r="F64" s="198" t="str">
        <f ca="1"/>
        <v>-</v>
      </c>
      <c r="G64" s="206"/>
      <c r="H64" s="194" cm="1">
        <f t="array" aca="1" ref="H64:M64" ca="1">IF(ISBLANK(INDIRECT("'"&amp;$A64&amp;"'!B33:G33")), "", INDIRECT("'"&amp;$A64&amp;"'!B33:G33"))</f>
        <v>0</v>
      </c>
      <c r="I64" s="194" t="str">
        <f ca="1"/>
        <v/>
      </c>
      <c r="J64" s="207">
        <f ca="1"/>
        <v>0</v>
      </c>
      <c r="K64" s="199" t="str">
        <f ca="1"/>
        <v>-</v>
      </c>
      <c r="L64" s="167" t="str">
        <f ca="1"/>
        <v/>
      </c>
      <c r="M64" s="165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18" priority="3" operator="equal">
      <formula>"-"</formula>
    </cfRule>
  </conditionalFormatting>
  <conditionalFormatting sqref="F3:F65 K3:K65">
    <cfRule type="cellIs" dxfId="17" priority="4" operator="lessThanOrEqual">
      <formula>-0.1</formula>
    </cfRule>
    <cfRule type="cellIs" dxfId="16" priority="5" operator="greaterThanOrEqual">
      <formula>0.1</formula>
    </cfRule>
  </conditionalFormatting>
  <conditionalFormatting sqref="F65 K65">
    <cfRule type="cellIs" dxfId="15" priority="1" operator="equal">
      <formula>"-"</formula>
    </cfRule>
  </conditionalFormatting>
  <conditionalFormatting sqref="K3:K64">
    <cfRule type="cellIs" dxfId="14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65"/>
  <sheetViews>
    <sheetView workbookViewId="0">
      <pane ySplit="2" topLeftCell="A32" activePane="bottomLeft" state="frozen"/>
      <selection pane="bottomLeft" activeCell="F29" sqref="F29"/>
      <selection activeCell="L53" sqref="L5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57.5703125" customWidth="1"/>
  </cols>
  <sheetData>
    <row r="1" spans="1:13" ht="19.5" customHeight="1">
      <c r="A1" s="244" t="s">
        <v>0</v>
      </c>
      <c r="B1" s="245"/>
      <c r="C1" s="238" t="s">
        <v>43</v>
      </c>
      <c r="D1" s="239"/>
      <c r="E1" s="239"/>
      <c r="F1" s="240"/>
      <c r="G1" s="45"/>
      <c r="H1" s="241" t="s">
        <v>44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189" t="str" cm="1">
        <f t="array" ref="A3:A64">Sites[Site]</f>
        <v>Adams &amp; Broadway</v>
      </c>
      <c r="B3" s="190" t="str" cm="1">
        <f t="array" ref="B3:B64">Sites[State]</f>
        <v>CA</v>
      </c>
      <c r="C3" s="191" t="str" cm="1">
        <f t="array" aca="1" ref="C3:F3" ca="1">IF(ISBLANK(INDIRECT("'"&amp;$A3&amp;"'!B16:E16")), "", INDIRECT("'"&amp;$A3&amp;"'!B16:E16"))</f>
        <v/>
      </c>
      <c r="D3" s="191" t="str">
        <f ca="1"/>
        <v/>
      </c>
      <c r="E3" s="191">
        <f ca="1"/>
        <v>0</v>
      </c>
      <c r="F3" s="192" t="str">
        <f ca="1"/>
        <v>-</v>
      </c>
      <c r="G3" s="193"/>
      <c r="H3" s="194" cm="1">
        <f t="array" aca="1" ref="H3:M3" ca="1">IF(ISBLANK(INDIRECT("'"&amp;$A3&amp;"'!B34:G34")), "", INDIRECT("'"&amp;$A3&amp;"'!B34:G34"))</f>
        <v>0</v>
      </c>
      <c r="I3" s="194" t="str">
        <f ca="1"/>
        <v/>
      </c>
      <c r="J3" s="194">
        <f ca="1"/>
        <v>0</v>
      </c>
      <c r="K3" s="195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196" t="str">
        <v>Otay Mesa</v>
      </c>
      <c r="B4" s="197" t="str">
        <v>CA</v>
      </c>
      <c r="C4" s="191" t="str" cm="1">
        <f t="array" aca="1" ref="C4:F4" ca="1">IF(ISBLANK(INDIRECT("'"&amp;$A4&amp;"'!B16:E16")), "", INDIRECT("'"&amp;$A4&amp;"'!B16:E16"))</f>
        <v/>
      </c>
      <c r="D4" s="191" t="str">
        <f ca="1"/>
        <v/>
      </c>
      <c r="E4" s="191">
        <f ca="1"/>
        <v>0</v>
      </c>
      <c r="F4" s="198" t="str">
        <f ca="1"/>
        <v>-</v>
      </c>
      <c r="G4" s="193"/>
      <c r="H4" s="194" cm="1">
        <f t="array" aca="1" ref="H4:M4" ca="1">IF(ISBLANK(INDIRECT("'"&amp;$A4&amp;"'!B34:G34")), "", INDIRECT("'"&amp;$A4&amp;"'!B34:G34"))</f>
        <v>0</v>
      </c>
      <c r="I4" s="194" t="str">
        <f ca="1"/>
        <v/>
      </c>
      <c r="J4" s="194">
        <f ca="1"/>
        <v>0</v>
      </c>
      <c r="K4" s="199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196" t="str">
        <v>San Leandro Ops Center</v>
      </c>
      <c r="B5" s="197" t="str">
        <v>CA</v>
      </c>
      <c r="C5" s="191" t="str" cm="1">
        <f t="array" aca="1" ref="C5:F5" ca="1">IF(ISBLANK(INDIRECT("'"&amp;$A5&amp;"'!B16:E16")), "", INDIRECT("'"&amp;$A5&amp;"'!B16:E16"))</f>
        <v/>
      </c>
      <c r="D5" s="191" t="str">
        <f ca="1"/>
        <v/>
      </c>
      <c r="E5" s="191">
        <f ca="1"/>
        <v>0</v>
      </c>
      <c r="F5" s="198" t="str">
        <f ca="1"/>
        <v>-</v>
      </c>
      <c r="G5" s="193"/>
      <c r="H5" s="194" cm="1">
        <f t="array" aca="1" ref="H5:M5" ca="1">IF(ISBLANK(INDIRECT("'"&amp;$A5&amp;"'!B34:G34")), "", INDIRECT("'"&amp;$A5&amp;"'!B34:G34"))</f>
        <v>0</v>
      </c>
      <c r="I5" s="194" t="str">
        <f ca="1"/>
        <v/>
      </c>
      <c r="J5" s="194">
        <f ca="1"/>
        <v>0</v>
      </c>
      <c r="K5" s="199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196" t="str">
        <v>Van Nuys</v>
      </c>
      <c r="B6" s="197" t="str">
        <v>CA</v>
      </c>
      <c r="C6" s="191" t="str" cm="1">
        <f t="array" aca="1" ref="C6:F6" ca="1">IF(ISBLANK(INDIRECT("'"&amp;$A6&amp;"'!B16:E16")), "", INDIRECT("'"&amp;$A6&amp;"'!B16:E16"))</f>
        <v/>
      </c>
      <c r="D6" s="191" t="str">
        <f ca="1"/>
        <v/>
      </c>
      <c r="E6" s="191">
        <f ca="1"/>
        <v>0</v>
      </c>
      <c r="F6" s="198" t="str">
        <f ca="1"/>
        <v>-</v>
      </c>
      <c r="G6" s="193"/>
      <c r="H6" s="194" cm="1">
        <f t="array" aca="1" ref="H6:M6" ca="1">IF(ISBLANK(INDIRECT("'"&amp;$A6&amp;"'!B34:G34")), "", INDIRECT("'"&amp;$A6&amp;"'!B34:G34"))</f>
        <v>0</v>
      </c>
      <c r="I6" s="194" t="str">
        <f ca="1"/>
        <v/>
      </c>
      <c r="J6" s="194">
        <f ca="1"/>
        <v>0</v>
      </c>
      <c r="K6" s="199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196" t="str">
        <v>98th &amp; Grant</v>
      </c>
      <c r="B7" s="197" t="str">
        <v>CO</v>
      </c>
      <c r="C7" s="191" t="str" cm="1">
        <f t="array" aca="1" ref="C7:F7" ca="1">IF(ISBLANK(INDIRECT("'"&amp;$A7&amp;"'!B16:E16")), "", INDIRECT("'"&amp;$A7&amp;"'!B16:E16"))</f>
        <v/>
      </c>
      <c r="D7" s="191" t="str">
        <f ca="1"/>
        <v/>
      </c>
      <c r="E7" s="191">
        <f ca="1"/>
        <v>0</v>
      </c>
      <c r="F7" s="198" t="str">
        <f ca="1"/>
        <v>-</v>
      </c>
      <c r="G7" s="193"/>
      <c r="H7" s="194" cm="1">
        <f t="array" aca="1" ref="H7:M7" ca="1">IF(ISBLANK(INDIRECT("'"&amp;$A7&amp;"'!B34:G34")), "", INDIRECT("'"&amp;$A7&amp;"'!B34:G34"))</f>
        <v>0</v>
      </c>
      <c r="I7" s="194" t="str">
        <f ca="1"/>
        <v/>
      </c>
      <c r="J7" s="194">
        <f ca="1"/>
        <v>0</v>
      </c>
      <c r="K7" s="199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196" t="str">
        <v>Arapahoe Crossings</v>
      </c>
      <c r="B8" s="197" t="str">
        <v>CO</v>
      </c>
      <c r="C8" s="191" t="str" cm="1">
        <f t="array" aca="1" ref="C8:F8" ca="1">IF(ISBLANK(INDIRECT("'"&amp;$A8&amp;"'!B16:E16")), "", INDIRECT("'"&amp;$A8&amp;"'!B16:E16"))</f>
        <v/>
      </c>
      <c r="D8" s="191" t="str">
        <f ca="1"/>
        <v/>
      </c>
      <c r="E8" s="191">
        <f ca="1"/>
        <v>0</v>
      </c>
      <c r="F8" s="198" t="str">
        <f ca="1"/>
        <v>-</v>
      </c>
      <c r="G8" s="193"/>
      <c r="H8" s="194" cm="1">
        <f t="array" aca="1" ref="H8:M8" ca="1">IF(ISBLANK(INDIRECT("'"&amp;$A8&amp;"'!B34:G34")), "", INDIRECT("'"&amp;$A8&amp;"'!B34:G34"))</f>
        <v>0</v>
      </c>
      <c r="I8" s="194" t="str">
        <f ca="1"/>
        <v/>
      </c>
      <c r="J8" s="194">
        <f ca="1"/>
        <v>0</v>
      </c>
      <c r="K8" s="199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196" t="str">
        <v>Aurora City Center</v>
      </c>
      <c r="B9" s="197" t="str">
        <v>CO</v>
      </c>
      <c r="C9" s="191" t="str" cm="1">
        <f t="array" aca="1" ref="C9:F9" ca="1">IF(ISBLANK(INDIRECT("'"&amp;$A9&amp;"'!B16:E16")), "", INDIRECT("'"&amp;$A9&amp;"'!B16:E16"))</f>
        <v/>
      </c>
      <c r="D9" s="191" t="str">
        <f ca="1"/>
        <v/>
      </c>
      <c r="E9" s="191">
        <f ca="1"/>
        <v>0</v>
      </c>
      <c r="F9" s="198" t="str">
        <f ca="1"/>
        <v>-</v>
      </c>
      <c r="G9" s="193"/>
      <c r="H9" s="194" cm="1">
        <f t="array" aca="1" ref="H9:M9" ca="1">IF(ISBLANK(INDIRECT("'"&amp;$A9&amp;"'!B34:G34")), "", INDIRECT("'"&amp;$A9&amp;"'!B34:G34"))</f>
        <v>0</v>
      </c>
      <c r="I9" s="194" t="str">
        <f ca="1"/>
        <v/>
      </c>
      <c r="J9" s="194">
        <f ca="1"/>
        <v>0</v>
      </c>
      <c r="K9" s="199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196" t="str">
        <v>Dry Creek</v>
      </c>
      <c r="B10" s="197" t="str">
        <v>CO</v>
      </c>
      <c r="C10" s="191" t="str" cm="1">
        <f t="array" aca="1" ref="C10:F10" ca="1">IF(ISBLANK(INDIRECT("'"&amp;$A10&amp;"'!B16:E16")), "", INDIRECT("'"&amp;$A10&amp;"'!B16:E16"))</f>
        <v/>
      </c>
      <c r="D10" s="191" t="str">
        <f ca="1"/>
        <v/>
      </c>
      <c r="E10" s="191">
        <f ca="1"/>
        <v>0</v>
      </c>
      <c r="F10" s="198" t="str">
        <f ca="1"/>
        <v>-</v>
      </c>
      <c r="G10" s="193"/>
      <c r="H10" s="194" cm="1">
        <f t="array" aca="1" ref="H10:M10" ca="1">IF(ISBLANK(INDIRECT("'"&amp;$A10&amp;"'!B34:G34")), "", INDIRECT("'"&amp;$A10&amp;"'!B34:G34"))</f>
        <v>0</v>
      </c>
      <c r="I10" s="194" t="str">
        <f ca="1"/>
        <v/>
      </c>
      <c r="J10" s="194">
        <f ca="1"/>
        <v>0</v>
      </c>
      <c r="K10" s="199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196" t="str">
        <v>Havana Gardens</v>
      </c>
      <c r="B11" s="197" t="str">
        <v>CO</v>
      </c>
      <c r="C11" s="191" t="str" cm="1">
        <f t="array" aca="1" ref="C11:F11" ca="1">IF(ISBLANK(INDIRECT("'"&amp;$A11&amp;"'!B16:E16")), "", INDIRECT("'"&amp;$A11&amp;"'!B16:E16"))</f>
        <v/>
      </c>
      <c r="D11" s="191" t="str">
        <f ca="1"/>
        <v/>
      </c>
      <c r="E11" s="191">
        <f ca="1"/>
        <v>0</v>
      </c>
      <c r="F11" s="198" t="str">
        <f ca="1"/>
        <v>-</v>
      </c>
      <c r="G11" s="193"/>
      <c r="H11" s="194" cm="1">
        <f t="array" aca="1" ref="H11:M11" ca="1">IF(ISBLANK(INDIRECT("'"&amp;$A11&amp;"'!B34:G34")), "", INDIRECT("'"&amp;$A11&amp;"'!B34:G34"))</f>
        <v>0</v>
      </c>
      <c r="I11" s="194" t="str">
        <f ca="1"/>
        <v/>
      </c>
      <c r="J11" s="194">
        <f ca="1"/>
        <v>0</v>
      </c>
      <c r="K11" s="199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196" t="str">
        <v>Highlands Ranch South</v>
      </c>
      <c r="B12" s="197" t="str">
        <v>CO</v>
      </c>
      <c r="C12" s="191" t="str" cm="1">
        <f t="array" aca="1" ref="C12:F12" ca="1">IF(ISBLANK(INDIRECT("'"&amp;$A12&amp;"'!B16:E16")), "", INDIRECT("'"&amp;$A12&amp;"'!B16:E16"))</f>
        <v/>
      </c>
      <c r="D12" s="191" t="str">
        <f ca="1"/>
        <v/>
      </c>
      <c r="E12" s="191">
        <f ca="1"/>
        <v>0</v>
      </c>
      <c r="F12" s="198" t="str">
        <f ca="1"/>
        <v>-</v>
      </c>
      <c r="G12" s="193"/>
      <c r="H12" s="194" cm="1">
        <f t="array" aca="1" ref="H12:M12" ca="1">IF(ISBLANK(INDIRECT("'"&amp;$A12&amp;"'!B34:G34")), "", INDIRECT("'"&amp;$A12&amp;"'!B34:G34"))</f>
        <v>0</v>
      </c>
      <c r="I12" s="194" t="str">
        <f ca="1"/>
        <v/>
      </c>
      <c r="J12" s="194">
        <f ca="1"/>
        <v>0</v>
      </c>
      <c r="K12" s="199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196" t="str">
        <v>Lone Tree</v>
      </c>
      <c r="B13" s="197" t="str">
        <v>CO</v>
      </c>
      <c r="C13" s="191" t="str" cm="1">
        <f t="array" aca="1" ref="C13:F13" ca="1">IF(ISBLANK(INDIRECT("'"&amp;$A13&amp;"'!B16:E16")), "", INDIRECT("'"&amp;$A13&amp;"'!B16:E16"))</f>
        <v/>
      </c>
      <c r="D13" s="191" t="str">
        <f ca="1"/>
        <v/>
      </c>
      <c r="E13" s="191">
        <f ca="1"/>
        <v>0</v>
      </c>
      <c r="F13" s="198" t="str">
        <f ca="1"/>
        <v>-</v>
      </c>
      <c r="G13" s="193"/>
      <c r="H13" s="194" cm="1">
        <f t="array" aca="1" ref="H13:M13" ca="1">IF(ISBLANK(INDIRECT("'"&amp;$A13&amp;"'!B34:G34")), "", INDIRECT("'"&amp;$A13&amp;"'!B34:G34"))</f>
        <v>0</v>
      </c>
      <c r="I13" s="194" t="str">
        <f ca="1"/>
        <v/>
      </c>
      <c r="J13" s="194">
        <f ca="1"/>
        <v>0</v>
      </c>
      <c r="K13" s="199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196" t="str">
        <v>Meridian</v>
      </c>
      <c r="B14" s="197" t="str">
        <v>CO</v>
      </c>
      <c r="C14" s="191" t="str" cm="1">
        <f t="array" aca="1" ref="C14:F14" ca="1">IF(ISBLANK(INDIRECT("'"&amp;$A14&amp;"'!B16:E16")), "", INDIRECT("'"&amp;$A14&amp;"'!B16:E16"))</f>
        <v/>
      </c>
      <c r="D14" s="191" t="str">
        <f ca="1"/>
        <v/>
      </c>
      <c r="E14" s="191">
        <f ca="1"/>
        <v>0</v>
      </c>
      <c r="F14" s="198" t="str">
        <f ca="1"/>
        <v>-</v>
      </c>
      <c r="G14" s="193"/>
      <c r="H14" s="194" cm="1">
        <f t="array" aca="1" ref="H14:M14" ca="1">IF(ISBLANK(INDIRECT("'"&amp;$A14&amp;"'!B34:G34")), "", INDIRECT("'"&amp;$A14&amp;"'!B34:G34"))</f>
        <v>0</v>
      </c>
      <c r="I14" s="194" t="str">
        <f ca="1"/>
        <v/>
      </c>
      <c r="J14" s="194">
        <f ca="1"/>
        <v>0</v>
      </c>
      <c r="K14" s="199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196" t="str">
        <v>Southglenn Relocation</v>
      </c>
      <c r="B15" s="197" t="str">
        <v>CO</v>
      </c>
      <c r="C15" s="191" t="str" cm="1">
        <f t="array" aca="1" ref="C15:F15" ca="1">IF(ISBLANK(INDIRECT("'"&amp;$A15&amp;"'!B16:E16")), "", INDIRECT("'"&amp;$A15&amp;"'!B16:E16"))</f>
        <v/>
      </c>
      <c r="D15" s="191" t="str">
        <f ca="1"/>
        <v/>
      </c>
      <c r="E15" s="191">
        <f ca="1"/>
        <v>0</v>
      </c>
      <c r="F15" s="198" t="str">
        <f ca="1"/>
        <v>-</v>
      </c>
      <c r="G15" s="193"/>
      <c r="H15" s="194" cm="1">
        <f t="array" aca="1" ref="H15:M15" ca="1">IF(ISBLANK(INDIRECT("'"&amp;$A15&amp;"'!B34:G34")), "", INDIRECT("'"&amp;$A15&amp;"'!B34:G34"))</f>
        <v>0</v>
      </c>
      <c r="I15" s="194" t="str">
        <f ca="1"/>
        <v/>
      </c>
      <c r="J15" s="194">
        <f ca="1"/>
        <v>0</v>
      </c>
      <c r="K15" s="199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196" t="str">
        <v>Standley Lake</v>
      </c>
      <c r="B16" s="197" t="str">
        <v>CO</v>
      </c>
      <c r="C16" s="191" t="str" cm="1">
        <f t="array" aca="1" ref="C16:F16" ca="1">IF(ISBLANK(INDIRECT("'"&amp;$A16&amp;"'!B16:E16")), "", INDIRECT("'"&amp;$A16&amp;"'!B16:E16"))</f>
        <v/>
      </c>
      <c r="D16" s="191" t="str">
        <f ca="1"/>
        <v/>
      </c>
      <c r="E16" s="191">
        <f ca="1"/>
        <v>0</v>
      </c>
      <c r="F16" s="198" t="str">
        <f ca="1"/>
        <v>-</v>
      </c>
      <c r="G16" s="193"/>
      <c r="H16" s="194" cm="1">
        <f t="array" aca="1" ref="H16:M16" ca="1">IF(ISBLANK(INDIRECT("'"&amp;$A16&amp;"'!B34:G34")), "", INDIRECT("'"&amp;$A16&amp;"'!B34:G34"))</f>
        <v>0</v>
      </c>
      <c r="I16" s="194" t="str">
        <f ca="1"/>
        <v/>
      </c>
      <c r="J16" s="194">
        <f ca="1"/>
        <v>0</v>
      </c>
      <c r="K16" s="199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196" t="str">
        <v>East Hartford</v>
      </c>
      <c r="B17" s="197" t="str">
        <v>CT</v>
      </c>
      <c r="C17" s="191" t="str" cm="1">
        <f t="array" aca="1" ref="C17:F17" ca="1">IF(ISBLANK(INDIRECT("'"&amp;$A17&amp;"'!B16:E16")), "", INDIRECT("'"&amp;$A17&amp;"'!B16:E16"))</f>
        <v/>
      </c>
      <c r="D17" s="191" t="str">
        <f ca="1"/>
        <v/>
      </c>
      <c r="E17" s="191">
        <f ca="1"/>
        <v>0</v>
      </c>
      <c r="F17" s="198" t="str">
        <f ca="1"/>
        <v>-</v>
      </c>
      <c r="G17" s="193"/>
      <c r="H17" s="194" cm="1">
        <f t="array" aca="1" ref="H17:M17" ca="1">IF(ISBLANK(INDIRECT("'"&amp;$A17&amp;"'!B34:G34")), "", INDIRECT("'"&amp;$A17&amp;"'!B34:G34"))</f>
        <v>0</v>
      </c>
      <c r="I17" s="194" t="str">
        <f ca="1"/>
        <v/>
      </c>
      <c r="J17" s="194">
        <f ca="1"/>
        <v>0</v>
      </c>
      <c r="K17" s="199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196" t="str">
        <v>Norwalk Post Road</v>
      </c>
      <c r="B18" s="197" t="str">
        <v>CT</v>
      </c>
      <c r="C18" s="191" t="str" cm="1">
        <f t="array" aca="1" ref="C18:F18" ca="1">IF(ISBLANK(INDIRECT("'"&amp;$A18&amp;"'!B16:E16")), "", INDIRECT("'"&amp;$A18&amp;"'!B16:E16"))</f>
        <v/>
      </c>
      <c r="D18" s="191" t="str">
        <f ca="1"/>
        <v/>
      </c>
      <c r="E18" s="191">
        <f ca="1"/>
        <v>0</v>
      </c>
      <c r="F18" s="198" t="str">
        <f ca="1"/>
        <v>-</v>
      </c>
      <c r="G18" s="193"/>
      <c r="H18" s="194" cm="1">
        <f t="array" aca="1" ref="H18:M18" ca="1">IF(ISBLANK(INDIRECT("'"&amp;$A18&amp;"'!B34:G34")), "", INDIRECT("'"&amp;$A18&amp;"'!B34:G34"))</f>
        <v>0</v>
      </c>
      <c r="I18" s="194" t="str">
        <f ca="1"/>
        <v/>
      </c>
      <c r="J18" s="194">
        <f ca="1"/>
        <v>0</v>
      </c>
      <c r="K18" s="199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196" t="str">
        <v>Hialeah Gardens</v>
      </c>
      <c r="B19" s="197" t="str">
        <v>FL</v>
      </c>
      <c r="C19" s="191" t="str" cm="1">
        <f t="array" aca="1" ref="C19:F19" ca="1">IF(ISBLANK(INDIRECT("'"&amp;$A19&amp;"'!B16:E16")), "", INDIRECT("'"&amp;$A19&amp;"'!B16:E16"))</f>
        <v/>
      </c>
      <c r="D19" s="191" t="str">
        <f ca="1"/>
        <v/>
      </c>
      <c r="E19" s="191">
        <f ca="1"/>
        <v>0</v>
      </c>
      <c r="F19" s="198" t="str">
        <f ca="1"/>
        <v>-</v>
      </c>
      <c r="G19" s="193"/>
      <c r="H19" s="194" cm="1">
        <f t="array" aca="1" ref="H19:M19" ca="1">IF(ISBLANK(INDIRECT("'"&amp;$A19&amp;"'!B34:G34")), "", INDIRECT("'"&amp;$A19&amp;"'!B34:G34"))</f>
        <v>0</v>
      </c>
      <c r="I19" s="194" t="str">
        <f ca="1"/>
        <v/>
      </c>
      <c r="J19" s="194">
        <f ca="1"/>
        <v>0</v>
      </c>
      <c r="K19" s="199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196" t="str">
        <v>HMHQ</v>
      </c>
      <c r="B20" s="197" t="str">
        <v>IA</v>
      </c>
      <c r="C20" s="191" t="str" cm="1">
        <f t="array" aca="1" ref="C20:F20" ca="1">IF(ISBLANK(INDIRECT("'"&amp;$A20&amp;"'!B16:E16")), "", INDIRECT("'"&amp;$A20&amp;"'!B16:E16"))</f>
        <v/>
      </c>
      <c r="D20" s="191" t="str">
        <f ca="1"/>
        <v/>
      </c>
      <c r="E20" s="191">
        <f ca="1"/>
        <v>0</v>
      </c>
      <c r="F20" s="198" t="str">
        <f ca="1"/>
        <v>-</v>
      </c>
      <c r="G20" s="193"/>
      <c r="H20" s="194" cm="1">
        <f t="array" aca="1" ref="H20:M20" ca="1">IF(ISBLANK(INDIRECT("'"&amp;$A20&amp;"'!B34:G34")), "", INDIRECT("'"&amp;$A20&amp;"'!B34:G34"))</f>
        <v>0</v>
      </c>
      <c r="I20" s="194" t="str">
        <f ca="1"/>
        <v/>
      </c>
      <c r="J20" s="194">
        <f ca="1"/>
        <v>0</v>
      </c>
      <c r="K20" s="199" t="str">
        <f ca="1"/>
        <v>-</v>
      </c>
      <c r="L20" s="165" t="str">
        <f ca="1"/>
        <v/>
      </c>
      <c r="M20" s="166" t="str">
        <f ca="1"/>
        <v/>
      </c>
    </row>
    <row r="21" spans="1:13" ht="36.6" customHeight="1">
      <c r="A21" s="196" t="str">
        <v>West Des Moines Campus East</v>
      </c>
      <c r="B21" s="197" t="str">
        <v>IA</v>
      </c>
      <c r="C21" s="191" t="str" cm="1">
        <f t="array" aca="1" ref="C21:F21" ca="1">IF(ISBLANK(INDIRECT("'"&amp;$A21&amp;"'!B16:E16")), "", INDIRECT("'"&amp;$A21&amp;"'!B16:E16"))</f>
        <v/>
      </c>
      <c r="D21" s="191" t="str">
        <f ca="1"/>
        <v/>
      </c>
      <c r="E21" s="191">
        <f ca="1"/>
        <v>0</v>
      </c>
      <c r="F21" s="198" t="str">
        <f ca="1"/>
        <v>-</v>
      </c>
      <c r="G21" s="193"/>
      <c r="H21" s="194" cm="1">
        <f t="array" aca="1" ref="H21:M21" ca="1">IF(ISBLANK(INDIRECT("'"&amp;$A21&amp;"'!B34:G34")), "", INDIRECT("'"&amp;$A21&amp;"'!B34:G34"))</f>
        <v>0</v>
      </c>
      <c r="I21" s="194" t="str">
        <f ca="1"/>
        <v/>
      </c>
      <c r="J21" s="194">
        <f ca="1"/>
        <v>0</v>
      </c>
      <c r="K21" s="199" t="str">
        <f ca="1"/>
        <v>-</v>
      </c>
      <c r="L21" s="165" t="str">
        <f ca="1"/>
        <v/>
      </c>
      <c r="M21" s="209" t="str">
        <f ca="1"/>
        <v/>
      </c>
    </row>
    <row r="22" spans="1:13" ht="14.45">
      <c r="A22" s="196" t="str">
        <v>West Des Moines Campus West</v>
      </c>
      <c r="B22" s="197" t="str">
        <v>IA</v>
      </c>
      <c r="C22" s="191" t="str" cm="1">
        <f t="array" aca="1" ref="C22:F22" ca="1">IF(ISBLANK(INDIRECT("'"&amp;$A22&amp;"'!B16:E16")), "", INDIRECT("'"&amp;$A22&amp;"'!B16:E16"))</f>
        <v/>
      </c>
      <c r="D22" s="191" t="str">
        <f ca="1"/>
        <v/>
      </c>
      <c r="E22" s="191">
        <f ca="1"/>
        <v>0</v>
      </c>
      <c r="F22" s="198" t="str">
        <f ca="1"/>
        <v>-</v>
      </c>
      <c r="G22" s="193"/>
      <c r="H22" s="194" cm="1">
        <f t="array" aca="1" ref="H22:M22" ca="1">IF(ISBLANK(INDIRECT("'"&amp;$A22&amp;"'!B34:G34")), "", INDIRECT("'"&amp;$A22&amp;"'!B34:G34"))</f>
        <v>0</v>
      </c>
      <c r="I22" s="194" t="str">
        <f ca="1"/>
        <v/>
      </c>
      <c r="J22" s="194">
        <f ca="1"/>
        <v>0</v>
      </c>
      <c r="K22" s="199" t="str">
        <f ca="1"/>
        <v>-</v>
      </c>
      <c r="L22" s="167" t="str">
        <f ca="1"/>
        <v/>
      </c>
      <c r="M22" s="214" t="str">
        <f ca="1"/>
        <v/>
      </c>
    </row>
    <row r="23" spans="1:13" ht="14.45">
      <c r="A23" s="200" t="str">
        <v>CIC</v>
      </c>
      <c r="B23" s="201" t="str">
        <v>NC</v>
      </c>
      <c r="C23" s="191" t="str" cm="1">
        <f t="array" aca="1" ref="C23:F23" ca="1">IF(ISBLANK(INDIRECT("'"&amp;$A23&amp;"'!B16:E16")), "", INDIRECT("'"&amp;$A23&amp;"'!B16:E16"))</f>
        <v/>
      </c>
      <c r="D23" s="191" t="str">
        <f ca="1"/>
        <v/>
      </c>
      <c r="E23" s="191">
        <f ca="1"/>
        <v>0</v>
      </c>
      <c r="F23" s="198" t="str">
        <f ca="1"/>
        <v>-</v>
      </c>
      <c r="G23" s="193"/>
      <c r="H23" s="194" cm="1">
        <f t="array" aca="1" ref="H23:M23" ca="1">IF(ISBLANK(INDIRECT("'"&amp;$A23&amp;"'!B34:G34")), "", INDIRECT("'"&amp;$A23&amp;"'!B34:G34"))</f>
        <v>0</v>
      </c>
      <c r="I23" s="194" t="str">
        <f ca="1"/>
        <v/>
      </c>
      <c r="J23" s="194">
        <f ca="1"/>
        <v>0</v>
      </c>
      <c r="K23" s="199" t="str">
        <f ca="1"/>
        <v>-</v>
      </c>
      <c r="L23" s="165" t="str">
        <f ca="1"/>
        <v/>
      </c>
      <c r="M23" s="164" t="str">
        <f ca="1"/>
        <v/>
      </c>
    </row>
    <row r="24" spans="1:13" ht="14.45">
      <c r="A24" s="200" t="str">
        <v>DUC</v>
      </c>
      <c r="B24" s="201" t="str">
        <v>NC</v>
      </c>
      <c r="C24" s="191" t="str" cm="1">
        <f t="array" aca="1" ref="C24:F24" ca="1">IF(ISBLANK(INDIRECT("'"&amp;$A24&amp;"'!B16:E16")), "", INDIRECT("'"&amp;$A24&amp;"'!B16:E16"))</f>
        <v/>
      </c>
      <c r="D24" s="191" t="str">
        <f ca="1"/>
        <v/>
      </c>
      <c r="E24" s="191">
        <f ca="1"/>
        <v>0</v>
      </c>
      <c r="F24" s="198" t="str">
        <f ca="1"/>
        <v>-</v>
      </c>
      <c r="G24" s="193"/>
      <c r="H24" s="194" cm="1">
        <f t="array" aca="1" ref="H24:M24" ca="1">IF(ISBLANK(INDIRECT("'"&amp;$A24&amp;"'!B34:G34")), "", INDIRECT("'"&amp;$A24&amp;"'!B34:G34"))</f>
        <v>0</v>
      </c>
      <c r="I24" s="194" t="str">
        <f ca="1"/>
        <v/>
      </c>
      <c r="J24" s="194">
        <f ca="1"/>
        <v>0</v>
      </c>
      <c r="K24" s="199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200" t="str">
        <v>Barnegat Office</v>
      </c>
      <c r="B25" s="201" t="str">
        <v>NJ</v>
      </c>
      <c r="C25" s="191" t="str" cm="1">
        <f t="array" aca="1" ref="C25:F25" ca="1">IF(ISBLANK(INDIRECT("'"&amp;$A25&amp;"'!B16:E16")), "", INDIRECT("'"&amp;$A25&amp;"'!B16:E16"))</f>
        <v/>
      </c>
      <c r="D25" s="191" t="str">
        <f ca="1"/>
        <v/>
      </c>
      <c r="E25" s="191">
        <f ca="1"/>
        <v>0</v>
      </c>
      <c r="F25" s="198" t="str">
        <f ca="1"/>
        <v>-</v>
      </c>
      <c r="G25" s="193"/>
      <c r="H25" s="194" cm="1">
        <f t="array" aca="1" ref="H25:M25" ca="1">IF(ISBLANK(INDIRECT("'"&amp;$A25&amp;"'!B34:G34")), "", INDIRECT("'"&amp;$A25&amp;"'!B34:G34"))</f>
        <v>0</v>
      </c>
      <c r="I25" s="194" t="str">
        <f ca="1"/>
        <v/>
      </c>
      <c r="J25" s="194">
        <f ca="1"/>
        <v>0</v>
      </c>
      <c r="K25" s="199" t="str">
        <f ca="1"/>
        <v>-</v>
      </c>
      <c r="L25" s="165" t="str">
        <f ca="1"/>
        <v/>
      </c>
      <c r="M25" s="166" t="str">
        <f ca="1"/>
        <v/>
      </c>
    </row>
    <row r="26" spans="1:13" ht="14.45">
      <c r="A26" s="200" t="str">
        <v>Bayonne Office</v>
      </c>
      <c r="B26" s="201" t="str">
        <v>NJ</v>
      </c>
      <c r="C26" s="191" t="str" cm="1">
        <f t="array" aca="1" ref="C26:F26" ca="1">IF(ISBLANK(INDIRECT("'"&amp;$A26&amp;"'!B16:E16")), "", INDIRECT("'"&amp;$A26&amp;"'!B16:E16"))</f>
        <v/>
      </c>
      <c r="D26" s="191" t="str">
        <f ca="1"/>
        <v/>
      </c>
      <c r="E26" s="191">
        <f ca="1"/>
        <v>0</v>
      </c>
      <c r="F26" s="198" t="str">
        <f ca="1"/>
        <v>-</v>
      </c>
      <c r="G26" s="193"/>
      <c r="H26" s="194" cm="1">
        <f t="array" aca="1" ref="H26:M26" ca="1">IF(ISBLANK(INDIRECT("'"&amp;$A26&amp;"'!B34:G34")), "", INDIRECT("'"&amp;$A26&amp;"'!B34:G34"))</f>
        <v>0</v>
      </c>
      <c r="I26" s="194" t="str">
        <f ca="1"/>
        <v/>
      </c>
      <c r="J26" s="194">
        <f ca="1"/>
        <v>0</v>
      </c>
      <c r="K26" s="199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200" t="str">
        <v>Bordentown</v>
      </c>
      <c r="B27" s="201" t="str">
        <v>NJ</v>
      </c>
      <c r="C27" s="191" t="str" cm="1">
        <f t="array" aca="1" ref="C27:F27" ca="1">IF(ISBLANK(INDIRECT("'"&amp;$A27&amp;"'!B16:E16")), "", INDIRECT("'"&amp;$A27&amp;"'!B16:E16"))</f>
        <v/>
      </c>
      <c r="D27" s="191" t="str">
        <f ca="1"/>
        <v/>
      </c>
      <c r="E27" s="191">
        <f ca="1"/>
        <v>0</v>
      </c>
      <c r="F27" s="198" t="str">
        <f ca="1"/>
        <v>-</v>
      </c>
      <c r="G27" s="193"/>
      <c r="H27" s="194" cm="1">
        <f t="array" aca="1" ref="H27:M27" ca="1">IF(ISBLANK(INDIRECT("'"&amp;$A27&amp;"'!B34:G34")), "", INDIRECT("'"&amp;$A27&amp;"'!B34:G34"))</f>
        <v>0</v>
      </c>
      <c r="I27" s="194" t="str">
        <f ca="1"/>
        <v/>
      </c>
      <c r="J27" s="194">
        <f ca="1"/>
        <v>0</v>
      </c>
      <c r="K27" s="199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200" t="str">
        <v>Burlington Springside</v>
      </c>
      <c r="B28" s="201" t="str">
        <v>NJ</v>
      </c>
      <c r="C28" s="191" t="str" cm="1">
        <f t="array" aca="1" ref="C28:F28" ca="1">IF(ISBLANK(INDIRECT("'"&amp;$A28&amp;"'!B16:E16")), "", INDIRECT("'"&amp;$A28&amp;"'!B16:E16"))</f>
        <v/>
      </c>
      <c r="D28" s="191" t="str">
        <f ca="1"/>
        <v/>
      </c>
      <c r="E28" s="191">
        <f ca="1"/>
        <v>0</v>
      </c>
      <c r="F28" s="198" t="str">
        <f ca="1"/>
        <v>-</v>
      </c>
      <c r="G28" s="193"/>
      <c r="H28" s="194" cm="1">
        <f t="array" aca="1" ref="H28:M28" ca="1">IF(ISBLANK(INDIRECT("'"&amp;$A28&amp;"'!B34:G34")), "", INDIRECT("'"&amp;$A28&amp;"'!B34:G34"))</f>
        <v>0</v>
      </c>
      <c r="I28" s="194" t="str">
        <f ca="1"/>
        <v/>
      </c>
      <c r="J28" s="194">
        <f ca="1"/>
        <v>0</v>
      </c>
      <c r="K28" s="199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200" t="str">
        <v>Cherry Hill Short Hills</v>
      </c>
      <c r="B29" s="201" t="str">
        <v>NJ</v>
      </c>
      <c r="C29" s="191" t="str" cm="1">
        <f t="array" aca="1" ref="C29:F29" ca="1">IF(ISBLANK(INDIRECT("'"&amp;$A29&amp;"'!B16:E16")), "", INDIRECT("'"&amp;$A29&amp;"'!B16:E16"))</f>
        <v/>
      </c>
      <c r="D29" s="191" t="str">
        <f ca="1"/>
        <v/>
      </c>
      <c r="E29" s="191">
        <f ca="1"/>
        <v>0</v>
      </c>
      <c r="F29" s="198" t="str">
        <f ca="1"/>
        <v>-</v>
      </c>
      <c r="G29" s="193"/>
      <c r="H29" s="194" cm="1">
        <f t="array" aca="1" ref="H29:M29" ca="1">IF(ISBLANK(INDIRECT("'"&amp;$A29&amp;"'!B34:G34")), "", INDIRECT("'"&amp;$A29&amp;"'!B34:G34"))</f>
        <v>0</v>
      </c>
      <c r="I29" s="194" t="str">
        <f ca="1"/>
        <v/>
      </c>
      <c r="J29" s="194">
        <f ca="1"/>
        <v>0</v>
      </c>
      <c r="K29" s="199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200" t="str">
        <v>Clark Office</v>
      </c>
      <c r="B30" s="201" t="str">
        <v>NJ</v>
      </c>
      <c r="C30" s="191" t="str" cm="1">
        <f t="array" aca="1" ref="C30:F30" ca="1">IF(ISBLANK(INDIRECT("'"&amp;$A30&amp;"'!B16:E16")), "", INDIRECT("'"&amp;$A30&amp;"'!B16:E16"))</f>
        <v/>
      </c>
      <c r="D30" s="191" t="str">
        <f ca="1"/>
        <v/>
      </c>
      <c r="E30" s="191">
        <f ca="1"/>
        <v>0</v>
      </c>
      <c r="F30" s="198" t="str">
        <f ca="1"/>
        <v>-</v>
      </c>
      <c r="G30" s="193"/>
      <c r="H30" s="194" cm="1">
        <f t="array" aca="1" ref="H30:M30" ca="1">IF(ISBLANK(INDIRECT("'"&amp;$A30&amp;"'!B34:G34")), "", INDIRECT("'"&amp;$A30&amp;"'!B34:G34"))</f>
        <v>0</v>
      </c>
      <c r="I30" s="194" t="str">
        <f ca="1"/>
        <v/>
      </c>
      <c r="J30" s="194">
        <f ca="1"/>
        <v>0</v>
      </c>
      <c r="K30" s="199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200" t="str">
        <v>Clifton Office</v>
      </c>
      <c r="B31" s="201" t="str">
        <v>NJ</v>
      </c>
      <c r="C31" s="191" t="str" cm="1">
        <f t="array" aca="1" ref="C31:F31" ca="1">IF(ISBLANK(INDIRECT("'"&amp;$A31&amp;"'!B16:E16")), "", INDIRECT("'"&amp;$A31&amp;"'!B16:E16"))</f>
        <v/>
      </c>
      <c r="D31" s="191" t="str">
        <f ca="1"/>
        <v/>
      </c>
      <c r="E31" s="191">
        <f ca="1"/>
        <v>0</v>
      </c>
      <c r="F31" s="198" t="str">
        <f ca="1"/>
        <v>-</v>
      </c>
      <c r="G31" s="193"/>
      <c r="H31" s="194" cm="1">
        <f t="array" aca="1" ref="H31:M31" ca="1">IF(ISBLANK(INDIRECT("'"&amp;$A31&amp;"'!B34:G34")), "", INDIRECT("'"&amp;$A31&amp;"'!B34:G34"))</f>
        <v>0</v>
      </c>
      <c r="I31" s="194" t="str">
        <f ca="1"/>
        <v/>
      </c>
      <c r="J31" s="194">
        <f ca="1"/>
        <v>0</v>
      </c>
      <c r="K31" s="199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200" t="str">
        <v>Clinton Main Relo</v>
      </c>
      <c r="B32" s="201" t="str">
        <v>NJ</v>
      </c>
      <c r="C32" s="191" t="str" cm="1">
        <f t="array" aca="1" ref="C32:F32" ca="1">IF(ISBLANK(INDIRECT("'"&amp;$A32&amp;"'!B16:E16")), "", INDIRECT("'"&amp;$A32&amp;"'!B16:E16"))</f>
        <v/>
      </c>
      <c r="D32" s="191" t="str">
        <f ca="1"/>
        <v/>
      </c>
      <c r="E32" s="191">
        <f ca="1"/>
        <v>0</v>
      </c>
      <c r="F32" s="198" t="str">
        <f ca="1"/>
        <v>-</v>
      </c>
      <c r="G32" s="193"/>
      <c r="H32" s="194" cm="1">
        <f t="array" aca="1" ref="H32:M32" ca="1">IF(ISBLANK(INDIRECT("'"&amp;$A32&amp;"'!B34:G34")), "", INDIRECT("'"&amp;$A32&amp;"'!B34:G34"))</f>
        <v>0</v>
      </c>
      <c r="I32" s="194" t="str">
        <f ca="1"/>
        <v/>
      </c>
      <c r="J32" s="194">
        <f ca="1"/>
        <v>0</v>
      </c>
      <c r="K32" s="199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200" t="str">
        <v>Closter Office</v>
      </c>
      <c r="B33" s="201" t="str">
        <v>NJ</v>
      </c>
      <c r="C33" s="191" t="str" cm="1">
        <f t="array" aca="1" ref="C33:F33" ca="1">IF(ISBLANK(INDIRECT("'"&amp;$A33&amp;"'!B16:E16")), "", INDIRECT("'"&amp;$A33&amp;"'!B16:E16"))</f>
        <v/>
      </c>
      <c r="D33" s="191" t="str">
        <f ca="1"/>
        <v/>
      </c>
      <c r="E33" s="191">
        <f ca="1"/>
        <v>0</v>
      </c>
      <c r="F33" s="198" t="str">
        <f ca="1"/>
        <v>-</v>
      </c>
      <c r="G33" s="193"/>
      <c r="H33" s="194" cm="1">
        <f t="array" aca="1" ref="H33:M33" ca="1">IF(ISBLANK(INDIRECT("'"&amp;$A33&amp;"'!B34:G34")), "", INDIRECT("'"&amp;$A33&amp;"'!B34:G34"))</f>
        <v>0</v>
      </c>
      <c r="I33" s="194" t="str">
        <f ca="1"/>
        <v/>
      </c>
      <c r="J33" s="194">
        <f ca="1"/>
        <v>0</v>
      </c>
      <c r="K33" s="199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200" t="str">
        <v>East Windsor</v>
      </c>
      <c r="B34" s="201" t="str">
        <v>NJ</v>
      </c>
      <c r="C34" s="191" t="str" cm="1">
        <f t="array" aca="1" ref="C34:F34" ca="1">IF(ISBLANK(INDIRECT("'"&amp;$A34&amp;"'!B16:E16")), "", INDIRECT("'"&amp;$A34&amp;"'!B16:E16"))</f>
        <v/>
      </c>
      <c r="D34" s="191" t="str">
        <f ca="1"/>
        <v/>
      </c>
      <c r="E34" s="191">
        <f ca="1"/>
        <v>0</v>
      </c>
      <c r="F34" s="198" t="str">
        <f ca="1"/>
        <v>-</v>
      </c>
      <c r="G34" s="193"/>
      <c r="H34" s="194" cm="1">
        <f t="array" aca="1" ref="H34:M34" ca="1">IF(ISBLANK(INDIRECT("'"&amp;$A34&amp;"'!B34:G34")), "", INDIRECT("'"&amp;$A34&amp;"'!B34:G34"))</f>
        <v>0</v>
      </c>
      <c r="I34" s="194" t="str">
        <f ca="1"/>
        <v/>
      </c>
      <c r="J34" s="194">
        <f ca="1"/>
        <v>0</v>
      </c>
      <c r="K34" s="199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200" t="str">
        <v>Edison Office</v>
      </c>
      <c r="B35" s="201" t="str">
        <v>NJ</v>
      </c>
      <c r="C35" s="191" t="str" cm="1">
        <f t="array" aca="1" ref="C35:F35" ca="1">IF(ISBLANK(INDIRECT("'"&amp;$A35&amp;"'!B16:E16")), "", INDIRECT("'"&amp;$A35&amp;"'!B16:E16"))</f>
        <v/>
      </c>
      <c r="D35" s="191" t="str">
        <f ca="1"/>
        <v/>
      </c>
      <c r="E35" s="191">
        <f ca="1"/>
        <v>0</v>
      </c>
      <c r="F35" s="198" t="str">
        <f ca="1"/>
        <v>-</v>
      </c>
      <c r="G35" s="193"/>
      <c r="H35" s="194" cm="1">
        <f t="array" aca="1" ref="H35:M35" ca="1">IF(ISBLANK(INDIRECT("'"&amp;$A35&amp;"'!B34:G34")), "", INDIRECT("'"&amp;$A35&amp;"'!B34:G34"))</f>
        <v>0</v>
      </c>
      <c r="I35" s="194" t="str">
        <f ca="1"/>
        <v/>
      </c>
      <c r="J35" s="194">
        <f ca="1"/>
        <v>0</v>
      </c>
      <c r="K35" s="199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200" t="str">
        <v>Ellisburg Circle Center</v>
      </c>
      <c r="B36" s="201" t="str">
        <v>NJ</v>
      </c>
      <c r="C36" s="191" t="str" cm="1">
        <f t="array" aca="1" ref="C36:F36" ca="1">IF(ISBLANK(INDIRECT("'"&amp;$A36&amp;"'!B16:E16")), "", INDIRECT("'"&amp;$A36&amp;"'!B16:E16"))</f>
        <v/>
      </c>
      <c r="D36" s="191" t="str">
        <f ca="1"/>
        <v/>
      </c>
      <c r="E36" s="191">
        <f ca="1"/>
        <v>0</v>
      </c>
      <c r="F36" s="198" t="str">
        <f ca="1"/>
        <v>-</v>
      </c>
      <c r="G36" s="193"/>
      <c r="H36" s="194" cm="1">
        <f t="array" aca="1" ref="H36:M36" ca="1">IF(ISBLANK(INDIRECT("'"&amp;$A36&amp;"'!B34:G34")), "", INDIRECT("'"&amp;$A36&amp;"'!B34:G34"))</f>
        <v>0</v>
      </c>
      <c r="I36" s="194" t="str">
        <f ca="1"/>
        <v/>
      </c>
      <c r="J36" s="194">
        <f ca="1"/>
        <v>0</v>
      </c>
      <c r="K36" s="199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200" t="str">
        <v>Flemington</v>
      </c>
      <c r="B37" s="201" t="str">
        <v>NJ</v>
      </c>
      <c r="C37" s="191" t="str" cm="1">
        <f t="array" aca="1" ref="C37:F37" ca="1">IF(ISBLANK(INDIRECT("'"&amp;$A37&amp;"'!B16:E16")), "", INDIRECT("'"&amp;$A37&amp;"'!B16:E16"))</f>
        <v/>
      </c>
      <c r="D37" s="191" t="str">
        <f ca="1"/>
        <v/>
      </c>
      <c r="E37" s="191">
        <f ca="1"/>
        <v>0</v>
      </c>
      <c r="F37" s="198" t="str">
        <f ca="1"/>
        <v>-</v>
      </c>
      <c r="G37" s="193"/>
      <c r="H37" s="194" cm="1">
        <f t="array" aca="1" ref="H37:M37" ca="1">IF(ISBLANK(INDIRECT("'"&amp;$A37&amp;"'!B34:G34")), "", INDIRECT("'"&amp;$A37&amp;"'!B34:G34"))</f>
        <v>0</v>
      </c>
      <c r="I37" s="194" t="str">
        <f ca="1"/>
        <v/>
      </c>
      <c r="J37" s="194">
        <f ca="1"/>
        <v>0</v>
      </c>
      <c r="K37" s="199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200" t="str">
        <v>Franklin Township</v>
      </c>
      <c r="B38" s="201" t="str">
        <v>NJ</v>
      </c>
      <c r="C38" s="191" t="str" cm="1">
        <f t="array" aca="1" ref="C38:F38" ca="1">IF(ISBLANK(INDIRECT("'"&amp;$A38&amp;"'!B16:E16")), "", INDIRECT("'"&amp;$A38&amp;"'!B16:E16"))</f>
        <v/>
      </c>
      <c r="D38" s="191" t="str">
        <f ca="1"/>
        <v/>
      </c>
      <c r="E38" s="191">
        <f ca="1"/>
        <v>0</v>
      </c>
      <c r="F38" s="198" t="str">
        <f ca="1"/>
        <v>-</v>
      </c>
      <c r="G38" s="193"/>
      <c r="H38" s="194" cm="1">
        <f t="array" aca="1" ref="H38:M38" ca="1">IF(ISBLANK(INDIRECT("'"&amp;$A38&amp;"'!B34:G34")), "", INDIRECT("'"&amp;$A38&amp;"'!B34:G34"))</f>
        <v>0</v>
      </c>
      <c r="I38" s="194" t="str">
        <f ca="1"/>
        <v/>
      </c>
      <c r="J38" s="194">
        <f ca="1"/>
        <v>0</v>
      </c>
      <c r="K38" s="199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200" t="str">
        <v>Haddon Westmont Plaza</v>
      </c>
      <c r="B39" s="201" t="str">
        <v>NJ</v>
      </c>
      <c r="C39" s="191" t="str" cm="1">
        <f t="array" aca="1" ref="C39:F39" ca="1">IF(ISBLANK(INDIRECT("'"&amp;$A39&amp;"'!B16:E16")), "", INDIRECT("'"&amp;$A39&amp;"'!B16:E16"))</f>
        <v/>
      </c>
      <c r="D39" s="191" t="str">
        <f ca="1"/>
        <v/>
      </c>
      <c r="E39" s="191">
        <f ca="1"/>
        <v>0</v>
      </c>
      <c r="F39" s="198" t="str">
        <f ca="1"/>
        <v>-</v>
      </c>
      <c r="G39" s="193"/>
      <c r="H39" s="194" cm="1">
        <f t="array" aca="1" ref="H39:M39" ca="1">IF(ISBLANK(INDIRECT("'"&amp;$A39&amp;"'!B34:G34")), "", INDIRECT("'"&amp;$A39&amp;"'!B34:G34"))</f>
        <v>0</v>
      </c>
      <c r="I39" s="194" t="str">
        <f ca="1"/>
        <v/>
      </c>
      <c r="J39" s="194">
        <f ca="1"/>
        <v>0</v>
      </c>
      <c r="K39" s="199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200" t="str">
        <v>Hainesport Crossroads</v>
      </c>
      <c r="B40" s="201" t="str">
        <v>NJ</v>
      </c>
      <c r="C40" s="191" t="str" cm="1">
        <f t="array" aca="1" ref="C40:F40" ca="1">IF(ISBLANK(INDIRECT("'"&amp;$A40&amp;"'!B16:E16")), "", INDIRECT("'"&amp;$A40&amp;"'!B16:E16"))</f>
        <v/>
      </c>
      <c r="D40" s="191" t="str">
        <f ca="1"/>
        <v/>
      </c>
      <c r="E40" s="191">
        <f ca="1"/>
        <v>0</v>
      </c>
      <c r="F40" s="198" t="str">
        <f ca="1"/>
        <v>-</v>
      </c>
      <c r="G40" s="193"/>
      <c r="H40" s="194" cm="1">
        <f t="array" aca="1" ref="H40:M40" ca="1">IF(ISBLANK(INDIRECT("'"&amp;$A40&amp;"'!B34:G34")), "", INDIRECT("'"&amp;$A40&amp;"'!B34:G34"))</f>
        <v>0</v>
      </c>
      <c r="I40" s="194" t="str">
        <f ca="1"/>
        <v/>
      </c>
      <c r="J40" s="194">
        <f ca="1"/>
        <v>0</v>
      </c>
      <c r="K40" s="199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200" t="str">
        <v>Holmdel Rt. 35</v>
      </c>
      <c r="B41" s="201" t="str">
        <v>NJ</v>
      </c>
      <c r="C41" s="191" t="str" cm="1">
        <f t="array" aca="1" ref="C41:F41" ca="1">IF(ISBLANK(INDIRECT("'"&amp;$A41&amp;"'!B16:E16")), "", INDIRECT("'"&amp;$A41&amp;"'!B16:E16"))</f>
        <v/>
      </c>
      <c r="D41" s="191" t="str">
        <f ca="1"/>
        <v/>
      </c>
      <c r="E41" s="191">
        <f ca="1"/>
        <v>0</v>
      </c>
      <c r="F41" s="198" t="str">
        <f ca="1"/>
        <v>-</v>
      </c>
      <c r="G41" s="193"/>
      <c r="H41" s="194" cm="1">
        <f t="array" aca="1" ref="H41:M41" ca="1">IF(ISBLANK(INDIRECT("'"&amp;$A41&amp;"'!B34:G34")), "", INDIRECT("'"&amp;$A41&amp;"'!B34:G34"))</f>
        <v>0</v>
      </c>
      <c r="I41" s="194" t="str">
        <f ca="1"/>
        <v/>
      </c>
      <c r="J41" s="194">
        <f ca="1"/>
        <v>0</v>
      </c>
      <c r="K41" s="199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200" t="str">
        <v>Laurelton Office</v>
      </c>
      <c r="B42" s="201" t="str">
        <v>NJ</v>
      </c>
      <c r="C42" s="191" t="str" cm="1">
        <f t="array" aca="1" ref="C42:F42" ca="1">IF(ISBLANK(INDIRECT("'"&amp;$A42&amp;"'!B16:E16")), "", INDIRECT("'"&amp;$A42&amp;"'!B16:E16"))</f>
        <v/>
      </c>
      <c r="D42" s="191" t="str">
        <f ca="1"/>
        <v/>
      </c>
      <c r="E42" s="191">
        <f ca="1"/>
        <v>0</v>
      </c>
      <c r="F42" s="198" t="str">
        <f ca="1"/>
        <v>-</v>
      </c>
      <c r="G42" s="193"/>
      <c r="H42" s="194" cm="1">
        <f t="array" aca="1" ref="H42:M42" ca="1">IF(ISBLANK(INDIRECT("'"&amp;$A42&amp;"'!B34:G34")), "", INDIRECT("'"&amp;$A42&amp;"'!B34:G34"))</f>
        <v>0</v>
      </c>
      <c r="I42" s="194" t="str">
        <f ca="1"/>
        <v/>
      </c>
      <c r="J42" s="194">
        <f ca="1"/>
        <v>0</v>
      </c>
      <c r="K42" s="199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200" t="str">
        <v>Mahwah</v>
      </c>
      <c r="B43" s="201" t="str">
        <v>NJ</v>
      </c>
      <c r="C43" s="191" t="str" cm="1">
        <f t="array" aca="1" ref="C43:F43" ca="1">IF(ISBLANK(INDIRECT("'"&amp;$A43&amp;"'!B16:E16")), "", INDIRECT("'"&amp;$A43&amp;"'!B16:E16"))</f>
        <v/>
      </c>
      <c r="D43" s="191" t="str">
        <f ca="1"/>
        <v/>
      </c>
      <c r="E43" s="191">
        <f ca="1"/>
        <v>0</v>
      </c>
      <c r="F43" s="198" t="str">
        <f ca="1"/>
        <v>-</v>
      </c>
      <c r="G43" s="193"/>
      <c r="H43" s="194" cm="1">
        <f t="array" aca="1" ref="H43:M43" ca="1">IF(ISBLANK(INDIRECT("'"&amp;$A43&amp;"'!B34:G34")), "", INDIRECT("'"&amp;$A43&amp;"'!B34:G34"))</f>
        <v>0</v>
      </c>
      <c r="I43" s="194" t="str">
        <f ca="1"/>
        <v/>
      </c>
      <c r="J43" s="194">
        <f ca="1"/>
        <v>0</v>
      </c>
      <c r="K43" s="199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200" t="str">
        <v>Manchester Office</v>
      </c>
      <c r="B44" s="201" t="str">
        <v>NJ</v>
      </c>
      <c r="C44" s="191" t="str" cm="1">
        <f t="array" aca="1" ref="C44:F44" ca="1">IF(ISBLANK(INDIRECT("'"&amp;$A44&amp;"'!B16:E16")), "", INDIRECT("'"&amp;$A44&amp;"'!B16:E16"))</f>
        <v/>
      </c>
      <c r="D44" s="191" t="str">
        <f ca="1"/>
        <v/>
      </c>
      <c r="E44" s="191">
        <f ca="1"/>
        <v>0</v>
      </c>
      <c r="F44" s="198" t="str">
        <f ca="1"/>
        <v>-</v>
      </c>
      <c r="G44" s="193"/>
      <c r="H44" s="194" cm="1">
        <f t="array" aca="1" ref="H44:M44" ca="1">IF(ISBLANK(INDIRECT("'"&amp;$A44&amp;"'!B34:G34")), "", INDIRECT("'"&amp;$A44&amp;"'!B34:G34"))</f>
        <v>0</v>
      </c>
      <c r="I44" s="194" t="str">
        <f ca="1"/>
        <v/>
      </c>
      <c r="J44" s="194">
        <f ca="1"/>
        <v>0</v>
      </c>
      <c r="K44" s="199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200" t="str">
        <v>Marlton</v>
      </c>
      <c r="B45" s="201" t="str">
        <v>NJ</v>
      </c>
      <c r="C45" s="191" t="str" cm="1">
        <f t="array" aca="1" ref="C45:F45" ca="1">IF(ISBLANK(INDIRECT("'"&amp;$A45&amp;"'!B16:E16")), "", INDIRECT("'"&amp;$A45&amp;"'!B16:E16"))</f>
        <v/>
      </c>
      <c r="D45" s="191" t="str">
        <f ca="1"/>
        <v/>
      </c>
      <c r="E45" s="191">
        <f ca="1"/>
        <v>0</v>
      </c>
      <c r="F45" s="198" t="str">
        <f ca="1"/>
        <v>-</v>
      </c>
      <c r="G45" s="193"/>
      <c r="H45" s="194" cm="1">
        <f t="array" aca="1" ref="H45:M45" ca="1">IF(ISBLANK(INDIRECT("'"&amp;$A45&amp;"'!B34:G34")), "", INDIRECT("'"&amp;$A45&amp;"'!B34:G34"))</f>
        <v>0</v>
      </c>
      <c r="I45" s="194" t="str">
        <f ca="1"/>
        <v/>
      </c>
      <c r="J45" s="194">
        <f ca="1"/>
        <v>0</v>
      </c>
      <c r="K45" s="199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200" t="str">
        <v>Middletown</v>
      </c>
      <c r="B46" s="201" t="str">
        <v>NJ</v>
      </c>
      <c r="C46" s="191" t="str" cm="1">
        <f t="array" aca="1" ref="C46:F46" ca="1">IF(ISBLANK(INDIRECT("'"&amp;$A46&amp;"'!B16:E16")), "", INDIRECT("'"&amp;$A46&amp;"'!B16:E16"))</f>
        <v/>
      </c>
      <c r="D46" s="191" t="str">
        <f ca="1"/>
        <v/>
      </c>
      <c r="E46" s="191">
        <f ca="1"/>
        <v>0</v>
      </c>
      <c r="F46" s="198" t="str">
        <f ca="1"/>
        <v>-</v>
      </c>
      <c r="G46" s="193"/>
      <c r="H46" s="194" cm="1">
        <f t="array" aca="1" ref="H46:M46" ca="1">IF(ISBLANK(INDIRECT("'"&amp;$A46&amp;"'!B34:G34")), "", INDIRECT("'"&amp;$A46&amp;"'!B34:G34"))</f>
        <v>0</v>
      </c>
      <c r="I46" s="194" t="str">
        <f ca="1"/>
        <v/>
      </c>
      <c r="J46" s="194">
        <f ca="1"/>
        <v>0</v>
      </c>
      <c r="K46" s="199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200" t="str">
        <v>North Brunswick</v>
      </c>
      <c r="B47" s="201" t="str">
        <v>NJ</v>
      </c>
      <c r="C47" s="191" t="str" cm="1">
        <f t="array" aca="1" ref="C47:F47" ca="1">IF(ISBLANK(INDIRECT("'"&amp;$A47&amp;"'!B16:E16")), "", INDIRECT("'"&amp;$A47&amp;"'!B16:E16"))</f>
        <v/>
      </c>
      <c r="D47" s="191" t="str">
        <f ca="1"/>
        <v/>
      </c>
      <c r="E47" s="191">
        <f ca="1"/>
        <v>0</v>
      </c>
      <c r="F47" s="198" t="str">
        <f ca="1"/>
        <v>-</v>
      </c>
      <c r="G47" s="193"/>
      <c r="H47" s="194" cm="1">
        <f t="array" aca="1" ref="H47:M47" ca="1">IF(ISBLANK(INDIRECT("'"&amp;$A47&amp;"'!B34:G34")), "", INDIRECT("'"&amp;$A47&amp;"'!B34:G34"))</f>
        <v>0</v>
      </c>
      <c r="I47" s="194" t="str">
        <f ca="1"/>
        <v/>
      </c>
      <c r="J47" s="194">
        <f ca="1"/>
        <v>0</v>
      </c>
      <c r="K47" s="199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200" t="str">
        <v>North Elizabeth</v>
      </c>
      <c r="B48" s="201" t="str">
        <v>NJ</v>
      </c>
      <c r="C48" s="191" t="str" cm="1">
        <f t="array" aca="1" ref="C48:F48" ca="1">IF(ISBLANK(INDIRECT("'"&amp;$A48&amp;"'!B16:E16")), "", INDIRECT("'"&amp;$A48&amp;"'!B16:E16"))</f>
        <v/>
      </c>
      <c r="D48" s="191" t="str">
        <f ca="1"/>
        <v/>
      </c>
      <c r="E48" s="191">
        <f ca="1"/>
        <v>0</v>
      </c>
      <c r="F48" s="198" t="str">
        <f ca="1"/>
        <v>-</v>
      </c>
      <c r="G48" s="193"/>
      <c r="H48" s="194" cm="1">
        <f t="array" aca="1" ref="H48:M48" ca="1">IF(ISBLANK(INDIRECT("'"&amp;$A48&amp;"'!B34:G34")), "", INDIRECT("'"&amp;$A48&amp;"'!B34:G34"))</f>
        <v>0</v>
      </c>
      <c r="I48" s="194" t="str">
        <f ca="1"/>
        <v/>
      </c>
      <c r="J48" s="194">
        <f ca="1"/>
        <v>0</v>
      </c>
      <c r="K48" s="199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200" t="str">
        <v>Nutley</v>
      </c>
      <c r="B49" s="201" t="str">
        <v>NJ</v>
      </c>
      <c r="C49" s="191" t="str" cm="1">
        <f t="array" aca="1" ref="C49:F49" ca="1">IF(ISBLANK(INDIRECT("'"&amp;$A49&amp;"'!B16:E16")), "", INDIRECT("'"&amp;$A49&amp;"'!B16:E16"))</f>
        <v/>
      </c>
      <c r="D49" s="191" t="str">
        <f ca="1"/>
        <v/>
      </c>
      <c r="E49" s="191">
        <f ca="1"/>
        <v>0</v>
      </c>
      <c r="F49" s="198" t="str">
        <f ca="1"/>
        <v>-</v>
      </c>
      <c r="G49" s="193"/>
      <c r="H49" s="194" cm="1">
        <f t="array" aca="1" ref="H49:M49" ca="1">IF(ISBLANK(INDIRECT("'"&amp;$A49&amp;"'!B34:G34")), "", INDIRECT("'"&amp;$A49&amp;"'!B34:G34"))</f>
        <v>0</v>
      </c>
      <c r="I49" s="194" t="str">
        <f ca="1"/>
        <v/>
      </c>
      <c r="J49" s="194">
        <f ca="1"/>
        <v>0</v>
      </c>
      <c r="K49" s="199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200" t="str">
        <v>Parsippany Rt. 46</v>
      </c>
      <c r="B50" s="201" t="str">
        <v>NJ</v>
      </c>
      <c r="C50" s="191" t="str" cm="1">
        <f t="array" aca="1" ref="C50:F50" ca="1">IF(ISBLANK(INDIRECT("'"&amp;$A50&amp;"'!B16:E16")), "", INDIRECT("'"&amp;$A50&amp;"'!B16:E16"))</f>
        <v/>
      </c>
      <c r="D50" s="191" t="str">
        <f ca="1"/>
        <v/>
      </c>
      <c r="E50" s="191">
        <f ca="1"/>
        <v>0</v>
      </c>
      <c r="F50" s="198" t="str">
        <f ca="1"/>
        <v>-</v>
      </c>
      <c r="G50" s="193"/>
      <c r="H50" s="194" cm="1">
        <f t="array" aca="1" ref="H50:M50" ca="1">IF(ISBLANK(INDIRECT("'"&amp;$A50&amp;"'!B34:G34")), "", INDIRECT("'"&amp;$A50&amp;"'!B34:G34"))</f>
        <v>0</v>
      </c>
      <c r="I50" s="194" t="str">
        <f ca="1"/>
        <v/>
      </c>
      <c r="J50" s="194">
        <f ca="1"/>
        <v>0</v>
      </c>
      <c r="K50" s="199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200" t="str">
        <v>Rt. 22 Springfield</v>
      </c>
      <c r="B51" s="201" t="str">
        <v>NJ</v>
      </c>
      <c r="C51" s="191" t="str" cm="1">
        <f t="array" aca="1" ref="C51:F51" ca="1">IF(ISBLANK(INDIRECT("'"&amp;$A51&amp;"'!B16:E16")), "", INDIRECT("'"&amp;$A51&amp;"'!B16:E16"))</f>
        <v/>
      </c>
      <c r="D51" s="191" t="str">
        <f ca="1"/>
        <v/>
      </c>
      <c r="E51" s="191">
        <f ca="1"/>
        <v>0</v>
      </c>
      <c r="F51" s="198" t="str">
        <f ca="1"/>
        <v>-</v>
      </c>
      <c r="G51" s="193"/>
      <c r="H51" s="194" cm="1">
        <f t="array" aca="1" ref="H51:M51" ca="1">IF(ISBLANK(INDIRECT("'"&amp;$A51&amp;"'!B34:G34")), "", INDIRECT("'"&amp;$A51&amp;"'!B34:G34"))</f>
        <v>0</v>
      </c>
      <c r="I51" s="194" t="str">
        <f ca="1"/>
        <v/>
      </c>
      <c r="J51" s="194">
        <f ca="1"/>
        <v>0</v>
      </c>
      <c r="K51" s="199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200" t="str">
        <v>Somerset</v>
      </c>
      <c r="B52" s="201" t="str">
        <v>NJ</v>
      </c>
      <c r="C52" s="191" t="str" cm="1">
        <f t="array" aca="1" ref="C52:F52" ca="1">IF(ISBLANK(INDIRECT("'"&amp;$A52&amp;"'!B16:E16")), "", INDIRECT("'"&amp;$A52&amp;"'!B16:E16"))</f>
        <v/>
      </c>
      <c r="D52" s="191" t="str">
        <f ca="1"/>
        <v/>
      </c>
      <c r="E52" s="191">
        <f ca="1"/>
        <v>0</v>
      </c>
      <c r="F52" s="198" t="str">
        <f ca="1"/>
        <v>-</v>
      </c>
      <c r="G52" s="193"/>
      <c r="H52" s="194" cm="1">
        <f t="array" aca="1" ref="H52:M52" ca="1">IF(ISBLANK(INDIRECT("'"&amp;$A52&amp;"'!B34:G34")), "", INDIRECT("'"&amp;$A52&amp;"'!B34:G34"))</f>
        <v>0</v>
      </c>
      <c r="I52" s="194" t="str">
        <f ca="1"/>
        <v/>
      </c>
      <c r="J52" s="194">
        <f ca="1"/>
        <v>0</v>
      </c>
      <c r="K52" s="199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200" t="str">
        <v>South Plainfield</v>
      </c>
      <c r="B53" s="201" t="str">
        <v>NJ</v>
      </c>
      <c r="C53" s="191" t="str" cm="1">
        <f t="array" aca="1" ref="C53:F53" ca="1">IF(ISBLANK(INDIRECT("'"&amp;$A53&amp;"'!B16:E16")), "", INDIRECT("'"&amp;$A53&amp;"'!B16:E16"))</f>
        <v/>
      </c>
      <c r="D53" s="191" t="str">
        <f ca="1"/>
        <v/>
      </c>
      <c r="E53" s="191">
        <f ca="1"/>
        <v>0</v>
      </c>
      <c r="F53" s="198" t="str">
        <f ca="1"/>
        <v>-</v>
      </c>
      <c r="G53" s="193"/>
      <c r="H53" s="194" cm="1">
        <f t="array" aca="1" ref="H53:M53" ca="1">IF(ISBLANK(INDIRECT("'"&amp;$A53&amp;"'!B34:G34")), "", INDIRECT("'"&amp;$A53&amp;"'!B34:G34"))</f>
        <v>0</v>
      </c>
      <c r="I53" s="194" t="str">
        <f ca="1"/>
        <v/>
      </c>
      <c r="J53" s="194">
        <f ca="1"/>
        <v>0</v>
      </c>
      <c r="K53" s="199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200" t="str">
        <v>West Deptford Woodbury</v>
      </c>
      <c r="B54" s="201" t="str">
        <v>NJ</v>
      </c>
      <c r="C54" s="191" t="str" cm="1">
        <f t="array" aca="1" ref="C54:F54" ca="1">IF(ISBLANK(INDIRECT("'"&amp;$A54&amp;"'!B16:E16")), "", INDIRECT("'"&amp;$A54&amp;"'!B16:E16"))</f>
        <v/>
      </c>
      <c r="D54" s="191" t="str">
        <f ca="1"/>
        <v/>
      </c>
      <c r="E54" s="191">
        <f ca="1"/>
        <v>0</v>
      </c>
      <c r="F54" s="198" t="str">
        <f ca="1"/>
        <v>-</v>
      </c>
      <c r="G54" s="193"/>
      <c r="H54" s="194" cm="1">
        <f t="array" aca="1" ref="H54:M54" ca="1">IF(ISBLANK(INDIRECT("'"&amp;$A54&amp;"'!B34:G34")), "", INDIRECT("'"&amp;$A54&amp;"'!B34:G34"))</f>
        <v>0</v>
      </c>
      <c r="I54" s="194" t="str">
        <f ca="1"/>
        <v/>
      </c>
      <c r="J54" s="194">
        <f ca="1"/>
        <v>0</v>
      </c>
      <c r="K54" s="199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200" t="str">
        <v>Whiting</v>
      </c>
      <c r="B55" s="201" t="str">
        <v>NJ</v>
      </c>
      <c r="C55" s="191" t="str" cm="1">
        <f t="array" aca="1" ref="C55:F55" ca="1">IF(ISBLANK(INDIRECT("'"&amp;$A55&amp;"'!B16:E16")), "", INDIRECT("'"&amp;$A55&amp;"'!B16:E16"))</f>
        <v/>
      </c>
      <c r="D55" s="191" t="str">
        <f ca="1"/>
        <v/>
      </c>
      <c r="E55" s="191">
        <f ca="1"/>
        <v>0</v>
      </c>
      <c r="F55" s="202" t="str">
        <f ca="1"/>
        <v>-</v>
      </c>
      <c r="G55" s="193"/>
      <c r="H55" s="194" cm="1">
        <f t="array" aca="1" ref="H55:M55" ca="1">IF(ISBLANK(INDIRECT("'"&amp;$A55&amp;"'!B34:G34")), "", INDIRECT("'"&amp;$A55&amp;"'!B34:G34"))</f>
        <v>0</v>
      </c>
      <c r="I55" s="194" t="str">
        <f ca="1"/>
        <v/>
      </c>
      <c r="J55" s="194">
        <f ca="1"/>
        <v>0</v>
      </c>
      <c r="K55" s="203" t="str">
        <f ca="1"/>
        <v>-</v>
      </c>
      <c r="L55" s="165" t="str">
        <f ca="1"/>
        <v/>
      </c>
      <c r="M55" s="166" t="str">
        <f ca="1"/>
        <v/>
      </c>
    </row>
    <row r="56" spans="1:13" ht="13.5" customHeight="1">
      <c r="A56" s="200" t="str">
        <v>102 - San Antonio Ops</v>
      </c>
      <c r="B56" s="201" t="str">
        <v>TX</v>
      </c>
      <c r="C56" s="191" t="str" cm="1">
        <f t="array" aca="1" ref="C56:F56" ca="1">IF(ISBLANK(INDIRECT("'"&amp;$A56&amp;"'!B16:E16")), "", INDIRECT("'"&amp;$A56&amp;"'!B16:E16"))</f>
        <v/>
      </c>
      <c r="D56" s="204" t="str">
        <f ca="1"/>
        <v/>
      </c>
      <c r="E56" s="205">
        <f ca="1"/>
        <v>0</v>
      </c>
      <c r="F56" s="198" t="str">
        <f ca="1"/>
        <v>-</v>
      </c>
      <c r="G56" s="206"/>
      <c r="H56" s="194" cm="1">
        <f t="array" aca="1" ref="H56:M56" ca="1">IF(ISBLANK(INDIRECT("'"&amp;$A56&amp;"'!B34:G34")), "", INDIRECT("'"&amp;$A56&amp;"'!B34:G34"))</f>
        <v>0</v>
      </c>
      <c r="I56" s="194" t="str">
        <f ca="1"/>
        <v/>
      </c>
      <c r="J56" s="207">
        <f ca="1"/>
        <v>0</v>
      </c>
      <c r="K56" s="199" t="str">
        <f ca="1"/>
        <v>-</v>
      </c>
      <c r="L56" s="167" t="str">
        <f ca="1"/>
        <v/>
      </c>
      <c r="M56" s="166" t="str">
        <f ca="1"/>
        <v/>
      </c>
    </row>
    <row r="57" spans="1:13" ht="13.5" customHeight="1">
      <c r="A57" s="200" t="str">
        <v>104 - San Antonio Ops</v>
      </c>
      <c r="B57" s="201" t="str">
        <v>TX</v>
      </c>
      <c r="C57" s="191" t="str" cm="1">
        <f t="array" aca="1" ref="C57:F57" ca="1">IF(ISBLANK(INDIRECT("'"&amp;$A57&amp;"'!B16:E16")), "", INDIRECT("'"&amp;$A57&amp;"'!B16:E16"))</f>
        <v/>
      </c>
      <c r="D57" s="204" t="str">
        <f ca="1"/>
        <v/>
      </c>
      <c r="E57" s="205">
        <f ca="1"/>
        <v>0</v>
      </c>
      <c r="F57" s="198" t="str">
        <f ca="1"/>
        <v>-</v>
      </c>
      <c r="G57" s="206"/>
      <c r="H57" s="194" cm="1">
        <f t="array" aca="1" ref="H57:M57" ca="1">IF(ISBLANK(INDIRECT("'"&amp;$A57&amp;"'!B34:G34")), "", INDIRECT("'"&amp;$A57&amp;"'!B34:G34"))</f>
        <v>0</v>
      </c>
      <c r="I57" s="194" t="str">
        <f ca="1"/>
        <v/>
      </c>
      <c r="J57" s="194">
        <f ca="1"/>
        <v>0</v>
      </c>
      <c r="K57" s="199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200" t="str">
        <v>106 - San Antonio Ops</v>
      </c>
      <c r="B58" s="201" t="str">
        <v>TX</v>
      </c>
      <c r="C58" s="191" t="str" cm="1">
        <f t="array" aca="1" ref="C58:F58" ca="1">IF(ISBLANK(INDIRECT("'"&amp;$A58&amp;"'!B16:E16")), "", INDIRECT("'"&amp;$A58&amp;"'!B16:E16"))</f>
        <v/>
      </c>
      <c r="D58" s="204" t="str">
        <f ca="1"/>
        <v/>
      </c>
      <c r="E58" s="205">
        <f ca="1"/>
        <v>0</v>
      </c>
      <c r="F58" s="198" t="str">
        <f ca="1"/>
        <v>-</v>
      </c>
      <c r="G58" s="206"/>
      <c r="H58" s="194" cm="1">
        <f t="array" aca="1" ref="H58:M58" ca="1">IF(ISBLANK(INDIRECT("'"&amp;$A58&amp;"'!B34:G34")), "", INDIRECT("'"&amp;$A58&amp;"'!B34:G34"))</f>
        <v>0</v>
      </c>
      <c r="I58" s="194" t="str">
        <f ca="1"/>
        <v/>
      </c>
      <c r="J58" s="207">
        <f ca="1"/>
        <v>0</v>
      </c>
      <c r="K58" s="199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200" t="str">
        <v>201 - San Antonio Ops</v>
      </c>
      <c r="B59" s="201" t="str">
        <v>TX</v>
      </c>
      <c r="C59" s="191" t="str" cm="1">
        <f t="array" aca="1" ref="C59:F59" ca="1">IF(ISBLANK(INDIRECT("'"&amp;$A59&amp;"'!B16:E16")), "", INDIRECT("'"&amp;$A59&amp;"'!B16:E16"))</f>
        <v/>
      </c>
      <c r="D59" s="204" t="str">
        <f ca="1"/>
        <v/>
      </c>
      <c r="E59" s="205">
        <f ca="1"/>
        <v>0</v>
      </c>
      <c r="F59" s="198" t="str">
        <f ca="1"/>
        <v>-</v>
      </c>
      <c r="G59" s="206"/>
      <c r="H59" s="194" cm="1">
        <f t="array" aca="1" ref="H59:M59" ca="1">IF(ISBLANK(INDIRECT("'"&amp;$A59&amp;"'!B34:G34")), "", INDIRECT("'"&amp;$A59&amp;"'!B34:G34"))</f>
        <v>0</v>
      </c>
      <c r="I59" s="194" t="str">
        <f ca="1"/>
        <v/>
      </c>
      <c r="J59" s="194">
        <f ca="1"/>
        <v>0</v>
      </c>
      <c r="K59" s="199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200" t="str">
        <v>203 - San Antonio Ops</v>
      </c>
      <c r="B60" s="201" t="str">
        <v>TX</v>
      </c>
      <c r="C60" s="191" t="str" cm="1">
        <f t="array" aca="1" ref="C60:F60" ca="1">IF(ISBLANK(INDIRECT("'"&amp;$A60&amp;"'!B16:E16")), "", INDIRECT("'"&amp;$A60&amp;"'!B16:E16"))</f>
        <v/>
      </c>
      <c r="D60" s="204" t="str">
        <f ca="1"/>
        <v/>
      </c>
      <c r="E60" s="205">
        <f ca="1"/>
        <v>0</v>
      </c>
      <c r="F60" s="198" t="str">
        <f ca="1"/>
        <v>-</v>
      </c>
      <c r="G60" s="206"/>
      <c r="H60" s="194" cm="1">
        <f t="array" aca="1" ref="H60:M60" ca="1">IF(ISBLANK(INDIRECT("'"&amp;$A60&amp;"'!B34:G34")), "", INDIRECT("'"&amp;$A60&amp;"'!B34:G34"))</f>
        <v>0</v>
      </c>
      <c r="I60" s="194" t="str">
        <f ca="1"/>
        <v/>
      </c>
      <c r="J60" s="207">
        <f ca="1"/>
        <v>0</v>
      </c>
      <c r="K60" s="199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200" t="str">
        <v>205 - San Antonio Ops</v>
      </c>
      <c r="B61" s="201" t="str">
        <v>TX</v>
      </c>
      <c r="C61" s="191" t="str" cm="1">
        <f t="array" aca="1" ref="C61:F61" ca="1">IF(ISBLANK(INDIRECT("'"&amp;$A61&amp;"'!B16:E16")), "", INDIRECT("'"&amp;$A61&amp;"'!B16:E16"))</f>
        <v/>
      </c>
      <c r="D61" s="204" t="str">
        <f ca="1"/>
        <v/>
      </c>
      <c r="E61" s="205">
        <f ca="1"/>
        <v>0</v>
      </c>
      <c r="F61" s="198" t="str">
        <f ca="1"/>
        <v>-</v>
      </c>
      <c r="G61" s="206"/>
      <c r="H61" s="194" cm="1">
        <f t="array" aca="1" ref="H61:M61" ca="1">IF(ISBLANK(INDIRECT("'"&amp;$A61&amp;"'!B34:G34")), "", INDIRECT("'"&amp;$A61&amp;"'!B34:G34"))</f>
        <v>0</v>
      </c>
      <c r="I61" s="194" t="str">
        <f ca="1"/>
        <v/>
      </c>
      <c r="J61" s="194">
        <f ca="1"/>
        <v>0</v>
      </c>
      <c r="K61" s="199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200" t="str">
        <v>307 - San Antonio Ops</v>
      </c>
      <c r="B62" s="201" t="str">
        <v>TX</v>
      </c>
      <c r="C62" s="191" t="str" cm="1">
        <f t="array" aca="1" ref="C62:F62" ca="1">IF(ISBLANK(INDIRECT("'"&amp;$A62&amp;"'!B16:E16")), "", INDIRECT("'"&amp;$A62&amp;"'!B16:E16"))</f>
        <v/>
      </c>
      <c r="D62" s="204" t="str">
        <f ca="1"/>
        <v/>
      </c>
      <c r="E62" s="205">
        <f ca="1"/>
        <v>0</v>
      </c>
      <c r="F62" s="198" t="str">
        <f ca="1"/>
        <v>-</v>
      </c>
      <c r="G62" s="206"/>
      <c r="H62" s="194" cm="1">
        <f t="array" aca="1" ref="H62:M62" ca="1">IF(ISBLANK(INDIRECT("'"&amp;$A62&amp;"'!B34:G34")), "", INDIRECT("'"&amp;$A62&amp;"'!B34:G34"))</f>
        <v>0</v>
      </c>
      <c r="I62" s="194" t="str">
        <f ca="1"/>
        <v/>
      </c>
      <c r="J62" s="207">
        <f ca="1"/>
        <v>0</v>
      </c>
      <c r="K62" s="199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200" t="str">
        <v>308 - San Antonio Ops</v>
      </c>
      <c r="B63" s="201" t="str">
        <v>TX</v>
      </c>
      <c r="C63" s="191" t="str" cm="1">
        <f t="array" aca="1" ref="C63:F63" ca="1">IF(ISBLANK(INDIRECT("'"&amp;$A63&amp;"'!B16:E16")), "", INDIRECT("'"&amp;$A63&amp;"'!B16:E16"))</f>
        <v/>
      </c>
      <c r="D63" s="204" t="str">
        <f ca="1"/>
        <v/>
      </c>
      <c r="E63" s="205">
        <f ca="1"/>
        <v>0</v>
      </c>
      <c r="F63" s="198" t="str">
        <f ca="1"/>
        <v>-</v>
      </c>
      <c r="G63" s="206"/>
      <c r="H63" s="194" cm="1">
        <f t="array" aca="1" ref="H63:M63" ca="1">IF(ISBLANK(INDIRECT("'"&amp;$A63&amp;"'!B34:G34")), "", INDIRECT("'"&amp;$A63&amp;"'!B34:G34"))</f>
        <v>0</v>
      </c>
      <c r="I63" s="194" t="str">
        <f ca="1"/>
        <v/>
      </c>
      <c r="J63" s="194">
        <f ca="1"/>
        <v>0</v>
      </c>
      <c r="K63" s="199" t="str">
        <f ca="1"/>
        <v>-</v>
      </c>
      <c r="L63" s="167" t="str">
        <f ca="1"/>
        <v/>
      </c>
      <c r="M63" s="166" t="str">
        <f ca="1"/>
        <v/>
      </c>
    </row>
    <row r="64" spans="1:13" ht="40.35" customHeight="1" thickBot="1">
      <c r="A64" s="200" t="str">
        <v>GM - San Antonio Ops</v>
      </c>
      <c r="B64" s="201" t="str">
        <v>TX</v>
      </c>
      <c r="C64" s="191" t="str" cm="1">
        <f t="array" aca="1" ref="C64:F64" ca="1">IF(ISBLANK(INDIRECT("'"&amp;$A64&amp;"'!B16:E16")), "", INDIRECT("'"&amp;$A64&amp;"'!B16:E16"))</f>
        <v/>
      </c>
      <c r="D64" s="204" t="str">
        <f ca="1"/>
        <v/>
      </c>
      <c r="E64" s="205">
        <f ca="1"/>
        <v>0</v>
      </c>
      <c r="F64" s="198" t="str">
        <f ca="1"/>
        <v>-</v>
      </c>
      <c r="G64" s="206"/>
      <c r="H64" s="194" cm="1">
        <f t="array" aca="1" ref="H64:M64" ca="1">IF(ISBLANK(INDIRECT("'"&amp;$A64&amp;"'!B34:G34")), "", INDIRECT("'"&amp;$A64&amp;"'!B34:G34"))</f>
        <v>0</v>
      </c>
      <c r="I64" s="194" t="str">
        <f ca="1"/>
        <v/>
      </c>
      <c r="J64" s="207">
        <f ca="1"/>
        <v>0</v>
      </c>
      <c r="K64" s="199" t="str">
        <f ca="1"/>
        <v>-</v>
      </c>
      <c r="L64" s="167" t="str">
        <f ca="1"/>
        <v/>
      </c>
      <c r="M64" s="165" t="str">
        <f ca="1"/>
        <v/>
      </c>
    </row>
    <row r="65" spans="1:12" ht="15" thickBot="1">
      <c r="A65" s="248" t="s">
        <v>11</v>
      </c>
      <c r="B65" s="249"/>
      <c r="C65" s="210">
        <f ca="1">SUM(C3:C64)</f>
        <v>0</v>
      </c>
      <c r="D65" s="210">
        <f ca="1">SUM(D3:D64)</f>
        <v>0</v>
      </c>
      <c r="E65" s="210">
        <f ca="1">C65-D65</f>
        <v>0</v>
      </c>
      <c r="F65" s="211" t="str">
        <f ca="1">IFERROR(E65/D65, "-")</f>
        <v>-</v>
      </c>
      <c r="G65" s="212"/>
      <c r="H65" s="210">
        <f ca="1">C65</f>
        <v>0</v>
      </c>
      <c r="I65" s="210">
        <f ca="1">SUM(I3:I64)</f>
        <v>0</v>
      </c>
      <c r="J65" s="213">
        <f ca="1">H65-I65</f>
        <v>0</v>
      </c>
      <c r="K65" s="211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13" priority="3" operator="equal">
      <formula>"-"</formula>
    </cfRule>
  </conditionalFormatting>
  <conditionalFormatting sqref="F3:F65 K3:K65">
    <cfRule type="cellIs" dxfId="12" priority="4" operator="lessThanOrEqual">
      <formula>-0.1</formula>
    </cfRule>
    <cfRule type="cellIs" dxfId="11" priority="5" operator="greaterThanOrEqual">
      <formula>0.1</formula>
    </cfRule>
  </conditionalFormatting>
  <conditionalFormatting sqref="F65 K65">
    <cfRule type="cellIs" dxfId="10" priority="1" operator="equal">
      <formula>"-"</formula>
    </cfRule>
  </conditionalFormatting>
  <conditionalFormatting sqref="K3:K64">
    <cfRule type="cellIs" dxfId="9" priority="2" operator="equal">
      <formula>"-"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65"/>
  <sheetViews>
    <sheetView workbookViewId="0">
      <pane ySplit="2" topLeftCell="A3" activePane="bottomLeft" state="frozen"/>
      <selection pane="bottomLeft" activeCell="I3" sqref="I3"/>
      <selection activeCell="L53" sqref="L53"/>
    </sheetView>
  </sheetViews>
  <sheetFormatPr defaultRowHeight="13.15"/>
  <cols>
    <col min="1" max="1" width="29.5703125" customWidth="1"/>
    <col min="2" max="2" width="5.85546875" bestFit="1" customWidth="1"/>
    <col min="3" max="5" width="11.85546875" customWidth="1"/>
    <col min="6" max="6" width="9.85546875" style="8" customWidth="1"/>
    <col min="7" max="7" width="3" customWidth="1"/>
    <col min="8" max="10" width="11.85546875" customWidth="1"/>
    <col min="11" max="11" width="9.42578125" style="8" customWidth="1"/>
    <col min="12" max="12" width="45.140625" customWidth="1"/>
    <col min="13" max="13" width="12.140625" customWidth="1"/>
  </cols>
  <sheetData>
    <row r="1" spans="1:13" ht="19.5" customHeight="1">
      <c r="A1" s="244" t="s">
        <v>0</v>
      </c>
      <c r="B1" s="245"/>
      <c r="C1" s="238" t="s">
        <v>45</v>
      </c>
      <c r="D1" s="239"/>
      <c r="E1" s="239"/>
      <c r="F1" s="240"/>
      <c r="G1" s="45"/>
      <c r="H1" s="241" t="s">
        <v>46</v>
      </c>
      <c r="I1" s="242"/>
      <c r="J1" s="242"/>
      <c r="K1" s="243"/>
      <c r="L1" s="246" t="s">
        <v>22</v>
      </c>
      <c r="M1" s="228" t="s">
        <v>23</v>
      </c>
    </row>
    <row r="2" spans="1:13" ht="13.9" thickBot="1">
      <c r="A2" s="41" t="s">
        <v>24</v>
      </c>
      <c r="B2" s="41" t="s">
        <v>3</v>
      </c>
      <c r="C2" s="36" t="s">
        <v>4</v>
      </c>
      <c r="D2" s="36" t="s">
        <v>5</v>
      </c>
      <c r="E2" s="36" t="s">
        <v>6</v>
      </c>
      <c r="F2" s="37" t="s">
        <v>7</v>
      </c>
      <c r="G2" s="44"/>
      <c r="H2" s="38" t="s">
        <v>4</v>
      </c>
      <c r="I2" s="38" t="s">
        <v>8</v>
      </c>
      <c r="J2" s="39" t="s">
        <v>6</v>
      </c>
      <c r="K2" s="40" t="s">
        <v>7</v>
      </c>
      <c r="L2" s="247"/>
      <c r="M2" s="229"/>
    </row>
    <row r="3" spans="1:13" ht="14.45">
      <c r="A3" s="42" t="str" cm="1">
        <f t="array" ref="A3:A64">Sites[Site]</f>
        <v>Adams &amp; Broadway</v>
      </c>
      <c r="B3" s="43" t="str" cm="1">
        <f t="array" ref="B3:B64">Sites[State]</f>
        <v>CA</v>
      </c>
      <c r="C3" s="146" t="str" cm="1">
        <f t="array" aca="1" ref="C3:F3" ca="1">IF(ISBLANK(INDIRECT("'"&amp;$A3&amp;"'!B17:E17")), "", INDIRECT("'"&amp;$A3&amp;"'!B17:E17"))</f>
        <v/>
      </c>
      <c r="D3" s="146" t="str">
        <f ca="1"/>
        <v/>
      </c>
      <c r="E3" s="146">
        <f ca="1"/>
        <v>0</v>
      </c>
      <c r="F3" s="147" t="str">
        <f ca="1"/>
        <v>-</v>
      </c>
      <c r="G3" s="148"/>
      <c r="H3" s="149" cm="1">
        <f t="array" aca="1" ref="H3:M3" ca="1">IF(ISBLANK(INDIRECT("'"&amp;$A3&amp;"'!B35:G35")), "", INDIRECT("'"&amp;$A3&amp;"'!B35:G35"))</f>
        <v>0</v>
      </c>
      <c r="I3" s="149" t="str">
        <f ca="1"/>
        <v/>
      </c>
      <c r="J3" s="149">
        <f ca="1"/>
        <v>0</v>
      </c>
      <c r="K3" s="150" t="str">
        <f ca="1"/>
        <v>-</v>
      </c>
      <c r="L3" s="163" t="str">
        <f ca="1"/>
        <v/>
      </c>
      <c r="M3" s="164" t="str">
        <f ca="1"/>
        <v/>
      </c>
    </row>
    <row r="4" spans="1:13" ht="14.45">
      <c r="A4" s="27" t="str">
        <v>Otay Mesa</v>
      </c>
      <c r="B4" s="32" t="str">
        <v>CA</v>
      </c>
      <c r="C4" s="146" t="str" cm="1">
        <f t="array" aca="1" ref="C4:F4" ca="1">IF(ISBLANK(INDIRECT("'"&amp;$A4&amp;"'!B17:E17")), "", INDIRECT("'"&amp;$A4&amp;"'!B17:E17"))</f>
        <v/>
      </c>
      <c r="D4" s="146" t="str">
        <f ca="1"/>
        <v/>
      </c>
      <c r="E4" s="146">
        <f ca="1"/>
        <v>0</v>
      </c>
      <c r="F4" s="141" t="str">
        <f ca="1"/>
        <v>-</v>
      </c>
      <c r="G4" s="148"/>
      <c r="H4" s="149" cm="1">
        <f t="array" aca="1" ref="H4:M4" ca="1">IF(ISBLANK(INDIRECT("'"&amp;$A4&amp;"'!B35:G35")), "", INDIRECT("'"&amp;$A4&amp;"'!B35:G35"))</f>
        <v>0</v>
      </c>
      <c r="I4" s="149" t="str">
        <f ca="1"/>
        <v/>
      </c>
      <c r="J4" s="149">
        <f ca="1"/>
        <v>0</v>
      </c>
      <c r="K4" s="151" t="str">
        <f ca="1"/>
        <v>-</v>
      </c>
      <c r="L4" s="165" t="str">
        <f ca="1"/>
        <v/>
      </c>
      <c r="M4" s="166" t="str">
        <f ca="1"/>
        <v/>
      </c>
    </row>
    <row r="5" spans="1:13" ht="14.45">
      <c r="A5" s="27" t="str">
        <v>San Leandro Ops Center</v>
      </c>
      <c r="B5" s="32" t="str">
        <v>CA</v>
      </c>
      <c r="C5" s="146" t="str" cm="1">
        <f t="array" aca="1" ref="C5:F5" ca="1">IF(ISBLANK(INDIRECT("'"&amp;$A5&amp;"'!B17:E17")), "", INDIRECT("'"&amp;$A5&amp;"'!B17:E17"))</f>
        <v/>
      </c>
      <c r="D5" s="146" t="str">
        <f ca="1"/>
        <v/>
      </c>
      <c r="E5" s="146">
        <f ca="1"/>
        <v>0</v>
      </c>
      <c r="F5" s="141" t="str">
        <f ca="1"/>
        <v>-</v>
      </c>
      <c r="G5" s="148"/>
      <c r="H5" s="149" cm="1">
        <f t="array" aca="1" ref="H5:M5" ca="1">IF(ISBLANK(INDIRECT("'"&amp;$A5&amp;"'!B35:G35")), "", INDIRECT("'"&amp;$A5&amp;"'!B35:G35"))</f>
        <v>0</v>
      </c>
      <c r="I5" s="149" t="str">
        <f ca="1"/>
        <v/>
      </c>
      <c r="J5" s="149">
        <f ca="1"/>
        <v>0</v>
      </c>
      <c r="K5" s="151" t="str">
        <f ca="1"/>
        <v>-</v>
      </c>
      <c r="L5" s="165" t="str">
        <f ca="1"/>
        <v/>
      </c>
      <c r="M5" s="166" t="str">
        <f ca="1"/>
        <v/>
      </c>
    </row>
    <row r="6" spans="1:13" ht="14.45">
      <c r="A6" s="27" t="str">
        <v>Van Nuys</v>
      </c>
      <c r="B6" s="32" t="str">
        <v>CA</v>
      </c>
      <c r="C6" s="146" t="str" cm="1">
        <f t="array" aca="1" ref="C6:F6" ca="1">IF(ISBLANK(INDIRECT("'"&amp;$A6&amp;"'!B17:E17")), "", INDIRECT("'"&amp;$A6&amp;"'!B17:E17"))</f>
        <v/>
      </c>
      <c r="D6" s="146" t="str">
        <f ca="1"/>
        <v/>
      </c>
      <c r="E6" s="146">
        <f ca="1"/>
        <v>0</v>
      </c>
      <c r="F6" s="141" t="str">
        <f ca="1"/>
        <v>-</v>
      </c>
      <c r="G6" s="148"/>
      <c r="H6" s="149" cm="1">
        <f t="array" aca="1" ref="H6:M6" ca="1">IF(ISBLANK(INDIRECT("'"&amp;$A6&amp;"'!B35:G35")), "", INDIRECT("'"&amp;$A6&amp;"'!B35:G35"))</f>
        <v>0</v>
      </c>
      <c r="I6" s="149" t="str">
        <f ca="1"/>
        <v/>
      </c>
      <c r="J6" s="149">
        <f ca="1"/>
        <v>0</v>
      </c>
      <c r="K6" s="151" t="str">
        <f ca="1"/>
        <v>-</v>
      </c>
      <c r="L6" s="165" t="str">
        <f ca="1"/>
        <v/>
      </c>
      <c r="M6" s="166" t="str">
        <f ca="1"/>
        <v/>
      </c>
    </row>
    <row r="7" spans="1:13" ht="14.45">
      <c r="A7" s="27" t="str">
        <v>98th &amp; Grant</v>
      </c>
      <c r="B7" s="32" t="str">
        <v>CO</v>
      </c>
      <c r="C7" s="146" t="str" cm="1">
        <f t="array" aca="1" ref="C7:F7" ca="1">IF(ISBLANK(INDIRECT("'"&amp;$A7&amp;"'!B17:E17")), "", INDIRECT("'"&amp;$A7&amp;"'!B17:E17"))</f>
        <v/>
      </c>
      <c r="D7" s="146" t="str">
        <f ca="1"/>
        <v/>
      </c>
      <c r="E7" s="146">
        <f ca="1"/>
        <v>0</v>
      </c>
      <c r="F7" s="141" t="str">
        <f ca="1"/>
        <v>-</v>
      </c>
      <c r="G7" s="148"/>
      <c r="H7" s="149" cm="1">
        <f t="array" aca="1" ref="H7:M7" ca="1">IF(ISBLANK(INDIRECT("'"&amp;$A7&amp;"'!B35:G35")), "", INDIRECT("'"&amp;$A7&amp;"'!B35:G35"))</f>
        <v>0</v>
      </c>
      <c r="I7" s="149" t="str">
        <f ca="1"/>
        <v/>
      </c>
      <c r="J7" s="149">
        <f ca="1"/>
        <v>0</v>
      </c>
      <c r="K7" s="151" t="str">
        <f ca="1"/>
        <v>-</v>
      </c>
      <c r="L7" s="165" t="str">
        <f ca="1"/>
        <v/>
      </c>
      <c r="M7" s="166" t="str">
        <f ca="1"/>
        <v/>
      </c>
    </row>
    <row r="8" spans="1:13" ht="14.45">
      <c r="A8" s="27" t="str">
        <v>Arapahoe Crossings</v>
      </c>
      <c r="B8" s="32" t="str">
        <v>CO</v>
      </c>
      <c r="C8" s="146" t="str" cm="1">
        <f t="array" aca="1" ref="C8:F8" ca="1">IF(ISBLANK(INDIRECT("'"&amp;$A8&amp;"'!B17:E17")), "", INDIRECT("'"&amp;$A8&amp;"'!B17:E17"))</f>
        <v/>
      </c>
      <c r="D8" s="146" t="str">
        <f ca="1"/>
        <v/>
      </c>
      <c r="E8" s="146">
        <f ca="1"/>
        <v>0</v>
      </c>
      <c r="F8" s="141" t="str">
        <f ca="1"/>
        <v>-</v>
      </c>
      <c r="G8" s="148"/>
      <c r="H8" s="149" cm="1">
        <f t="array" aca="1" ref="H8:M8" ca="1">IF(ISBLANK(INDIRECT("'"&amp;$A8&amp;"'!B35:G35")), "", INDIRECT("'"&amp;$A8&amp;"'!B35:G35"))</f>
        <v>0</v>
      </c>
      <c r="I8" s="149" t="str">
        <f ca="1"/>
        <v/>
      </c>
      <c r="J8" s="149">
        <f ca="1"/>
        <v>0</v>
      </c>
      <c r="K8" s="151" t="str">
        <f ca="1"/>
        <v>-</v>
      </c>
      <c r="L8" s="165" t="str">
        <f ca="1"/>
        <v/>
      </c>
      <c r="M8" s="166" t="str">
        <f ca="1"/>
        <v/>
      </c>
    </row>
    <row r="9" spans="1:13" ht="14.45">
      <c r="A9" s="27" t="str">
        <v>Aurora City Center</v>
      </c>
      <c r="B9" s="32" t="str">
        <v>CO</v>
      </c>
      <c r="C9" s="146" t="str" cm="1">
        <f t="array" aca="1" ref="C9:F9" ca="1">IF(ISBLANK(INDIRECT("'"&amp;$A9&amp;"'!B17:E17")), "", INDIRECT("'"&amp;$A9&amp;"'!B17:E17"))</f>
        <v/>
      </c>
      <c r="D9" s="146" t="str">
        <f ca="1"/>
        <v/>
      </c>
      <c r="E9" s="146">
        <f ca="1"/>
        <v>0</v>
      </c>
      <c r="F9" s="141" t="str">
        <f ca="1"/>
        <v>-</v>
      </c>
      <c r="G9" s="148"/>
      <c r="H9" s="149" cm="1">
        <f t="array" aca="1" ref="H9:M9" ca="1">IF(ISBLANK(INDIRECT("'"&amp;$A9&amp;"'!B35:G35")), "", INDIRECT("'"&amp;$A9&amp;"'!B35:G35"))</f>
        <v>0</v>
      </c>
      <c r="I9" s="149" t="str">
        <f ca="1"/>
        <v/>
      </c>
      <c r="J9" s="149">
        <f ca="1"/>
        <v>0</v>
      </c>
      <c r="K9" s="151" t="str">
        <f ca="1"/>
        <v>-</v>
      </c>
      <c r="L9" s="165" t="str">
        <f ca="1"/>
        <v/>
      </c>
      <c r="M9" s="166" t="str">
        <f ca="1"/>
        <v/>
      </c>
    </row>
    <row r="10" spans="1:13" ht="14.45">
      <c r="A10" s="27" t="str">
        <v>Dry Creek</v>
      </c>
      <c r="B10" s="32" t="str">
        <v>CO</v>
      </c>
      <c r="C10" s="146" t="str" cm="1">
        <f t="array" aca="1" ref="C10:F10" ca="1">IF(ISBLANK(INDIRECT("'"&amp;$A10&amp;"'!B17:E17")), "", INDIRECT("'"&amp;$A10&amp;"'!B17:E17"))</f>
        <v/>
      </c>
      <c r="D10" s="146" t="str">
        <f ca="1"/>
        <v/>
      </c>
      <c r="E10" s="146">
        <f ca="1"/>
        <v>0</v>
      </c>
      <c r="F10" s="141" t="str">
        <f ca="1"/>
        <v>-</v>
      </c>
      <c r="G10" s="148"/>
      <c r="H10" s="149" cm="1">
        <f t="array" aca="1" ref="H10:M10" ca="1">IF(ISBLANK(INDIRECT("'"&amp;$A10&amp;"'!B35:G35")), "", INDIRECT("'"&amp;$A10&amp;"'!B35:G35"))</f>
        <v>0</v>
      </c>
      <c r="I10" s="149" t="str">
        <f ca="1"/>
        <v/>
      </c>
      <c r="J10" s="149">
        <f ca="1"/>
        <v>0</v>
      </c>
      <c r="K10" s="151" t="str">
        <f ca="1"/>
        <v>-</v>
      </c>
      <c r="L10" s="165" t="str">
        <f ca="1"/>
        <v/>
      </c>
      <c r="M10" s="166" t="str">
        <f ca="1"/>
        <v/>
      </c>
    </row>
    <row r="11" spans="1:13" ht="14.45">
      <c r="A11" s="27" t="str">
        <v>Havana Gardens</v>
      </c>
      <c r="B11" s="32" t="str">
        <v>CO</v>
      </c>
      <c r="C11" s="146" t="str" cm="1">
        <f t="array" aca="1" ref="C11:F11" ca="1">IF(ISBLANK(INDIRECT("'"&amp;$A11&amp;"'!B17:E17")), "", INDIRECT("'"&amp;$A11&amp;"'!B17:E17"))</f>
        <v/>
      </c>
      <c r="D11" s="146" t="str">
        <f ca="1"/>
        <v/>
      </c>
      <c r="E11" s="146">
        <f ca="1"/>
        <v>0</v>
      </c>
      <c r="F11" s="141" t="str">
        <f ca="1"/>
        <v>-</v>
      </c>
      <c r="G11" s="148"/>
      <c r="H11" s="149" cm="1">
        <f t="array" aca="1" ref="H11:M11" ca="1">IF(ISBLANK(INDIRECT("'"&amp;$A11&amp;"'!B35:G35")), "", INDIRECT("'"&amp;$A11&amp;"'!B35:G35"))</f>
        <v>0</v>
      </c>
      <c r="I11" s="149" t="str">
        <f ca="1"/>
        <v/>
      </c>
      <c r="J11" s="149">
        <f ca="1"/>
        <v>0</v>
      </c>
      <c r="K11" s="151" t="str">
        <f ca="1"/>
        <v>-</v>
      </c>
      <c r="L11" s="165" t="str">
        <f ca="1"/>
        <v/>
      </c>
      <c r="M11" s="166" t="str">
        <f ca="1"/>
        <v/>
      </c>
    </row>
    <row r="12" spans="1:13" ht="14.45">
      <c r="A12" s="27" t="str">
        <v>Highlands Ranch South</v>
      </c>
      <c r="B12" s="32" t="str">
        <v>CO</v>
      </c>
      <c r="C12" s="146" t="str" cm="1">
        <f t="array" aca="1" ref="C12:F12" ca="1">IF(ISBLANK(INDIRECT("'"&amp;$A12&amp;"'!B17:E17")), "", INDIRECT("'"&amp;$A12&amp;"'!B17:E17"))</f>
        <v/>
      </c>
      <c r="D12" s="146" t="str">
        <f ca="1"/>
        <v/>
      </c>
      <c r="E12" s="146">
        <f ca="1"/>
        <v>0</v>
      </c>
      <c r="F12" s="141" t="str">
        <f ca="1"/>
        <v>-</v>
      </c>
      <c r="G12" s="148"/>
      <c r="H12" s="149" cm="1">
        <f t="array" aca="1" ref="H12:M12" ca="1">IF(ISBLANK(INDIRECT("'"&amp;$A12&amp;"'!B35:G35")), "", INDIRECT("'"&amp;$A12&amp;"'!B35:G35"))</f>
        <v>0</v>
      </c>
      <c r="I12" s="149" t="str">
        <f ca="1"/>
        <v/>
      </c>
      <c r="J12" s="149">
        <f ca="1"/>
        <v>0</v>
      </c>
      <c r="K12" s="151" t="str">
        <f ca="1"/>
        <v>-</v>
      </c>
      <c r="L12" s="165" t="str">
        <f ca="1"/>
        <v/>
      </c>
      <c r="M12" s="166" t="str">
        <f ca="1"/>
        <v/>
      </c>
    </row>
    <row r="13" spans="1:13" ht="14.45">
      <c r="A13" s="27" t="str">
        <v>Lone Tree</v>
      </c>
      <c r="B13" s="32" t="str">
        <v>CO</v>
      </c>
      <c r="C13" s="146" t="str" cm="1">
        <f t="array" aca="1" ref="C13:F13" ca="1">IF(ISBLANK(INDIRECT("'"&amp;$A13&amp;"'!B17:E17")), "", INDIRECT("'"&amp;$A13&amp;"'!B17:E17"))</f>
        <v/>
      </c>
      <c r="D13" s="146" t="str">
        <f ca="1"/>
        <v/>
      </c>
      <c r="E13" s="146">
        <f ca="1"/>
        <v>0</v>
      </c>
      <c r="F13" s="141" t="str">
        <f ca="1"/>
        <v>-</v>
      </c>
      <c r="G13" s="148"/>
      <c r="H13" s="149" cm="1">
        <f t="array" aca="1" ref="H13:M13" ca="1">IF(ISBLANK(INDIRECT("'"&amp;$A13&amp;"'!B35:G35")), "", INDIRECT("'"&amp;$A13&amp;"'!B35:G35"))</f>
        <v>0</v>
      </c>
      <c r="I13" s="149" t="str">
        <f ca="1"/>
        <v/>
      </c>
      <c r="J13" s="149">
        <f ca="1"/>
        <v>0</v>
      </c>
      <c r="K13" s="151" t="str">
        <f ca="1"/>
        <v>-</v>
      </c>
      <c r="L13" s="165" t="str">
        <f ca="1"/>
        <v/>
      </c>
      <c r="M13" s="166" t="str">
        <f ca="1"/>
        <v/>
      </c>
    </row>
    <row r="14" spans="1:13" ht="14.45">
      <c r="A14" s="27" t="str">
        <v>Meridian</v>
      </c>
      <c r="B14" s="32" t="str">
        <v>CO</v>
      </c>
      <c r="C14" s="146" t="str" cm="1">
        <f t="array" aca="1" ref="C14:F14" ca="1">IF(ISBLANK(INDIRECT("'"&amp;$A14&amp;"'!B17:E17")), "", INDIRECT("'"&amp;$A14&amp;"'!B17:E17"))</f>
        <v/>
      </c>
      <c r="D14" s="146" t="str">
        <f ca="1"/>
        <v/>
      </c>
      <c r="E14" s="146">
        <f ca="1"/>
        <v>0</v>
      </c>
      <c r="F14" s="141" t="str">
        <f ca="1"/>
        <v>-</v>
      </c>
      <c r="G14" s="148"/>
      <c r="H14" s="149" cm="1">
        <f t="array" aca="1" ref="H14:M14" ca="1">IF(ISBLANK(INDIRECT("'"&amp;$A14&amp;"'!B35:G35")), "", INDIRECT("'"&amp;$A14&amp;"'!B35:G35"))</f>
        <v>0</v>
      </c>
      <c r="I14" s="149" t="str">
        <f ca="1"/>
        <v/>
      </c>
      <c r="J14" s="149">
        <f ca="1"/>
        <v>0</v>
      </c>
      <c r="K14" s="151" t="str">
        <f ca="1"/>
        <v>-</v>
      </c>
      <c r="L14" s="165" t="str">
        <f ca="1"/>
        <v/>
      </c>
      <c r="M14" s="166" t="str">
        <f ca="1"/>
        <v/>
      </c>
    </row>
    <row r="15" spans="1:13" ht="14.45">
      <c r="A15" s="27" t="str">
        <v>Southglenn Relocation</v>
      </c>
      <c r="B15" s="32" t="str">
        <v>CO</v>
      </c>
      <c r="C15" s="146" t="str" cm="1">
        <f t="array" aca="1" ref="C15:F15" ca="1">IF(ISBLANK(INDIRECT("'"&amp;$A15&amp;"'!B17:E17")), "", INDIRECT("'"&amp;$A15&amp;"'!B17:E17"))</f>
        <v/>
      </c>
      <c r="D15" s="146" t="str">
        <f ca="1"/>
        <v/>
      </c>
      <c r="E15" s="146">
        <f ca="1"/>
        <v>0</v>
      </c>
      <c r="F15" s="141" t="str">
        <f ca="1"/>
        <v>-</v>
      </c>
      <c r="G15" s="148"/>
      <c r="H15" s="149" cm="1">
        <f t="array" aca="1" ref="H15:M15" ca="1">IF(ISBLANK(INDIRECT("'"&amp;$A15&amp;"'!B35:G35")), "", INDIRECT("'"&amp;$A15&amp;"'!B35:G35"))</f>
        <v>0</v>
      </c>
      <c r="I15" s="149" t="str">
        <f ca="1"/>
        <v/>
      </c>
      <c r="J15" s="149">
        <f ca="1"/>
        <v>0</v>
      </c>
      <c r="K15" s="151" t="str">
        <f ca="1"/>
        <v>-</v>
      </c>
      <c r="L15" s="165" t="str">
        <f ca="1"/>
        <v/>
      </c>
      <c r="M15" s="166" t="str">
        <f ca="1"/>
        <v/>
      </c>
    </row>
    <row r="16" spans="1:13" ht="14.45">
      <c r="A16" s="27" t="str">
        <v>Standley Lake</v>
      </c>
      <c r="B16" s="32" t="str">
        <v>CO</v>
      </c>
      <c r="C16" s="146" t="str" cm="1">
        <f t="array" aca="1" ref="C16:F16" ca="1">IF(ISBLANK(INDIRECT("'"&amp;$A16&amp;"'!B17:E17")), "", INDIRECT("'"&amp;$A16&amp;"'!B17:E17"))</f>
        <v/>
      </c>
      <c r="D16" s="146" t="str">
        <f ca="1"/>
        <v/>
      </c>
      <c r="E16" s="146">
        <f ca="1"/>
        <v>0</v>
      </c>
      <c r="F16" s="141" t="str">
        <f ca="1"/>
        <v>-</v>
      </c>
      <c r="G16" s="148"/>
      <c r="H16" s="149" cm="1">
        <f t="array" aca="1" ref="H16:M16" ca="1">IF(ISBLANK(INDIRECT("'"&amp;$A16&amp;"'!B35:G35")), "", INDIRECT("'"&amp;$A16&amp;"'!B35:G35"))</f>
        <v>0</v>
      </c>
      <c r="I16" s="149" t="str">
        <f ca="1"/>
        <v/>
      </c>
      <c r="J16" s="149">
        <f ca="1"/>
        <v>0</v>
      </c>
      <c r="K16" s="151" t="str">
        <f ca="1"/>
        <v>-</v>
      </c>
      <c r="L16" s="165" t="str">
        <f ca="1"/>
        <v/>
      </c>
      <c r="M16" s="166" t="str">
        <f ca="1"/>
        <v/>
      </c>
    </row>
    <row r="17" spans="1:13" ht="14.45">
      <c r="A17" s="27" t="str">
        <v>East Hartford</v>
      </c>
      <c r="B17" s="32" t="str">
        <v>CT</v>
      </c>
      <c r="C17" s="146" t="str" cm="1">
        <f t="array" aca="1" ref="C17:F17" ca="1">IF(ISBLANK(INDIRECT("'"&amp;$A17&amp;"'!B17:E17")), "", INDIRECT("'"&amp;$A17&amp;"'!B17:E17"))</f>
        <v/>
      </c>
      <c r="D17" s="146" t="str">
        <f ca="1"/>
        <v/>
      </c>
      <c r="E17" s="146">
        <f ca="1"/>
        <v>0</v>
      </c>
      <c r="F17" s="141" t="str">
        <f ca="1"/>
        <v>-</v>
      </c>
      <c r="G17" s="148"/>
      <c r="H17" s="149" cm="1">
        <f t="array" aca="1" ref="H17:M17" ca="1">IF(ISBLANK(INDIRECT("'"&amp;$A17&amp;"'!B35:G35")), "", INDIRECT("'"&amp;$A17&amp;"'!B35:G35"))</f>
        <v>0</v>
      </c>
      <c r="I17" s="149" t="str">
        <f ca="1"/>
        <v/>
      </c>
      <c r="J17" s="149">
        <f ca="1"/>
        <v>0</v>
      </c>
      <c r="K17" s="151" t="str">
        <f ca="1"/>
        <v>-</v>
      </c>
      <c r="L17" s="165" t="str">
        <f ca="1"/>
        <v/>
      </c>
      <c r="M17" s="166" t="str">
        <f ca="1"/>
        <v/>
      </c>
    </row>
    <row r="18" spans="1:13" ht="14.45">
      <c r="A18" s="27" t="str">
        <v>Norwalk Post Road</v>
      </c>
      <c r="B18" s="32" t="str">
        <v>CT</v>
      </c>
      <c r="C18" s="146" t="str" cm="1">
        <f t="array" aca="1" ref="C18:F18" ca="1">IF(ISBLANK(INDIRECT("'"&amp;$A18&amp;"'!B17:E17")), "", INDIRECT("'"&amp;$A18&amp;"'!B17:E17"))</f>
        <v/>
      </c>
      <c r="D18" s="146" t="str">
        <f ca="1"/>
        <v/>
      </c>
      <c r="E18" s="146">
        <f ca="1"/>
        <v>0</v>
      </c>
      <c r="F18" s="141" t="str">
        <f ca="1"/>
        <v>-</v>
      </c>
      <c r="G18" s="148"/>
      <c r="H18" s="149" cm="1">
        <f t="array" aca="1" ref="H18:M18" ca="1">IF(ISBLANK(INDIRECT("'"&amp;$A18&amp;"'!B35:G35")), "", INDIRECT("'"&amp;$A18&amp;"'!B35:G35"))</f>
        <v>0</v>
      </c>
      <c r="I18" s="149" t="str">
        <f ca="1"/>
        <v/>
      </c>
      <c r="J18" s="149">
        <f ca="1"/>
        <v>0</v>
      </c>
      <c r="K18" s="151" t="str">
        <f ca="1"/>
        <v>-</v>
      </c>
      <c r="L18" s="165" t="str">
        <f ca="1"/>
        <v/>
      </c>
      <c r="M18" s="166" t="str">
        <f ca="1"/>
        <v/>
      </c>
    </row>
    <row r="19" spans="1:13" ht="14.45">
      <c r="A19" s="27" t="str">
        <v>Hialeah Gardens</v>
      </c>
      <c r="B19" s="32" t="str">
        <v>FL</v>
      </c>
      <c r="C19" s="146" t="str" cm="1">
        <f t="array" aca="1" ref="C19:F19" ca="1">IF(ISBLANK(INDIRECT("'"&amp;$A19&amp;"'!B17:E17")), "", INDIRECT("'"&amp;$A19&amp;"'!B17:E17"))</f>
        <v/>
      </c>
      <c r="D19" s="146" t="str">
        <f ca="1"/>
        <v/>
      </c>
      <c r="E19" s="146">
        <f ca="1"/>
        <v>0</v>
      </c>
      <c r="F19" s="141" t="str">
        <f ca="1"/>
        <v>-</v>
      </c>
      <c r="G19" s="148"/>
      <c r="H19" s="149" cm="1">
        <f t="array" aca="1" ref="H19:M19" ca="1">IF(ISBLANK(INDIRECT("'"&amp;$A19&amp;"'!B35:G35")), "", INDIRECT("'"&amp;$A19&amp;"'!B35:G35"))</f>
        <v>0</v>
      </c>
      <c r="I19" s="149" t="str">
        <f ca="1"/>
        <v/>
      </c>
      <c r="J19" s="149">
        <f ca="1"/>
        <v>0</v>
      </c>
      <c r="K19" s="151" t="str">
        <f ca="1"/>
        <v>-</v>
      </c>
      <c r="L19" s="165" t="str">
        <f ca="1"/>
        <v/>
      </c>
      <c r="M19" s="166" t="str">
        <f ca="1"/>
        <v/>
      </c>
    </row>
    <row r="20" spans="1:13" ht="14.45">
      <c r="A20" s="27" t="str">
        <v>HMHQ</v>
      </c>
      <c r="B20" s="32" t="str">
        <v>IA</v>
      </c>
      <c r="C20" s="146" t="str" cm="1">
        <f t="array" aca="1" ref="C20:F20" ca="1">IF(ISBLANK(INDIRECT("'"&amp;$A20&amp;"'!B17:E17")), "", INDIRECT("'"&amp;$A20&amp;"'!B17:E17"))</f>
        <v/>
      </c>
      <c r="D20" s="146" t="str">
        <f ca="1"/>
        <v/>
      </c>
      <c r="E20" s="146">
        <f ca="1"/>
        <v>0</v>
      </c>
      <c r="F20" s="141" t="str">
        <f ca="1"/>
        <v>-</v>
      </c>
      <c r="G20" s="148"/>
      <c r="H20" s="149" cm="1">
        <f t="array" aca="1" ref="H20:M20" ca="1">IF(ISBLANK(INDIRECT("'"&amp;$A20&amp;"'!B35:G35")), "", INDIRECT("'"&amp;$A20&amp;"'!B35:G35"))</f>
        <v>0</v>
      </c>
      <c r="I20" s="149" t="str">
        <f ca="1"/>
        <v/>
      </c>
      <c r="J20" s="149">
        <f ca="1"/>
        <v>0</v>
      </c>
      <c r="K20" s="151" t="str">
        <f ca="1"/>
        <v>-</v>
      </c>
      <c r="L20" s="165" t="str">
        <f ca="1"/>
        <v/>
      </c>
      <c r="M20" s="166" t="str">
        <f ca="1"/>
        <v/>
      </c>
    </row>
    <row r="21" spans="1:13" ht="14.45">
      <c r="A21" s="27" t="str">
        <v>West Des Moines Campus East</v>
      </c>
      <c r="B21" s="32" t="str">
        <v>IA</v>
      </c>
      <c r="C21" s="146" t="str" cm="1">
        <f t="array" aca="1" ref="C21:F21" ca="1">IF(ISBLANK(INDIRECT("'"&amp;$A21&amp;"'!B17:E17")), "", INDIRECT("'"&amp;$A21&amp;"'!B17:E17"))</f>
        <v/>
      </c>
      <c r="D21" s="146" t="str">
        <f ca="1"/>
        <v/>
      </c>
      <c r="E21" s="146">
        <f ca="1"/>
        <v>0</v>
      </c>
      <c r="F21" s="141" t="str">
        <f ca="1"/>
        <v>-</v>
      </c>
      <c r="G21" s="148"/>
      <c r="H21" s="149" cm="1">
        <f t="array" aca="1" ref="H21:M21" ca="1">IF(ISBLANK(INDIRECT("'"&amp;$A21&amp;"'!B35:G35")), "", INDIRECT("'"&amp;$A21&amp;"'!B35:G35"))</f>
        <v>0</v>
      </c>
      <c r="I21" s="149" t="str">
        <f ca="1"/>
        <v/>
      </c>
      <c r="J21" s="149">
        <f ca="1"/>
        <v>0</v>
      </c>
      <c r="K21" s="151" t="str">
        <f ca="1"/>
        <v>-</v>
      </c>
      <c r="L21" s="165" t="str">
        <f ca="1"/>
        <v/>
      </c>
      <c r="M21" s="166" t="str">
        <f ca="1"/>
        <v/>
      </c>
    </row>
    <row r="22" spans="1:13" ht="14.45">
      <c r="A22" s="27" t="str">
        <v>West Des Moines Campus West</v>
      </c>
      <c r="B22" s="32" t="str">
        <v>IA</v>
      </c>
      <c r="C22" s="146" t="str" cm="1">
        <f t="array" aca="1" ref="C22:F22" ca="1">IF(ISBLANK(INDIRECT("'"&amp;$A22&amp;"'!B17:E17")), "", INDIRECT("'"&amp;$A22&amp;"'!B17:E17"))</f>
        <v/>
      </c>
      <c r="D22" s="146" t="str">
        <f ca="1"/>
        <v/>
      </c>
      <c r="E22" s="146">
        <f ca="1"/>
        <v>0</v>
      </c>
      <c r="F22" s="141" t="str">
        <f ca="1"/>
        <v>-</v>
      </c>
      <c r="G22" s="148"/>
      <c r="H22" s="149" cm="1">
        <f t="array" aca="1" ref="H22:M22" ca="1">IF(ISBLANK(INDIRECT("'"&amp;$A22&amp;"'!B35:G35")), "", INDIRECT("'"&amp;$A22&amp;"'!B35:G35"))</f>
        <v>0</v>
      </c>
      <c r="I22" s="149" t="str">
        <f ca="1"/>
        <v/>
      </c>
      <c r="J22" s="149">
        <f ca="1"/>
        <v>0</v>
      </c>
      <c r="K22" s="151" t="str">
        <f ca="1"/>
        <v>-</v>
      </c>
      <c r="L22" s="165" t="str">
        <f ca="1"/>
        <v/>
      </c>
      <c r="M22" s="166" t="str">
        <f ca="1"/>
        <v/>
      </c>
    </row>
    <row r="23" spans="1:13" ht="14.45">
      <c r="A23" s="31" t="str">
        <v>CIC</v>
      </c>
      <c r="B23" s="33" t="str">
        <v>NC</v>
      </c>
      <c r="C23" s="146" t="str" cm="1">
        <f t="array" aca="1" ref="C23:F23" ca="1">IF(ISBLANK(INDIRECT("'"&amp;$A23&amp;"'!B17:E17")), "", INDIRECT("'"&amp;$A23&amp;"'!B17:E17"))</f>
        <v/>
      </c>
      <c r="D23" s="146" t="str">
        <f ca="1"/>
        <v/>
      </c>
      <c r="E23" s="146">
        <f ca="1"/>
        <v>0</v>
      </c>
      <c r="F23" s="141" t="str">
        <f ca="1"/>
        <v>-</v>
      </c>
      <c r="G23" s="148"/>
      <c r="H23" s="149" cm="1">
        <f t="array" aca="1" ref="H23:M23" ca="1">IF(ISBLANK(INDIRECT("'"&amp;$A23&amp;"'!B35:G35")), "", INDIRECT("'"&amp;$A23&amp;"'!B35:G35"))</f>
        <v>0</v>
      </c>
      <c r="I23" s="149" t="str">
        <f ca="1"/>
        <v/>
      </c>
      <c r="J23" s="149">
        <f ca="1"/>
        <v>0</v>
      </c>
      <c r="K23" s="151" t="str">
        <f ca="1"/>
        <v>-</v>
      </c>
      <c r="L23" s="165" t="str">
        <f ca="1"/>
        <v/>
      </c>
      <c r="M23" s="166" t="str">
        <f ca="1"/>
        <v/>
      </c>
    </row>
    <row r="24" spans="1:13" ht="14.45">
      <c r="A24" s="31" t="str">
        <v>DUC</v>
      </c>
      <c r="B24" s="33" t="str">
        <v>NC</v>
      </c>
      <c r="C24" s="146" t="str" cm="1">
        <f t="array" aca="1" ref="C24:F24" ca="1">IF(ISBLANK(INDIRECT("'"&amp;$A24&amp;"'!B17:E17")), "", INDIRECT("'"&amp;$A24&amp;"'!B17:E17"))</f>
        <v/>
      </c>
      <c r="D24" s="146" t="str">
        <f ca="1"/>
        <v/>
      </c>
      <c r="E24" s="146">
        <f ca="1"/>
        <v>0</v>
      </c>
      <c r="F24" s="141" t="str">
        <f ca="1"/>
        <v>-</v>
      </c>
      <c r="G24" s="148"/>
      <c r="H24" s="149" cm="1">
        <f t="array" aca="1" ref="H24:M24" ca="1">IF(ISBLANK(INDIRECT("'"&amp;$A24&amp;"'!B35:G35")), "", INDIRECT("'"&amp;$A24&amp;"'!B35:G35"))</f>
        <v>0</v>
      </c>
      <c r="I24" s="149" t="str">
        <f ca="1"/>
        <v/>
      </c>
      <c r="J24" s="149">
        <f ca="1"/>
        <v>0</v>
      </c>
      <c r="K24" s="151" t="str">
        <f ca="1"/>
        <v>-</v>
      </c>
      <c r="L24" s="165" t="str">
        <f ca="1"/>
        <v/>
      </c>
      <c r="M24" s="166" t="str">
        <f ca="1"/>
        <v/>
      </c>
    </row>
    <row r="25" spans="1:13" ht="14.45">
      <c r="A25" s="31" t="str">
        <v>Barnegat Office</v>
      </c>
      <c r="B25" s="33" t="str">
        <v>NJ</v>
      </c>
      <c r="C25" s="146" t="str" cm="1">
        <f t="array" aca="1" ref="C25:F25" ca="1">IF(ISBLANK(INDIRECT("'"&amp;$A25&amp;"'!B17:E17")), "", INDIRECT("'"&amp;$A25&amp;"'!B17:E17"))</f>
        <v/>
      </c>
      <c r="D25" s="146" t="str">
        <f ca="1"/>
        <v/>
      </c>
      <c r="E25" s="146">
        <f ca="1"/>
        <v>0</v>
      </c>
      <c r="F25" s="141" t="str">
        <f ca="1"/>
        <v>-</v>
      </c>
      <c r="G25" s="148"/>
      <c r="H25" s="149" cm="1">
        <f t="array" aca="1" ref="H25:M25" ca="1">IF(ISBLANK(INDIRECT("'"&amp;$A25&amp;"'!B35:G35")), "", INDIRECT("'"&amp;$A25&amp;"'!B35:G35"))</f>
        <v>0</v>
      </c>
      <c r="I25" s="149" t="str">
        <f ca="1"/>
        <v/>
      </c>
      <c r="J25" s="149">
        <f ca="1"/>
        <v>0</v>
      </c>
      <c r="K25" s="151" t="str">
        <f ca="1"/>
        <v>-</v>
      </c>
      <c r="L25" s="165" t="str">
        <f ca="1"/>
        <v/>
      </c>
      <c r="M25" s="166" t="str">
        <f ca="1"/>
        <v/>
      </c>
    </row>
    <row r="26" spans="1:13" ht="14.45">
      <c r="A26" s="31" t="str">
        <v>Bayonne Office</v>
      </c>
      <c r="B26" s="33" t="str">
        <v>NJ</v>
      </c>
      <c r="C26" s="146" t="str" cm="1">
        <f t="array" aca="1" ref="C26:F26" ca="1">IF(ISBLANK(INDIRECT("'"&amp;$A26&amp;"'!B17:E17")), "", INDIRECT("'"&amp;$A26&amp;"'!B17:E17"))</f>
        <v/>
      </c>
      <c r="D26" s="146" t="str">
        <f ca="1"/>
        <v/>
      </c>
      <c r="E26" s="146">
        <f ca="1"/>
        <v>0</v>
      </c>
      <c r="F26" s="141" t="str">
        <f ca="1"/>
        <v>-</v>
      </c>
      <c r="G26" s="148"/>
      <c r="H26" s="149" cm="1">
        <f t="array" aca="1" ref="H26:M26" ca="1">IF(ISBLANK(INDIRECT("'"&amp;$A26&amp;"'!B35:G35")), "", INDIRECT("'"&amp;$A26&amp;"'!B35:G35"))</f>
        <v>0</v>
      </c>
      <c r="I26" s="149" t="str">
        <f ca="1"/>
        <v/>
      </c>
      <c r="J26" s="149">
        <f ca="1"/>
        <v>0</v>
      </c>
      <c r="K26" s="151" t="str">
        <f ca="1"/>
        <v>-</v>
      </c>
      <c r="L26" s="165" t="str">
        <f ca="1"/>
        <v/>
      </c>
      <c r="M26" s="166" t="str">
        <f ca="1"/>
        <v/>
      </c>
    </row>
    <row r="27" spans="1:13" ht="14.45">
      <c r="A27" s="31" t="str">
        <v>Bordentown</v>
      </c>
      <c r="B27" s="33" t="str">
        <v>NJ</v>
      </c>
      <c r="C27" s="146" t="str" cm="1">
        <f t="array" aca="1" ref="C27:F27" ca="1">IF(ISBLANK(INDIRECT("'"&amp;$A27&amp;"'!B17:E17")), "", INDIRECT("'"&amp;$A27&amp;"'!B17:E17"))</f>
        <v/>
      </c>
      <c r="D27" s="146" t="str">
        <f ca="1"/>
        <v/>
      </c>
      <c r="E27" s="146">
        <f ca="1"/>
        <v>0</v>
      </c>
      <c r="F27" s="141" t="str">
        <f ca="1"/>
        <v>-</v>
      </c>
      <c r="G27" s="148"/>
      <c r="H27" s="149" cm="1">
        <f t="array" aca="1" ref="H27:M27" ca="1">IF(ISBLANK(INDIRECT("'"&amp;$A27&amp;"'!B35:G35")), "", INDIRECT("'"&amp;$A27&amp;"'!B35:G35"))</f>
        <v>0</v>
      </c>
      <c r="I27" s="149" t="str">
        <f ca="1"/>
        <v/>
      </c>
      <c r="J27" s="149">
        <f ca="1"/>
        <v>0</v>
      </c>
      <c r="K27" s="151" t="str">
        <f ca="1"/>
        <v>-</v>
      </c>
      <c r="L27" s="165" t="str">
        <f ca="1"/>
        <v/>
      </c>
      <c r="M27" s="166" t="str">
        <f ca="1"/>
        <v/>
      </c>
    </row>
    <row r="28" spans="1:13" ht="14.45">
      <c r="A28" s="31" t="str">
        <v>Burlington Springside</v>
      </c>
      <c r="B28" s="33" t="str">
        <v>NJ</v>
      </c>
      <c r="C28" s="146" t="str" cm="1">
        <f t="array" aca="1" ref="C28:F28" ca="1">IF(ISBLANK(INDIRECT("'"&amp;$A28&amp;"'!B17:E17")), "", INDIRECT("'"&amp;$A28&amp;"'!B17:E17"))</f>
        <v/>
      </c>
      <c r="D28" s="146" t="str">
        <f ca="1"/>
        <v/>
      </c>
      <c r="E28" s="146">
        <f ca="1"/>
        <v>0</v>
      </c>
      <c r="F28" s="141" t="str">
        <f ca="1"/>
        <v>-</v>
      </c>
      <c r="G28" s="148"/>
      <c r="H28" s="149" cm="1">
        <f t="array" aca="1" ref="H28:M28" ca="1">IF(ISBLANK(INDIRECT("'"&amp;$A28&amp;"'!B35:G35")), "", INDIRECT("'"&amp;$A28&amp;"'!B35:G35"))</f>
        <v>0</v>
      </c>
      <c r="I28" s="149" t="str">
        <f ca="1"/>
        <v/>
      </c>
      <c r="J28" s="149">
        <f ca="1"/>
        <v>0</v>
      </c>
      <c r="K28" s="151" t="str">
        <f ca="1"/>
        <v>-</v>
      </c>
      <c r="L28" s="165" t="str">
        <f ca="1"/>
        <v/>
      </c>
      <c r="M28" s="166" t="str">
        <f ca="1"/>
        <v/>
      </c>
    </row>
    <row r="29" spans="1:13" ht="14.45">
      <c r="A29" s="31" t="str">
        <v>Cherry Hill Short Hills</v>
      </c>
      <c r="B29" s="33" t="str">
        <v>NJ</v>
      </c>
      <c r="C29" s="146" t="str" cm="1">
        <f t="array" aca="1" ref="C29:F29" ca="1">IF(ISBLANK(INDIRECT("'"&amp;$A29&amp;"'!B17:E17")), "", INDIRECT("'"&amp;$A29&amp;"'!B17:E17"))</f>
        <v/>
      </c>
      <c r="D29" s="146" t="str">
        <f ca="1"/>
        <v/>
      </c>
      <c r="E29" s="146">
        <f ca="1"/>
        <v>0</v>
      </c>
      <c r="F29" s="141" t="str">
        <f ca="1"/>
        <v>-</v>
      </c>
      <c r="G29" s="148"/>
      <c r="H29" s="149" cm="1">
        <f t="array" aca="1" ref="H29:M29" ca="1">IF(ISBLANK(INDIRECT("'"&amp;$A29&amp;"'!B35:G35")), "", INDIRECT("'"&amp;$A29&amp;"'!B35:G35"))</f>
        <v>0</v>
      </c>
      <c r="I29" s="149" t="str">
        <f ca="1"/>
        <v/>
      </c>
      <c r="J29" s="149">
        <f ca="1"/>
        <v>0</v>
      </c>
      <c r="K29" s="151" t="str">
        <f ca="1"/>
        <v>-</v>
      </c>
      <c r="L29" s="165" t="str">
        <f ca="1"/>
        <v/>
      </c>
      <c r="M29" s="166" t="str">
        <f ca="1"/>
        <v/>
      </c>
    </row>
    <row r="30" spans="1:13" ht="14.45">
      <c r="A30" s="31" t="str">
        <v>Clark Office</v>
      </c>
      <c r="B30" s="33" t="str">
        <v>NJ</v>
      </c>
      <c r="C30" s="146" t="str" cm="1">
        <f t="array" aca="1" ref="C30:F30" ca="1">IF(ISBLANK(INDIRECT("'"&amp;$A30&amp;"'!B17:E17")), "", INDIRECT("'"&amp;$A30&amp;"'!B17:E17"))</f>
        <v/>
      </c>
      <c r="D30" s="146" t="str">
        <f ca="1"/>
        <v/>
      </c>
      <c r="E30" s="146">
        <f ca="1"/>
        <v>0</v>
      </c>
      <c r="F30" s="141" t="str">
        <f ca="1"/>
        <v>-</v>
      </c>
      <c r="G30" s="148"/>
      <c r="H30" s="149" cm="1">
        <f t="array" aca="1" ref="H30:M30" ca="1">IF(ISBLANK(INDIRECT("'"&amp;$A30&amp;"'!B35:G35")), "", INDIRECT("'"&amp;$A30&amp;"'!B35:G35"))</f>
        <v>0</v>
      </c>
      <c r="I30" s="149" t="str">
        <f ca="1"/>
        <v/>
      </c>
      <c r="J30" s="149">
        <f ca="1"/>
        <v>0</v>
      </c>
      <c r="K30" s="151" t="str">
        <f ca="1"/>
        <v>-</v>
      </c>
      <c r="L30" s="165" t="str">
        <f ca="1"/>
        <v/>
      </c>
      <c r="M30" s="166" t="str">
        <f ca="1"/>
        <v/>
      </c>
    </row>
    <row r="31" spans="1:13" ht="14.45">
      <c r="A31" s="31" t="str">
        <v>Clifton Office</v>
      </c>
      <c r="B31" s="33" t="str">
        <v>NJ</v>
      </c>
      <c r="C31" s="146" t="str" cm="1">
        <f t="array" aca="1" ref="C31:F31" ca="1">IF(ISBLANK(INDIRECT("'"&amp;$A31&amp;"'!B17:E17")), "", INDIRECT("'"&amp;$A31&amp;"'!B17:E17"))</f>
        <v/>
      </c>
      <c r="D31" s="146" t="str">
        <f ca="1"/>
        <v/>
      </c>
      <c r="E31" s="146">
        <f ca="1"/>
        <v>0</v>
      </c>
      <c r="F31" s="141" t="str">
        <f ca="1"/>
        <v>-</v>
      </c>
      <c r="G31" s="148"/>
      <c r="H31" s="149" cm="1">
        <f t="array" aca="1" ref="H31:M31" ca="1">IF(ISBLANK(INDIRECT("'"&amp;$A31&amp;"'!B35:G35")), "", INDIRECT("'"&amp;$A31&amp;"'!B35:G35"))</f>
        <v>0</v>
      </c>
      <c r="I31" s="149" t="str">
        <f ca="1"/>
        <v/>
      </c>
      <c r="J31" s="149">
        <f ca="1"/>
        <v>0</v>
      </c>
      <c r="K31" s="151" t="str">
        <f ca="1"/>
        <v>-</v>
      </c>
      <c r="L31" s="165" t="str">
        <f ca="1"/>
        <v/>
      </c>
      <c r="M31" s="166" t="str">
        <f ca="1"/>
        <v/>
      </c>
    </row>
    <row r="32" spans="1:13" ht="14.45">
      <c r="A32" s="31" t="str">
        <v>Clinton Main Relo</v>
      </c>
      <c r="B32" s="33" t="str">
        <v>NJ</v>
      </c>
      <c r="C32" s="146" t="str" cm="1">
        <f t="array" aca="1" ref="C32:F32" ca="1">IF(ISBLANK(INDIRECT("'"&amp;$A32&amp;"'!B17:E17")), "", INDIRECT("'"&amp;$A32&amp;"'!B17:E17"))</f>
        <v/>
      </c>
      <c r="D32" s="146" t="str">
        <f ca="1"/>
        <v/>
      </c>
      <c r="E32" s="146">
        <f ca="1"/>
        <v>0</v>
      </c>
      <c r="F32" s="141" t="str">
        <f ca="1"/>
        <v>-</v>
      </c>
      <c r="G32" s="148"/>
      <c r="H32" s="149" cm="1">
        <f t="array" aca="1" ref="H32:M32" ca="1">IF(ISBLANK(INDIRECT("'"&amp;$A32&amp;"'!B35:G35")), "", INDIRECT("'"&amp;$A32&amp;"'!B35:G35"))</f>
        <v>0</v>
      </c>
      <c r="I32" s="149" t="str">
        <f ca="1"/>
        <v/>
      </c>
      <c r="J32" s="149">
        <f ca="1"/>
        <v>0</v>
      </c>
      <c r="K32" s="151" t="str">
        <f ca="1"/>
        <v>-</v>
      </c>
      <c r="L32" s="165" t="str">
        <f ca="1"/>
        <v/>
      </c>
      <c r="M32" s="166" t="str">
        <f ca="1"/>
        <v/>
      </c>
    </row>
    <row r="33" spans="1:13" ht="14.45">
      <c r="A33" s="31" t="str">
        <v>Closter Office</v>
      </c>
      <c r="B33" s="33" t="str">
        <v>NJ</v>
      </c>
      <c r="C33" s="146" t="str" cm="1">
        <f t="array" aca="1" ref="C33:F33" ca="1">IF(ISBLANK(INDIRECT("'"&amp;$A33&amp;"'!B17:E17")), "", INDIRECT("'"&amp;$A33&amp;"'!B17:E17"))</f>
        <v/>
      </c>
      <c r="D33" s="146" t="str">
        <f ca="1"/>
        <v/>
      </c>
      <c r="E33" s="146">
        <f ca="1"/>
        <v>0</v>
      </c>
      <c r="F33" s="141" t="str">
        <f ca="1"/>
        <v>-</v>
      </c>
      <c r="G33" s="148"/>
      <c r="H33" s="149" cm="1">
        <f t="array" aca="1" ref="H33:M33" ca="1">IF(ISBLANK(INDIRECT("'"&amp;$A33&amp;"'!B35:G35")), "", INDIRECT("'"&amp;$A33&amp;"'!B35:G35"))</f>
        <v>0</v>
      </c>
      <c r="I33" s="149" t="str">
        <f ca="1"/>
        <v/>
      </c>
      <c r="J33" s="149">
        <f ca="1"/>
        <v>0</v>
      </c>
      <c r="K33" s="151" t="str">
        <f ca="1"/>
        <v>-</v>
      </c>
      <c r="L33" s="165" t="str">
        <f ca="1"/>
        <v/>
      </c>
      <c r="M33" s="166" t="str">
        <f ca="1"/>
        <v/>
      </c>
    </row>
    <row r="34" spans="1:13" ht="14.45">
      <c r="A34" s="31" t="str">
        <v>East Windsor</v>
      </c>
      <c r="B34" s="33" t="str">
        <v>NJ</v>
      </c>
      <c r="C34" s="146" t="str" cm="1">
        <f t="array" aca="1" ref="C34:F34" ca="1">IF(ISBLANK(INDIRECT("'"&amp;$A34&amp;"'!B17:E17")), "", INDIRECT("'"&amp;$A34&amp;"'!B17:E17"))</f>
        <v/>
      </c>
      <c r="D34" s="146" t="str">
        <f ca="1"/>
        <v/>
      </c>
      <c r="E34" s="146">
        <f ca="1"/>
        <v>0</v>
      </c>
      <c r="F34" s="141" t="str">
        <f ca="1"/>
        <v>-</v>
      </c>
      <c r="G34" s="148"/>
      <c r="H34" s="149" cm="1">
        <f t="array" aca="1" ref="H34:M34" ca="1">IF(ISBLANK(INDIRECT("'"&amp;$A34&amp;"'!B35:G35")), "", INDIRECT("'"&amp;$A34&amp;"'!B35:G35"))</f>
        <v>0</v>
      </c>
      <c r="I34" s="149" t="str">
        <f ca="1"/>
        <v/>
      </c>
      <c r="J34" s="149">
        <f ca="1"/>
        <v>0</v>
      </c>
      <c r="K34" s="151" t="str">
        <f ca="1"/>
        <v>-</v>
      </c>
      <c r="L34" s="165" t="str">
        <f ca="1"/>
        <v/>
      </c>
      <c r="M34" s="166" t="str">
        <f ca="1"/>
        <v/>
      </c>
    </row>
    <row r="35" spans="1:13" ht="14.45">
      <c r="A35" s="31" t="str">
        <v>Edison Office</v>
      </c>
      <c r="B35" s="33" t="str">
        <v>NJ</v>
      </c>
      <c r="C35" s="146" t="str" cm="1">
        <f t="array" aca="1" ref="C35:F35" ca="1">IF(ISBLANK(INDIRECT("'"&amp;$A35&amp;"'!B17:E17")), "", INDIRECT("'"&amp;$A35&amp;"'!B17:E17"))</f>
        <v/>
      </c>
      <c r="D35" s="146" t="str">
        <f ca="1"/>
        <v/>
      </c>
      <c r="E35" s="146">
        <f ca="1"/>
        <v>0</v>
      </c>
      <c r="F35" s="141" t="str">
        <f ca="1"/>
        <v>-</v>
      </c>
      <c r="G35" s="148"/>
      <c r="H35" s="149" cm="1">
        <f t="array" aca="1" ref="H35:M35" ca="1">IF(ISBLANK(INDIRECT("'"&amp;$A35&amp;"'!B35:G35")), "", INDIRECT("'"&amp;$A35&amp;"'!B35:G35"))</f>
        <v>0</v>
      </c>
      <c r="I35" s="149" t="str">
        <f ca="1"/>
        <v/>
      </c>
      <c r="J35" s="149">
        <f ca="1"/>
        <v>0</v>
      </c>
      <c r="K35" s="151" t="str">
        <f ca="1"/>
        <v>-</v>
      </c>
      <c r="L35" s="165" t="str">
        <f ca="1"/>
        <v/>
      </c>
      <c r="M35" s="166" t="str">
        <f ca="1"/>
        <v/>
      </c>
    </row>
    <row r="36" spans="1:13" ht="14.45">
      <c r="A36" s="31" t="str">
        <v>Ellisburg Circle Center</v>
      </c>
      <c r="B36" s="33" t="str">
        <v>NJ</v>
      </c>
      <c r="C36" s="146" t="str" cm="1">
        <f t="array" aca="1" ref="C36:F36" ca="1">IF(ISBLANK(INDIRECT("'"&amp;$A36&amp;"'!B17:E17")), "", INDIRECT("'"&amp;$A36&amp;"'!B17:E17"))</f>
        <v/>
      </c>
      <c r="D36" s="146" t="str">
        <f ca="1"/>
        <v/>
      </c>
      <c r="E36" s="146">
        <f ca="1"/>
        <v>0</v>
      </c>
      <c r="F36" s="141" t="str">
        <f ca="1"/>
        <v>-</v>
      </c>
      <c r="G36" s="148"/>
      <c r="H36" s="149" cm="1">
        <f t="array" aca="1" ref="H36:M36" ca="1">IF(ISBLANK(INDIRECT("'"&amp;$A36&amp;"'!B35:G35")), "", INDIRECT("'"&amp;$A36&amp;"'!B35:G35"))</f>
        <v>0</v>
      </c>
      <c r="I36" s="149" t="str">
        <f ca="1"/>
        <v/>
      </c>
      <c r="J36" s="149">
        <f ca="1"/>
        <v>0</v>
      </c>
      <c r="K36" s="151" t="str">
        <f ca="1"/>
        <v>-</v>
      </c>
      <c r="L36" s="165" t="str">
        <f ca="1"/>
        <v/>
      </c>
      <c r="M36" s="166" t="str">
        <f ca="1"/>
        <v/>
      </c>
    </row>
    <row r="37" spans="1:13" ht="14.45">
      <c r="A37" s="31" t="str">
        <v>Flemington</v>
      </c>
      <c r="B37" s="33" t="str">
        <v>NJ</v>
      </c>
      <c r="C37" s="146" t="str" cm="1">
        <f t="array" aca="1" ref="C37:F37" ca="1">IF(ISBLANK(INDIRECT("'"&amp;$A37&amp;"'!B17:E17")), "", INDIRECT("'"&amp;$A37&amp;"'!B17:E17"))</f>
        <v/>
      </c>
      <c r="D37" s="146" t="str">
        <f ca="1"/>
        <v/>
      </c>
      <c r="E37" s="146">
        <f ca="1"/>
        <v>0</v>
      </c>
      <c r="F37" s="141" t="str">
        <f ca="1"/>
        <v>-</v>
      </c>
      <c r="G37" s="148"/>
      <c r="H37" s="149" cm="1">
        <f t="array" aca="1" ref="H37:M37" ca="1">IF(ISBLANK(INDIRECT("'"&amp;$A37&amp;"'!B35:G35")), "", INDIRECT("'"&amp;$A37&amp;"'!B35:G35"))</f>
        <v>0</v>
      </c>
      <c r="I37" s="149" t="str">
        <f ca="1"/>
        <v/>
      </c>
      <c r="J37" s="149">
        <f ca="1"/>
        <v>0</v>
      </c>
      <c r="K37" s="151" t="str">
        <f ca="1"/>
        <v>-</v>
      </c>
      <c r="L37" s="165" t="str">
        <f ca="1"/>
        <v/>
      </c>
      <c r="M37" s="166" t="str">
        <f ca="1"/>
        <v/>
      </c>
    </row>
    <row r="38" spans="1:13" ht="14.45">
      <c r="A38" s="31" t="str">
        <v>Franklin Township</v>
      </c>
      <c r="B38" s="33" t="str">
        <v>NJ</v>
      </c>
      <c r="C38" s="146" t="str" cm="1">
        <f t="array" aca="1" ref="C38:F38" ca="1">IF(ISBLANK(INDIRECT("'"&amp;$A38&amp;"'!B17:E17")), "", INDIRECT("'"&amp;$A38&amp;"'!B17:E17"))</f>
        <v/>
      </c>
      <c r="D38" s="146" t="str">
        <f ca="1"/>
        <v/>
      </c>
      <c r="E38" s="146">
        <f ca="1"/>
        <v>0</v>
      </c>
      <c r="F38" s="141" t="str">
        <f ca="1"/>
        <v>-</v>
      </c>
      <c r="G38" s="148"/>
      <c r="H38" s="149" cm="1">
        <f t="array" aca="1" ref="H38:M38" ca="1">IF(ISBLANK(INDIRECT("'"&amp;$A38&amp;"'!B35:G35")), "", INDIRECT("'"&amp;$A38&amp;"'!B35:G35"))</f>
        <v>0</v>
      </c>
      <c r="I38" s="149" t="str">
        <f ca="1"/>
        <v/>
      </c>
      <c r="J38" s="149">
        <f ca="1"/>
        <v>0</v>
      </c>
      <c r="K38" s="151" t="str">
        <f ca="1"/>
        <v>-</v>
      </c>
      <c r="L38" s="165" t="str">
        <f ca="1"/>
        <v/>
      </c>
      <c r="M38" s="166" t="str">
        <f ca="1"/>
        <v/>
      </c>
    </row>
    <row r="39" spans="1:13" ht="14.45">
      <c r="A39" s="31" t="str">
        <v>Haddon Westmont Plaza</v>
      </c>
      <c r="B39" s="33" t="str">
        <v>NJ</v>
      </c>
      <c r="C39" s="146" t="str" cm="1">
        <f t="array" aca="1" ref="C39:F39" ca="1">IF(ISBLANK(INDIRECT("'"&amp;$A39&amp;"'!B17:E17")), "", INDIRECT("'"&amp;$A39&amp;"'!B17:E17"))</f>
        <v/>
      </c>
      <c r="D39" s="146" t="str">
        <f ca="1"/>
        <v/>
      </c>
      <c r="E39" s="146">
        <f ca="1"/>
        <v>0</v>
      </c>
      <c r="F39" s="141" t="str">
        <f ca="1"/>
        <v>-</v>
      </c>
      <c r="G39" s="148"/>
      <c r="H39" s="149" cm="1">
        <f t="array" aca="1" ref="H39:M39" ca="1">IF(ISBLANK(INDIRECT("'"&amp;$A39&amp;"'!B35:G35")), "", INDIRECT("'"&amp;$A39&amp;"'!B35:G35"))</f>
        <v>0</v>
      </c>
      <c r="I39" s="149" t="str">
        <f ca="1"/>
        <v/>
      </c>
      <c r="J39" s="149">
        <f ca="1"/>
        <v>0</v>
      </c>
      <c r="K39" s="151" t="str">
        <f ca="1"/>
        <v>-</v>
      </c>
      <c r="L39" s="165" t="str">
        <f ca="1"/>
        <v/>
      </c>
      <c r="M39" s="166" t="str">
        <f ca="1"/>
        <v/>
      </c>
    </row>
    <row r="40" spans="1:13" ht="14.45">
      <c r="A40" s="31" t="str">
        <v>Hainesport Crossroads</v>
      </c>
      <c r="B40" s="33" t="str">
        <v>NJ</v>
      </c>
      <c r="C40" s="146" t="str" cm="1">
        <f t="array" aca="1" ref="C40:F40" ca="1">IF(ISBLANK(INDIRECT("'"&amp;$A40&amp;"'!B17:E17")), "", INDIRECT("'"&amp;$A40&amp;"'!B17:E17"))</f>
        <v/>
      </c>
      <c r="D40" s="146" t="str">
        <f ca="1"/>
        <v/>
      </c>
      <c r="E40" s="146">
        <f ca="1"/>
        <v>0</v>
      </c>
      <c r="F40" s="141" t="str">
        <f ca="1"/>
        <v>-</v>
      </c>
      <c r="G40" s="148"/>
      <c r="H40" s="149" cm="1">
        <f t="array" aca="1" ref="H40:M40" ca="1">IF(ISBLANK(INDIRECT("'"&amp;$A40&amp;"'!B35:G35")), "", INDIRECT("'"&amp;$A40&amp;"'!B35:G35"))</f>
        <v>0</v>
      </c>
      <c r="I40" s="149" t="str">
        <f ca="1"/>
        <v/>
      </c>
      <c r="J40" s="149">
        <f ca="1"/>
        <v>0</v>
      </c>
      <c r="K40" s="151" t="str">
        <f ca="1"/>
        <v>-</v>
      </c>
      <c r="L40" s="165" t="str">
        <f ca="1"/>
        <v/>
      </c>
      <c r="M40" s="166" t="str">
        <f ca="1"/>
        <v/>
      </c>
    </row>
    <row r="41" spans="1:13" ht="14.45">
      <c r="A41" s="31" t="str">
        <v>Holmdel Rt. 35</v>
      </c>
      <c r="B41" s="33" t="str">
        <v>NJ</v>
      </c>
      <c r="C41" s="146" t="str" cm="1">
        <f t="array" aca="1" ref="C41:F41" ca="1">IF(ISBLANK(INDIRECT("'"&amp;$A41&amp;"'!B17:E17")), "", INDIRECT("'"&amp;$A41&amp;"'!B17:E17"))</f>
        <v/>
      </c>
      <c r="D41" s="146" t="str">
        <f ca="1"/>
        <v/>
      </c>
      <c r="E41" s="146">
        <f ca="1"/>
        <v>0</v>
      </c>
      <c r="F41" s="141" t="str">
        <f ca="1"/>
        <v>-</v>
      </c>
      <c r="G41" s="148"/>
      <c r="H41" s="149" cm="1">
        <f t="array" aca="1" ref="H41:M41" ca="1">IF(ISBLANK(INDIRECT("'"&amp;$A41&amp;"'!B35:G35")), "", INDIRECT("'"&amp;$A41&amp;"'!B35:G35"))</f>
        <v>0</v>
      </c>
      <c r="I41" s="149" t="str">
        <f ca="1"/>
        <v/>
      </c>
      <c r="J41" s="149">
        <f ca="1"/>
        <v>0</v>
      </c>
      <c r="K41" s="151" t="str">
        <f ca="1"/>
        <v>-</v>
      </c>
      <c r="L41" s="165" t="str">
        <f ca="1"/>
        <v/>
      </c>
      <c r="M41" s="166" t="str">
        <f ca="1"/>
        <v/>
      </c>
    </row>
    <row r="42" spans="1:13" ht="14.45">
      <c r="A42" s="31" t="str">
        <v>Laurelton Office</v>
      </c>
      <c r="B42" s="33" t="str">
        <v>NJ</v>
      </c>
      <c r="C42" s="146" t="str" cm="1">
        <f t="array" aca="1" ref="C42:F42" ca="1">IF(ISBLANK(INDIRECT("'"&amp;$A42&amp;"'!B17:E17")), "", INDIRECT("'"&amp;$A42&amp;"'!B17:E17"))</f>
        <v/>
      </c>
      <c r="D42" s="146" t="str">
        <f ca="1"/>
        <v/>
      </c>
      <c r="E42" s="146">
        <f ca="1"/>
        <v>0</v>
      </c>
      <c r="F42" s="141" t="str">
        <f ca="1"/>
        <v>-</v>
      </c>
      <c r="G42" s="148"/>
      <c r="H42" s="149" cm="1">
        <f t="array" aca="1" ref="H42:M42" ca="1">IF(ISBLANK(INDIRECT("'"&amp;$A42&amp;"'!B35:G35")), "", INDIRECT("'"&amp;$A42&amp;"'!B35:G35"))</f>
        <v>0</v>
      </c>
      <c r="I42" s="149" t="str">
        <f ca="1"/>
        <v/>
      </c>
      <c r="J42" s="149">
        <f ca="1"/>
        <v>0</v>
      </c>
      <c r="K42" s="151" t="str">
        <f ca="1"/>
        <v>-</v>
      </c>
      <c r="L42" s="165" t="str">
        <f ca="1"/>
        <v/>
      </c>
      <c r="M42" s="166" t="str">
        <f ca="1"/>
        <v/>
      </c>
    </row>
    <row r="43" spans="1:13" ht="14.45">
      <c r="A43" s="31" t="str">
        <v>Mahwah</v>
      </c>
      <c r="B43" s="33" t="str">
        <v>NJ</v>
      </c>
      <c r="C43" s="146" t="str" cm="1">
        <f t="array" aca="1" ref="C43:F43" ca="1">IF(ISBLANK(INDIRECT("'"&amp;$A43&amp;"'!B17:E17")), "", INDIRECT("'"&amp;$A43&amp;"'!B17:E17"))</f>
        <v/>
      </c>
      <c r="D43" s="146" t="str">
        <f ca="1"/>
        <v/>
      </c>
      <c r="E43" s="146">
        <f ca="1"/>
        <v>0</v>
      </c>
      <c r="F43" s="141" t="str">
        <f ca="1"/>
        <v>-</v>
      </c>
      <c r="G43" s="148"/>
      <c r="H43" s="149" cm="1">
        <f t="array" aca="1" ref="H43:M43" ca="1">IF(ISBLANK(INDIRECT("'"&amp;$A43&amp;"'!B35:G35")), "", INDIRECT("'"&amp;$A43&amp;"'!B35:G35"))</f>
        <v>0</v>
      </c>
      <c r="I43" s="149" t="str">
        <f ca="1"/>
        <v/>
      </c>
      <c r="J43" s="149">
        <f ca="1"/>
        <v>0</v>
      </c>
      <c r="K43" s="151" t="str">
        <f ca="1"/>
        <v>-</v>
      </c>
      <c r="L43" s="165" t="str">
        <f ca="1"/>
        <v/>
      </c>
      <c r="M43" s="166" t="str">
        <f ca="1"/>
        <v/>
      </c>
    </row>
    <row r="44" spans="1:13" ht="14.45">
      <c r="A44" s="31" t="str">
        <v>Manchester Office</v>
      </c>
      <c r="B44" s="33" t="str">
        <v>NJ</v>
      </c>
      <c r="C44" s="146" t="str" cm="1">
        <f t="array" aca="1" ref="C44:F44" ca="1">IF(ISBLANK(INDIRECT("'"&amp;$A44&amp;"'!B17:E17")), "", INDIRECT("'"&amp;$A44&amp;"'!B17:E17"))</f>
        <v/>
      </c>
      <c r="D44" s="146" t="str">
        <f ca="1"/>
        <v/>
      </c>
      <c r="E44" s="146">
        <f ca="1"/>
        <v>0</v>
      </c>
      <c r="F44" s="141" t="str">
        <f ca="1"/>
        <v>-</v>
      </c>
      <c r="G44" s="148"/>
      <c r="H44" s="149" cm="1">
        <f t="array" aca="1" ref="H44:M44" ca="1">IF(ISBLANK(INDIRECT("'"&amp;$A44&amp;"'!B35:G35")), "", INDIRECT("'"&amp;$A44&amp;"'!B35:G35"))</f>
        <v>0</v>
      </c>
      <c r="I44" s="149" t="str">
        <f ca="1"/>
        <v/>
      </c>
      <c r="J44" s="149">
        <f ca="1"/>
        <v>0</v>
      </c>
      <c r="K44" s="151" t="str">
        <f ca="1"/>
        <v>-</v>
      </c>
      <c r="L44" s="165" t="str">
        <f ca="1"/>
        <v/>
      </c>
      <c r="M44" s="166" t="str">
        <f ca="1"/>
        <v/>
      </c>
    </row>
    <row r="45" spans="1:13" ht="14.45">
      <c r="A45" s="31" t="str">
        <v>Marlton</v>
      </c>
      <c r="B45" s="33" t="str">
        <v>NJ</v>
      </c>
      <c r="C45" s="146" t="str" cm="1">
        <f t="array" aca="1" ref="C45:F45" ca="1">IF(ISBLANK(INDIRECT("'"&amp;$A45&amp;"'!B17:E17")), "", INDIRECT("'"&amp;$A45&amp;"'!B17:E17"))</f>
        <v/>
      </c>
      <c r="D45" s="146" t="str">
        <f ca="1"/>
        <v/>
      </c>
      <c r="E45" s="146">
        <f ca="1"/>
        <v>0</v>
      </c>
      <c r="F45" s="141" t="str">
        <f ca="1"/>
        <v>-</v>
      </c>
      <c r="G45" s="148"/>
      <c r="H45" s="149" cm="1">
        <f t="array" aca="1" ref="H45:M45" ca="1">IF(ISBLANK(INDIRECT("'"&amp;$A45&amp;"'!B35:G35")), "", INDIRECT("'"&amp;$A45&amp;"'!B35:G35"))</f>
        <v>0</v>
      </c>
      <c r="I45" s="149" t="str">
        <f ca="1"/>
        <v/>
      </c>
      <c r="J45" s="149">
        <f ca="1"/>
        <v>0</v>
      </c>
      <c r="K45" s="151" t="str">
        <f ca="1"/>
        <v>-</v>
      </c>
      <c r="L45" s="165" t="str">
        <f ca="1"/>
        <v/>
      </c>
      <c r="M45" s="166" t="str">
        <f ca="1"/>
        <v/>
      </c>
    </row>
    <row r="46" spans="1:13" ht="14.45">
      <c r="A46" s="31" t="str">
        <v>Middletown</v>
      </c>
      <c r="B46" s="33" t="str">
        <v>NJ</v>
      </c>
      <c r="C46" s="146" t="str" cm="1">
        <f t="array" aca="1" ref="C46:F46" ca="1">IF(ISBLANK(INDIRECT("'"&amp;$A46&amp;"'!B17:E17")), "", INDIRECT("'"&amp;$A46&amp;"'!B17:E17"))</f>
        <v/>
      </c>
      <c r="D46" s="146" t="str">
        <f ca="1"/>
        <v/>
      </c>
      <c r="E46" s="146">
        <f ca="1"/>
        <v>0</v>
      </c>
      <c r="F46" s="141" t="str">
        <f ca="1"/>
        <v>-</v>
      </c>
      <c r="G46" s="148"/>
      <c r="H46" s="149" cm="1">
        <f t="array" aca="1" ref="H46:M46" ca="1">IF(ISBLANK(INDIRECT("'"&amp;$A46&amp;"'!B35:G35")), "", INDIRECT("'"&amp;$A46&amp;"'!B35:G35"))</f>
        <v>0</v>
      </c>
      <c r="I46" s="149" t="str">
        <f ca="1"/>
        <v/>
      </c>
      <c r="J46" s="149">
        <f ca="1"/>
        <v>0</v>
      </c>
      <c r="K46" s="151" t="str">
        <f ca="1"/>
        <v>-</v>
      </c>
      <c r="L46" s="165" t="str">
        <f ca="1"/>
        <v/>
      </c>
      <c r="M46" s="166" t="str">
        <f ca="1"/>
        <v/>
      </c>
    </row>
    <row r="47" spans="1:13" ht="14.45">
      <c r="A47" s="31" t="str">
        <v>North Brunswick</v>
      </c>
      <c r="B47" s="33" t="str">
        <v>NJ</v>
      </c>
      <c r="C47" s="146" t="str" cm="1">
        <f t="array" aca="1" ref="C47:F47" ca="1">IF(ISBLANK(INDIRECT("'"&amp;$A47&amp;"'!B17:E17")), "", INDIRECT("'"&amp;$A47&amp;"'!B17:E17"))</f>
        <v/>
      </c>
      <c r="D47" s="146" t="str">
        <f ca="1"/>
        <v/>
      </c>
      <c r="E47" s="146">
        <f ca="1"/>
        <v>0</v>
      </c>
      <c r="F47" s="141" t="str">
        <f ca="1"/>
        <v>-</v>
      </c>
      <c r="G47" s="148"/>
      <c r="H47" s="149" cm="1">
        <f t="array" aca="1" ref="H47:M47" ca="1">IF(ISBLANK(INDIRECT("'"&amp;$A47&amp;"'!B35:G35")), "", INDIRECT("'"&amp;$A47&amp;"'!B35:G35"))</f>
        <v>0</v>
      </c>
      <c r="I47" s="149" t="str">
        <f ca="1"/>
        <v/>
      </c>
      <c r="J47" s="149">
        <f ca="1"/>
        <v>0</v>
      </c>
      <c r="K47" s="151" t="str">
        <f ca="1"/>
        <v>-</v>
      </c>
      <c r="L47" s="165" t="str">
        <f ca="1"/>
        <v/>
      </c>
      <c r="M47" s="166" t="str">
        <f ca="1"/>
        <v/>
      </c>
    </row>
    <row r="48" spans="1:13" ht="14.45">
      <c r="A48" s="31" t="str">
        <v>North Elizabeth</v>
      </c>
      <c r="B48" s="33" t="str">
        <v>NJ</v>
      </c>
      <c r="C48" s="146" t="str" cm="1">
        <f t="array" aca="1" ref="C48:F48" ca="1">IF(ISBLANK(INDIRECT("'"&amp;$A48&amp;"'!B17:E17")), "", INDIRECT("'"&amp;$A48&amp;"'!B17:E17"))</f>
        <v/>
      </c>
      <c r="D48" s="146" t="str">
        <f ca="1"/>
        <v/>
      </c>
      <c r="E48" s="146">
        <f ca="1"/>
        <v>0</v>
      </c>
      <c r="F48" s="141" t="str">
        <f ca="1"/>
        <v>-</v>
      </c>
      <c r="G48" s="148"/>
      <c r="H48" s="149" cm="1">
        <f t="array" aca="1" ref="H48:M48" ca="1">IF(ISBLANK(INDIRECT("'"&amp;$A48&amp;"'!B35:G35")), "", INDIRECT("'"&amp;$A48&amp;"'!B35:G35"))</f>
        <v>0</v>
      </c>
      <c r="I48" s="149" t="str">
        <f ca="1"/>
        <v/>
      </c>
      <c r="J48" s="149">
        <f ca="1"/>
        <v>0</v>
      </c>
      <c r="K48" s="151" t="str">
        <f ca="1"/>
        <v>-</v>
      </c>
      <c r="L48" s="165" t="str">
        <f ca="1"/>
        <v/>
      </c>
      <c r="M48" s="166" t="str">
        <f ca="1"/>
        <v/>
      </c>
    </row>
    <row r="49" spans="1:13" ht="14.45">
      <c r="A49" s="31" t="str">
        <v>Nutley</v>
      </c>
      <c r="B49" s="33" t="str">
        <v>NJ</v>
      </c>
      <c r="C49" s="146" t="str" cm="1">
        <f t="array" aca="1" ref="C49:F49" ca="1">IF(ISBLANK(INDIRECT("'"&amp;$A49&amp;"'!B17:E17")), "", INDIRECT("'"&amp;$A49&amp;"'!B17:E17"))</f>
        <v/>
      </c>
      <c r="D49" s="146" t="str">
        <f ca="1"/>
        <v/>
      </c>
      <c r="E49" s="146">
        <f ca="1"/>
        <v>0</v>
      </c>
      <c r="F49" s="141" t="str">
        <f ca="1"/>
        <v>-</v>
      </c>
      <c r="G49" s="148"/>
      <c r="H49" s="149" cm="1">
        <f t="array" aca="1" ref="H49:M49" ca="1">IF(ISBLANK(INDIRECT("'"&amp;$A49&amp;"'!B35:G35")), "", INDIRECT("'"&amp;$A49&amp;"'!B35:G35"))</f>
        <v>0</v>
      </c>
      <c r="I49" s="149" t="str">
        <f ca="1"/>
        <v/>
      </c>
      <c r="J49" s="149">
        <f ca="1"/>
        <v>0</v>
      </c>
      <c r="K49" s="151" t="str">
        <f ca="1"/>
        <v>-</v>
      </c>
      <c r="L49" s="165" t="str">
        <f ca="1"/>
        <v/>
      </c>
      <c r="M49" s="166" t="str">
        <f ca="1"/>
        <v/>
      </c>
    </row>
    <row r="50" spans="1:13" ht="14.45">
      <c r="A50" s="31" t="str">
        <v>Parsippany Rt. 46</v>
      </c>
      <c r="B50" s="33" t="str">
        <v>NJ</v>
      </c>
      <c r="C50" s="146" t="str" cm="1">
        <f t="array" aca="1" ref="C50:F50" ca="1">IF(ISBLANK(INDIRECT("'"&amp;$A50&amp;"'!B17:E17")), "", INDIRECT("'"&amp;$A50&amp;"'!B17:E17"))</f>
        <v/>
      </c>
      <c r="D50" s="146" t="str">
        <f ca="1"/>
        <v/>
      </c>
      <c r="E50" s="146">
        <f ca="1"/>
        <v>0</v>
      </c>
      <c r="F50" s="141" t="str">
        <f ca="1"/>
        <v>-</v>
      </c>
      <c r="G50" s="148"/>
      <c r="H50" s="149" cm="1">
        <f t="array" aca="1" ref="H50:M50" ca="1">IF(ISBLANK(INDIRECT("'"&amp;$A50&amp;"'!B35:G35")), "", INDIRECT("'"&amp;$A50&amp;"'!B35:G35"))</f>
        <v>0</v>
      </c>
      <c r="I50" s="149" t="str">
        <f ca="1"/>
        <v/>
      </c>
      <c r="J50" s="149">
        <f ca="1"/>
        <v>0</v>
      </c>
      <c r="K50" s="151" t="str">
        <f ca="1"/>
        <v>-</v>
      </c>
      <c r="L50" s="165" t="str">
        <f ca="1"/>
        <v/>
      </c>
      <c r="M50" s="166" t="str">
        <f ca="1"/>
        <v/>
      </c>
    </row>
    <row r="51" spans="1:13" ht="14.45">
      <c r="A51" s="31" t="str">
        <v>Rt. 22 Springfield</v>
      </c>
      <c r="B51" s="33" t="str">
        <v>NJ</v>
      </c>
      <c r="C51" s="146" t="str" cm="1">
        <f t="array" aca="1" ref="C51:F51" ca="1">IF(ISBLANK(INDIRECT("'"&amp;$A51&amp;"'!B17:E17")), "", INDIRECT("'"&amp;$A51&amp;"'!B17:E17"))</f>
        <v/>
      </c>
      <c r="D51" s="146" t="str">
        <f ca="1"/>
        <v/>
      </c>
      <c r="E51" s="146">
        <f ca="1"/>
        <v>0</v>
      </c>
      <c r="F51" s="141" t="str">
        <f ca="1"/>
        <v>-</v>
      </c>
      <c r="G51" s="148"/>
      <c r="H51" s="149" cm="1">
        <f t="array" aca="1" ref="H51:M51" ca="1">IF(ISBLANK(INDIRECT("'"&amp;$A51&amp;"'!B35:G35")), "", INDIRECT("'"&amp;$A51&amp;"'!B35:G35"))</f>
        <v>0</v>
      </c>
      <c r="I51" s="149" t="str">
        <f ca="1"/>
        <v/>
      </c>
      <c r="J51" s="149">
        <f ca="1"/>
        <v>0</v>
      </c>
      <c r="K51" s="151" t="str">
        <f ca="1"/>
        <v>-</v>
      </c>
      <c r="L51" s="165" t="str">
        <f ca="1"/>
        <v/>
      </c>
      <c r="M51" s="166" t="str">
        <f ca="1"/>
        <v/>
      </c>
    </row>
    <row r="52" spans="1:13" ht="14.45">
      <c r="A52" s="31" t="str">
        <v>Somerset</v>
      </c>
      <c r="B52" s="33" t="str">
        <v>NJ</v>
      </c>
      <c r="C52" s="146" t="str" cm="1">
        <f t="array" aca="1" ref="C52:F52" ca="1">IF(ISBLANK(INDIRECT("'"&amp;$A52&amp;"'!B17:E17")), "", INDIRECT("'"&amp;$A52&amp;"'!B17:E17"))</f>
        <v/>
      </c>
      <c r="D52" s="146" t="str">
        <f ca="1"/>
        <v/>
      </c>
      <c r="E52" s="146">
        <f ca="1"/>
        <v>0</v>
      </c>
      <c r="F52" s="141" t="str">
        <f ca="1"/>
        <v>-</v>
      </c>
      <c r="G52" s="148"/>
      <c r="H52" s="149" cm="1">
        <f t="array" aca="1" ref="H52:M52" ca="1">IF(ISBLANK(INDIRECT("'"&amp;$A52&amp;"'!B35:G35")), "", INDIRECT("'"&amp;$A52&amp;"'!B35:G35"))</f>
        <v>0</v>
      </c>
      <c r="I52" s="149" t="str">
        <f ca="1"/>
        <v/>
      </c>
      <c r="J52" s="149">
        <f ca="1"/>
        <v>0</v>
      </c>
      <c r="K52" s="151" t="str">
        <f ca="1"/>
        <v>-</v>
      </c>
      <c r="L52" s="165" t="str">
        <f ca="1"/>
        <v/>
      </c>
      <c r="M52" s="166" t="str">
        <f ca="1"/>
        <v/>
      </c>
    </row>
    <row r="53" spans="1:13" ht="14.45">
      <c r="A53" s="31" t="str">
        <v>South Plainfield</v>
      </c>
      <c r="B53" s="33" t="str">
        <v>NJ</v>
      </c>
      <c r="C53" s="146" t="str" cm="1">
        <f t="array" aca="1" ref="C53:F53" ca="1">IF(ISBLANK(INDIRECT("'"&amp;$A53&amp;"'!B17:E17")), "", INDIRECT("'"&amp;$A53&amp;"'!B17:E17"))</f>
        <v/>
      </c>
      <c r="D53" s="146" t="str">
        <f ca="1"/>
        <v/>
      </c>
      <c r="E53" s="146">
        <f ca="1"/>
        <v>0</v>
      </c>
      <c r="F53" s="141" t="str">
        <f ca="1"/>
        <v>-</v>
      </c>
      <c r="G53" s="148"/>
      <c r="H53" s="149" cm="1">
        <f t="array" aca="1" ref="H53:M53" ca="1">IF(ISBLANK(INDIRECT("'"&amp;$A53&amp;"'!B35:G35")), "", INDIRECT("'"&amp;$A53&amp;"'!B35:G35"))</f>
        <v>0</v>
      </c>
      <c r="I53" s="149" t="str">
        <f ca="1"/>
        <v/>
      </c>
      <c r="J53" s="149">
        <f ca="1"/>
        <v>0</v>
      </c>
      <c r="K53" s="151" t="str">
        <f ca="1"/>
        <v>-</v>
      </c>
      <c r="L53" s="165" t="str">
        <f ca="1"/>
        <v/>
      </c>
      <c r="M53" s="166" t="str">
        <f ca="1"/>
        <v/>
      </c>
    </row>
    <row r="54" spans="1:13" ht="14.45">
      <c r="A54" s="31" t="str">
        <v>West Deptford Woodbury</v>
      </c>
      <c r="B54" s="33" t="str">
        <v>NJ</v>
      </c>
      <c r="C54" s="146" t="str" cm="1">
        <f t="array" aca="1" ref="C54:F54" ca="1">IF(ISBLANK(INDIRECT("'"&amp;$A54&amp;"'!B17:E17")), "", INDIRECT("'"&amp;$A54&amp;"'!B17:E17"))</f>
        <v/>
      </c>
      <c r="D54" s="146" t="str">
        <f ca="1"/>
        <v/>
      </c>
      <c r="E54" s="146">
        <f ca="1"/>
        <v>0</v>
      </c>
      <c r="F54" s="141" t="str">
        <f ca="1"/>
        <v>-</v>
      </c>
      <c r="G54" s="148"/>
      <c r="H54" s="149" cm="1">
        <f t="array" aca="1" ref="H54:M54" ca="1">IF(ISBLANK(INDIRECT("'"&amp;$A54&amp;"'!B35:G35")), "", INDIRECT("'"&amp;$A54&amp;"'!B35:G35"))</f>
        <v>0</v>
      </c>
      <c r="I54" s="149" t="str">
        <f ca="1"/>
        <v/>
      </c>
      <c r="J54" s="149">
        <f ca="1"/>
        <v>0</v>
      </c>
      <c r="K54" s="151" t="str">
        <f ca="1"/>
        <v>-</v>
      </c>
      <c r="L54" s="165" t="str">
        <f ca="1"/>
        <v/>
      </c>
      <c r="M54" s="166" t="str">
        <f ca="1"/>
        <v/>
      </c>
    </row>
    <row r="55" spans="1:13" ht="14.45">
      <c r="A55" s="31" t="str">
        <v>Whiting</v>
      </c>
      <c r="B55" s="33" t="str">
        <v>NJ</v>
      </c>
      <c r="C55" s="146" t="str" cm="1">
        <f t="array" aca="1" ref="C55:F55" ca="1">IF(ISBLANK(INDIRECT("'"&amp;$A55&amp;"'!B17:E17")), "", INDIRECT("'"&amp;$A55&amp;"'!B17:E17"))</f>
        <v/>
      </c>
      <c r="D55" s="146" t="str">
        <f ca="1"/>
        <v/>
      </c>
      <c r="E55" s="146">
        <f ca="1"/>
        <v>0</v>
      </c>
      <c r="F55" s="152" t="str">
        <f ca="1"/>
        <v>-</v>
      </c>
      <c r="G55" s="148"/>
      <c r="H55" s="149" cm="1">
        <f t="array" aca="1" ref="H55:M55" ca="1">IF(ISBLANK(INDIRECT("'"&amp;$A55&amp;"'!B35:G35")), "", INDIRECT("'"&amp;$A55&amp;"'!B35:G35"))</f>
        <v>0</v>
      </c>
      <c r="I55" s="149" t="str">
        <f ca="1"/>
        <v/>
      </c>
      <c r="J55" s="149">
        <f ca="1"/>
        <v>0</v>
      </c>
      <c r="K55" s="153" t="str">
        <f ca="1"/>
        <v>-</v>
      </c>
      <c r="L55" s="165" t="str">
        <f ca="1"/>
        <v/>
      </c>
      <c r="M55" s="166" t="str">
        <f ca="1"/>
        <v/>
      </c>
    </row>
    <row r="56" spans="1:13" ht="13.5" customHeight="1">
      <c r="A56" s="31" t="str">
        <v>102 - San Antonio Ops</v>
      </c>
      <c r="B56" s="33" t="str">
        <v>TX</v>
      </c>
      <c r="C56" s="146" t="str" cm="1">
        <f t="array" aca="1" ref="C56:F56" ca="1">IF(ISBLANK(INDIRECT("'"&amp;$A56&amp;"'!B17:E17")), "", INDIRECT("'"&amp;$A56&amp;"'!B17:E17"))</f>
        <v/>
      </c>
      <c r="D56" s="132" t="str">
        <f ca="1"/>
        <v/>
      </c>
      <c r="E56" s="154">
        <f ca="1"/>
        <v>0</v>
      </c>
      <c r="F56" s="141" t="str">
        <f ca="1"/>
        <v>-</v>
      </c>
      <c r="G56" s="155"/>
      <c r="H56" s="149" cm="1">
        <f t="array" aca="1" ref="H56:M56" ca="1">IF(ISBLANK(INDIRECT("'"&amp;$A56&amp;"'!B35:G35")), "", INDIRECT("'"&amp;$A56&amp;"'!B35:G35"))</f>
        <v>0</v>
      </c>
      <c r="I56" s="149" t="str">
        <f ca="1"/>
        <v/>
      </c>
      <c r="J56" s="105">
        <f ca="1"/>
        <v>0</v>
      </c>
      <c r="K56" s="151" t="str">
        <f ca="1"/>
        <v>-</v>
      </c>
      <c r="L56" s="167" t="str">
        <f ca="1"/>
        <v/>
      </c>
      <c r="M56" s="166" t="str">
        <f ca="1"/>
        <v/>
      </c>
    </row>
    <row r="57" spans="1:13" ht="13.5" customHeight="1">
      <c r="A57" s="31" t="str">
        <v>104 - San Antonio Ops</v>
      </c>
      <c r="B57" s="33" t="str">
        <v>TX</v>
      </c>
      <c r="C57" s="146" t="str" cm="1">
        <f t="array" aca="1" ref="C57:F57" ca="1">IF(ISBLANK(INDIRECT("'"&amp;$A57&amp;"'!B17:E17")), "", INDIRECT("'"&amp;$A57&amp;"'!B17:E17"))</f>
        <v/>
      </c>
      <c r="D57" s="132" t="str">
        <f ca="1"/>
        <v/>
      </c>
      <c r="E57" s="154">
        <f ca="1"/>
        <v>0</v>
      </c>
      <c r="F57" s="141" t="str">
        <f ca="1"/>
        <v>-</v>
      </c>
      <c r="G57" s="155"/>
      <c r="H57" s="149" cm="1">
        <f t="array" aca="1" ref="H57:M57" ca="1">IF(ISBLANK(INDIRECT("'"&amp;$A57&amp;"'!B35:G35")), "", INDIRECT("'"&amp;$A57&amp;"'!B35:G35"))</f>
        <v>0</v>
      </c>
      <c r="I57" s="149" t="str">
        <f ca="1"/>
        <v/>
      </c>
      <c r="J57" s="149">
        <f ca="1"/>
        <v>0</v>
      </c>
      <c r="K57" s="151" t="str">
        <f ca="1"/>
        <v>-</v>
      </c>
      <c r="L57" s="167" t="str">
        <f ca="1"/>
        <v/>
      </c>
      <c r="M57" s="166" t="str">
        <f ca="1"/>
        <v/>
      </c>
    </row>
    <row r="58" spans="1:13" ht="14.45">
      <c r="A58" s="31" t="str">
        <v>106 - San Antonio Ops</v>
      </c>
      <c r="B58" s="33" t="str">
        <v>TX</v>
      </c>
      <c r="C58" s="146" t="str" cm="1">
        <f t="array" aca="1" ref="C58:F58" ca="1">IF(ISBLANK(INDIRECT("'"&amp;$A58&amp;"'!B17:E17")), "", INDIRECT("'"&amp;$A58&amp;"'!B17:E17"))</f>
        <v/>
      </c>
      <c r="D58" s="132" t="str">
        <f ca="1"/>
        <v/>
      </c>
      <c r="E58" s="154">
        <f ca="1"/>
        <v>0</v>
      </c>
      <c r="F58" s="141" t="str">
        <f ca="1"/>
        <v>-</v>
      </c>
      <c r="G58" s="155"/>
      <c r="H58" s="149" cm="1">
        <f t="array" aca="1" ref="H58:M58" ca="1">IF(ISBLANK(INDIRECT("'"&amp;$A58&amp;"'!B35:G35")), "", INDIRECT("'"&amp;$A58&amp;"'!B35:G35"))</f>
        <v>0</v>
      </c>
      <c r="I58" s="149" t="str">
        <f ca="1"/>
        <v/>
      </c>
      <c r="J58" s="105">
        <f ca="1"/>
        <v>0</v>
      </c>
      <c r="K58" s="151" t="str">
        <f ca="1"/>
        <v>-</v>
      </c>
      <c r="L58" s="167" t="str">
        <f ca="1"/>
        <v/>
      </c>
      <c r="M58" s="166" t="str">
        <f ca="1"/>
        <v/>
      </c>
    </row>
    <row r="59" spans="1:13" ht="14.45">
      <c r="A59" s="31" t="str">
        <v>201 - San Antonio Ops</v>
      </c>
      <c r="B59" s="33" t="str">
        <v>TX</v>
      </c>
      <c r="C59" s="146" t="str" cm="1">
        <f t="array" aca="1" ref="C59:F59" ca="1">IF(ISBLANK(INDIRECT("'"&amp;$A59&amp;"'!B17:E17")), "", INDIRECT("'"&amp;$A59&amp;"'!B17:E17"))</f>
        <v/>
      </c>
      <c r="D59" s="132" t="str">
        <f ca="1"/>
        <v/>
      </c>
      <c r="E59" s="154">
        <f ca="1"/>
        <v>0</v>
      </c>
      <c r="F59" s="141" t="str">
        <f ca="1"/>
        <v>-</v>
      </c>
      <c r="G59" s="155"/>
      <c r="H59" s="149" cm="1">
        <f t="array" aca="1" ref="H59:M59" ca="1">IF(ISBLANK(INDIRECT("'"&amp;$A59&amp;"'!B35:G35")), "", INDIRECT("'"&amp;$A59&amp;"'!B35:G35"))</f>
        <v>0</v>
      </c>
      <c r="I59" s="149" t="str">
        <f ca="1"/>
        <v/>
      </c>
      <c r="J59" s="149">
        <f ca="1"/>
        <v>0</v>
      </c>
      <c r="K59" s="151" t="str">
        <f ca="1"/>
        <v>-</v>
      </c>
      <c r="L59" s="167" t="str">
        <f ca="1"/>
        <v/>
      </c>
      <c r="M59" s="166" t="str">
        <f ca="1"/>
        <v/>
      </c>
    </row>
    <row r="60" spans="1:13" ht="14.45">
      <c r="A60" s="31" t="str">
        <v>203 - San Antonio Ops</v>
      </c>
      <c r="B60" s="33" t="str">
        <v>TX</v>
      </c>
      <c r="C60" s="146" t="str" cm="1">
        <f t="array" aca="1" ref="C60:F60" ca="1">IF(ISBLANK(INDIRECT("'"&amp;$A60&amp;"'!B17:E17")), "", INDIRECT("'"&amp;$A60&amp;"'!B17:E17"))</f>
        <v/>
      </c>
      <c r="D60" s="132" t="str">
        <f ca="1"/>
        <v/>
      </c>
      <c r="E60" s="154">
        <f ca="1"/>
        <v>0</v>
      </c>
      <c r="F60" s="141" t="str">
        <f ca="1"/>
        <v>-</v>
      </c>
      <c r="G60" s="155"/>
      <c r="H60" s="149" cm="1">
        <f t="array" aca="1" ref="H60:M60" ca="1">IF(ISBLANK(INDIRECT("'"&amp;$A60&amp;"'!B35:G35")), "", INDIRECT("'"&amp;$A60&amp;"'!B35:G35"))</f>
        <v>0</v>
      </c>
      <c r="I60" s="149" t="str">
        <f ca="1"/>
        <v/>
      </c>
      <c r="J60" s="105">
        <f ca="1"/>
        <v>0</v>
      </c>
      <c r="K60" s="151" t="str">
        <f ca="1"/>
        <v>-</v>
      </c>
      <c r="L60" s="167" t="str">
        <f ca="1"/>
        <v/>
      </c>
      <c r="M60" s="166" t="str">
        <f ca="1"/>
        <v/>
      </c>
    </row>
    <row r="61" spans="1:13" ht="14.45">
      <c r="A61" s="31" t="str">
        <v>205 - San Antonio Ops</v>
      </c>
      <c r="B61" s="33" t="str">
        <v>TX</v>
      </c>
      <c r="C61" s="146" t="str" cm="1">
        <f t="array" aca="1" ref="C61:F61" ca="1">IF(ISBLANK(INDIRECT("'"&amp;$A61&amp;"'!B17:E17")), "", INDIRECT("'"&amp;$A61&amp;"'!B17:E17"))</f>
        <v/>
      </c>
      <c r="D61" s="132" t="str">
        <f ca="1"/>
        <v/>
      </c>
      <c r="E61" s="154">
        <f ca="1"/>
        <v>0</v>
      </c>
      <c r="F61" s="141" t="str">
        <f ca="1"/>
        <v>-</v>
      </c>
      <c r="G61" s="155"/>
      <c r="H61" s="149" cm="1">
        <f t="array" aca="1" ref="H61:M61" ca="1">IF(ISBLANK(INDIRECT("'"&amp;$A61&amp;"'!B35:G35")), "", INDIRECT("'"&amp;$A61&amp;"'!B35:G35"))</f>
        <v>0</v>
      </c>
      <c r="I61" s="149" t="str">
        <f ca="1"/>
        <v/>
      </c>
      <c r="J61" s="149">
        <f ca="1"/>
        <v>0</v>
      </c>
      <c r="K61" s="151" t="str">
        <f ca="1"/>
        <v>-</v>
      </c>
      <c r="L61" s="167" t="str">
        <f ca="1"/>
        <v/>
      </c>
      <c r="M61" s="166" t="str">
        <f ca="1"/>
        <v/>
      </c>
    </row>
    <row r="62" spans="1:13" ht="14.45">
      <c r="A62" s="31" t="str">
        <v>307 - San Antonio Ops</v>
      </c>
      <c r="B62" s="33" t="str">
        <v>TX</v>
      </c>
      <c r="C62" s="146" t="str" cm="1">
        <f t="array" aca="1" ref="C62:F62" ca="1">IF(ISBLANK(INDIRECT("'"&amp;$A62&amp;"'!B17:E17")), "", INDIRECT("'"&amp;$A62&amp;"'!B17:E17"))</f>
        <v/>
      </c>
      <c r="D62" s="132" t="str">
        <f ca="1"/>
        <v/>
      </c>
      <c r="E62" s="154">
        <f ca="1"/>
        <v>0</v>
      </c>
      <c r="F62" s="141" t="str">
        <f ca="1"/>
        <v>-</v>
      </c>
      <c r="G62" s="155"/>
      <c r="H62" s="149" cm="1">
        <f t="array" aca="1" ref="H62:M62" ca="1">IF(ISBLANK(INDIRECT("'"&amp;$A62&amp;"'!B35:G35")), "", INDIRECT("'"&amp;$A62&amp;"'!B35:G35"))</f>
        <v>0</v>
      </c>
      <c r="I62" s="149" t="str">
        <f ca="1"/>
        <v/>
      </c>
      <c r="J62" s="105">
        <f ca="1"/>
        <v>0</v>
      </c>
      <c r="K62" s="151" t="str">
        <f ca="1"/>
        <v>-</v>
      </c>
      <c r="L62" s="167" t="str">
        <f ca="1"/>
        <v/>
      </c>
      <c r="M62" s="166" t="str">
        <f ca="1"/>
        <v/>
      </c>
    </row>
    <row r="63" spans="1:13" ht="14.45">
      <c r="A63" s="31" t="str">
        <v>308 - San Antonio Ops</v>
      </c>
      <c r="B63" s="33" t="str">
        <v>TX</v>
      </c>
      <c r="C63" s="146" t="str" cm="1">
        <f t="array" aca="1" ref="C63:F63" ca="1">IF(ISBLANK(INDIRECT("'"&amp;$A63&amp;"'!B17:E17")), "", INDIRECT("'"&amp;$A63&amp;"'!B17:E17"))</f>
        <v/>
      </c>
      <c r="D63" s="132" t="str">
        <f ca="1"/>
        <v/>
      </c>
      <c r="E63" s="154">
        <f ca="1"/>
        <v>0</v>
      </c>
      <c r="F63" s="141" t="str">
        <f ca="1"/>
        <v>-</v>
      </c>
      <c r="G63" s="155"/>
      <c r="H63" s="149" cm="1">
        <f t="array" aca="1" ref="H63:M63" ca="1">IF(ISBLANK(INDIRECT("'"&amp;$A63&amp;"'!B35:G35")), "", INDIRECT("'"&amp;$A63&amp;"'!B35:G35"))</f>
        <v>0</v>
      </c>
      <c r="I63" s="149" t="str">
        <f ca="1"/>
        <v/>
      </c>
      <c r="J63" s="149">
        <f ca="1"/>
        <v>0</v>
      </c>
      <c r="K63" s="151" t="str">
        <f ca="1"/>
        <v>-</v>
      </c>
      <c r="L63" s="167" t="str">
        <f ca="1"/>
        <v/>
      </c>
      <c r="M63" s="166" t="str">
        <f ca="1"/>
        <v/>
      </c>
    </row>
    <row r="64" spans="1:13" ht="15" thickBot="1">
      <c r="A64" s="31" t="str">
        <v>GM - San Antonio Ops</v>
      </c>
      <c r="B64" s="33" t="str">
        <v>TX</v>
      </c>
      <c r="C64" s="146" t="str" cm="1">
        <f t="array" aca="1" ref="C64:F64" ca="1">IF(ISBLANK(INDIRECT("'"&amp;$A64&amp;"'!B17:E17")), "", INDIRECT("'"&amp;$A64&amp;"'!B17:E17"))</f>
        <v/>
      </c>
      <c r="D64" s="132" t="str">
        <f ca="1"/>
        <v/>
      </c>
      <c r="E64" s="154">
        <f ca="1"/>
        <v>0</v>
      </c>
      <c r="F64" s="141" t="str">
        <f ca="1"/>
        <v>-</v>
      </c>
      <c r="G64" s="155"/>
      <c r="H64" s="149" cm="1">
        <f t="array" aca="1" ref="H64:M64" ca="1">IF(ISBLANK(INDIRECT("'"&amp;$A64&amp;"'!B35:G35")), "", INDIRECT("'"&amp;$A64&amp;"'!B35:G35"))</f>
        <v>0</v>
      </c>
      <c r="I64" s="149" t="str">
        <f ca="1"/>
        <v/>
      </c>
      <c r="J64" s="105">
        <f ca="1"/>
        <v>0</v>
      </c>
      <c r="K64" s="151" t="str">
        <f ca="1"/>
        <v>-</v>
      </c>
      <c r="L64" s="167" t="str">
        <f ca="1"/>
        <v/>
      </c>
      <c r="M64" s="166" t="str">
        <f ca="1"/>
        <v/>
      </c>
    </row>
    <row r="65" spans="1:12" ht="15" thickBot="1">
      <c r="A65" s="226" t="s">
        <v>11</v>
      </c>
      <c r="B65" s="227"/>
      <c r="C65" s="156">
        <f ca="1">SUM(C3:C64)</f>
        <v>0</v>
      </c>
      <c r="D65" s="156">
        <f ca="1">SUM(D3:D64)</f>
        <v>0</v>
      </c>
      <c r="E65" s="156">
        <f ca="1">C65-D65</f>
        <v>0</v>
      </c>
      <c r="F65" s="157" t="str">
        <f ca="1">IFERROR(E65/D65, "-")</f>
        <v>-</v>
      </c>
      <c r="G65" s="160"/>
      <c r="H65" s="156">
        <f ca="1">C65</f>
        <v>0</v>
      </c>
      <c r="I65" s="156">
        <f ca="1">SUM(I3:I64)</f>
        <v>0</v>
      </c>
      <c r="J65" s="159">
        <f ca="1">H65-I65</f>
        <v>0</v>
      </c>
      <c r="K65" s="157" t="str">
        <f ca="1">IFERROR(J65/I65, "-")</f>
        <v>-</v>
      </c>
      <c r="L65" s="61"/>
    </row>
  </sheetData>
  <mergeCells count="6">
    <mergeCell ref="A65:B65"/>
    <mergeCell ref="M1:M2"/>
    <mergeCell ref="C1:F1"/>
    <mergeCell ref="H1:K1"/>
    <mergeCell ref="A1:B1"/>
    <mergeCell ref="L1:L2"/>
  </mergeCells>
  <conditionalFormatting sqref="F3:F64">
    <cfRule type="cellIs" dxfId="8" priority="3" operator="equal">
      <formula>"-"</formula>
    </cfRule>
  </conditionalFormatting>
  <conditionalFormatting sqref="F3:F65 K3:K65">
    <cfRule type="cellIs" dxfId="7" priority="4" operator="lessThanOrEqual">
      <formula>-0.1</formula>
    </cfRule>
    <cfRule type="cellIs" dxfId="6" priority="5" operator="greaterThanOrEqual">
      <formula>0.1</formula>
    </cfRule>
  </conditionalFormatting>
  <conditionalFormatting sqref="F65 K65">
    <cfRule type="cellIs" dxfId="5" priority="1" operator="equal">
      <formula>"-"</formula>
    </cfRule>
  </conditionalFormatting>
  <conditionalFormatting sqref="K3:K64">
    <cfRule type="cellIs" dxfId="4" priority="2" operator="equal">
      <formula>"-"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/>
  <dimension ref="A1:E63"/>
  <sheetViews>
    <sheetView workbookViewId="0">
      <pane ySplit="1" topLeftCell="A26" activePane="bottomLeft" state="frozen"/>
      <selection pane="bottomLeft" activeCell="H22" sqref="H22"/>
    </sheetView>
  </sheetViews>
  <sheetFormatPr defaultRowHeight="13.15"/>
  <cols>
    <col min="1" max="2" width="41.85546875" customWidth="1"/>
  </cols>
  <sheetData>
    <row r="1" spans="1:5" ht="13.9" thickBot="1">
      <c r="A1" s="50" t="s">
        <v>47</v>
      </c>
      <c r="B1" s="50" t="s">
        <v>24</v>
      </c>
      <c r="C1" s="50" t="s">
        <v>3</v>
      </c>
      <c r="D1" s="95" t="s">
        <v>48</v>
      </c>
      <c r="E1" s="95" t="s">
        <v>49</v>
      </c>
    </row>
    <row r="2" spans="1:5">
      <c r="A2" s="25" t="s">
        <v>50</v>
      </c>
      <c r="B2" s="25" t="s">
        <v>51</v>
      </c>
      <c r="C2" s="25" t="s">
        <v>52</v>
      </c>
    </row>
    <row r="3" spans="1:5">
      <c r="A3" s="24" t="s">
        <v>53</v>
      </c>
      <c r="B3" s="24" t="s">
        <v>54</v>
      </c>
      <c r="C3" s="25" t="s">
        <v>52</v>
      </c>
    </row>
    <row r="4" spans="1:5">
      <c r="A4" s="24" t="s">
        <v>55</v>
      </c>
      <c r="B4" s="24" t="s">
        <v>56</v>
      </c>
      <c r="C4" s="25" t="s">
        <v>52</v>
      </c>
      <c r="D4" t="s">
        <v>57</v>
      </c>
      <c r="E4" t="s">
        <v>58</v>
      </c>
    </row>
    <row r="5" spans="1:5">
      <c r="A5" s="24" t="s">
        <v>59</v>
      </c>
      <c r="B5" s="24" t="s">
        <v>60</v>
      </c>
      <c r="C5" s="25" t="s">
        <v>52</v>
      </c>
      <c r="D5" t="s">
        <v>61</v>
      </c>
      <c r="E5" t="s">
        <v>62</v>
      </c>
    </row>
    <row r="6" spans="1:5">
      <c r="A6" s="24" t="s">
        <v>63</v>
      </c>
      <c r="B6" s="24" t="s">
        <v>64</v>
      </c>
      <c r="C6" s="25" t="s">
        <v>65</v>
      </c>
      <c r="D6" t="s">
        <v>61</v>
      </c>
      <c r="E6" t="s">
        <v>62</v>
      </c>
    </row>
    <row r="7" spans="1:5">
      <c r="A7" s="24" t="s">
        <v>66</v>
      </c>
      <c r="B7" s="24" t="s">
        <v>67</v>
      </c>
      <c r="C7" s="25" t="s">
        <v>65</v>
      </c>
      <c r="D7" t="s">
        <v>61</v>
      </c>
      <c r="E7" t="s">
        <v>62</v>
      </c>
    </row>
    <row r="8" spans="1:5">
      <c r="A8" s="24" t="s">
        <v>68</v>
      </c>
      <c r="B8" s="24" t="s">
        <v>69</v>
      </c>
      <c r="C8" s="25" t="s">
        <v>65</v>
      </c>
      <c r="D8" t="s">
        <v>61</v>
      </c>
      <c r="E8" t="s">
        <v>62</v>
      </c>
    </row>
    <row r="9" spans="1:5">
      <c r="A9" s="24" t="s">
        <v>70</v>
      </c>
      <c r="B9" s="24" t="s">
        <v>71</v>
      </c>
      <c r="C9" s="25" t="s">
        <v>65</v>
      </c>
      <c r="D9" t="s">
        <v>57</v>
      </c>
      <c r="E9" t="s">
        <v>58</v>
      </c>
    </row>
    <row r="10" spans="1:5">
      <c r="A10" s="24" t="s">
        <v>72</v>
      </c>
      <c r="B10" s="24" t="s">
        <v>73</v>
      </c>
      <c r="C10" s="25" t="s">
        <v>65</v>
      </c>
      <c r="D10" t="s">
        <v>61</v>
      </c>
      <c r="E10" t="s">
        <v>62</v>
      </c>
    </row>
    <row r="11" spans="1:5">
      <c r="A11" s="24" t="s">
        <v>74</v>
      </c>
      <c r="B11" s="24" t="s">
        <v>75</v>
      </c>
      <c r="C11" s="25" t="s">
        <v>65</v>
      </c>
      <c r="D11" t="s">
        <v>61</v>
      </c>
      <c r="E11" t="s">
        <v>62</v>
      </c>
    </row>
    <row r="12" spans="1:5">
      <c r="A12" s="24" t="s">
        <v>76</v>
      </c>
      <c r="B12" s="24" t="s">
        <v>77</v>
      </c>
      <c r="C12" s="25" t="s">
        <v>65</v>
      </c>
      <c r="D12" t="s">
        <v>61</v>
      </c>
      <c r="E12" t="s">
        <v>62</v>
      </c>
    </row>
    <row r="13" spans="1:5">
      <c r="A13" s="24" t="s">
        <v>78</v>
      </c>
      <c r="B13" s="24" t="s">
        <v>79</v>
      </c>
      <c r="C13" s="25" t="s">
        <v>65</v>
      </c>
      <c r="D13" t="s">
        <v>61</v>
      </c>
      <c r="E13" t="s">
        <v>62</v>
      </c>
    </row>
    <row r="14" spans="1:5">
      <c r="A14" s="24" t="s">
        <v>80</v>
      </c>
      <c r="B14" s="24" t="s">
        <v>81</v>
      </c>
      <c r="C14" s="25" t="s">
        <v>65</v>
      </c>
      <c r="D14" t="s">
        <v>61</v>
      </c>
      <c r="E14" t="s">
        <v>62</v>
      </c>
    </row>
    <row r="15" spans="1:5">
      <c r="A15" s="24" t="s">
        <v>82</v>
      </c>
      <c r="B15" s="24" t="s">
        <v>83</v>
      </c>
      <c r="C15" s="25" t="s">
        <v>65</v>
      </c>
      <c r="D15" t="s">
        <v>61</v>
      </c>
      <c r="E15" t="s">
        <v>62</v>
      </c>
    </row>
    <row r="16" spans="1:5">
      <c r="A16" s="24" t="s">
        <v>84</v>
      </c>
      <c r="B16" s="24" t="s">
        <v>85</v>
      </c>
      <c r="C16" s="24" t="s">
        <v>86</v>
      </c>
      <c r="D16" t="s">
        <v>57</v>
      </c>
      <c r="E16" t="s">
        <v>58</v>
      </c>
    </row>
    <row r="17" spans="1:5">
      <c r="A17" s="24" t="s">
        <v>87</v>
      </c>
      <c r="B17" s="24" t="s">
        <v>88</v>
      </c>
      <c r="C17" s="24" t="s">
        <v>86</v>
      </c>
      <c r="D17" t="s">
        <v>57</v>
      </c>
      <c r="E17" t="s">
        <v>58</v>
      </c>
    </row>
    <row r="18" spans="1:5">
      <c r="A18" s="24" t="s">
        <v>89</v>
      </c>
      <c r="B18" s="24" t="s">
        <v>90</v>
      </c>
      <c r="C18" s="24" t="s">
        <v>91</v>
      </c>
      <c r="D18" t="s">
        <v>57</v>
      </c>
      <c r="E18" t="s">
        <v>58</v>
      </c>
    </row>
    <row r="19" spans="1:5">
      <c r="A19" s="24" t="s">
        <v>92</v>
      </c>
      <c r="B19" s="24" t="s">
        <v>93</v>
      </c>
      <c r="C19" s="24" t="s">
        <v>94</v>
      </c>
      <c r="D19" t="s">
        <v>57</v>
      </c>
      <c r="E19" t="s">
        <v>58</v>
      </c>
    </row>
    <row r="20" spans="1:5">
      <c r="A20" s="24" t="s">
        <v>95</v>
      </c>
      <c r="B20" s="24" t="s">
        <v>96</v>
      </c>
      <c r="C20" s="24" t="s">
        <v>94</v>
      </c>
      <c r="D20" t="s">
        <v>57</v>
      </c>
      <c r="E20" t="s">
        <v>58</v>
      </c>
    </row>
    <row r="21" spans="1:5">
      <c r="A21" s="24" t="s">
        <v>97</v>
      </c>
      <c r="B21" s="24" t="s">
        <v>98</v>
      </c>
      <c r="C21" s="26" t="s">
        <v>94</v>
      </c>
      <c r="D21" t="s">
        <v>57</v>
      </c>
      <c r="E21" t="s">
        <v>58</v>
      </c>
    </row>
    <row r="22" spans="1:5">
      <c r="A22" s="28" t="s">
        <v>99</v>
      </c>
      <c r="B22" s="28" t="s">
        <v>100</v>
      </c>
      <c r="C22" s="27" t="s">
        <v>101</v>
      </c>
      <c r="D22" t="s">
        <v>57</v>
      </c>
      <c r="E22" t="s">
        <v>58</v>
      </c>
    </row>
    <row r="23" spans="1:5">
      <c r="A23" s="26" t="s">
        <v>102</v>
      </c>
      <c r="B23" s="26" t="s">
        <v>103</v>
      </c>
      <c r="C23" s="27" t="s">
        <v>101</v>
      </c>
      <c r="D23" t="s">
        <v>57</v>
      </c>
      <c r="E23" t="s">
        <v>58</v>
      </c>
    </row>
    <row r="24" spans="1:5">
      <c r="A24" s="26" t="s">
        <v>104</v>
      </c>
      <c r="B24" s="26" t="s">
        <v>105</v>
      </c>
      <c r="C24" s="27" t="s">
        <v>106</v>
      </c>
      <c r="D24" t="s">
        <v>57</v>
      </c>
      <c r="E24" t="s">
        <v>58</v>
      </c>
    </row>
    <row r="25" spans="1:5">
      <c r="A25" s="26" t="s">
        <v>107</v>
      </c>
      <c r="B25" s="26" t="s">
        <v>108</v>
      </c>
      <c r="C25" s="27" t="s">
        <v>106</v>
      </c>
      <c r="D25" t="s">
        <v>57</v>
      </c>
      <c r="E25" t="s">
        <v>58</v>
      </c>
    </row>
    <row r="26" spans="1:5">
      <c r="A26" s="26" t="s">
        <v>109</v>
      </c>
      <c r="B26" s="26" t="s">
        <v>110</v>
      </c>
      <c r="C26" s="27" t="s">
        <v>106</v>
      </c>
      <c r="D26" t="s">
        <v>57</v>
      </c>
      <c r="E26" t="s">
        <v>58</v>
      </c>
    </row>
    <row r="27" spans="1:5">
      <c r="A27" s="26" t="s">
        <v>111</v>
      </c>
      <c r="B27" s="26" t="s">
        <v>112</v>
      </c>
      <c r="C27" s="27" t="s">
        <v>106</v>
      </c>
      <c r="D27" t="s">
        <v>57</v>
      </c>
      <c r="E27" t="s">
        <v>58</v>
      </c>
    </row>
    <row r="28" spans="1:5">
      <c r="A28" s="26" t="s">
        <v>113</v>
      </c>
      <c r="B28" s="26" t="s">
        <v>114</v>
      </c>
      <c r="C28" s="27" t="s">
        <v>106</v>
      </c>
      <c r="D28" t="s">
        <v>57</v>
      </c>
      <c r="E28" t="s">
        <v>58</v>
      </c>
    </row>
    <row r="29" spans="1:5">
      <c r="A29" s="26" t="s">
        <v>115</v>
      </c>
      <c r="B29" s="26" t="s">
        <v>116</v>
      </c>
      <c r="C29" s="27" t="s">
        <v>106</v>
      </c>
      <c r="D29" t="s">
        <v>57</v>
      </c>
      <c r="E29" t="s">
        <v>58</v>
      </c>
    </row>
    <row r="30" spans="1:5">
      <c r="A30" s="26" t="s">
        <v>117</v>
      </c>
      <c r="B30" s="26" t="s">
        <v>118</v>
      </c>
      <c r="C30" s="27" t="s">
        <v>106</v>
      </c>
      <c r="D30" t="s">
        <v>57</v>
      </c>
      <c r="E30" t="s">
        <v>58</v>
      </c>
    </row>
    <row r="31" spans="1:5">
      <c r="A31" s="26" t="s">
        <v>119</v>
      </c>
      <c r="B31" s="26" t="s">
        <v>120</v>
      </c>
      <c r="C31" s="27" t="s">
        <v>106</v>
      </c>
      <c r="D31" t="s">
        <v>57</v>
      </c>
      <c r="E31" t="s">
        <v>58</v>
      </c>
    </row>
    <row r="32" spans="1:5">
      <c r="A32" s="26" t="s">
        <v>121</v>
      </c>
      <c r="B32" s="26" t="s">
        <v>122</v>
      </c>
      <c r="C32" s="27" t="s">
        <v>106</v>
      </c>
      <c r="D32" t="s">
        <v>57</v>
      </c>
      <c r="E32" t="s">
        <v>58</v>
      </c>
    </row>
    <row r="33" spans="1:5">
      <c r="A33" s="26" t="s">
        <v>123</v>
      </c>
      <c r="B33" s="26" t="s">
        <v>124</v>
      </c>
      <c r="C33" s="27" t="s">
        <v>106</v>
      </c>
      <c r="D33" t="s">
        <v>57</v>
      </c>
      <c r="E33" t="s">
        <v>58</v>
      </c>
    </row>
    <row r="34" spans="1:5">
      <c r="A34" s="26" t="s">
        <v>125</v>
      </c>
      <c r="B34" s="26" t="s">
        <v>126</v>
      </c>
      <c r="C34" s="27" t="s">
        <v>106</v>
      </c>
      <c r="D34" t="s">
        <v>57</v>
      </c>
      <c r="E34" t="s">
        <v>58</v>
      </c>
    </row>
    <row r="35" spans="1:5">
      <c r="A35" s="26" t="s">
        <v>127</v>
      </c>
      <c r="B35" s="26" t="s">
        <v>128</v>
      </c>
      <c r="C35" s="27" t="s">
        <v>106</v>
      </c>
      <c r="D35" t="s">
        <v>57</v>
      </c>
      <c r="E35" t="s">
        <v>58</v>
      </c>
    </row>
    <row r="36" spans="1:5">
      <c r="A36" s="26" t="s">
        <v>129</v>
      </c>
      <c r="B36" s="26" t="s">
        <v>130</v>
      </c>
      <c r="C36" s="27" t="s">
        <v>106</v>
      </c>
      <c r="D36" t="s">
        <v>57</v>
      </c>
      <c r="E36" t="s">
        <v>58</v>
      </c>
    </row>
    <row r="37" spans="1:5">
      <c r="A37" s="26" t="s">
        <v>131</v>
      </c>
      <c r="B37" s="26" t="s">
        <v>132</v>
      </c>
      <c r="C37" s="27" t="s">
        <v>106</v>
      </c>
      <c r="D37" t="s">
        <v>57</v>
      </c>
      <c r="E37" t="s">
        <v>58</v>
      </c>
    </row>
    <row r="38" spans="1:5">
      <c r="A38" s="26" t="s">
        <v>133</v>
      </c>
      <c r="B38" s="26" t="s">
        <v>134</v>
      </c>
      <c r="C38" s="27" t="s">
        <v>106</v>
      </c>
      <c r="D38" t="s">
        <v>57</v>
      </c>
      <c r="E38" t="s">
        <v>58</v>
      </c>
    </row>
    <row r="39" spans="1:5">
      <c r="A39" s="26" t="s">
        <v>135</v>
      </c>
      <c r="B39" s="26" t="s">
        <v>136</v>
      </c>
      <c r="C39" s="27" t="s">
        <v>106</v>
      </c>
      <c r="D39" t="s">
        <v>57</v>
      </c>
      <c r="E39" t="s">
        <v>58</v>
      </c>
    </row>
    <row r="40" spans="1:5">
      <c r="A40" s="26" t="s">
        <v>137</v>
      </c>
      <c r="B40" s="26" t="s">
        <v>138</v>
      </c>
      <c r="C40" s="27" t="s">
        <v>106</v>
      </c>
      <c r="D40" t="s">
        <v>57</v>
      </c>
      <c r="E40" t="s">
        <v>58</v>
      </c>
    </row>
    <row r="41" spans="1:5">
      <c r="A41" s="26" t="s">
        <v>139</v>
      </c>
      <c r="B41" s="26" t="s">
        <v>140</v>
      </c>
      <c r="C41" s="27" t="s">
        <v>106</v>
      </c>
      <c r="D41" t="s">
        <v>57</v>
      </c>
      <c r="E41" t="s">
        <v>58</v>
      </c>
    </row>
    <row r="42" spans="1:5">
      <c r="A42" s="26" t="s">
        <v>141</v>
      </c>
      <c r="B42" s="26" t="s">
        <v>142</v>
      </c>
      <c r="C42" s="27" t="s">
        <v>106</v>
      </c>
      <c r="D42" t="s">
        <v>57</v>
      </c>
      <c r="E42" t="s">
        <v>58</v>
      </c>
    </row>
    <row r="43" spans="1:5">
      <c r="A43" s="26" t="s">
        <v>143</v>
      </c>
      <c r="B43" s="26" t="s">
        <v>144</v>
      </c>
      <c r="C43" s="27" t="s">
        <v>106</v>
      </c>
      <c r="D43" t="s">
        <v>57</v>
      </c>
      <c r="E43" t="s">
        <v>58</v>
      </c>
    </row>
    <row r="44" spans="1:5">
      <c r="A44" s="26" t="s">
        <v>145</v>
      </c>
      <c r="B44" s="26" t="s">
        <v>146</v>
      </c>
      <c r="C44" s="27" t="s">
        <v>106</v>
      </c>
      <c r="D44" t="s">
        <v>57</v>
      </c>
      <c r="E44" t="s">
        <v>58</v>
      </c>
    </row>
    <row r="45" spans="1:5">
      <c r="A45" s="24" t="s">
        <v>147</v>
      </c>
      <c r="B45" s="24" t="s">
        <v>148</v>
      </c>
      <c r="C45" s="25" t="s">
        <v>106</v>
      </c>
      <c r="D45" t="s">
        <v>57</v>
      </c>
      <c r="E45" t="s">
        <v>58</v>
      </c>
    </row>
    <row r="46" spans="1:5">
      <c r="A46" s="26" t="s">
        <v>149</v>
      </c>
      <c r="B46" s="26" t="s">
        <v>150</v>
      </c>
      <c r="C46" s="27" t="s">
        <v>106</v>
      </c>
      <c r="D46" t="s">
        <v>57</v>
      </c>
      <c r="E46" t="s">
        <v>58</v>
      </c>
    </row>
    <row r="47" spans="1:5">
      <c r="A47" s="26" t="s">
        <v>151</v>
      </c>
      <c r="B47" s="26" t="s">
        <v>152</v>
      </c>
      <c r="C47" s="27" t="s">
        <v>106</v>
      </c>
      <c r="D47" t="s">
        <v>57</v>
      </c>
      <c r="E47" t="s">
        <v>58</v>
      </c>
    </row>
    <row r="48" spans="1:5">
      <c r="A48" s="26" t="s">
        <v>153</v>
      </c>
      <c r="B48" s="26" t="s">
        <v>154</v>
      </c>
      <c r="C48" s="27" t="s">
        <v>106</v>
      </c>
      <c r="D48" t="s">
        <v>57</v>
      </c>
      <c r="E48" t="s">
        <v>58</v>
      </c>
    </row>
    <row r="49" spans="1:5">
      <c r="A49" s="26" t="s">
        <v>155</v>
      </c>
      <c r="B49" s="26" t="s">
        <v>156</v>
      </c>
      <c r="C49" s="27" t="s">
        <v>106</v>
      </c>
      <c r="D49" t="s">
        <v>57</v>
      </c>
      <c r="E49" t="s">
        <v>58</v>
      </c>
    </row>
    <row r="50" spans="1:5">
      <c r="A50" s="26" t="s">
        <v>157</v>
      </c>
      <c r="B50" s="26" t="s">
        <v>158</v>
      </c>
      <c r="C50" s="27" t="s">
        <v>106</v>
      </c>
      <c r="D50" t="s">
        <v>57</v>
      </c>
      <c r="E50" t="s">
        <v>58</v>
      </c>
    </row>
    <row r="51" spans="1:5">
      <c r="A51" s="29" t="s">
        <v>159</v>
      </c>
      <c r="B51" s="29" t="s">
        <v>160</v>
      </c>
      <c r="C51" s="30" t="s">
        <v>106</v>
      </c>
      <c r="E51" t="s">
        <v>58</v>
      </c>
    </row>
    <row r="52" spans="1:5">
      <c r="A52" s="29" t="s">
        <v>161</v>
      </c>
      <c r="B52" s="29" t="s">
        <v>162</v>
      </c>
      <c r="C52" s="29" t="s">
        <v>106</v>
      </c>
      <c r="D52" t="s">
        <v>57</v>
      </c>
      <c r="E52" t="s">
        <v>58</v>
      </c>
    </row>
    <row r="53" spans="1:5">
      <c r="A53" s="29" t="s">
        <v>163</v>
      </c>
      <c r="B53" s="29" t="s">
        <v>164</v>
      </c>
      <c r="C53" s="29" t="s">
        <v>106</v>
      </c>
      <c r="D53" t="s">
        <v>57</v>
      </c>
      <c r="E53" t="s">
        <v>58</v>
      </c>
    </row>
    <row r="54" spans="1:5">
      <c r="A54" s="29" t="s">
        <v>165</v>
      </c>
      <c r="B54" s="29" t="s">
        <v>166</v>
      </c>
      <c r="C54" s="29" t="s">
        <v>106</v>
      </c>
      <c r="D54" t="s">
        <v>57</v>
      </c>
      <c r="E54" t="s">
        <v>58</v>
      </c>
    </row>
    <row r="55" spans="1:5">
      <c r="A55" s="27" t="s">
        <v>63</v>
      </c>
      <c r="B55" s="27" t="s">
        <v>167</v>
      </c>
      <c r="C55" s="27" t="s">
        <v>168</v>
      </c>
    </row>
    <row r="56" spans="1:5">
      <c r="A56" s="27" t="s">
        <v>169</v>
      </c>
      <c r="B56" s="27" t="s">
        <v>170</v>
      </c>
      <c r="C56" s="27" t="s">
        <v>168</v>
      </c>
      <c r="D56" t="s">
        <v>57</v>
      </c>
      <c r="E56" t="s">
        <v>58</v>
      </c>
    </row>
    <row r="57" spans="1:5">
      <c r="A57" s="27" t="s">
        <v>171</v>
      </c>
      <c r="B57" s="27" t="s">
        <v>172</v>
      </c>
      <c r="C57" s="27" t="s">
        <v>168</v>
      </c>
      <c r="D57" t="s">
        <v>57</v>
      </c>
      <c r="E57" t="s">
        <v>58</v>
      </c>
    </row>
    <row r="58" spans="1:5">
      <c r="A58" s="27" t="s">
        <v>173</v>
      </c>
      <c r="B58" s="27" t="s">
        <v>174</v>
      </c>
      <c r="C58" s="27" t="s">
        <v>168</v>
      </c>
      <c r="D58" t="s">
        <v>57</v>
      </c>
      <c r="E58" t="s">
        <v>58</v>
      </c>
    </row>
    <row r="59" spans="1:5">
      <c r="A59" s="27" t="s">
        <v>175</v>
      </c>
      <c r="B59" s="27" t="s">
        <v>176</v>
      </c>
      <c r="C59" s="27" t="s">
        <v>168</v>
      </c>
      <c r="D59" t="s">
        <v>57</v>
      </c>
      <c r="E59" t="s">
        <v>58</v>
      </c>
    </row>
    <row r="60" spans="1:5">
      <c r="A60" s="27" t="s">
        <v>177</v>
      </c>
      <c r="B60" s="27" t="s">
        <v>178</v>
      </c>
      <c r="C60" s="27" t="s">
        <v>168</v>
      </c>
      <c r="D60" t="s">
        <v>57</v>
      </c>
      <c r="E60" t="s">
        <v>58</v>
      </c>
    </row>
    <row r="61" spans="1:5">
      <c r="A61" s="27" t="s">
        <v>179</v>
      </c>
      <c r="B61" s="27" t="s">
        <v>180</v>
      </c>
      <c r="C61" s="27" t="s">
        <v>168</v>
      </c>
      <c r="D61" t="s">
        <v>57</v>
      </c>
      <c r="E61" t="s">
        <v>58</v>
      </c>
    </row>
    <row r="62" spans="1:5">
      <c r="A62" s="27" t="s">
        <v>181</v>
      </c>
      <c r="B62" s="27" t="s">
        <v>182</v>
      </c>
      <c r="C62" s="27" t="s">
        <v>168</v>
      </c>
      <c r="D62" t="s">
        <v>57</v>
      </c>
      <c r="E62" t="s">
        <v>58</v>
      </c>
    </row>
    <row r="63" spans="1:5">
      <c r="A63" s="27" t="s">
        <v>183</v>
      </c>
      <c r="B63" s="27" t="s">
        <v>184</v>
      </c>
      <c r="C63" s="27" t="s">
        <v>168</v>
      </c>
      <c r="D63" t="s">
        <v>57</v>
      </c>
      <c r="E63" t="s">
        <v>58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C000"/>
  </sheetPr>
  <dimension ref="A1:O36"/>
  <sheetViews>
    <sheetView topLeftCell="A5" zoomScale="90" zoomScaleNormal="90" workbookViewId="0">
      <selection activeCell="F6" sqref="F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1.5703125" customWidth="1"/>
    <col min="7" max="7" width="19.42578125" bestFit="1" customWidth="1"/>
  </cols>
  <sheetData>
    <row r="1" spans="1:15" ht="24.6">
      <c r="A1" s="250" t="s">
        <v>51</v>
      </c>
      <c r="B1" s="250"/>
      <c r="C1" s="250"/>
      <c r="D1" s="250"/>
      <c r="E1" s="250"/>
    </row>
    <row r="2" spans="1:15" ht="24.6">
      <c r="A2" s="72"/>
      <c r="B2" s="72"/>
      <c r="C2" s="72"/>
      <c r="D2" s="72"/>
      <c r="E2" s="72"/>
    </row>
    <row r="3" spans="1:15">
      <c r="A3" t="s">
        <v>185</v>
      </c>
      <c r="B3" s="11" t="s">
        <v>52</v>
      </c>
    </row>
    <row r="4" spans="1:15" ht="16.5" customHeight="1">
      <c r="A4" s="251" t="s">
        <v>186</v>
      </c>
      <c r="B4" s="252"/>
      <c r="C4" s="252"/>
      <c r="D4" s="252"/>
      <c r="E4" s="253"/>
    </row>
    <row r="5" spans="1:15" ht="13.9" thickBot="1">
      <c r="A5" s="53" t="s">
        <v>187</v>
      </c>
      <c r="B5" s="54" t="s">
        <v>4</v>
      </c>
      <c r="C5" s="54" t="s">
        <v>5</v>
      </c>
      <c r="D5" s="54" t="s">
        <v>6</v>
      </c>
      <c r="E5" s="55" t="s">
        <v>7</v>
      </c>
    </row>
    <row r="6" spans="1:15" ht="14.45">
      <c r="A6" s="16" t="s">
        <v>188</v>
      </c>
      <c r="B6" s="96">
        <v>668.5</v>
      </c>
      <c r="C6" s="96">
        <v>0</v>
      </c>
      <c r="D6" s="96">
        <f>B6-C6</f>
        <v>668.5</v>
      </c>
      <c r="E6" s="97" t="str">
        <f>IFERROR(D6/C6, "-")</f>
        <v>-</v>
      </c>
      <c r="O6" s="34"/>
    </row>
    <row r="7" spans="1:1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1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1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1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1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1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1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1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1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1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5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5">
      <c r="A18" s="13" t="s">
        <v>200</v>
      </c>
      <c r="B18" s="14">
        <f>SUM(B6:B17)</f>
        <v>668.5</v>
      </c>
      <c r="C18" s="14">
        <f t="shared" ref="C18" si="2">SUM(C6:C17)</f>
        <v>0</v>
      </c>
      <c r="D18" s="14">
        <f>B18-C18</f>
        <v>668.5</v>
      </c>
      <c r="E18" s="15" t="str">
        <f>IFERROR(D18/C18, "-")</f>
        <v>-</v>
      </c>
    </row>
    <row r="19" spans="1:15">
      <c r="F19" s="74"/>
    </row>
    <row r="21" spans="1:15" ht="13.5" customHeight="1" thickBot="1">
      <c r="L21" s="23"/>
      <c r="M21" s="23"/>
      <c r="N21" s="23"/>
      <c r="O21" s="23"/>
    </row>
    <row r="22" spans="1:15" ht="16.5" customHeight="1" thickBot="1">
      <c r="A22" s="254" t="s">
        <v>201</v>
      </c>
      <c r="B22" s="255"/>
      <c r="C22" s="255"/>
      <c r="D22" s="255"/>
      <c r="E22" s="255"/>
      <c r="F22" s="255"/>
      <c r="G22" s="256"/>
      <c r="H22" s="62"/>
      <c r="I22" s="62"/>
      <c r="J22" s="62"/>
      <c r="K22" s="62"/>
      <c r="L22" s="62"/>
      <c r="M22" s="23"/>
      <c r="N22" s="23"/>
      <c r="O22" s="23"/>
    </row>
    <row r="23" spans="1:15" ht="13.9" thickBot="1">
      <c r="A23" s="17" t="s">
        <v>187</v>
      </c>
      <c r="B23" s="18" t="s">
        <v>4</v>
      </c>
      <c r="C23" s="18" t="s">
        <v>8</v>
      </c>
      <c r="D23" s="19" t="s">
        <v>6</v>
      </c>
      <c r="E23" s="56" t="s">
        <v>7</v>
      </c>
      <c r="F23" s="63" t="s">
        <v>202</v>
      </c>
      <c r="G23" s="65" t="s">
        <v>203</v>
      </c>
      <c r="L23" s="23"/>
      <c r="M23" s="23"/>
      <c r="N23" s="23"/>
      <c r="O23" s="23"/>
    </row>
    <row r="24" spans="1:15" ht="14.45">
      <c r="A24" s="16" t="s">
        <v>188</v>
      </c>
      <c r="B24" s="101" cm="1">
        <f t="array" ref="B24:B36">B6:B18</f>
        <v>668.5</v>
      </c>
      <c r="C24" s="102">
        <v>660.25800000000004</v>
      </c>
      <c r="D24" s="102">
        <f>B24-C24</f>
        <v>8.2419999999999618</v>
      </c>
      <c r="E24" s="103">
        <f>IFERROR(D24/C24, "-")</f>
        <v>1.2482999070060433E-2</v>
      </c>
      <c r="F24" s="113" t="s">
        <v>204</v>
      </c>
      <c r="G24" s="113" t="s">
        <v>204</v>
      </c>
      <c r="L24" s="23"/>
      <c r="M24" s="23"/>
      <c r="N24" s="23"/>
      <c r="O24" s="23"/>
    </row>
    <row r="25" spans="1:15" ht="14.45">
      <c r="A25" s="35" t="s">
        <v>189</v>
      </c>
      <c r="B25" s="105">
        <v>0</v>
      </c>
      <c r="C25" s="106"/>
      <c r="D25" s="102">
        <f t="shared" ref="D25:D35" si="3">B25-C25</f>
        <v>0</v>
      </c>
      <c r="E25" s="103" t="str">
        <f t="shared" ref="E25:E35" si="4">IFERROR(D25/C25, "-")</f>
        <v>-</v>
      </c>
      <c r="F25" s="115"/>
      <c r="G25" s="113"/>
      <c r="L25" s="23"/>
      <c r="M25" s="23"/>
      <c r="N25" s="23"/>
      <c r="O25" s="23"/>
    </row>
    <row r="26" spans="1:15" s="74" customFormat="1" ht="14.45">
      <c r="A26" s="78" t="s">
        <v>190</v>
      </c>
      <c r="B26" s="107">
        <v>0</v>
      </c>
      <c r="C26" s="107"/>
      <c r="D26" s="107">
        <f t="shared" si="3"/>
        <v>0</v>
      </c>
      <c r="E26" s="108" t="str">
        <f t="shared" si="4"/>
        <v>-</v>
      </c>
      <c r="F26" s="112"/>
      <c r="G26" s="113"/>
      <c r="L26" s="76"/>
      <c r="M26" s="76"/>
      <c r="N26" s="76"/>
      <c r="O26" s="76"/>
    </row>
    <row r="27" spans="1:15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3"/>
      <c r="G27" s="113"/>
      <c r="L27" s="23"/>
      <c r="M27" s="23"/>
      <c r="N27" s="23"/>
      <c r="O27" s="23"/>
    </row>
    <row r="28" spans="1:15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3"/>
      <c r="G28" s="113"/>
      <c r="L28" s="23"/>
      <c r="M28" s="23"/>
      <c r="N28" s="23"/>
      <c r="O28" s="23"/>
    </row>
    <row r="29" spans="1:15" ht="14.45">
      <c r="A29" s="12" t="s">
        <v>193</v>
      </c>
      <c r="B29" s="102">
        <v>0</v>
      </c>
      <c r="C29" s="102"/>
      <c r="D29" s="102">
        <f>B29-C29</f>
        <v>0</v>
      </c>
      <c r="E29" s="103" t="str">
        <f>IFERROR(D29/C29, "-")</f>
        <v>-</v>
      </c>
      <c r="F29" s="113"/>
      <c r="G29" s="113"/>
      <c r="L29" s="23"/>
      <c r="M29" s="23"/>
      <c r="N29" s="23"/>
      <c r="O29" s="23"/>
    </row>
    <row r="30" spans="1:15" ht="14.45">
      <c r="A30" s="12" t="s">
        <v>194</v>
      </c>
      <c r="B30" s="102">
        <v>0</v>
      </c>
      <c r="C30" s="102"/>
      <c r="D30" s="102">
        <f>B30-C30</f>
        <v>0</v>
      </c>
      <c r="E30" s="103" t="str">
        <f>IFERROR(D30/C30, "-")</f>
        <v>-</v>
      </c>
      <c r="F30" s="113"/>
      <c r="G30" s="113"/>
      <c r="L30" s="23"/>
      <c r="M30" s="23"/>
      <c r="N30" s="23"/>
      <c r="O30" s="23"/>
    </row>
    <row r="31" spans="1:15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3"/>
      <c r="G31" s="113"/>
      <c r="L31" s="23"/>
      <c r="M31" s="23"/>
      <c r="N31" s="23"/>
      <c r="O31" s="23"/>
    </row>
    <row r="32" spans="1:15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4"/>
      <c r="G32" s="104"/>
      <c r="L32" s="23"/>
      <c r="M32" s="23"/>
      <c r="N32" s="23"/>
      <c r="O32" s="23"/>
    </row>
    <row r="33" spans="1:15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4"/>
      <c r="G33" s="104"/>
      <c r="L33" s="23"/>
      <c r="M33" s="23"/>
      <c r="N33" s="23"/>
      <c r="O33" s="23"/>
    </row>
    <row r="34" spans="1:15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4"/>
      <c r="G34" s="104"/>
      <c r="L34" s="23"/>
      <c r="M34" s="23"/>
      <c r="N34" s="23"/>
      <c r="O34" s="23"/>
    </row>
    <row r="35" spans="1:15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4"/>
      <c r="G35" s="104"/>
      <c r="L35" s="23"/>
      <c r="M35" s="23"/>
      <c r="N35" s="23"/>
      <c r="O35" s="23"/>
    </row>
    <row r="36" spans="1:15">
      <c r="A36" s="13" t="s">
        <v>200</v>
      </c>
      <c r="B36" s="14">
        <v>668.5</v>
      </c>
      <c r="C36" s="14">
        <f t="shared" ref="C36" si="5">SUM(C24:C35)</f>
        <v>660.25800000000004</v>
      </c>
      <c r="D36" s="14">
        <f>B36-C36</f>
        <v>8.2419999999999618</v>
      </c>
      <c r="E36" s="15">
        <f>IFERROR(D36/C36, "-")</f>
        <v>1.2482999070060433E-2</v>
      </c>
      <c r="F36" s="15"/>
      <c r="G36" s="15"/>
    </row>
  </sheetData>
  <mergeCells count="3">
    <mergeCell ref="A1:E1"/>
    <mergeCell ref="A4:E4"/>
    <mergeCell ref="A22:G22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23E1-EAC9-4592-BE4F-1408E61CE7E7}">
  <sheetPr codeName="Sheet20">
    <tabColor rgb="FFFFC000"/>
  </sheetPr>
  <dimension ref="A1:L36"/>
  <sheetViews>
    <sheetView workbookViewId="0">
      <selection activeCell="G9" sqref="G9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1.5703125" customWidth="1"/>
    <col min="7" max="7" width="19.42578125" bestFit="1" customWidth="1"/>
  </cols>
  <sheetData>
    <row r="1" spans="1:5" ht="24.6">
      <c r="A1" s="250" t="s">
        <v>54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 ht="13.9" thickBot="1">
      <c r="A3" t="s">
        <v>185</v>
      </c>
      <c r="B3" s="11" t="s">
        <v>52</v>
      </c>
    </row>
    <row r="4" spans="1:5" ht="16.5" customHeight="1" thickBot="1">
      <c r="A4" s="257" t="s">
        <v>186</v>
      </c>
      <c r="B4" s="258"/>
      <c r="C4" s="258"/>
      <c r="D4" s="258"/>
      <c r="E4" s="259"/>
    </row>
    <row r="5" spans="1:5" ht="13.5" customHeight="1" thickBo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6">
        <v>37.789000000000001</v>
      </c>
      <c r="C6" s="96">
        <v>0</v>
      </c>
      <c r="D6" s="96">
        <f t="shared" ref="D6:D17" si="0">B6-C6</f>
        <v>37.789000000000001</v>
      </c>
      <c r="E6" s="98" t="str">
        <f t="shared" ref="E6:E18" si="1">IFERROR(D6/C6, "-")</f>
        <v>-</v>
      </c>
    </row>
    <row r="7" spans="1:5" ht="14.45">
      <c r="A7" s="12" t="s">
        <v>189</v>
      </c>
      <c r="B7" s="96"/>
      <c r="C7" s="96"/>
      <c r="D7" s="96">
        <f t="shared" si="0"/>
        <v>0</v>
      </c>
      <c r="E7" s="98" t="str">
        <f t="shared" si="1"/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37.789000000000001</v>
      </c>
      <c r="C18" s="14">
        <f>SUM(C6:C17)</f>
        <v>0</v>
      </c>
      <c r="D18" s="14">
        <f>SUM(D6:D17)</f>
        <v>37.789000000000001</v>
      </c>
      <c r="E18" s="15" t="str">
        <f t="shared" si="1"/>
        <v>-</v>
      </c>
    </row>
    <row r="21" spans="1:12" ht="13.5" customHeight="1" thickBot="1"/>
    <row r="22" spans="1:12" ht="16.5" customHeight="1" thickBot="1">
      <c r="A22" s="254" t="s">
        <v>201</v>
      </c>
      <c r="B22" s="255"/>
      <c r="C22" s="255"/>
      <c r="D22" s="255"/>
      <c r="E22" s="255"/>
      <c r="F22" s="255"/>
      <c r="G22" s="256"/>
      <c r="H22" s="62"/>
      <c r="I22" s="62"/>
      <c r="J22" s="62"/>
      <c r="K22" s="62"/>
      <c r="L22" s="62"/>
    </row>
    <row r="23" spans="1:12" ht="13.5" customHeight="1" thickBot="1">
      <c r="A23" s="17" t="s">
        <v>187</v>
      </c>
      <c r="B23" s="18" t="s">
        <v>4</v>
      </c>
      <c r="C23" s="18" t="s">
        <v>8</v>
      </c>
      <c r="D23" s="19" t="s">
        <v>6</v>
      </c>
      <c r="E23" s="56" t="s">
        <v>7</v>
      </c>
      <c r="F23" s="63" t="s">
        <v>202</v>
      </c>
      <c r="G23" s="65" t="s">
        <v>203</v>
      </c>
    </row>
    <row r="24" spans="1:12" ht="14.45">
      <c r="A24" s="16" t="s">
        <v>188</v>
      </c>
      <c r="B24" s="101" cm="1">
        <f t="array" ref="B24:B36">B6:B18</f>
        <v>37.789000000000001</v>
      </c>
      <c r="C24" s="102">
        <v>0</v>
      </c>
      <c r="D24" s="102">
        <f t="shared" ref="D24:D35" si="2">B24-C24</f>
        <v>37.789000000000001</v>
      </c>
      <c r="E24" s="103" t="str">
        <f t="shared" ref="E24:E36" si="3">IFERROR(D24/C24, "-")</f>
        <v>-</v>
      </c>
      <c r="F24" s="114" t="s">
        <v>204</v>
      </c>
      <c r="G24" s="114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2"/>
        <v>0</v>
      </c>
      <c r="E25" s="103" t="str">
        <f t="shared" si="3"/>
        <v>-</v>
      </c>
      <c r="F25" s="112"/>
      <c r="G25" s="114"/>
    </row>
    <row r="26" spans="1:12" ht="14.45">
      <c r="A26" s="12" t="s">
        <v>190</v>
      </c>
      <c r="B26" s="102">
        <v>0</v>
      </c>
      <c r="C26" s="102"/>
      <c r="D26" s="102">
        <f t="shared" si="2"/>
        <v>0</v>
      </c>
      <c r="E26" s="103" t="str">
        <f t="shared" si="3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2"/>
        <v>0</v>
      </c>
      <c r="E27" s="103" t="str">
        <f t="shared" si="3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2"/>
        <v>0</v>
      </c>
      <c r="E28" s="103" t="str">
        <f t="shared" si="3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2"/>
        <v>0</v>
      </c>
      <c r="E29" s="103" t="str">
        <f t="shared" si="3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2"/>
        <v>0</v>
      </c>
      <c r="E30" s="103" t="str">
        <f t="shared" si="3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2"/>
        <v>0</v>
      </c>
      <c r="E31" s="103" t="str">
        <f t="shared" si="3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2"/>
        <v>0</v>
      </c>
      <c r="E32" s="103" t="str">
        <f t="shared" si="3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2"/>
        <v>0</v>
      </c>
      <c r="E33" s="103" t="str">
        <f t="shared" si="3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2"/>
        <v>0</v>
      </c>
      <c r="E34" s="103" t="str">
        <f t="shared" si="3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2"/>
        <v>0</v>
      </c>
      <c r="E35" s="103" t="str">
        <f t="shared" si="3"/>
        <v>-</v>
      </c>
      <c r="F35" s="103"/>
      <c r="G35" s="103"/>
    </row>
    <row r="36" spans="1:7">
      <c r="A36" s="13" t="s">
        <v>200</v>
      </c>
      <c r="B36" s="14">
        <v>37.789000000000001</v>
      </c>
      <c r="C36" s="14">
        <f>SUM(C24:C35)</f>
        <v>0</v>
      </c>
      <c r="D36" s="14">
        <f>SUM(D24:D35)</f>
        <v>37.789000000000001</v>
      </c>
      <c r="E36" s="15" t="str">
        <f t="shared" si="3"/>
        <v>-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0509-DF92-4AC9-AEC1-3F22C92B19B5}">
  <sheetPr codeName="Sheet21">
    <tabColor rgb="FFFFC000"/>
  </sheetPr>
  <dimension ref="A1:L36"/>
  <sheetViews>
    <sheetView workbookViewId="0">
      <selection activeCell="F12" sqref="F12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1.5703125" customWidth="1"/>
    <col min="7" max="7" width="19.42578125" bestFit="1" customWidth="1"/>
  </cols>
  <sheetData>
    <row r="1" spans="1:5" ht="24.6">
      <c r="A1" s="250" t="s">
        <v>56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52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 thickBo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6">
        <v>18587.375</v>
      </c>
      <c r="C6" s="96">
        <v>25565.67</v>
      </c>
      <c r="D6" s="96">
        <f>B6-C6</f>
        <v>-6978.2949999999983</v>
      </c>
      <c r="E6" s="98">
        <f>IFERROR(D6/C6, "-")</f>
        <v>-0.27295568627773098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18587.375</v>
      </c>
      <c r="C18" s="14">
        <f t="shared" ref="C18:D18" si="2">SUM(C6:C17)</f>
        <v>25565.67</v>
      </c>
      <c r="D18" s="14">
        <f t="shared" si="2"/>
        <v>-6978.2949999999983</v>
      </c>
      <c r="E18" s="15">
        <f>IFERROR(D18/C18, "-")</f>
        <v>-0.27295568627773098</v>
      </c>
    </row>
    <row r="20" spans="1:12">
      <c r="J20" s="75"/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18587.375</v>
      </c>
      <c r="C24" s="102">
        <v>22910.168000000001</v>
      </c>
      <c r="D24" s="102">
        <f>B24-C24</f>
        <v>-4322.7930000000015</v>
      </c>
      <c r="E24" s="103">
        <f>IFERROR(D24/C24, "-")</f>
        <v>-0.18868447407282221</v>
      </c>
      <c r="F24" s="114" t="s">
        <v>205</v>
      </c>
      <c r="G24" s="114" t="s">
        <v>206</v>
      </c>
    </row>
    <row r="25" spans="1:12" ht="14.45">
      <c r="A25" s="35" t="s">
        <v>189</v>
      </c>
      <c r="B25" s="105">
        <v>0</v>
      </c>
      <c r="C25" s="106"/>
      <c r="D25" s="102">
        <f t="shared" ref="D25:D35" si="3">B25-C25</f>
        <v>0</v>
      </c>
      <c r="E25" s="103" t="str">
        <f t="shared" ref="E25:E35" si="4">IFERROR(D25/C25, "-")</f>
        <v>-</v>
      </c>
      <c r="F25" s="114"/>
      <c r="G25" s="114"/>
    </row>
    <row r="26" spans="1:12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2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4"/>
      <c r="G34" s="114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18587.375</v>
      </c>
      <c r="C36" s="14">
        <f t="shared" ref="C36:D36" si="5">SUM(C24:C35)</f>
        <v>22910.168000000001</v>
      </c>
      <c r="D36" s="14">
        <f t="shared" si="5"/>
        <v>-4322.7930000000015</v>
      </c>
      <c r="E36" s="15">
        <f>IFERROR(D36/C36, "-")</f>
        <v>-0.18868447407282221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AFB0-DAFE-4DE6-B011-F3387DB2AE1C}">
  <sheetPr codeName="Sheet22">
    <tabColor rgb="FFFFC000"/>
  </sheetPr>
  <dimension ref="A1:L36"/>
  <sheetViews>
    <sheetView workbookViewId="0">
      <selection activeCell="F5" sqref="F5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1.5703125" customWidth="1"/>
    <col min="7" max="7" width="19.42578125" bestFit="1" customWidth="1"/>
  </cols>
  <sheetData>
    <row r="1" spans="1:5" ht="24.6">
      <c r="A1" s="250" t="s">
        <v>60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52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1267.69792819484</v>
      </c>
      <c r="C6" s="100">
        <v>0</v>
      </c>
      <c r="D6" s="96">
        <f>B6-C6</f>
        <v>1267.69792819484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1267.69792819484</v>
      </c>
      <c r="C18" s="14">
        <f t="shared" ref="C18:D18" si="2">SUM(C6:C17)</f>
        <v>0</v>
      </c>
      <c r="D18" s="14">
        <f t="shared" si="2"/>
        <v>1267.69792819484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1267.69792819484</v>
      </c>
      <c r="C24" s="101">
        <v>1339.7470000000001</v>
      </c>
      <c r="D24" s="102">
        <f t="shared" ref="D24:D35" si="3">B24-C24</f>
        <v>-72.049071805160111</v>
      </c>
      <c r="E24" s="103">
        <f t="shared" ref="E24:E36" si="4">IFERROR(D24/C24, "-")</f>
        <v>-5.377811766337981E-2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2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1267.69792819484</v>
      </c>
      <c r="C36" s="14">
        <f>SUM(C24:C35)</f>
        <v>1339.7470000000001</v>
      </c>
      <c r="D36" s="14">
        <f>SUM(D24:D35)</f>
        <v>-72.049071805160111</v>
      </c>
      <c r="E36" s="15">
        <f t="shared" si="4"/>
        <v>-5.377811766337981E-2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587F-CE6C-4758-AB35-E5F10ED90B95}">
  <sheetPr codeName="Sheet23">
    <tabColor rgb="FF00B050"/>
  </sheetPr>
  <dimension ref="A1:L37"/>
  <sheetViews>
    <sheetView workbookViewId="0">
      <selection activeCell="F2" sqref="F2"/>
    </sheetView>
  </sheetViews>
  <sheetFormatPr defaultRowHeight="13.15"/>
  <cols>
    <col min="1" max="5" width="14.140625" customWidth="1"/>
    <col min="6" max="6" width="55.5703125" customWidth="1"/>
    <col min="7" max="7" width="19.42578125" bestFit="1" customWidth="1"/>
  </cols>
  <sheetData>
    <row r="1" spans="1:5" ht="24.6">
      <c r="A1" s="250" t="s">
        <v>64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724.20000000000402</v>
      </c>
      <c r="C6" s="99">
        <v>0</v>
      </c>
      <c r="D6" s="96">
        <f>B6-C6</f>
        <v>724.20000000000402</v>
      </c>
      <c r="E6" s="98" t="str">
        <f>IFERROR(D6/C6, "-")</f>
        <v>-</v>
      </c>
    </row>
    <row r="7" spans="1:5" ht="14.45">
      <c r="A7" s="12" t="s">
        <v>189</v>
      </c>
      <c r="B7" s="99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>B9-C9</f>
        <v>0</v>
      </c>
      <c r="E9" s="98" t="str">
        <f>IFERROR(D9/C9, "-")</f>
        <v>-</v>
      </c>
    </row>
    <row r="10" spans="1:5" ht="14.45">
      <c r="A10" s="12" t="s">
        <v>192</v>
      </c>
      <c r="B10" s="96"/>
      <c r="C10" s="96"/>
      <c r="D10" s="96">
        <f>B10-C10</f>
        <v>0</v>
      </c>
      <c r="E10" s="98" t="str">
        <f>IFERROR(D10/C10, "-")</f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724.20000000000402</v>
      </c>
      <c r="C18" s="14">
        <f t="shared" ref="C18:D18" si="2">SUM(C6:C17)</f>
        <v>0</v>
      </c>
      <c r="D18" s="14">
        <f t="shared" si="2"/>
        <v>724.20000000000402</v>
      </c>
      <c r="E18" s="15" t="str">
        <f>IFERROR(D18/C18, "-")</f>
        <v>-</v>
      </c>
    </row>
    <row r="19" spans="1:12">
      <c r="B19" s="11"/>
    </row>
    <row r="20" spans="1:12">
      <c r="B20" s="11"/>
    </row>
    <row r="21" spans="1:12" ht="13.5" customHeight="1" thickBot="1">
      <c r="B21" s="11"/>
    </row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724.20000000000402</v>
      </c>
      <c r="C24" s="101">
        <v>1165.0160000000001</v>
      </c>
      <c r="D24" s="102">
        <f t="shared" ref="D24:D35" si="3">B24-C24</f>
        <v>-440.81599999999605</v>
      </c>
      <c r="E24" s="103">
        <f t="shared" ref="E24:E36" si="4">IFERROR(D24/C24, "-")</f>
        <v>-0.37837763601529595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2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45.6" customHeight="1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724.20000000000402</v>
      </c>
      <c r="C36" s="14">
        <f>SUM(C24:C35)</f>
        <v>1165.0160000000001</v>
      </c>
      <c r="D36" s="14">
        <f>SUM(D24:D35)</f>
        <v>-440.81599999999605</v>
      </c>
      <c r="E36" s="15">
        <f t="shared" si="4"/>
        <v>-0.37837763601529595</v>
      </c>
      <c r="F36" s="15"/>
      <c r="G36" s="15"/>
    </row>
    <row r="37" spans="1:7">
      <c r="B37" s="11"/>
    </row>
  </sheetData>
  <mergeCells count="3">
    <mergeCell ref="A1:E1"/>
    <mergeCell ref="A4:E4"/>
    <mergeCell ref="A22:G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739B-80BD-4066-B2E2-AD7CDE5EF2D7}">
  <sheetPr codeName="Sheet24">
    <tabColor rgb="FF00B050"/>
  </sheetPr>
  <dimension ref="A1:L36"/>
  <sheetViews>
    <sheetView zoomScale="80" zoomScaleNormal="80" workbookViewId="0">
      <selection activeCell="K8" sqref="K8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5.85546875" bestFit="1" customWidth="1"/>
    <col min="7" max="7" width="19.42578125" bestFit="1" customWidth="1"/>
  </cols>
  <sheetData>
    <row r="1" spans="1:8" ht="24.6">
      <c r="A1" s="250" t="s">
        <v>67</v>
      </c>
      <c r="B1" s="250"/>
      <c r="C1" s="250"/>
      <c r="D1" s="250"/>
      <c r="E1" s="250"/>
    </row>
    <row r="2" spans="1:8" ht="24.6">
      <c r="A2" s="72"/>
      <c r="B2" s="72"/>
      <c r="C2" s="72"/>
      <c r="D2" s="72"/>
      <c r="E2" s="72"/>
    </row>
    <row r="3" spans="1:8">
      <c r="A3" t="s">
        <v>185</v>
      </c>
      <c r="B3" s="11" t="s">
        <v>65</v>
      </c>
    </row>
    <row r="4" spans="1:8" ht="16.5" customHeight="1">
      <c r="A4" s="257" t="s">
        <v>186</v>
      </c>
      <c r="B4" s="258"/>
      <c r="C4" s="258"/>
      <c r="D4" s="258"/>
      <c r="E4" s="259"/>
    </row>
    <row r="5" spans="1:8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8" ht="14.45">
      <c r="A6" s="16" t="s">
        <v>188</v>
      </c>
      <c r="B6" s="100">
        <v>2121.2003780567402</v>
      </c>
      <c r="C6" s="99">
        <v>0</v>
      </c>
      <c r="D6" s="96">
        <f>B6-C6</f>
        <v>2121.2003780567402</v>
      </c>
      <c r="E6" s="98" t="str">
        <f>IFERROR(D6/C6, "-")</f>
        <v>-</v>
      </c>
    </row>
    <row r="7" spans="1:8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8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8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  <c r="G9" s="120"/>
      <c r="H9" s="120"/>
    </row>
    <row r="10" spans="1:8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8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8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8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8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8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8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2121.2003780567402</v>
      </c>
      <c r="C18" s="14">
        <f t="shared" ref="C18:D18" si="2">SUM(C6:C17)</f>
        <v>0</v>
      </c>
      <c r="D18" s="14">
        <f t="shared" si="2"/>
        <v>2121.2003780567402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2121.2003780567402</v>
      </c>
      <c r="C24" s="101">
        <v>2132.9670000000001</v>
      </c>
      <c r="D24" s="102">
        <f t="shared" ref="D24:D35" si="3">B24-C24</f>
        <v>-11.766621943259906</v>
      </c>
      <c r="E24" s="103">
        <f t="shared" ref="E24:E36" si="4">IFERROR(D24/C24, "-")</f>
        <v>-5.5165513312019857E-3</v>
      </c>
      <c r="F24" s="112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2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2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48" customHeight="1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2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2121.2003780567402</v>
      </c>
      <c r="C36" s="14">
        <f>SUM(C24:C35)</f>
        <v>2132.9670000000001</v>
      </c>
      <c r="D36" s="14">
        <f>SUM(D24:D35)</f>
        <v>-11.766621943259906</v>
      </c>
      <c r="E36" s="15">
        <f t="shared" si="4"/>
        <v>-5.5165513312019857E-3</v>
      </c>
      <c r="F36" s="15"/>
      <c r="G36" s="15"/>
    </row>
  </sheetData>
  <mergeCells count="3">
    <mergeCell ref="A1:E1"/>
    <mergeCell ref="A4:E4"/>
    <mergeCell ref="A22:G22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D8D4-7D17-4235-9737-9F85DC8B84AF}">
  <sheetPr codeName="Sheet25">
    <tabColor rgb="FF00B050"/>
  </sheetPr>
  <dimension ref="A1:L36"/>
  <sheetViews>
    <sheetView topLeftCell="A2" workbookViewId="0">
      <selection activeCell="H11" sqref="H11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9.85546875" bestFit="1" customWidth="1"/>
    <col min="7" max="7" width="19.42578125" bestFit="1" customWidth="1"/>
  </cols>
  <sheetData>
    <row r="1" spans="1:5" ht="24.6">
      <c r="A1" s="250" t="s">
        <v>73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1739.79999999999</v>
      </c>
      <c r="C6" s="100">
        <v>0</v>
      </c>
      <c r="D6" s="96">
        <f>B6-C6</f>
        <v>1739.79999999999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1739.79999999999</v>
      </c>
      <c r="C18" s="14">
        <f t="shared" ref="C18:D18" si="2">SUM(C6:C17)</f>
        <v>0</v>
      </c>
      <c r="D18" s="14">
        <f t="shared" si="2"/>
        <v>1739.79999999999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28.9">
      <c r="A24" s="16" t="s">
        <v>188</v>
      </c>
      <c r="B24" s="101" cm="1">
        <f t="array" ref="B24:B36">B6:B18</f>
        <v>1739.79999999999</v>
      </c>
      <c r="C24" s="119">
        <v>846.25800000000004</v>
      </c>
      <c r="D24" s="102">
        <f t="shared" ref="D24:D35" si="3">B24-C24</f>
        <v>893.54199999998991</v>
      </c>
      <c r="E24" s="103">
        <f t="shared" ref="E24:E36" si="4">IFERROR(D24/C24, "-")</f>
        <v>1.055874213301369</v>
      </c>
      <c r="F24" s="112" t="s">
        <v>207</v>
      </c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1739.79999999999</v>
      </c>
      <c r="C36" s="14">
        <f>SUM(C24:C35)</f>
        <v>846.25800000000004</v>
      </c>
      <c r="D36" s="14">
        <f>SUM(D24:D35)</f>
        <v>893.54199999998991</v>
      </c>
      <c r="E36" s="15">
        <f t="shared" si="4"/>
        <v>1.055874213301369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BD25-1A10-41FA-B092-F3A93FA3D3B6}">
  <sheetPr codeName="Sheet26">
    <tabColor rgb="FF00B050"/>
  </sheetPr>
  <dimension ref="A1:L37"/>
  <sheetViews>
    <sheetView zoomScale="90" zoomScaleNormal="90" workbookViewId="0">
      <selection activeCell="K6" sqref="K6"/>
    </sheetView>
  </sheetViews>
  <sheetFormatPr defaultRowHeight="13.15"/>
  <cols>
    <col min="1" max="5" width="12.85546875" customWidth="1"/>
    <col min="6" max="6" width="43.85546875" customWidth="1"/>
    <col min="7" max="7" width="19.42578125" bestFit="1" customWidth="1"/>
  </cols>
  <sheetData>
    <row r="1" spans="1:5" ht="24.6">
      <c r="A1" s="250" t="s">
        <v>69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1077.5</v>
      </c>
      <c r="C6" s="100">
        <v>0</v>
      </c>
      <c r="D6" s="96">
        <f>B6-C6</f>
        <v>1077.5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1077.5</v>
      </c>
      <c r="C18" s="14">
        <f t="shared" ref="C18:D18" si="2">SUM(C6:C17)</f>
        <v>0</v>
      </c>
      <c r="D18" s="14">
        <f t="shared" si="2"/>
        <v>1077.5</v>
      </c>
      <c r="E18" s="15" t="str">
        <f>IFERROR(D18/C18, "-")</f>
        <v>-</v>
      </c>
    </row>
    <row r="19" spans="1:12">
      <c r="B19" s="11"/>
    </row>
    <row r="20" spans="1:12">
      <c r="B20" s="11"/>
    </row>
    <row r="21" spans="1:12" ht="13.5" customHeight="1" thickBot="1">
      <c r="B21" s="11"/>
    </row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1077.5</v>
      </c>
      <c r="C24" s="101">
        <v>1040.5160000000001</v>
      </c>
      <c r="D24" s="102">
        <f t="shared" ref="D24:D35" si="3">B24-C24</f>
        <v>36.983999999999924</v>
      </c>
      <c r="E24" s="103">
        <f t="shared" ref="E24:E36" si="4">IFERROR(D24/C24, "-")</f>
        <v>3.5543903217249824E-2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1077.5</v>
      </c>
      <c r="C36" s="14">
        <f>SUM(C24:C35)</f>
        <v>1040.5160000000001</v>
      </c>
      <c r="D36" s="14">
        <f>SUM(D24:D35)</f>
        <v>36.983999999999924</v>
      </c>
      <c r="E36" s="15">
        <f t="shared" si="4"/>
        <v>3.5543903217249824E-2</v>
      </c>
      <c r="F36" s="15"/>
      <c r="G36" s="15"/>
    </row>
    <row r="37" spans="1:7">
      <c r="B37" s="11"/>
    </row>
  </sheetData>
  <mergeCells count="3">
    <mergeCell ref="A1:E1"/>
    <mergeCell ref="A4:E4"/>
    <mergeCell ref="A22:G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DEE7-3B0C-4027-8F30-30B54317B097}">
  <sheetPr codeName="Sheet27">
    <tabColor rgb="FF00B050"/>
  </sheetPr>
  <dimension ref="A1:L36"/>
  <sheetViews>
    <sheetView topLeftCell="A7" zoomScale="90" zoomScaleNormal="90" workbookViewId="0">
      <selection activeCell="F13" sqref="F13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54.140625" customWidth="1"/>
    <col min="7" max="7" width="19.42578125" bestFit="1" customWidth="1"/>
  </cols>
  <sheetData>
    <row r="1" spans="1:5" ht="24.6">
      <c r="A1" s="250" t="s">
        <v>71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-0.40201211551175198</v>
      </c>
      <c r="C6" s="100">
        <v>0</v>
      </c>
      <c r="D6" s="96">
        <f>B6-C6</f>
        <v>-0.40201211551175198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-0.40201211551175198</v>
      </c>
      <c r="C18" s="14">
        <f t="shared" ref="C18:D18" si="2">SUM(C6:C17)</f>
        <v>0</v>
      </c>
      <c r="D18" s="14">
        <f t="shared" si="2"/>
        <v>-0.40201211551175198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-0.40201211551175198</v>
      </c>
      <c r="C24" s="101">
        <v>1258.0160000000001</v>
      </c>
      <c r="D24" s="102">
        <f t="shared" ref="D24:D35" si="3">B24-C24</f>
        <v>-1258.4180121155118</v>
      </c>
      <c r="E24" s="103">
        <f t="shared" ref="E24:E36" si="4">IFERROR(D24/C24, "-")</f>
        <v>-1.0003195604153776</v>
      </c>
      <c r="F24" s="215" t="s">
        <v>208</v>
      </c>
      <c r="G24" s="215" t="s">
        <v>209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>B26-C26</f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>B27-C27</f>
        <v>0</v>
      </c>
      <c r="E27" s="103" t="str">
        <f t="shared" si="4"/>
        <v>-</v>
      </c>
      <c r="F27" s="112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2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14"/>
      <c r="G35" s="114"/>
    </row>
    <row r="36" spans="1:7">
      <c r="A36" s="13" t="s">
        <v>200</v>
      </c>
      <c r="B36" s="14">
        <v>-0.40201211551175198</v>
      </c>
      <c r="C36" s="14">
        <f>SUM(C24:C35)</f>
        <v>1258.0160000000001</v>
      </c>
      <c r="D36" s="14">
        <f>SUM(D24:D35)</f>
        <v>-1258.4180121155118</v>
      </c>
      <c r="E36" s="15">
        <f t="shared" si="4"/>
        <v>-1.0003195604153776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B439-B1C2-44DC-8CA9-87751CAD707A}">
  <sheetPr codeName="Sheet28">
    <tabColor rgb="FF00B050"/>
  </sheetPr>
  <dimension ref="A1:L37"/>
  <sheetViews>
    <sheetView workbookViewId="0">
      <selection activeCell="G7" sqref="G7"/>
    </sheetView>
  </sheetViews>
  <sheetFormatPr defaultRowHeight="13.15"/>
  <cols>
    <col min="1" max="5" width="15.85546875" customWidth="1"/>
    <col min="6" max="6" width="43.140625" customWidth="1"/>
    <col min="7" max="7" width="19.42578125" bestFit="1" customWidth="1"/>
  </cols>
  <sheetData>
    <row r="1" spans="1:5" ht="24.6">
      <c r="A1" s="250" t="s">
        <v>75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1000.7</v>
      </c>
      <c r="C6" s="100">
        <v>0</v>
      </c>
      <c r="D6" s="96">
        <f>B6-C6</f>
        <v>1000.7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1000.7</v>
      </c>
      <c r="C18" s="14">
        <f t="shared" ref="C18:D18" si="2">SUM(C6:C17)</f>
        <v>0</v>
      </c>
      <c r="D18" s="14">
        <f t="shared" si="2"/>
        <v>1000.7</v>
      </c>
      <c r="E18" s="15" t="str">
        <f>IFERROR(D18/C18, "-")</f>
        <v>-</v>
      </c>
    </row>
    <row r="19" spans="1:12">
      <c r="B19" s="11"/>
    </row>
    <row r="20" spans="1:12">
      <c r="B20" s="11"/>
    </row>
    <row r="21" spans="1:12" ht="13.5" customHeight="1" thickBot="1">
      <c r="B21" s="11"/>
    </row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1000.7</v>
      </c>
      <c r="C24" s="101">
        <v>1110.7739999999999</v>
      </c>
      <c r="D24" s="102">
        <f t="shared" ref="D24:D35" si="3">B24-C24</f>
        <v>-110.07399999999984</v>
      </c>
      <c r="E24" s="103">
        <f t="shared" ref="E24:E36" si="4">IFERROR(D24/C24, "-")</f>
        <v>-9.9096665928442559E-2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1000.7</v>
      </c>
      <c r="C36" s="14">
        <f>SUM(C24:C35)</f>
        <v>1110.7739999999999</v>
      </c>
      <c r="D36" s="14">
        <f>SUM(D24:D35)</f>
        <v>-110.07399999999984</v>
      </c>
      <c r="E36" s="15">
        <f t="shared" si="4"/>
        <v>-9.9096665928442559E-2</v>
      </c>
      <c r="F36" s="15"/>
      <c r="G36" s="15"/>
    </row>
    <row r="37" spans="1:7">
      <c r="B37" s="11"/>
    </row>
  </sheetData>
  <mergeCells count="3">
    <mergeCell ref="A1:E1"/>
    <mergeCell ref="A4:E4"/>
    <mergeCell ref="A22:G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5782-D9E1-45C9-9DF3-845F10DF5AB2}">
  <sheetPr codeName="Sheet29">
    <tabColor rgb="FF00B050"/>
  </sheetPr>
  <dimension ref="A1:L36"/>
  <sheetViews>
    <sheetView workbookViewId="0">
      <selection activeCell="F6" sqref="F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1.140625" customWidth="1"/>
    <col min="7" max="7" width="19.42578125" bestFit="1" customWidth="1"/>
  </cols>
  <sheetData>
    <row r="1" spans="1:6" ht="24.6">
      <c r="A1" s="250" t="s">
        <v>77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65</v>
      </c>
    </row>
    <row r="4" spans="1:6" ht="16.5" customHeight="1">
      <c r="A4" s="257" t="s">
        <v>186</v>
      </c>
      <c r="B4" s="258"/>
      <c r="C4" s="258"/>
      <c r="D4" s="258"/>
      <c r="E4" s="259"/>
    </row>
    <row r="5" spans="1:6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99">
        <v>2395.4000000000101</v>
      </c>
      <c r="C6" s="99">
        <v>0</v>
      </c>
      <c r="D6" s="96">
        <f>B6-C6</f>
        <v>2395.4000000000101</v>
      </c>
      <c r="E6" s="98" t="str">
        <f>IFERROR(D6/C6, "-")</f>
        <v>-</v>
      </c>
      <c r="F6" s="22"/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  <c r="F7" s="22"/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6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2395.4000000000101</v>
      </c>
      <c r="C18" s="14">
        <f t="shared" ref="C18:D18" si="2">SUM(C6:C17)</f>
        <v>0</v>
      </c>
      <c r="D18" s="14">
        <f t="shared" si="2"/>
        <v>2395.4000000000101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2395.4000000000101</v>
      </c>
      <c r="C24" s="101">
        <v>2590.4189999999999</v>
      </c>
      <c r="D24" s="102">
        <f t="shared" ref="D24:D35" si="3">B24-C24</f>
        <v>-195.01899999998977</v>
      </c>
      <c r="E24" s="103">
        <f t="shared" ref="E24:E36" si="4">IFERROR(D24/C24, "-")</f>
        <v>-7.5284731929463833E-2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2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2395.4000000000101</v>
      </c>
      <c r="C36" s="14">
        <f>SUM(C24:C35)</f>
        <v>2590.4189999999999</v>
      </c>
      <c r="D36" s="14">
        <f>SUM(D24:D35)</f>
        <v>-195.01899999998977</v>
      </c>
      <c r="E36" s="15">
        <f t="shared" si="4"/>
        <v>-7.5284731929463833E-2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DCCC-1D11-409A-8016-4DEBA3F6E4D7}">
  <sheetPr codeName="Sheet30">
    <tabColor rgb="FF00B050"/>
  </sheetPr>
  <dimension ref="A1:L37"/>
  <sheetViews>
    <sheetView workbookViewId="0">
      <selection activeCell="F6" sqref="F6"/>
    </sheetView>
  </sheetViews>
  <sheetFormatPr defaultRowHeight="13.15"/>
  <cols>
    <col min="1" max="5" width="15.85546875" customWidth="1"/>
    <col min="6" max="6" width="48.140625" customWidth="1"/>
    <col min="7" max="7" width="19.42578125" bestFit="1" customWidth="1"/>
  </cols>
  <sheetData>
    <row r="1" spans="1:5" ht="24.6">
      <c r="A1" s="250" t="s">
        <v>79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1646.0999999999799</v>
      </c>
      <c r="C6" s="100">
        <v>0</v>
      </c>
      <c r="D6" s="96">
        <f>B6-C6</f>
        <v>1646.0999999999799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1646.0999999999799</v>
      </c>
      <c r="C18" s="14">
        <f t="shared" ref="C18:D18" si="2">SUM(C6:C17)</f>
        <v>0</v>
      </c>
      <c r="D18" s="14">
        <f t="shared" si="2"/>
        <v>1646.0999999999799</v>
      </c>
      <c r="E18" s="15" t="str">
        <f>IFERROR(D18/C18, "-")</f>
        <v>-</v>
      </c>
    </row>
    <row r="19" spans="1:12">
      <c r="B19" s="11"/>
    </row>
    <row r="20" spans="1:12">
      <c r="B20" s="11"/>
    </row>
    <row r="21" spans="1:12" ht="13.5" customHeight="1" thickBot="1">
      <c r="B21" s="11"/>
    </row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1646.0999999999799</v>
      </c>
      <c r="C24" s="101">
        <v>1355.097</v>
      </c>
      <c r="D24" s="102">
        <f t="shared" ref="D24:D35" si="3">B24-C24</f>
        <v>291.00299999997992</v>
      </c>
      <c r="E24" s="103">
        <f t="shared" ref="E24:E36" si="4">IFERROR(D24/C24, "-")</f>
        <v>0.21474698859194577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4"/>
      <c r="G34" s="114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14"/>
      <c r="G35" s="114"/>
    </row>
    <row r="36" spans="1:7">
      <c r="A36" s="13" t="s">
        <v>200</v>
      </c>
      <c r="B36" s="14">
        <v>1646.0999999999799</v>
      </c>
      <c r="C36" s="14">
        <f>SUM(C24:C35)</f>
        <v>1355.097</v>
      </c>
      <c r="D36" s="14">
        <f>SUM(D24:D35)</f>
        <v>291.00299999997992</v>
      </c>
      <c r="E36" s="15">
        <f t="shared" si="4"/>
        <v>0.21474698859194577</v>
      </c>
      <c r="F36" s="15"/>
      <c r="G36" s="15"/>
    </row>
    <row r="37" spans="1:7">
      <c r="B37" s="11"/>
    </row>
  </sheetData>
  <mergeCells count="3">
    <mergeCell ref="A1:E1"/>
    <mergeCell ref="A4:E4"/>
    <mergeCell ref="A22:G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5A7B-705B-4BBA-A71D-A66AD1A40497}">
  <sheetPr codeName="Sheet31">
    <tabColor rgb="FF00B050"/>
  </sheetPr>
  <dimension ref="A1:L36"/>
  <sheetViews>
    <sheetView workbookViewId="0">
      <selection activeCell="F6" sqref="F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9.85546875" bestFit="1" customWidth="1"/>
    <col min="7" max="7" width="19.42578125" bestFit="1" customWidth="1"/>
  </cols>
  <sheetData>
    <row r="1" spans="1:5" ht="24.6">
      <c r="A1" s="250" t="s">
        <v>81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65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1513</v>
      </c>
      <c r="C6" s="100">
        <v>0</v>
      </c>
      <c r="D6" s="96">
        <f>B6-C6</f>
        <v>1513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1513</v>
      </c>
      <c r="C18" s="14">
        <f t="shared" ref="C18:D18" si="2">SUM(C6:C17)</f>
        <v>0</v>
      </c>
      <c r="D18" s="14">
        <f t="shared" si="2"/>
        <v>1513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1513</v>
      </c>
      <c r="C24" s="101">
        <v>1611.403</v>
      </c>
      <c r="D24" s="116">
        <f t="shared" ref="D24:D35" si="3">B24-C24</f>
        <v>-98.40300000000002</v>
      </c>
      <c r="E24" s="103">
        <f t="shared" ref="E24:E36" si="4">IFERROR(D24/C24, "-")</f>
        <v>-6.1066660543638074E-2</v>
      </c>
      <c r="F24" s="114"/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>B29-C29</f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4"/>
      <c r="G34" s="114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14"/>
      <c r="G35" s="114"/>
    </row>
    <row r="36" spans="1:7">
      <c r="A36" s="13" t="s">
        <v>200</v>
      </c>
      <c r="B36" s="14">
        <v>1513</v>
      </c>
      <c r="C36" s="14">
        <f>SUM(C24:C35)</f>
        <v>1611.403</v>
      </c>
      <c r="D36" s="14">
        <f>SUM(D24:D35)</f>
        <v>-98.40300000000002</v>
      </c>
      <c r="E36" s="15">
        <f t="shared" si="4"/>
        <v>-6.1066660543638074E-2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35BC-A055-4E3A-9DB1-674FE0D5B8DD}">
  <sheetPr codeName="Sheet32">
    <tabColor rgb="FF00B050"/>
  </sheetPr>
  <dimension ref="A1:L36"/>
  <sheetViews>
    <sheetView topLeftCell="A2" workbookViewId="0">
      <selection activeCell="F6" sqref="F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9.85546875" bestFit="1" customWidth="1"/>
    <col min="7" max="7" width="19.42578125" bestFit="1" customWidth="1"/>
  </cols>
  <sheetData>
    <row r="1" spans="1:6" ht="24.6">
      <c r="A1" s="250" t="s">
        <v>83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65</v>
      </c>
    </row>
    <row r="4" spans="1:6" ht="16.5" customHeight="1">
      <c r="A4" s="257" t="s">
        <v>186</v>
      </c>
      <c r="B4" s="258"/>
      <c r="C4" s="258"/>
      <c r="D4" s="258"/>
      <c r="E4" s="259"/>
    </row>
    <row r="5" spans="1:6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99">
        <v>2051.1000000000099</v>
      </c>
      <c r="C6" s="100">
        <v>0</v>
      </c>
      <c r="D6" s="96">
        <f>B6-C6</f>
        <v>2051.1000000000099</v>
      </c>
      <c r="E6" s="7" t="str">
        <f>IFERROR(D6/C6, "-")</f>
        <v>-</v>
      </c>
      <c r="F6" s="22"/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7" t="str">
        <f t="shared" ref="E7:E17" si="1">IFERROR(D7/C7, "-")</f>
        <v>-</v>
      </c>
      <c r="F7" s="22"/>
    </row>
    <row r="8" spans="1:6" ht="14.45">
      <c r="A8" s="12" t="s">
        <v>190</v>
      </c>
      <c r="B8" s="96"/>
      <c r="C8" s="96"/>
      <c r="D8" s="96">
        <f t="shared" si="0"/>
        <v>0</v>
      </c>
      <c r="E8" s="7" t="str">
        <f t="shared" si="1"/>
        <v>-</v>
      </c>
    </row>
    <row r="9" spans="1:6" ht="14.45">
      <c r="A9" s="12" t="s">
        <v>191</v>
      </c>
      <c r="B9" s="96"/>
      <c r="C9" s="96"/>
      <c r="D9" s="96">
        <f t="shared" si="0"/>
        <v>0</v>
      </c>
      <c r="E9" s="7" t="str">
        <f t="shared" si="1"/>
        <v>-</v>
      </c>
    </row>
    <row r="10" spans="1:6" ht="14.45">
      <c r="A10" s="12" t="s">
        <v>192</v>
      </c>
      <c r="B10" s="96"/>
      <c r="C10" s="96"/>
      <c r="D10" s="96">
        <f t="shared" si="0"/>
        <v>0</v>
      </c>
      <c r="E10" s="7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7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7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7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7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7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7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7" t="str">
        <f t="shared" si="1"/>
        <v>-</v>
      </c>
    </row>
    <row r="18" spans="1:12">
      <c r="A18" s="13" t="s">
        <v>200</v>
      </c>
      <c r="B18" s="14">
        <f>SUM(B6:B17)</f>
        <v>2051.1000000000099</v>
      </c>
      <c r="C18" s="14">
        <f t="shared" ref="C18:D18" si="2">SUM(C6:C17)</f>
        <v>0</v>
      </c>
      <c r="D18" s="14">
        <f t="shared" si="2"/>
        <v>2051.1000000000099</v>
      </c>
      <c r="E18" s="15" t="str">
        <f>IFERROR(D18/C18, "-")</f>
        <v>-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2051.1000000000099</v>
      </c>
      <c r="C24" s="101">
        <v>2170.4029999999998</v>
      </c>
      <c r="D24" s="102">
        <f t="shared" ref="D24:D35" si="3">B24-C24</f>
        <v>-119.30299999998988</v>
      </c>
      <c r="E24" s="103">
        <f t="shared" ref="E24:E36" si="4">IFERROR(D24/C24, "-")</f>
        <v>-5.4968132646328764E-2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4"/>
      <c r="G34" s="114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14"/>
      <c r="G35" s="114"/>
    </row>
    <row r="36" spans="1:7">
      <c r="A36" s="13" t="s">
        <v>200</v>
      </c>
      <c r="B36" s="14">
        <v>2051.1000000000099</v>
      </c>
      <c r="C36" s="14">
        <f>SUM(C24:C35)</f>
        <v>2170.4029999999998</v>
      </c>
      <c r="D36" s="14">
        <f>SUM(D24:D35)</f>
        <v>-119.30299999998988</v>
      </c>
      <c r="E36" s="15">
        <f t="shared" si="4"/>
        <v>-5.4968132646328764E-2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5B5C-77D1-4DE6-B819-0B1BA39A5C45}">
  <sheetPr codeName="Sheet33">
    <tabColor rgb="FF00B0F0"/>
  </sheetPr>
  <dimension ref="A1:L36"/>
  <sheetViews>
    <sheetView topLeftCell="A13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85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86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 thickBo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119.7</v>
      </c>
      <c r="C6" s="100">
        <v>246.8964</v>
      </c>
      <c r="D6" s="96">
        <f>B6-C6</f>
        <v>-127.1964</v>
      </c>
      <c r="E6" s="98">
        <f>IFERROR(D6/C6, "-")</f>
        <v>-0.51518126631251004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119.7</v>
      </c>
      <c r="C18" s="14">
        <f t="shared" ref="C18:D18" si="2">SUM(C6:C17)</f>
        <v>246.8964</v>
      </c>
      <c r="D18" s="14">
        <f t="shared" si="2"/>
        <v>-127.1964</v>
      </c>
      <c r="E18" s="15">
        <f>IFERROR(D18/C18, "-")</f>
        <v>-0.51518126631251004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119.7</v>
      </c>
      <c r="C24" s="119">
        <v>273.27499999999998</v>
      </c>
      <c r="D24" s="102">
        <f t="shared" ref="D24:D35" si="3">B24-C24</f>
        <v>-153.57499999999999</v>
      </c>
      <c r="E24" s="103">
        <f t="shared" ref="E24:E36" si="4">IFERROR(D24/C24, "-")</f>
        <v>-0.56197969078766807</v>
      </c>
      <c r="F24" s="103" t="s">
        <v>204</v>
      </c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21"/>
      <c r="G25" s="103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22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119.7</v>
      </c>
      <c r="C36" s="14">
        <f>SUM(C24:C35)</f>
        <v>273.27499999999998</v>
      </c>
      <c r="D36" s="14">
        <f>SUM(D24:D35)</f>
        <v>-153.57499999999999</v>
      </c>
      <c r="E36" s="15">
        <f t="shared" si="4"/>
        <v>-0.56197969078766807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AC8E-8CAB-4935-87B9-1376BD0A2C42}">
  <sheetPr codeName="Sheet34">
    <tabColor rgb="FF00B0F0"/>
  </sheetPr>
  <dimension ref="A1:L36"/>
  <sheetViews>
    <sheetView topLeftCell="A2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77.140625" customWidth="1"/>
    <col min="7" max="7" width="19.42578125" bestFit="1" customWidth="1"/>
  </cols>
  <sheetData>
    <row r="1" spans="1:5" ht="24.6">
      <c r="A1" s="250" t="s">
        <v>88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86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00">
        <v>117.74057825254</v>
      </c>
      <c r="C6" s="100">
        <v>417.31670000000003</v>
      </c>
      <c r="D6" s="96">
        <f>B6-C6</f>
        <v>-299.57612174746004</v>
      </c>
      <c r="E6" s="98">
        <f>IFERROR(D6/C6, "-")</f>
        <v>-0.71786276884548361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117.74057825254</v>
      </c>
      <c r="C18" s="14">
        <f t="shared" ref="C18:D18" si="2">SUM(C6:C17)</f>
        <v>417.31670000000003</v>
      </c>
      <c r="D18" s="14">
        <f t="shared" si="2"/>
        <v>-299.57612174746004</v>
      </c>
      <c r="E18" s="15">
        <f>IFERROR(D18/C18, "-")</f>
        <v>-0.71786276884548361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117.74057825254</v>
      </c>
      <c r="C24" s="119">
        <v>376.75700000000001</v>
      </c>
      <c r="D24" s="102">
        <f t="shared" ref="D24:D35" si="3">B24-C24</f>
        <v>-259.01642174746002</v>
      </c>
      <c r="E24" s="103">
        <f t="shared" ref="E24:E36" si="4">IFERROR(D24/C24, "-")</f>
        <v>-0.68748934126628047</v>
      </c>
      <c r="F24" s="103"/>
      <c r="G24" s="103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1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2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117.74057825254</v>
      </c>
      <c r="C36" s="14">
        <f>SUM(C24:C35)</f>
        <v>376.75700000000001</v>
      </c>
      <c r="D36" s="14">
        <f>SUM(D24:D35)</f>
        <v>-259.01642174746002</v>
      </c>
      <c r="E36" s="15">
        <f t="shared" si="4"/>
        <v>-0.68748934126628047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86BB-B46D-4260-A88F-384633A8A7C1}">
  <sheetPr codeName="Sheet35">
    <tabColor rgb="FF7030A0"/>
  </sheetPr>
  <dimension ref="A1:L36"/>
  <sheetViews>
    <sheetView topLeftCell="A3" workbookViewId="0">
      <selection activeCell="H12" sqref="H12"/>
    </sheetView>
  </sheetViews>
  <sheetFormatPr defaultRowHeight="13.15"/>
  <cols>
    <col min="1" max="5" width="13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90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91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1428.4985294549399</v>
      </c>
      <c r="C6" s="99">
        <v>2582.0729999999999</v>
      </c>
      <c r="D6" s="96">
        <f>B6-C6</f>
        <v>-1153.57447054506</v>
      </c>
      <c r="E6" s="98">
        <f>IFERROR(D6/C6, "-")</f>
        <v>-0.44676291899766585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1428.4985294549399</v>
      </c>
      <c r="C18" s="14">
        <f t="shared" ref="C18:D18" si="2">SUM(C6:C17)</f>
        <v>2582.0729999999999</v>
      </c>
      <c r="D18" s="14">
        <f t="shared" si="2"/>
        <v>-1153.57447054506</v>
      </c>
      <c r="E18" s="15">
        <f>IFERROR(D18/C18, "-")</f>
        <v>-0.44676291899766585</v>
      </c>
    </row>
    <row r="19" spans="1:12">
      <c r="B19" s="11"/>
    </row>
    <row r="20" spans="1:12">
      <c r="B20" s="11"/>
    </row>
    <row r="21" spans="1:12" ht="13.5" customHeight="1" thickBot="1">
      <c r="B21" s="11"/>
    </row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1428.4985294549399</v>
      </c>
      <c r="C24" s="101">
        <v>3451.6610000000001</v>
      </c>
      <c r="D24" s="102">
        <f t="shared" ref="D24:D35" si="3">B24-C24</f>
        <v>-2023.1624705450602</v>
      </c>
      <c r="E24" s="103">
        <f t="shared" ref="E24:E36" si="4">IFERROR(D24/C24, "-")</f>
        <v>-0.58614170700571699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2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4"/>
      <c r="G34" s="114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14"/>
      <c r="G35" s="114"/>
    </row>
    <row r="36" spans="1:7">
      <c r="A36" s="13" t="s">
        <v>200</v>
      </c>
      <c r="B36" s="14">
        <v>1428.4985294549399</v>
      </c>
      <c r="C36" s="14">
        <f>SUM(C24:C35)</f>
        <v>3451.6610000000001</v>
      </c>
      <c r="D36" s="14">
        <f>SUM(D24:D35)</f>
        <v>-2023.1624705450602</v>
      </c>
      <c r="E36" s="15">
        <f t="shared" si="4"/>
        <v>-0.58614170700571699</v>
      </c>
      <c r="F36" s="15"/>
      <c r="G36" s="15"/>
    </row>
  </sheetData>
  <mergeCells count="3">
    <mergeCell ref="A1:E1"/>
    <mergeCell ref="A4:E4"/>
    <mergeCell ref="A22:G22"/>
  </mergeCells>
  <phoneticPr fontId="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77D3-2D8D-47A8-B65A-20801F6C8B80}">
  <sheetPr codeName="Sheet36">
    <tabColor rgb="FFFF4B14"/>
  </sheetPr>
  <dimension ref="A1:L36"/>
  <sheetViews>
    <sheetView topLeftCell="A2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69" customWidth="1"/>
    <col min="7" max="7" width="19.42578125" bestFit="1" customWidth="1"/>
  </cols>
  <sheetData>
    <row r="1" spans="1:7" ht="24.6">
      <c r="A1" s="250" t="s">
        <v>93</v>
      </c>
      <c r="B1" s="250"/>
      <c r="C1" s="250"/>
      <c r="D1" s="250"/>
      <c r="E1" s="250"/>
      <c r="G1" s="94" t="s">
        <v>210</v>
      </c>
    </row>
    <row r="2" spans="1:7" ht="24.6">
      <c r="A2" s="72"/>
      <c r="B2" s="72"/>
      <c r="C2" s="72"/>
      <c r="D2" s="72"/>
      <c r="E2" s="72"/>
    </row>
    <row r="3" spans="1:7">
      <c r="A3" t="s">
        <v>185</v>
      </c>
      <c r="B3" s="11" t="s">
        <v>94</v>
      </c>
    </row>
    <row r="4" spans="1:7" ht="16.5" customHeight="1">
      <c r="A4" s="257" t="s">
        <v>186</v>
      </c>
      <c r="B4" s="258"/>
      <c r="C4" s="258"/>
      <c r="D4" s="258"/>
      <c r="E4" s="259"/>
    </row>
    <row r="5" spans="1:7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7" ht="14.45">
      <c r="A6" s="16" t="s">
        <v>188</v>
      </c>
      <c r="B6" s="99">
        <v>12390.9375</v>
      </c>
      <c r="C6" s="99">
        <v>16455.02</v>
      </c>
      <c r="D6" s="96">
        <f>B6-C6</f>
        <v>-4064.0825000000004</v>
      </c>
      <c r="E6" s="98">
        <f>IFERROR(D6/C6, "-")</f>
        <v>-0.24698131633993761</v>
      </c>
    </row>
    <row r="7" spans="1:7" ht="14.45">
      <c r="A7" s="12" t="s">
        <v>189</v>
      </c>
      <c r="B7" s="96"/>
      <c r="C7" s="99"/>
      <c r="D7" s="96">
        <f t="shared" ref="D7:D17" si="0">B7-C7</f>
        <v>0</v>
      </c>
      <c r="E7" s="98" t="str">
        <f t="shared" ref="E7:E17" si="1">IFERROR(D7/C7, "-")</f>
        <v>-</v>
      </c>
    </row>
    <row r="8" spans="1:7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7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7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7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7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7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7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7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7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12390.9375</v>
      </c>
      <c r="C18" s="14">
        <f t="shared" ref="C18:D18" si="2">SUM(C6:C17)</f>
        <v>16455.02</v>
      </c>
      <c r="D18" s="14">
        <f t="shared" si="2"/>
        <v>-4064.0825000000004</v>
      </c>
      <c r="E18" s="15">
        <f>IFERROR(D18/C18, "-")</f>
        <v>-0.24698131633993761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12390.9375</v>
      </c>
      <c r="C24" s="101">
        <v>23956.603999999999</v>
      </c>
      <c r="D24" s="102">
        <f t="shared" ref="D24:D35" si="3">B24-C24</f>
        <v>-11565.666499999999</v>
      </c>
      <c r="E24" s="103">
        <f t="shared" ref="E24:E36" si="4">IFERROR(D24/C24, "-")</f>
        <v>-0.48277570977923245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s="11" customFormat="1" ht="36.75" customHeight="1">
      <c r="A27" s="78" t="s">
        <v>191</v>
      </c>
      <c r="B27" s="107">
        <v>0</v>
      </c>
      <c r="C27" s="107"/>
      <c r="D27" s="107">
        <f t="shared" si="3"/>
        <v>0</v>
      </c>
      <c r="E27" s="108" t="str">
        <f t="shared" si="4"/>
        <v>-</v>
      </c>
      <c r="F27" s="112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4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14"/>
      <c r="G35" s="103"/>
    </row>
    <row r="36" spans="1:7">
      <c r="A36" s="13" t="s">
        <v>200</v>
      </c>
      <c r="B36" s="14">
        <v>12390.9375</v>
      </c>
      <c r="C36" s="14">
        <f>SUM(C24:C35)</f>
        <v>23956.603999999999</v>
      </c>
      <c r="D36" s="14">
        <f>SUM(D24:D35)</f>
        <v>-11565.666499999999</v>
      </c>
      <c r="E36" s="15">
        <f t="shared" si="4"/>
        <v>-0.48277570977923245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AC71-3FAC-4694-AE37-D1AD0B24FDA8}">
  <sheetPr codeName="Sheet37">
    <tabColor rgb="FFFF4B14"/>
  </sheetPr>
  <dimension ref="A1:L36"/>
  <sheetViews>
    <sheetView workbookViewId="0">
      <selection activeCell="F24" sqref="F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5.42578125" customWidth="1"/>
    <col min="7" max="7" width="19.42578125" bestFit="1" customWidth="1"/>
  </cols>
  <sheetData>
    <row r="1" spans="1:5" ht="24.6">
      <c r="A1" s="250" t="s">
        <v>96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94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62192.5</v>
      </c>
      <c r="C6" s="99">
        <v>8477.2479999999996</v>
      </c>
      <c r="D6" s="96">
        <f>B6-C6</f>
        <v>53715.252</v>
      </c>
      <c r="E6" s="98">
        <f>IFERROR(D6/C6, "-")</f>
        <v>6.3364020965294401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62192.5</v>
      </c>
      <c r="C18" s="14">
        <f t="shared" ref="C18:D18" si="2">SUM(C6:C17)</f>
        <v>8477.2479999999996</v>
      </c>
      <c r="D18" s="14">
        <f t="shared" si="2"/>
        <v>53715.252</v>
      </c>
      <c r="E18" s="15">
        <f>IFERROR(D18/C18, "-")</f>
        <v>6.3364020965294401</v>
      </c>
    </row>
    <row r="21" spans="1:12" ht="13.5" customHeight="1" thickBot="1"/>
    <row r="22" spans="1:12" ht="16.5" customHeight="1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62192.5</v>
      </c>
      <c r="C24" s="101">
        <v>105997.32</v>
      </c>
      <c r="D24" s="102">
        <f t="shared" ref="D24:D35" si="3">B24-C24</f>
        <v>-43804.820000000007</v>
      </c>
      <c r="E24" s="103">
        <f t="shared" ref="E24:E36" si="4">IFERROR(D24/C24, "-")</f>
        <v>-0.41326346741596864</v>
      </c>
      <c r="F24" s="112" t="s">
        <v>211</v>
      </c>
      <c r="G24" s="114" t="s">
        <v>212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27.6" customHeight="1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2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2"/>
      <c r="G34" s="112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62192.5</v>
      </c>
      <c r="C36" s="14">
        <f>SUM(C24:C35)</f>
        <v>105997.32</v>
      </c>
      <c r="D36" s="14">
        <f>SUM(D24:D35)</f>
        <v>-43804.820000000007</v>
      </c>
      <c r="E36" s="15">
        <f t="shared" si="4"/>
        <v>-0.41326346741596864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3132-A478-48C1-887B-13439EE74013}">
  <sheetPr codeName="Sheet38">
    <tabColor rgb="FFFF4B14"/>
  </sheetPr>
  <dimension ref="A1:G36"/>
  <sheetViews>
    <sheetView workbookViewId="0">
      <selection activeCell="I8" sqref="I8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5.42578125" customWidth="1"/>
    <col min="7" max="7" width="19.42578125" bestFit="1" customWidth="1"/>
  </cols>
  <sheetData>
    <row r="1" spans="1:5" ht="24.6">
      <c r="A1" s="250" t="s">
        <v>98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94</v>
      </c>
    </row>
    <row r="4" spans="1:5" ht="16.5" customHeight="1">
      <c r="A4" s="257" t="s">
        <v>186</v>
      </c>
      <c r="B4" s="258"/>
      <c r="C4" s="258"/>
      <c r="D4" s="258"/>
      <c r="E4" s="259"/>
    </row>
    <row r="5" spans="1:5" ht="13.5" customHeight="1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25312.5</v>
      </c>
      <c r="C6" s="99">
        <v>4681.4859999999999</v>
      </c>
      <c r="D6" s="96">
        <f>B6-C6</f>
        <v>20631.013999999999</v>
      </c>
      <c r="E6" s="98">
        <f>IFERROR(D6/C6, "-")</f>
        <v>4.4069370281145774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7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7">
      <c r="A18" s="13" t="s">
        <v>200</v>
      </c>
      <c r="B18" s="14">
        <f>SUM(B6:B17)</f>
        <v>25312.5</v>
      </c>
      <c r="C18" s="14">
        <f t="shared" ref="C18:D18" si="2">SUM(C6:C17)</f>
        <v>4681.4859999999999</v>
      </c>
      <c r="D18" s="14">
        <f t="shared" si="2"/>
        <v>20631.013999999999</v>
      </c>
      <c r="E18" s="15">
        <f>IFERROR(D18/C18, "-")</f>
        <v>4.4069370281145774</v>
      </c>
    </row>
    <row r="21" spans="1:7" ht="13.5" customHeight="1" thickBot="1"/>
    <row r="22" spans="1:7" ht="16.5" customHeight="1" thickBot="1">
      <c r="A22" s="260" t="s">
        <v>201</v>
      </c>
      <c r="B22" s="261"/>
      <c r="C22" s="261"/>
      <c r="D22" s="261"/>
      <c r="E22" s="261"/>
      <c r="F22" s="261"/>
      <c r="G22" s="262"/>
    </row>
    <row r="23" spans="1:7" ht="13.5" customHeight="1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7" ht="28.9">
      <c r="A24" s="16" t="s">
        <v>188</v>
      </c>
      <c r="B24" s="101" cm="1">
        <f t="array" ref="B24:B36">B6:B18</f>
        <v>25312.5</v>
      </c>
      <c r="C24" s="101">
        <v>55952.783000000003</v>
      </c>
      <c r="D24" s="102">
        <f t="shared" ref="D24:D35" si="3">B24-C24</f>
        <v>-30640.283000000003</v>
      </c>
      <c r="E24" s="103">
        <f t="shared" ref="E24:E36" si="4">IFERROR(D24/C24, "-")</f>
        <v>-0.54760963364413884</v>
      </c>
      <c r="F24" s="112" t="s">
        <v>213</v>
      </c>
      <c r="G24" s="112" t="s">
        <v>214</v>
      </c>
    </row>
    <row r="25" spans="1:7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7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7" ht="27.6" customHeight="1">
      <c r="A27" s="12" t="s">
        <v>191</v>
      </c>
      <c r="B27" s="102">
        <v>0</v>
      </c>
      <c r="C27" s="106"/>
      <c r="D27" s="102">
        <f>B27-C27</f>
        <v>0</v>
      </c>
      <c r="E27" s="103" t="str">
        <f t="shared" si="4"/>
        <v>-</v>
      </c>
      <c r="F27" s="112"/>
      <c r="G27" s="114"/>
    </row>
    <row r="28" spans="1:7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7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7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7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7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76.349999999999994" customHeight="1">
      <c r="A33" s="12" t="s">
        <v>197</v>
      </c>
      <c r="B33" s="102">
        <v>0</v>
      </c>
      <c r="C33" s="102"/>
      <c r="D33" s="102">
        <f>B33-C33</f>
        <v>0</v>
      </c>
      <c r="E33" s="103" t="str">
        <f>IFERROR(D33/C33, "-")</f>
        <v>-</v>
      </c>
      <c r="F33" s="112"/>
      <c r="G33" s="112"/>
    </row>
    <row r="34" spans="1:7" ht="16.350000000000001" customHeight="1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12"/>
      <c r="G34" s="112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25312.5</v>
      </c>
      <c r="C36" s="14">
        <f>SUM(C24:C35)</f>
        <v>55952.783000000003</v>
      </c>
      <c r="D36" s="14">
        <f>SUM(D24:D35)</f>
        <v>-30640.283000000003</v>
      </c>
      <c r="E36" s="15">
        <f t="shared" si="4"/>
        <v>-0.54760963364413884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05CB-8424-43FA-82D0-00C4A5401F7D}">
  <sheetPr codeName="Sheet39">
    <tabColor rgb="FF36FFFC"/>
  </sheetPr>
  <dimension ref="A1:L36"/>
  <sheetViews>
    <sheetView workbookViewId="0">
      <selection activeCell="F20" sqref="F20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5703125" bestFit="1" customWidth="1"/>
    <col min="7" max="7" width="19.42578125" bestFit="1" customWidth="1"/>
  </cols>
  <sheetData>
    <row r="1" spans="1:5" ht="24.6">
      <c r="A1" s="250" t="s">
        <v>100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101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0</v>
      </c>
      <c r="C6" s="99">
        <v>0</v>
      </c>
      <c r="D6" s="96">
        <f>B6-C6</f>
        <v>0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126"/>
      <c r="C9" s="127"/>
      <c r="D9" s="96">
        <f t="shared" si="0"/>
        <v>0</v>
      </c>
      <c r="E9" s="98" t="str">
        <f t="shared" si="1"/>
        <v>-</v>
      </c>
    </row>
    <row r="10" spans="1:5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1">
        <f t="shared" si="0"/>
        <v>0</v>
      </c>
      <c r="E16" s="7" t="str">
        <f t="shared" si="1"/>
        <v>-</v>
      </c>
    </row>
    <row r="17" spans="1:12" ht="14.45">
      <c r="A17" s="12" t="s">
        <v>199</v>
      </c>
      <c r="B17" s="96"/>
      <c r="C17" s="96"/>
      <c r="D17" s="1">
        <f t="shared" si="0"/>
        <v>0</v>
      </c>
      <c r="E17" s="7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01">
        <v>0</v>
      </c>
      <c r="D24" s="102">
        <f t="shared" ref="D24:D35" si="3">B24-C24</f>
        <v>0</v>
      </c>
      <c r="E24" s="103" t="str">
        <f t="shared" ref="E24:E36" si="4">IFERROR(D24/C24, "-")</f>
        <v>-</v>
      </c>
      <c r="F24" s="103" t="s">
        <v>215</v>
      </c>
      <c r="G24" s="215" t="s">
        <v>216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77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03"/>
      <c r="G27" s="10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79"/>
      <c r="G28" s="179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78" t="str">
        <f t="shared" si="4"/>
        <v>-</v>
      </c>
      <c r="F29" s="183"/>
      <c r="G29" s="180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78" t="str">
        <f t="shared" si="4"/>
        <v>-</v>
      </c>
      <c r="F30" s="183"/>
      <c r="G30" s="180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78" t="str">
        <f t="shared" si="4"/>
        <v>-</v>
      </c>
      <c r="F31" s="183"/>
      <c r="G31" s="180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83"/>
      <c r="G32" s="180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83"/>
      <c r="G33" s="180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208"/>
      <c r="G34" s="180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208"/>
      <c r="G35" s="180"/>
    </row>
    <row r="36" spans="1:7">
      <c r="A36" s="13" t="s">
        <v>200</v>
      </c>
      <c r="B36" s="14">
        <v>0</v>
      </c>
      <c r="C36" s="14">
        <f>SUM(C24:C35)</f>
        <v>0</v>
      </c>
      <c r="D36" s="14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honeticPr fontId="5" type="noConversion"/>
  <pageMargins left="0.7" right="0.7" top="0.75" bottom="0.75" header="0.3" footer="0.3"/>
  <pageSetup orientation="portrait" horizontalDpi="1200" verticalDpi="12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D2CB-0DA9-407A-BEA4-ACFFE3AF91DB}">
  <sheetPr codeName="Sheet40">
    <tabColor rgb="FF36FFFC"/>
  </sheetPr>
  <dimension ref="A1:L36"/>
  <sheetViews>
    <sheetView workbookViewId="0">
      <selection activeCell="G15" sqref="G15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5.140625" bestFit="1" customWidth="1"/>
    <col min="7" max="7" width="19.42578125" bestFit="1" customWidth="1"/>
  </cols>
  <sheetData>
    <row r="1" spans="1:5" ht="24.6">
      <c r="A1" s="250" t="s">
        <v>103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69" t="s">
        <v>101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99">
        <v>0</v>
      </c>
      <c r="C6" s="99">
        <v>0</v>
      </c>
      <c r="D6" s="96">
        <f>B6-C6</f>
        <v>0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127"/>
      <c r="C9" s="127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1">
        <f t="shared" si="0"/>
        <v>0</v>
      </c>
      <c r="E16" s="7" t="str">
        <f t="shared" si="1"/>
        <v>-</v>
      </c>
    </row>
    <row r="17" spans="1:12" ht="14.45">
      <c r="A17" s="12" t="s">
        <v>199</v>
      </c>
      <c r="B17" s="96"/>
      <c r="C17" s="96"/>
      <c r="D17" s="1">
        <f t="shared" si="0"/>
        <v>0</v>
      </c>
      <c r="E17" s="7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28.9">
      <c r="A24" s="16" t="s">
        <v>188</v>
      </c>
      <c r="B24" s="101" cm="1">
        <f t="array" ref="B24:B36">B6:B18</f>
        <v>0</v>
      </c>
      <c r="C24" s="101">
        <v>0</v>
      </c>
      <c r="D24" s="102">
        <f t="shared" ref="D24:D35" si="3">B24-C24</f>
        <v>0</v>
      </c>
      <c r="E24" s="103" t="str">
        <f t="shared" ref="E24:E36" si="4">IFERROR(D24/C24, "-")</f>
        <v>-</v>
      </c>
      <c r="F24" s="112" t="s">
        <v>215</v>
      </c>
      <c r="G24" s="114" t="s">
        <v>217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77"/>
    </row>
    <row r="27" spans="1:12" ht="14.45">
      <c r="A27" s="12" t="s">
        <v>191</v>
      </c>
      <c r="B27" s="102">
        <v>0</v>
      </c>
      <c r="C27" s="102"/>
      <c r="D27" s="102">
        <f>B27-C27</f>
        <v>0</v>
      </c>
      <c r="E27" s="103" t="str">
        <f t="shared" si="4"/>
        <v>-</v>
      </c>
      <c r="F27" s="103"/>
      <c r="G27" s="10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9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83"/>
      <c r="G29" s="180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83"/>
      <c r="G30" s="180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83"/>
      <c r="G31" s="180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83"/>
      <c r="G32" s="180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83"/>
      <c r="G33" s="180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208"/>
      <c r="G34" s="180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208"/>
      <c r="G35" s="180"/>
    </row>
    <row r="36" spans="1:7">
      <c r="A36" s="13" t="s">
        <v>200</v>
      </c>
      <c r="B36" s="14">
        <v>0</v>
      </c>
      <c r="C36" s="14">
        <f>SUM(C24:C35)</f>
        <v>0</v>
      </c>
      <c r="D36" s="14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honeticPr fontId="5" type="noConversion"/>
  <pageMargins left="0.7" right="0.7" top="0.75" bottom="0.75" header="0.3" footer="0.3"/>
  <pageSetup orientation="portrait" horizontalDpi="1200" verticalDpi="12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E7E0-050C-40BE-A1EF-99A5160DC113}">
  <sheetPr codeName="Sheet41">
    <tabColor rgb="FFFFFF00"/>
  </sheetPr>
  <dimension ref="A1:G36"/>
  <sheetViews>
    <sheetView topLeftCell="A2" workbookViewId="0">
      <selection activeCell="M19" sqref="M19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29.42578125" customWidth="1"/>
    <col min="7" max="7" width="19.42578125" bestFit="1" customWidth="1"/>
  </cols>
  <sheetData>
    <row r="1" spans="1:5" ht="24.6">
      <c r="A1" s="250" t="s">
        <v>105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 ht="13.9" thickBot="1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1678.6484375</v>
      </c>
      <c r="C6" s="130">
        <v>1609.7439999999999</v>
      </c>
      <c r="D6" s="96">
        <f>B6-C6</f>
        <v>68.904437500000085</v>
      </c>
      <c r="E6" s="98">
        <f>IFERROR(D6/C6, "-")</f>
        <v>4.2804593463308505E-2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131"/>
      <c r="C9" s="96"/>
      <c r="D9" s="96">
        <f t="shared" si="0"/>
        <v>0</v>
      </c>
      <c r="E9" s="98" t="str">
        <f t="shared" si="1"/>
        <v>-</v>
      </c>
    </row>
    <row r="10" spans="1:5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5" ht="14.45">
      <c r="A11" s="35" t="s">
        <v>193</v>
      </c>
      <c r="B11" s="132"/>
      <c r="C11" s="129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7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7">
      <c r="A18" s="13" t="s">
        <v>200</v>
      </c>
      <c r="B18" s="14">
        <f>SUM(B6:B17)</f>
        <v>1678.6484375</v>
      </c>
      <c r="C18" s="14">
        <f t="shared" ref="C18:D18" si="2">SUM(C6:C17)</f>
        <v>1609.7439999999999</v>
      </c>
      <c r="D18" s="14">
        <f t="shared" si="2"/>
        <v>68.904437500000085</v>
      </c>
      <c r="E18" s="15">
        <f>IFERROR(D18/C18, "-")</f>
        <v>4.2804593463308505E-2</v>
      </c>
    </row>
    <row r="21" spans="1:7" ht="13.9" thickBot="1"/>
    <row r="22" spans="1:7" ht="16.149999999999999" thickBot="1">
      <c r="A22" s="260" t="s">
        <v>201</v>
      </c>
      <c r="B22" s="261"/>
      <c r="C22" s="261"/>
      <c r="D22" s="261"/>
      <c r="E22" s="261"/>
      <c r="F22" s="261"/>
      <c r="G22" s="263"/>
    </row>
    <row r="23" spans="1:7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188" t="s">
        <v>203</v>
      </c>
    </row>
    <row r="24" spans="1:7" ht="14.45">
      <c r="A24" s="16" t="s">
        <v>188</v>
      </c>
      <c r="B24" s="101" cm="1">
        <f t="array" ref="B24:B36">B6:B18</f>
        <v>1678.6484375</v>
      </c>
      <c r="C24" s="101">
        <v>2100.114</v>
      </c>
      <c r="D24" s="102">
        <f t="shared" ref="D24:D35" si="3">B24-C24</f>
        <v>-421.46556250000003</v>
      </c>
      <c r="E24" s="103">
        <f t="shared" ref="E24:E36" si="4">IFERROR(D24/C24, "-")</f>
        <v>-0.20068699246802793</v>
      </c>
      <c r="F24" s="114"/>
      <c r="G24" s="114" t="s">
        <v>204</v>
      </c>
    </row>
    <row r="25" spans="1:7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 t="s">
        <v>204</v>
      </c>
    </row>
    <row r="26" spans="1:7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 t="s">
        <v>204</v>
      </c>
      <c r="G26" s="114"/>
    </row>
    <row r="27" spans="1:7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7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7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7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7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7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1678.6484375</v>
      </c>
      <c r="C36" s="14">
        <f>SUM(C24:C35)</f>
        <v>2100.114</v>
      </c>
      <c r="D36" s="14">
        <f>SUM(D24:D35)</f>
        <v>-421.46556250000003</v>
      </c>
      <c r="E36" s="15">
        <f t="shared" si="4"/>
        <v>-0.20068699246802793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31FD-CB2F-40D5-9784-5C6544E00401}">
  <sheetPr codeName="Sheet42">
    <tabColor rgb="FFFFFF00"/>
  </sheetPr>
  <dimension ref="A1:L36"/>
  <sheetViews>
    <sheetView topLeftCell="A2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2.85546875" customWidth="1"/>
    <col min="7" max="7" width="19.42578125" bestFit="1" customWidth="1"/>
  </cols>
  <sheetData>
    <row r="1" spans="1:5" ht="24.6">
      <c r="A1" s="250" t="s">
        <v>108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 ht="13.9" thickBot="1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792.69999999999698</v>
      </c>
      <c r="C6" s="130">
        <v>1075.8119999999999</v>
      </c>
      <c r="D6" s="96">
        <f>B6-C6</f>
        <v>-283.11200000000292</v>
      </c>
      <c r="E6" s="98">
        <f>IFERROR(D6/C6, "-")</f>
        <v>-0.26316122147736126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792.69999999999698</v>
      </c>
      <c r="C18" s="14">
        <f t="shared" ref="C18:D18" si="2">SUM(C6:C17)</f>
        <v>1075.8119999999999</v>
      </c>
      <c r="D18" s="14">
        <f t="shared" si="2"/>
        <v>-283.11200000000292</v>
      </c>
      <c r="E18" s="15">
        <f>IFERROR(D18/C18, "-")</f>
        <v>-0.26316122147736126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792.69999999999698</v>
      </c>
      <c r="C24" s="139">
        <v>2010.779</v>
      </c>
      <c r="D24" s="102">
        <f t="shared" ref="D24:D35" si="3">B24-C24</f>
        <v>-1218.0790000000029</v>
      </c>
      <c r="E24" s="103">
        <f t="shared" ref="E24:E36" si="4">IFERROR(D24/C24, "-")</f>
        <v>-0.60577467737628199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6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792.69999999999698</v>
      </c>
      <c r="C36" s="14">
        <f>SUM(C24:C35)</f>
        <v>2010.779</v>
      </c>
      <c r="D36" s="14">
        <f>SUM(D24:D35)</f>
        <v>-1218.0790000000029</v>
      </c>
      <c r="E36" s="15">
        <f t="shared" si="4"/>
        <v>-0.60577467737628199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EA59-4C6B-4369-B402-5989EEA093B9}">
  <sheetPr codeName="Sheet43">
    <tabColor rgb="FFFFFF00"/>
  </sheetPr>
  <dimension ref="A1:L36"/>
  <sheetViews>
    <sheetView workbookViewId="0">
      <selection activeCell="I16" sqref="I1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110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705.70000000001198</v>
      </c>
      <c r="C6" s="133">
        <v>734.38490000000002</v>
      </c>
      <c r="D6" s="96">
        <f>B6-C6</f>
        <v>-28.684899999988033</v>
      </c>
      <c r="E6" s="98">
        <f>IFERROR(D6/C6, "-")</f>
        <v>-3.9059762802840896E-2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705.70000000001198</v>
      </c>
      <c r="C18" s="14">
        <f t="shared" ref="C18:D18" si="2">SUM(C6:C17)</f>
        <v>734.38490000000002</v>
      </c>
      <c r="D18" s="14">
        <f t="shared" si="2"/>
        <v>-28.684899999988033</v>
      </c>
      <c r="E18" s="15">
        <f>IFERROR(D18/C18, "-")</f>
        <v>-3.9059762802840896E-2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705.70000000001198</v>
      </c>
      <c r="C24" s="139">
        <v>1121.3510000000001</v>
      </c>
      <c r="D24" s="102">
        <f t="shared" ref="D24:D35" si="3">B24-C24</f>
        <v>-415.65099999998813</v>
      </c>
      <c r="E24" s="103">
        <f t="shared" ref="E24:E36" si="4">IFERROR(D24/C24, "-")</f>
        <v>-0.37066984378663603</v>
      </c>
      <c r="F24" s="114"/>
      <c r="G24" s="114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>B28-C28</f>
        <v>0</v>
      </c>
      <c r="E28" s="103" t="str">
        <f>IFERROR(D28/C28, "-")</f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>B29-C29</f>
        <v>0</v>
      </c>
      <c r="E29" s="103" t="str">
        <f>IFERROR(D29/C29, "-")</f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705.70000000001198</v>
      </c>
      <c r="C36" s="14">
        <f>SUM(C24:C35)</f>
        <v>1121.3510000000001</v>
      </c>
      <c r="D36" s="14">
        <f>SUM(D24:D35)</f>
        <v>-415.65099999998813</v>
      </c>
      <c r="E36" s="15">
        <f t="shared" si="4"/>
        <v>-0.37066984378663603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9098-5335-48D1-BE84-6B010AA30057}">
  <sheetPr codeName="Sheet44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112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720</v>
      </c>
      <c r="C6" s="133">
        <v>848.94200000000001</v>
      </c>
      <c r="D6" s="96">
        <f>B6-C6</f>
        <v>-128.94200000000001</v>
      </c>
      <c r="E6" s="98">
        <f>IFERROR(D6/C6, "-")</f>
        <v>-0.15188552339264638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720</v>
      </c>
      <c r="C18" s="14">
        <f t="shared" ref="C18:D18" si="2">SUM(C6:C17)</f>
        <v>848.94200000000001</v>
      </c>
      <c r="D18" s="14">
        <f t="shared" si="2"/>
        <v>-128.94200000000001</v>
      </c>
      <c r="E18" s="15">
        <f>IFERROR(D18/C18, "-")</f>
        <v>-0.15188552339264638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720</v>
      </c>
      <c r="C24" s="134">
        <v>1105.296</v>
      </c>
      <c r="D24" s="102">
        <f t="shared" ref="D24:D35" si="3">B24-C24</f>
        <v>-385.29600000000005</v>
      </c>
      <c r="E24" s="103">
        <f t="shared" ref="E24:E36" si="4">IFERROR(D24/C24, "-")</f>
        <v>-0.34859078473096805</v>
      </c>
      <c r="F24" s="114"/>
      <c r="G24" s="114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36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37">
        <v>0</v>
      </c>
      <c r="C28" s="138"/>
      <c r="D28" s="106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37">
        <v>0</v>
      </c>
      <c r="C29" s="105"/>
      <c r="D29" s="106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720</v>
      </c>
      <c r="C36" s="14">
        <f>SUM(C24:C35)</f>
        <v>1105.296</v>
      </c>
      <c r="D36" s="14">
        <f>SUM(D24:D35)</f>
        <v>-385.29600000000005</v>
      </c>
      <c r="E36" s="15">
        <f t="shared" si="4"/>
        <v>-0.34859078473096805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8458-15DA-4FB7-8F55-78A783AA8160}">
  <sheetPr codeName="Sheet45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50.140625" customWidth="1"/>
    <col min="7" max="7" width="19.42578125" bestFit="1" customWidth="1"/>
  </cols>
  <sheetData>
    <row r="1" spans="1:5" ht="24.6">
      <c r="A1" s="250" t="s">
        <v>114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566.71484375</v>
      </c>
      <c r="C6" s="133">
        <v>844.154</v>
      </c>
      <c r="D6" s="96">
        <f>B6-C6</f>
        <v>-277.43915625</v>
      </c>
      <c r="E6" s="98">
        <f>IFERROR(D6/C6, "-")</f>
        <v>-0.32865941078286665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566.71484375</v>
      </c>
      <c r="C18" s="14">
        <f t="shared" ref="C18:D18" si="2">SUM(C6:C17)</f>
        <v>844.154</v>
      </c>
      <c r="D18" s="14">
        <f t="shared" si="2"/>
        <v>-277.43915625</v>
      </c>
      <c r="E18" s="15">
        <f>IFERROR(D18/C18, "-")</f>
        <v>-0.32865941078286665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566.71484375</v>
      </c>
      <c r="C24" s="134">
        <v>928.45899999999995</v>
      </c>
      <c r="D24" s="102">
        <f t="shared" ref="D24:D35" si="3">B24-C24</f>
        <v>-361.74415624999995</v>
      </c>
      <c r="E24" s="103">
        <f t="shared" ref="E24:E36" si="4">IFERROR(D24/C24, "-")</f>
        <v>-0.38961780353251996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2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566.71484375</v>
      </c>
      <c r="C36" s="14">
        <f>SUM(C24:C35)</f>
        <v>928.45899999999995</v>
      </c>
      <c r="D36" s="14">
        <f>SUM(D24:D35)</f>
        <v>-361.74415624999995</v>
      </c>
      <c r="E36" s="15">
        <f t="shared" si="4"/>
        <v>-0.38961780353251996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97D6-EC8A-448E-9FBA-6EB762DC4325}">
  <sheetPr codeName="Sheet46">
    <tabColor rgb="FFFFFF00"/>
  </sheetPr>
  <dimension ref="A1:L36"/>
  <sheetViews>
    <sheetView topLeftCell="A2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116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559.79999999999598</v>
      </c>
      <c r="C6" s="133">
        <v>806.62959999999998</v>
      </c>
      <c r="D6" s="96">
        <f>B6-C6</f>
        <v>-246.82960000000401</v>
      </c>
      <c r="E6" s="98">
        <f>IFERROR(D6/C6, "-")</f>
        <v>-0.30600116831815249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559.79999999999598</v>
      </c>
      <c r="C18" s="14">
        <f t="shared" ref="C18:D18" si="2">SUM(C6:C17)</f>
        <v>806.62959999999998</v>
      </c>
      <c r="D18" s="14">
        <f t="shared" si="2"/>
        <v>-246.82960000000401</v>
      </c>
      <c r="E18" s="15">
        <f>IFERROR(D18/C18, "-")</f>
        <v>-0.30600116831815249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559.79999999999598</v>
      </c>
      <c r="C24" s="134">
        <v>953.54600000000005</v>
      </c>
      <c r="D24" s="102">
        <f t="shared" ref="D24:D35" si="3">B24-C24</f>
        <v>-393.74600000000407</v>
      </c>
      <c r="E24" s="103">
        <f t="shared" ref="E24:E36" si="4">IFERROR(D24/C24, "-")</f>
        <v>-0.41292816497578938</v>
      </c>
      <c r="F24" s="114" t="s">
        <v>204</v>
      </c>
      <c r="G24" s="114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559.79999999999598</v>
      </c>
      <c r="C36" s="14">
        <f>SUM(C24:C35)</f>
        <v>953.54600000000005</v>
      </c>
      <c r="D36" s="14">
        <f>SUM(D24:D35)</f>
        <v>-393.74600000000407</v>
      </c>
      <c r="E36" s="15">
        <f t="shared" si="4"/>
        <v>-0.41292816497578938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CFBD-C739-4A23-A362-7D850987CC8D}">
  <sheetPr codeName="Sheet47">
    <tabColor rgb="FFFFFF00"/>
  </sheetPr>
  <dimension ref="A1:L36"/>
  <sheetViews>
    <sheetView topLeftCell="A10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118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824.296875</v>
      </c>
      <c r="C6" s="130">
        <v>1479.194</v>
      </c>
      <c r="D6" s="96">
        <f>B6-C6</f>
        <v>-654.89712499999996</v>
      </c>
      <c r="E6" s="98">
        <f>IFERROR(D6/C6, "-")</f>
        <v>-0.44273917079166086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824.296875</v>
      </c>
      <c r="C18" s="14">
        <f t="shared" ref="C18:D18" si="2">SUM(C6:C17)</f>
        <v>1479.194</v>
      </c>
      <c r="D18" s="14">
        <f t="shared" si="2"/>
        <v>-654.89712499999996</v>
      </c>
      <c r="E18" s="15">
        <f>IFERROR(D18/C18, "-")</f>
        <v>-0.44273917079166086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824.296875</v>
      </c>
      <c r="C24" s="139">
        <v>2566.1019999999999</v>
      </c>
      <c r="D24" s="102">
        <f t="shared" ref="D24:D35" si="3">B24-C24</f>
        <v>-1741.8051249999999</v>
      </c>
      <c r="E24" s="103">
        <f t="shared" ref="E24:E36" si="4">IFERROR(D24/C24, "-")</f>
        <v>-0.67877470381146188</v>
      </c>
      <c r="F24" s="114" t="s">
        <v>204</v>
      </c>
      <c r="G24" s="114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4"/>
      <c r="G25" s="114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824.296875</v>
      </c>
      <c r="C36" s="14">
        <f>SUM(C24:C35)</f>
        <v>2566.1019999999999</v>
      </c>
      <c r="D36" s="14">
        <f>SUM(D24:D35)</f>
        <v>-1741.8051249999999</v>
      </c>
      <c r="E36" s="15">
        <f t="shared" si="4"/>
        <v>-0.67877470381146188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A140-F5F4-444C-B54A-9D7F0FD75F54}">
  <sheetPr codeName="Sheet48">
    <tabColor rgb="FFFFFF00"/>
  </sheetPr>
  <dimension ref="A1:L36"/>
  <sheetViews>
    <sheetView workbookViewId="0">
      <selection activeCell="F11" sqref="F11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5.140625" customWidth="1"/>
    <col min="7" max="7" width="19.42578125" bestFit="1" customWidth="1"/>
  </cols>
  <sheetData>
    <row r="1" spans="1:5" ht="24.6">
      <c r="A1" s="250" t="s">
        <v>120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611.73828125</v>
      </c>
      <c r="C6" s="133">
        <v>1001.651</v>
      </c>
      <c r="D6" s="96">
        <f>B6-C6</f>
        <v>-389.91271874999995</v>
      </c>
      <c r="E6" s="98">
        <f>IFERROR(D6/C6, "-")</f>
        <v>-0.38927003392399145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611.73828125</v>
      </c>
      <c r="C18" s="14">
        <f t="shared" ref="C18:D18" si="2">SUM(C6:C17)</f>
        <v>1001.651</v>
      </c>
      <c r="D18" s="14">
        <f t="shared" si="2"/>
        <v>-389.91271874999995</v>
      </c>
      <c r="E18" s="15">
        <f>IFERROR(D18/C18, "-")</f>
        <v>-0.38927003392399145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611.73828125</v>
      </c>
      <c r="C24" s="134">
        <v>1153.7650000000001</v>
      </c>
      <c r="D24" s="102">
        <f t="shared" ref="D24:D35" si="3">B24-C24</f>
        <v>-542.0267187500001</v>
      </c>
      <c r="E24" s="103">
        <f t="shared" ref="E24:E36" si="4">IFERROR(D24/C24, "-")</f>
        <v>-0.46978953144704516</v>
      </c>
      <c r="F24" s="114"/>
      <c r="G24" s="114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12"/>
      <c r="G25" s="114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12"/>
      <c r="G28" s="114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14"/>
      <c r="G29" s="114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14"/>
      <c r="G30" s="114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14"/>
      <c r="G31" s="114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14"/>
      <c r="G32" s="114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14"/>
      <c r="G33" s="114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611.73828125</v>
      </c>
      <c r="C36" s="14">
        <f>SUM(C24:C35)</f>
        <v>1153.7650000000001</v>
      </c>
      <c r="D36" s="14">
        <f>SUM(D24:D35)</f>
        <v>-542.0267187500001</v>
      </c>
      <c r="E36" s="15">
        <f t="shared" si="4"/>
        <v>-0.46978953144704516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CA3C-8CA4-4D0E-8B64-04CCF6B1699D}">
  <sheetPr codeName="Sheet49">
    <tabColor rgb="FFFFFF00"/>
  </sheetPr>
  <dimension ref="A1:L36"/>
  <sheetViews>
    <sheetView topLeftCell="A5" workbookViewId="0">
      <selection activeCell="K17" sqref="K17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122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144.199999999997</v>
      </c>
      <c r="C6" s="133">
        <v>202.64850000000001</v>
      </c>
      <c r="D6" s="96">
        <f>B6-C6</f>
        <v>-58.448500000003008</v>
      </c>
      <c r="E6" s="98">
        <f>IFERROR(D6/C6, "-")</f>
        <v>-0.28842305765896614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144.199999999997</v>
      </c>
      <c r="C18" s="14">
        <f t="shared" ref="C18:D18" si="2">SUM(C6:C17)</f>
        <v>202.64850000000001</v>
      </c>
      <c r="D18" s="14">
        <f t="shared" si="2"/>
        <v>-58.448500000003008</v>
      </c>
      <c r="E18" s="15">
        <f>IFERROR(D18/C18, "-")</f>
        <v>-0.28842305765896614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144.199999999997</v>
      </c>
      <c r="C24" s="134">
        <v>494.76900000000001</v>
      </c>
      <c r="D24" s="102">
        <f t="shared" ref="D24:D35" si="3">B24-C24</f>
        <v>-350.56900000000303</v>
      </c>
      <c r="E24" s="103">
        <f t="shared" ref="E24:E36" si="4">IFERROR(D24/C24, "-")</f>
        <v>-0.70855085908778248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144.199999999997</v>
      </c>
      <c r="C36" s="14">
        <f>SUM(C24:C35)</f>
        <v>494.76900000000001</v>
      </c>
      <c r="D36" s="14">
        <f>SUM(D24:D35)</f>
        <v>-350.56900000000303</v>
      </c>
      <c r="E36" s="15">
        <f t="shared" si="4"/>
        <v>-0.70855085908778248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3CC5-E258-4E9B-BA28-B08C1AE9C80C}">
  <sheetPr codeName="Sheet50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124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234.39999999999799</v>
      </c>
      <c r="C6" s="133">
        <v>395.19540000000001</v>
      </c>
      <c r="D6" s="96">
        <f>B6-C6</f>
        <v>-160.79540000000202</v>
      </c>
      <c r="E6" s="98">
        <f>IFERROR(D6/C6, "-")</f>
        <v>-0.40687568731822793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234.39999999999799</v>
      </c>
      <c r="C18" s="14">
        <f t="shared" ref="C18:D18" si="2">SUM(C6:C17)</f>
        <v>395.19540000000001</v>
      </c>
      <c r="D18" s="14">
        <f t="shared" si="2"/>
        <v>-160.79540000000202</v>
      </c>
      <c r="E18" s="15">
        <f>IFERROR(D18/C18, "-")</f>
        <v>-0.40687568731822793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234.39999999999799</v>
      </c>
      <c r="C24" s="135">
        <v>408.178</v>
      </c>
      <c r="D24" s="102">
        <f t="shared" ref="D24:D35" si="3">B24-C24</f>
        <v>-173.77800000000201</v>
      </c>
      <c r="E24" s="103">
        <f t="shared" ref="E24:E36" si="4">IFERROR(D24/C24, "-")</f>
        <v>-0.42574073075962449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>B31-C31</f>
        <v>0</v>
      </c>
      <c r="E31" s="103" t="str">
        <f>IFERROR(D31/C31, "-")</f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>B32-C32</f>
        <v>0</v>
      </c>
      <c r="E32" s="103" t="str">
        <f>IFERROR(D32/C32, "-")</f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234.39999999999799</v>
      </c>
      <c r="C36" s="14">
        <f>SUM(C24:C35)</f>
        <v>408.178</v>
      </c>
      <c r="D36" s="14">
        <f>SUM(D24:D35)</f>
        <v>-173.77800000000201</v>
      </c>
      <c r="E36" s="15">
        <f t="shared" si="4"/>
        <v>-0.42574073075962449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DAFB-81DA-4B79-A60E-7F274C816347}">
  <sheetPr codeName="Sheet51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126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923</v>
      </c>
      <c r="C6" s="130">
        <v>960.84810000000004</v>
      </c>
      <c r="D6" s="96">
        <f>B6-C6</f>
        <v>-37.848100000000045</v>
      </c>
      <c r="E6" s="98">
        <f>IFERROR(D6/C6, "-")</f>
        <v>-3.9390305293833687E-2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923</v>
      </c>
      <c r="C18" s="14">
        <f t="shared" ref="C18:D18" si="2">SUM(C6:C17)</f>
        <v>960.84810000000004</v>
      </c>
      <c r="D18" s="14">
        <f t="shared" si="2"/>
        <v>-37.848100000000045</v>
      </c>
      <c r="E18" s="15">
        <f>IFERROR(D18/C18, "-")</f>
        <v>-3.9390305293833687E-2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923</v>
      </c>
      <c r="C24" s="134">
        <v>1532.135</v>
      </c>
      <c r="D24" s="102">
        <f t="shared" ref="D24:D35" si="3">B24-C24</f>
        <v>-609.13499999999999</v>
      </c>
      <c r="E24" s="103">
        <f t="shared" ref="E24:E36" si="4">IFERROR(D24/C24, "-")</f>
        <v>-0.39757266820482529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923</v>
      </c>
      <c r="C36" s="14">
        <f>SUM(C24:C35)</f>
        <v>1532.135</v>
      </c>
      <c r="D36" s="14">
        <f>SUM(D24:D35)</f>
        <v>-609.13499999999999</v>
      </c>
      <c r="E36" s="15">
        <f t="shared" si="4"/>
        <v>-0.39757266820482529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1F9B-A5C4-4630-A173-6A553EFD8637}">
  <sheetPr codeName="Sheet52">
    <tabColor rgb="FFFFFF00"/>
  </sheetPr>
  <dimension ref="A1:L36"/>
  <sheetViews>
    <sheetView topLeftCell="A2" workbookViewId="0">
      <selection activeCell="I14" sqref="I1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128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241</v>
      </c>
      <c r="C6" s="133">
        <v>385.1902</v>
      </c>
      <c r="D6" s="96">
        <f>B6-C6</f>
        <v>-144.1902</v>
      </c>
      <c r="E6" s="98">
        <f>IFERROR(D6/C6, "-")</f>
        <v>-0.37433506875304723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241</v>
      </c>
      <c r="C18" s="14">
        <f t="shared" ref="C18:D18" si="2">SUM(C6:C17)</f>
        <v>385.1902</v>
      </c>
      <c r="D18" s="14">
        <f t="shared" si="2"/>
        <v>-144.1902</v>
      </c>
      <c r="E18" s="15">
        <f>IFERROR(D18/C18, "-")</f>
        <v>-0.37433506875304723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241</v>
      </c>
      <c r="C24" s="134">
        <v>451.60599999999999</v>
      </c>
      <c r="D24" s="102">
        <f t="shared" ref="D24:D35" si="3">B24-C24</f>
        <v>-210.60599999999999</v>
      </c>
      <c r="E24" s="103">
        <f t="shared" ref="E24:E36" si="4">IFERROR(D24/C24, "-")</f>
        <v>-0.46634898562020877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241</v>
      </c>
      <c r="C36" s="14">
        <f>SUM(C24:C35)</f>
        <v>451.60599999999999</v>
      </c>
      <c r="D36" s="14">
        <f>SUM(D24:D35)</f>
        <v>-210.60599999999999</v>
      </c>
      <c r="E36" s="15">
        <f t="shared" si="4"/>
        <v>-0.46634898562020877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23CF-D65C-4A8B-B58C-89FDE40003CB}">
  <sheetPr codeName="Sheet53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130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745.80000000000996</v>
      </c>
      <c r="C6" s="130">
        <v>1052.367</v>
      </c>
      <c r="D6" s="96">
        <f>B6-C6</f>
        <v>-306.56699999999</v>
      </c>
      <c r="E6" s="98">
        <f>IFERROR(D6/C6, "-")</f>
        <v>-0.2913118712388264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745.80000000000996</v>
      </c>
      <c r="C18" s="14">
        <f t="shared" ref="C18:D18" si="2">SUM(C6:C17)</f>
        <v>1052.367</v>
      </c>
      <c r="D18" s="14">
        <f t="shared" si="2"/>
        <v>-306.56699999999</v>
      </c>
      <c r="E18" s="15">
        <f>IFERROR(D18/C18, "-")</f>
        <v>-0.2913118712388264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745.80000000000996</v>
      </c>
      <c r="C24" s="134">
        <v>1315.7850000000001</v>
      </c>
      <c r="D24" s="102">
        <f t="shared" ref="D24:D35" si="3">B24-C24</f>
        <v>-569.98499999999012</v>
      </c>
      <c r="E24" s="103">
        <f t="shared" ref="E24:E36" si="4">IFERROR(D24/C24, "-")</f>
        <v>-0.43319007284624017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745.80000000000996</v>
      </c>
      <c r="C36" s="14">
        <f>SUM(C24:C35)</f>
        <v>1315.7850000000001</v>
      </c>
      <c r="D36" s="14">
        <f>SUM(D24:D35)</f>
        <v>-569.98499999999012</v>
      </c>
      <c r="E36" s="15">
        <f t="shared" si="4"/>
        <v>-0.43319007284624017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14B-BCE9-4BF2-9ADC-4F8AC98C5F24}">
  <sheetPr codeName="Sheet54">
    <tabColor rgb="FFFFFF00"/>
  </sheetPr>
  <dimension ref="A1:L36"/>
  <sheetViews>
    <sheetView topLeftCell="A5" workbookViewId="0">
      <selection activeCell="G13" sqref="G13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132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643.099999999999</v>
      </c>
      <c r="C6" s="130">
        <v>924.32209999999998</v>
      </c>
      <c r="D6" s="96">
        <f>B6-C6</f>
        <v>-281.22210000000098</v>
      </c>
      <c r="E6" s="98">
        <f>IFERROR(D6/C6, "-")</f>
        <v>-0.30424686372856496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643.099999999999</v>
      </c>
      <c r="C18" s="14">
        <f t="shared" ref="C18:D18" si="2">SUM(C6:C17)</f>
        <v>924.32209999999998</v>
      </c>
      <c r="D18" s="14">
        <f t="shared" si="2"/>
        <v>-281.22210000000098</v>
      </c>
      <c r="E18" s="15">
        <f>IFERROR(D18/C18, "-")</f>
        <v>-0.30424686372856496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643.099999999999</v>
      </c>
      <c r="C24" s="134">
        <v>1767.34</v>
      </c>
      <c r="D24" s="102">
        <f t="shared" ref="D24:D35" si="3">B24-C24</f>
        <v>-1124.2400000000009</v>
      </c>
      <c r="E24" s="103">
        <f t="shared" ref="E24:E36" si="4">IFERROR(D24/C24, "-")</f>
        <v>-0.63611981848427634</v>
      </c>
      <c r="F24" s="103" t="s">
        <v>204</v>
      </c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643.099999999999</v>
      </c>
      <c r="C36" s="14">
        <f>SUM(C24:C35)</f>
        <v>1767.34</v>
      </c>
      <c r="D36" s="14">
        <f>SUM(D24:D35)</f>
        <v>-1124.2400000000009</v>
      </c>
      <c r="E36" s="15">
        <f t="shared" si="4"/>
        <v>-0.63611981848427634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710F-2180-44CE-8B99-A47E015CCE80}">
  <sheetPr codeName="Sheet55">
    <tabColor rgb="FFFFFF00"/>
  </sheetPr>
  <dimension ref="A1:L36"/>
  <sheetViews>
    <sheetView workbookViewId="0">
      <selection activeCell="H12" sqref="H12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134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494.19999999999698</v>
      </c>
      <c r="C6" s="133">
        <v>789.42079999999999</v>
      </c>
      <c r="D6" s="96">
        <f>B6-C6</f>
        <v>-295.22080000000301</v>
      </c>
      <c r="E6" s="98">
        <f>IFERROR(D6/C6, "-")</f>
        <v>-0.37397139776403537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494.19999999999698</v>
      </c>
      <c r="C18" s="14">
        <f t="shared" ref="C18:D18" si="2">SUM(C6:C17)</f>
        <v>789.42079999999999</v>
      </c>
      <c r="D18" s="14">
        <f t="shared" si="2"/>
        <v>-295.22080000000301</v>
      </c>
      <c r="E18" s="15">
        <f>IFERROR(D18/C18, "-")</f>
        <v>-0.37397139776403537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494.19999999999698</v>
      </c>
      <c r="C24" s="134">
        <v>999.19299999999998</v>
      </c>
      <c r="D24" s="102">
        <f t="shared" ref="D24:D35" si="3">B24-C24</f>
        <v>-504.99300000000301</v>
      </c>
      <c r="E24" s="103">
        <f t="shared" ref="E24:E36" si="4">IFERROR(D24/C24, "-")</f>
        <v>-0.50540085849280669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494.19999999999698</v>
      </c>
      <c r="C36" s="14">
        <f>SUM(C24:C35)</f>
        <v>999.19299999999998</v>
      </c>
      <c r="D36" s="14">
        <f>SUM(D24:D35)</f>
        <v>-504.99300000000301</v>
      </c>
      <c r="E36" s="15">
        <f t="shared" si="4"/>
        <v>-0.50540085849280669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2885-FABB-40AE-B70A-8C148058325F}">
  <sheetPr codeName="Sheet56">
    <tabColor rgb="FFFFFF00"/>
  </sheetPr>
  <dimension ref="A1:L36"/>
  <sheetViews>
    <sheetView topLeftCell="A5" workbookViewId="0">
      <selection activeCell="I21" sqref="I21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136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701.099999999999</v>
      </c>
      <c r="C6" s="130">
        <v>866.38070000000005</v>
      </c>
      <c r="D6" s="96">
        <f>B6-C6</f>
        <v>-165.28070000000105</v>
      </c>
      <c r="E6" s="98">
        <f>IFERROR(D6/C6, "-")</f>
        <v>-0.19077144724022713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701.099999999999</v>
      </c>
      <c r="C18" s="14">
        <f t="shared" ref="C18:D18" si="2">SUM(C6:C17)</f>
        <v>866.38070000000005</v>
      </c>
      <c r="D18" s="14">
        <f t="shared" si="2"/>
        <v>-165.28070000000105</v>
      </c>
      <c r="E18" s="15">
        <f>IFERROR(D18/C18, "-")</f>
        <v>-0.19077144724022713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701.099999999999</v>
      </c>
      <c r="C24" s="134">
        <v>998.58500000000004</v>
      </c>
      <c r="D24" s="102">
        <f t="shared" ref="D24:D35" si="3">B24-C24</f>
        <v>-297.48500000000104</v>
      </c>
      <c r="E24" s="103">
        <f t="shared" ref="E24:E36" si="4">IFERROR(D24/C24, "-")</f>
        <v>-0.29790653775091858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>B29-C29</f>
        <v>0</v>
      </c>
      <c r="E29" s="103" t="str">
        <f>IFERROR(D29/C29, "-")</f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>B30-C30</f>
        <v>0</v>
      </c>
      <c r="E30" s="103" t="str">
        <f>IFERROR(D30/C30, "-")</f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701.099999999999</v>
      </c>
      <c r="C36" s="14">
        <f>SUM(C24:C35)</f>
        <v>998.58500000000004</v>
      </c>
      <c r="D36" s="14">
        <f>SUM(D24:D35)</f>
        <v>-297.48500000000104</v>
      </c>
      <c r="E36" s="15">
        <f t="shared" si="4"/>
        <v>-0.29790653775091858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B788-4E67-410F-B739-60108BA520EF}">
  <sheetPr codeName="Sheet57">
    <tabColor rgb="FFFFFF00"/>
  </sheetPr>
  <dimension ref="A1:L36"/>
  <sheetViews>
    <sheetView topLeftCell="A2"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138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450.30000000000302</v>
      </c>
      <c r="C6" s="130">
        <v>643.08439999999996</v>
      </c>
      <c r="D6" s="96">
        <f>B6-C6</f>
        <v>-192.78439999999694</v>
      </c>
      <c r="E6" s="98">
        <f>IFERROR(D6/C6, "-")</f>
        <v>-0.29978086857649938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450.30000000000302</v>
      </c>
      <c r="C18" s="14">
        <f t="shared" ref="C18:D18" si="2">SUM(C6:C17)</f>
        <v>643.08439999999996</v>
      </c>
      <c r="D18" s="14">
        <f t="shared" si="2"/>
        <v>-192.78439999999694</v>
      </c>
      <c r="E18" s="15">
        <f>IFERROR(D18/C18, "-")</f>
        <v>-0.29978086857649938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450.30000000000302</v>
      </c>
      <c r="C24" s="135">
        <v>809.70399999999995</v>
      </c>
      <c r="D24" s="102">
        <f t="shared" ref="D24:D35" si="3">B24-C24</f>
        <v>-359.40399999999693</v>
      </c>
      <c r="E24" s="103">
        <f t="shared" ref="E24:E36" si="4">IFERROR(D24/C24, "-")</f>
        <v>-0.4438708466303698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450.30000000000302</v>
      </c>
      <c r="C36" s="14">
        <f>SUM(C24:C35)</f>
        <v>809.70399999999995</v>
      </c>
      <c r="D36" s="14">
        <f>SUM(D24:D35)</f>
        <v>-359.40399999999693</v>
      </c>
      <c r="E36" s="15">
        <f t="shared" si="4"/>
        <v>-0.4438708466303698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FB5F-066D-49C4-B78B-B7E1665E139D}">
  <sheetPr codeName="Sheet58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140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799.400000000001</v>
      </c>
      <c r="C6" s="133">
        <v>861.14009999999996</v>
      </c>
      <c r="D6" s="96">
        <f>B6-C6</f>
        <v>-61.740099999998961</v>
      </c>
      <c r="E6" s="98">
        <f>IFERROR(D6/C6, "-")</f>
        <v>-7.1695767041854125E-2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799.400000000001</v>
      </c>
      <c r="C18" s="14">
        <f t="shared" ref="C18:D18" si="2">SUM(C6:C17)</f>
        <v>861.14009999999996</v>
      </c>
      <c r="D18" s="14">
        <f t="shared" si="2"/>
        <v>-61.740099999998961</v>
      </c>
      <c r="E18" s="15">
        <f>IFERROR(D18/C18, "-")</f>
        <v>-7.1695767041854125E-2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799.400000000001</v>
      </c>
      <c r="C24" s="134">
        <v>1207.299</v>
      </c>
      <c r="D24" s="102">
        <f t="shared" ref="D24:D35" si="3">B24-C24</f>
        <v>-407.89899999999898</v>
      </c>
      <c r="E24" s="103">
        <f t="shared" ref="E24:E36" si="4">IFERROR(D24/C24, "-")</f>
        <v>-0.33786079504745631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7"/>
      <c r="D27" s="102">
        <f>B27-C27</f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799.400000000001</v>
      </c>
      <c r="C36" s="14">
        <f>SUM(C24:C35)</f>
        <v>1207.299</v>
      </c>
      <c r="D36" s="14">
        <f>SUM(D24:D35)</f>
        <v>-407.89899999999898</v>
      </c>
      <c r="E36" s="15">
        <f t="shared" si="4"/>
        <v>-0.33786079504745631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1D1B-95B8-4C74-BDFE-6D26E81311FC}">
  <sheetPr codeName="Sheet59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142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3">
        <v>530.099999999999</v>
      </c>
      <c r="C6" s="133">
        <v>950.65279999999996</v>
      </c>
      <c r="D6" s="96">
        <f>B6-C6</f>
        <v>-420.55280000000096</v>
      </c>
      <c r="E6" s="98">
        <f>IFERROR(D6/C6, "-")</f>
        <v>-0.44238317080641953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530.099999999999</v>
      </c>
      <c r="C18" s="14">
        <f t="shared" ref="C18:D18" si="2">SUM(C6:C17)</f>
        <v>950.65279999999996</v>
      </c>
      <c r="D18" s="14">
        <f t="shared" si="2"/>
        <v>-420.55280000000096</v>
      </c>
      <c r="E18" s="15">
        <f>IFERROR(D18/C18, "-")</f>
        <v>-0.44238317080641953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530.099999999999</v>
      </c>
      <c r="C24" s="134">
        <v>1061.701</v>
      </c>
      <c r="D24" s="102">
        <f t="shared" ref="D24:D35" si="3">B24-C24</f>
        <v>-531.60100000000102</v>
      </c>
      <c r="E24" s="103">
        <f t="shared" ref="E24:E36" si="4">IFERROR(D24/C24, "-")</f>
        <v>-0.50070688451833523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530.099999999999</v>
      </c>
      <c r="C36" s="14">
        <f>SUM(C24:C35)</f>
        <v>1061.701</v>
      </c>
      <c r="D36" s="14">
        <f>SUM(D24:D35)</f>
        <v>-531.60100000000102</v>
      </c>
      <c r="E36" s="15">
        <f t="shared" si="4"/>
        <v>-0.50070688451833523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5AC2-12AC-4BB5-80BE-AEB7B093F4DB}">
  <sheetPr codeName="Sheet60">
    <tabColor rgb="FFFFFF00"/>
  </sheetPr>
  <dimension ref="A1:L36"/>
  <sheetViews>
    <sheetView workbookViewId="0">
      <selection activeCell="H14" sqref="H1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144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1243.7</v>
      </c>
      <c r="C6" s="130">
        <v>1242.431</v>
      </c>
      <c r="D6" s="96">
        <f>B6-C6</f>
        <v>1.2690000000000055</v>
      </c>
      <c r="E6" s="98">
        <f>IFERROR(D6/C6, "-")</f>
        <v>1.0213846885662105E-3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1243.7</v>
      </c>
      <c r="C18" s="14">
        <f t="shared" ref="C18:D18" si="2">SUM(C6:C17)</f>
        <v>1242.431</v>
      </c>
      <c r="D18" s="14">
        <f t="shared" si="2"/>
        <v>1.2690000000000055</v>
      </c>
      <c r="E18" s="15">
        <f>IFERROR(D18/C18, "-")</f>
        <v>1.0213846885662105E-3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1243.7</v>
      </c>
      <c r="C24" s="134">
        <v>2172.9290000000001</v>
      </c>
      <c r="D24" s="102">
        <f t="shared" ref="D24:D35" si="3">B24-C24</f>
        <v>-929.22900000000004</v>
      </c>
      <c r="E24" s="103">
        <f t="shared" ref="E24:E36" si="4">IFERROR(D24/C24, "-")</f>
        <v>-0.42763891503127804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1243.7</v>
      </c>
      <c r="C36" s="14">
        <f>SUM(C24:C35)</f>
        <v>2172.9290000000001</v>
      </c>
      <c r="D36" s="14">
        <f>SUM(D24:D35)</f>
        <v>-929.22900000000004</v>
      </c>
      <c r="E36" s="15">
        <f t="shared" si="4"/>
        <v>-0.42763891503127804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F7C3-6B80-4A7F-A49E-AEA6B2471E5E}">
  <sheetPr codeName="Sheet61">
    <tabColor rgb="FFFFFF00"/>
  </sheetPr>
  <dimension ref="A1:L36"/>
  <sheetViews>
    <sheetView workbookViewId="0">
      <selection activeCell="I10" sqref="I10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146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1016.59999999999</v>
      </c>
      <c r="C6" s="130">
        <v>1055.635</v>
      </c>
      <c r="D6" s="96">
        <f>B6-C6</f>
        <v>-39.035000000009973</v>
      </c>
      <c r="E6" s="98">
        <f>IFERROR(D6/C6, "-")</f>
        <v>-3.69777432540698E-2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1016.59999999999</v>
      </c>
      <c r="C18" s="14">
        <f t="shared" ref="C18:D18" si="2">SUM(C6:C17)</f>
        <v>1055.635</v>
      </c>
      <c r="D18" s="14">
        <f t="shared" si="2"/>
        <v>-39.035000000009973</v>
      </c>
      <c r="E18" s="15">
        <f>IFERROR(D18/C18, "-")</f>
        <v>-3.69777432540698E-2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1016.59999999999</v>
      </c>
      <c r="C24" s="134">
        <v>1680.2619999999999</v>
      </c>
      <c r="D24" s="102">
        <f t="shared" ref="D24:D35" si="3">B24-C24</f>
        <v>-663.66200000000993</v>
      </c>
      <c r="E24" s="103">
        <f t="shared" ref="E24:E36" si="4">IFERROR(D24/C24, "-")</f>
        <v>-0.3949753074223008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1016.59999999999</v>
      </c>
      <c r="C36" s="14">
        <f>SUM(C24:C35)</f>
        <v>1680.2619999999999</v>
      </c>
      <c r="D36" s="14">
        <f>SUM(D24:D35)</f>
        <v>-663.66200000000993</v>
      </c>
      <c r="E36" s="15">
        <f t="shared" si="4"/>
        <v>-0.3949753074223008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80AD-58E3-4012-90BC-F97E945B1B30}">
  <sheetPr codeName="Sheet62">
    <tabColor rgb="FFFFFF00"/>
  </sheetPr>
  <dimension ref="A1:L36"/>
  <sheetViews>
    <sheetView workbookViewId="0">
      <selection activeCell="H12" sqref="H12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148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994.099999999999</v>
      </c>
      <c r="C6" s="130">
        <v>964.94500000000005</v>
      </c>
      <c r="D6" s="96">
        <f>B6-C6</f>
        <v>29.15499999999895</v>
      </c>
      <c r="E6" s="98">
        <f>IFERROR(D6/C6, "-")</f>
        <v>3.0214157283574659E-2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994.099999999999</v>
      </c>
      <c r="C18" s="14">
        <f t="shared" ref="C18:D18" si="2">SUM(C6:C17)</f>
        <v>964.94500000000005</v>
      </c>
      <c r="D18" s="14">
        <f t="shared" si="2"/>
        <v>29.15499999999895</v>
      </c>
      <c r="E18" s="15">
        <f>IFERROR(D18/C18, "-")</f>
        <v>3.0214157283574659E-2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994.099999999999</v>
      </c>
      <c r="C24" s="134">
        <v>1643.9359999999999</v>
      </c>
      <c r="D24" s="102">
        <f t="shared" ref="D24:D35" si="3">B24-C24</f>
        <v>-649.83600000000092</v>
      </c>
      <c r="E24" s="103">
        <f t="shared" ref="E24:E36" si="4">IFERROR(D24/C24, "-")</f>
        <v>-0.39529276078874176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994.099999999999</v>
      </c>
      <c r="C36" s="14">
        <f>SUM(C24:C35)</f>
        <v>1643.9359999999999</v>
      </c>
      <c r="D36" s="14">
        <f>SUM(D24:D35)</f>
        <v>-649.83600000000092</v>
      </c>
      <c r="E36" s="15">
        <f t="shared" si="4"/>
        <v>-0.39529276078874176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0D76-9B7C-4353-B342-B40E582C8D12}">
  <sheetPr codeName="Sheet63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150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740.09999999999104</v>
      </c>
      <c r="C6" s="133">
        <v>851.9058</v>
      </c>
      <c r="D6" s="96">
        <f>B6-C6</f>
        <v>-111.80580000000896</v>
      </c>
      <c r="E6" s="98">
        <f>IFERROR(D6/C6, "-")</f>
        <v>-0.13124197534517193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740.09999999999104</v>
      </c>
      <c r="C18" s="14">
        <f t="shared" ref="C18:D18" si="2">SUM(C6:C17)</f>
        <v>851.9058</v>
      </c>
      <c r="D18" s="14">
        <f t="shared" si="2"/>
        <v>-111.80580000000896</v>
      </c>
      <c r="E18" s="15">
        <f>IFERROR(D18/C18, "-")</f>
        <v>-0.13124197534517193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740.09999999999104</v>
      </c>
      <c r="C24" s="134">
        <v>1435.0250000000001</v>
      </c>
      <c r="D24" s="102">
        <f t="shared" ref="D24:D35" si="3">B24-C24</f>
        <v>-694.92500000000905</v>
      </c>
      <c r="E24" s="103">
        <f t="shared" ref="E24:E36" si="4">IFERROR(D24/C24, "-")</f>
        <v>-0.48425985610007422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740.09999999999104</v>
      </c>
      <c r="C36" s="14">
        <f>SUM(C24:C35)</f>
        <v>1435.0250000000001</v>
      </c>
      <c r="D36" s="14">
        <f>SUM(D24:D35)</f>
        <v>-694.92500000000905</v>
      </c>
      <c r="E36" s="15">
        <f t="shared" si="4"/>
        <v>-0.48425985610007422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F19E-8323-42EC-994C-87F99AE29A6F}">
  <sheetPr codeName="Sheet64">
    <tabColor rgb="FFFFFF00"/>
  </sheetPr>
  <dimension ref="A1:L36"/>
  <sheetViews>
    <sheetView workbookViewId="0">
      <selection activeCell="I10" sqref="I10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152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784.099999999999</v>
      </c>
      <c r="C6" s="130">
        <v>751.98900000000003</v>
      </c>
      <c r="D6" s="96">
        <f>B6-C6</f>
        <v>32.110999999998967</v>
      </c>
      <c r="E6" s="98">
        <f>IFERROR(D6/C6, "-")</f>
        <v>4.270142249421064E-2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784.099999999999</v>
      </c>
      <c r="C18" s="14">
        <f t="shared" ref="C18:D18" si="2">SUM(C6:C17)</f>
        <v>751.98900000000003</v>
      </c>
      <c r="D18" s="14">
        <f t="shared" si="2"/>
        <v>32.110999999998967</v>
      </c>
      <c r="E18" s="15">
        <f>IFERROR(D18/C18, "-")</f>
        <v>4.270142249421064E-2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784.099999999999</v>
      </c>
      <c r="C24" s="139">
        <v>1413.1279999999999</v>
      </c>
      <c r="D24" s="102">
        <f t="shared" ref="D24:D35" si="3">B24-C24</f>
        <v>-629.02800000000093</v>
      </c>
      <c r="E24" s="103">
        <f t="shared" ref="E24:E36" si="4">IFERROR(D24/C24, "-")</f>
        <v>-0.44513165120215648</v>
      </c>
      <c r="F24" s="103" t="s">
        <v>204</v>
      </c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784.099999999999</v>
      </c>
      <c r="C36" s="14">
        <f>SUM(C24:C35)</f>
        <v>1413.1279999999999</v>
      </c>
      <c r="D36" s="14">
        <f>SUM(D24:D35)</f>
        <v>-629.02800000000093</v>
      </c>
      <c r="E36" s="15">
        <f t="shared" si="4"/>
        <v>-0.44513165120215648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A946-BF9A-4E25-806C-D0661A9F10D0}">
  <sheetPr codeName="Sheet65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154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770.89999999999395</v>
      </c>
      <c r="C6" s="130">
        <v>1199.326</v>
      </c>
      <c r="D6" s="96">
        <f>B6-C6</f>
        <v>-428.42600000000607</v>
      </c>
      <c r="E6" s="98">
        <f>IFERROR(D6/C6, "-")</f>
        <v>-0.35722230652883874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770.89999999999395</v>
      </c>
      <c r="C18" s="14">
        <f t="shared" ref="C18:D18" si="2">SUM(C6:C17)</f>
        <v>1199.326</v>
      </c>
      <c r="D18" s="14">
        <f t="shared" si="2"/>
        <v>-428.42600000000607</v>
      </c>
      <c r="E18" s="15">
        <f>IFERROR(D18/C18, "-")</f>
        <v>-0.35722230652883874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770.89999999999395</v>
      </c>
      <c r="C24" s="134">
        <v>1734.511</v>
      </c>
      <c r="D24" s="102">
        <f t="shared" ref="D24:D35" si="3">B24-C24</f>
        <v>-963.61100000000602</v>
      </c>
      <c r="E24" s="103">
        <f t="shared" ref="E24:E36" si="4">IFERROR(D24/C24, "-")</f>
        <v>-0.555551968249268</v>
      </c>
      <c r="F24" s="103"/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770.89999999999395</v>
      </c>
      <c r="C36" s="14">
        <f>SUM(C24:C35)</f>
        <v>1734.511</v>
      </c>
      <c r="D36" s="14">
        <f>SUM(D24:D35)</f>
        <v>-963.61100000000602</v>
      </c>
      <c r="E36" s="15">
        <f t="shared" si="4"/>
        <v>-0.555551968249268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E668-29D9-41A6-8C7F-D140ACED0075}">
  <sheetPr codeName="Sheet66">
    <tabColor rgb="FFFFFF00"/>
  </sheetPr>
  <dimension ref="A1:L36"/>
  <sheetViews>
    <sheetView workbookViewId="0">
      <selection activeCell="F11" sqref="F11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156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583.80000000000302</v>
      </c>
      <c r="C6" s="130">
        <v>1291.575</v>
      </c>
      <c r="D6" s="96">
        <f>B6-C6</f>
        <v>-707.77499999999702</v>
      </c>
      <c r="E6" s="98">
        <f>IFERROR(D6/C6, "-")</f>
        <v>-0.54799372858718776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583.80000000000302</v>
      </c>
      <c r="C18" s="14">
        <f t="shared" ref="C18:D18" si="2">SUM(C6:C17)</f>
        <v>1291.575</v>
      </c>
      <c r="D18" s="14">
        <f t="shared" si="2"/>
        <v>-707.77499999999702</v>
      </c>
      <c r="E18" s="15">
        <f>IFERROR(D18/C18, "-")</f>
        <v>-0.54799372858718776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583.80000000000302</v>
      </c>
      <c r="C24" s="139">
        <v>1156.298</v>
      </c>
      <c r="D24" s="102">
        <f t="shared" ref="D24:D35" si="3">B24-C24</f>
        <v>-572.49799999999698</v>
      </c>
      <c r="E24" s="103">
        <f t="shared" ref="E24:E36" si="4">IFERROR(D24/C24, "-")</f>
        <v>-0.49511285153135004</v>
      </c>
      <c r="F24" s="103" t="s">
        <v>204</v>
      </c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583.80000000000302</v>
      </c>
      <c r="C36" s="14">
        <f>SUM(C24:C35)</f>
        <v>1156.298</v>
      </c>
      <c r="D36" s="14">
        <f>SUM(D24:D35)</f>
        <v>-572.49799999999698</v>
      </c>
      <c r="E36" s="15">
        <f t="shared" si="4"/>
        <v>-0.49511285153135004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5427-340E-4F94-8F8E-A7138C4484DD}">
  <sheetPr codeName="Sheet67">
    <tabColor rgb="FFFFFF00"/>
  </sheetPr>
  <dimension ref="A1:L36"/>
  <sheetViews>
    <sheetView workbookViewId="0">
      <selection activeCell="C24" sqref="C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5" ht="24.6">
      <c r="A1" s="250" t="s">
        <v>158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933.70000000000402</v>
      </c>
      <c r="C6" s="130">
        <v>1153.6600000000001</v>
      </c>
      <c r="D6" s="96">
        <f>B6-C6</f>
        <v>-219.95999999999606</v>
      </c>
      <c r="E6" s="98">
        <f>IFERROR(D6/C6, "-")</f>
        <v>-0.19066276025865164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933.70000000000402</v>
      </c>
      <c r="C18" s="14">
        <f t="shared" ref="C18:D18" si="2">SUM(C6:C17)</f>
        <v>1153.6600000000001</v>
      </c>
      <c r="D18" s="14">
        <f t="shared" si="2"/>
        <v>-219.95999999999606</v>
      </c>
      <c r="E18" s="15">
        <f>IFERROR(D18/C18, "-")</f>
        <v>-0.19066276025865164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933.70000000000402</v>
      </c>
      <c r="C24" s="139">
        <v>1296.3989999999999</v>
      </c>
      <c r="D24" s="102">
        <f t="shared" ref="D24:D35" si="3">B24-C24</f>
        <v>-362.69899999999586</v>
      </c>
      <c r="E24" s="103">
        <f t="shared" ref="E24:E36" si="4">IFERROR(D24/C24, "-")</f>
        <v>-0.27977420531795838</v>
      </c>
      <c r="F24" s="103" t="s">
        <v>204</v>
      </c>
      <c r="G24" s="103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3"/>
      <c r="G25" s="103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08"/>
      <c r="G26" s="108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3"/>
      <c r="G27" s="103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3"/>
      <c r="G28" s="103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3"/>
      <c r="G29" s="103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3"/>
      <c r="G30" s="103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3"/>
      <c r="G31" s="103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3"/>
      <c r="G32" s="103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3"/>
      <c r="G33" s="103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3"/>
      <c r="G34" s="103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3"/>
      <c r="G35" s="103"/>
    </row>
    <row r="36" spans="1:7">
      <c r="A36" s="13" t="s">
        <v>200</v>
      </c>
      <c r="B36" s="14">
        <v>933.70000000000402</v>
      </c>
      <c r="C36" s="14">
        <f>SUM(C24:C35)</f>
        <v>1296.3989999999999</v>
      </c>
      <c r="D36" s="14">
        <f>SUM(D24:D35)</f>
        <v>-362.69899999999586</v>
      </c>
      <c r="E36" s="15">
        <f t="shared" si="4"/>
        <v>-0.27977420531795838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B0E-7371-4CF3-B19B-A491A377E145}">
  <sheetPr codeName="Sheet68">
    <tabColor rgb="FFFFFF00"/>
  </sheetPr>
  <dimension ref="A1:L36"/>
  <sheetViews>
    <sheetView workbookViewId="0">
      <selection activeCell="J10" sqref="J10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16" customWidth="1"/>
    <col min="7" max="7" width="19.42578125" bestFit="1" customWidth="1"/>
  </cols>
  <sheetData>
    <row r="1" spans="1:5" ht="24.6">
      <c r="A1" s="250" t="s">
        <v>160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 ht="13.5" customHeight="1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0</v>
      </c>
      <c r="D24" s="102">
        <f t="shared" ref="D24:D35" si="3">B24-C24</f>
        <v>0</v>
      </c>
      <c r="E24" s="103" t="str">
        <f t="shared" ref="E24:E36" si="4">IFERROR(D24/C24, "-")</f>
        <v>-</v>
      </c>
      <c r="F24" s="215" t="s">
        <v>218</v>
      </c>
      <c r="G24" s="10"/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"/>
      <c r="G25" s="10"/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77"/>
      <c r="G26" s="77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"/>
      <c r="G27" s="10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"/>
      <c r="G28" s="10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"/>
      <c r="G29" s="10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"/>
      <c r="G30" s="10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"/>
      <c r="G31" s="10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"/>
      <c r="G32" s="10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"/>
      <c r="G33" s="10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215"/>
      <c r="G34" s="10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215"/>
      <c r="G35" s="10"/>
    </row>
    <row r="36" spans="1:7">
      <c r="A36" s="13" t="s">
        <v>200</v>
      </c>
      <c r="B36" s="14">
        <v>0</v>
      </c>
      <c r="C36" s="14">
        <f>SUM(C24:C35)</f>
        <v>0</v>
      </c>
      <c r="D36" s="14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5984-2727-4FF0-AFAB-F903E63068F8}">
  <sheetPr codeName="Sheet69">
    <tabColor rgb="FFFFFF00"/>
  </sheetPr>
  <dimension ref="A1:L36"/>
  <sheetViews>
    <sheetView workbookViewId="0">
      <selection activeCell="G4" sqref="G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162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440.79999999999899</v>
      </c>
      <c r="C6" s="130">
        <v>493.0951</v>
      </c>
      <c r="D6" s="96">
        <f>B6-C6</f>
        <v>-52.295100000001014</v>
      </c>
      <c r="E6" s="98">
        <f>IFERROR(D6/C6, "-")</f>
        <v>-0.10605479551510655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>B9-C9</f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>B10-C10</f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440.79999999999899</v>
      </c>
      <c r="C18" s="14">
        <f t="shared" ref="C18:D18" si="2">SUM(C6:C17)</f>
        <v>493.0951</v>
      </c>
      <c r="D18" s="14">
        <f t="shared" si="2"/>
        <v>-52.295100000001014</v>
      </c>
      <c r="E18" s="15">
        <f>IFERROR(D18/C18, "-")</f>
        <v>-0.10605479551510655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440.79999999999899</v>
      </c>
      <c r="C24" s="134">
        <v>750.99599999999998</v>
      </c>
      <c r="D24" s="102">
        <f t="shared" ref="D24:D35" si="3">B24-C24</f>
        <v>-310.19600000000099</v>
      </c>
      <c r="E24" s="103">
        <f t="shared" ref="E24:E36" si="4">IFERROR(D24/C24, "-")</f>
        <v>-0.4130461413909009</v>
      </c>
      <c r="F24" s="10"/>
      <c r="G24" s="10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"/>
      <c r="G25" s="10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77"/>
      <c r="G26" s="77"/>
    </row>
    <row r="27" spans="1:12" ht="14.45">
      <c r="A27" s="12" t="s">
        <v>191</v>
      </c>
      <c r="B27" s="102">
        <v>0</v>
      </c>
      <c r="C27" s="102"/>
      <c r="D27" s="102">
        <f t="shared" si="3"/>
        <v>0</v>
      </c>
      <c r="E27" s="103" t="str">
        <f t="shared" si="4"/>
        <v>-</v>
      </c>
      <c r="F27" s="10"/>
      <c r="G27" s="10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"/>
      <c r="G28" s="10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"/>
      <c r="G29" s="10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"/>
      <c r="G30" s="10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"/>
      <c r="G31" s="10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"/>
      <c r="G32" s="10"/>
    </row>
    <row r="33" spans="1:7" ht="14.45">
      <c r="A33" s="12" t="s">
        <v>197</v>
      </c>
      <c r="B33" s="102">
        <v>0</v>
      </c>
      <c r="C33" s="102"/>
      <c r="D33" s="102">
        <f>B33-C33</f>
        <v>0</v>
      </c>
      <c r="E33" s="103" t="str">
        <f>IFERROR(D33/C33, "-")</f>
        <v>-</v>
      </c>
      <c r="F33" s="10"/>
      <c r="G33" s="10"/>
    </row>
    <row r="34" spans="1:7" ht="14.45">
      <c r="A34" s="12" t="s">
        <v>198</v>
      </c>
      <c r="B34" s="102">
        <v>0</v>
      </c>
      <c r="C34" s="102"/>
      <c r="D34" s="102">
        <f>B34-C34</f>
        <v>0</v>
      </c>
      <c r="E34" s="103" t="str">
        <f>IFERROR(D34/C34, "-")</f>
        <v>-</v>
      </c>
      <c r="F34" s="10"/>
      <c r="G34" s="10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"/>
      <c r="G35" s="10"/>
    </row>
    <row r="36" spans="1:7">
      <c r="A36" s="13" t="s">
        <v>200</v>
      </c>
      <c r="B36" s="14">
        <v>440.79999999999899</v>
      </c>
      <c r="C36" s="14">
        <f>SUM(C24:C35)</f>
        <v>750.99599999999998</v>
      </c>
      <c r="D36" s="14">
        <f>SUM(D24:D35)</f>
        <v>-310.19600000000099</v>
      </c>
      <c r="E36" s="15">
        <f t="shared" si="4"/>
        <v>-0.4130461413909009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9A01-BAE3-4EB9-9608-E76E439185BC}">
  <sheetPr codeName="Sheet70">
    <tabColor rgb="FFFFFF00"/>
  </sheetPr>
  <dimension ref="A1:L36"/>
  <sheetViews>
    <sheetView workbookViewId="0">
      <selection activeCell="H5" sqref="H5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7" max="7" width="19.42578125" bestFit="1" customWidth="1"/>
  </cols>
  <sheetData>
    <row r="1" spans="1:5" ht="24.6">
      <c r="A1" s="250" t="s">
        <v>164</v>
      </c>
      <c r="B1" s="250"/>
      <c r="C1" s="250"/>
      <c r="D1" s="250"/>
      <c r="E1" s="250"/>
    </row>
    <row r="2" spans="1:5" ht="24.6">
      <c r="A2" s="72"/>
      <c r="B2" s="72"/>
      <c r="C2" s="72"/>
      <c r="D2" s="72"/>
      <c r="E2" s="72"/>
    </row>
    <row r="3" spans="1:5">
      <c r="A3" t="s">
        <v>185</v>
      </c>
      <c r="B3" s="11" t="s">
        <v>106</v>
      </c>
    </row>
    <row r="4" spans="1:5" ht="15.6">
      <c r="A4" s="257" t="s">
        <v>186</v>
      </c>
      <c r="B4" s="258"/>
      <c r="C4" s="258"/>
      <c r="D4" s="258"/>
      <c r="E4" s="259"/>
    </row>
    <row r="5" spans="1:5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5" ht="14.45">
      <c r="A6" s="16" t="s">
        <v>188</v>
      </c>
      <c r="B6" s="130">
        <v>1385.8999999999901</v>
      </c>
      <c r="C6" s="130">
        <v>1614.307</v>
      </c>
      <c r="D6" s="96">
        <f>B6-C6</f>
        <v>-228.40700000000993</v>
      </c>
      <c r="E6" s="98">
        <f>IFERROR(D6/C6, "-")</f>
        <v>-0.1414891962929046</v>
      </c>
    </row>
    <row r="7" spans="1:5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5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5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</row>
    <row r="10" spans="1:5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5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5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5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5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5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5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1385.8999999999901</v>
      </c>
      <c r="C18" s="14">
        <f t="shared" ref="C18:D18" si="2">SUM(C6:C17)</f>
        <v>1614.307</v>
      </c>
      <c r="D18" s="14">
        <f t="shared" si="2"/>
        <v>-228.40700000000993</v>
      </c>
      <c r="E18" s="15">
        <f>IFERROR(D18/C18, "-")</f>
        <v>-0.1414891962929046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1385.8999999999901</v>
      </c>
      <c r="C24" s="134">
        <v>1978.3620000000001</v>
      </c>
      <c r="D24" s="102">
        <f t="shared" ref="D24:D35" si="3">B24-C24</f>
        <v>-592.46200000000999</v>
      </c>
      <c r="E24" s="103">
        <f t="shared" ref="E24:E36" si="4">IFERROR(D24/C24, "-")</f>
        <v>-0.29947097649470117</v>
      </c>
      <c r="F24" s="10"/>
      <c r="G24" s="10" t="s">
        <v>204</v>
      </c>
    </row>
    <row r="25" spans="1:12" ht="14.45">
      <c r="A25" s="35" t="s">
        <v>189</v>
      </c>
      <c r="B25" s="105">
        <v>0</v>
      </c>
      <c r="C25" s="106"/>
      <c r="D25" s="102">
        <f t="shared" si="3"/>
        <v>0</v>
      </c>
      <c r="E25" s="103" t="str">
        <f t="shared" si="4"/>
        <v>-</v>
      </c>
      <c r="F25" s="10"/>
      <c r="G25" s="10" t="s">
        <v>204</v>
      </c>
    </row>
    <row r="26" spans="1:12" s="79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77"/>
      <c r="G26" s="77"/>
    </row>
    <row r="27" spans="1:12" ht="14.45">
      <c r="A27" s="12" t="s">
        <v>191</v>
      </c>
      <c r="B27" s="102">
        <v>0</v>
      </c>
      <c r="C27" s="110"/>
      <c r="D27" s="102">
        <f t="shared" si="3"/>
        <v>0</v>
      </c>
      <c r="E27" s="103" t="str">
        <f t="shared" si="4"/>
        <v>-</v>
      </c>
      <c r="F27" s="10"/>
      <c r="G27" s="10"/>
    </row>
    <row r="28" spans="1:12" ht="14.45">
      <c r="A28" s="12" t="s">
        <v>192</v>
      </c>
      <c r="B28" s="102">
        <v>0</v>
      </c>
      <c r="C28" s="102"/>
      <c r="D28" s="102">
        <f t="shared" si="3"/>
        <v>0</v>
      </c>
      <c r="E28" s="103" t="str">
        <f t="shared" si="4"/>
        <v>-</v>
      </c>
      <c r="F28" s="10"/>
      <c r="G28" s="10"/>
    </row>
    <row r="29" spans="1:12" ht="14.45">
      <c r="A29" s="12" t="s">
        <v>193</v>
      </c>
      <c r="B29" s="102">
        <v>0</v>
      </c>
      <c r="C29" s="102"/>
      <c r="D29" s="102">
        <f t="shared" si="3"/>
        <v>0</v>
      </c>
      <c r="E29" s="103" t="str">
        <f t="shared" si="4"/>
        <v>-</v>
      </c>
      <c r="F29" s="10"/>
      <c r="G29" s="10"/>
    </row>
    <row r="30" spans="1:12" ht="14.45">
      <c r="A30" s="12" t="s">
        <v>194</v>
      </c>
      <c r="B30" s="102">
        <v>0</v>
      </c>
      <c r="C30" s="102"/>
      <c r="D30" s="102">
        <f t="shared" si="3"/>
        <v>0</v>
      </c>
      <c r="E30" s="103" t="str">
        <f t="shared" si="4"/>
        <v>-</v>
      </c>
      <c r="F30" s="10"/>
      <c r="G30" s="10"/>
    </row>
    <row r="31" spans="1:12" ht="14.45">
      <c r="A31" s="12" t="s">
        <v>195</v>
      </c>
      <c r="B31" s="102">
        <v>0</v>
      </c>
      <c r="C31" s="102"/>
      <c r="D31" s="102">
        <f t="shared" si="3"/>
        <v>0</v>
      </c>
      <c r="E31" s="103" t="str">
        <f t="shared" si="4"/>
        <v>-</v>
      </c>
      <c r="F31" s="10"/>
      <c r="G31" s="10"/>
    </row>
    <row r="32" spans="1:12" ht="14.45">
      <c r="A32" s="12" t="s">
        <v>196</v>
      </c>
      <c r="B32" s="102">
        <v>0</v>
      </c>
      <c r="C32" s="102"/>
      <c r="D32" s="102">
        <f t="shared" si="3"/>
        <v>0</v>
      </c>
      <c r="E32" s="103" t="str">
        <f t="shared" si="4"/>
        <v>-</v>
      </c>
      <c r="F32" s="10"/>
      <c r="G32" s="10"/>
    </row>
    <row r="33" spans="1:7" ht="14.45">
      <c r="A33" s="12" t="s">
        <v>197</v>
      </c>
      <c r="B33" s="102">
        <v>0</v>
      </c>
      <c r="C33" s="102"/>
      <c r="D33" s="102">
        <f t="shared" si="3"/>
        <v>0</v>
      </c>
      <c r="E33" s="103" t="str">
        <f t="shared" si="4"/>
        <v>-</v>
      </c>
      <c r="F33" s="10"/>
      <c r="G33" s="10"/>
    </row>
    <row r="34" spans="1:7" ht="14.45">
      <c r="A34" s="12" t="s">
        <v>198</v>
      </c>
      <c r="B34" s="102">
        <v>0</v>
      </c>
      <c r="C34" s="102"/>
      <c r="D34" s="102">
        <f t="shared" si="3"/>
        <v>0</v>
      </c>
      <c r="E34" s="103" t="str">
        <f t="shared" si="4"/>
        <v>-</v>
      </c>
      <c r="F34" s="10"/>
      <c r="G34" s="10"/>
    </row>
    <row r="35" spans="1:7" ht="14.45">
      <c r="A35" s="12" t="s">
        <v>199</v>
      </c>
      <c r="B35" s="102">
        <v>0</v>
      </c>
      <c r="C35" s="102"/>
      <c r="D35" s="102">
        <f t="shared" si="3"/>
        <v>0</v>
      </c>
      <c r="E35" s="103" t="str">
        <f t="shared" si="4"/>
        <v>-</v>
      </c>
      <c r="F35" s="10"/>
      <c r="G35" s="10"/>
    </row>
    <row r="36" spans="1:7">
      <c r="A36" s="13" t="s">
        <v>200</v>
      </c>
      <c r="B36" s="14">
        <v>1385.8999999999901</v>
      </c>
      <c r="C36" s="14">
        <f>SUM(C24:C35)</f>
        <v>1978.3620000000001</v>
      </c>
      <c r="D36" s="14">
        <f>SUM(D24:D35)</f>
        <v>-592.46200000000999</v>
      </c>
      <c r="E36" s="15">
        <f t="shared" si="4"/>
        <v>-0.29947097649470117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1436-FFDD-4834-BC3E-9A71123549B4}">
  <sheetPr codeName="Sheet71">
    <tabColor rgb="FFFFFF00"/>
  </sheetPr>
  <dimension ref="A1:L36"/>
  <sheetViews>
    <sheetView workbookViewId="0">
      <selection activeCell="F14" sqref="F1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6" ht="24.6">
      <c r="A1" s="250" t="s">
        <v>166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106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1524.8999999999901</v>
      </c>
      <c r="C6" s="130">
        <v>1991.1859999999999</v>
      </c>
      <c r="D6" s="96">
        <f>B6-C6</f>
        <v>-466.28600000000984</v>
      </c>
      <c r="E6" s="98">
        <f>IFERROR(D6/C6, "-")</f>
        <v>-0.23417500926583948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131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6" ht="14.45">
      <c r="A11" s="35" t="s">
        <v>193</v>
      </c>
      <c r="B11" s="132"/>
      <c r="C11" s="129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1524.8999999999901</v>
      </c>
      <c r="C18" s="14">
        <f t="shared" ref="C18:D18" si="2">SUM(C6:C17)</f>
        <v>1991.1859999999999</v>
      </c>
      <c r="D18" s="14">
        <f t="shared" si="2"/>
        <v>-466.28600000000984</v>
      </c>
      <c r="E18" s="15">
        <f>IFERROR(D18/C18, "-")</f>
        <v>-0.23417500926583948</v>
      </c>
    </row>
    <row r="21" spans="1:12" ht="13.9" thickBot="1"/>
    <row r="22" spans="1:12" ht="16.149999999999999" thickBot="1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1524.8999999999901</v>
      </c>
      <c r="C24" s="134">
        <v>2510.9960000000001</v>
      </c>
      <c r="D24" s="116">
        <f t="shared" ref="D24:D35" si="3">B24-C24</f>
        <v>-986.09600000001001</v>
      </c>
      <c r="E24" s="103">
        <f t="shared" ref="E24:E36" si="4">IFERROR(D24/C24, "-")</f>
        <v>-0.39271109949996336</v>
      </c>
      <c r="F24" s="10"/>
      <c r="G24" s="10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0"/>
      <c r="G25" s="10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77"/>
      <c r="G26" s="77"/>
    </row>
    <row r="27" spans="1:12" ht="14.45">
      <c r="A27" s="12" t="s">
        <v>191</v>
      </c>
      <c r="B27" s="116">
        <v>0</v>
      </c>
      <c r="C27" s="110"/>
      <c r="D27" s="116">
        <f t="shared" si="3"/>
        <v>0</v>
      </c>
      <c r="E27" s="103" t="str">
        <f t="shared" si="4"/>
        <v>-</v>
      </c>
      <c r="F27" s="10"/>
      <c r="G27" s="10"/>
    </row>
    <row r="28" spans="1:12" ht="14.45">
      <c r="A28" s="12" t="s">
        <v>192</v>
      </c>
      <c r="B28" s="116">
        <v>0</v>
      </c>
      <c r="C28" s="116"/>
      <c r="D28" s="116">
        <f t="shared" si="3"/>
        <v>0</v>
      </c>
      <c r="E28" s="103" t="str">
        <f t="shared" si="4"/>
        <v>-</v>
      </c>
      <c r="F28" s="10"/>
      <c r="G28" s="10"/>
    </row>
    <row r="29" spans="1:12" ht="14.45">
      <c r="A29" s="12" t="s">
        <v>193</v>
      </c>
      <c r="B29" s="116">
        <v>0</v>
      </c>
      <c r="C29" s="102"/>
      <c r="D29" s="116">
        <f t="shared" si="3"/>
        <v>0</v>
      </c>
      <c r="E29" s="103" t="str">
        <f t="shared" si="4"/>
        <v>-</v>
      </c>
      <c r="F29" s="10"/>
      <c r="G29" s="10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4"/>
        <v>-</v>
      </c>
      <c r="F30" s="10"/>
      <c r="G30" s="10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0"/>
      <c r="G31" s="10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6"/>
      <c r="G32" s="187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0"/>
      <c r="G33" s="10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0"/>
      <c r="G34" s="10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0"/>
      <c r="G35" s="10"/>
    </row>
    <row r="36" spans="1:7">
      <c r="A36" s="13" t="s">
        <v>200</v>
      </c>
      <c r="B36" s="81">
        <v>1524.8999999999901</v>
      </c>
      <c r="C36" s="81">
        <f>SUM(C24:C35)</f>
        <v>2510.9960000000001</v>
      </c>
      <c r="D36" s="81">
        <f>SUM(D24:D35)</f>
        <v>-986.09600000001001</v>
      </c>
      <c r="E36" s="15">
        <f t="shared" si="4"/>
        <v>-0.39271109949996336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087D-2DCF-4F66-A7F0-75EA448B680C}">
  <sheetPr codeName="Sheet72">
    <tabColor rgb="FFC00000"/>
  </sheetPr>
  <dimension ref="A1:L36"/>
  <sheetViews>
    <sheetView workbookViewId="0">
      <selection activeCell="F24" sqref="F2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8.28515625" customWidth="1"/>
    <col min="7" max="7" width="19.42578125" bestFit="1" customWidth="1"/>
  </cols>
  <sheetData>
    <row r="1" spans="1:6" ht="24.6">
      <c r="A1" s="250" t="s">
        <v>167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96"/>
      <c r="C9" s="131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12" t="s">
        <v>192</v>
      </c>
      <c r="B10" s="140"/>
      <c r="C10" s="177"/>
      <c r="D10" s="129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>B13-C13</f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>B15-C15</f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0</v>
      </c>
      <c r="D24" s="116">
        <f t="shared" ref="D24:D35" si="3">B24-C24</f>
        <v>0</v>
      </c>
      <c r="E24" s="103" t="str">
        <f t="shared" ref="E24:E36" si="4">IFERROR(D24/C24, "-")</f>
        <v>-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10"/>
      <c r="D27" s="116">
        <f t="shared" si="3"/>
        <v>0</v>
      </c>
      <c r="E27" s="103" t="str">
        <f t="shared" si="4"/>
        <v>-</v>
      </c>
      <c r="F27" s="179"/>
      <c r="G27" s="114"/>
    </row>
    <row r="28" spans="1:12" ht="14.45">
      <c r="A28" s="12" t="s">
        <v>192</v>
      </c>
      <c r="B28" s="116">
        <v>0</v>
      </c>
      <c r="C28" s="116"/>
      <c r="D28" s="116">
        <f t="shared" si="3"/>
        <v>0</v>
      </c>
      <c r="E28" s="178" t="str">
        <f t="shared" si="4"/>
        <v>-</v>
      </c>
      <c r="F28" s="180"/>
      <c r="G28" s="182"/>
    </row>
    <row r="29" spans="1:12" ht="14.45">
      <c r="A29" s="12" t="s">
        <v>193</v>
      </c>
      <c r="B29" s="116">
        <v>0</v>
      </c>
      <c r="C29" s="116"/>
      <c r="D29" s="116">
        <f t="shared" si="3"/>
        <v>0</v>
      </c>
      <c r="E29" s="178" t="str">
        <f t="shared" si="4"/>
        <v>-</v>
      </c>
      <c r="F29" s="183"/>
      <c r="G29" s="182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78" t="str">
        <f t="shared" si="4"/>
        <v>-</v>
      </c>
      <c r="F30" s="183"/>
      <c r="G30" s="182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0</v>
      </c>
      <c r="D36" s="81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15E3-1E35-4C44-A7BF-7A72EF26A0E4}">
  <sheetPr codeName="Sheet73">
    <tabColor rgb="FFC00000"/>
  </sheetPr>
  <dimension ref="A1:L36"/>
  <sheetViews>
    <sheetView workbookViewId="0">
      <selection activeCell="F9" sqref="F9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28515625" customWidth="1"/>
    <col min="7" max="7" width="19.42578125" bestFit="1" customWidth="1"/>
  </cols>
  <sheetData>
    <row r="1" spans="1:7" ht="24.6">
      <c r="A1" s="250" t="s">
        <v>170</v>
      </c>
      <c r="B1" s="250"/>
      <c r="C1" s="250"/>
      <c r="D1" s="250"/>
      <c r="E1" s="250"/>
    </row>
    <row r="2" spans="1:7" ht="24.6">
      <c r="A2" s="72"/>
      <c r="B2" s="72"/>
      <c r="C2" s="72"/>
      <c r="D2" s="72"/>
      <c r="E2" s="86"/>
    </row>
    <row r="3" spans="1:7">
      <c r="A3" t="s">
        <v>185</v>
      </c>
      <c r="B3" s="11" t="s">
        <v>168</v>
      </c>
    </row>
    <row r="4" spans="1:7" ht="15.6">
      <c r="A4" s="257" t="s">
        <v>186</v>
      </c>
      <c r="B4" s="258"/>
      <c r="C4" s="258"/>
      <c r="D4" s="258"/>
      <c r="E4" s="259"/>
    </row>
    <row r="5" spans="1:7">
      <c r="A5" s="17" t="s">
        <v>187</v>
      </c>
      <c r="B5" s="20" t="s">
        <v>4</v>
      </c>
      <c r="C5" s="20" t="s">
        <v>5</v>
      </c>
      <c r="D5" s="20" t="s">
        <v>6</v>
      </c>
      <c r="E5" s="87" t="s">
        <v>7</v>
      </c>
    </row>
    <row r="6" spans="1:7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7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7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7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7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7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7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7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  <c r="G13" s="94" t="s">
        <v>204</v>
      </c>
    </row>
    <row r="14" spans="1:7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7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7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>
      <c r="A23" s="57" t="s">
        <v>187</v>
      </c>
      <c r="B23" s="58" t="s">
        <v>4</v>
      </c>
      <c r="C23" s="58" t="s">
        <v>8</v>
      </c>
      <c r="D23" s="59" t="s">
        <v>6</v>
      </c>
      <c r="E23" s="88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0</v>
      </c>
      <c r="D24" s="116">
        <f t="shared" ref="D24:D35" si="3">B24-C24</f>
        <v>0</v>
      </c>
      <c r="E24" s="103" t="str">
        <f t="shared" ref="E24:E36" si="4">IFERROR(D24/C24, "-")</f>
        <v>-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10"/>
      <c r="D27" s="116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16">
        <v>0</v>
      </c>
      <c r="C28" s="102"/>
      <c r="D28" s="116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02"/>
      <c r="D29" s="116">
        <f t="shared" si="3"/>
        <v>0</v>
      </c>
      <c r="E29" s="103" t="str">
        <f t="shared" si="4"/>
        <v>-</v>
      </c>
      <c r="F29" s="183"/>
      <c r="G29" s="114"/>
    </row>
    <row r="30" spans="1:12" ht="14.45">
      <c r="A30" s="12" t="s">
        <v>194</v>
      </c>
      <c r="B30" s="116">
        <v>0</v>
      </c>
      <c r="C30" s="102"/>
      <c r="D30" s="116">
        <f t="shared" si="3"/>
        <v>0</v>
      </c>
      <c r="E30" s="103" t="str">
        <f t="shared" si="4"/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0</v>
      </c>
      <c r="D36" s="81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F7C2-20AC-4931-9741-DF7BCE51ED93}">
  <sheetPr codeName="Sheet74">
    <tabColor rgb="FFC00000"/>
  </sheetPr>
  <dimension ref="A1:L36"/>
  <sheetViews>
    <sheetView topLeftCell="A4" workbookViewId="0">
      <selection activeCell="F10" sqref="F10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140625" customWidth="1"/>
    <col min="7" max="7" width="19.42578125" bestFit="1" customWidth="1"/>
  </cols>
  <sheetData>
    <row r="1" spans="1:6" ht="24.6">
      <c r="A1" s="250" t="s">
        <v>172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131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0</v>
      </c>
      <c r="D24" s="116">
        <f t="shared" ref="D24:D35" si="3">B24-C24</f>
        <v>0</v>
      </c>
      <c r="E24" s="103" t="str">
        <f t="shared" ref="E24:E36" si="4">IFERROR(D24/C24, "-")</f>
        <v>-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10"/>
      <c r="D27" s="116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16">
        <v>0</v>
      </c>
      <c r="C28" s="116"/>
      <c r="D28" s="116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16"/>
      <c r="D29" s="116">
        <f t="shared" si="3"/>
        <v>0</v>
      </c>
      <c r="E29" s="103" t="str">
        <f t="shared" si="4"/>
        <v>-</v>
      </c>
      <c r="F29" s="183"/>
      <c r="G29" s="114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4"/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0</v>
      </c>
      <c r="D36" s="81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A70A-9C4E-4F96-9DF6-26D19D3C67B3}">
  <sheetPr codeName="Sheet75">
    <tabColor rgb="FFC00000"/>
  </sheetPr>
  <dimension ref="A1:L36"/>
  <sheetViews>
    <sheetView topLeftCell="A5" workbookViewId="0">
      <selection activeCell="F9" sqref="F9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140625" customWidth="1"/>
    <col min="7" max="7" width="19.42578125" bestFit="1" customWidth="1"/>
  </cols>
  <sheetData>
    <row r="1" spans="1:6" ht="24.6">
      <c r="A1" s="250" t="s">
        <v>174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131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35803.379999999997</v>
      </c>
      <c r="D24" s="116">
        <f t="shared" ref="D24:D35" si="3">B24-C24</f>
        <v>-35803.379999999997</v>
      </c>
      <c r="E24" s="103">
        <f t="shared" ref="E24:E36" si="4">IFERROR(D24/C24, "-")</f>
        <v>-1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10"/>
      <c r="D27" s="116">
        <f t="shared" si="3"/>
        <v>0</v>
      </c>
      <c r="E27" s="108" t="str">
        <f t="shared" si="4"/>
        <v>-</v>
      </c>
      <c r="F27" s="114"/>
      <c r="G27" s="114"/>
    </row>
    <row r="28" spans="1:12" ht="14.45">
      <c r="A28" s="12" t="s">
        <v>192</v>
      </c>
      <c r="B28" s="116">
        <v>0</v>
      </c>
      <c r="C28" s="116"/>
      <c r="D28" s="116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16"/>
      <c r="D29" s="116">
        <f t="shared" si="3"/>
        <v>0</v>
      </c>
      <c r="E29" s="103" t="str">
        <f t="shared" si="4"/>
        <v>-</v>
      </c>
      <c r="F29" s="183"/>
      <c r="G29" s="114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4"/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35803.379999999997</v>
      </c>
      <c r="D36" s="81">
        <f>SUM(D24:D35)</f>
        <v>-35803.379999999997</v>
      </c>
      <c r="E36" s="15">
        <f t="shared" si="4"/>
        <v>-1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25EB-6F78-40EA-9502-A5C489D0AC83}">
  <sheetPr codeName="Sheet76">
    <tabColor rgb="FFC00000"/>
  </sheetPr>
  <dimension ref="A1:L36"/>
  <sheetViews>
    <sheetView workbookViewId="0">
      <selection activeCell="G8" sqref="G8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140625" customWidth="1"/>
    <col min="7" max="7" width="19.42578125" bestFit="1" customWidth="1"/>
  </cols>
  <sheetData>
    <row r="1" spans="1:6" ht="24.6">
      <c r="A1" s="250" t="s">
        <v>176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131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0</v>
      </c>
      <c r="D24" s="116">
        <f t="shared" ref="D24:D35" si="3">B24-C24</f>
        <v>0</v>
      </c>
      <c r="E24" s="103" t="str">
        <f t="shared" ref="E24:E36" si="4">IFERROR(D24/C24, "-")</f>
        <v>-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36"/>
      <c r="D27" s="116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44">
        <v>0</v>
      </c>
      <c r="C28" s="138"/>
      <c r="D28" s="118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16"/>
      <c r="D29" s="116">
        <f t="shared" si="3"/>
        <v>0</v>
      </c>
      <c r="E29" s="103" t="str">
        <f t="shared" si="4"/>
        <v>-</v>
      </c>
      <c r="F29" s="183"/>
      <c r="G29" s="114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4"/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0</v>
      </c>
      <c r="D36" s="81">
        <f>SUM(D24:D35)</f>
        <v>0</v>
      </c>
      <c r="E36" s="15" t="str">
        <f t="shared" si="4"/>
        <v>-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BDD1-1E36-45A8-84E0-9E5B3DCD7DB1}">
  <sheetPr codeName="Sheet77">
    <tabColor rgb="FFC00000"/>
  </sheetPr>
  <dimension ref="A1:L36"/>
  <sheetViews>
    <sheetView workbookViewId="0">
      <selection activeCell="F16" sqref="F1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140625" customWidth="1"/>
    <col min="7" max="7" width="19.42578125" bestFit="1" customWidth="1"/>
  </cols>
  <sheetData>
    <row r="1" spans="1:6" ht="24.6">
      <c r="A1" s="250" t="s">
        <v>178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131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35" t="s">
        <v>192</v>
      </c>
      <c r="B10" s="128"/>
      <c r="C10" s="129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33517.699000000001</v>
      </c>
      <c r="D24" s="116">
        <f t="shared" ref="D24:D35" si="3">B24-C24</f>
        <v>-33517.699000000001</v>
      </c>
      <c r="E24" s="103">
        <f t="shared" ref="E24:E36" si="4">IFERROR(D24/C24, "-")</f>
        <v>-1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02"/>
      <c r="D27" s="116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16">
        <v>0</v>
      </c>
      <c r="C28" s="116"/>
      <c r="D28" s="116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16"/>
      <c r="D29" s="116">
        <f t="shared" si="3"/>
        <v>0</v>
      </c>
      <c r="E29" s="103" t="str">
        <f t="shared" si="4"/>
        <v>-</v>
      </c>
      <c r="F29" s="183"/>
      <c r="G29" s="114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4"/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4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4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4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4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4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33517.699000000001</v>
      </c>
      <c r="D36" s="81">
        <f>SUM(D24:D35)</f>
        <v>-33517.699000000001</v>
      </c>
      <c r="E36" s="15">
        <f t="shared" si="4"/>
        <v>-1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6368-5A54-49F6-8A37-CA68D2DE5B6D}">
  <sheetPr codeName="Sheet78">
    <tabColor rgb="FFC00000"/>
  </sheetPr>
  <dimension ref="A1:L36"/>
  <sheetViews>
    <sheetView workbookViewId="0">
      <selection activeCell="F14" sqref="F14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140625" customWidth="1"/>
    <col min="7" max="7" width="19.42578125" bestFit="1" customWidth="1"/>
  </cols>
  <sheetData>
    <row r="1" spans="1:6" ht="24.6">
      <c r="A1" s="250" t="s">
        <v>180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0</v>
      </c>
      <c r="C6" s="130">
        <v>0</v>
      </c>
      <c r="D6" s="96">
        <f>B6-C6</f>
        <v>0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0</v>
      </c>
      <c r="C18" s="14">
        <f t="shared" ref="C18:D18" si="2">SUM(C6:C17)</f>
        <v>0</v>
      </c>
      <c r="D18" s="14">
        <f t="shared" si="2"/>
        <v>0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0</v>
      </c>
      <c r="C24" s="134">
        <v>34698.845000000001</v>
      </c>
      <c r="D24" s="116">
        <f t="shared" ref="D24:D35" si="3">B24-C24</f>
        <v>-34698.845000000001</v>
      </c>
      <c r="E24" s="103">
        <f t="shared" ref="E24:E36" si="4">IFERROR(D24/C24, "-")</f>
        <v>-1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16"/>
      <c r="D27" s="116">
        <f t="shared" si="3"/>
        <v>0</v>
      </c>
      <c r="E27" s="103" t="str">
        <f t="shared" si="4"/>
        <v>-</v>
      </c>
      <c r="F27" s="112"/>
      <c r="G27" s="114"/>
    </row>
    <row r="28" spans="1:12" ht="14.45">
      <c r="A28" s="12" t="s">
        <v>192</v>
      </c>
      <c r="B28" s="116">
        <v>0</v>
      </c>
      <c r="C28" s="116"/>
      <c r="D28" s="116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16"/>
      <c r="D29" s="116">
        <f t="shared" si="3"/>
        <v>0</v>
      </c>
      <c r="E29" s="103" t="str">
        <f t="shared" si="4"/>
        <v>-</v>
      </c>
      <c r="F29" s="183"/>
      <c r="G29" s="114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ref="E30:E35" si="5">IFERROR(D30/C30, "-")</f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5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5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5"/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5"/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5"/>
        <v>-</v>
      </c>
      <c r="F35" s="183"/>
      <c r="G35" s="114"/>
    </row>
    <row r="36" spans="1:7">
      <c r="A36" s="13" t="s">
        <v>200</v>
      </c>
      <c r="B36" s="81">
        <v>0</v>
      </c>
      <c r="C36" s="81">
        <f>SUM(C24:C35)</f>
        <v>34698.845000000001</v>
      </c>
      <c r="D36" s="81">
        <f>SUM(D24:D35)</f>
        <v>-34698.845000000001</v>
      </c>
      <c r="E36" s="15">
        <f t="shared" si="4"/>
        <v>-1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2011-CAC3-408E-B3E6-DA64FEBFA158}">
  <sheetPr codeName="Sheet79">
    <tabColor rgb="FFC00000"/>
  </sheetPr>
  <dimension ref="A1:L36"/>
  <sheetViews>
    <sheetView workbookViewId="0">
      <selection activeCell="F16" sqref="F16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47.140625" customWidth="1"/>
    <col min="7" max="7" width="19.42578125" bestFit="1" customWidth="1"/>
  </cols>
  <sheetData>
    <row r="1" spans="1:6" ht="24.6">
      <c r="A1" s="250" t="s">
        <v>182</v>
      </c>
      <c r="B1" s="250"/>
      <c r="C1" s="250"/>
      <c r="D1" s="250"/>
      <c r="E1" s="250"/>
    </row>
    <row r="2" spans="1:6" ht="24.6">
      <c r="A2" s="72"/>
      <c r="B2" s="72"/>
      <c r="C2" s="72"/>
      <c r="D2" s="72"/>
      <c r="E2" s="72"/>
    </row>
    <row r="3" spans="1:6">
      <c r="A3" t="s">
        <v>185</v>
      </c>
      <c r="B3" s="11" t="s">
        <v>168</v>
      </c>
    </row>
    <row r="4" spans="1:6" ht="15.6">
      <c r="A4" s="257" t="s">
        <v>186</v>
      </c>
      <c r="B4" s="258"/>
      <c r="C4" s="258"/>
      <c r="D4" s="258"/>
      <c r="E4" s="259"/>
    </row>
    <row r="5" spans="1:6">
      <c r="A5" s="17" t="s">
        <v>187</v>
      </c>
      <c r="B5" s="20" t="s">
        <v>4</v>
      </c>
      <c r="C5" s="20" t="s">
        <v>5</v>
      </c>
      <c r="D5" s="20" t="s">
        <v>6</v>
      </c>
      <c r="E5" s="21" t="s">
        <v>7</v>
      </c>
    </row>
    <row r="6" spans="1:6" ht="14.45">
      <c r="A6" s="16" t="s">
        <v>188</v>
      </c>
      <c r="B6" s="130">
        <v>24.25</v>
      </c>
      <c r="C6" s="130">
        <v>0</v>
      </c>
      <c r="D6" s="96">
        <f>B6-C6</f>
        <v>24.25</v>
      </c>
      <c r="E6" s="98" t="str">
        <f>IFERROR(D6/C6, "-")</f>
        <v>-</v>
      </c>
    </row>
    <row r="7" spans="1:6" ht="14.45">
      <c r="A7" s="12" t="s">
        <v>189</v>
      </c>
      <c r="B7" s="96"/>
      <c r="C7" s="96"/>
      <c r="D7" s="96">
        <f t="shared" ref="D7:D17" si="0">B7-C7</f>
        <v>0</v>
      </c>
      <c r="E7" s="98" t="str">
        <f t="shared" ref="E7:E17" si="1">IFERROR(D7/C7, "-")</f>
        <v>-</v>
      </c>
    </row>
    <row r="8" spans="1:6" ht="14.45">
      <c r="A8" s="12" t="s">
        <v>190</v>
      </c>
      <c r="B8" s="96"/>
      <c r="C8" s="96"/>
      <c r="D8" s="96">
        <f t="shared" si="0"/>
        <v>0</v>
      </c>
      <c r="E8" s="98" t="str">
        <f t="shared" si="1"/>
        <v>-</v>
      </c>
    </row>
    <row r="9" spans="1:6" ht="14.45">
      <c r="A9" s="12" t="s">
        <v>191</v>
      </c>
      <c r="B9" s="96"/>
      <c r="C9" s="96"/>
      <c r="D9" s="96">
        <f t="shared" si="0"/>
        <v>0</v>
      </c>
      <c r="E9" s="98" t="str">
        <f t="shared" si="1"/>
        <v>-</v>
      </c>
      <c r="F9" t="s">
        <v>204</v>
      </c>
    </row>
    <row r="10" spans="1:6" ht="14.45">
      <c r="A10" s="12" t="s">
        <v>192</v>
      </c>
      <c r="B10" s="96"/>
      <c r="C10" s="96"/>
      <c r="D10" s="96">
        <f t="shared" si="0"/>
        <v>0</v>
      </c>
      <c r="E10" s="98" t="str">
        <f t="shared" si="1"/>
        <v>-</v>
      </c>
    </row>
    <row r="11" spans="1:6" ht="14.45">
      <c r="A11" s="12" t="s">
        <v>193</v>
      </c>
      <c r="B11" s="96"/>
      <c r="C11" s="96"/>
      <c r="D11" s="96">
        <f t="shared" si="0"/>
        <v>0</v>
      </c>
      <c r="E11" s="98" t="str">
        <f t="shared" si="1"/>
        <v>-</v>
      </c>
    </row>
    <row r="12" spans="1:6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6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6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6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6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24.25</v>
      </c>
      <c r="C18" s="14">
        <f t="shared" ref="C18:D18" si="2">SUM(C6:C17)</f>
        <v>0</v>
      </c>
      <c r="D18" s="14">
        <f t="shared" si="2"/>
        <v>24.25</v>
      </c>
      <c r="E18" s="15" t="str">
        <f>IFERROR(D18/C18, "-")</f>
        <v>-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14.45">
      <c r="A24" s="16" t="s">
        <v>188</v>
      </c>
      <c r="B24" s="101" cm="1">
        <f t="array" ref="B24:B36">B6:B18</f>
        <v>24.25</v>
      </c>
      <c r="C24" s="134">
        <v>34211.300999999999</v>
      </c>
      <c r="D24" s="116">
        <f t="shared" ref="D24:D35" si="3">B24-C24</f>
        <v>-34187.050999999999</v>
      </c>
      <c r="E24" s="103">
        <f t="shared" ref="E24:E36" si="4">IFERROR(D24/C24, "-")</f>
        <v>-0.9992911698973389</v>
      </c>
      <c r="F24" s="114" t="s">
        <v>219</v>
      </c>
      <c r="G24" s="114"/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36"/>
      <c r="D27" s="116">
        <f t="shared" si="3"/>
        <v>0</v>
      </c>
      <c r="E27" s="103" t="str">
        <f t="shared" si="4"/>
        <v>-</v>
      </c>
      <c r="F27" s="114"/>
      <c r="G27" s="114"/>
    </row>
    <row r="28" spans="1:12" ht="14.45">
      <c r="A28" s="12" t="s">
        <v>192</v>
      </c>
      <c r="B28" s="144">
        <v>0</v>
      </c>
      <c r="C28" s="138"/>
      <c r="D28" s="118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44">
        <v>0</v>
      </c>
      <c r="C29" s="117"/>
      <c r="D29" s="118">
        <f t="shared" si="3"/>
        <v>0</v>
      </c>
      <c r="E29" s="103" t="str">
        <f t="shared" ref="E29:E35" si="5">IFERROR(D29/C29, "-")</f>
        <v>-</v>
      </c>
      <c r="F29" s="183"/>
      <c r="G29" s="114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5"/>
        <v>-</v>
      </c>
      <c r="F30" s="183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5"/>
        <v>-</v>
      </c>
      <c r="F31" s="183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5"/>
        <v>-</v>
      </c>
      <c r="F32" s="183"/>
      <c r="G32" s="114"/>
    </row>
    <row r="33" spans="1:7" ht="14.45">
      <c r="A33" s="12" t="s">
        <v>197</v>
      </c>
      <c r="B33" s="116">
        <v>0</v>
      </c>
      <c r="C33" s="116"/>
      <c r="D33" s="116">
        <f>B33-C33</f>
        <v>0</v>
      </c>
      <c r="E33" s="103" t="str">
        <f>IFERROR(D33/C33, "-")</f>
        <v>-</v>
      </c>
      <c r="F33" s="183"/>
      <c r="G33" s="114"/>
    </row>
    <row r="34" spans="1:7" ht="14.45">
      <c r="A34" s="12" t="s">
        <v>198</v>
      </c>
      <c r="B34" s="116">
        <v>0</v>
      </c>
      <c r="C34" s="116"/>
      <c r="D34" s="116">
        <f>B34-C34</f>
        <v>0</v>
      </c>
      <c r="E34" s="103" t="str">
        <f>IFERROR(D34/C34, "-")</f>
        <v>-</v>
      </c>
      <c r="F34" s="183"/>
      <c r="G34" s="114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5"/>
        <v>-</v>
      </c>
      <c r="F35" s="183"/>
      <c r="G35" s="114"/>
    </row>
    <row r="36" spans="1:7">
      <c r="A36" s="13" t="s">
        <v>200</v>
      </c>
      <c r="B36" s="81">
        <v>24.25</v>
      </c>
      <c r="C36" s="81">
        <f>SUM(C24:C35)</f>
        <v>34211.300999999999</v>
      </c>
      <c r="D36" s="81">
        <f>SUM(D24:D35)</f>
        <v>-34187.050999999999</v>
      </c>
      <c r="E36" s="15">
        <f t="shared" si="4"/>
        <v>-0.9992911698973389</v>
      </c>
      <c r="F36" s="15"/>
      <c r="G36" s="1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5C7C-3DAA-4EFE-9AA5-F17E8F43975B}">
  <sheetPr codeName="Sheet80">
    <tabColor rgb="FFC00000"/>
  </sheetPr>
  <dimension ref="A1:L36"/>
  <sheetViews>
    <sheetView zoomScale="85" zoomScaleNormal="85" workbookViewId="0">
      <selection activeCell="F21" sqref="F21"/>
    </sheetView>
  </sheetViews>
  <sheetFormatPr defaultRowHeight="13.15"/>
  <cols>
    <col min="1" max="1" width="12.85546875" customWidth="1"/>
    <col min="2" max="2" width="12.85546875" style="11" customWidth="1"/>
    <col min="3" max="5" width="12.85546875" customWidth="1"/>
    <col min="6" max="6" width="37.140625" bestFit="1" customWidth="1"/>
    <col min="7" max="7" width="19.42578125" bestFit="1" customWidth="1"/>
  </cols>
  <sheetData>
    <row r="1" spans="1:7" ht="24.6">
      <c r="A1" s="250" t="s">
        <v>184</v>
      </c>
      <c r="B1" s="250"/>
      <c r="C1" s="250"/>
      <c r="D1" s="250"/>
      <c r="E1" s="250"/>
    </row>
    <row r="2" spans="1:7" ht="24.6">
      <c r="A2" s="72"/>
      <c r="B2" s="72"/>
      <c r="C2" s="72"/>
      <c r="D2" s="72"/>
      <c r="E2" s="72"/>
    </row>
    <row r="3" spans="1:7">
      <c r="A3" t="s">
        <v>185</v>
      </c>
      <c r="B3" s="11" t="s">
        <v>168</v>
      </c>
    </row>
    <row r="4" spans="1:7" ht="15.6">
      <c r="A4" s="264" t="s">
        <v>186</v>
      </c>
      <c r="B4" s="264"/>
      <c r="C4" s="264"/>
      <c r="D4" s="264"/>
      <c r="E4" s="264"/>
    </row>
    <row r="5" spans="1:7">
      <c r="A5" s="90" t="s">
        <v>187</v>
      </c>
      <c r="B5" s="91" t="s">
        <v>4</v>
      </c>
      <c r="C5" s="91" t="s">
        <v>5</v>
      </c>
      <c r="D5" s="91" t="s">
        <v>6</v>
      </c>
      <c r="E5" s="92" t="s">
        <v>7</v>
      </c>
    </row>
    <row r="6" spans="1:7" ht="14.45">
      <c r="A6" s="33" t="s">
        <v>188</v>
      </c>
      <c r="B6" s="130">
        <v>275677</v>
      </c>
      <c r="C6" s="130">
        <v>318383.40000000002</v>
      </c>
      <c r="D6" s="132">
        <f>B6-C6</f>
        <v>-42706.400000000023</v>
      </c>
      <c r="E6" s="141">
        <f>IFERROR(D6/C6, "-")</f>
        <v>-0.13413513392972126</v>
      </c>
    </row>
    <row r="7" spans="1:7" ht="14.45">
      <c r="A7" s="33" t="s">
        <v>189</v>
      </c>
      <c r="B7" s="132"/>
      <c r="C7" s="132"/>
      <c r="D7" s="132">
        <f t="shared" ref="D7:D17" si="0">B7-C7</f>
        <v>0</v>
      </c>
      <c r="E7" s="141" t="str">
        <f t="shared" ref="E7:E17" si="1">IFERROR(D7/C7, "-")</f>
        <v>-</v>
      </c>
      <c r="F7" s="89"/>
      <c r="G7" s="89"/>
    </row>
    <row r="8" spans="1:7" ht="14.45">
      <c r="A8" s="33" t="s">
        <v>190</v>
      </c>
      <c r="B8" s="132"/>
      <c r="C8" s="132"/>
      <c r="D8" s="132">
        <f t="shared" si="0"/>
        <v>0</v>
      </c>
      <c r="E8" s="141" t="str">
        <f t="shared" si="1"/>
        <v>-</v>
      </c>
      <c r="F8" s="89"/>
      <c r="G8" s="89"/>
    </row>
    <row r="9" spans="1:7" ht="14.45">
      <c r="A9" s="33" t="s">
        <v>191</v>
      </c>
      <c r="B9" s="132"/>
      <c r="C9" s="132"/>
      <c r="D9" s="132">
        <f t="shared" si="0"/>
        <v>0</v>
      </c>
      <c r="E9" s="141" t="str">
        <f t="shared" si="1"/>
        <v>-</v>
      </c>
      <c r="F9" t="s">
        <v>204</v>
      </c>
    </row>
    <row r="10" spans="1:7" ht="14.45">
      <c r="A10" s="93" t="s">
        <v>192</v>
      </c>
      <c r="B10" s="142"/>
      <c r="C10" s="129"/>
      <c r="D10" s="96">
        <f t="shared" si="0"/>
        <v>0</v>
      </c>
      <c r="E10" s="97" t="str">
        <f t="shared" si="1"/>
        <v>-</v>
      </c>
    </row>
    <row r="11" spans="1:7" ht="14.45">
      <c r="A11" s="35" t="s">
        <v>193</v>
      </c>
      <c r="B11" s="132"/>
      <c r="C11" s="129"/>
      <c r="D11" s="96">
        <f t="shared" si="0"/>
        <v>0</v>
      </c>
      <c r="E11" s="98" t="str">
        <f t="shared" si="1"/>
        <v>-</v>
      </c>
    </row>
    <row r="12" spans="1:7" ht="14.45">
      <c r="A12" s="12" t="s">
        <v>194</v>
      </c>
      <c r="B12" s="96"/>
      <c r="C12" s="96"/>
      <c r="D12" s="96">
        <f t="shared" si="0"/>
        <v>0</v>
      </c>
      <c r="E12" s="98" t="str">
        <f t="shared" si="1"/>
        <v>-</v>
      </c>
    </row>
    <row r="13" spans="1:7" ht="14.45">
      <c r="A13" s="12" t="s">
        <v>195</v>
      </c>
      <c r="B13" s="96"/>
      <c r="C13" s="96"/>
      <c r="D13" s="96">
        <f t="shared" si="0"/>
        <v>0</v>
      </c>
      <c r="E13" s="98" t="str">
        <f t="shared" si="1"/>
        <v>-</v>
      </c>
    </row>
    <row r="14" spans="1:7" ht="14.45">
      <c r="A14" s="12" t="s">
        <v>196</v>
      </c>
      <c r="B14" s="96"/>
      <c r="C14" s="96"/>
      <c r="D14" s="96">
        <f t="shared" si="0"/>
        <v>0</v>
      </c>
      <c r="E14" s="98" t="str">
        <f t="shared" si="1"/>
        <v>-</v>
      </c>
    </row>
    <row r="15" spans="1:7" ht="14.45">
      <c r="A15" s="12" t="s">
        <v>197</v>
      </c>
      <c r="B15" s="96"/>
      <c r="C15" s="96"/>
      <c r="D15" s="96">
        <f t="shared" si="0"/>
        <v>0</v>
      </c>
      <c r="E15" s="98" t="str">
        <f t="shared" si="1"/>
        <v>-</v>
      </c>
    </row>
    <row r="16" spans="1:7" ht="14.45">
      <c r="A16" s="12" t="s">
        <v>198</v>
      </c>
      <c r="B16" s="96"/>
      <c r="C16" s="96"/>
      <c r="D16" s="96">
        <f t="shared" si="0"/>
        <v>0</v>
      </c>
      <c r="E16" s="98" t="str">
        <f t="shared" si="1"/>
        <v>-</v>
      </c>
    </row>
    <row r="17" spans="1:12" ht="14.45">
      <c r="A17" s="12" t="s">
        <v>199</v>
      </c>
      <c r="B17" s="96"/>
      <c r="C17" s="96"/>
      <c r="D17" s="96">
        <f t="shared" si="0"/>
        <v>0</v>
      </c>
      <c r="E17" s="98" t="str">
        <f t="shared" si="1"/>
        <v>-</v>
      </c>
    </row>
    <row r="18" spans="1:12">
      <c r="A18" s="13" t="s">
        <v>200</v>
      </c>
      <c r="B18" s="14">
        <f>SUM(B6:B17)</f>
        <v>275677</v>
      </c>
      <c r="C18" s="14">
        <f t="shared" ref="C18:D18" si="2">SUM(C6:C17)</f>
        <v>318383.40000000002</v>
      </c>
      <c r="D18" s="14">
        <f t="shared" si="2"/>
        <v>-42706.400000000023</v>
      </c>
      <c r="E18" s="15">
        <f>IFERROR(D18/C18, "-")</f>
        <v>-0.13413513392972126</v>
      </c>
    </row>
    <row r="22" spans="1:12" ht="15.6">
      <c r="A22" s="260" t="s">
        <v>201</v>
      </c>
      <c r="B22" s="261"/>
      <c r="C22" s="261"/>
      <c r="D22" s="261"/>
      <c r="E22" s="261"/>
      <c r="F22" s="261"/>
      <c r="G22" s="262"/>
      <c r="H22" s="62"/>
      <c r="I22" s="62"/>
      <c r="J22" s="62"/>
      <c r="K22" s="62"/>
      <c r="L22" s="62"/>
    </row>
    <row r="23" spans="1:12" ht="13.9" thickBot="1">
      <c r="A23" s="57" t="s">
        <v>187</v>
      </c>
      <c r="B23" s="58" t="s">
        <v>4</v>
      </c>
      <c r="C23" s="58" t="s">
        <v>8</v>
      </c>
      <c r="D23" s="59" t="s">
        <v>6</v>
      </c>
      <c r="E23" s="60" t="s">
        <v>7</v>
      </c>
      <c r="F23" s="64" t="s">
        <v>202</v>
      </c>
      <c r="G23" s="66" t="s">
        <v>203</v>
      </c>
    </row>
    <row r="24" spans="1:12" ht="28.9">
      <c r="A24" s="16" t="s">
        <v>188</v>
      </c>
      <c r="B24" s="101" cm="1">
        <f t="array" ref="B24:B36">B6:B18</f>
        <v>275677</v>
      </c>
      <c r="C24" s="134">
        <v>289610.83399999997</v>
      </c>
      <c r="D24" s="116">
        <f t="shared" ref="D24:D35" si="3">B24-C24</f>
        <v>-13933.833999999973</v>
      </c>
      <c r="E24" s="103">
        <f t="shared" ref="E24:E36" si="4">IFERROR(D24/C24, "-")</f>
        <v>-4.811226778898739E-2</v>
      </c>
      <c r="F24" s="112" t="s">
        <v>220</v>
      </c>
      <c r="G24" s="114" t="s">
        <v>221</v>
      </c>
    </row>
    <row r="25" spans="1:12" ht="14.45">
      <c r="A25" s="35" t="s">
        <v>189</v>
      </c>
      <c r="B25" s="117">
        <v>0</v>
      </c>
      <c r="C25" s="118"/>
      <c r="D25" s="116">
        <f t="shared" si="3"/>
        <v>0</v>
      </c>
      <c r="E25" s="103" t="str">
        <f t="shared" si="4"/>
        <v>-</v>
      </c>
      <c r="F25" s="114"/>
      <c r="G25" s="114"/>
    </row>
    <row r="26" spans="1:12" s="80" customFormat="1" ht="14.45">
      <c r="A26" s="78" t="s">
        <v>190</v>
      </c>
      <c r="B26" s="110">
        <v>0</v>
      </c>
      <c r="C26" s="110"/>
      <c r="D26" s="110">
        <f t="shared" si="3"/>
        <v>0</v>
      </c>
      <c r="E26" s="108" t="str">
        <f t="shared" si="4"/>
        <v>-</v>
      </c>
      <c r="F26" s="114"/>
      <c r="G26" s="114"/>
    </row>
    <row r="27" spans="1:12" ht="14.45">
      <c r="A27" s="12" t="s">
        <v>191</v>
      </c>
      <c r="B27" s="116">
        <v>0</v>
      </c>
      <c r="C27" s="143"/>
      <c r="D27" s="116">
        <f t="shared" si="3"/>
        <v>0</v>
      </c>
      <c r="E27" s="103" t="str">
        <f t="shared" si="4"/>
        <v>-</v>
      </c>
      <c r="F27" s="112"/>
      <c r="G27" s="112"/>
    </row>
    <row r="28" spans="1:12" ht="14.45">
      <c r="A28" s="12" t="s">
        <v>192</v>
      </c>
      <c r="B28" s="144">
        <v>0</v>
      </c>
      <c r="C28" s="145"/>
      <c r="D28" s="118">
        <f t="shared" si="3"/>
        <v>0</v>
      </c>
      <c r="E28" s="103" t="str">
        <f t="shared" si="4"/>
        <v>-</v>
      </c>
      <c r="F28" s="114"/>
      <c r="G28" s="114"/>
    </row>
    <row r="29" spans="1:12" ht="14.45">
      <c r="A29" s="12" t="s">
        <v>193</v>
      </c>
      <c r="B29" s="116">
        <v>0</v>
      </c>
      <c r="C29" s="102"/>
      <c r="D29" s="116">
        <f t="shared" si="3"/>
        <v>0</v>
      </c>
      <c r="E29" s="103" t="str">
        <f t="shared" ref="E29:E35" si="5">IFERROR(D29/C29, "-")</f>
        <v>-</v>
      </c>
      <c r="F29" s="112"/>
      <c r="G29" s="112"/>
    </row>
    <row r="30" spans="1:12" ht="14.45">
      <c r="A30" s="12" t="s">
        <v>194</v>
      </c>
      <c r="B30" s="116">
        <v>0</v>
      </c>
      <c r="C30" s="116"/>
      <c r="D30" s="116">
        <f t="shared" si="3"/>
        <v>0</v>
      </c>
      <c r="E30" s="103" t="str">
        <f t="shared" si="5"/>
        <v>-</v>
      </c>
      <c r="F30" s="112"/>
      <c r="G30" s="114"/>
    </row>
    <row r="31" spans="1:12" ht="14.45">
      <c r="A31" s="12" t="s">
        <v>195</v>
      </c>
      <c r="B31" s="116">
        <v>0</v>
      </c>
      <c r="C31" s="116"/>
      <c r="D31" s="116">
        <f t="shared" si="3"/>
        <v>0</v>
      </c>
      <c r="E31" s="103" t="str">
        <f t="shared" si="5"/>
        <v>-</v>
      </c>
      <c r="F31" s="114"/>
      <c r="G31" s="114"/>
    </row>
    <row r="32" spans="1:12" ht="14.45">
      <c r="A32" s="12" t="s">
        <v>196</v>
      </c>
      <c r="B32" s="116">
        <v>0</v>
      </c>
      <c r="C32" s="116"/>
      <c r="D32" s="116">
        <f t="shared" si="3"/>
        <v>0</v>
      </c>
      <c r="E32" s="103" t="str">
        <f t="shared" si="5"/>
        <v>-</v>
      </c>
      <c r="F32" s="112"/>
      <c r="G32" s="114"/>
    </row>
    <row r="33" spans="1:7" ht="14.45">
      <c r="A33" s="12" t="s">
        <v>197</v>
      </c>
      <c r="B33" s="116">
        <v>0</v>
      </c>
      <c r="C33" s="116"/>
      <c r="D33" s="116">
        <f t="shared" si="3"/>
        <v>0</v>
      </c>
      <c r="E33" s="103" t="str">
        <f t="shared" si="5"/>
        <v>-</v>
      </c>
      <c r="F33" s="112"/>
      <c r="G33" s="112"/>
    </row>
    <row r="34" spans="1:7" ht="14.45">
      <c r="A34" s="12" t="s">
        <v>198</v>
      </c>
      <c r="B34" s="116">
        <v>0</v>
      </c>
      <c r="C34" s="116"/>
      <c r="D34" s="116">
        <f t="shared" si="3"/>
        <v>0</v>
      </c>
      <c r="E34" s="103" t="str">
        <f t="shared" si="5"/>
        <v>-</v>
      </c>
      <c r="F34" s="112"/>
      <c r="G34" s="112"/>
    </row>
    <row r="35" spans="1:7" ht="14.45">
      <c r="A35" s="12" t="s">
        <v>199</v>
      </c>
      <c r="B35" s="116">
        <v>0</v>
      </c>
      <c r="C35" s="116"/>
      <c r="D35" s="116">
        <f t="shared" si="3"/>
        <v>0</v>
      </c>
      <c r="E35" s="103" t="str">
        <f t="shared" si="5"/>
        <v>-</v>
      </c>
      <c r="F35" s="114"/>
      <c r="G35" s="114"/>
    </row>
    <row r="36" spans="1:7" ht="14.45">
      <c r="A36" s="13" t="s">
        <v>200</v>
      </c>
      <c r="B36" s="123">
        <v>275677</v>
      </c>
      <c r="C36" s="123">
        <f>SUM(C24:C35)</f>
        <v>289610.83399999997</v>
      </c>
      <c r="D36" s="123">
        <f>SUM(D24:D35)</f>
        <v>-13933.833999999973</v>
      </c>
      <c r="E36" s="124">
        <f t="shared" si="4"/>
        <v>-4.811226778898739E-2</v>
      </c>
      <c r="F36" s="124"/>
      <c r="G36" s="125"/>
    </row>
  </sheetData>
  <mergeCells count="3">
    <mergeCell ref="A1:E1"/>
    <mergeCell ref="A4:E4"/>
    <mergeCell ref="A22:G22"/>
  </mergeCells>
  <pageMargins left="0.7" right="0.7" top="0.75" bottom="0.75" header="0.3" footer="0.3"/>
  <pageSetup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717579-73AE-4F24-A963-CB9C0DCFCFAF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2024-04-05T07:53:57Z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