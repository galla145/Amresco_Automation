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Microsoft Teams Chat Files/"/>
    </mc:Choice>
  </mc:AlternateContent>
  <xr:revisionPtr revIDLastSave="1" documentId="13_ncr:1_{1A8DD961-1971-4898-9741-0B333F51D720}" xr6:coauthVersionLast="47" xr6:coauthVersionMax="47" xr10:uidLastSave="{F520D6A1-D7EF-42DA-B7ED-15BE5BCAAA0C}"/>
  <bookViews>
    <workbookView xWindow="-98" yWindow="-98" windowWidth="21795" windowHeight="12975" activeTab="1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6" i="2"/>
  <c r="F5" i="2"/>
  <c r="C5" i="2"/>
  <c r="C6" i="2"/>
  <c r="D6" i="2" s="1"/>
  <c r="E6" i="2" s="1"/>
  <c r="C7" i="2"/>
  <c r="C8" i="2"/>
  <c r="B8" i="2"/>
  <c r="B7" i="2"/>
  <c r="B6" i="2"/>
  <c r="B5" i="2"/>
  <c r="G5" i="2" s="1"/>
  <c r="H5" i="2" s="1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D5" i="2" l="1"/>
  <c r="E5" i="2" s="1"/>
  <c r="G6" i="2"/>
  <c r="H6" i="2" s="1"/>
  <c r="G7" i="2"/>
  <c r="H7" i="2" s="1"/>
  <c r="D8" i="2"/>
  <c r="E8" i="2" s="1"/>
  <c r="G8" i="2"/>
  <c r="H8" i="2" s="1"/>
  <c r="D7" i="2"/>
  <c r="E7" i="2" s="1"/>
  <c r="B9" i="2"/>
  <c r="F9" i="2"/>
  <c r="C9" i="2"/>
  <c r="G17" i="1"/>
  <c r="H17" i="1" s="1"/>
  <c r="D17" i="1"/>
  <c r="E17" i="1" s="1"/>
  <c r="D9" i="2" l="1"/>
  <c r="E9" i="2" s="1"/>
  <c r="G9" i="2"/>
  <c r="H9" i="2" s="1"/>
</calcChain>
</file>

<file path=xl/sharedStrings.xml><?xml version="1.0" encoding="utf-8"?>
<sst xmlns="http://schemas.openxmlformats.org/spreadsheetml/2006/main" count="44" uniqueCount="33">
  <si>
    <t>PIII - Electric St, Athol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</si>
  <si>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</si>
  <si>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</si>
  <si>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</si>
  <si>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</si>
  <si>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</si>
  <si>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</si>
  <si>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</si>
  <si>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</si>
  <si>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</si>
  <si>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</si>
  <si>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</si>
  <si>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</si>
  <si>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</si>
  <si>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</si>
  <si>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</si>
  <si>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</si>
  <si>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</si>
  <si>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</si>
  <si>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</si>
  <si>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Feb</t>
  </si>
  <si>
    <t xml:space="preserve"> 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</si>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</sst>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b/>
      <sz val="20"/>
      <name val="Arial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4" fillId="0" borderId="14" xfId="0" applyFont="1" applyBorder="1" applyAlignment="1">
      <alignment horizontal="left" vertical="center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/>
    </xf>
    <xf numFmtId="9" fontId="6" fillId="3" borderId="1" xfId="2" applyFont="1" applyFill="1" applyBorder="1" applyAlignment="1">
      <alignment horizontal="center"/>
    </xf>
    <xf numFmtId="3" fontId="6" fillId="5" borderId="1" xfId="1" applyNumberFormat="1" applyFont="1" applyFill="1" applyBorder="1"/>
    <xf numFmtId="9" fontId="6" fillId="5" borderId="1" xfId="2" applyFont="1" applyFill="1" applyBorder="1" applyAlignment="1">
      <alignment horizontal="center"/>
    </xf>
    <xf numFmtId="9" fontId="6" fillId="7" borderId="1" xfId="2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6" fillId="3" borderId="3" xfId="2" applyFont="1" applyFill="1" applyBorder="1" applyAlignment="1">
      <alignment horizontal="center"/>
    </xf>
    <xf numFmtId="3" fontId="6" fillId="5" borderId="4" xfId="1" applyNumberFormat="1" applyFont="1" applyFill="1" applyBorder="1"/>
    <xf numFmtId="3" fontId="6" fillId="5" borderId="1" xfId="1" applyNumberFormat="1" applyFont="1" applyFill="1" applyBorder="1" applyAlignment="1">
      <alignment vertical="center"/>
    </xf>
    <xf numFmtId="9" fontId="6" fillId="7" borderId="1" xfId="2" applyFont="1" applyFill="1" applyBorder="1" applyAlignment="1">
      <alignment horizontal="center" vertical="center"/>
    </xf>
    <xf numFmtId="9" fontId="6" fillId="7" borderId="1" xfId="2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 vertical="top"/>
    </xf>
    <xf numFmtId="3" fontId="6" fillId="4" borderId="2" xfId="0" applyNumberFormat="1" applyFont="1" applyFill="1" applyBorder="1"/>
    <xf numFmtId="3" fontId="6" fillId="6" borderId="2" xfId="0" applyNumberFormat="1" applyFont="1" applyFill="1" applyBorder="1"/>
    <xf numFmtId="0" fontId="5" fillId="0" borderId="19" xfId="0" applyFont="1" applyBorder="1" applyAlignment="1">
      <alignment horizontal="center"/>
    </xf>
    <xf numFmtId="3" fontId="6" fillId="3" borderId="20" xfId="0" applyNumberFormat="1" applyFont="1" applyFill="1" applyBorder="1" applyAlignment="1">
      <alignment horizontal="right"/>
    </xf>
    <xf numFmtId="9" fontId="6" fillId="3" borderId="19" xfId="2" applyFont="1" applyFill="1" applyBorder="1" applyAlignment="1">
      <alignment horizontal="center"/>
    </xf>
    <xf numFmtId="3" fontId="6" fillId="5" borderId="21" xfId="1" applyNumberFormat="1" applyFont="1" applyFill="1" applyBorder="1"/>
    <xf numFmtId="3" fontId="6" fillId="5" borderId="20" xfId="1" applyNumberFormat="1" applyFont="1" applyFill="1" applyBorder="1"/>
    <xf numFmtId="9" fontId="6" fillId="5" borderId="20" xfId="2" applyFont="1" applyFill="1" applyBorder="1" applyAlignment="1">
      <alignment horizontal="center"/>
    </xf>
    <xf numFmtId="9" fontId="6" fillId="7" borderId="20" xfId="2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3" fontId="10" fillId="4" borderId="2" xfId="0" applyNumberFormat="1" applyFont="1" applyFill="1" applyBorder="1" applyAlignment="1">
      <alignment horizontal="right"/>
    </xf>
    <xf numFmtId="3" fontId="6" fillId="3" borderId="2" xfId="0" applyNumberFormat="1" applyFont="1" applyFill="1" applyBorder="1" applyAlignment="1">
      <alignment horizontal="right"/>
    </xf>
    <xf numFmtId="9" fontId="6" fillId="3" borderId="2" xfId="2" applyFont="1" applyFill="1" applyBorder="1" applyAlignment="1">
      <alignment horizontal="center"/>
    </xf>
    <xf numFmtId="3" fontId="10" fillId="6" borderId="2" xfId="0" applyNumberFormat="1" applyFont="1" applyFill="1" applyBorder="1"/>
    <xf numFmtId="3" fontId="10" fillId="6" borderId="2" xfId="0" applyNumberFormat="1" applyFont="1" applyFill="1" applyBorder="1" applyAlignment="1">
      <alignment horizontal="right" vertic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4" fillId="3" borderId="24" xfId="0" applyFont="1" applyFill="1" applyBorder="1" applyAlignment="1">
      <alignment horizontal="left" vertical="center" wrapText="1"/>
    </xf>
    <xf numFmtId="9" fontId="4" fillId="3" borderId="25" xfId="2" applyFont="1" applyFill="1" applyBorder="1" applyAlignment="1">
      <alignment horizontal="left" vertical="center" wrapText="1"/>
    </xf>
    <xf numFmtId="0" fontId="4" fillId="5" borderId="24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 wrapText="1"/>
    </xf>
    <xf numFmtId="3" fontId="10" fillId="4" borderId="13" xfId="0" applyNumberFormat="1" applyFont="1" applyFill="1" applyBorder="1" applyAlignment="1">
      <alignment horizontal="right"/>
    </xf>
    <xf numFmtId="3" fontId="6" fillId="3" borderId="13" xfId="0" applyNumberFormat="1" applyFont="1" applyFill="1" applyBorder="1" applyAlignment="1">
      <alignment horizontal="right"/>
    </xf>
    <xf numFmtId="9" fontId="6" fillId="3" borderId="13" xfId="2" applyFont="1" applyFill="1" applyBorder="1" applyAlignment="1">
      <alignment horizontal="center"/>
    </xf>
    <xf numFmtId="3" fontId="10" fillId="6" borderId="13" xfId="0" applyNumberFormat="1" applyFont="1" applyFill="1" applyBorder="1"/>
    <xf numFmtId="0" fontId="12" fillId="7" borderId="26" xfId="0" applyFont="1" applyFill="1" applyBorder="1" applyAlignment="1">
      <alignment horizontal="left" vertical="top" wrapText="1"/>
    </xf>
    <xf numFmtId="0" fontId="12" fillId="7" borderId="13" xfId="0" applyFont="1" applyFill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11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>
      <calculatedColumnFormula>IFERROR(G5/F5, 0)</calculatedColumnFormula>
    </tableColumn>
    <tableColumn id="9" xr3:uid="{91668AC9-A528-46F6-8BE5-EB036F59A18E}" name="Notes" dataDxfId="5"/>
    <tableColumn id="10" xr3:uid="{CD4FC54A-2343-4F00-AB7D-88E561824952}" name="Service Reques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topLeftCell="A3" workbookViewId="0">
      <selection activeCell="D23" sqref="D23"/>
    </sheetView>
  </sheetViews>
  <sheetFormatPr defaultRowHeight="14.25" x14ac:dyDescent="0.45"/>
  <cols>
    <col min="1" max="1" width="22" customWidth="1"/>
    <col min="2" max="2" width="11.46484375" customWidth="1"/>
    <col min="3" max="3" width="12.53125" customWidth="1"/>
    <col min="4" max="4" width="15.19921875" customWidth="1"/>
    <col min="5" max="5" width="13.796875" customWidth="1"/>
    <col min="6" max="6" width="12.53125" customWidth="1"/>
    <col min="7" max="7" width="17.19921875" customWidth="1"/>
    <col min="8" max="8" width="16" customWidth="1"/>
  </cols>
  <sheetData>
    <row r="1" spans="1:8" ht="25.5" x14ac:dyDescent="0.45">
      <c r="A1" s="69" t="s">
        <v>0</v>
      </c>
      <c r="B1" s="69"/>
      <c r="C1" s="69"/>
      <c r="D1" s="69"/>
      <c r="E1" s="69"/>
      <c r="F1" s="69"/>
      <c r="G1" s="69"/>
      <c r="H1" s="69"/>
    </row>
    <row r="3" spans="1:8" ht="15.4" x14ac:dyDescent="0.45">
      <c r="A3" s="70" t="s">
        <v>1</v>
      </c>
      <c r="B3" s="71"/>
      <c r="C3" s="71"/>
      <c r="D3" s="71"/>
      <c r="E3" s="72"/>
      <c r="F3" s="73" t="s">
        <v>2</v>
      </c>
      <c r="G3" s="74"/>
      <c r="H3" s="75"/>
    </row>
    <row r="4" spans="1:8" x14ac:dyDescent="0.45">
      <c r="A4" s="31" t="s">
        <v>3</v>
      </c>
      <c r="B4" s="47" t="s">
        <v>4</v>
      </c>
      <c r="C4" s="47" t="s">
        <v>5</v>
      </c>
      <c r="D4" s="47" t="s">
        <v>6</v>
      </c>
      <c r="E4" s="48" t="s">
        <v>7</v>
      </c>
      <c r="F4" s="49" t="s">
        <v>8</v>
      </c>
      <c r="G4" s="50" t="s">
        <v>9</v>
      </c>
      <c r="H4" s="51" t="s">
        <v>10</v>
      </c>
    </row>
    <row r="5" spans="1:8" x14ac:dyDescent="0.45">
      <c r="A5" s="32" t="s">
        <v>11</v>
      </c>
      <c r="B5" s="33">
        <f>SUM(Monthly!B5:B7)</f>
        <v>3705</v>
      </c>
      <c r="C5" s="33">
        <f>SUM(Monthly!C5:C7)</f>
        <v>7565.6319999999996</v>
      </c>
      <c r="D5" s="34">
        <f>B5-C5</f>
        <v>-3860.6319999999996</v>
      </c>
      <c r="E5" s="35">
        <f t="shared" ref="E5:E8" si="0">IFERROR(D5/C5, 0)</f>
        <v>-0.5102854592980467</v>
      </c>
      <c r="F5" s="36">
        <f>SUM(Monthly!F5:F7)</f>
        <v>11180.68</v>
      </c>
      <c r="G5" s="37">
        <f>B5-F5</f>
        <v>-7475.68</v>
      </c>
      <c r="H5" s="38">
        <f t="shared" ref="H5:H8" si="1">IFERROR(G5/F5, 0)</f>
        <v>-0.66862480636240373</v>
      </c>
    </row>
    <row r="6" spans="1:8" x14ac:dyDescent="0.45">
      <c r="A6" s="39" t="s">
        <v>12</v>
      </c>
      <c r="B6" s="33">
        <f>SUM(Monthly!B8:B10)</f>
        <v>0</v>
      </c>
      <c r="C6" s="33">
        <f>SUM(Monthly!C8:C10)</f>
        <v>0</v>
      </c>
      <c r="D6" s="34">
        <f t="shared" ref="D6:D8" si="2">B6-C6</f>
        <v>0</v>
      </c>
      <c r="E6" s="40">
        <f t="shared" si="0"/>
        <v>0</v>
      </c>
      <c r="F6" s="41">
        <f>SUM(Monthly!F8:F10)</f>
        <v>0</v>
      </c>
      <c r="G6" s="37">
        <f t="shared" ref="G6:G8" si="3">B6-F6</f>
        <v>0</v>
      </c>
      <c r="H6" s="38">
        <f t="shared" si="1"/>
        <v>0</v>
      </c>
    </row>
    <row r="7" spans="1:8" x14ac:dyDescent="0.45">
      <c r="A7" s="39" t="s">
        <v>13</v>
      </c>
      <c r="B7" s="34">
        <f>SUM(Monthly!B11:B13)</f>
        <v>0</v>
      </c>
      <c r="C7" s="34">
        <f>SUM(Monthly!C11:C13)</f>
        <v>0</v>
      </c>
      <c r="D7" s="34">
        <f t="shared" si="2"/>
        <v>0</v>
      </c>
      <c r="E7" s="40">
        <f t="shared" si="0"/>
        <v>0</v>
      </c>
      <c r="F7" s="42">
        <f>SUM(Monthly!F11:F13)</f>
        <v>0</v>
      </c>
      <c r="G7" s="37">
        <f t="shared" si="3"/>
        <v>0</v>
      </c>
      <c r="H7" s="38">
        <f t="shared" si="1"/>
        <v>0</v>
      </c>
    </row>
    <row r="8" spans="1:8" x14ac:dyDescent="0.45">
      <c r="A8" s="39" t="s">
        <v>14</v>
      </c>
      <c r="B8" s="34">
        <f>SUM(Monthly!B14:B16)</f>
        <v>0</v>
      </c>
      <c r="C8" s="34">
        <f>SUM(Monthly!C14:C16)</f>
        <v>0</v>
      </c>
      <c r="D8" s="34">
        <f t="shared" si="2"/>
        <v>0</v>
      </c>
      <c r="E8" s="40">
        <f t="shared" si="0"/>
        <v>0</v>
      </c>
      <c r="F8" s="37">
        <f>SUM(Monthly!F14:F16)</f>
        <v>0</v>
      </c>
      <c r="G8" s="37">
        <f t="shared" si="3"/>
        <v>0</v>
      </c>
      <c r="H8" s="38">
        <f t="shared" si="1"/>
        <v>0</v>
      </c>
    </row>
    <row r="9" spans="1:8" x14ac:dyDescent="0.45">
      <c r="A9" s="43" t="s">
        <v>15</v>
      </c>
      <c r="B9" s="44">
        <f>SUM(B5:B8)</f>
        <v>3705</v>
      </c>
      <c r="C9" s="44">
        <f>SUM(C5:C8)</f>
        <v>7565.6319999999996</v>
      </c>
      <c r="D9" s="44">
        <f>B9-C9</f>
        <v>-3860.6319999999996</v>
      </c>
      <c r="E9" s="45">
        <f>IFERROR(D9/C9, 0)</f>
        <v>-0.5102854592980467</v>
      </c>
      <c r="F9" s="44">
        <f>SUM(F5:F8)</f>
        <v>11180.68</v>
      </c>
      <c r="G9" s="44">
        <f>B9-F9</f>
        <v>-7475.68</v>
      </c>
      <c r="H9" s="46">
        <f>IFERROR(G9/F9, 0)</f>
        <v>-0.66862480636240373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tabSelected="1" workbookViewId="0">
      <selection activeCell="I5" sqref="I5"/>
    </sheetView>
  </sheetViews>
  <sheetFormatPr defaultRowHeight="14.25" x14ac:dyDescent="0.45"/>
  <cols>
    <col min="1" max="1" width="10.46484375" customWidth="1"/>
    <col min="2" max="2" width="10.53125" customWidth="1"/>
    <col min="3" max="3" width="11" bestFit="1" customWidth="1"/>
    <col min="4" max="4" width="15" customWidth="1"/>
    <col min="5" max="5" width="13.19921875" customWidth="1"/>
    <col min="6" max="6" width="12.53125" customWidth="1"/>
    <col min="7" max="7" width="17.1328125" customWidth="1"/>
    <col min="8" max="8" width="15.19921875" customWidth="1"/>
    <col min="9" max="9" width="49.1328125" customWidth="1"/>
    <col min="10" max="10" width="18.53125" bestFit="1" customWidth="1"/>
  </cols>
  <sheetData>
    <row r="1" spans="1:10" ht="30.75" customHeight="1" x14ac:dyDescent="0.7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</row>
    <row r="2" spans="1:10" ht="14.65" thickBot="1" x14ac:dyDescent="0.5"/>
    <row r="3" spans="1:10" ht="15.4" x14ac:dyDescent="0.45">
      <c r="A3" s="70" t="s">
        <v>1</v>
      </c>
      <c r="B3" s="71"/>
      <c r="C3" s="71"/>
      <c r="D3" s="71"/>
      <c r="E3" s="72"/>
      <c r="F3" s="73" t="s">
        <v>2</v>
      </c>
      <c r="G3" s="74"/>
      <c r="H3" s="75"/>
      <c r="I3" s="76" t="s">
        <v>16</v>
      </c>
      <c r="J3" s="77"/>
    </row>
    <row r="4" spans="1:10" ht="14.65" thickBot="1" x14ac:dyDescent="0.5">
      <c r="A4" s="1" t="s">
        <v>17</v>
      </c>
      <c r="B4" s="59" t="s">
        <v>4</v>
      </c>
      <c r="C4" s="59" t="s">
        <v>5</v>
      </c>
      <c r="D4" s="59" t="s">
        <v>6</v>
      </c>
      <c r="E4" s="60" t="s">
        <v>7</v>
      </c>
      <c r="F4" s="61" t="s">
        <v>8</v>
      </c>
      <c r="G4" s="62" t="s">
        <v>9</v>
      </c>
      <c r="H4" s="2" t="s">
        <v>10</v>
      </c>
      <c r="I4" s="3" t="s">
        <v>16</v>
      </c>
      <c r="J4" s="4" t="s">
        <v>18</v>
      </c>
    </row>
    <row r="5" spans="1:10" x14ac:dyDescent="0.45">
      <c r="A5" s="57" t="s">
        <v>19</v>
      </c>
      <c r="B5" s="63">
        <v>3705</v>
      </c>
      <c r="C5" s="63">
        <v>7565.6319999999996</v>
      </c>
      <c r="D5" s="64">
        <f>B5-C5</f>
        <v>-3860.6319999999996</v>
      </c>
      <c r="E5" s="65">
        <f t="shared" ref="E5:E16" si="0">IFERROR(D5/C5, 0)</f>
        <v>-0.5102854592980467</v>
      </c>
      <c r="F5" s="66">
        <v>11180.68</v>
      </c>
      <c r="G5" s="12">
        <f>B5-F5</f>
        <v>-7475.68</v>
      </c>
      <c r="H5" s="8">
        <f t="shared" ref="H5:H16" si="1">IFERROR(G5/F5, 0)</f>
        <v>-0.66862480636240373</v>
      </c>
      <c r="I5" s="67"/>
      <c r="J5" s="68"/>
    </row>
    <row r="6" spans="1:10" x14ac:dyDescent="0.45">
      <c r="A6" s="58" t="s">
        <v>20</v>
      </c>
      <c r="B6" s="52"/>
      <c r="C6" s="52"/>
      <c r="D6" s="53">
        <f t="shared" ref="D6:D10" si="2">B6-C6</f>
        <v>0</v>
      </c>
      <c r="E6" s="54">
        <f t="shared" si="0"/>
        <v>0</v>
      </c>
      <c r="F6" s="55"/>
      <c r="G6" s="12">
        <f t="shared" ref="G6:G16" si="3">B6-F6</f>
        <v>0</v>
      </c>
      <c r="H6" s="8">
        <f t="shared" si="1"/>
        <v>0</v>
      </c>
      <c r="I6" s="9"/>
      <c r="J6" s="9"/>
    </row>
    <row r="7" spans="1:10" x14ac:dyDescent="0.45">
      <c r="A7" s="58" t="s">
        <v>22</v>
      </c>
      <c r="B7" s="52"/>
      <c r="C7" s="52"/>
      <c r="D7" s="53">
        <f t="shared" si="2"/>
        <v>0</v>
      </c>
      <c r="E7" s="54">
        <f t="shared" si="0"/>
        <v>0</v>
      </c>
      <c r="F7" s="56"/>
      <c r="G7" s="12">
        <f t="shared" si="3"/>
        <v>0</v>
      </c>
      <c r="H7" s="8">
        <f t="shared" si="1"/>
        <v>0</v>
      </c>
      <c r="I7" s="14"/>
      <c r="J7" s="14"/>
    </row>
    <row r="8" spans="1:10" x14ac:dyDescent="0.45">
      <c r="A8" s="58" t="s">
        <v>23</v>
      </c>
      <c r="B8" s="52"/>
      <c r="C8" s="52"/>
      <c r="D8" s="53">
        <f t="shared" si="2"/>
        <v>0</v>
      </c>
      <c r="E8" s="54">
        <f t="shared" si="0"/>
        <v>0</v>
      </c>
      <c r="F8" s="55"/>
      <c r="G8" s="12">
        <f t="shared" si="3"/>
        <v>0</v>
      </c>
      <c r="H8" s="8">
        <f t="shared" si="1"/>
        <v>0</v>
      </c>
      <c r="I8" s="9"/>
      <c r="J8" s="9"/>
    </row>
    <row r="9" spans="1:10" x14ac:dyDescent="0.45">
      <c r="A9" s="58" t="s">
        <v>24</v>
      </c>
      <c r="B9" s="52"/>
      <c r="C9" s="52"/>
      <c r="D9" s="53">
        <f t="shared" si="2"/>
        <v>0</v>
      </c>
      <c r="E9" s="54">
        <f t="shared" si="0"/>
        <v>0</v>
      </c>
      <c r="F9" s="55"/>
      <c r="G9" s="12">
        <f t="shared" si="3"/>
        <v>0</v>
      </c>
      <c r="H9" s="8">
        <f t="shared" si="1"/>
        <v>0</v>
      </c>
      <c r="I9" s="15"/>
      <c r="J9" s="16"/>
    </row>
    <row r="10" spans="1:10" x14ac:dyDescent="0.45">
      <c r="A10" s="58" t="s">
        <v>25</v>
      </c>
      <c r="B10" s="52"/>
      <c r="C10" s="52"/>
      <c r="D10" s="53">
        <f t="shared" si="2"/>
        <v>0</v>
      </c>
      <c r="E10" s="54">
        <f t="shared" si="0"/>
        <v>0</v>
      </c>
      <c r="F10" s="55"/>
      <c r="G10" s="12">
        <f t="shared" si="3"/>
        <v>0</v>
      </c>
      <c r="H10" s="8">
        <f t="shared" si="1"/>
        <v>0</v>
      </c>
      <c r="I10" s="9"/>
      <c r="J10" s="9"/>
    </row>
    <row r="11" spans="1:10" x14ac:dyDescent="0.45">
      <c r="A11" s="10" t="s">
        <v>26</v>
      </c>
      <c r="B11" s="5"/>
      <c r="C11" s="5"/>
      <c r="D11" s="5">
        <f t="shared" ref="D11:D16" si="4">B11-C11</f>
        <v>0</v>
      </c>
      <c r="E11" s="6">
        <f t="shared" si="0"/>
        <v>0</v>
      </c>
      <c r="F11" s="12"/>
      <c r="G11" s="7">
        <f t="shared" si="3"/>
        <v>0</v>
      </c>
      <c r="H11" s="8">
        <f t="shared" si="1"/>
        <v>0</v>
      </c>
      <c r="I11" s="9"/>
      <c r="J11" s="9"/>
    </row>
    <row r="12" spans="1:10" x14ac:dyDescent="0.45">
      <c r="A12" s="10" t="s">
        <v>27</v>
      </c>
      <c r="B12" s="5"/>
      <c r="C12" s="5"/>
      <c r="D12" s="5">
        <f t="shared" si="4"/>
        <v>0</v>
      </c>
      <c r="E12" s="11">
        <f t="shared" si="0"/>
        <v>0</v>
      </c>
      <c r="F12" s="13"/>
      <c r="G12" s="7">
        <f t="shared" si="3"/>
        <v>0</v>
      </c>
      <c r="H12" s="8">
        <f t="shared" si="1"/>
        <v>0</v>
      </c>
      <c r="I12" s="14"/>
      <c r="J12" s="14"/>
    </row>
    <row r="13" spans="1:10" x14ac:dyDescent="0.45">
      <c r="A13" s="10" t="s">
        <v>28</v>
      </c>
      <c r="B13" s="5"/>
      <c r="C13" s="5"/>
      <c r="D13" s="5">
        <f t="shared" si="4"/>
        <v>0</v>
      </c>
      <c r="E13" s="11">
        <f t="shared" si="0"/>
        <v>0</v>
      </c>
      <c r="F13" s="7"/>
      <c r="G13" s="7">
        <f t="shared" si="3"/>
        <v>0</v>
      </c>
      <c r="H13" s="8">
        <f t="shared" si="1"/>
        <v>0</v>
      </c>
      <c r="I13" s="9"/>
      <c r="J13" s="9"/>
    </row>
    <row r="14" spans="1:10" x14ac:dyDescent="0.45">
      <c r="A14" s="10" t="s">
        <v>29</v>
      </c>
      <c r="B14" s="5"/>
      <c r="C14" s="5"/>
      <c r="D14" s="5">
        <f t="shared" si="4"/>
        <v>0</v>
      </c>
      <c r="E14" s="11">
        <f t="shared" si="0"/>
        <v>0</v>
      </c>
      <c r="F14" s="7"/>
      <c r="G14" s="7">
        <f t="shared" si="3"/>
        <v>0</v>
      </c>
      <c r="H14" s="8">
        <f t="shared" si="1"/>
        <v>0</v>
      </c>
      <c r="I14" s="15"/>
      <c r="J14" s="16"/>
    </row>
    <row r="15" spans="1:10" x14ac:dyDescent="0.45">
      <c r="A15" s="10" t="s">
        <v>30</v>
      </c>
      <c r="B15" s="17"/>
      <c r="C15" s="17"/>
      <c r="D15" s="5">
        <f t="shared" si="4"/>
        <v>0</v>
      </c>
      <c r="E15" s="11">
        <f t="shared" si="0"/>
        <v>0</v>
      </c>
      <c r="F15" s="18"/>
      <c r="G15" s="7">
        <f t="shared" si="3"/>
        <v>0</v>
      </c>
      <c r="H15" s="8">
        <f t="shared" si="1"/>
        <v>0</v>
      </c>
      <c r="I15" s="9"/>
      <c r="J15" s="9"/>
    </row>
    <row r="16" spans="1:10" x14ac:dyDescent="0.45">
      <c r="A16" s="19" t="s">
        <v>31</v>
      </c>
      <c r="B16" s="20"/>
      <c r="C16" s="20"/>
      <c r="D16" s="20">
        <f t="shared" si="4"/>
        <v>0</v>
      </c>
      <c r="E16" s="21">
        <f t="shared" si="0"/>
        <v>0</v>
      </c>
      <c r="F16" s="22"/>
      <c r="G16" s="23">
        <f t="shared" si="3"/>
        <v>0</v>
      </c>
      <c r="H16" s="24">
        <f t="shared" si="1"/>
        <v>0</v>
      </c>
      <c r="I16" s="25"/>
      <c r="J16" s="25" t="s">
        <v>21</v>
      </c>
    </row>
    <row r="17" spans="1:10" x14ac:dyDescent="0.45">
      <c r="A17" s="26" t="s">
        <v>32</v>
      </c>
      <c r="B17" s="27">
        <f>SUM(B5:B16)</f>
        <v>3705</v>
      </c>
      <c r="C17" s="27">
        <f t="shared" ref="C17:F17" si="5">SUM(C5:C16)</f>
        <v>7565.6319999999996</v>
      </c>
      <c r="D17" s="27">
        <f>B17-C17</f>
        <v>-3860.6319999999996</v>
      </c>
      <c r="E17" s="28">
        <f>IFERROR(D17/C17, 0)</f>
        <v>-0.5102854592980467</v>
      </c>
      <c r="F17" s="27">
        <f t="shared" si="5"/>
        <v>11180.68</v>
      </c>
      <c r="G17" s="27">
        <f>B17-F17</f>
        <v>-7475.68</v>
      </c>
      <c r="H17" s="29">
        <f>IFERROR(G17/F17, 0)</f>
        <v>-0.66862480636240373</v>
      </c>
      <c r="I17" s="30"/>
      <c r="J17" s="30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62D3F3-466E-4CB5-836A-AAEA580B1346}"/>
</file>

<file path=customXml/itemProps2.xml><?xml version="1.0" encoding="utf-8"?>
<ds:datastoreItem xmlns:ds="http://schemas.openxmlformats.org/officeDocument/2006/customXml" ds:itemID="{D38A7339-4BA8-48E1-9706-A998B307CD95}">
  <ds:schemaRefs>
    <ds:schemaRef ds:uri="http://purl.org/dc/terms/"/>
    <ds:schemaRef ds:uri="http://schemas.microsoft.com/office/2006/documentManagement/types"/>
    <ds:schemaRef ds:uri="ddcd8467-55ca-498e-a9f8-86795db5db7a"/>
    <ds:schemaRef ds:uri="7f39bfab-6331-41a1-b6d4-5b974a316951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Jayasri  Garapati [Libsys]</cp:lastModifiedBy>
  <cp:revision/>
  <dcterms:created xsi:type="dcterms:W3CDTF">2023-06-15T21:59:03Z</dcterms:created>
  <dcterms:modified xsi:type="dcterms:W3CDTF">2024-02-06T06:28:36Z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