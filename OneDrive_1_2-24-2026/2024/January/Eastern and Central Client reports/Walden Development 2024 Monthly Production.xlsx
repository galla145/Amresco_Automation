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6" documentId="13_ncr:1_{7E1332A8-D909-42F5-BBCD-5F15C0B1CDAE}" xr6:coauthVersionLast="47" xr6:coauthVersionMax="47" xr10:uidLastSave="{5B6CE4FE-0FC7-4BC9-BB0F-3CD0FF8AB069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G15" i="1"/>
  <c r="H15" i="1" s="1"/>
  <c r="G5" i="1"/>
  <c r="H5" i="1" s="1"/>
  <c r="E6" i="1"/>
  <c r="G6" i="1"/>
  <c r="H6" i="1" s="1"/>
  <c r="G7" i="1"/>
  <c r="H7" i="1" s="1"/>
  <c r="G8" i="1"/>
  <c r="H8" i="1"/>
  <c r="E9" i="1"/>
  <c r="G9" i="1"/>
  <c r="H9" i="1" s="1"/>
  <c r="G10" i="1"/>
  <c r="H10" i="1"/>
  <c r="E11" i="1"/>
  <c r="G11" i="1"/>
  <c r="H11" i="1" s="1"/>
  <c r="E12" i="1"/>
  <c r="G12" i="1"/>
  <c r="H12" i="1" s="1"/>
  <c r="G13" i="1"/>
  <c r="H13" i="1"/>
  <c r="D5" i="1"/>
  <c r="E5" i="1" s="1"/>
  <c r="D6" i="1"/>
  <c r="D7" i="1"/>
  <c r="E7" i="1" s="1"/>
  <c r="D8" i="1"/>
  <c r="E8" i="1" s="1"/>
  <c r="D9" i="1"/>
  <c r="D10" i="1"/>
  <c r="E10" i="1" s="1"/>
  <c r="D11" i="1"/>
  <c r="D12" i="1"/>
  <c r="D13" i="1"/>
  <c r="E13" i="1" s="1"/>
  <c r="E16" i="1"/>
  <c r="F8" i="2"/>
  <c r="F7" i="2"/>
  <c r="F6" i="2"/>
  <c r="F5" i="2"/>
  <c r="C5" i="2"/>
  <c r="C6" i="2"/>
  <c r="C7" i="2"/>
  <c r="C8" i="2"/>
  <c r="C9" i="2" s="1"/>
  <c r="B8" i="2"/>
  <c r="D8" i="2" s="1"/>
  <c r="E8" i="2" s="1"/>
  <c r="B7" i="2"/>
  <c r="D7" i="2" s="1"/>
  <c r="E7" i="2" s="1"/>
  <c r="B6" i="2"/>
  <c r="B5" i="2"/>
  <c r="D6" i="2"/>
  <c r="E6" i="2" s="1"/>
  <c r="D5" i="2"/>
  <c r="E5" i="2" s="1"/>
  <c r="F17" i="1"/>
  <c r="G14" i="1"/>
  <c r="H14" i="1" s="1"/>
  <c r="G16" i="1"/>
  <c r="H16" i="1" s="1"/>
  <c r="D14" i="1"/>
  <c r="E14" i="1" s="1"/>
  <c r="D16" i="1"/>
  <c r="C17" i="1"/>
  <c r="B17" i="1"/>
  <c r="G7" i="2" l="1"/>
  <c r="H7" i="2" s="1"/>
  <c r="G5" i="2"/>
  <c r="H5" i="2" s="1"/>
  <c r="G6" i="2"/>
  <c r="H6" i="2" s="1"/>
  <c r="G8" i="2"/>
  <c r="H8" i="2" s="1"/>
  <c r="B9" i="2"/>
  <c r="D9" i="2" s="1"/>
  <c r="E9" i="2" s="1"/>
  <c r="F9" i="2"/>
  <c r="G17" i="1"/>
  <c r="H17" i="1" s="1"/>
  <c r="D17" i="1"/>
  <c r="E17" i="1" s="1"/>
  <c r="G9" i="2" l="1"/>
  <c r="H9" i="2" s="1"/>
</calcChain>
</file>

<file path=xl/sharedStrings.xml><?xml version="1.0" encoding="utf-8"?>
<sst xmlns="http://schemas.openxmlformats.org/spreadsheetml/2006/main" count="45" uniqueCount="34">
  <si>
    <t>Littlefield Solar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</si>
  <si>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</si>
  <si>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</si>
  <si>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</si>
  <si>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</si>
  <si>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</si>
  <si>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</si>
  <si>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</si>
  <si>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</si>
  <si>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</si>
  <si>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</si>
  <si>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</si>
  <si>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</si>
  <si>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</si>
  <si>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</si>
  <si>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</si>
  <si>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</si>
  <si>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</si>
  <si>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</si>
  <si>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</si>
  <si>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1. SR079744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</si>
  <si>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</si>
  <si>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</si>
  <si>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</si>
  <si>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</si>
  <si>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</si>
  <si>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</si>
  <si>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</si>
  <si>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</si>
  <si>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</si>
  <si>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</si>
  <si>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</si>
  <si>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</si>
  <si>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22 was offline on 01/10,01/25 to 01/27, 01/29, 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</si>
</sst>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3" fontId="8" fillId="2" borderId="3" xfId="0" applyNumberFormat="1" applyFont="1" applyFill="1" applyBorder="1" applyAlignment="1">
      <alignment horizontal="right"/>
    </xf>
    <xf numFmtId="49" fontId="10" fillId="7" borderId="1" xfId="2" applyNumberFormat="1" applyFont="1" applyFill="1" applyBorder="1" applyAlignment="1">
      <alignment horizontal="left" vertical="top" wrapText="1"/>
    </xf>
    <xf numFmtId="9" fontId="8" fillId="2" borderId="3" xfId="2" applyFont="1" applyFill="1" applyBorder="1" applyAlignment="1">
      <alignment horizontal="center"/>
    </xf>
    <xf numFmtId="49" fontId="10" fillId="7" borderId="20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B31" sqref="B31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 x14ac:dyDescent="0.45">
      <c r="A1" s="53" t="s">
        <v>0</v>
      </c>
      <c r="B1" s="53"/>
      <c r="C1" s="53"/>
      <c r="D1" s="53"/>
      <c r="E1" s="53"/>
      <c r="F1" s="53"/>
      <c r="G1" s="53"/>
      <c r="H1" s="53"/>
    </row>
    <row r="3" spans="1:8" ht="15.4" x14ac:dyDescent="0.45">
      <c r="A3" s="54" t="s">
        <v>1</v>
      </c>
      <c r="B3" s="55"/>
      <c r="C3" s="55"/>
      <c r="D3" s="55"/>
      <c r="E3" s="56"/>
      <c r="F3" s="57" t="s">
        <v>2</v>
      </c>
      <c r="G3" s="58"/>
      <c r="H3" s="59"/>
    </row>
    <row r="4" spans="1:8" x14ac:dyDescent="0.45">
      <c r="A4" s="15" t="s">
        <v>3</v>
      </c>
      <c r="B4" s="29" t="s">
        <v>4</v>
      </c>
      <c r="C4" s="29" t="s">
        <v>5</v>
      </c>
      <c r="D4" s="29" t="s">
        <v>6</v>
      </c>
      <c r="E4" s="30" t="s">
        <v>7</v>
      </c>
      <c r="F4" s="31" t="s">
        <v>8</v>
      </c>
      <c r="G4" s="32" t="s">
        <v>9</v>
      </c>
      <c r="H4" s="33" t="s">
        <v>10</v>
      </c>
    </row>
    <row r="5" spans="1:8" x14ac:dyDescent="0.45">
      <c r="A5" s="16" t="s">
        <v>11</v>
      </c>
      <c r="B5" s="17">
        <f>SUM(Monthly!B5:B7)</f>
        <v>213608</v>
      </c>
      <c r="C5" s="17">
        <f>SUM(Monthly!C5:C7)</f>
        <v>396501.9</v>
      </c>
      <c r="D5" s="18">
        <f>B5-C5</f>
        <v>-182893.90000000002</v>
      </c>
      <c r="E5" s="19">
        <f t="shared" ref="E5:E8" si="0">IFERROR(D5/C5, 0)</f>
        <v>-0.46126865974664943</v>
      </c>
      <c r="F5" s="20">
        <f>SUM(Monthly!F5:F7)</f>
        <v>419715.6</v>
      </c>
      <c r="G5" s="21">
        <f>B5-F5</f>
        <v>-206107.59999999998</v>
      </c>
      <c r="H5" s="22">
        <f t="shared" ref="H5:H8" si="1">IFERROR(G5/F5, 0)</f>
        <v>-0.49106490204319303</v>
      </c>
    </row>
    <row r="6" spans="1:8" x14ac:dyDescent="0.45">
      <c r="A6" s="23" t="s">
        <v>12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 x14ac:dyDescent="0.45">
      <c r="A7" s="23" t="s">
        <v>13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 x14ac:dyDescent="0.45">
      <c r="A8" s="23" t="s">
        <v>14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 x14ac:dyDescent="0.45">
      <c r="A9" s="27" t="s">
        <v>15</v>
      </c>
      <c r="B9" s="49">
        <f>SUM(B5:B8)</f>
        <v>213608</v>
      </c>
      <c r="C9" s="49">
        <f>SUM(C5:C8)</f>
        <v>396501.9</v>
      </c>
      <c r="D9" s="49">
        <f>B9-C9</f>
        <v>-182893.90000000002</v>
      </c>
      <c r="E9" s="51">
        <f>IFERROR(D9/C9, 0)</f>
        <v>-0.46126865974664943</v>
      </c>
      <c r="F9" s="49">
        <f>SUM(F5:F8)</f>
        <v>419715.6</v>
      </c>
      <c r="G9" s="49">
        <f>B9-F9</f>
        <v>-206107.59999999998</v>
      </c>
      <c r="H9" s="28">
        <f>IFERROR(G9/F9, 0)</f>
        <v>-0.49106490204319303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5" sqref="I5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 x14ac:dyDescent="0.4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</row>
    <row r="3" spans="1:10" ht="15.4" x14ac:dyDescent="0.45">
      <c r="A3" s="54" t="s">
        <v>1</v>
      </c>
      <c r="B3" s="55"/>
      <c r="C3" s="55"/>
      <c r="D3" s="55"/>
      <c r="E3" s="56"/>
      <c r="F3" s="57" t="s">
        <v>2</v>
      </c>
      <c r="G3" s="58"/>
      <c r="H3" s="59"/>
      <c r="I3" s="60" t="s">
        <v>16</v>
      </c>
      <c r="J3" s="61"/>
    </row>
    <row r="4" spans="1:10" x14ac:dyDescent="0.45">
      <c r="A4" s="1" t="s">
        <v>17</v>
      </c>
      <c r="B4" s="2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 x14ac:dyDescent="0.45">
      <c r="A5" s="34" t="s">
        <v>19</v>
      </c>
      <c r="B5" s="35">
        <v>213608</v>
      </c>
      <c r="C5" s="35">
        <v>396501.9</v>
      </c>
      <c r="D5" s="36">
        <f t="shared" ref="D5:D13" si="0">B5-C5</f>
        <v>-182893.90000000002</v>
      </c>
      <c r="E5" s="39">
        <f t="shared" ref="E5:E13" si="1">IFERROR(D5/C5, 0)</f>
        <v>-0.46126865974664943</v>
      </c>
      <c r="F5" s="9">
        <v>419715.6</v>
      </c>
      <c r="G5" s="9">
        <f t="shared" ref="G5:G13" si="2">B5-F5</f>
        <v>-206107.59999999998</v>
      </c>
      <c r="H5" s="37">
        <f t="shared" ref="H5:H13" si="3">IFERROR(G5/F5, 0)</f>
        <v>-0.49106490204319303</v>
      </c>
      <c r="I5" s="50" t="s">
        <v>33</v>
      </c>
      <c r="J5" s="48" t="s">
        <v>20</v>
      </c>
    </row>
    <row r="6" spans="1:10" x14ac:dyDescent="0.45">
      <c r="A6" s="38" t="s">
        <v>21</v>
      </c>
      <c r="B6" s="36"/>
      <c r="C6" s="36"/>
      <c r="D6" s="36">
        <f t="shared" si="0"/>
        <v>0</v>
      </c>
      <c r="E6" s="39">
        <f t="shared" si="1"/>
        <v>0</v>
      </c>
      <c r="F6" s="9"/>
      <c r="G6" s="9">
        <f t="shared" si="2"/>
        <v>0</v>
      </c>
      <c r="H6" s="37">
        <f t="shared" si="3"/>
        <v>0</v>
      </c>
      <c r="I6" s="48"/>
      <c r="J6" s="48"/>
    </row>
    <row r="7" spans="1:10" x14ac:dyDescent="0.45">
      <c r="A7" s="38" t="s">
        <v>22</v>
      </c>
      <c r="B7" s="36"/>
      <c r="C7" s="36"/>
      <c r="D7" s="36">
        <f t="shared" si="0"/>
        <v>0</v>
      </c>
      <c r="E7" s="39">
        <f t="shared" si="1"/>
        <v>0</v>
      </c>
      <c r="F7" s="9"/>
      <c r="G7" s="9">
        <f t="shared" si="2"/>
        <v>0</v>
      </c>
      <c r="H7" s="37">
        <f t="shared" si="3"/>
        <v>0</v>
      </c>
      <c r="I7" s="48"/>
      <c r="J7" s="48"/>
    </row>
    <row r="8" spans="1:10" x14ac:dyDescent="0.45">
      <c r="A8" s="38" t="s">
        <v>23</v>
      </c>
      <c r="B8" s="36"/>
      <c r="C8" s="36"/>
      <c r="D8" s="36">
        <f t="shared" si="0"/>
        <v>0</v>
      </c>
      <c r="E8" s="39">
        <f t="shared" si="1"/>
        <v>0</v>
      </c>
      <c r="F8" s="9"/>
      <c r="G8" s="9">
        <f t="shared" si="2"/>
        <v>0</v>
      </c>
      <c r="H8" s="37">
        <f t="shared" si="3"/>
        <v>0</v>
      </c>
      <c r="I8" s="48"/>
      <c r="J8" s="48"/>
    </row>
    <row r="9" spans="1:10" x14ac:dyDescent="0.45">
      <c r="A9" s="38" t="s">
        <v>24</v>
      </c>
      <c r="B9" s="36"/>
      <c r="C9" s="36"/>
      <c r="D9" s="36">
        <f t="shared" si="0"/>
        <v>0</v>
      </c>
      <c r="E9" s="39">
        <f t="shared" si="1"/>
        <v>0</v>
      </c>
      <c r="F9" s="9"/>
      <c r="G9" s="9">
        <f t="shared" si="2"/>
        <v>0</v>
      </c>
      <c r="H9" s="37">
        <f t="shared" si="3"/>
        <v>0</v>
      </c>
      <c r="I9" s="48"/>
      <c r="J9" s="48"/>
    </row>
    <row r="10" spans="1:10" x14ac:dyDescent="0.45">
      <c r="A10" s="38" t="s">
        <v>25</v>
      </c>
      <c r="B10" s="40"/>
      <c r="C10" s="40"/>
      <c r="D10" s="36">
        <f t="shared" si="0"/>
        <v>0</v>
      </c>
      <c r="E10" s="39">
        <f t="shared" si="1"/>
        <v>0</v>
      </c>
      <c r="F10" s="9"/>
      <c r="G10" s="9">
        <f t="shared" si="2"/>
        <v>0</v>
      </c>
      <c r="H10" s="37">
        <f t="shared" si="3"/>
        <v>0</v>
      </c>
      <c r="I10" s="48"/>
      <c r="J10" s="48"/>
    </row>
    <row r="11" spans="1:10" x14ac:dyDescent="0.45">
      <c r="A11" s="38" t="s">
        <v>26</v>
      </c>
      <c r="B11" s="36"/>
      <c r="C11" s="36"/>
      <c r="D11" s="36">
        <f t="shared" si="0"/>
        <v>0</v>
      </c>
      <c r="E11" s="39">
        <f t="shared" si="1"/>
        <v>0</v>
      </c>
      <c r="F11" s="9"/>
      <c r="G11" s="9">
        <f t="shared" si="2"/>
        <v>0</v>
      </c>
      <c r="H11" s="37">
        <f t="shared" si="3"/>
        <v>0</v>
      </c>
      <c r="I11" s="48"/>
      <c r="J11" s="48"/>
    </row>
    <row r="12" spans="1:10" x14ac:dyDescent="0.45">
      <c r="A12" s="38" t="s">
        <v>27</v>
      </c>
      <c r="B12" s="36"/>
      <c r="C12" s="36"/>
      <c r="D12" s="36">
        <f t="shared" si="0"/>
        <v>0</v>
      </c>
      <c r="E12" s="39">
        <f t="shared" si="1"/>
        <v>0</v>
      </c>
      <c r="F12" s="9"/>
      <c r="G12" s="9">
        <f t="shared" si="2"/>
        <v>0</v>
      </c>
      <c r="H12" s="37">
        <f t="shared" si="3"/>
        <v>0</v>
      </c>
      <c r="I12" s="48"/>
      <c r="J12" s="48"/>
    </row>
    <row r="13" spans="1:10" x14ac:dyDescent="0.45">
      <c r="A13" s="38" t="s">
        <v>28</v>
      </c>
      <c r="B13" s="36"/>
      <c r="C13" s="36"/>
      <c r="D13" s="36">
        <f t="shared" si="0"/>
        <v>0</v>
      </c>
      <c r="E13" s="39">
        <f t="shared" si="1"/>
        <v>0</v>
      </c>
      <c r="F13" s="9"/>
      <c r="G13" s="9">
        <f t="shared" si="2"/>
        <v>0</v>
      </c>
      <c r="H13" s="37">
        <f t="shared" si="3"/>
        <v>0</v>
      </c>
      <c r="I13" s="48"/>
      <c r="J13" s="48"/>
    </row>
    <row r="14" spans="1:10" x14ac:dyDescent="0.45">
      <c r="A14" s="38" t="s">
        <v>29</v>
      </c>
      <c r="B14" s="36"/>
      <c r="C14" s="36"/>
      <c r="D14" s="36">
        <f t="shared" ref="D14:D16" si="4">B14-C14</f>
        <v>0</v>
      </c>
      <c r="E14" s="39">
        <f t="shared" ref="E14:E16" si="5">IFERROR(D14/C14, 0)</f>
        <v>0</v>
      </c>
      <c r="F14" s="9"/>
      <c r="G14" s="9">
        <f t="shared" ref="G14:G16" si="6">B14-F14</f>
        <v>0</v>
      </c>
      <c r="H14" s="37">
        <f t="shared" ref="H14:H16" si="7">IFERROR(G14/F14, 0)</f>
        <v>0</v>
      </c>
      <c r="I14" s="50"/>
      <c r="J14" s="48"/>
    </row>
    <row r="15" spans="1:10" x14ac:dyDescent="0.45">
      <c r="A15" s="38" t="s">
        <v>30</v>
      </c>
      <c r="B15" s="40"/>
      <c r="C15" s="40"/>
      <c r="D15" s="36">
        <f t="shared" si="4"/>
        <v>0</v>
      </c>
      <c r="E15" s="39">
        <f t="shared" si="5"/>
        <v>0</v>
      </c>
      <c r="F15" s="41"/>
      <c r="G15" s="9">
        <f t="shared" si="6"/>
        <v>0</v>
      </c>
      <c r="H15" s="37">
        <f t="shared" si="7"/>
        <v>0</v>
      </c>
      <c r="I15" s="48"/>
      <c r="J15" s="48"/>
    </row>
    <row r="16" spans="1:10" x14ac:dyDescent="0.45">
      <c r="A16" s="42" t="s">
        <v>31</v>
      </c>
      <c r="B16" s="43"/>
      <c r="C16" s="43"/>
      <c r="D16" s="43">
        <f t="shared" si="4"/>
        <v>0</v>
      </c>
      <c r="E16" s="44">
        <f t="shared" si="5"/>
        <v>0</v>
      </c>
      <c r="F16" s="45"/>
      <c r="G16" s="46">
        <f t="shared" si="6"/>
        <v>0</v>
      </c>
      <c r="H16" s="47">
        <f t="shared" si="7"/>
        <v>0</v>
      </c>
      <c r="I16" s="52"/>
      <c r="J16" s="52"/>
    </row>
    <row r="17" spans="1:10" x14ac:dyDescent="0.45">
      <c r="A17" s="10" t="s">
        <v>32</v>
      </c>
      <c r="B17" s="11">
        <f>SUM(B5:B16)</f>
        <v>213608</v>
      </c>
      <c r="C17" s="11">
        <f t="shared" ref="C17:F17" si="8">SUM(C5:C16)</f>
        <v>396501.9</v>
      </c>
      <c r="D17" s="11">
        <f>B17-C17</f>
        <v>-182893.90000000002</v>
      </c>
      <c r="E17" s="12">
        <f>IFERROR(D17/C17, 0)</f>
        <v>-0.46126865974664943</v>
      </c>
      <c r="F17" s="11">
        <f t="shared" si="8"/>
        <v>419715.6</v>
      </c>
      <c r="G17" s="11">
        <f>B17-F17</f>
        <v>-206107.59999999998</v>
      </c>
      <c r="H17" s="13">
        <f>IFERROR(G17/F17, 0)</f>
        <v>-0.49106490204319303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DD4FB1-3C3C-4AC5-AF61-16E5152C3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2024-02-10T19:54:37Z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