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libsysinc_com/Documents/Microsoft Teams Chat Files/"/>
    </mc:Choice>
  </mc:AlternateContent>
  <xr:revisionPtr revIDLastSave="1" documentId="13_ncr:1_{1BC0AFC0-F527-4DB1-B42B-1EF57AE546F4}" xr6:coauthVersionLast="47" xr6:coauthVersionMax="47" xr10:uidLastSave="{03A1AB56-E2A7-4AF6-A05C-F6B3D671E017}"/>
  <bookViews>
    <workbookView xWindow="-108" yWindow="-108" windowWidth="23256" windowHeight="12456" activeTab="1" xr2:uid="{00000000-000D-0000-FFFF-FFFF00000000}"/>
  </bookViews>
  <sheets>
    <sheet name="Quarterly" sheetId="2" r:id="rId1"/>
    <sheet name="Monthly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 l="1"/>
  <c r="F7" i="2"/>
  <c r="F6" i="2"/>
  <c r="F5" i="2"/>
  <c r="C5" i="2"/>
  <c r="C6" i="2"/>
  <c r="C7" i="2"/>
  <c r="C8" i="2"/>
  <c r="B8" i="2"/>
  <c r="B7" i="2"/>
  <c r="G7" i="2" s="1"/>
  <c r="H7" i="2" s="1"/>
  <c r="B6" i="2"/>
  <c r="B5" i="2"/>
  <c r="F17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G5" i="1"/>
  <c r="H5" i="1" s="1"/>
  <c r="C17" i="1"/>
  <c r="B17" i="1"/>
  <c r="D9" i="1"/>
  <c r="E9" i="1" s="1"/>
  <c r="D8" i="1"/>
  <c r="E8" i="1" s="1"/>
  <c r="D7" i="1"/>
  <c r="E7" i="1" s="1"/>
  <c r="D6" i="1"/>
  <c r="E6" i="1" s="1"/>
  <c r="D5" i="1"/>
  <c r="E5" i="1" s="1"/>
  <c r="D5" i="2" l="1"/>
  <c r="E5" i="2" s="1"/>
  <c r="D6" i="2"/>
  <c r="E6" i="2" s="1"/>
  <c r="F9" i="2"/>
  <c r="G8" i="2"/>
  <c r="H8" i="2" s="1"/>
  <c r="D8" i="2"/>
  <c r="E8" i="2" s="1"/>
  <c r="B9" i="2"/>
  <c r="D7" i="2"/>
  <c r="E7" i="2" s="1"/>
  <c r="C9" i="2"/>
  <c r="G6" i="2"/>
  <c r="H6" i="2" s="1"/>
  <c r="G5" i="2"/>
  <c r="H5" i="2" s="1"/>
  <c r="G17" i="1"/>
  <c r="H17" i="1" s="1"/>
  <c r="D17" i="1"/>
  <c r="E17" i="1" s="1"/>
  <c r="G9" i="2" l="1"/>
  <c r="H9" i="2" s="1"/>
  <c r="D9" i="2"/>
  <c r="E9" i="2" s="1"/>
</calcChain>
</file>

<file path=xl/sharedStrings.xml><?xml version="1.0" encoding="utf-8"?>
<sst xmlns="http://schemas.openxmlformats.org/spreadsheetml/2006/main" count="43" uniqueCount="32">
  <si>
    <t>Paragon Communications</t>
  </si>
  <si>
    <t>Actual vs. Expected</t>
  </si>
  <si>
    <t>Actual vs. Forecasted</t>
  </si>
  <si>
    <t>Quarter</t>
  </si>
  <si>
    <t>Actual</t>
  </si>
  <si>
    <t>Expected</t>
  </si>
  <si>
    <t>Delta Expected</t>
  </si>
  <si>
    <t>% Expected</t>
  </si>
  <si>
    <t>Forecasted</t>
  </si>
  <si>
    <t>Delta Forecasted</t>
  </si>
  <si>
    <t>% Forecasted</t>
  </si>
  <si>
    <t>1st Quarter</t>
  </si>
  <si>
    <t>2nd Quarter</t>
  </si>
  <si>
    <t>3rd Quarter</t>
  </si>
  <si>
    <t>4th Quarter</t>
  </si>
  <si>
    <t>Year to Date</t>
  </si>
  <si>
    <t>Notes</t>
  </si>
  <si>
    <t>Month</t>
  </si>
  <si>
    <t>Service Request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</si>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</sst>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20"/>
      <name val="Arial"/>
      <family val="2"/>
    </font>
    <font>
      <sz val="9"/>
      <color rgb="FF00000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3">
    <xf numFmtId="0" fontId="0" fillId="0" borderId="0" xfId="0"/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9" fontId="4" fillId="2" borderId="3" xfId="2" applyFont="1" applyFill="1" applyBorder="1" applyAlignment="1">
      <alignment horizontal="center"/>
    </xf>
    <xf numFmtId="9" fontId="4" fillId="2" borderId="3" xfId="0" applyNumberFormat="1" applyFont="1" applyFill="1" applyBorder="1" applyAlignment="1">
      <alignment horizontal="center"/>
    </xf>
    <xf numFmtId="0" fontId="4" fillId="0" borderId="0" xfId="0" applyFont="1"/>
    <xf numFmtId="0" fontId="6" fillId="0" borderId="1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3" fontId="8" fillId="4" borderId="13" xfId="0" applyNumberFormat="1" applyFont="1" applyFill="1" applyBorder="1"/>
    <xf numFmtId="3" fontId="8" fillId="3" borderId="1" xfId="0" applyNumberFormat="1" applyFont="1" applyFill="1" applyBorder="1" applyAlignment="1">
      <alignment horizontal="right"/>
    </xf>
    <xf numFmtId="9" fontId="8" fillId="3" borderId="1" xfId="2" applyFont="1" applyFill="1" applyBorder="1" applyAlignment="1">
      <alignment horizontal="center"/>
    </xf>
    <xf numFmtId="3" fontId="8" fillId="6" borderId="13" xfId="0" applyNumberFormat="1" applyFont="1" applyFill="1" applyBorder="1"/>
    <xf numFmtId="3" fontId="8" fillId="5" borderId="1" xfId="1" applyNumberFormat="1" applyFont="1" applyFill="1" applyBorder="1"/>
    <xf numFmtId="9" fontId="8" fillId="5" borderId="1" xfId="2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9" fontId="8" fillId="3" borderId="3" xfId="2" applyFont="1" applyFill="1" applyBorder="1" applyAlignment="1">
      <alignment horizontal="center"/>
    </xf>
    <xf numFmtId="3" fontId="8" fillId="5" borderId="4" xfId="1" applyNumberFormat="1" applyFont="1" applyFill="1" applyBorder="1"/>
    <xf numFmtId="3" fontId="8" fillId="5" borderId="1" xfId="1" applyNumberFormat="1" applyFont="1" applyFill="1" applyBorder="1" applyAlignment="1">
      <alignment vertical="center"/>
    </xf>
    <xf numFmtId="0" fontId="7" fillId="2" borderId="3" xfId="0" applyFont="1" applyFill="1" applyBorder="1" applyAlignment="1">
      <alignment horizontal="center"/>
    </xf>
    <xf numFmtId="3" fontId="7" fillId="2" borderId="3" xfId="0" applyNumberFormat="1" applyFont="1" applyFill="1" applyBorder="1" applyAlignment="1">
      <alignment horizontal="center"/>
    </xf>
    <xf numFmtId="9" fontId="7" fillId="2" borderId="3" xfId="2" applyFont="1" applyFill="1" applyBorder="1" applyAlignment="1">
      <alignment horizontal="center"/>
    </xf>
    <xf numFmtId="9" fontId="7" fillId="2" borderId="3" xfId="0" applyNumberFormat="1" applyFont="1" applyFill="1" applyBorder="1" applyAlignment="1">
      <alignment horizontal="center"/>
    </xf>
    <xf numFmtId="0" fontId="6" fillId="3" borderId="15" xfId="0" applyFont="1" applyFill="1" applyBorder="1" applyAlignment="1">
      <alignment horizontal="left" vertical="center" wrapText="1"/>
    </xf>
    <xf numFmtId="9" fontId="6" fillId="3" borderId="16" xfId="2" applyFont="1" applyFill="1" applyBorder="1" applyAlignment="1">
      <alignment horizontal="left" vertical="center" wrapText="1"/>
    </xf>
    <xf numFmtId="0" fontId="6" fillId="5" borderId="15" xfId="0" applyFont="1" applyFill="1" applyBorder="1" applyAlignment="1">
      <alignment horizontal="left" vertical="center"/>
    </xf>
    <xf numFmtId="0" fontId="6" fillId="5" borderId="15" xfId="0" applyFont="1" applyFill="1" applyBorder="1" applyAlignment="1">
      <alignment horizontal="left" vertical="center" wrapText="1"/>
    </xf>
    <xf numFmtId="9" fontId="6" fillId="5" borderId="16" xfId="2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right" vertical="center"/>
    </xf>
    <xf numFmtId="0" fontId="3" fillId="0" borderId="21" xfId="0" applyFont="1" applyBorder="1" applyAlignment="1">
      <alignment horizontal="left" vertical="center"/>
    </xf>
    <xf numFmtId="0" fontId="3" fillId="3" borderId="22" xfId="0" applyFont="1" applyFill="1" applyBorder="1" applyAlignment="1">
      <alignment horizontal="left" vertical="center" wrapText="1"/>
    </xf>
    <xf numFmtId="9" fontId="3" fillId="3" borderId="23" xfId="2" applyFont="1" applyFill="1" applyBorder="1" applyAlignment="1">
      <alignment horizontal="left" vertical="center" wrapText="1"/>
    </xf>
    <xf numFmtId="0" fontId="3" fillId="5" borderId="22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left" vertical="center" wrapText="1"/>
    </xf>
    <xf numFmtId="9" fontId="3" fillId="5" borderId="23" xfId="2" applyFont="1" applyFill="1" applyBorder="1" applyAlignment="1">
      <alignment horizontal="left" vertical="center"/>
    </xf>
    <xf numFmtId="9" fontId="3" fillId="7" borderId="24" xfId="2" applyFont="1" applyFill="1" applyBorder="1" applyAlignment="1">
      <alignment horizontal="center" vertical="center"/>
    </xf>
    <xf numFmtId="9" fontId="3" fillId="7" borderId="25" xfId="2" applyFont="1" applyFill="1" applyBorder="1" applyAlignment="1">
      <alignment horizontal="center" vertical="center"/>
    </xf>
    <xf numFmtId="9" fontId="11" fillId="7" borderId="1" xfId="2" applyFont="1" applyFill="1" applyBorder="1" applyAlignment="1">
      <alignment horizontal="left" vertical="top" wrapText="1"/>
    </xf>
    <xf numFmtId="9" fontId="11" fillId="7" borderId="1" xfId="2" applyFont="1" applyFill="1" applyBorder="1" applyAlignment="1">
      <alignment horizontal="left" vertical="top"/>
    </xf>
    <xf numFmtId="9" fontId="11" fillId="7" borderId="1" xfId="2" applyFont="1" applyFill="1" applyBorder="1" applyAlignment="1">
      <alignment horizontal="left" vertical="center" wrapText="1"/>
    </xf>
    <xf numFmtId="9" fontId="11" fillId="7" borderId="1" xfId="2" applyFont="1" applyFill="1" applyBorder="1" applyAlignment="1">
      <alignment horizontal="left" wrapText="1"/>
    </xf>
    <xf numFmtId="0" fontId="4" fillId="0" borderId="19" xfId="0" applyFont="1" applyBorder="1" applyAlignment="1">
      <alignment horizontal="center" vertical="center"/>
    </xf>
    <xf numFmtId="3" fontId="10" fillId="4" borderId="13" xfId="0" applyNumberFormat="1" applyFont="1" applyFill="1" applyBorder="1" applyAlignment="1">
      <alignment horizontal="right" vertical="center"/>
    </xf>
    <xf numFmtId="3" fontId="5" fillId="3" borderId="13" xfId="0" applyNumberFormat="1" applyFont="1" applyFill="1" applyBorder="1" applyAlignment="1">
      <alignment horizontal="right" vertical="center"/>
    </xf>
    <xf numFmtId="9" fontId="5" fillId="3" borderId="13" xfId="2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vertical="center"/>
    </xf>
    <xf numFmtId="3" fontId="5" fillId="5" borderId="13" xfId="1" applyNumberFormat="1" applyFont="1" applyFill="1" applyBorder="1" applyAlignment="1">
      <alignment vertical="center"/>
    </xf>
    <xf numFmtId="9" fontId="5" fillId="5" borderId="4" xfId="2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3" fontId="10" fillId="4" borderId="2" xfId="0" applyNumberFormat="1" applyFont="1" applyFill="1" applyBorder="1" applyAlignment="1">
      <alignment horizontal="right" vertical="center"/>
    </xf>
    <xf numFmtId="3" fontId="5" fillId="3" borderId="2" xfId="0" applyNumberFormat="1" applyFont="1" applyFill="1" applyBorder="1" applyAlignment="1">
      <alignment horizontal="right" vertical="center"/>
    </xf>
    <xf numFmtId="9" fontId="5" fillId="3" borderId="2" xfId="2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vertical="center"/>
    </xf>
    <xf numFmtId="3" fontId="5" fillId="5" borderId="2" xfId="1" applyNumberFormat="1" applyFont="1" applyFill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right" vertical="center"/>
    </xf>
    <xf numFmtId="9" fontId="5" fillId="3" borderId="1" xfId="2" applyFont="1" applyFill="1" applyBorder="1" applyAlignment="1">
      <alignment horizontal="center" vertical="center"/>
    </xf>
    <xf numFmtId="3" fontId="5" fillId="5" borderId="4" xfId="1" applyNumberFormat="1" applyFont="1" applyFill="1" applyBorder="1" applyAlignment="1">
      <alignment vertical="center"/>
    </xf>
    <xf numFmtId="3" fontId="5" fillId="5" borderId="1" xfId="1" applyNumberFormat="1" applyFont="1" applyFill="1" applyBorder="1" applyAlignment="1">
      <alignment vertical="center"/>
    </xf>
    <xf numFmtId="9" fontId="5" fillId="5" borderId="1" xfId="2" applyFont="1" applyFill="1" applyBorder="1" applyAlignment="1">
      <alignment horizontal="center" vertical="center"/>
    </xf>
    <xf numFmtId="9" fontId="5" fillId="3" borderId="3" xfId="2" applyFont="1" applyFill="1" applyBorder="1" applyAlignment="1">
      <alignment horizontal="center" vertical="center"/>
    </xf>
    <xf numFmtId="3" fontId="5" fillId="5" borderId="1" xfId="1" applyNumberFormat="1" applyFont="1" applyFill="1" applyBorder="1" applyAlignment="1">
      <alignment horizontal="right" vertical="center"/>
    </xf>
    <xf numFmtId="3" fontId="5" fillId="4" borderId="2" xfId="0" applyNumberFormat="1" applyFont="1" applyFill="1" applyBorder="1" applyAlignment="1">
      <alignment vertical="center"/>
    </xf>
    <xf numFmtId="3" fontId="5" fillId="6" borderId="2" xfId="0" applyNumberFormat="1" applyFont="1" applyFill="1" applyBorder="1" applyAlignment="1">
      <alignment vertical="center"/>
    </xf>
    <xf numFmtId="0" fontId="4" fillId="0" borderId="17" xfId="0" applyFont="1" applyBorder="1" applyAlignment="1">
      <alignment horizontal="center" vertical="center"/>
    </xf>
    <xf numFmtId="3" fontId="5" fillId="3" borderId="18" xfId="0" applyNumberFormat="1" applyFont="1" applyFill="1" applyBorder="1" applyAlignment="1">
      <alignment horizontal="right" vertical="center"/>
    </xf>
    <xf numFmtId="9" fontId="5" fillId="3" borderId="17" xfId="2" applyFont="1" applyFill="1" applyBorder="1" applyAlignment="1">
      <alignment horizontal="center" vertical="center"/>
    </xf>
    <xf numFmtId="3" fontId="5" fillId="5" borderId="18" xfId="1" applyNumberFormat="1" applyFont="1" applyFill="1" applyBorder="1" applyAlignment="1">
      <alignment vertical="center"/>
    </xf>
    <xf numFmtId="9" fontId="5" fillId="5" borderId="18" xfId="2" applyFont="1" applyFill="1" applyBorder="1" applyAlignment="1">
      <alignment horizontal="center" vertical="center"/>
    </xf>
    <xf numFmtId="9" fontId="5" fillId="7" borderId="1" xfId="2" applyFont="1" applyFill="1" applyBorder="1" applyAlignment="1">
      <alignment horizontal="left"/>
    </xf>
    <xf numFmtId="0" fontId="12" fillId="7" borderId="3" xfId="0" applyFont="1" applyFill="1" applyBorder="1" applyAlignment="1">
      <alignment horizontal="left"/>
    </xf>
    <xf numFmtId="0" fontId="12" fillId="7" borderId="26" xfId="0" applyFont="1" applyFill="1" applyBorder="1" applyAlignment="1">
      <alignment horizontal="left"/>
    </xf>
    <xf numFmtId="0" fontId="12" fillId="7" borderId="2" xfId="0" applyFont="1" applyFill="1" applyBorder="1" applyAlignment="1">
      <alignment horizontal="left" wrapText="1"/>
    </xf>
    <xf numFmtId="0" fontId="12" fillId="7" borderId="2" xfId="0" applyFont="1" applyFill="1" applyBorder="1" applyAlignment="1">
      <alignment horizontal="left" vertical="top" wrapText="1"/>
    </xf>
    <xf numFmtId="9" fontId="11" fillId="7" borderId="18" xfId="2" applyFont="1" applyFill="1" applyBorder="1" applyAlignment="1">
      <alignment horizontal="left"/>
    </xf>
    <xf numFmtId="0" fontId="9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30"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10"/>
        <name val="Calibri"/>
      </font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44CE3-EF2D-4D70-8313-90420726FB98}" name="Summary" displayName="Summary" ref="A4:H8" totalsRowShown="0" headerRowDxfId="29" dataDxfId="27" headerRowBorderDxfId="28" tableBorderDxfId="26">
  <autoFilter ref="A4:H8" xr:uid="{BF044CE3-EF2D-4D70-8313-90420726FB98}"/>
  <tableColumns count="8">
    <tableColumn id="1" xr3:uid="{4BC4C9B6-A03A-415C-BCE1-1E0A01FD2113}" name="Quarter" dataDxfId="25"/>
    <tableColumn id="2" xr3:uid="{14458B0A-F61F-4B46-BC0C-E9D0D13BA1D4}" name="Actual" dataDxfId="24"/>
    <tableColumn id="3" xr3:uid="{65AD0361-5994-4C6F-A094-4DCD8B32F876}" name="Expected" dataDxfId="23"/>
    <tableColumn id="4" xr3:uid="{40E851A8-F5F3-4887-9AA4-8ECBE3F17A08}" name="Delta Expected" dataDxfId="22">
      <calculatedColumnFormula>B5-C5</calculatedColumnFormula>
    </tableColumn>
    <tableColumn id="5" xr3:uid="{BDAB55DD-7845-48B4-8EF2-F0BA9E49A5BA}" name="% Expected" dataDxfId="21">
      <calculatedColumnFormula>IFERROR(D5/C5, 0)</calculatedColumnFormula>
    </tableColumn>
    <tableColumn id="6" xr3:uid="{4A96277B-65C9-410B-BF8F-A980698BC1F3}" name="Forecasted" dataDxfId="20"/>
    <tableColumn id="7" xr3:uid="{4A6547F1-DE47-4709-B2ED-1C0B676C0D28}" name="Delta Forecasted" dataDxfId="19" dataCellStyle="Comma">
      <calculatedColumnFormula>B5-F5</calculatedColumnFormula>
    </tableColumn>
    <tableColumn id="8" xr3:uid="{52485586-5CF7-4A7D-A2F9-AA276D4B30AA}" name="% Forecasted" dataDxfId="18">
      <calculatedColumnFormula>IFERROR(G5/F5,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C1993-FB68-424F-ABAC-4A131FA108B5}" name="Data" displayName="Data" ref="A4:J16" totalsRowShown="0" headerRowDxfId="17" dataDxfId="15" headerRowBorderDxfId="16" tableBorderDxfId="14">
  <autoFilter ref="A4:J16" xr:uid="{59CC1993-FB68-424F-ABAC-4A131FA108B5}"/>
  <tableColumns count="10">
    <tableColumn id="1" xr3:uid="{FBDD0233-8515-42AA-9991-71A2ADDF4212}" name="Month" dataDxfId="13"/>
    <tableColumn id="2" xr3:uid="{4B627D97-5EE2-4A9E-8EDC-4653E3804DE5}" name="Actual" dataDxfId="12"/>
    <tableColumn id="3" xr3:uid="{6840E30D-F1AC-4AE8-82B2-BA121BBB93A5}" name="Expected" dataDxfId="11"/>
    <tableColumn id="4" xr3:uid="{7E2E935F-606E-4CFD-91BE-87B665995E67}" name="Delta Expected" dataDxfId="10">
      <calculatedColumnFormula>B5-C5</calculatedColumnFormula>
    </tableColumn>
    <tableColumn id="5" xr3:uid="{D0AE28DC-B020-4DB0-9210-5071CAC59D13}" name="% Expected" dataDxfId="9">
      <calculatedColumnFormula>IFERROR(D5/C5, 0)</calculatedColumnFormula>
    </tableColumn>
    <tableColumn id="6" xr3:uid="{E104F17E-1287-4E77-9C21-19F33D6CDCEB}" name="Forecasted" dataDxfId="8"/>
    <tableColumn id="7" xr3:uid="{0EC651AE-4897-4539-9A99-0F95D36CCFD1}" name="Delta Forecasted" dataDxfId="7" dataCellStyle="Comma">
      <calculatedColumnFormula>B5-F5</calculatedColumnFormula>
    </tableColumn>
    <tableColumn id="8" xr3:uid="{8DF46A5A-8533-4717-B9A9-F059CB8E4A37}" name="% Forecasted" dataDxfId="6">
      <calculatedColumnFormula>IFERROR(G5/F5, 0)</calculatedColumnFormula>
    </tableColumn>
    <tableColumn id="9" xr3:uid="{91668AC9-A528-46F6-8BE5-EB036F59A18E}" name="Notes" dataDxfId="5"/>
    <tableColumn id="10" xr3:uid="{CD4FC54A-2343-4F00-AB7D-88E561824952}" name="Service Request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A608-5833-4D98-AEDF-631E076055C9}">
  <sheetPr codeName="Sheet1"/>
  <dimension ref="A1:H9"/>
  <sheetViews>
    <sheetView workbookViewId="0">
      <selection activeCell="L19" sqref="L19"/>
    </sheetView>
  </sheetViews>
  <sheetFormatPr defaultRowHeight="14.4" x14ac:dyDescent="0.3"/>
  <cols>
    <col min="1" max="1" width="22" customWidth="1"/>
    <col min="2" max="2" width="11.44140625" customWidth="1"/>
    <col min="3" max="3" width="12.5546875" customWidth="1"/>
    <col min="4" max="4" width="15.21875" customWidth="1"/>
    <col min="5" max="5" width="13.77734375" customWidth="1"/>
    <col min="6" max="6" width="12.5546875" customWidth="1"/>
    <col min="7" max="7" width="17.21875" customWidth="1"/>
    <col min="8" max="8" width="16" customWidth="1"/>
  </cols>
  <sheetData>
    <row r="1" spans="1:8" ht="24.6" x14ac:dyDescent="0.4">
      <c r="A1" s="74" t="s">
        <v>0</v>
      </c>
      <c r="B1" s="74"/>
      <c r="C1" s="74"/>
      <c r="D1" s="74"/>
      <c r="E1" s="74"/>
      <c r="F1" s="74"/>
      <c r="G1" s="74"/>
      <c r="H1" s="74"/>
    </row>
    <row r="2" spans="1:8" ht="15" thickBot="1" x14ac:dyDescent="0.35"/>
    <row r="3" spans="1:8" ht="15.6" x14ac:dyDescent="0.3">
      <c r="A3" s="75" t="s">
        <v>1</v>
      </c>
      <c r="B3" s="76"/>
      <c r="C3" s="76"/>
      <c r="D3" s="76"/>
      <c r="E3" s="77"/>
      <c r="F3" s="78" t="s">
        <v>2</v>
      </c>
      <c r="G3" s="79"/>
      <c r="H3" s="80"/>
    </row>
    <row r="4" spans="1:8" x14ac:dyDescent="0.3">
      <c r="A4" s="6" t="s">
        <v>3</v>
      </c>
      <c r="B4" s="22" t="s">
        <v>4</v>
      </c>
      <c r="C4" s="22" t="s">
        <v>5</v>
      </c>
      <c r="D4" s="22" t="s">
        <v>6</v>
      </c>
      <c r="E4" s="23" t="s">
        <v>7</v>
      </c>
      <c r="F4" s="24" t="s">
        <v>8</v>
      </c>
      <c r="G4" s="25" t="s">
        <v>9</v>
      </c>
      <c r="H4" s="26" t="s">
        <v>10</v>
      </c>
    </row>
    <row r="5" spans="1:8" x14ac:dyDescent="0.3">
      <c r="A5" s="7" t="s">
        <v>11</v>
      </c>
      <c r="B5" s="8">
        <f>SUM(Monthly!B5:B7)</f>
        <v>23676</v>
      </c>
      <c r="C5" s="8">
        <f>SUM(Monthly!C5:C7)</f>
        <v>48430.71</v>
      </c>
      <c r="D5" s="9">
        <f>B5-C5</f>
        <v>-24754.71</v>
      </c>
      <c r="E5" s="10">
        <f t="shared" ref="E5:E8" si="0">IFERROR(D5/C5, 0)</f>
        <v>-0.51113663210801574</v>
      </c>
      <c r="F5" s="11">
        <f>SUM(Monthly!F5:F7)</f>
        <v>0</v>
      </c>
      <c r="G5" s="12">
        <f>B5-F5</f>
        <v>23676</v>
      </c>
      <c r="H5" s="13">
        <f t="shared" ref="H5:H8" si="1">IFERROR(G5/F5, 0)</f>
        <v>0</v>
      </c>
    </row>
    <row r="6" spans="1:8" x14ac:dyDescent="0.3">
      <c r="A6" s="14" t="s">
        <v>12</v>
      </c>
      <c r="B6" s="8">
        <f>SUM(Monthly!B8:B10)</f>
        <v>0</v>
      </c>
      <c r="C6" s="8">
        <f>SUM(Monthly!C8:C10)</f>
        <v>0</v>
      </c>
      <c r="D6" s="9">
        <f t="shared" ref="D6:D8" si="2">B6-C6</f>
        <v>0</v>
      </c>
      <c r="E6" s="15">
        <f t="shared" si="0"/>
        <v>0</v>
      </c>
      <c r="F6" s="16">
        <f>SUM(Monthly!F8:F10)</f>
        <v>0</v>
      </c>
      <c r="G6" s="12">
        <f t="shared" ref="G6:G8" si="3">B6-F6</f>
        <v>0</v>
      </c>
      <c r="H6" s="13">
        <f t="shared" si="1"/>
        <v>0</v>
      </c>
    </row>
    <row r="7" spans="1:8" x14ac:dyDescent="0.3">
      <c r="A7" s="14" t="s">
        <v>13</v>
      </c>
      <c r="B7" s="9">
        <f>SUM(Monthly!B11:B13)</f>
        <v>0</v>
      </c>
      <c r="C7" s="9">
        <f>SUM(Monthly!C11:C13)</f>
        <v>0</v>
      </c>
      <c r="D7" s="9">
        <f t="shared" si="2"/>
        <v>0</v>
      </c>
      <c r="E7" s="15">
        <f t="shared" si="0"/>
        <v>0</v>
      </c>
      <c r="F7" s="17">
        <f>SUM(Monthly!F11:F13)</f>
        <v>0</v>
      </c>
      <c r="G7" s="12">
        <f t="shared" si="3"/>
        <v>0</v>
      </c>
      <c r="H7" s="13">
        <f t="shared" si="1"/>
        <v>0</v>
      </c>
    </row>
    <row r="8" spans="1:8" x14ac:dyDescent="0.3">
      <c r="A8" s="14" t="s">
        <v>14</v>
      </c>
      <c r="B8" s="9">
        <f>SUM(Monthly!B14:B16)</f>
        <v>0</v>
      </c>
      <c r="C8" s="9">
        <f>SUM(Monthly!C14:C16)</f>
        <v>0</v>
      </c>
      <c r="D8" s="9">
        <f t="shared" si="2"/>
        <v>0</v>
      </c>
      <c r="E8" s="15">
        <f t="shared" si="0"/>
        <v>0</v>
      </c>
      <c r="F8" s="12">
        <f>SUM(Monthly!F14:F16)</f>
        <v>0</v>
      </c>
      <c r="G8" s="12">
        <f t="shared" si="3"/>
        <v>0</v>
      </c>
      <c r="H8" s="13">
        <f t="shared" si="1"/>
        <v>0</v>
      </c>
    </row>
    <row r="9" spans="1:8" x14ac:dyDescent="0.3">
      <c r="A9" s="18" t="s">
        <v>15</v>
      </c>
      <c r="B9" s="19">
        <f>SUM(B5:B8)</f>
        <v>23676</v>
      </c>
      <c r="C9" s="19">
        <f>SUM(C5:C8)</f>
        <v>48430.71</v>
      </c>
      <c r="D9" s="19">
        <f>B9-C9</f>
        <v>-24754.71</v>
      </c>
      <c r="E9" s="20">
        <f>IFERROR(D9/C9, 0)</f>
        <v>-0.51113663210801574</v>
      </c>
      <c r="F9" s="19">
        <f>SUM(F5:F8)</f>
        <v>0</v>
      </c>
      <c r="G9" s="19">
        <f>B9-F9</f>
        <v>23676</v>
      </c>
      <c r="H9" s="21">
        <f>IFERROR(G9/F9, 0)</f>
        <v>0</v>
      </c>
    </row>
  </sheetData>
  <mergeCells count="3">
    <mergeCell ref="A1:H1"/>
    <mergeCell ref="A3:E3"/>
    <mergeCell ref="F3:H3"/>
  </mergeCells>
  <conditionalFormatting sqref="E5:E9 H5:H9">
    <cfRule type="cellIs" dxfId="3" priority="1" operator="lessThanOrEqual">
      <formula>-0.1</formula>
    </cfRule>
    <cfRule type="cellIs" dxfId="2" priority="2" operator="greaterThanOrEqual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J17"/>
  <sheetViews>
    <sheetView tabSelected="1" workbookViewId="0">
      <selection activeCell="I7" sqref="I7"/>
    </sheetView>
  </sheetViews>
  <sheetFormatPr defaultRowHeight="14.4" x14ac:dyDescent="0.3"/>
  <cols>
    <col min="1" max="1" width="10.44140625" customWidth="1"/>
    <col min="2" max="2" width="10.5546875" customWidth="1"/>
    <col min="3" max="3" width="11" bestFit="1" customWidth="1"/>
    <col min="4" max="4" width="15" customWidth="1"/>
    <col min="5" max="5" width="13.21875" customWidth="1"/>
    <col min="6" max="6" width="12.5546875" customWidth="1"/>
    <col min="7" max="7" width="17.109375" customWidth="1"/>
    <col min="8" max="8" width="15.21875" customWidth="1"/>
    <col min="9" max="9" width="60.21875" customWidth="1"/>
    <col min="10" max="10" width="18.88671875" customWidth="1"/>
  </cols>
  <sheetData>
    <row r="1" spans="1:10" ht="30.75" customHeight="1" x14ac:dyDescent="0.4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5" thickBot="1" x14ac:dyDescent="0.35"/>
    <row r="3" spans="1:10" ht="15.6" x14ac:dyDescent="0.3">
      <c r="A3" s="75" t="s">
        <v>1</v>
      </c>
      <c r="B3" s="76"/>
      <c r="C3" s="76"/>
      <c r="D3" s="76"/>
      <c r="E3" s="77"/>
      <c r="F3" s="78" t="s">
        <v>2</v>
      </c>
      <c r="G3" s="79"/>
      <c r="H3" s="80"/>
      <c r="I3" s="81" t="s">
        <v>16</v>
      </c>
      <c r="J3" s="82"/>
    </row>
    <row r="4" spans="1:10" ht="15" thickBot="1" x14ac:dyDescent="0.35">
      <c r="A4" s="28" t="s">
        <v>17</v>
      </c>
      <c r="B4" s="29" t="s">
        <v>4</v>
      </c>
      <c r="C4" s="29" t="s">
        <v>5</v>
      </c>
      <c r="D4" s="29" t="s">
        <v>6</v>
      </c>
      <c r="E4" s="30" t="s">
        <v>7</v>
      </c>
      <c r="F4" s="31" t="s">
        <v>8</v>
      </c>
      <c r="G4" s="32" t="s">
        <v>9</v>
      </c>
      <c r="H4" s="33" t="s">
        <v>10</v>
      </c>
      <c r="I4" s="34" t="s">
        <v>16</v>
      </c>
      <c r="J4" s="35" t="s">
        <v>18</v>
      </c>
    </row>
    <row r="5" spans="1:10" x14ac:dyDescent="0.3">
      <c r="A5" s="40" t="s">
        <v>19</v>
      </c>
      <c r="B5" s="41">
        <v>23676</v>
      </c>
      <c r="C5" s="41">
        <v>48430.71</v>
      </c>
      <c r="D5" s="42">
        <f>B5-C5</f>
        <v>-24754.71</v>
      </c>
      <c r="E5" s="43">
        <f t="shared" ref="E5:E16" si="0">IFERROR(D5/C5, 0)</f>
        <v>-0.51113663210801574</v>
      </c>
      <c r="F5" s="44">
        <v>0</v>
      </c>
      <c r="G5" s="45">
        <f>B5-F5</f>
        <v>23676</v>
      </c>
      <c r="H5" s="46">
        <f t="shared" ref="H5:H16" si="1">IFERROR(G5/F5, 0)</f>
        <v>0</v>
      </c>
      <c r="I5" s="68"/>
      <c r="J5" s="68"/>
    </row>
    <row r="6" spans="1:10" x14ac:dyDescent="0.3">
      <c r="A6" s="47" t="s">
        <v>20</v>
      </c>
      <c r="B6" s="48"/>
      <c r="C6" s="48"/>
      <c r="D6" s="49">
        <f t="shared" ref="D6:D10" si="2">B6-C6</f>
        <v>0</v>
      </c>
      <c r="E6" s="50">
        <f t="shared" si="0"/>
        <v>0</v>
      </c>
      <c r="F6" s="51"/>
      <c r="G6" s="52">
        <f t="shared" ref="G6:G16" si="3">B6-F6</f>
        <v>0</v>
      </c>
      <c r="H6" s="46">
        <f t="shared" si="1"/>
        <v>0</v>
      </c>
      <c r="I6" s="68"/>
      <c r="J6" s="68"/>
    </row>
    <row r="7" spans="1:10" x14ac:dyDescent="0.3">
      <c r="A7" s="47" t="s">
        <v>21</v>
      </c>
      <c r="B7" s="48"/>
      <c r="C7" s="48"/>
      <c r="D7" s="49">
        <f t="shared" si="2"/>
        <v>0</v>
      </c>
      <c r="E7" s="50">
        <f t="shared" si="0"/>
        <v>0</v>
      </c>
      <c r="F7" s="27"/>
      <c r="G7" s="52">
        <f t="shared" si="3"/>
        <v>0</v>
      </c>
      <c r="H7" s="46">
        <f t="shared" si="1"/>
        <v>0</v>
      </c>
      <c r="I7" s="69"/>
      <c r="J7" s="70"/>
    </row>
    <row r="8" spans="1:10" x14ac:dyDescent="0.3">
      <c r="A8" s="47" t="s">
        <v>22</v>
      </c>
      <c r="B8" s="48"/>
      <c r="C8" s="48"/>
      <c r="D8" s="49">
        <f t="shared" si="2"/>
        <v>0</v>
      </c>
      <c r="E8" s="50">
        <f t="shared" si="0"/>
        <v>0</v>
      </c>
      <c r="F8" s="51"/>
      <c r="G8" s="52">
        <f t="shared" si="3"/>
        <v>0</v>
      </c>
      <c r="H8" s="46">
        <f t="shared" si="1"/>
        <v>0</v>
      </c>
      <c r="I8" s="71"/>
      <c r="J8" s="72"/>
    </row>
    <row r="9" spans="1:10" x14ac:dyDescent="0.3">
      <c r="A9" s="47" t="s">
        <v>23</v>
      </c>
      <c r="B9" s="48"/>
      <c r="C9" s="48"/>
      <c r="D9" s="49">
        <f t="shared" si="2"/>
        <v>0</v>
      </c>
      <c r="E9" s="50">
        <f t="shared" si="0"/>
        <v>0</v>
      </c>
      <c r="F9" s="51"/>
      <c r="G9" s="52">
        <f t="shared" si="3"/>
        <v>0</v>
      </c>
      <c r="H9" s="46">
        <f t="shared" si="1"/>
        <v>0</v>
      </c>
      <c r="I9" s="36"/>
      <c r="J9" s="37"/>
    </row>
    <row r="10" spans="1:10" x14ac:dyDescent="0.3">
      <c r="A10" s="47" t="s">
        <v>24</v>
      </c>
      <c r="B10" s="48"/>
      <c r="C10" s="48"/>
      <c r="D10" s="49">
        <f t="shared" si="2"/>
        <v>0</v>
      </c>
      <c r="E10" s="50">
        <f t="shared" si="0"/>
        <v>0</v>
      </c>
      <c r="F10" s="51"/>
      <c r="G10" s="52">
        <f t="shared" si="3"/>
        <v>0</v>
      </c>
      <c r="H10" s="46">
        <f t="shared" si="1"/>
        <v>0</v>
      </c>
      <c r="I10" s="69"/>
      <c r="J10" s="70"/>
    </row>
    <row r="11" spans="1:10" ht="48.6" customHeight="1" x14ac:dyDescent="0.3">
      <c r="A11" s="53" t="s">
        <v>25</v>
      </c>
      <c r="B11" s="54"/>
      <c r="C11" s="54"/>
      <c r="D11" s="54">
        <f t="shared" ref="D11:D16" si="4">B11-C11</f>
        <v>0</v>
      </c>
      <c r="E11" s="55">
        <f t="shared" si="0"/>
        <v>0</v>
      </c>
      <c r="F11" s="56"/>
      <c r="G11" s="57">
        <f t="shared" si="3"/>
        <v>0</v>
      </c>
      <c r="H11" s="58">
        <f t="shared" si="1"/>
        <v>0</v>
      </c>
      <c r="I11" s="36"/>
      <c r="J11" s="36"/>
    </row>
    <row r="12" spans="1:10" x14ac:dyDescent="0.3">
      <c r="A12" s="53" t="s">
        <v>26</v>
      </c>
      <c r="B12" s="54"/>
      <c r="C12" s="54"/>
      <c r="D12" s="54">
        <f t="shared" si="4"/>
        <v>0</v>
      </c>
      <c r="E12" s="59">
        <f t="shared" si="0"/>
        <v>0</v>
      </c>
      <c r="F12" s="60"/>
      <c r="G12" s="57">
        <f t="shared" si="3"/>
        <v>0</v>
      </c>
      <c r="H12" s="58">
        <f t="shared" si="1"/>
        <v>0</v>
      </c>
      <c r="I12" s="38"/>
      <c r="J12" s="37"/>
    </row>
    <row r="13" spans="1:10" x14ac:dyDescent="0.3">
      <c r="A13" s="53" t="s">
        <v>27</v>
      </c>
      <c r="B13" s="54"/>
      <c r="C13" s="54"/>
      <c r="D13" s="54">
        <f t="shared" si="4"/>
        <v>0</v>
      </c>
      <c r="E13" s="59">
        <f t="shared" si="0"/>
        <v>0</v>
      </c>
      <c r="F13" s="57"/>
      <c r="G13" s="57">
        <f t="shared" si="3"/>
        <v>0</v>
      </c>
      <c r="H13" s="58">
        <f t="shared" si="1"/>
        <v>0</v>
      </c>
      <c r="I13" s="38"/>
      <c r="J13" s="37"/>
    </row>
    <row r="14" spans="1:10" x14ac:dyDescent="0.3">
      <c r="A14" s="53" t="s">
        <v>28</v>
      </c>
      <c r="B14" s="54"/>
      <c r="C14" s="54"/>
      <c r="D14" s="54">
        <f t="shared" si="4"/>
        <v>0</v>
      </c>
      <c r="E14" s="59">
        <f t="shared" si="0"/>
        <v>0</v>
      </c>
      <c r="F14" s="57"/>
      <c r="G14" s="57">
        <f t="shared" si="3"/>
        <v>0</v>
      </c>
      <c r="H14" s="58">
        <f t="shared" si="1"/>
        <v>0</v>
      </c>
      <c r="I14" s="36"/>
      <c r="J14" s="37"/>
    </row>
    <row r="15" spans="1:10" x14ac:dyDescent="0.3">
      <c r="A15" s="53" t="s">
        <v>29</v>
      </c>
      <c r="B15" s="61"/>
      <c r="C15" s="61"/>
      <c r="D15" s="54">
        <f t="shared" si="4"/>
        <v>0</v>
      </c>
      <c r="E15" s="59">
        <f t="shared" si="0"/>
        <v>0</v>
      </c>
      <c r="F15" s="62"/>
      <c r="G15" s="57">
        <f t="shared" si="3"/>
        <v>0</v>
      </c>
      <c r="H15" s="58">
        <f t="shared" si="1"/>
        <v>0</v>
      </c>
      <c r="I15" s="39"/>
      <c r="J15" s="37"/>
    </row>
    <row r="16" spans="1:10" x14ac:dyDescent="0.3">
      <c r="A16" s="63" t="s">
        <v>30</v>
      </c>
      <c r="B16" s="64"/>
      <c r="C16" s="64"/>
      <c r="D16" s="64">
        <f t="shared" si="4"/>
        <v>0</v>
      </c>
      <c r="E16" s="65">
        <f t="shared" si="0"/>
        <v>0</v>
      </c>
      <c r="F16" s="62"/>
      <c r="G16" s="66">
        <f t="shared" si="3"/>
        <v>0</v>
      </c>
      <c r="H16" s="67">
        <f t="shared" si="1"/>
        <v>0</v>
      </c>
      <c r="I16" s="73"/>
      <c r="J16" s="73"/>
    </row>
    <row r="17" spans="1:10" x14ac:dyDescent="0.3">
      <c r="A17" s="1" t="s">
        <v>31</v>
      </c>
      <c r="B17" s="2">
        <f>SUM(B5:B16)</f>
        <v>23676</v>
      </c>
      <c r="C17" s="2">
        <f t="shared" ref="C17:F17" si="5">SUM(C5:C16)</f>
        <v>48430.71</v>
      </c>
      <c r="D17" s="2">
        <f>B17-C17</f>
        <v>-24754.71</v>
      </c>
      <c r="E17" s="3">
        <f>IFERROR(D17/C17, 0)</f>
        <v>-0.51113663210801574</v>
      </c>
      <c r="F17" s="2">
        <f t="shared" si="5"/>
        <v>0</v>
      </c>
      <c r="G17" s="2">
        <f>B17-F17</f>
        <v>23676</v>
      </c>
      <c r="H17" s="4">
        <f>IFERROR(G17/F17, 0)</f>
        <v>0</v>
      </c>
      <c r="I17" s="5"/>
      <c r="J17" s="5"/>
    </row>
  </sheetData>
  <mergeCells count="4">
    <mergeCell ref="A3:E3"/>
    <mergeCell ref="F3:H3"/>
    <mergeCell ref="I3:J3"/>
    <mergeCell ref="A1:J1"/>
  </mergeCells>
  <conditionalFormatting sqref="E5:E17 H5:H17">
    <cfRule type="cellIs" dxfId="1" priority="1" operator="lessThanOrEqual">
      <formula>-0.1</formula>
    </cfRule>
    <cfRule type="cellIs" dxfId="0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49FB051A-91B9-44D8-8B58-075BF657D1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2DBFD9-C2FD-4BCE-B802-8A1C0939A185}"/>
</file>

<file path=customXml/itemProps3.xml><?xml version="1.0" encoding="utf-8"?>
<ds:datastoreItem xmlns:ds="http://schemas.openxmlformats.org/officeDocument/2006/customXml" ds:itemID="{D38A7339-4BA8-48E1-9706-A998B307CD95}">
  <ds:schemaRefs>
    <ds:schemaRef ds:uri="http://purl.org/dc/dcmitype/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ddcd8467-55ca-498e-a9f8-86795db5db7a"/>
    <ds:schemaRef ds:uri="http://purl.org/dc/elements/1.1/"/>
    <ds:schemaRef ds:uri="7f39bfab-6331-41a1-b6d4-5b974a316951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</vt:lpstr>
      <vt:lpstr>Monthly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Maneesha Vuchidi [Libsy]</cp:lastModifiedBy>
  <cp:revision/>
  <dcterms:created xsi:type="dcterms:W3CDTF">2023-06-15T21:59:03Z</dcterms:created>
  <dcterms:modified xsi:type="dcterms:W3CDTF">2024-02-06T06:29:41Z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