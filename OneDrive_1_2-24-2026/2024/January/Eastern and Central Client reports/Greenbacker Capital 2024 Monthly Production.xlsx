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103" documentId="13_ncr:1_{AD822BA1-99F6-4165-96E1-1F9092A560FE}" xr6:coauthVersionLast="47" xr6:coauthVersionMax="47" xr10:uidLastSave="{161B3649-3EAA-442F-B04E-3C629D99F165}"/>
  <bookViews>
    <workbookView xWindow="-28920" yWindow="7725" windowWidth="29040" windowHeight="15720" tabRatio="866" firstSheet="47" activeTab="47" xr2:uid="{00000000-000D-0000-FFFF-FFFF00000000}"/>
  </bookViews>
  <sheets>
    <sheet name="YTD Total" sheetId="34" r:id="rId1"/>
    <sheet name="1st Qtr" sheetId="1" r:id="rId2"/>
    <sheet name="2nd Qtr" sheetId="18" r:id="rId3"/>
    <sheet name="3rd Qtr" sheetId="29" r:id="rId4"/>
    <sheet name="4th Qtr" sheetId="30" r:id="rId5"/>
    <sheet name="Jan" sheetId="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  <sheet name="10 Walpole Park South" sheetId="5" r:id="rId19"/>
    <sheet name="15 Walpole Park South" sheetId="69" r:id="rId20"/>
    <sheet name="19 Walpole Park South" sheetId="79" r:id="rId21"/>
    <sheet name="23 Walpole Park South" sheetId="78" r:id="rId22"/>
    <sheet name="24 Walpole Park South" sheetId="77" r:id="rId23"/>
    <sheet name="25 Walpole Park South" sheetId="76" r:id="rId24"/>
    <sheet name="3 Walpole Park South" sheetId="75" r:id="rId25"/>
    <sheet name="4 Walpole Park South" sheetId="74" r:id="rId26"/>
    <sheet name="Brockton" sheetId="73" r:id="rId27"/>
    <sheet name="Canton" sheetId="80" r:id="rId28"/>
    <sheet name="Chelsea" sheetId="72" r:id="rId29"/>
    <sheet name="Hamilton Landfill" sheetId="90" r:id="rId30"/>
    <sheet name="Holliston" sheetId="82" r:id="rId31"/>
    <sheet name="Natick HS - Carports" sheetId="91" r:id="rId32"/>
    <sheet name="Norton" sheetId="84" r:id="rId33"/>
    <sheet name="Palmer - Boston Rd." sheetId="85" r:id="rId34"/>
    <sheet name="Shirley Bartkus" sheetId="86" r:id="rId35"/>
    <sheet name="Stoughton" sheetId="87" r:id="rId36"/>
    <sheet name="Wellfleet Landfill" sheetId="92" r:id="rId37"/>
    <sheet name="Wilmington Garage &amp; Building 7" sheetId="88" r:id="rId38"/>
    <sheet name="Woburn" sheetId="89" r:id="rId39"/>
    <sheet name="Friendship Solar 1" sheetId="70" r:id="rId40"/>
    <sheet name="Friendship Solar 2" sheetId="81" r:id="rId41"/>
    <sheet name="101 Carnegie Center" sheetId="93" r:id="rId42"/>
    <sheet name="302 Carnegie Center" sheetId="96" r:id="rId43"/>
    <sheet name="510 Carnegie Center" sheetId="95" r:id="rId44"/>
    <sheet name="701 Carnegie Center" sheetId="94" r:id="rId45"/>
    <sheet name="Hudson County Correction" sheetId="83" r:id="rId46"/>
    <sheet name="ER Bison Solar" sheetId="71" r:id="rId47"/>
    <sheet name="Danville" sheetId="99" r:id="rId4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Jan!$A$2:$I$2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'YTD Total'!$A$2:$I$2</definedName>
    <definedName name="JanActual">Jan!$C$3:$C$31</definedName>
    <definedName name="JanActual2">Jan!#REF!</definedName>
    <definedName name="JanExpected">Jan!$D$3:$D$31</definedName>
    <definedName name="JanExpectedDelta">Jan!$E$3:$E$31</definedName>
    <definedName name="JanExpectedPercent">Jan!$F$3:$F$31</definedName>
    <definedName name="JanExpPercent">Jan!$F$3:$F$31</definedName>
    <definedName name="JanForecasted">Jan!$G$3:$G$31</definedName>
    <definedName name="JanForecastedDelta">Jan!$H$3:$H$31</definedName>
    <definedName name="JanForecastedPercent">Jan!$I$3:$I$31</definedName>
    <definedName name="portfolio">Sites!$B$1:$B$1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81" l="1"/>
  <c r="E5" i="81" s="1"/>
  <c r="G5" i="81"/>
  <c r="H5" i="81" s="1"/>
  <c r="D5" i="70"/>
  <c r="E5" i="70"/>
  <c r="G5" i="70"/>
  <c r="H5" i="70"/>
  <c r="D6" i="70"/>
  <c r="D7" i="70"/>
  <c r="D8" i="70"/>
  <c r="D9" i="70"/>
  <c r="D10" i="70"/>
  <c r="D11" i="70"/>
  <c r="D12" i="70"/>
  <c r="D13" i="70"/>
  <c r="D14" i="70"/>
  <c r="D15" i="70"/>
  <c r="D16" i="70"/>
  <c r="Q18" i="33"/>
  <c r="A3" i="1" a="1"/>
  <c r="A3" i="1" s="1"/>
  <c r="D5" i="93"/>
  <c r="E5" i="93" s="1"/>
  <c r="G5" i="93"/>
  <c r="H5" i="93" s="1"/>
  <c r="F17" i="99"/>
  <c r="C17" i="99"/>
  <c r="B17" i="99"/>
  <c r="G17" i="99" s="1"/>
  <c r="H17" i="99" s="1"/>
  <c r="G16" i="99"/>
  <c r="H16" i="99" s="1"/>
  <c r="D16" i="99"/>
  <c r="E16" i="99" s="1"/>
  <c r="G15" i="99"/>
  <c r="H15" i="99" s="1"/>
  <c r="D15" i="99"/>
  <c r="E15" i="99" s="1"/>
  <c r="G14" i="99"/>
  <c r="H14" i="99" s="1"/>
  <c r="D14" i="99"/>
  <c r="E14" i="99" s="1"/>
  <c r="G13" i="99"/>
  <c r="H13" i="99" s="1"/>
  <c r="D13" i="99"/>
  <c r="E13" i="99" s="1"/>
  <c r="G12" i="99"/>
  <c r="H12" i="99" s="1"/>
  <c r="D12" i="99"/>
  <c r="E12" i="99" s="1"/>
  <c r="G11" i="99"/>
  <c r="H11" i="99" s="1"/>
  <c r="D11" i="99"/>
  <c r="E11" i="99" s="1"/>
  <c r="G10" i="99"/>
  <c r="H10" i="99" s="1"/>
  <c r="D10" i="99"/>
  <c r="E10" i="99" s="1"/>
  <c r="G9" i="99"/>
  <c r="H9" i="99" s="1"/>
  <c r="D9" i="99"/>
  <c r="E9" i="99" s="1"/>
  <c r="G8" i="99"/>
  <c r="H8" i="99" s="1"/>
  <c r="D8" i="99"/>
  <c r="E8" i="99" s="1"/>
  <c r="G7" i="99"/>
  <c r="H7" i="99" s="1"/>
  <c r="D7" i="99"/>
  <c r="E7" i="99" s="1"/>
  <c r="G6" i="99"/>
  <c r="H6" i="99" s="1"/>
  <c r="D6" i="99"/>
  <c r="E6" i="99" s="1"/>
  <c r="G5" i="99"/>
  <c r="H5" i="99" s="1"/>
  <c r="D5" i="99"/>
  <c r="E5" i="99" s="1"/>
  <c r="G16" i="71"/>
  <c r="H16" i="71" s="1"/>
  <c r="D16" i="71"/>
  <c r="E16" i="71" s="1"/>
  <c r="G15" i="71"/>
  <c r="H15" i="71" s="1"/>
  <c r="D15" i="71"/>
  <c r="E15" i="71" s="1"/>
  <c r="G14" i="71"/>
  <c r="H14" i="71" s="1"/>
  <c r="D14" i="71"/>
  <c r="E14" i="71" s="1"/>
  <c r="G16" i="72"/>
  <c r="H16" i="72" s="1"/>
  <c r="D16" i="72"/>
  <c r="E16" i="72" s="1"/>
  <c r="G15" i="72"/>
  <c r="H15" i="72" s="1"/>
  <c r="D15" i="72"/>
  <c r="E15" i="72" s="1"/>
  <c r="G14" i="72"/>
  <c r="H14" i="72" s="1"/>
  <c r="D14" i="72"/>
  <c r="E14" i="72" s="1"/>
  <c r="G16" i="80"/>
  <c r="H16" i="80" s="1"/>
  <c r="D16" i="80"/>
  <c r="E16" i="80" s="1"/>
  <c r="G15" i="80"/>
  <c r="H15" i="80" s="1"/>
  <c r="D15" i="80"/>
  <c r="E15" i="80" s="1"/>
  <c r="G14" i="80"/>
  <c r="H14" i="80" s="1"/>
  <c r="D14" i="80"/>
  <c r="E14" i="80" s="1"/>
  <c r="G16" i="73"/>
  <c r="H16" i="73" s="1"/>
  <c r="D16" i="73"/>
  <c r="E16" i="73" s="1"/>
  <c r="G15" i="73"/>
  <c r="H15" i="73" s="1"/>
  <c r="D15" i="73"/>
  <c r="E15" i="73" s="1"/>
  <c r="G14" i="73"/>
  <c r="H14" i="73" s="1"/>
  <c r="D14" i="73"/>
  <c r="E14" i="73" s="1"/>
  <c r="G16" i="74"/>
  <c r="H16" i="74" s="1"/>
  <c r="D16" i="74"/>
  <c r="E16" i="74" s="1"/>
  <c r="G15" i="74"/>
  <c r="H15" i="74" s="1"/>
  <c r="D15" i="74"/>
  <c r="E15" i="74" s="1"/>
  <c r="G14" i="74"/>
  <c r="H14" i="74" s="1"/>
  <c r="D14" i="74"/>
  <c r="E14" i="74" s="1"/>
  <c r="G16" i="75"/>
  <c r="H16" i="75" s="1"/>
  <c r="D16" i="75"/>
  <c r="E16" i="75" s="1"/>
  <c r="G15" i="75"/>
  <c r="H15" i="75" s="1"/>
  <c r="D15" i="75"/>
  <c r="E15" i="75" s="1"/>
  <c r="G14" i="75"/>
  <c r="H14" i="75" s="1"/>
  <c r="D14" i="75"/>
  <c r="E14" i="75" s="1"/>
  <c r="G16" i="5"/>
  <c r="H16" i="5" s="1"/>
  <c r="D16" i="5"/>
  <c r="E16" i="5" s="1"/>
  <c r="G15" i="5"/>
  <c r="H15" i="5" s="1"/>
  <c r="D15" i="5"/>
  <c r="E15" i="5" s="1"/>
  <c r="G14" i="5"/>
  <c r="H14" i="5" s="1"/>
  <c r="D14" i="5"/>
  <c r="E14" i="5" s="1"/>
  <c r="A3" i="4" a="1"/>
  <c r="A3" i="4" s="1"/>
  <c r="B3" i="4" a="1"/>
  <c r="B3" i="4" s="1"/>
  <c r="A3" i="21" a="1"/>
  <c r="A3" i="21" s="1"/>
  <c r="B3" i="21" a="1"/>
  <c r="B3" i="21" s="1"/>
  <c r="A3" i="20" a="1"/>
  <c r="A3" i="20" s="1"/>
  <c r="B3" i="20" a="1"/>
  <c r="B3" i="20" s="1"/>
  <c r="A3" i="26" a="1"/>
  <c r="A3" i="26" s="1"/>
  <c r="B3" i="26" a="1"/>
  <c r="B3" i="26" s="1"/>
  <c r="F17" i="96"/>
  <c r="C17" i="96"/>
  <c r="B17" i="96"/>
  <c r="G16" i="96"/>
  <c r="H16" i="96" s="1"/>
  <c r="D16" i="96"/>
  <c r="E16" i="96" s="1"/>
  <c r="G15" i="96"/>
  <c r="H15" i="96" s="1"/>
  <c r="D15" i="96"/>
  <c r="E15" i="96" s="1"/>
  <c r="G14" i="96"/>
  <c r="H14" i="96" s="1"/>
  <c r="D14" i="96"/>
  <c r="E14" i="96" s="1"/>
  <c r="G13" i="96"/>
  <c r="H13" i="96" s="1"/>
  <c r="D13" i="96"/>
  <c r="E13" i="96" s="1"/>
  <c r="G12" i="96"/>
  <c r="H12" i="96" s="1"/>
  <c r="D12" i="96"/>
  <c r="E12" i="96" s="1"/>
  <c r="G11" i="96"/>
  <c r="H11" i="96" s="1"/>
  <c r="D11" i="96"/>
  <c r="E11" i="96" s="1"/>
  <c r="G10" i="96"/>
  <c r="H10" i="96" s="1"/>
  <c r="D10" i="96"/>
  <c r="E10" i="96" s="1"/>
  <c r="G9" i="96"/>
  <c r="H9" i="96" s="1"/>
  <c r="D9" i="96"/>
  <c r="E9" i="96" s="1"/>
  <c r="G8" i="96"/>
  <c r="H8" i="96" s="1"/>
  <c r="D8" i="96"/>
  <c r="E8" i="96" s="1"/>
  <c r="G7" i="96"/>
  <c r="H7" i="96" s="1"/>
  <c r="D7" i="96"/>
  <c r="E7" i="96" s="1"/>
  <c r="G6" i="96"/>
  <c r="H6" i="96" s="1"/>
  <c r="D6" i="96"/>
  <c r="E6" i="96" s="1"/>
  <c r="G5" i="96"/>
  <c r="H5" i="96" s="1"/>
  <c r="D5" i="96"/>
  <c r="E5" i="96" s="1"/>
  <c r="F17" i="95"/>
  <c r="C17" i="95"/>
  <c r="B17" i="95"/>
  <c r="G16" i="95"/>
  <c r="H16" i="95" s="1"/>
  <c r="D16" i="95"/>
  <c r="E16" i="95" s="1"/>
  <c r="G15" i="95"/>
  <c r="H15" i="95" s="1"/>
  <c r="D15" i="95"/>
  <c r="E15" i="95" s="1"/>
  <c r="G14" i="95"/>
  <c r="H14" i="95" s="1"/>
  <c r="D14" i="95"/>
  <c r="E14" i="95" s="1"/>
  <c r="G13" i="95"/>
  <c r="H13" i="95" s="1"/>
  <c r="D13" i="95"/>
  <c r="E13" i="95" s="1"/>
  <c r="G12" i="95"/>
  <c r="H12" i="95" s="1"/>
  <c r="D12" i="95"/>
  <c r="E12" i="95" s="1"/>
  <c r="G11" i="95"/>
  <c r="H11" i="95" s="1"/>
  <c r="D11" i="95"/>
  <c r="E11" i="95" s="1"/>
  <c r="G10" i="95"/>
  <c r="H10" i="95" s="1"/>
  <c r="D10" i="95"/>
  <c r="E10" i="95" s="1"/>
  <c r="G9" i="95"/>
  <c r="H9" i="95" s="1"/>
  <c r="D9" i="95"/>
  <c r="E9" i="95" s="1"/>
  <c r="G8" i="95"/>
  <c r="H8" i="95" s="1"/>
  <c r="D8" i="95"/>
  <c r="E8" i="95" s="1"/>
  <c r="G7" i="95"/>
  <c r="H7" i="95" s="1"/>
  <c r="D7" i="95"/>
  <c r="E7" i="95" s="1"/>
  <c r="G6" i="95"/>
  <c r="H6" i="95" s="1"/>
  <c r="D6" i="95"/>
  <c r="E6" i="95" s="1"/>
  <c r="G5" i="95"/>
  <c r="H5" i="95" s="1"/>
  <c r="D5" i="95"/>
  <c r="E5" i="95" s="1"/>
  <c r="F17" i="94"/>
  <c r="C17" i="94"/>
  <c r="B17" i="94"/>
  <c r="G16" i="94"/>
  <c r="H16" i="94" s="1"/>
  <c r="D16" i="94"/>
  <c r="E16" i="94" s="1"/>
  <c r="G15" i="94"/>
  <c r="H15" i="94" s="1"/>
  <c r="D15" i="94"/>
  <c r="E15" i="94" s="1"/>
  <c r="G14" i="94"/>
  <c r="H14" i="94" s="1"/>
  <c r="D14" i="94"/>
  <c r="E14" i="94" s="1"/>
  <c r="G13" i="94"/>
  <c r="H13" i="94" s="1"/>
  <c r="D13" i="94"/>
  <c r="E13" i="94" s="1"/>
  <c r="G12" i="94"/>
  <c r="H12" i="94" s="1"/>
  <c r="D12" i="94"/>
  <c r="E12" i="94" s="1"/>
  <c r="G11" i="94"/>
  <c r="H11" i="94" s="1"/>
  <c r="D11" i="94"/>
  <c r="E11" i="94" s="1"/>
  <c r="G10" i="94"/>
  <c r="H10" i="94" s="1"/>
  <c r="D10" i="94"/>
  <c r="E10" i="94" s="1"/>
  <c r="G9" i="94"/>
  <c r="H9" i="94" s="1"/>
  <c r="D9" i="94"/>
  <c r="E9" i="94" s="1"/>
  <c r="G8" i="94"/>
  <c r="H8" i="94" s="1"/>
  <c r="D8" i="94"/>
  <c r="E8" i="94" s="1"/>
  <c r="G7" i="94"/>
  <c r="H7" i="94" s="1"/>
  <c r="D7" i="94"/>
  <c r="E7" i="94" s="1"/>
  <c r="G6" i="94"/>
  <c r="H6" i="94" s="1"/>
  <c r="D6" i="94"/>
  <c r="E6" i="94" s="1"/>
  <c r="G5" i="94"/>
  <c r="H5" i="94" s="1"/>
  <c r="D5" i="94"/>
  <c r="E5" i="94" s="1"/>
  <c r="F17" i="93"/>
  <c r="C17" i="93"/>
  <c r="B17" i="93"/>
  <c r="G16" i="93"/>
  <c r="H16" i="93" s="1"/>
  <c r="D16" i="93"/>
  <c r="E16" i="93" s="1"/>
  <c r="G15" i="93"/>
  <c r="H15" i="93" s="1"/>
  <c r="D15" i="93"/>
  <c r="E15" i="93" s="1"/>
  <c r="G14" i="93"/>
  <c r="H14" i="93" s="1"/>
  <c r="D14" i="93"/>
  <c r="E14" i="93" s="1"/>
  <c r="G13" i="93"/>
  <c r="H13" i="93" s="1"/>
  <c r="D13" i="93"/>
  <c r="E13" i="93" s="1"/>
  <c r="G12" i="93"/>
  <c r="H12" i="93" s="1"/>
  <c r="D12" i="93"/>
  <c r="E12" i="93" s="1"/>
  <c r="G11" i="93"/>
  <c r="H11" i="93" s="1"/>
  <c r="D11" i="93"/>
  <c r="E11" i="93" s="1"/>
  <c r="G10" i="93"/>
  <c r="H10" i="93" s="1"/>
  <c r="D10" i="93"/>
  <c r="E10" i="93" s="1"/>
  <c r="G9" i="93"/>
  <c r="H9" i="93" s="1"/>
  <c r="D9" i="93"/>
  <c r="E9" i="93" s="1"/>
  <c r="G8" i="93"/>
  <c r="H8" i="93" s="1"/>
  <c r="D8" i="93"/>
  <c r="E8" i="93" s="1"/>
  <c r="G7" i="93"/>
  <c r="H7" i="93" s="1"/>
  <c r="D7" i="93"/>
  <c r="E7" i="93" s="1"/>
  <c r="G6" i="93"/>
  <c r="H6" i="93" s="1"/>
  <c r="D6" i="93"/>
  <c r="E6" i="93" s="1"/>
  <c r="F17" i="90"/>
  <c r="C17" i="90"/>
  <c r="B17" i="90"/>
  <c r="G16" i="90"/>
  <c r="H16" i="90" s="1"/>
  <c r="D16" i="90"/>
  <c r="E16" i="90" s="1"/>
  <c r="G15" i="90"/>
  <c r="H15" i="90" s="1"/>
  <c r="D15" i="90"/>
  <c r="E15" i="90" s="1"/>
  <c r="G14" i="90"/>
  <c r="H14" i="90" s="1"/>
  <c r="D14" i="90"/>
  <c r="E14" i="90" s="1"/>
  <c r="G13" i="90"/>
  <c r="H13" i="90" s="1"/>
  <c r="D13" i="90"/>
  <c r="E13" i="90" s="1"/>
  <c r="G12" i="90"/>
  <c r="H12" i="90" s="1"/>
  <c r="D12" i="90"/>
  <c r="E12" i="90" s="1"/>
  <c r="G11" i="90"/>
  <c r="H11" i="90" s="1"/>
  <c r="D11" i="90"/>
  <c r="E11" i="90" s="1"/>
  <c r="G10" i="90"/>
  <c r="H10" i="90" s="1"/>
  <c r="D10" i="90"/>
  <c r="E10" i="90" s="1"/>
  <c r="G9" i="90"/>
  <c r="H9" i="90" s="1"/>
  <c r="D9" i="90"/>
  <c r="E9" i="90" s="1"/>
  <c r="G8" i="90"/>
  <c r="H8" i="90" s="1"/>
  <c r="D8" i="90"/>
  <c r="E8" i="90" s="1"/>
  <c r="G7" i="90"/>
  <c r="H7" i="90" s="1"/>
  <c r="D7" i="90"/>
  <c r="E7" i="90" s="1"/>
  <c r="G6" i="90"/>
  <c r="H6" i="90" s="1"/>
  <c r="D6" i="90"/>
  <c r="E6" i="90" s="1"/>
  <c r="G5" i="90"/>
  <c r="H5" i="90" s="1"/>
  <c r="D5" i="90"/>
  <c r="E5" i="90" s="1"/>
  <c r="F17" i="91"/>
  <c r="C17" i="91"/>
  <c r="B17" i="91"/>
  <c r="G16" i="91"/>
  <c r="H16" i="91" s="1"/>
  <c r="D16" i="91"/>
  <c r="E16" i="91" s="1"/>
  <c r="G15" i="91"/>
  <c r="H15" i="91" s="1"/>
  <c r="D15" i="91"/>
  <c r="E15" i="91" s="1"/>
  <c r="G14" i="91"/>
  <c r="H14" i="91" s="1"/>
  <c r="D14" i="91"/>
  <c r="E14" i="91" s="1"/>
  <c r="G13" i="91"/>
  <c r="H13" i="91" s="1"/>
  <c r="D13" i="91"/>
  <c r="E13" i="91" s="1"/>
  <c r="G12" i="91"/>
  <c r="H12" i="91" s="1"/>
  <c r="D12" i="91"/>
  <c r="E12" i="91" s="1"/>
  <c r="G11" i="91"/>
  <c r="H11" i="91" s="1"/>
  <c r="D11" i="91"/>
  <c r="E11" i="91" s="1"/>
  <c r="G10" i="91"/>
  <c r="H10" i="91" s="1"/>
  <c r="D10" i="91"/>
  <c r="E10" i="91" s="1"/>
  <c r="G9" i="91"/>
  <c r="H9" i="91" s="1"/>
  <c r="D9" i="91"/>
  <c r="E9" i="91" s="1"/>
  <c r="G8" i="91"/>
  <c r="H8" i="91" s="1"/>
  <c r="D8" i="91"/>
  <c r="E8" i="91" s="1"/>
  <c r="G7" i="91"/>
  <c r="H7" i="91" s="1"/>
  <c r="D7" i="91"/>
  <c r="E7" i="91" s="1"/>
  <c r="G6" i="91"/>
  <c r="H6" i="91" s="1"/>
  <c r="D6" i="91"/>
  <c r="E6" i="91" s="1"/>
  <c r="G5" i="91"/>
  <c r="H5" i="91" s="1"/>
  <c r="D5" i="91"/>
  <c r="E5" i="91" s="1"/>
  <c r="D14" i="92"/>
  <c r="E14" i="92"/>
  <c r="G14" i="92"/>
  <c r="H14" i="92"/>
  <c r="D15" i="92"/>
  <c r="E15" i="92" s="1"/>
  <c r="G15" i="92"/>
  <c r="H15" i="92" s="1"/>
  <c r="D16" i="92"/>
  <c r="E16" i="92" s="1"/>
  <c r="G16" i="92"/>
  <c r="H16" i="92" s="1"/>
  <c r="F17" i="92"/>
  <c r="C17" i="92"/>
  <c r="B17" i="92"/>
  <c r="G13" i="92"/>
  <c r="H13" i="92" s="1"/>
  <c r="D13" i="92"/>
  <c r="E13" i="92" s="1"/>
  <c r="G12" i="92"/>
  <c r="H12" i="92" s="1"/>
  <c r="D12" i="92"/>
  <c r="E12" i="92" s="1"/>
  <c r="G11" i="92"/>
  <c r="H11" i="92" s="1"/>
  <c r="D11" i="92"/>
  <c r="E11" i="92" s="1"/>
  <c r="G10" i="92"/>
  <c r="H10" i="92" s="1"/>
  <c r="D10" i="92"/>
  <c r="E10" i="92" s="1"/>
  <c r="G9" i="92"/>
  <c r="H9" i="92" s="1"/>
  <c r="D9" i="92"/>
  <c r="E9" i="92" s="1"/>
  <c r="G8" i="92"/>
  <c r="H8" i="92" s="1"/>
  <c r="D8" i="92"/>
  <c r="E8" i="92" s="1"/>
  <c r="G7" i="92"/>
  <c r="H7" i="92" s="1"/>
  <c r="D7" i="92"/>
  <c r="E7" i="92" s="1"/>
  <c r="G6" i="92"/>
  <c r="H6" i="92" s="1"/>
  <c r="D6" i="92"/>
  <c r="E6" i="92" s="1"/>
  <c r="G5" i="92"/>
  <c r="H5" i="92" s="1"/>
  <c r="D5" i="92"/>
  <c r="E5" i="92" s="1"/>
  <c r="G13" i="71"/>
  <c r="H13" i="71" s="1"/>
  <c r="D13" i="71"/>
  <c r="E13" i="71" s="1"/>
  <c r="G13" i="72"/>
  <c r="H13" i="72" s="1"/>
  <c r="D13" i="72"/>
  <c r="E13" i="72" s="1"/>
  <c r="G13" i="80"/>
  <c r="H13" i="80" s="1"/>
  <c r="D13" i="80"/>
  <c r="E13" i="80" s="1"/>
  <c r="G13" i="73"/>
  <c r="H13" i="73" s="1"/>
  <c r="D13" i="73"/>
  <c r="E13" i="73" s="1"/>
  <c r="E12" i="73"/>
  <c r="G13" i="74"/>
  <c r="H13" i="74" s="1"/>
  <c r="D13" i="74"/>
  <c r="E13" i="74" s="1"/>
  <c r="G13" i="75"/>
  <c r="H13" i="75" s="1"/>
  <c r="G13" i="5"/>
  <c r="H13" i="5" s="1"/>
  <c r="E13" i="5"/>
  <c r="D13" i="5"/>
  <c r="H12" i="5"/>
  <c r="G6" i="5"/>
  <c r="G7" i="5"/>
  <c r="G8" i="5"/>
  <c r="G9" i="5"/>
  <c r="G10" i="5"/>
  <c r="G11" i="5"/>
  <c r="H11" i="5" s="1"/>
  <c r="G12" i="5"/>
  <c r="E6" i="5"/>
  <c r="E7" i="5"/>
  <c r="E8" i="5"/>
  <c r="E9" i="5"/>
  <c r="E10" i="5"/>
  <c r="E11" i="5"/>
  <c r="E12" i="5"/>
  <c r="D6" i="5"/>
  <c r="D7" i="5"/>
  <c r="D8" i="5"/>
  <c r="D9" i="5"/>
  <c r="D10" i="5"/>
  <c r="D11" i="5"/>
  <c r="D12" i="5"/>
  <c r="G12" i="71"/>
  <c r="H12" i="71"/>
  <c r="D12" i="71"/>
  <c r="E12" i="71" s="1"/>
  <c r="G12" i="72"/>
  <c r="H12" i="72" s="1"/>
  <c r="D12" i="72"/>
  <c r="E12" i="72" s="1"/>
  <c r="G12" i="80"/>
  <c r="H12" i="80" s="1"/>
  <c r="D12" i="80"/>
  <c r="E12" i="80" s="1"/>
  <c r="G12" i="73"/>
  <c r="H12" i="73" s="1"/>
  <c r="D12" i="73"/>
  <c r="G12" i="74"/>
  <c r="H12" i="74" s="1"/>
  <c r="E12" i="74"/>
  <c r="D12" i="74"/>
  <c r="G12" i="75"/>
  <c r="H12" i="75" s="1"/>
  <c r="D12" i="75"/>
  <c r="E12" i="75" s="1"/>
  <c r="D13" i="75"/>
  <c r="E13" i="75" s="1"/>
  <c r="G12" i="76"/>
  <c r="H12" i="76" s="1"/>
  <c r="G13" i="76"/>
  <c r="H13" i="76" s="1"/>
  <c r="G14" i="76"/>
  <c r="H14" i="76" s="1"/>
  <c r="G15" i="76"/>
  <c r="H15" i="76" s="1"/>
  <c r="G16" i="76"/>
  <c r="H16" i="76" s="1"/>
  <c r="E12" i="76"/>
  <c r="D12" i="76"/>
  <c r="D13" i="76"/>
  <c r="E13" i="76" s="1"/>
  <c r="D14" i="76"/>
  <c r="E14" i="76" s="1"/>
  <c r="D15" i="76"/>
  <c r="E15" i="76" s="1"/>
  <c r="D16" i="76"/>
  <c r="E16" i="76" s="1"/>
  <c r="H12" i="78"/>
  <c r="G12" i="78"/>
  <c r="G13" i="78"/>
  <c r="H13" i="78" s="1"/>
  <c r="G14" i="78"/>
  <c r="H14" i="78" s="1"/>
  <c r="G15" i="78"/>
  <c r="H15" i="78" s="1"/>
  <c r="G16" i="78"/>
  <c r="H16" i="78" s="1"/>
  <c r="E12" i="78"/>
  <c r="E14" i="78"/>
  <c r="D12" i="78"/>
  <c r="D13" i="78"/>
  <c r="E13" i="78" s="1"/>
  <c r="D14" i="78"/>
  <c r="D15" i="78"/>
  <c r="E15" i="78" s="1"/>
  <c r="D16" i="78"/>
  <c r="E16" i="78" s="1"/>
  <c r="H14" i="69"/>
  <c r="G13" i="69"/>
  <c r="H13" i="69" s="1"/>
  <c r="G14" i="69"/>
  <c r="G15" i="69"/>
  <c r="H15" i="69" s="1"/>
  <c r="G16" i="69"/>
  <c r="H16" i="69" s="1"/>
  <c r="D13" i="69"/>
  <c r="E13" i="69" s="1"/>
  <c r="D14" i="69"/>
  <c r="E14" i="69" s="1"/>
  <c r="D15" i="69"/>
  <c r="E15" i="69" s="1"/>
  <c r="D16" i="69"/>
  <c r="E16" i="69" s="1"/>
  <c r="H12" i="79"/>
  <c r="G12" i="79"/>
  <c r="G13" i="79"/>
  <c r="H13" i="79" s="1"/>
  <c r="G14" i="79"/>
  <c r="H14" i="79" s="1"/>
  <c r="G15" i="79"/>
  <c r="H15" i="79" s="1"/>
  <c r="G16" i="79"/>
  <c r="H16" i="79" s="1"/>
  <c r="D13" i="79"/>
  <c r="E13" i="79" s="1"/>
  <c r="D14" i="79"/>
  <c r="E14" i="79" s="1"/>
  <c r="D15" i="79"/>
  <c r="E15" i="79" s="1"/>
  <c r="D16" i="79"/>
  <c r="E16" i="79" s="1"/>
  <c r="D12" i="79"/>
  <c r="E12" i="79" s="1"/>
  <c r="G12" i="69"/>
  <c r="H12" i="69" s="1"/>
  <c r="E12" i="69"/>
  <c r="D12" i="69"/>
  <c r="G11" i="71"/>
  <c r="H11" i="71" s="1"/>
  <c r="D11" i="71"/>
  <c r="E11" i="71" s="1"/>
  <c r="G11" i="72"/>
  <c r="H11" i="72" s="1"/>
  <c r="D11" i="72"/>
  <c r="E11" i="72" s="1"/>
  <c r="G11" i="80"/>
  <c r="H11" i="80" s="1"/>
  <c r="E11" i="80"/>
  <c r="D11" i="80"/>
  <c r="G11" i="73"/>
  <c r="H11" i="73" s="1"/>
  <c r="D11" i="73"/>
  <c r="E11" i="73"/>
  <c r="G11" i="74"/>
  <c r="H11" i="74" s="1"/>
  <c r="D11" i="74"/>
  <c r="E11" i="74" s="1"/>
  <c r="G11" i="75"/>
  <c r="H11" i="75" s="1"/>
  <c r="D11" i="75"/>
  <c r="E11" i="75" s="1"/>
  <c r="G11" i="76"/>
  <c r="H11" i="76" s="1"/>
  <c r="D11" i="76"/>
  <c r="E11" i="76" s="1"/>
  <c r="G11" i="78"/>
  <c r="H11" i="78" s="1"/>
  <c r="D11" i="78"/>
  <c r="E11" i="78" s="1"/>
  <c r="H11" i="79"/>
  <c r="G11" i="79"/>
  <c r="D11" i="79"/>
  <c r="E11" i="79" s="1"/>
  <c r="G11" i="69"/>
  <c r="H11" i="69" s="1"/>
  <c r="E11" i="69"/>
  <c r="D11" i="69"/>
  <c r="D10" i="81"/>
  <c r="D9" i="81"/>
  <c r="D8" i="81"/>
  <c r="D7" i="81"/>
  <c r="D6" i="81"/>
  <c r="C32" i="21" a="1"/>
  <c r="C32" i="3" a="1"/>
  <c r="C6" i="26" a="1"/>
  <c r="C32" i="19" a="1"/>
  <c r="C16" i="21" a="1"/>
  <c r="C29" i="26" a="1"/>
  <c r="C11" i="26" a="1"/>
  <c r="C21" i="20" a="1"/>
  <c r="C16" i="26" a="1"/>
  <c r="C14" i="26" a="1"/>
  <c r="C29" i="21" a="1"/>
  <c r="C26" i="20" a="1"/>
  <c r="C12" i="26" a="1"/>
  <c r="C28" i="21" a="1"/>
  <c r="C8" i="26" a="1"/>
  <c r="C32" i="2" a="1"/>
  <c r="C28" i="4" a="1"/>
  <c r="C21" i="4" a="1"/>
  <c r="C32" i="28" a="1"/>
  <c r="C28" i="20" a="1"/>
  <c r="C32" i="31" a="1"/>
  <c r="C27" i="4" a="1"/>
  <c r="C32" i="33" a="1"/>
  <c r="C10" i="26" a="1"/>
  <c r="C3" i="26" a="1"/>
  <c r="C21" i="26" a="1"/>
  <c r="C16" i="20" a="1"/>
  <c r="C26" i="26" a="1"/>
  <c r="C32" i="26" a="1"/>
  <c r="C32" i="27" a="1"/>
  <c r="C4" i="26" a="1"/>
  <c r="C13" i="26" a="1"/>
  <c r="C29" i="4" a="1"/>
  <c r="C14" i="4" a="1"/>
  <c r="C21" i="21" a="1"/>
  <c r="C31" i="26" a="1"/>
  <c r="C32" i="32" a="1"/>
  <c r="C14" i="33" a="1"/>
  <c r="C28" i="26" a="1"/>
  <c r="C5" i="26" a="1"/>
  <c r="C27" i="21" a="1"/>
  <c r="C27" i="26" a="1"/>
  <c r="C14" i="20" a="1"/>
  <c r="C26" i="21" a="1"/>
  <c r="C32" i="20" a="1"/>
  <c r="C27" i="20" a="1"/>
  <c r="C26" i="4" a="1"/>
  <c r="C14" i="21" a="1"/>
  <c r="C32" i="4" a="1"/>
  <c r="C16" i="4" a="1"/>
  <c r="C29" i="20" a="1"/>
  <c r="C9" i="26" a="1"/>
  <c r="G32" i="29" l="1"/>
  <c r="D32" i="29"/>
  <c r="G32" i="18"/>
  <c r="D32" i="18"/>
  <c r="D32" i="1"/>
  <c r="G32" i="1"/>
  <c r="C14" i="33"/>
  <c r="D32" i="30"/>
  <c r="G32" i="30"/>
  <c r="C32" i="33"/>
  <c r="D17" i="99"/>
  <c r="E17" i="99" s="1"/>
  <c r="C32" i="32"/>
  <c r="C32" i="31"/>
  <c r="C32" i="28"/>
  <c r="C32" i="27"/>
  <c r="C32" i="26"/>
  <c r="C32" i="19"/>
  <c r="C32" i="20"/>
  <c r="C32" i="21"/>
  <c r="C32" i="4"/>
  <c r="C32" i="3"/>
  <c r="C32" i="2"/>
  <c r="C29" i="26"/>
  <c r="C14" i="26"/>
  <c r="C10" i="26"/>
  <c r="C6" i="26"/>
  <c r="C29" i="20"/>
  <c r="C14" i="20"/>
  <c r="C29" i="21"/>
  <c r="C14" i="21"/>
  <c r="C29" i="4"/>
  <c r="C14" i="4"/>
  <c r="C28" i="26"/>
  <c r="C9" i="26"/>
  <c r="C28" i="20"/>
  <c r="C28" i="21"/>
  <c r="C28" i="4"/>
  <c r="C21" i="20"/>
  <c r="C13" i="26"/>
  <c r="C5" i="26"/>
  <c r="C31" i="26"/>
  <c r="C27" i="26"/>
  <c r="C16" i="26"/>
  <c r="C12" i="26"/>
  <c r="C8" i="26"/>
  <c r="C4" i="26"/>
  <c r="C27" i="20"/>
  <c r="C16" i="20"/>
  <c r="C27" i="21"/>
  <c r="C16" i="21"/>
  <c r="C27" i="4"/>
  <c r="C16" i="4"/>
  <c r="C21" i="21"/>
  <c r="C26" i="26"/>
  <c r="C11" i="26"/>
  <c r="C3" i="26"/>
  <c r="C26" i="20"/>
  <c r="C26" i="21"/>
  <c r="C26" i="4"/>
  <c r="C21" i="4"/>
  <c r="C21" i="26"/>
  <c r="G17" i="96"/>
  <c r="H17" i="96" s="1"/>
  <c r="D17" i="96"/>
  <c r="E17" i="96" s="1"/>
  <c r="G17" i="95"/>
  <c r="H17" i="95" s="1"/>
  <c r="D17" i="95"/>
  <c r="E17" i="95" s="1"/>
  <c r="G17" i="94"/>
  <c r="H17" i="94" s="1"/>
  <c r="D17" i="94"/>
  <c r="E17" i="94" s="1"/>
  <c r="G17" i="93"/>
  <c r="H17" i="93" s="1"/>
  <c r="D17" i="93"/>
  <c r="E17" i="93" s="1"/>
  <c r="G17" i="90"/>
  <c r="H17" i="90" s="1"/>
  <c r="D17" i="90"/>
  <c r="E17" i="90" s="1"/>
  <c r="G17" i="91"/>
  <c r="H17" i="91" s="1"/>
  <c r="D17" i="91"/>
  <c r="E17" i="91" s="1"/>
  <c r="G17" i="92"/>
  <c r="H17" i="92" s="1"/>
  <c r="D17" i="92"/>
  <c r="E17" i="92" s="1"/>
  <c r="F17" i="89"/>
  <c r="C17" i="89"/>
  <c r="B17" i="89"/>
  <c r="G16" i="89"/>
  <c r="H16" i="89" s="1"/>
  <c r="D16" i="89"/>
  <c r="E16" i="89" s="1"/>
  <c r="G15" i="89"/>
  <c r="H15" i="89" s="1"/>
  <c r="D15" i="89"/>
  <c r="E15" i="89" s="1"/>
  <c r="G14" i="89"/>
  <c r="H14" i="89" s="1"/>
  <c r="D14" i="89"/>
  <c r="G13" i="89"/>
  <c r="H13" i="89" s="1"/>
  <c r="D13" i="89"/>
  <c r="G12" i="89"/>
  <c r="H12" i="89" s="1"/>
  <c r="D12" i="89"/>
  <c r="G11" i="89"/>
  <c r="H11" i="89" s="1"/>
  <c r="D11" i="89"/>
  <c r="G10" i="89"/>
  <c r="H10" i="89" s="1"/>
  <c r="D10" i="89"/>
  <c r="G9" i="89"/>
  <c r="H9" i="89" s="1"/>
  <c r="D9" i="89"/>
  <c r="G8" i="89"/>
  <c r="H8" i="89" s="1"/>
  <c r="D8" i="89"/>
  <c r="G7" i="89"/>
  <c r="H7" i="89" s="1"/>
  <c r="D7" i="89"/>
  <c r="G6" i="89"/>
  <c r="H6" i="89" s="1"/>
  <c r="D6" i="89"/>
  <c r="E6" i="89" s="1"/>
  <c r="G5" i="89"/>
  <c r="H5" i="89" s="1"/>
  <c r="D5" i="89"/>
  <c r="E5" i="89" s="1"/>
  <c r="F17" i="88"/>
  <c r="C17" i="88"/>
  <c r="B17" i="88"/>
  <c r="G16" i="88"/>
  <c r="H16" i="88" s="1"/>
  <c r="D16" i="88"/>
  <c r="E16" i="88" s="1"/>
  <c r="G15" i="88"/>
  <c r="H15" i="88" s="1"/>
  <c r="D15" i="88"/>
  <c r="E15" i="88" s="1"/>
  <c r="G14" i="88"/>
  <c r="H14" i="88" s="1"/>
  <c r="D14" i="88"/>
  <c r="G13" i="88"/>
  <c r="H13" i="88" s="1"/>
  <c r="D13" i="88"/>
  <c r="E13" i="88" s="1"/>
  <c r="G12" i="88"/>
  <c r="H12" i="88" s="1"/>
  <c r="D12" i="88"/>
  <c r="G11" i="88"/>
  <c r="H11" i="88" s="1"/>
  <c r="D11" i="88"/>
  <c r="G10" i="88"/>
  <c r="H10" i="88" s="1"/>
  <c r="D10" i="88"/>
  <c r="G9" i="88"/>
  <c r="H9" i="88" s="1"/>
  <c r="D9" i="88"/>
  <c r="G8" i="88"/>
  <c r="H8" i="88" s="1"/>
  <c r="D8" i="88"/>
  <c r="G7" i="88"/>
  <c r="H7" i="88" s="1"/>
  <c r="D7" i="88"/>
  <c r="G6" i="88"/>
  <c r="H6" i="88" s="1"/>
  <c r="D6" i="88"/>
  <c r="E6" i="88" s="1"/>
  <c r="G5" i="88"/>
  <c r="H5" i="88" s="1"/>
  <c r="D5" i="88"/>
  <c r="E5" i="88" s="1"/>
  <c r="F17" i="87"/>
  <c r="C17" i="87"/>
  <c r="B17" i="87"/>
  <c r="G16" i="87"/>
  <c r="H16" i="87" s="1"/>
  <c r="D16" i="87"/>
  <c r="E16" i="87" s="1"/>
  <c r="G15" i="87"/>
  <c r="H15" i="87" s="1"/>
  <c r="D15" i="87"/>
  <c r="E15" i="87" s="1"/>
  <c r="G14" i="87"/>
  <c r="H14" i="87" s="1"/>
  <c r="D14" i="87"/>
  <c r="G13" i="87"/>
  <c r="H13" i="87" s="1"/>
  <c r="D13" i="87"/>
  <c r="G12" i="87"/>
  <c r="H12" i="87" s="1"/>
  <c r="D12" i="87"/>
  <c r="G11" i="87"/>
  <c r="H11" i="87" s="1"/>
  <c r="D11" i="87"/>
  <c r="G10" i="87"/>
  <c r="H10" i="87" s="1"/>
  <c r="D10" i="87"/>
  <c r="G9" i="87"/>
  <c r="H9" i="87" s="1"/>
  <c r="D9" i="87"/>
  <c r="G8" i="87"/>
  <c r="H8" i="87" s="1"/>
  <c r="D8" i="87"/>
  <c r="G7" i="87"/>
  <c r="H7" i="87" s="1"/>
  <c r="D7" i="87"/>
  <c r="G6" i="87"/>
  <c r="H6" i="87" s="1"/>
  <c r="D6" i="87"/>
  <c r="E6" i="87" s="1"/>
  <c r="G5" i="87"/>
  <c r="H5" i="87" s="1"/>
  <c r="D5" i="87"/>
  <c r="E5" i="87" s="1"/>
  <c r="F17" i="86"/>
  <c r="C17" i="86"/>
  <c r="B17" i="86"/>
  <c r="G16" i="86"/>
  <c r="H16" i="86" s="1"/>
  <c r="D16" i="86"/>
  <c r="E16" i="86" s="1"/>
  <c r="G15" i="86"/>
  <c r="H15" i="86" s="1"/>
  <c r="D15" i="86"/>
  <c r="E15" i="86" s="1"/>
  <c r="G14" i="86"/>
  <c r="H14" i="86" s="1"/>
  <c r="D14" i="86"/>
  <c r="G13" i="86"/>
  <c r="H13" i="86" s="1"/>
  <c r="D13" i="86"/>
  <c r="G12" i="86"/>
  <c r="H12" i="86" s="1"/>
  <c r="D12" i="86"/>
  <c r="G11" i="86"/>
  <c r="H11" i="86" s="1"/>
  <c r="D11" i="86"/>
  <c r="G10" i="86"/>
  <c r="H10" i="86" s="1"/>
  <c r="D10" i="86"/>
  <c r="G9" i="86"/>
  <c r="H9" i="86" s="1"/>
  <c r="D9" i="86"/>
  <c r="G8" i="86"/>
  <c r="H8" i="86" s="1"/>
  <c r="D8" i="86"/>
  <c r="G7" i="86"/>
  <c r="H7" i="86" s="1"/>
  <c r="D7" i="86"/>
  <c r="G6" i="86"/>
  <c r="H6" i="86" s="1"/>
  <c r="D6" i="86"/>
  <c r="E6" i="86" s="1"/>
  <c r="G5" i="86"/>
  <c r="H5" i="86" s="1"/>
  <c r="D5" i="86"/>
  <c r="E5" i="86" s="1"/>
  <c r="F17" i="85"/>
  <c r="C17" i="85"/>
  <c r="B17" i="85"/>
  <c r="G16" i="85"/>
  <c r="H16" i="85" s="1"/>
  <c r="D16" i="85"/>
  <c r="E16" i="85" s="1"/>
  <c r="G15" i="85"/>
  <c r="H15" i="85" s="1"/>
  <c r="D15" i="85"/>
  <c r="E15" i="85" s="1"/>
  <c r="G14" i="85"/>
  <c r="H14" i="85" s="1"/>
  <c r="D14" i="85"/>
  <c r="G13" i="85"/>
  <c r="H13" i="85" s="1"/>
  <c r="D13" i="85"/>
  <c r="E13" i="85" s="1"/>
  <c r="G12" i="85"/>
  <c r="H12" i="85" s="1"/>
  <c r="D12" i="85"/>
  <c r="G11" i="85"/>
  <c r="H11" i="85" s="1"/>
  <c r="D11" i="85"/>
  <c r="G10" i="85"/>
  <c r="H10" i="85" s="1"/>
  <c r="D10" i="85"/>
  <c r="G9" i="85"/>
  <c r="H9" i="85" s="1"/>
  <c r="D9" i="85"/>
  <c r="G8" i="85"/>
  <c r="H8" i="85" s="1"/>
  <c r="D8" i="85"/>
  <c r="G7" i="85"/>
  <c r="H7" i="85" s="1"/>
  <c r="D7" i="85"/>
  <c r="G6" i="85"/>
  <c r="H6" i="85" s="1"/>
  <c r="D6" i="85"/>
  <c r="E6" i="85" s="1"/>
  <c r="G5" i="85"/>
  <c r="H5" i="85" s="1"/>
  <c r="D5" i="85"/>
  <c r="E5" i="85" s="1"/>
  <c r="F17" i="84"/>
  <c r="C17" i="84"/>
  <c r="B17" i="84"/>
  <c r="G16" i="84"/>
  <c r="H16" i="84" s="1"/>
  <c r="D16" i="84"/>
  <c r="E16" i="84" s="1"/>
  <c r="G15" i="84"/>
  <c r="H15" i="84" s="1"/>
  <c r="D15" i="84"/>
  <c r="E15" i="84" s="1"/>
  <c r="G14" i="84"/>
  <c r="H14" i="84" s="1"/>
  <c r="D14" i="84"/>
  <c r="E14" i="84" s="1"/>
  <c r="G13" i="84"/>
  <c r="H13" i="84" s="1"/>
  <c r="D13" i="84"/>
  <c r="E13" i="84" s="1"/>
  <c r="G12" i="84"/>
  <c r="H12" i="84" s="1"/>
  <c r="D12" i="84"/>
  <c r="G11" i="84"/>
  <c r="H11" i="84" s="1"/>
  <c r="D11" i="84"/>
  <c r="G10" i="84"/>
  <c r="H10" i="84" s="1"/>
  <c r="D10" i="84"/>
  <c r="G9" i="84"/>
  <c r="H9" i="84" s="1"/>
  <c r="D9" i="84"/>
  <c r="G8" i="84"/>
  <c r="H8" i="84" s="1"/>
  <c r="D8" i="84"/>
  <c r="G7" i="84"/>
  <c r="H7" i="84" s="1"/>
  <c r="D7" i="84"/>
  <c r="G6" i="84"/>
  <c r="H6" i="84" s="1"/>
  <c r="D6" i="84"/>
  <c r="E6" i="84" s="1"/>
  <c r="G5" i="84"/>
  <c r="H5" i="84" s="1"/>
  <c r="D5" i="84"/>
  <c r="E5" i="84" s="1"/>
  <c r="F17" i="83"/>
  <c r="C17" i="83"/>
  <c r="B17" i="83"/>
  <c r="G16" i="83"/>
  <c r="H16" i="83" s="1"/>
  <c r="D16" i="83"/>
  <c r="E16" i="83" s="1"/>
  <c r="G15" i="83"/>
  <c r="H15" i="83" s="1"/>
  <c r="D15" i="83"/>
  <c r="E15" i="83" s="1"/>
  <c r="G14" i="83"/>
  <c r="H14" i="83" s="1"/>
  <c r="D14" i="83"/>
  <c r="E14" i="83" s="1"/>
  <c r="G13" i="83"/>
  <c r="H13" i="83" s="1"/>
  <c r="D13" i="83"/>
  <c r="E13" i="83" s="1"/>
  <c r="G12" i="83"/>
  <c r="H12" i="83" s="1"/>
  <c r="D12" i="83"/>
  <c r="G11" i="83"/>
  <c r="H11" i="83" s="1"/>
  <c r="D11" i="83"/>
  <c r="G10" i="83"/>
  <c r="H10" i="83" s="1"/>
  <c r="D10" i="83"/>
  <c r="G9" i="83"/>
  <c r="H9" i="83" s="1"/>
  <c r="D9" i="83"/>
  <c r="G8" i="83"/>
  <c r="H8" i="83" s="1"/>
  <c r="D8" i="83"/>
  <c r="G7" i="83"/>
  <c r="H7" i="83" s="1"/>
  <c r="D7" i="83"/>
  <c r="G6" i="83"/>
  <c r="H6" i="83" s="1"/>
  <c r="D6" i="83"/>
  <c r="E6" i="83" s="1"/>
  <c r="G5" i="83"/>
  <c r="H5" i="83" s="1"/>
  <c r="D5" i="83"/>
  <c r="E5" i="83" s="1"/>
  <c r="F17" i="82"/>
  <c r="C17" i="82"/>
  <c r="B17" i="82"/>
  <c r="G16" i="82"/>
  <c r="H16" i="82" s="1"/>
  <c r="D16" i="82"/>
  <c r="E16" i="82" s="1"/>
  <c r="G15" i="82"/>
  <c r="H15" i="82" s="1"/>
  <c r="D15" i="82"/>
  <c r="E15" i="82" s="1"/>
  <c r="G14" i="82"/>
  <c r="H14" i="82" s="1"/>
  <c r="D14" i="82"/>
  <c r="E14" i="82" s="1"/>
  <c r="G13" i="82"/>
  <c r="H13" i="82" s="1"/>
  <c r="D13" i="82"/>
  <c r="E13" i="82" s="1"/>
  <c r="G12" i="82"/>
  <c r="H12" i="82" s="1"/>
  <c r="D12" i="82"/>
  <c r="G11" i="82"/>
  <c r="H11" i="82" s="1"/>
  <c r="D11" i="82"/>
  <c r="G10" i="82"/>
  <c r="H10" i="82" s="1"/>
  <c r="D10" i="82"/>
  <c r="G9" i="82"/>
  <c r="H9" i="82" s="1"/>
  <c r="D9" i="82"/>
  <c r="G8" i="82"/>
  <c r="H8" i="82" s="1"/>
  <c r="D8" i="82"/>
  <c r="G7" i="82"/>
  <c r="H7" i="82" s="1"/>
  <c r="D7" i="82"/>
  <c r="G6" i="82"/>
  <c r="H6" i="82" s="1"/>
  <c r="D6" i="82"/>
  <c r="E6" i="82" s="1"/>
  <c r="G5" i="82"/>
  <c r="H5" i="82" s="1"/>
  <c r="D5" i="82"/>
  <c r="E5" i="82" s="1"/>
  <c r="F17" i="81"/>
  <c r="C17" i="81"/>
  <c r="B17" i="81"/>
  <c r="G16" i="81"/>
  <c r="H16" i="81" s="1"/>
  <c r="D16" i="81"/>
  <c r="E16" i="81" s="1"/>
  <c r="G15" i="81"/>
  <c r="H15" i="81" s="1"/>
  <c r="D15" i="81"/>
  <c r="E15" i="81" s="1"/>
  <c r="G14" i="81"/>
  <c r="H14" i="81" s="1"/>
  <c r="D14" i="81"/>
  <c r="E14" i="81" s="1"/>
  <c r="G13" i="81"/>
  <c r="H13" i="81" s="1"/>
  <c r="D13" i="81"/>
  <c r="G12" i="81"/>
  <c r="H12" i="81" s="1"/>
  <c r="D12" i="81"/>
  <c r="G11" i="81"/>
  <c r="H11" i="81" s="1"/>
  <c r="D11" i="81"/>
  <c r="G10" i="81"/>
  <c r="H10" i="81" s="1"/>
  <c r="E10" i="81"/>
  <c r="G9" i="81"/>
  <c r="H9" i="81" s="1"/>
  <c r="E9" i="81"/>
  <c r="G8" i="81"/>
  <c r="H8" i="81" s="1"/>
  <c r="E8" i="81"/>
  <c r="G7" i="81"/>
  <c r="H7" i="81" s="1"/>
  <c r="E7" i="81"/>
  <c r="G6" i="81"/>
  <c r="H6" i="81" s="1"/>
  <c r="E6" i="81"/>
  <c r="B3" i="34" a="1"/>
  <c r="B3" i="34" s="1"/>
  <c r="A3" i="34" a="1"/>
  <c r="A3" i="34" s="1"/>
  <c r="A1" i="34" a="1"/>
  <c r="A1" i="34" s="1"/>
  <c r="B3" i="30" a="1"/>
  <c r="B3" i="30" s="1"/>
  <c r="A3" i="30" a="1"/>
  <c r="A3" i="30" s="1"/>
  <c r="A1" i="30" a="1"/>
  <c r="A1" i="30" s="1"/>
  <c r="B3" i="29" a="1"/>
  <c r="B3" i="29" s="1"/>
  <c r="A3" i="29" a="1"/>
  <c r="A3" i="29" s="1"/>
  <c r="A1" i="29" a="1"/>
  <c r="A1" i="29" s="1"/>
  <c r="B3" i="18" a="1"/>
  <c r="B3" i="18" s="1"/>
  <c r="A3" i="18" a="1"/>
  <c r="A3" i="18" s="1"/>
  <c r="A1" i="18" a="1"/>
  <c r="A1" i="18" s="1"/>
  <c r="B3" i="1" a="1"/>
  <c r="B3" i="1" s="1"/>
  <c r="A1" i="1" a="1"/>
  <c r="A1" i="1" s="1"/>
  <c r="B3" i="33" a="1"/>
  <c r="B3" i="33" s="1"/>
  <c r="A3" i="33" a="1"/>
  <c r="A1" i="33" a="1"/>
  <c r="A1" i="33" s="1"/>
  <c r="B3" i="32" a="1"/>
  <c r="B3" i="32" s="1"/>
  <c r="A3" i="32" a="1"/>
  <c r="A1" i="32" a="1"/>
  <c r="A1" i="32" s="1"/>
  <c r="B3" i="31" a="1"/>
  <c r="B3" i="31" s="1"/>
  <c r="A3" i="31" a="1"/>
  <c r="A1" i="31" a="1"/>
  <c r="A1" i="31" s="1"/>
  <c r="B3" i="28" a="1"/>
  <c r="B3" i="28" s="1"/>
  <c r="A3" i="28" a="1"/>
  <c r="A1" i="28" a="1"/>
  <c r="A1" i="28" s="1"/>
  <c r="B3" i="27" a="1"/>
  <c r="B3" i="27" s="1"/>
  <c r="A3" i="27" a="1"/>
  <c r="A1" i="27" a="1"/>
  <c r="A1" i="27" s="1"/>
  <c r="A1" i="26" a="1"/>
  <c r="A1" i="26" s="1"/>
  <c r="B3" i="19" a="1"/>
  <c r="B3" i="19" s="1"/>
  <c r="A3" i="19" a="1"/>
  <c r="A1" i="19" a="1"/>
  <c r="A1" i="19" s="1"/>
  <c r="A1" i="20" a="1"/>
  <c r="A1" i="20" s="1"/>
  <c r="A1" i="21" a="1"/>
  <c r="A1" i="21" s="1"/>
  <c r="A1" i="4" a="1"/>
  <c r="A1" i="4" s="1"/>
  <c r="B3" i="3" a="1"/>
  <c r="B3" i="3" s="1"/>
  <c r="A3" i="3" a="1"/>
  <c r="A1" i="3" a="1"/>
  <c r="A1" i="3" s="1"/>
  <c r="A1" i="2" a="1"/>
  <c r="A1" i="2" s="1"/>
  <c r="F17" i="80"/>
  <c r="C17" i="80"/>
  <c r="B17" i="80"/>
  <c r="G10" i="80"/>
  <c r="H10" i="80" s="1"/>
  <c r="D10" i="80"/>
  <c r="G9" i="80"/>
  <c r="H9" i="80" s="1"/>
  <c r="D9" i="80"/>
  <c r="G8" i="80"/>
  <c r="H8" i="80" s="1"/>
  <c r="D8" i="80"/>
  <c r="G7" i="80"/>
  <c r="H7" i="80" s="1"/>
  <c r="D7" i="80"/>
  <c r="G6" i="80"/>
  <c r="H6" i="80" s="1"/>
  <c r="D6" i="80"/>
  <c r="E6" i="80" s="1"/>
  <c r="G5" i="80"/>
  <c r="H5" i="80" s="1"/>
  <c r="D5" i="80"/>
  <c r="E5" i="80" s="1"/>
  <c r="F17" i="79"/>
  <c r="C17" i="79"/>
  <c r="B17" i="79"/>
  <c r="G10" i="79"/>
  <c r="H10" i="79" s="1"/>
  <c r="D10" i="79"/>
  <c r="G9" i="79"/>
  <c r="H9" i="79" s="1"/>
  <c r="D9" i="79"/>
  <c r="G8" i="79"/>
  <c r="H8" i="79" s="1"/>
  <c r="D8" i="79"/>
  <c r="G7" i="79"/>
  <c r="H7" i="79" s="1"/>
  <c r="D7" i="79"/>
  <c r="G6" i="79"/>
  <c r="H6" i="79" s="1"/>
  <c r="D6" i="79"/>
  <c r="E6" i="79" s="1"/>
  <c r="G5" i="79"/>
  <c r="H5" i="79" s="1"/>
  <c r="D5" i="79"/>
  <c r="E5" i="79" s="1"/>
  <c r="F17" i="78"/>
  <c r="C17" i="78"/>
  <c r="B17" i="78"/>
  <c r="G10" i="78"/>
  <c r="H10" i="78" s="1"/>
  <c r="D10" i="78"/>
  <c r="G9" i="78"/>
  <c r="H9" i="78" s="1"/>
  <c r="D9" i="78"/>
  <c r="G8" i="78"/>
  <c r="H8" i="78" s="1"/>
  <c r="D8" i="78"/>
  <c r="G7" i="78"/>
  <c r="H7" i="78" s="1"/>
  <c r="D7" i="78"/>
  <c r="G6" i="78"/>
  <c r="H6" i="78" s="1"/>
  <c r="D6" i="78"/>
  <c r="E6" i="78" s="1"/>
  <c r="G5" i="78"/>
  <c r="H5" i="78" s="1"/>
  <c r="D5" i="78"/>
  <c r="E5" i="78" s="1"/>
  <c r="F17" i="77"/>
  <c r="C17" i="77"/>
  <c r="B17" i="77"/>
  <c r="G16" i="77"/>
  <c r="H16" i="77" s="1"/>
  <c r="D16" i="77"/>
  <c r="E16" i="77" s="1"/>
  <c r="G15" i="77"/>
  <c r="H15" i="77" s="1"/>
  <c r="D15" i="77"/>
  <c r="E15" i="77" s="1"/>
  <c r="G14" i="77"/>
  <c r="H14" i="77" s="1"/>
  <c r="D14" i="77"/>
  <c r="E14" i="77" s="1"/>
  <c r="G13" i="77"/>
  <c r="H13" i="77" s="1"/>
  <c r="D13" i="77"/>
  <c r="G12" i="77"/>
  <c r="H12" i="77" s="1"/>
  <c r="D12" i="77"/>
  <c r="G11" i="77"/>
  <c r="H11" i="77" s="1"/>
  <c r="D11" i="77"/>
  <c r="G10" i="77"/>
  <c r="H10" i="77" s="1"/>
  <c r="D10" i="77"/>
  <c r="G9" i="77"/>
  <c r="H9" i="77" s="1"/>
  <c r="D9" i="77"/>
  <c r="G8" i="77"/>
  <c r="H8" i="77" s="1"/>
  <c r="D8" i="77"/>
  <c r="G7" i="77"/>
  <c r="H7" i="77" s="1"/>
  <c r="D7" i="77"/>
  <c r="G6" i="77"/>
  <c r="H6" i="77" s="1"/>
  <c r="D6" i="77"/>
  <c r="E6" i="77" s="1"/>
  <c r="G5" i="77"/>
  <c r="H5" i="77" s="1"/>
  <c r="D5" i="77"/>
  <c r="E5" i="77" s="1"/>
  <c r="F17" i="76"/>
  <c r="C17" i="76"/>
  <c r="B17" i="76"/>
  <c r="G10" i="76"/>
  <c r="H10" i="76" s="1"/>
  <c r="D10" i="76"/>
  <c r="G9" i="76"/>
  <c r="H9" i="76" s="1"/>
  <c r="D9" i="76"/>
  <c r="G8" i="76"/>
  <c r="H8" i="76" s="1"/>
  <c r="D8" i="76"/>
  <c r="G7" i="76"/>
  <c r="H7" i="76" s="1"/>
  <c r="D7" i="76"/>
  <c r="G6" i="76"/>
  <c r="H6" i="76" s="1"/>
  <c r="D6" i="76"/>
  <c r="E6" i="76" s="1"/>
  <c r="G5" i="76"/>
  <c r="H5" i="76" s="1"/>
  <c r="D5" i="76"/>
  <c r="E5" i="76" s="1"/>
  <c r="F17" i="75"/>
  <c r="C17" i="75"/>
  <c r="B17" i="75"/>
  <c r="G10" i="75"/>
  <c r="H10" i="75" s="1"/>
  <c r="D10" i="75"/>
  <c r="G9" i="75"/>
  <c r="H9" i="75" s="1"/>
  <c r="D9" i="75"/>
  <c r="G8" i="75"/>
  <c r="H8" i="75" s="1"/>
  <c r="D8" i="75"/>
  <c r="G7" i="75"/>
  <c r="H7" i="75" s="1"/>
  <c r="D7" i="75"/>
  <c r="G6" i="75"/>
  <c r="H6" i="75" s="1"/>
  <c r="D6" i="75"/>
  <c r="E6" i="75" s="1"/>
  <c r="G5" i="75"/>
  <c r="H5" i="75" s="1"/>
  <c r="D5" i="75"/>
  <c r="E5" i="75" s="1"/>
  <c r="F17" i="74"/>
  <c r="C17" i="74"/>
  <c r="B17" i="74"/>
  <c r="G10" i="74"/>
  <c r="H10" i="74" s="1"/>
  <c r="D10" i="74"/>
  <c r="G9" i="74"/>
  <c r="H9" i="74" s="1"/>
  <c r="D9" i="74"/>
  <c r="G8" i="74"/>
  <c r="H8" i="74" s="1"/>
  <c r="D8" i="74"/>
  <c r="G7" i="74"/>
  <c r="H7" i="74" s="1"/>
  <c r="D7" i="74"/>
  <c r="G6" i="74"/>
  <c r="H6" i="74" s="1"/>
  <c r="D6" i="74"/>
  <c r="E6" i="74" s="1"/>
  <c r="G5" i="74"/>
  <c r="H5" i="74" s="1"/>
  <c r="D5" i="74"/>
  <c r="E5" i="74" s="1"/>
  <c r="F17" i="73"/>
  <c r="C17" i="73"/>
  <c r="B17" i="73"/>
  <c r="G10" i="73"/>
  <c r="H10" i="73" s="1"/>
  <c r="D10" i="73"/>
  <c r="G9" i="73"/>
  <c r="H9" i="73" s="1"/>
  <c r="D9" i="73"/>
  <c r="G8" i="73"/>
  <c r="H8" i="73" s="1"/>
  <c r="D8" i="73"/>
  <c r="G7" i="73"/>
  <c r="H7" i="73" s="1"/>
  <c r="D7" i="73"/>
  <c r="G6" i="73"/>
  <c r="H6" i="73" s="1"/>
  <c r="D6" i="73"/>
  <c r="E6" i="73" s="1"/>
  <c r="G5" i="73"/>
  <c r="H5" i="73" s="1"/>
  <c r="D5" i="73"/>
  <c r="E5" i="73" s="1"/>
  <c r="F17" i="72"/>
  <c r="C17" i="72"/>
  <c r="B17" i="72"/>
  <c r="G10" i="72"/>
  <c r="H10" i="72" s="1"/>
  <c r="D10" i="72"/>
  <c r="G9" i="72"/>
  <c r="H9" i="72" s="1"/>
  <c r="D9" i="72"/>
  <c r="G8" i="72"/>
  <c r="H8" i="72" s="1"/>
  <c r="D8" i="72"/>
  <c r="G7" i="72"/>
  <c r="H7" i="72" s="1"/>
  <c r="D7" i="72"/>
  <c r="G6" i="72"/>
  <c r="H6" i="72" s="1"/>
  <c r="D6" i="72"/>
  <c r="E6" i="72" s="1"/>
  <c r="G5" i="72"/>
  <c r="H5" i="72" s="1"/>
  <c r="D5" i="72"/>
  <c r="E5" i="72" s="1"/>
  <c r="F17" i="71"/>
  <c r="C17" i="71"/>
  <c r="B17" i="71"/>
  <c r="G10" i="71"/>
  <c r="H10" i="71" s="1"/>
  <c r="D10" i="71"/>
  <c r="G9" i="71"/>
  <c r="H9" i="71" s="1"/>
  <c r="D9" i="71"/>
  <c r="G8" i="71"/>
  <c r="H8" i="71" s="1"/>
  <c r="D8" i="71"/>
  <c r="G7" i="71"/>
  <c r="H7" i="71" s="1"/>
  <c r="D7" i="71"/>
  <c r="G6" i="71"/>
  <c r="H6" i="71" s="1"/>
  <c r="D6" i="71"/>
  <c r="E6" i="71" s="1"/>
  <c r="G5" i="71"/>
  <c r="H5" i="71" s="1"/>
  <c r="D5" i="71"/>
  <c r="E5" i="71" s="1"/>
  <c r="F17" i="70"/>
  <c r="C17" i="70"/>
  <c r="B17" i="70"/>
  <c r="G16" i="70"/>
  <c r="H16" i="70" s="1"/>
  <c r="E16" i="70"/>
  <c r="G15" i="70"/>
  <c r="H15" i="70" s="1"/>
  <c r="E15" i="70"/>
  <c r="G14" i="70"/>
  <c r="H14" i="70" s="1"/>
  <c r="G13" i="70"/>
  <c r="H13" i="70" s="1"/>
  <c r="G12" i="70"/>
  <c r="H12" i="70" s="1"/>
  <c r="G11" i="70"/>
  <c r="H11" i="70" s="1"/>
  <c r="G10" i="70"/>
  <c r="H10" i="70" s="1"/>
  <c r="G9" i="70"/>
  <c r="H9" i="70" s="1"/>
  <c r="E9" i="70"/>
  <c r="G8" i="70"/>
  <c r="H8" i="70" s="1"/>
  <c r="E8" i="70"/>
  <c r="G7" i="70"/>
  <c r="H7" i="70" s="1"/>
  <c r="E7" i="70"/>
  <c r="G6" i="70"/>
  <c r="H6" i="70" s="1"/>
  <c r="E6" i="70"/>
  <c r="F17" i="69"/>
  <c r="C17" i="69"/>
  <c r="B17" i="69"/>
  <c r="G10" i="69"/>
  <c r="H10" i="69" s="1"/>
  <c r="D10" i="69"/>
  <c r="G9" i="69"/>
  <c r="H9" i="69" s="1"/>
  <c r="D9" i="69"/>
  <c r="G8" i="69"/>
  <c r="H8" i="69" s="1"/>
  <c r="D8" i="69"/>
  <c r="G7" i="69"/>
  <c r="H7" i="69" s="1"/>
  <c r="D7" i="69"/>
  <c r="G6" i="69"/>
  <c r="H6" i="69" s="1"/>
  <c r="D6" i="69"/>
  <c r="E6" i="69" s="1"/>
  <c r="G5" i="69"/>
  <c r="H5" i="69" s="1"/>
  <c r="D5" i="69"/>
  <c r="E5" i="69" s="1"/>
  <c r="F17" i="5"/>
  <c r="C17" i="5"/>
  <c r="B17" i="5"/>
  <c r="H10" i="5"/>
  <c r="H9" i="5"/>
  <c r="H8" i="5"/>
  <c r="H7" i="5"/>
  <c r="H6" i="5"/>
  <c r="G5" i="5"/>
  <c r="H5" i="5" s="1"/>
  <c r="D5" i="5"/>
  <c r="E5" i="5" s="1"/>
  <c r="A3" i="2" a="1"/>
  <c r="C14" i="19" a="1"/>
  <c r="C12" i="3" a="1"/>
  <c r="C25" i="19" a="1"/>
  <c r="C24" i="20" a="1"/>
  <c r="C3" i="21" a="1"/>
  <c r="C23" i="33" a="1"/>
  <c r="C13" i="3" a="1"/>
  <c r="C11" i="2" a="1"/>
  <c r="C13" i="2" a="1"/>
  <c r="C24" i="33" a="1"/>
  <c r="C27" i="28" a="1"/>
  <c r="C31" i="3" a="1"/>
  <c r="C27" i="3" a="1"/>
  <c r="C30" i="28" a="1"/>
  <c r="C20" i="3" a="1"/>
  <c r="C25" i="20" a="1"/>
  <c r="C17" i="2" a="1"/>
  <c r="C26" i="3" a="1"/>
  <c r="C30" i="3" a="1"/>
  <c r="C25" i="21" a="1"/>
  <c r="C20" i="33" a="1"/>
  <c r="C10" i="2" a="1"/>
  <c r="C14" i="2" a="1"/>
  <c r="C3" i="4" a="1"/>
  <c r="C22" i="33" a="1"/>
  <c r="C6" i="2" a="1"/>
  <c r="C17" i="28" a="1"/>
  <c r="C18" i="3" a="1"/>
  <c r="C12" i="2" a="1"/>
  <c r="C21" i="2" a="1"/>
  <c r="C21" i="3" a="1"/>
  <c r="C17" i="3" a="1"/>
  <c r="C22" i="28" a="1"/>
  <c r="C14" i="3" a="1"/>
  <c r="C28" i="3" a="1"/>
  <c r="C21" i="28" a="1"/>
  <c r="C16" i="3" a="1"/>
  <c r="C27" i="2" a="1"/>
  <c r="C29" i="2" a="1"/>
  <c r="C29" i="19" a="1"/>
  <c r="C23" i="3" a="1"/>
  <c r="C26" i="19" a="1"/>
  <c r="C3" i="20" a="1"/>
  <c r="C19" i="33" a="1"/>
  <c r="C26" i="28" a="1"/>
  <c r="C15" i="3" a="1"/>
  <c r="C18" i="28" a="1"/>
  <c r="C21" i="33" a="1"/>
  <c r="C25" i="2" a="1"/>
  <c r="C22" i="3" a="1"/>
  <c r="C29" i="3" a="1"/>
  <c r="C22" i="2" a="1"/>
  <c r="C23" i="2" a="1"/>
  <c r="C20" i="2" a="1"/>
  <c r="C19" i="3" a="1"/>
  <c r="C9" i="2" a="1"/>
  <c r="C24" i="21" a="1"/>
  <c r="C15" i="2" a="1"/>
  <c r="C30" i="2" a="1"/>
  <c r="C24" i="2" a="1"/>
  <c r="C21" i="31" a="1"/>
  <c r="C7" i="2" a="1"/>
  <c r="C18" i="2" a="1"/>
  <c r="C28" i="19" a="1"/>
  <c r="C31" i="2" a="1"/>
  <c r="C16" i="19" a="1"/>
  <c r="C18" i="33" a="1"/>
  <c r="C8" i="2" a="1"/>
  <c r="C28" i="2" a="1"/>
  <c r="C26" i="2" a="1"/>
  <c r="C21" i="19" a="1"/>
  <c r="C27" i="19" a="1"/>
  <c r="C24" i="3" a="1"/>
  <c r="C21" i="27" a="1"/>
  <c r="C25" i="4" a="1"/>
  <c r="C25" i="3" a="1"/>
  <c r="C16" i="2" a="1"/>
  <c r="C19" i="2" a="1"/>
  <c r="C24" i="4" a="1"/>
  <c r="D32" i="34" l="1"/>
  <c r="G21" i="29"/>
  <c r="D21" i="29"/>
  <c r="C32" i="29"/>
  <c r="G16" i="18"/>
  <c r="G29" i="18"/>
  <c r="G27" i="18"/>
  <c r="G14" i="18"/>
  <c r="G25" i="18"/>
  <c r="G21" i="18"/>
  <c r="G28" i="18"/>
  <c r="G26" i="18"/>
  <c r="C32" i="18"/>
  <c r="H32" i="18" s="1"/>
  <c r="I32" i="18" s="1"/>
  <c r="D16" i="18"/>
  <c r="D29" i="18"/>
  <c r="D27" i="18"/>
  <c r="D14" i="18"/>
  <c r="D25" i="18"/>
  <c r="D21" i="18"/>
  <c r="D28" i="18"/>
  <c r="D26" i="18"/>
  <c r="C32" i="1"/>
  <c r="D21" i="1"/>
  <c r="D29" i="1"/>
  <c r="D25" i="1"/>
  <c r="D28" i="1"/>
  <c r="D24" i="1"/>
  <c r="D26" i="1"/>
  <c r="D16" i="1"/>
  <c r="D27" i="1"/>
  <c r="G21" i="1"/>
  <c r="G29" i="1"/>
  <c r="G25" i="1"/>
  <c r="G28" i="1"/>
  <c r="G24" i="1"/>
  <c r="G26" i="1"/>
  <c r="G16" i="1"/>
  <c r="G27" i="1"/>
  <c r="E7" i="71"/>
  <c r="E8" i="71"/>
  <c r="E9" i="71"/>
  <c r="E7" i="83"/>
  <c r="E9" i="83"/>
  <c r="E8" i="83"/>
  <c r="C25" i="4"/>
  <c r="C25" i="21"/>
  <c r="C25" i="20"/>
  <c r="C24" i="4"/>
  <c r="C24" i="20"/>
  <c r="C24" i="21"/>
  <c r="E7" i="89"/>
  <c r="E8" i="89"/>
  <c r="E9" i="89"/>
  <c r="E9" i="88"/>
  <c r="E7" i="88"/>
  <c r="E8" i="88"/>
  <c r="E7" i="87"/>
  <c r="E8" i="87"/>
  <c r="E9" i="87"/>
  <c r="E9" i="86"/>
  <c r="E7" i="86"/>
  <c r="E8" i="86"/>
  <c r="E9" i="85"/>
  <c r="E7" i="85"/>
  <c r="E8" i="85"/>
  <c r="E11" i="84"/>
  <c r="E9" i="84"/>
  <c r="E7" i="84"/>
  <c r="E8" i="84"/>
  <c r="E7" i="82"/>
  <c r="E8" i="82"/>
  <c r="E9" i="82"/>
  <c r="E7" i="72"/>
  <c r="E8" i="72"/>
  <c r="E9" i="72"/>
  <c r="E7" i="80"/>
  <c r="E8" i="80"/>
  <c r="E9" i="80"/>
  <c r="E7" i="73"/>
  <c r="E9" i="73"/>
  <c r="E8" i="73"/>
  <c r="E8" i="74"/>
  <c r="E9" i="74"/>
  <c r="E7" i="74"/>
  <c r="E7" i="75"/>
  <c r="E8" i="75"/>
  <c r="E9" i="75"/>
  <c r="E8" i="76"/>
  <c r="E9" i="76"/>
  <c r="E7" i="76"/>
  <c r="E7" i="77"/>
  <c r="E8" i="77"/>
  <c r="E9" i="77"/>
  <c r="E7" i="78"/>
  <c r="E8" i="78"/>
  <c r="E9" i="78"/>
  <c r="E8" i="79"/>
  <c r="E9" i="79"/>
  <c r="E7" i="79"/>
  <c r="E9" i="69"/>
  <c r="E7" i="69"/>
  <c r="E8" i="69"/>
  <c r="C3" i="4"/>
  <c r="C3" i="21"/>
  <c r="C3" i="20"/>
  <c r="G32" i="34"/>
  <c r="C32" i="30"/>
  <c r="E32" i="30" s="1"/>
  <c r="F32" i="30" s="1"/>
  <c r="C8" i="2"/>
  <c r="C18" i="2"/>
  <c r="C20" i="2"/>
  <c r="C16" i="2"/>
  <c r="C9" i="2"/>
  <c r="C30" i="2"/>
  <c r="C10" i="2"/>
  <c r="C28" i="2"/>
  <c r="C23" i="2"/>
  <c r="C22" i="2"/>
  <c r="C29" i="2"/>
  <c r="C24" i="2"/>
  <c r="C26" i="2"/>
  <c r="C7" i="2"/>
  <c r="C17" i="2"/>
  <c r="C21" i="2"/>
  <c r="C15" i="2"/>
  <c r="C31" i="2"/>
  <c r="C13" i="2"/>
  <c r="C12" i="2"/>
  <c r="C11" i="2"/>
  <c r="C6" i="2"/>
  <c r="C19" i="2"/>
  <c r="C14" i="2"/>
  <c r="C27" i="2"/>
  <c r="C25" i="2"/>
  <c r="C21" i="27"/>
  <c r="C22" i="28"/>
  <c r="C21" i="28"/>
  <c r="C18" i="28"/>
  <c r="C26" i="19"/>
  <c r="C26" i="18" s="1"/>
  <c r="C27" i="19"/>
  <c r="C27" i="18" s="1"/>
  <c r="C21" i="19"/>
  <c r="C21" i="18" s="1"/>
  <c r="C29" i="19"/>
  <c r="C29" i="18" s="1"/>
  <c r="C16" i="19"/>
  <c r="C16" i="18" s="1"/>
  <c r="C14" i="19"/>
  <c r="C14" i="18" s="1"/>
  <c r="C28" i="19"/>
  <c r="C28" i="18" s="1"/>
  <c r="C25" i="19"/>
  <c r="C24" i="33"/>
  <c r="C23" i="33"/>
  <c r="C20" i="33"/>
  <c r="C21" i="33"/>
  <c r="C18" i="33"/>
  <c r="C22" i="33"/>
  <c r="C19" i="33"/>
  <c r="C15" i="3"/>
  <c r="C19" i="3"/>
  <c r="C18" i="3"/>
  <c r="C23" i="3"/>
  <c r="C16" i="3"/>
  <c r="C17" i="3"/>
  <c r="C22" i="3"/>
  <c r="C20" i="3"/>
  <c r="C21" i="3"/>
  <c r="C24" i="3"/>
  <c r="C21" i="31"/>
  <c r="E14" i="89"/>
  <c r="E14" i="88"/>
  <c r="E14" i="87"/>
  <c r="E14" i="86"/>
  <c r="E14" i="85"/>
  <c r="E14" i="70"/>
  <c r="E13" i="89"/>
  <c r="C30" i="28"/>
  <c r="E13" i="87"/>
  <c r="E13" i="86"/>
  <c r="C27" i="28"/>
  <c r="C26" i="28"/>
  <c r="C17" i="28"/>
  <c r="E13" i="81"/>
  <c r="E13" i="70"/>
  <c r="E13" i="77"/>
  <c r="E12" i="89"/>
  <c r="E12" i="88"/>
  <c r="E12" i="87"/>
  <c r="E12" i="86"/>
  <c r="E12" i="85"/>
  <c r="E12" i="84"/>
  <c r="E12" i="83"/>
  <c r="E12" i="82"/>
  <c r="E12" i="81"/>
  <c r="E12" i="70"/>
  <c r="E12" i="77"/>
  <c r="E10" i="89"/>
  <c r="E10" i="88"/>
  <c r="E10" i="87"/>
  <c r="E10" i="86"/>
  <c r="E10" i="85"/>
  <c r="E10" i="84"/>
  <c r="E10" i="83"/>
  <c r="E10" i="82"/>
  <c r="E10" i="70"/>
  <c r="E10" i="71"/>
  <c r="E10" i="72"/>
  <c r="E10" i="80"/>
  <c r="E10" i="73"/>
  <c r="E10" i="74"/>
  <c r="E10" i="75"/>
  <c r="E10" i="76"/>
  <c r="E10" i="77"/>
  <c r="E10" i="78"/>
  <c r="E10" i="79"/>
  <c r="E10" i="69"/>
  <c r="E11" i="89"/>
  <c r="E11" i="88"/>
  <c r="E11" i="87"/>
  <c r="E11" i="86"/>
  <c r="E11" i="85"/>
  <c r="E11" i="83"/>
  <c r="E11" i="82"/>
  <c r="E11" i="81"/>
  <c r="E11" i="70"/>
  <c r="E11" i="77"/>
  <c r="G17" i="82"/>
  <c r="H17" i="82" s="1"/>
  <c r="G17" i="89"/>
  <c r="H17" i="89" s="1"/>
  <c r="G17" i="81"/>
  <c r="H17" i="81" s="1"/>
  <c r="G17" i="88"/>
  <c r="H17" i="88" s="1"/>
  <c r="G17" i="87"/>
  <c r="H17" i="87" s="1"/>
  <c r="G17" i="86"/>
  <c r="H17" i="86" s="1"/>
  <c r="G17" i="85"/>
  <c r="H17" i="85" s="1"/>
  <c r="D17" i="85"/>
  <c r="E17" i="85" s="1"/>
  <c r="G17" i="84"/>
  <c r="H17" i="84" s="1"/>
  <c r="G17" i="83"/>
  <c r="H17" i="83" s="1"/>
  <c r="G14" i="1"/>
  <c r="D14" i="1"/>
  <c r="C30" i="3"/>
  <c r="C26" i="3"/>
  <c r="C14" i="3"/>
  <c r="C25" i="3"/>
  <c r="C28" i="3"/>
  <c r="C13" i="3"/>
  <c r="C29" i="3"/>
  <c r="C31" i="3"/>
  <c r="C27" i="3"/>
  <c r="C12" i="3"/>
  <c r="D17" i="89"/>
  <c r="E17" i="89" s="1"/>
  <c r="D17" i="88"/>
  <c r="E17" i="88" s="1"/>
  <c r="D17" i="87"/>
  <c r="E17" i="87" s="1"/>
  <c r="D17" i="86"/>
  <c r="E17" i="86" s="1"/>
  <c r="D17" i="84"/>
  <c r="E17" i="84" s="1"/>
  <c r="D17" i="83"/>
  <c r="E17" i="83" s="1"/>
  <c r="D17" i="82"/>
  <c r="E17" i="82" s="1"/>
  <c r="D17" i="81"/>
  <c r="E17" i="81" s="1"/>
  <c r="A3" i="33"/>
  <c r="A3" i="32"/>
  <c r="A3" i="31"/>
  <c r="A3" i="28"/>
  <c r="A3" i="27"/>
  <c r="A3" i="19"/>
  <c r="A3" i="3"/>
  <c r="A3" i="2"/>
  <c r="G17" i="80"/>
  <c r="H17" i="80" s="1"/>
  <c r="D17" i="80"/>
  <c r="E17" i="80" s="1"/>
  <c r="G17" i="79"/>
  <c r="H17" i="79" s="1"/>
  <c r="D17" i="79"/>
  <c r="E17" i="79" s="1"/>
  <c r="G17" i="78"/>
  <c r="H17" i="78" s="1"/>
  <c r="D17" i="78"/>
  <c r="E17" i="78" s="1"/>
  <c r="G17" i="77"/>
  <c r="H17" i="77" s="1"/>
  <c r="D17" i="77"/>
  <c r="E17" i="77" s="1"/>
  <c r="G17" i="76"/>
  <c r="H17" i="76" s="1"/>
  <c r="D17" i="76"/>
  <c r="E17" i="76" s="1"/>
  <c r="G17" i="75"/>
  <c r="H17" i="75" s="1"/>
  <c r="D17" i="75"/>
  <c r="E17" i="75" s="1"/>
  <c r="G17" i="74"/>
  <c r="H17" i="74" s="1"/>
  <c r="D17" i="74"/>
  <c r="E17" i="74" s="1"/>
  <c r="G17" i="73"/>
  <c r="H17" i="73" s="1"/>
  <c r="D17" i="73"/>
  <c r="E17" i="73" s="1"/>
  <c r="G17" i="72"/>
  <c r="H17" i="72" s="1"/>
  <c r="D17" i="72"/>
  <c r="E17" i="72" s="1"/>
  <c r="G17" i="71"/>
  <c r="H17" i="71" s="1"/>
  <c r="D17" i="71"/>
  <c r="E17" i="71" s="1"/>
  <c r="G17" i="70"/>
  <c r="H17" i="70" s="1"/>
  <c r="D17" i="70"/>
  <c r="E17" i="70" s="1"/>
  <c r="G17" i="69"/>
  <c r="H17" i="69" s="1"/>
  <c r="D17" i="69"/>
  <c r="E17" i="69" s="1"/>
  <c r="G17" i="5"/>
  <c r="H17" i="5" s="1"/>
  <c r="D17" i="5"/>
  <c r="E17" i="5" s="1"/>
  <c r="B3" i="2" a="1"/>
  <c r="B3" i="2" s="1"/>
  <c r="C23" i="4" a="1"/>
  <c r="C12" i="19" a="1"/>
  <c r="C31" i="19" a="1"/>
  <c r="C9" i="19" a="1"/>
  <c r="C15" i="21" a="1"/>
  <c r="C18" i="26" a="1"/>
  <c r="C22" i="27" a="1"/>
  <c r="C12" i="21" a="1"/>
  <c r="C18" i="4" a="1"/>
  <c r="C25" i="28" a="1"/>
  <c r="C20" i="21" a="1"/>
  <c r="C22" i="19" a="1"/>
  <c r="C15" i="20" a="1"/>
  <c r="C10" i="19" a="1"/>
  <c r="C31" i="4" a="1"/>
  <c r="C9" i="20" a="1"/>
  <c r="C7" i="20" a="1"/>
  <c r="C30" i="4" a="1"/>
  <c r="C10" i="20" a="1"/>
  <c r="C23" i="28" a="1"/>
  <c r="C25" i="26" a="1"/>
  <c r="C12" i="4" a="1"/>
  <c r="C20" i="19" a="1"/>
  <c r="C17" i="20" a="1"/>
  <c r="C12" i="20" a="1"/>
  <c r="C7" i="26" a="1"/>
  <c r="C24" i="19" a="1"/>
  <c r="C15" i="19" a="1"/>
  <c r="C23" i="19" a="1"/>
  <c r="C11" i="19" a="1"/>
  <c r="C20" i="4" a="1"/>
  <c r="C17" i="26" a="1"/>
  <c r="C15" i="4" a="1"/>
  <c r="C23" i="20" a="1"/>
  <c r="C31" i="21" a="1"/>
  <c r="C17" i="21" a="1"/>
  <c r="C8" i="19" a="1"/>
  <c r="C11" i="4" a="1"/>
  <c r="C18" i="19" a="1"/>
  <c r="C22" i="4" a="1"/>
  <c r="C30" i="20" a="1"/>
  <c r="C23" i="27" a="1"/>
  <c r="C19" i="21" a="1"/>
  <c r="C19" i="26" a="1"/>
  <c r="C10" i="21" a="1"/>
  <c r="C8" i="20" a="1"/>
  <c r="C20" i="20" a="1"/>
  <c r="C13" i="20" a="1"/>
  <c r="C20" i="28" a="1"/>
  <c r="C6" i="20" a="1"/>
  <c r="C5" i="21" a="1"/>
  <c r="C18" i="21" a="1"/>
  <c r="C7" i="19" a="1"/>
  <c r="C11" i="21" a="1"/>
  <c r="C4" i="21" a="1"/>
  <c r="C10" i="4" a="1"/>
  <c r="C23" i="21" a="1"/>
  <c r="C22" i="21" a="1"/>
  <c r="C13" i="19" a="1"/>
  <c r="C31" i="20" a="1"/>
  <c r="C22" i="20" a="1"/>
  <c r="C13" i="4" a="1"/>
  <c r="C6" i="19" a="1"/>
  <c r="C18" i="20" a="1"/>
  <c r="C6" i="4" a="1"/>
  <c r="C24" i="28" a="1"/>
  <c r="C30" i="26" a="1"/>
  <c r="C9" i="4" a="1"/>
  <c r="C19" i="27" a="1"/>
  <c r="C8" i="4" a="1"/>
  <c r="C24" i="26" a="1"/>
  <c r="C20" i="27" a="1"/>
  <c r="C22" i="26" a="1"/>
  <c r="C7" i="21" a="1"/>
  <c r="C23" i="26" a="1"/>
  <c r="C30" i="21" a="1"/>
  <c r="C4" i="20" a="1"/>
  <c r="C4" i="4" a="1"/>
  <c r="C20" i="26" a="1"/>
  <c r="C13" i="21" a="1"/>
  <c r="C5" i="19" a="1"/>
  <c r="C18" i="27" a="1"/>
  <c r="C19" i="4" a="1"/>
  <c r="C5" i="4" a="1"/>
  <c r="C6" i="21" a="1"/>
  <c r="C17" i="19" a="1"/>
  <c r="C5" i="20" a="1"/>
  <c r="C30" i="19" a="1"/>
  <c r="C7" i="4" a="1"/>
  <c r="C19" i="19" a="1"/>
  <c r="C19" i="28" a="1"/>
  <c r="C17" i="4" a="1"/>
  <c r="C24" i="27" a="1"/>
  <c r="C9" i="21" a="1"/>
  <c r="C8" i="21" a="1"/>
  <c r="C11" i="20" a="1"/>
  <c r="C15" i="26" a="1"/>
  <c r="C19" i="20" a="1"/>
  <c r="E32" i="18" l="1"/>
  <c r="F32" i="18" s="1"/>
  <c r="C32" i="34"/>
  <c r="C21" i="29"/>
  <c r="G20" i="29"/>
  <c r="G22" i="29"/>
  <c r="G24" i="29"/>
  <c r="G23" i="29"/>
  <c r="G18" i="29"/>
  <c r="G19" i="29"/>
  <c r="D20" i="29"/>
  <c r="D22" i="29"/>
  <c r="D24" i="29"/>
  <c r="D23" i="29"/>
  <c r="D18" i="29"/>
  <c r="D19" i="29"/>
  <c r="G9" i="18"/>
  <c r="G8" i="18"/>
  <c r="G24" i="18"/>
  <c r="G13" i="18"/>
  <c r="G17" i="18"/>
  <c r="G18" i="18"/>
  <c r="G7" i="18"/>
  <c r="G23" i="18"/>
  <c r="G20" i="18"/>
  <c r="G19" i="18"/>
  <c r="G10" i="18"/>
  <c r="G22" i="18"/>
  <c r="G15" i="18"/>
  <c r="G12" i="18"/>
  <c r="G11" i="18"/>
  <c r="G31" i="18"/>
  <c r="G5" i="18"/>
  <c r="G6" i="18"/>
  <c r="G30" i="18"/>
  <c r="C25" i="18"/>
  <c r="D9" i="18"/>
  <c r="D8" i="18"/>
  <c r="D24" i="18"/>
  <c r="D13" i="18"/>
  <c r="D17" i="18"/>
  <c r="D18" i="18"/>
  <c r="D7" i="18"/>
  <c r="D23" i="18"/>
  <c r="D20" i="18"/>
  <c r="D19" i="18"/>
  <c r="D10" i="18"/>
  <c r="D22" i="18"/>
  <c r="D15" i="18"/>
  <c r="D12" i="18"/>
  <c r="D11" i="18"/>
  <c r="D31" i="18"/>
  <c r="D5" i="18"/>
  <c r="D6" i="18"/>
  <c r="D30" i="18"/>
  <c r="C29" i="1"/>
  <c r="C26" i="1"/>
  <c r="C24" i="1"/>
  <c r="C16" i="1"/>
  <c r="C25" i="1"/>
  <c r="C27" i="1"/>
  <c r="C21" i="1"/>
  <c r="C28" i="1"/>
  <c r="D31" i="1"/>
  <c r="D20" i="1"/>
  <c r="D18" i="1"/>
  <c r="D23" i="1"/>
  <c r="D22" i="1"/>
  <c r="D30" i="1"/>
  <c r="D17" i="1"/>
  <c r="D19" i="1"/>
  <c r="G31" i="1"/>
  <c r="G20" i="1"/>
  <c r="G18" i="1"/>
  <c r="G23" i="1"/>
  <c r="G22" i="1"/>
  <c r="G30" i="1"/>
  <c r="G17" i="1"/>
  <c r="G19" i="1"/>
  <c r="C31" i="20"/>
  <c r="C31" i="19"/>
  <c r="C31" i="21"/>
  <c r="C31" i="4"/>
  <c r="C31" i="1" s="1"/>
  <c r="C30" i="21"/>
  <c r="C30" i="26"/>
  <c r="C30" i="19"/>
  <c r="C30" i="20"/>
  <c r="C30" i="4"/>
  <c r="C30" i="1" s="1"/>
  <c r="C25" i="28"/>
  <c r="C25" i="26"/>
  <c r="C24" i="27"/>
  <c r="C24" i="28"/>
  <c r="C24" i="19"/>
  <c r="C24" i="18" s="1"/>
  <c r="C24" i="26"/>
  <c r="C23" i="19"/>
  <c r="C23" i="28"/>
  <c r="C23" i="20"/>
  <c r="C23" i="27"/>
  <c r="C23" i="21"/>
  <c r="C23" i="26"/>
  <c r="C23" i="4"/>
  <c r="C23" i="1" s="1"/>
  <c r="C22" i="20"/>
  <c r="C22" i="19"/>
  <c r="C22" i="26"/>
  <c r="C22" i="21"/>
  <c r="C22" i="27"/>
  <c r="C22" i="4"/>
  <c r="C22" i="1" s="1"/>
  <c r="C20" i="28"/>
  <c r="C20" i="19"/>
  <c r="C20" i="27"/>
  <c r="C20" i="26"/>
  <c r="C20" i="21"/>
  <c r="C20" i="20"/>
  <c r="C20" i="4"/>
  <c r="C20" i="1" s="1"/>
  <c r="C19" i="19"/>
  <c r="C19" i="27"/>
  <c r="C19" i="26"/>
  <c r="C19" i="21"/>
  <c r="C19" i="4"/>
  <c r="C19" i="1" s="1"/>
  <c r="C19" i="28"/>
  <c r="C19" i="20"/>
  <c r="C18" i="26"/>
  <c r="C18" i="21"/>
  <c r="C18" i="19"/>
  <c r="C18" i="27"/>
  <c r="C18" i="4"/>
  <c r="C18" i="1" s="1"/>
  <c r="C18" i="20"/>
  <c r="C17" i="19"/>
  <c r="C17" i="21"/>
  <c r="C17" i="4"/>
  <c r="C17" i="1" s="1"/>
  <c r="C17" i="20"/>
  <c r="C17" i="26"/>
  <c r="C15" i="26"/>
  <c r="C15" i="20"/>
  <c r="C15" i="21"/>
  <c r="C15" i="19"/>
  <c r="C15" i="4"/>
  <c r="C15" i="1" s="1"/>
  <c r="G15" i="1"/>
  <c r="D15" i="1"/>
  <c r="C13" i="19"/>
  <c r="C13" i="21"/>
  <c r="C13" i="20"/>
  <c r="C13" i="4"/>
  <c r="C13" i="1" s="1"/>
  <c r="D13" i="1"/>
  <c r="G13" i="1"/>
  <c r="C12" i="4"/>
  <c r="C12" i="1" s="1"/>
  <c r="C12" i="19"/>
  <c r="C12" i="20"/>
  <c r="C12" i="21"/>
  <c r="C11" i="21"/>
  <c r="C11" i="19"/>
  <c r="C11" i="20"/>
  <c r="C11" i="4"/>
  <c r="C10" i="21"/>
  <c r="C10" i="19"/>
  <c r="C10" i="4"/>
  <c r="C10" i="20"/>
  <c r="C9" i="20"/>
  <c r="C9" i="19"/>
  <c r="C9" i="21"/>
  <c r="C9" i="4"/>
  <c r="C8" i="4"/>
  <c r="C8" i="20"/>
  <c r="C8" i="19"/>
  <c r="C8" i="21"/>
  <c r="C7" i="19"/>
  <c r="C7" i="20"/>
  <c r="C7" i="26"/>
  <c r="C7" i="21"/>
  <c r="C7" i="4"/>
  <c r="C6" i="20"/>
  <c r="C6" i="19"/>
  <c r="C6" i="21"/>
  <c r="C6" i="4"/>
  <c r="C5" i="19"/>
  <c r="C5" i="4"/>
  <c r="C5" i="20"/>
  <c r="C5" i="21"/>
  <c r="C4" i="4"/>
  <c r="C4" i="20"/>
  <c r="C4" i="21"/>
  <c r="E32" i="1"/>
  <c r="F32" i="1" s="1"/>
  <c r="H32" i="30"/>
  <c r="I32" i="30" s="1"/>
  <c r="E32" i="29"/>
  <c r="F32" i="29" s="1"/>
  <c r="H32" i="29"/>
  <c r="I32" i="29" s="1"/>
  <c r="H32" i="1"/>
  <c r="I32" i="1" s="1"/>
  <c r="C14" i="1"/>
  <c r="D12" i="1"/>
  <c r="G12" i="1"/>
  <c r="G33" i="26"/>
  <c r="D33" i="26"/>
  <c r="G33" i="20"/>
  <c r="D33" i="20"/>
  <c r="G33" i="21"/>
  <c r="D33" i="21"/>
  <c r="G33" i="4"/>
  <c r="D33" i="4"/>
  <c r="C27" i="31" a="1"/>
  <c r="C15" i="28" a="1"/>
  <c r="C30" i="33" a="1"/>
  <c r="C28" i="32" a="1"/>
  <c r="C7" i="31" a="1"/>
  <c r="C9" i="32" a="1"/>
  <c r="C21" i="32" a="1"/>
  <c r="C29" i="27" a="1"/>
  <c r="C28" i="33" a="1"/>
  <c r="C6" i="33" a="1"/>
  <c r="C27" i="32" a="1"/>
  <c r="C27" i="27" a="1"/>
  <c r="C11" i="32" a="1"/>
  <c r="C25" i="32" a="1"/>
  <c r="C3" i="19" a="1"/>
  <c r="C3" i="32" a="1"/>
  <c r="C29" i="31" a="1"/>
  <c r="C5" i="32" a="1"/>
  <c r="C16" i="27" a="1"/>
  <c r="C7" i="28" a="1"/>
  <c r="C22" i="32" a="1"/>
  <c r="C28" i="28" a="1"/>
  <c r="C30" i="27" a="1"/>
  <c r="C12" i="33" a="1"/>
  <c r="C18" i="32" a="1"/>
  <c r="C3" i="33" a="1"/>
  <c r="C16" i="28" a="1"/>
  <c r="C7" i="27" a="1"/>
  <c r="C9" i="28" a="1"/>
  <c r="C11" i="31" a="1"/>
  <c r="C11" i="33" a="1"/>
  <c r="C4" i="19" a="1"/>
  <c r="C19" i="31" a="1"/>
  <c r="C8" i="31" a="1"/>
  <c r="C17" i="32" a="1"/>
  <c r="C12" i="31" a="1"/>
  <c r="C29" i="33" a="1"/>
  <c r="C26" i="27" a="1"/>
  <c r="C7" i="3" a="1"/>
  <c r="C11" i="27" a="1"/>
  <c r="C9" i="3" a="1"/>
  <c r="C3" i="28" a="1"/>
  <c r="C8" i="32" a="1"/>
  <c r="C4" i="33" a="1"/>
  <c r="C12" i="32" a="1"/>
  <c r="C5" i="27" a="1"/>
  <c r="C24" i="31" a="1"/>
  <c r="C4" i="2" a="1"/>
  <c r="C15" i="33" a="1"/>
  <c r="C25" i="33" a="1"/>
  <c r="C30" i="32" a="1"/>
  <c r="C26" i="32" a="1"/>
  <c r="C13" i="33" a="1"/>
  <c r="C23" i="31" a="1"/>
  <c r="C6" i="27" a="1"/>
  <c r="C4" i="32" a="1"/>
  <c r="C15" i="32" a="1"/>
  <c r="C25" i="27" a="1"/>
  <c r="C16" i="33" a="1"/>
  <c r="C17" i="27" a="1"/>
  <c r="C12" i="27" a="1"/>
  <c r="C29" i="28" a="1"/>
  <c r="C9" i="27" a="1"/>
  <c r="C10" i="28" a="1"/>
  <c r="C12" i="28" a="1"/>
  <c r="C11" i="3" a="1"/>
  <c r="C14" i="31" a="1"/>
  <c r="C22" i="31" a="1"/>
  <c r="C10" i="27" a="1"/>
  <c r="C14" i="32" a="1"/>
  <c r="C5" i="31" a="1"/>
  <c r="C31" i="27" a="1"/>
  <c r="C28" i="27" a="1"/>
  <c r="C5" i="2" a="1"/>
  <c r="C23" i="32" a="1"/>
  <c r="C13" i="28" a="1"/>
  <c r="C8" i="33" a="1"/>
  <c r="C31" i="32" a="1"/>
  <c r="C8" i="28" a="1"/>
  <c r="C6" i="3" a="1"/>
  <c r="C30" i="31" a="1"/>
  <c r="C31" i="33" a="1"/>
  <c r="C8" i="3" a="1"/>
  <c r="C31" i="31" a="1"/>
  <c r="C17" i="31" a="1"/>
  <c r="C16" i="32" a="1"/>
  <c r="C20" i="32" a="1"/>
  <c r="C5" i="3" a="1"/>
  <c r="C16" i="31" a="1"/>
  <c r="C14" i="27" a="1"/>
  <c r="C13" i="32" a="1"/>
  <c r="C4" i="3" a="1"/>
  <c r="C31" i="28" a="1"/>
  <c r="C10" i="32" a="1"/>
  <c r="C15" i="27" a="1"/>
  <c r="C3" i="31" a="1"/>
  <c r="C7" i="32" a="1"/>
  <c r="C11" i="28" a="1"/>
  <c r="C20" i="31" a="1"/>
  <c r="C13" i="27" a="1"/>
  <c r="C8" i="27" a="1"/>
  <c r="C10" i="3" a="1"/>
  <c r="C9" i="33" a="1"/>
  <c r="C3" i="3" a="1"/>
  <c r="C6" i="32" a="1"/>
  <c r="C6" i="28" a="1"/>
  <c r="C6" i="31" a="1"/>
  <c r="C3" i="27" a="1"/>
  <c r="C10" i="33" a="1"/>
  <c r="C15" i="31" a="1"/>
  <c r="C13" i="31" a="1"/>
  <c r="C24" i="32" a="1"/>
  <c r="C28" i="31" a="1"/>
  <c r="C3" i="2" a="1"/>
  <c r="C7" i="33" a="1"/>
  <c r="C10" i="31" a="1"/>
  <c r="C26" i="33" a="1"/>
  <c r="C18" i="31" a="1"/>
  <c r="C14" i="28" a="1"/>
  <c r="C27" i="33" a="1"/>
  <c r="C17" i="33" a="1"/>
  <c r="C9" i="31" a="1"/>
  <c r="C4" i="27" a="1"/>
  <c r="C4" i="31" a="1"/>
  <c r="C26" i="31" a="1"/>
  <c r="C5" i="28" a="1"/>
  <c r="C4" i="28" a="1"/>
  <c r="C5" i="33" a="1"/>
  <c r="C19" i="32" a="1"/>
  <c r="C29" i="32" a="1"/>
  <c r="C25" i="31" a="1"/>
  <c r="H14" i="1" l="1"/>
  <c r="I14" i="1" s="1"/>
  <c r="H16" i="1"/>
  <c r="I16" i="1" s="1"/>
  <c r="G7" i="29"/>
  <c r="G28" i="29"/>
  <c r="G25" i="29"/>
  <c r="G29" i="29"/>
  <c r="G16" i="29"/>
  <c r="G26" i="29"/>
  <c r="G4" i="29"/>
  <c r="G17" i="29"/>
  <c r="G8" i="29"/>
  <c r="G13" i="29"/>
  <c r="G31" i="29"/>
  <c r="G6" i="29"/>
  <c r="G5" i="29"/>
  <c r="G12" i="29"/>
  <c r="G11" i="29"/>
  <c r="G9" i="29"/>
  <c r="G15" i="29"/>
  <c r="G27" i="29"/>
  <c r="G30" i="29"/>
  <c r="G14" i="29"/>
  <c r="G10" i="29"/>
  <c r="C22" i="29"/>
  <c r="D7" i="29"/>
  <c r="D28" i="29"/>
  <c r="D25" i="29"/>
  <c r="D29" i="29"/>
  <c r="D16" i="29"/>
  <c r="D26" i="29"/>
  <c r="D4" i="29"/>
  <c r="D17" i="29"/>
  <c r="D8" i="29"/>
  <c r="D13" i="29"/>
  <c r="D31" i="29"/>
  <c r="D6" i="29"/>
  <c r="D5" i="29"/>
  <c r="D12" i="29"/>
  <c r="D11" i="29"/>
  <c r="D9" i="29"/>
  <c r="D15" i="29"/>
  <c r="D27" i="29"/>
  <c r="D30" i="29"/>
  <c r="D14" i="29"/>
  <c r="D10" i="29"/>
  <c r="C23" i="18"/>
  <c r="C5" i="18"/>
  <c r="C20" i="29"/>
  <c r="E20" i="29" s="1"/>
  <c r="F20" i="29" s="1"/>
  <c r="C8" i="18"/>
  <c r="C12" i="18"/>
  <c r="E12" i="18" s="1"/>
  <c r="F12" i="18" s="1"/>
  <c r="C19" i="29"/>
  <c r="C24" i="29"/>
  <c r="C13" i="18"/>
  <c r="E13" i="18" s="1"/>
  <c r="F13" i="18" s="1"/>
  <c r="C23" i="29"/>
  <c r="E23" i="29" s="1"/>
  <c r="F23" i="29" s="1"/>
  <c r="C18" i="29"/>
  <c r="C31" i="18"/>
  <c r="H31" i="18" s="1"/>
  <c r="I31" i="18" s="1"/>
  <c r="G4" i="18"/>
  <c r="C30" i="18"/>
  <c r="H30" i="18" s="1"/>
  <c r="I30" i="18" s="1"/>
  <c r="C9" i="18"/>
  <c r="C18" i="18"/>
  <c r="C7" i="18"/>
  <c r="C17" i="18"/>
  <c r="C22" i="18"/>
  <c r="C20" i="18"/>
  <c r="C15" i="18"/>
  <c r="E15" i="18" s="1"/>
  <c r="F15" i="18" s="1"/>
  <c r="C10" i="18"/>
  <c r="H10" i="18" s="1"/>
  <c r="I10" i="18" s="1"/>
  <c r="C11" i="18"/>
  <c r="E11" i="18" s="1"/>
  <c r="F11" i="18" s="1"/>
  <c r="C19" i="18"/>
  <c r="C6" i="18"/>
  <c r="D4" i="18"/>
  <c r="E14" i="18"/>
  <c r="F14" i="18" s="1"/>
  <c r="H17" i="1"/>
  <c r="I17" i="1" s="1"/>
  <c r="H15" i="1"/>
  <c r="I15" i="1" s="1"/>
  <c r="H13" i="1"/>
  <c r="I13" i="1" s="1"/>
  <c r="C15" i="27"/>
  <c r="C16" i="27"/>
  <c r="C4" i="28"/>
  <c r="C9" i="3"/>
  <c r="C9" i="1" s="1"/>
  <c r="D9" i="1"/>
  <c r="G9" i="1"/>
  <c r="D11" i="1"/>
  <c r="G11" i="1"/>
  <c r="C11" i="3"/>
  <c r="C11" i="1" s="1"/>
  <c r="C31" i="32"/>
  <c r="C5" i="32"/>
  <c r="C9" i="27"/>
  <c r="C25" i="32"/>
  <c r="C13" i="27"/>
  <c r="G33" i="33"/>
  <c r="D33" i="33"/>
  <c r="C3" i="33"/>
  <c r="C4" i="3"/>
  <c r="C24" i="32"/>
  <c r="D13" i="30"/>
  <c r="G13" i="30"/>
  <c r="C13" i="31"/>
  <c r="C9" i="32"/>
  <c r="C30" i="27"/>
  <c r="C30" i="29" s="1"/>
  <c r="C5" i="3"/>
  <c r="C10" i="28"/>
  <c r="G33" i="31"/>
  <c r="C3" i="31"/>
  <c r="D33" i="31"/>
  <c r="D3" i="30"/>
  <c r="G3" i="30"/>
  <c r="C29" i="27"/>
  <c r="C5" i="2"/>
  <c r="G5" i="1"/>
  <c r="D5" i="1"/>
  <c r="C14" i="27"/>
  <c r="D24" i="30"/>
  <c r="D24" i="34" s="1"/>
  <c r="G24" i="30"/>
  <c r="G24" i="34" s="1"/>
  <c r="C24" i="31"/>
  <c r="C29" i="28"/>
  <c r="C6" i="27"/>
  <c r="D7" i="30"/>
  <c r="C7" i="31"/>
  <c r="G7" i="30"/>
  <c r="C4" i="31"/>
  <c r="G4" i="30"/>
  <c r="D4" i="30"/>
  <c r="C10" i="33"/>
  <c r="C19" i="32"/>
  <c r="C12" i="27"/>
  <c r="D10" i="30"/>
  <c r="G10" i="30"/>
  <c r="C10" i="31"/>
  <c r="D33" i="3"/>
  <c r="C3" i="3"/>
  <c r="G33" i="3"/>
  <c r="G21" i="30"/>
  <c r="G21" i="34" s="1"/>
  <c r="C21" i="32"/>
  <c r="C21" i="30" s="1"/>
  <c r="C21" i="34" s="1"/>
  <c r="D21" i="30"/>
  <c r="D21" i="34" s="1"/>
  <c r="C17" i="32"/>
  <c r="C28" i="28"/>
  <c r="C26" i="27"/>
  <c r="C26" i="29" s="1"/>
  <c r="D27" i="30"/>
  <c r="C27" i="31"/>
  <c r="G27" i="30"/>
  <c r="C3" i="28"/>
  <c r="G33" i="28"/>
  <c r="D33" i="28"/>
  <c r="C30" i="33"/>
  <c r="G14" i="30"/>
  <c r="D14" i="30"/>
  <c r="C14" i="31"/>
  <c r="G17" i="30"/>
  <c r="D17" i="30"/>
  <c r="C17" i="31"/>
  <c r="C28" i="33"/>
  <c r="C20" i="32"/>
  <c r="C14" i="32"/>
  <c r="G22" i="30"/>
  <c r="G22" i="34" s="1"/>
  <c r="D22" i="30"/>
  <c r="D22" i="34" s="1"/>
  <c r="C22" i="31"/>
  <c r="C7" i="27"/>
  <c r="C27" i="33"/>
  <c r="C16" i="32"/>
  <c r="C8" i="28"/>
  <c r="C30" i="32"/>
  <c r="C29" i="33"/>
  <c r="C11" i="27"/>
  <c r="C9" i="28"/>
  <c r="C6" i="28"/>
  <c r="C12" i="33"/>
  <c r="C31" i="27"/>
  <c r="C6" i="33"/>
  <c r="C12" i="32"/>
  <c r="D20" i="30"/>
  <c r="D20" i="34" s="1"/>
  <c r="C20" i="31"/>
  <c r="G20" i="30"/>
  <c r="G20" i="34" s="1"/>
  <c r="C7" i="33"/>
  <c r="C13" i="28"/>
  <c r="C8" i="33"/>
  <c r="D7" i="1"/>
  <c r="G7" i="1"/>
  <c r="C7" i="3"/>
  <c r="C7" i="1" s="1"/>
  <c r="C25" i="27"/>
  <c r="C25" i="29" s="1"/>
  <c r="C4" i="27"/>
  <c r="C27" i="27"/>
  <c r="C27" i="29" s="1"/>
  <c r="C16" i="28"/>
  <c r="C25" i="33"/>
  <c r="C7" i="28"/>
  <c r="C17" i="27"/>
  <c r="C17" i="29" s="1"/>
  <c r="C5" i="33"/>
  <c r="C16" i="33"/>
  <c r="C4" i="33"/>
  <c r="C4" i="32"/>
  <c r="C11" i="28"/>
  <c r="D4" i="1"/>
  <c r="G4" i="1"/>
  <c r="C4" i="2"/>
  <c r="C10" i="32"/>
  <c r="C15" i="31"/>
  <c r="G15" i="30"/>
  <c r="D15" i="30"/>
  <c r="C14" i="28"/>
  <c r="C15" i="28"/>
  <c r="C29" i="32"/>
  <c r="C31" i="33"/>
  <c r="D31" i="30"/>
  <c r="G31" i="30"/>
  <c r="C31" i="31"/>
  <c r="D10" i="1"/>
  <c r="C10" i="3"/>
  <c r="C10" i="1" s="1"/>
  <c r="G10" i="1"/>
  <c r="C6" i="32"/>
  <c r="G33" i="19"/>
  <c r="D3" i="18"/>
  <c r="G3" i="18"/>
  <c r="D33" i="19"/>
  <c r="C3" i="19"/>
  <c r="C3" i="18" s="1"/>
  <c r="C15" i="33"/>
  <c r="C13" i="32"/>
  <c r="C5" i="27"/>
  <c r="C18" i="32"/>
  <c r="C26" i="33"/>
  <c r="C11" i="32"/>
  <c r="G26" i="30"/>
  <c r="D26" i="30"/>
  <c r="C26" i="31"/>
  <c r="C9" i="33"/>
  <c r="D33" i="27"/>
  <c r="C3" i="27"/>
  <c r="D3" i="29"/>
  <c r="G3" i="29"/>
  <c r="G33" i="27"/>
  <c r="D11" i="30"/>
  <c r="C11" i="31"/>
  <c r="G11" i="30"/>
  <c r="C13" i="33"/>
  <c r="D30" i="30"/>
  <c r="C30" i="31"/>
  <c r="G30" i="30"/>
  <c r="C15" i="32"/>
  <c r="G16" i="30"/>
  <c r="C16" i="31"/>
  <c r="D16" i="30"/>
  <c r="C8" i="32"/>
  <c r="D5" i="30"/>
  <c r="G5" i="30"/>
  <c r="C5" i="31"/>
  <c r="C12" i="31"/>
  <c r="G12" i="30"/>
  <c r="D12" i="30"/>
  <c r="C8" i="31"/>
  <c r="D8" i="30"/>
  <c r="G8" i="30"/>
  <c r="C5" i="28"/>
  <c r="C23" i="32"/>
  <c r="C6" i="3"/>
  <c r="C6" i="1" s="1"/>
  <c r="D6" i="1"/>
  <c r="G6" i="1"/>
  <c r="C12" i="28"/>
  <c r="D3" i="1"/>
  <c r="G3" i="1"/>
  <c r="C3" i="2"/>
  <c r="C28" i="27"/>
  <c r="C26" i="32"/>
  <c r="C10" i="27"/>
  <c r="G29" i="30"/>
  <c r="D29" i="30"/>
  <c r="C29" i="31"/>
  <c r="G25" i="30"/>
  <c r="C25" i="31"/>
  <c r="D25" i="30"/>
  <c r="C27" i="32"/>
  <c r="D8" i="1"/>
  <c r="G8" i="1"/>
  <c r="C8" i="3"/>
  <c r="C8" i="1" s="1"/>
  <c r="C8" i="27"/>
  <c r="C4" i="19"/>
  <c r="C4" i="18" s="1"/>
  <c r="D19" i="30"/>
  <c r="D19" i="34" s="1"/>
  <c r="G19" i="30"/>
  <c r="G19" i="34" s="1"/>
  <c r="C19" i="31"/>
  <c r="C11" i="33"/>
  <c r="G23" i="30"/>
  <c r="G23" i="34" s="1"/>
  <c r="C23" i="31"/>
  <c r="D23" i="30"/>
  <c r="D23" i="34" s="1"/>
  <c r="C22" i="32"/>
  <c r="C28" i="31"/>
  <c r="D28" i="30"/>
  <c r="G28" i="30"/>
  <c r="C17" i="33"/>
  <c r="D6" i="30"/>
  <c r="G6" i="30"/>
  <c r="C6" i="31"/>
  <c r="C3" i="32"/>
  <c r="D33" i="32"/>
  <c r="G33" i="32"/>
  <c r="G18" i="30"/>
  <c r="G18" i="34" s="1"/>
  <c r="D18" i="30"/>
  <c r="D18" i="34" s="1"/>
  <c r="C18" i="31"/>
  <c r="C28" i="32"/>
  <c r="D9" i="30"/>
  <c r="G9" i="30"/>
  <c r="C9" i="31"/>
  <c r="C31" i="28"/>
  <c r="C7" i="32"/>
  <c r="H32" i="34"/>
  <c r="I32" i="34" s="1"/>
  <c r="E32" i="34"/>
  <c r="F32" i="34" s="1"/>
  <c r="E21" i="1"/>
  <c r="F21" i="1" s="1"/>
  <c r="H19" i="1"/>
  <c r="I19" i="1" s="1"/>
  <c r="E22" i="1"/>
  <c r="F22" i="1" s="1"/>
  <c r="E19" i="1"/>
  <c r="F19" i="1" s="1"/>
  <c r="E23" i="1"/>
  <c r="F23" i="1" s="1"/>
  <c r="E20" i="1"/>
  <c r="F20" i="1" s="1"/>
  <c r="E18" i="1"/>
  <c r="F18" i="1" s="1"/>
  <c r="H20" i="1"/>
  <c r="I20" i="1" s="1"/>
  <c r="H23" i="1"/>
  <c r="I23" i="1" s="1"/>
  <c r="E24" i="1"/>
  <c r="F24" i="1" s="1"/>
  <c r="H21" i="1"/>
  <c r="I21" i="1" s="1"/>
  <c r="H24" i="1"/>
  <c r="I24" i="1" s="1"/>
  <c r="H22" i="1"/>
  <c r="I22" i="1" s="1"/>
  <c r="H18" i="1"/>
  <c r="I18" i="1" s="1"/>
  <c r="E26" i="18"/>
  <c r="F26" i="18" s="1"/>
  <c r="H25" i="18"/>
  <c r="I25" i="18" s="1"/>
  <c r="H27" i="18"/>
  <c r="I27" i="18" s="1"/>
  <c r="H28" i="18"/>
  <c r="I28" i="18" s="1"/>
  <c r="H12" i="1"/>
  <c r="I12" i="1" s="1"/>
  <c r="E28" i="1"/>
  <c r="F28" i="1" s="1"/>
  <c r="H28" i="1"/>
  <c r="I28" i="1" s="1"/>
  <c r="E26" i="1"/>
  <c r="F26" i="1" s="1"/>
  <c r="H26" i="1"/>
  <c r="I26" i="1" s="1"/>
  <c r="E27" i="1"/>
  <c r="F27" i="1" s="1"/>
  <c r="H27" i="1"/>
  <c r="I27" i="1" s="1"/>
  <c r="E25" i="1"/>
  <c r="F25" i="1" s="1"/>
  <c r="H25" i="1"/>
  <c r="I25" i="1" s="1"/>
  <c r="E12" i="1"/>
  <c r="E16" i="1"/>
  <c r="E17" i="1"/>
  <c r="E15" i="1"/>
  <c r="E13" i="1"/>
  <c r="E14" i="1"/>
  <c r="C33" i="4"/>
  <c r="E33" i="4" s="1"/>
  <c r="F33" i="4" s="1"/>
  <c r="C33" i="20"/>
  <c r="C33" i="26"/>
  <c r="E33" i="26" s="1"/>
  <c r="F33" i="26" s="1"/>
  <c r="C33" i="21"/>
  <c r="G30" i="34" l="1"/>
  <c r="H13" i="18"/>
  <c r="I13" i="18" s="1"/>
  <c r="E26" i="29"/>
  <c r="F26" i="29" s="1"/>
  <c r="D10" i="34"/>
  <c r="C4" i="29"/>
  <c r="E4" i="29" s="1"/>
  <c r="F4" i="29" s="1"/>
  <c r="G10" i="34"/>
  <c r="G31" i="34"/>
  <c r="D8" i="34"/>
  <c r="G13" i="34"/>
  <c r="D30" i="34"/>
  <c r="D31" i="34"/>
  <c r="D25" i="34"/>
  <c r="G15" i="34"/>
  <c r="G11" i="34"/>
  <c r="D27" i="34"/>
  <c r="D13" i="34"/>
  <c r="G17" i="34"/>
  <c r="D15" i="34"/>
  <c r="G12" i="34"/>
  <c r="G9" i="34"/>
  <c r="D17" i="34"/>
  <c r="G26" i="34"/>
  <c r="G16" i="34"/>
  <c r="D12" i="34"/>
  <c r="G14" i="34"/>
  <c r="G29" i="34"/>
  <c r="H11" i="18"/>
  <c r="I11" i="18" s="1"/>
  <c r="G8" i="34"/>
  <c r="G25" i="34"/>
  <c r="G27" i="34"/>
  <c r="G28" i="34"/>
  <c r="D16" i="34"/>
  <c r="D14" i="34"/>
  <c r="D29" i="34"/>
  <c r="D28" i="34"/>
  <c r="D11" i="34"/>
  <c r="D9" i="34"/>
  <c r="E25" i="29"/>
  <c r="F25" i="29" s="1"/>
  <c r="E10" i="18"/>
  <c r="F10" i="18" s="1"/>
  <c r="D26" i="34"/>
  <c r="H12" i="18"/>
  <c r="I12" i="18" s="1"/>
  <c r="C8" i="29"/>
  <c r="C9" i="29"/>
  <c r="H26" i="29"/>
  <c r="I26" i="29" s="1"/>
  <c r="C29" i="29"/>
  <c r="C7" i="29"/>
  <c r="E7" i="29" s="1"/>
  <c r="F7" i="29" s="1"/>
  <c r="C16" i="29"/>
  <c r="C11" i="29"/>
  <c r="H11" i="29" s="1"/>
  <c r="I11" i="29" s="1"/>
  <c r="C15" i="29"/>
  <c r="E15" i="29" s="1"/>
  <c r="F15" i="29" s="1"/>
  <c r="C12" i="29"/>
  <c r="H12" i="29" s="1"/>
  <c r="I12" i="29" s="1"/>
  <c r="C14" i="29"/>
  <c r="C6" i="29"/>
  <c r="H6" i="29" s="1"/>
  <c r="I6" i="29" s="1"/>
  <c r="H20" i="29"/>
  <c r="I20" i="29" s="1"/>
  <c r="C31" i="29"/>
  <c r="E31" i="29" s="1"/>
  <c r="F31" i="29" s="1"/>
  <c r="C13" i="29"/>
  <c r="E17" i="29"/>
  <c r="F17" i="29" s="1"/>
  <c r="H17" i="29"/>
  <c r="I17" i="29" s="1"/>
  <c r="C10" i="29"/>
  <c r="E10" i="29" s="1"/>
  <c r="F10" i="29" s="1"/>
  <c r="C5" i="29"/>
  <c r="E5" i="29" s="1"/>
  <c r="F5" i="29" s="1"/>
  <c r="E19" i="29"/>
  <c r="F19" i="29" s="1"/>
  <c r="H19" i="29"/>
  <c r="I19" i="29" s="1"/>
  <c r="H23" i="29"/>
  <c r="I23" i="29" s="1"/>
  <c r="C28" i="29"/>
  <c r="H14" i="18"/>
  <c r="I14" i="18" s="1"/>
  <c r="H15" i="18"/>
  <c r="I15" i="18" s="1"/>
  <c r="C25" i="30"/>
  <c r="H25" i="30" s="1"/>
  <c r="I25" i="30" s="1"/>
  <c r="C4" i="1"/>
  <c r="H4" i="1" s="1"/>
  <c r="I4" i="1" s="1"/>
  <c r="C23" i="30"/>
  <c r="H23" i="30" s="1"/>
  <c r="I23" i="30" s="1"/>
  <c r="H30" i="29"/>
  <c r="I30" i="29" s="1"/>
  <c r="C20" i="30"/>
  <c r="C9" i="30"/>
  <c r="H9" i="30" s="1"/>
  <c r="I9" i="30" s="1"/>
  <c r="C28" i="30"/>
  <c r="E28" i="30" s="1"/>
  <c r="F28" i="30" s="1"/>
  <c r="C10" i="30"/>
  <c r="E27" i="29"/>
  <c r="F27" i="29" s="1"/>
  <c r="C24" i="30"/>
  <c r="H24" i="30" s="1"/>
  <c r="I24" i="30" s="1"/>
  <c r="H22" i="29"/>
  <c r="I22" i="29" s="1"/>
  <c r="C6" i="30"/>
  <c r="E6" i="30" s="1"/>
  <c r="F6" i="30" s="1"/>
  <c r="D6" i="34"/>
  <c r="C22" i="30"/>
  <c r="E22" i="30" s="1"/>
  <c r="F22" i="30" s="1"/>
  <c r="H8" i="1"/>
  <c r="I8" i="1" s="1"/>
  <c r="E21" i="29"/>
  <c r="F21" i="29" s="1"/>
  <c r="H21" i="29"/>
  <c r="I21" i="29" s="1"/>
  <c r="H24" i="29"/>
  <c r="I24" i="29" s="1"/>
  <c r="C15" i="30"/>
  <c r="H15" i="30" s="1"/>
  <c r="I15" i="30" s="1"/>
  <c r="E22" i="29"/>
  <c r="F22" i="29" s="1"/>
  <c r="G6" i="34"/>
  <c r="C11" i="30"/>
  <c r="E11" i="30" s="1"/>
  <c r="F11" i="30" s="1"/>
  <c r="G5" i="34"/>
  <c r="C29" i="30"/>
  <c r="E29" i="30" s="1"/>
  <c r="F29" i="30" s="1"/>
  <c r="H7" i="1"/>
  <c r="I7" i="1" s="1"/>
  <c r="C14" i="30"/>
  <c r="E14" i="30" s="1"/>
  <c r="F14" i="30" s="1"/>
  <c r="C27" i="30"/>
  <c r="E27" i="30" s="1"/>
  <c r="F27" i="30" s="1"/>
  <c r="C17" i="30"/>
  <c r="E17" i="30" s="1"/>
  <c r="F17" i="30" s="1"/>
  <c r="C33" i="3"/>
  <c r="H33" i="3" s="1"/>
  <c r="I33" i="3" s="1"/>
  <c r="H6" i="1"/>
  <c r="I6" i="1" s="1"/>
  <c r="C33" i="32"/>
  <c r="E33" i="32" s="1"/>
  <c r="F33" i="32" s="1"/>
  <c r="D7" i="34"/>
  <c r="C31" i="30"/>
  <c r="E31" i="30" s="1"/>
  <c r="F31" i="30" s="1"/>
  <c r="G33" i="1"/>
  <c r="C30" i="30"/>
  <c r="C30" i="34" s="1"/>
  <c r="D3" i="34"/>
  <c r="C33" i="33"/>
  <c r="H33" i="33" s="1"/>
  <c r="I33" i="33" s="1"/>
  <c r="C7" i="30"/>
  <c r="C19" i="30"/>
  <c r="H19" i="30" s="1"/>
  <c r="I19" i="30" s="1"/>
  <c r="C5" i="1"/>
  <c r="H5" i="1" s="1"/>
  <c r="I5" i="1" s="1"/>
  <c r="H9" i="1"/>
  <c r="I9" i="1" s="1"/>
  <c r="C18" i="30"/>
  <c r="H18" i="30" s="1"/>
  <c r="I18" i="30" s="1"/>
  <c r="C3" i="1"/>
  <c r="H3" i="1" s="1"/>
  <c r="I3" i="1" s="1"/>
  <c r="E24" i="29"/>
  <c r="F24" i="29" s="1"/>
  <c r="C4" i="30"/>
  <c r="E4" i="30" s="1"/>
  <c r="F4" i="30" s="1"/>
  <c r="D33" i="30"/>
  <c r="C33" i="27"/>
  <c r="E33" i="27" s="1"/>
  <c r="F33" i="27" s="1"/>
  <c r="G33" i="30"/>
  <c r="C33" i="31"/>
  <c r="H33" i="31" s="1"/>
  <c r="I33" i="31" s="1"/>
  <c r="C8" i="30"/>
  <c r="E8" i="30" s="1"/>
  <c r="F8" i="30" s="1"/>
  <c r="D5" i="34"/>
  <c r="G33" i="29"/>
  <c r="E21" i="30"/>
  <c r="F21" i="30" s="1"/>
  <c r="C13" i="30"/>
  <c r="H13" i="30" s="1"/>
  <c r="I13" i="30" s="1"/>
  <c r="D33" i="29"/>
  <c r="C16" i="30"/>
  <c r="E16" i="30" s="1"/>
  <c r="F16" i="30" s="1"/>
  <c r="C26" i="30"/>
  <c r="C26" i="34" s="1"/>
  <c r="G4" i="34"/>
  <c r="D4" i="34"/>
  <c r="C12" i="30"/>
  <c r="C33" i="28"/>
  <c r="H33" i="28" s="1"/>
  <c r="I33" i="28" s="1"/>
  <c r="H10" i="1"/>
  <c r="I10" i="1" s="1"/>
  <c r="C5" i="30"/>
  <c r="E5" i="30" s="1"/>
  <c r="F5" i="30" s="1"/>
  <c r="C3" i="29"/>
  <c r="H3" i="29" s="1"/>
  <c r="I3" i="29" s="1"/>
  <c r="H3" i="18"/>
  <c r="I3" i="18" s="1"/>
  <c r="G3" i="34"/>
  <c r="G7" i="34"/>
  <c r="C3" i="30"/>
  <c r="H3" i="30" s="1"/>
  <c r="I3" i="30" s="1"/>
  <c r="D33" i="1"/>
  <c r="H21" i="30"/>
  <c r="I21" i="30" s="1"/>
  <c r="H11" i="1"/>
  <c r="I11" i="1" s="1"/>
  <c r="C33" i="19"/>
  <c r="E33" i="19" s="1"/>
  <c r="F33" i="19" s="1"/>
  <c r="E31" i="18"/>
  <c r="F31" i="18" s="1"/>
  <c r="H25" i="29"/>
  <c r="I25" i="29" s="1"/>
  <c r="E25" i="18"/>
  <c r="F25" i="18" s="1"/>
  <c r="E30" i="18"/>
  <c r="F30" i="18" s="1"/>
  <c r="E27" i="18"/>
  <c r="F27" i="18" s="1"/>
  <c r="E28" i="18"/>
  <c r="F28" i="18" s="1"/>
  <c r="H26" i="18"/>
  <c r="I26" i="18" s="1"/>
  <c r="H29" i="18"/>
  <c r="I29" i="18" s="1"/>
  <c r="E29" i="18"/>
  <c r="F29" i="18" s="1"/>
  <c r="E22" i="18"/>
  <c r="F22" i="18" s="1"/>
  <c r="H22" i="18"/>
  <c r="I22" i="18" s="1"/>
  <c r="E21" i="18"/>
  <c r="F21" i="18" s="1"/>
  <c r="H21" i="18"/>
  <c r="I21" i="18" s="1"/>
  <c r="E20" i="18"/>
  <c r="F20" i="18" s="1"/>
  <c r="H20" i="18"/>
  <c r="I20" i="18" s="1"/>
  <c r="E24" i="18"/>
  <c r="F24" i="18" s="1"/>
  <c r="H24" i="18"/>
  <c r="I24" i="18" s="1"/>
  <c r="E18" i="18"/>
  <c r="F18" i="18" s="1"/>
  <c r="H18" i="18"/>
  <c r="I18" i="18" s="1"/>
  <c r="E19" i="18"/>
  <c r="F19" i="18" s="1"/>
  <c r="H19" i="18"/>
  <c r="I19" i="18" s="1"/>
  <c r="E23" i="18"/>
  <c r="F23" i="18" s="1"/>
  <c r="H23" i="18"/>
  <c r="I23" i="18" s="1"/>
  <c r="E18" i="29"/>
  <c r="F18" i="29" s="1"/>
  <c r="H18" i="29"/>
  <c r="I18" i="29" s="1"/>
  <c r="H31" i="1"/>
  <c r="I31" i="1" s="1"/>
  <c r="H30" i="1"/>
  <c r="I30" i="1" s="1"/>
  <c r="E30" i="29"/>
  <c r="F30" i="29" s="1"/>
  <c r="H33" i="20"/>
  <c r="I33" i="20" s="1"/>
  <c r="E6" i="18"/>
  <c r="F6" i="18" s="1"/>
  <c r="H6" i="18"/>
  <c r="I6" i="18" s="1"/>
  <c r="E7" i="18"/>
  <c r="F7" i="18" s="1"/>
  <c r="H7" i="18"/>
  <c r="I7" i="18" s="1"/>
  <c r="E8" i="18"/>
  <c r="F8" i="18" s="1"/>
  <c r="H8" i="18"/>
  <c r="I8" i="18" s="1"/>
  <c r="E9" i="18"/>
  <c r="F9" i="18" s="1"/>
  <c r="H9" i="18"/>
  <c r="I9" i="18" s="1"/>
  <c r="E4" i="18"/>
  <c r="F4" i="18" s="1"/>
  <c r="H4" i="18"/>
  <c r="I4" i="18" s="1"/>
  <c r="E5" i="18"/>
  <c r="F5" i="18" s="1"/>
  <c r="H5" i="18"/>
  <c r="I5" i="18" s="1"/>
  <c r="H29" i="1"/>
  <c r="I29" i="1" s="1"/>
  <c r="F14" i="1"/>
  <c r="F13" i="1"/>
  <c r="F15" i="1"/>
  <c r="F17" i="1"/>
  <c r="F16" i="1"/>
  <c r="F12" i="1"/>
  <c r="G33" i="18"/>
  <c r="D33" i="18"/>
  <c r="E33" i="21"/>
  <c r="F33" i="21" s="1"/>
  <c r="H33" i="26"/>
  <c r="I33" i="26" s="1"/>
  <c r="E33" i="20"/>
  <c r="F33" i="20" s="1"/>
  <c r="E11" i="1"/>
  <c r="H33" i="21"/>
  <c r="I33" i="21" s="1"/>
  <c r="E10" i="1"/>
  <c r="H33" i="4"/>
  <c r="I33" i="4" s="1"/>
  <c r="E9" i="1"/>
  <c r="E8" i="1"/>
  <c r="E31" i="1"/>
  <c r="E7" i="1"/>
  <c r="E30" i="1"/>
  <c r="E6" i="1"/>
  <c r="E29" i="1"/>
  <c r="E3" i="18"/>
  <c r="C9" i="34" l="1"/>
  <c r="E9" i="34" s="1"/>
  <c r="F9" i="34" s="1"/>
  <c r="C8" i="34"/>
  <c r="E8" i="34" s="1"/>
  <c r="F8" i="34" s="1"/>
  <c r="E8" i="29"/>
  <c r="F8" i="29" s="1"/>
  <c r="C15" i="34"/>
  <c r="E15" i="34" s="1"/>
  <c r="F15" i="34" s="1"/>
  <c r="C13" i="34"/>
  <c r="H13" i="34" s="1"/>
  <c r="I13" i="34" s="1"/>
  <c r="C16" i="34"/>
  <c r="C31" i="34"/>
  <c r="E31" i="34" s="1"/>
  <c r="F31" i="34" s="1"/>
  <c r="E9" i="29"/>
  <c r="F9" i="29" s="1"/>
  <c r="C27" i="34"/>
  <c r="E27" i="34" s="1"/>
  <c r="F27" i="34" s="1"/>
  <c r="H14" i="29"/>
  <c r="I14" i="29" s="1"/>
  <c r="C14" i="34"/>
  <c r="E14" i="34" s="1"/>
  <c r="F14" i="34" s="1"/>
  <c r="E20" i="30"/>
  <c r="F20" i="30" s="1"/>
  <c r="C20" i="34"/>
  <c r="H20" i="34" s="1"/>
  <c r="I20" i="34" s="1"/>
  <c r="C17" i="34"/>
  <c r="H17" i="34" s="1"/>
  <c r="I17" i="34" s="1"/>
  <c r="E13" i="29"/>
  <c r="F13" i="29" s="1"/>
  <c r="C18" i="34"/>
  <c r="E18" i="34" s="1"/>
  <c r="F18" i="34" s="1"/>
  <c r="C24" i="34"/>
  <c r="H24" i="34" s="1"/>
  <c r="I24" i="34" s="1"/>
  <c r="C12" i="34"/>
  <c r="H12" i="34" s="1"/>
  <c r="I12" i="34" s="1"/>
  <c r="C19" i="34"/>
  <c r="H19" i="34" s="1"/>
  <c r="I19" i="34" s="1"/>
  <c r="C11" i="34"/>
  <c r="E11" i="34" s="1"/>
  <c r="F11" i="34" s="1"/>
  <c r="C28" i="34"/>
  <c r="H28" i="34" s="1"/>
  <c r="I28" i="34" s="1"/>
  <c r="C10" i="34"/>
  <c r="H10" i="34" s="1"/>
  <c r="I10" i="34" s="1"/>
  <c r="C23" i="34"/>
  <c r="E23" i="34" s="1"/>
  <c r="F23" i="34" s="1"/>
  <c r="E28" i="29"/>
  <c r="F28" i="29" s="1"/>
  <c r="E29" i="29"/>
  <c r="F29" i="29" s="1"/>
  <c r="C29" i="34"/>
  <c r="E29" i="34" s="1"/>
  <c r="F29" i="34" s="1"/>
  <c r="C25" i="34"/>
  <c r="H25" i="34" s="1"/>
  <c r="I25" i="34" s="1"/>
  <c r="C22" i="34"/>
  <c r="E22" i="34" s="1"/>
  <c r="F22" i="34" s="1"/>
  <c r="H7" i="29"/>
  <c r="I7" i="29" s="1"/>
  <c r="C7" i="34"/>
  <c r="E7" i="34" s="1"/>
  <c r="F7" i="34" s="1"/>
  <c r="E25" i="30"/>
  <c r="F25" i="30" s="1"/>
  <c r="E9" i="30"/>
  <c r="F9" i="30" s="1"/>
  <c r="E4" i="1"/>
  <c r="F4" i="1" s="1"/>
  <c r="H9" i="29"/>
  <c r="I9" i="29" s="1"/>
  <c r="E23" i="30"/>
  <c r="F23" i="30" s="1"/>
  <c r="H20" i="30"/>
  <c r="I20" i="30" s="1"/>
  <c r="H13" i="29"/>
  <c r="I13" i="29" s="1"/>
  <c r="H28" i="30"/>
  <c r="I28" i="30" s="1"/>
  <c r="H27" i="29"/>
  <c r="I27" i="29" s="1"/>
  <c r="H10" i="29"/>
  <c r="I10" i="29" s="1"/>
  <c r="E24" i="30"/>
  <c r="F24" i="30" s="1"/>
  <c r="E10" i="30"/>
  <c r="F10" i="30" s="1"/>
  <c r="H10" i="30"/>
  <c r="I10" i="30" s="1"/>
  <c r="H6" i="30"/>
  <c r="I6" i="30" s="1"/>
  <c r="H22" i="30"/>
  <c r="I22" i="30" s="1"/>
  <c r="E6" i="29"/>
  <c r="F6" i="29" s="1"/>
  <c r="H33" i="27"/>
  <c r="I33" i="27" s="1"/>
  <c r="C6" i="34"/>
  <c r="E6" i="34" s="1"/>
  <c r="F6" i="34" s="1"/>
  <c r="H27" i="30"/>
  <c r="I27" i="30" s="1"/>
  <c r="H33" i="32"/>
  <c r="I33" i="32" s="1"/>
  <c r="E12" i="29"/>
  <c r="F12" i="29" s="1"/>
  <c r="E33" i="3"/>
  <c r="F33" i="3" s="1"/>
  <c r="H29" i="30"/>
  <c r="I29" i="30" s="1"/>
  <c r="E19" i="30"/>
  <c r="F19" i="30" s="1"/>
  <c r="E15" i="30"/>
  <c r="F15" i="30" s="1"/>
  <c r="H11" i="30"/>
  <c r="I11" i="30" s="1"/>
  <c r="H17" i="30"/>
  <c r="I17" i="30" s="1"/>
  <c r="H4" i="29"/>
  <c r="I4" i="29" s="1"/>
  <c r="H14" i="30"/>
  <c r="I14" i="30" s="1"/>
  <c r="C4" i="34"/>
  <c r="E4" i="34" s="1"/>
  <c r="F4" i="34" s="1"/>
  <c r="E33" i="31"/>
  <c r="F33" i="31" s="1"/>
  <c r="H26" i="30"/>
  <c r="I26" i="30" s="1"/>
  <c r="E13" i="30"/>
  <c r="F13" i="30" s="1"/>
  <c r="E11" i="29"/>
  <c r="F11" i="29" s="1"/>
  <c r="H30" i="30"/>
  <c r="I30" i="30" s="1"/>
  <c r="H30" i="34"/>
  <c r="I30" i="34" s="1"/>
  <c r="E30" i="30"/>
  <c r="F30" i="30" s="1"/>
  <c r="E18" i="30"/>
  <c r="F18" i="30" s="1"/>
  <c r="E14" i="29"/>
  <c r="F14" i="29" s="1"/>
  <c r="H31" i="30"/>
  <c r="I31" i="30" s="1"/>
  <c r="H33" i="19"/>
  <c r="I33" i="19" s="1"/>
  <c r="C33" i="1"/>
  <c r="H33" i="1" s="1"/>
  <c r="I33" i="1" s="1"/>
  <c r="H29" i="29"/>
  <c r="I29" i="29" s="1"/>
  <c r="H31" i="29"/>
  <c r="I31" i="29" s="1"/>
  <c r="E5" i="1"/>
  <c r="F5" i="1" s="1"/>
  <c r="H4" i="30"/>
  <c r="I4" i="30" s="1"/>
  <c r="H7" i="30"/>
  <c r="I7" i="30" s="1"/>
  <c r="C5" i="34"/>
  <c r="E5" i="34" s="1"/>
  <c r="F5" i="34" s="1"/>
  <c r="E7" i="30"/>
  <c r="F7" i="30" s="1"/>
  <c r="E33" i="33"/>
  <c r="F33" i="33" s="1"/>
  <c r="H15" i="29"/>
  <c r="I15" i="29" s="1"/>
  <c r="E3" i="1"/>
  <c r="F3" i="1" s="1"/>
  <c r="H5" i="29"/>
  <c r="I5" i="29" s="1"/>
  <c r="H16" i="29"/>
  <c r="I16" i="29" s="1"/>
  <c r="D33" i="34"/>
  <c r="E33" i="28"/>
  <c r="F33" i="28" s="1"/>
  <c r="E26" i="30"/>
  <c r="F26" i="30" s="1"/>
  <c r="H8" i="29"/>
  <c r="I8" i="29" s="1"/>
  <c r="H8" i="30"/>
  <c r="I8" i="30" s="1"/>
  <c r="E21" i="34"/>
  <c r="F21" i="34" s="1"/>
  <c r="H12" i="30"/>
  <c r="I12" i="30" s="1"/>
  <c r="E3" i="29"/>
  <c r="F3" i="29" s="1"/>
  <c r="C3" i="34"/>
  <c r="E3" i="34" s="1"/>
  <c r="F3" i="34" s="1"/>
  <c r="E12" i="30"/>
  <c r="F12" i="30" s="1"/>
  <c r="H28" i="29"/>
  <c r="I28" i="29" s="1"/>
  <c r="H5" i="30"/>
  <c r="I5" i="30" s="1"/>
  <c r="H16" i="30"/>
  <c r="I16" i="30" s="1"/>
  <c r="G33" i="34"/>
  <c r="E16" i="18"/>
  <c r="E3" i="30"/>
  <c r="F3" i="30" s="1"/>
  <c r="F3" i="18"/>
  <c r="F29" i="1"/>
  <c r="F6" i="1"/>
  <c r="F30" i="1"/>
  <c r="F7" i="1"/>
  <c r="F31" i="1"/>
  <c r="F8" i="1"/>
  <c r="F9" i="1"/>
  <c r="F10" i="1"/>
  <c r="F11" i="1"/>
  <c r="E26" i="34"/>
  <c r="F26" i="34" s="1"/>
  <c r="H26" i="34"/>
  <c r="I26" i="34" s="1"/>
  <c r="C33" i="30"/>
  <c r="H33" i="30" s="1"/>
  <c r="I33" i="30" s="1"/>
  <c r="G33" i="2"/>
  <c r="D33" i="2"/>
  <c r="E19" i="34" l="1"/>
  <c r="F19" i="34" s="1"/>
  <c r="H23" i="34"/>
  <c r="I23" i="34" s="1"/>
  <c r="E17" i="18"/>
  <c r="F17" i="18" s="1"/>
  <c r="H17" i="18"/>
  <c r="I17" i="18" s="1"/>
  <c r="H18" i="34"/>
  <c r="I18" i="34" s="1"/>
  <c r="H7" i="34"/>
  <c r="I7" i="34" s="1"/>
  <c r="E25" i="34"/>
  <c r="F25" i="34" s="1"/>
  <c r="E10" i="34"/>
  <c r="F10" i="34" s="1"/>
  <c r="H9" i="34"/>
  <c r="I9" i="34" s="1"/>
  <c r="E20" i="34"/>
  <c r="F20" i="34" s="1"/>
  <c r="H31" i="34"/>
  <c r="I31" i="34" s="1"/>
  <c r="H6" i="34"/>
  <c r="I6" i="34" s="1"/>
  <c r="H11" i="34"/>
  <c r="I11" i="34" s="1"/>
  <c r="E12" i="34"/>
  <c r="F12" i="34" s="1"/>
  <c r="H29" i="34"/>
  <c r="I29" i="34" s="1"/>
  <c r="H4" i="34"/>
  <c r="I4" i="34" s="1"/>
  <c r="H27" i="34"/>
  <c r="I27" i="34" s="1"/>
  <c r="E13" i="34"/>
  <c r="F13" i="34" s="1"/>
  <c r="E17" i="34"/>
  <c r="F17" i="34" s="1"/>
  <c r="H5" i="34"/>
  <c r="I5" i="34" s="1"/>
  <c r="H21" i="34"/>
  <c r="I21" i="34" s="1"/>
  <c r="E16" i="29"/>
  <c r="F16" i="29" s="1"/>
  <c r="E33" i="1"/>
  <c r="F33" i="1" s="1"/>
  <c r="C33" i="29"/>
  <c r="H33" i="29" s="1"/>
  <c r="I33" i="29" s="1"/>
  <c r="H14" i="34"/>
  <c r="I14" i="34" s="1"/>
  <c r="E30" i="34"/>
  <c r="F30" i="34" s="1"/>
  <c r="H15" i="34"/>
  <c r="I15" i="34" s="1"/>
  <c r="E28" i="34"/>
  <c r="F28" i="34" s="1"/>
  <c r="E24" i="34"/>
  <c r="F24" i="34" s="1"/>
  <c r="H22" i="34"/>
  <c r="I22" i="34" s="1"/>
  <c r="H16" i="18"/>
  <c r="I16" i="18" s="1"/>
  <c r="C33" i="18"/>
  <c r="H33" i="18" s="1"/>
  <c r="I33" i="18" s="1"/>
  <c r="E16" i="34"/>
  <c r="F16" i="34" s="1"/>
  <c r="H8" i="34"/>
  <c r="I8" i="34" s="1"/>
  <c r="H3" i="34"/>
  <c r="I3" i="34" s="1"/>
  <c r="F16" i="18"/>
  <c r="E33" i="30"/>
  <c r="F33" i="30" s="1"/>
  <c r="C33" i="2"/>
  <c r="E33" i="29" l="1"/>
  <c r="F33" i="29" s="1"/>
  <c r="E33" i="18"/>
  <c r="F33" i="18" s="1"/>
  <c r="C33" i="34"/>
  <c r="H33" i="34" s="1"/>
  <c r="I33" i="34" s="1"/>
  <c r="H16" i="34"/>
  <c r="I16" i="34" s="1"/>
  <c r="H33" i="2"/>
  <c r="I33" i="2" s="1"/>
  <c r="E33" i="2"/>
  <c r="F33" i="2" s="1"/>
  <c r="E33" i="34" l="1"/>
  <c r="F33" i="3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<sst xmlns="http://schemas.openxmlformats.org/spreadsheetml/2006/main" count="1284" uniqueCount="132">
  <si>
    <t>Year to Date 2024 Actual v. Expected</t>
  </si>
  <si>
    <t xml:space="preserve"> Year to Date 2024 Forecasted</t>
  </si>
  <si>
    <t>NOTES</t>
  </si>
  <si>
    <t>SR</t>
  </si>
  <si>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</si>
  <si>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</si>
  <si>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</si>
  <si>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</si>
  <si>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</si>
  <si>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</si>
  <si>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</si>
  <si>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</si>
  <si>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</si>
  <si>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</si>
  <si>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2024 Actual v. Expected</t>
  </si>
  <si>
    <t xml:space="preserve"> 1st Quarter 2024 Forecasted</t>
  </si>
  <si>
    <t>2nd Quarter 2024 Actual v. Expected</t>
  </si>
  <si>
    <t xml:space="preserve"> 2nd Quarter 2024 Forecasted</t>
  </si>
  <si>
    <t>3rd Quarter 2024 Actual v. Expected</t>
  </si>
  <si>
    <t xml:space="preserve"> 3rd Quarter 2024 Forecasted</t>
  </si>
  <si>
    <t>4th Quarter 2024 Actual v. Expected</t>
  </si>
  <si>
    <t xml:space="preserve"> 4th Quarter 2024 Forecasted</t>
  </si>
  <si>
    <t>01-2024 Actual v. Expected</t>
  </si>
  <si>
    <t>01-2024 Actual v. Forecasted</t>
  </si>
  <si>
    <t>02-2024 Actual v. Expected</t>
  </si>
  <si>
    <t>02-2024 Actual v. Forecasted</t>
  </si>
  <si>
    <t>03-2024 Actual v. Expected</t>
  </si>
  <si>
    <t>03-2024 Actual v. Forecasted</t>
  </si>
  <si>
    <t>04-2024 Actual v. Expected</t>
  </si>
  <si>
    <t>04-2024 Actual v. Forecasted</t>
  </si>
  <si>
    <t>05-2024 Actual v. Expected</t>
  </si>
  <si>
    <t>05-2024 Actual v. Forecasted</t>
  </si>
  <si>
    <t>06-2024 Actual v. Expected</t>
  </si>
  <si>
    <t>06-2024 Actual v. Forecasted</t>
  </si>
  <si>
    <t>07-2024 Actual v. Expected</t>
  </si>
  <si>
    <t>07-2024 Actual v. Forecasted</t>
  </si>
  <si>
    <t>08-2024 Actual v. Expected</t>
  </si>
  <si>
    <t>08-2024 Actual v. Forecasted</t>
  </si>
  <si>
    <t>09-2024 Actual v. Expected</t>
  </si>
  <si>
    <t>09-2024 Actual v. Forecasted</t>
  </si>
  <si>
    <t>10-2024 Actual v. Expected</t>
  </si>
  <si>
    <t>10-2024 Actual v. Forecasted</t>
  </si>
  <si>
    <t>11-2024 Actual v. Expected</t>
  </si>
  <si>
    <t>11-2024 Actual v. Forecasted</t>
  </si>
  <si>
    <t>12-2024 Actual v. Expected</t>
  </si>
  <si>
    <t>12-2024 Actual v. Forecasted</t>
  </si>
  <si>
    <t>Portfolio:</t>
  </si>
  <si>
    <t>Greenbacker</t>
  </si>
  <si>
    <t>Site DAS Name</t>
  </si>
  <si>
    <t>Column1</t>
  </si>
  <si>
    <t>DAS</t>
  </si>
  <si>
    <t>10 Walpole Park South</t>
  </si>
  <si>
    <t>MA</t>
  </si>
  <si>
    <t>AEF</t>
  </si>
  <si>
    <t>PowerTrack</t>
  </si>
  <si>
    <t>15 Walpole Park South</t>
  </si>
  <si>
    <t>19 Walpole Park South</t>
  </si>
  <si>
    <t>23 Walpole Park South</t>
  </si>
  <si>
    <t>24 Walpole Park South</t>
  </si>
  <si>
    <t>25 Walpole Park South</t>
  </si>
  <si>
    <t>3 Walpole Park South</t>
  </si>
  <si>
    <t>4 Walpole Park South</t>
  </si>
  <si>
    <t>Brockton</t>
  </si>
  <si>
    <t>Canton</t>
  </si>
  <si>
    <t>AE</t>
  </si>
  <si>
    <t>Chelsea</t>
  </si>
  <si>
    <t>Hamilton MA Landfill</t>
  </si>
  <si>
    <t>Hamilton Landfill</t>
  </si>
  <si>
    <t>InAccess</t>
  </si>
  <si>
    <t>Holliston</t>
  </si>
  <si>
    <t>MA: Natick HS - Carports</t>
  </si>
  <si>
    <t>Natick HS - Carports</t>
  </si>
  <si>
    <t>Norton</t>
  </si>
  <si>
    <t>Palmer - Boston Rd.</t>
  </si>
  <si>
    <t>Shirley Bartkus</t>
  </si>
  <si>
    <t>Stoughton</t>
  </si>
  <si>
    <t>MA: Wellfleet Landfill</t>
  </si>
  <si>
    <t>Wellfleet Landfill</t>
  </si>
  <si>
    <t>Wilmington Garage &amp; Building 7</t>
  </si>
  <si>
    <t>Woburn</t>
  </si>
  <si>
    <t>Friendship Solar 1</t>
  </si>
  <si>
    <t>MD</t>
  </si>
  <si>
    <t>Friendship Solar 2</t>
  </si>
  <si>
    <t>101 Carnegie Center</t>
  </si>
  <si>
    <t>NJ</t>
  </si>
  <si>
    <t>302 Carnegie Center</t>
  </si>
  <si>
    <t>510 Carnegie Center</t>
  </si>
  <si>
    <t>701 Carnegie Center</t>
  </si>
  <si>
    <t>Hudson County Correction</t>
  </si>
  <si>
    <t>ER Bison Solar</t>
  </si>
  <si>
    <t>PA</t>
  </si>
  <si>
    <t>Danville</t>
  </si>
  <si>
    <t>IL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</si>
  <si>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</si>
  <si>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</si>
  <si>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</si>
  <si>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</si>
  <si>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</si>
  <si>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</si>
  <si>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</si>
  <si>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</si>
  <si>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</si>
  <si>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</si>
  <si>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 xml:space="preserve">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</si>
  <si>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</si>
  <si>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</si>
  <si>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</si>
  <si>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</si>
  <si>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</si>
  <si>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</si>
  <si>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</si>
  <si>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</si>
  <si>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</si>
  <si>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</si>
  <si>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</si>
  <si>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</si>
  <si>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 xml:space="preserve">1. Inverter 8 was offline on 01/15/24 7 and back online on 01/17/2024. </t>
  </si>
  <si>
    <t>1.SR080248</t>
  </si>
  <si>
    <t xml:space="preserve">1. Inverter 4 tripped offline on 01/12/2024 at 08:30 &amp; back online on 01/17/2024 at 14:30. </t>
  </si>
  <si>
    <t>1.SR080166</t>
  </si>
  <si>
    <t>1.Site tripped offline on 01/13/2024 at 03:30 &amp; back on 01/16/2024 mid day.</t>
  </si>
  <si>
    <t>1. SR080182</t>
  </si>
  <si>
    <t xml:space="preserve">1.  Inverter 1 was tripped offline on 01/02/2024 at 8:45 &amp; back online on 01/03/2024 at 11:30. 
2. Site was offline tripped offline on 01/21/2024 at 11:45 &amp; back online on 01/22/2024 at 10:30. </t>
  </si>
  <si>
    <t>1. SR079865
2. SR080375</t>
  </si>
  <si>
    <t>1. Site was tripped offline on 01/07 at 18:15 and back online on 01/08 at 12:00</t>
  </si>
  <si>
    <t>1. SR080033</t>
  </si>
  <si>
    <t xml:space="preserve">1. Inverter 17 tripped offline on 01/23/2024 at 12:00 &amp; back online at 16:30. </t>
  </si>
  <si>
    <t>1. SR079023</t>
  </si>
  <si>
    <t xml:space="preserve">1.Inverters 14 and 18 tripped offline on 01/23/2024 at 13:45 &amp; back online on 01/24/2024. </t>
  </si>
  <si>
    <t>1. SR080417</t>
  </si>
  <si>
    <t xml:space="preserve">1. Inverter 7 tripped offline at 12/05/2023 at 13:00 &amp; back online at 01/24 at 12:15. 
2.  Inverters 2, 5, and 24 tripped offline on 01/23/2024 &amp; back online  on 01/24/2024. </t>
  </si>
  <si>
    <t>1.SR078798
2. SR080419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</si>
</sst>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2EFDA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7" applyNumberFormat="0" applyAlignment="0" applyProtection="0"/>
    <xf numFmtId="0" fontId="17" fillId="10" borderId="8" applyNumberFormat="0" applyAlignment="0" applyProtection="0"/>
    <xf numFmtId="0" fontId="18" fillId="10" borderId="7" applyNumberFormat="0" applyAlignment="0" applyProtection="0"/>
    <xf numFmtId="0" fontId="19" fillId="0" borderId="9" applyNumberFormat="0" applyFill="0" applyAlignment="0" applyProtection="0"/>
    <xf numFmtId="0" fontId="20" fillId="11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2" borderId="11" applyNumberFormat="0" applyFont="0" applyAlignment="0" applyProtection="0"/>
  </cellStyleXfs>
  <cellXfs count="153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3" fillId="3" borderId="15" xfId="0" applyFont="1" applyFill="1" applyBorder="1" applyAlignment="1">
      <alignment horizontal="center" vertical="center" wrapText="1"/>
    </xf>
    <xf numFmtId="9" fontId="5" fillId="3" borderId="15" xfId="2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49" fontId="0" fillId="0" borderId="0" xfId="0" applyNumberFormat="1"/>
    <xf numFmtId="9" fontId="5" fillId="40" borderId="15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8" fillId="0" borderId="36" xfId="0" applyFont="1" applyBorder="1" applyAlignment="1">
      <alignment horizontal="left" vertical="center"/>
    </xf>
    <xf numFmtId="0" fontId="29" fillId="0" borderId="2" xfId="0" applyFont="1" applyBorder="1" applyAlignment="1">
      <alignment horizontal="center"/>
    </xf>
    <xf numFmtId="9" fontId="30" fillId="43" borderId="2" xfId="2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9" fontId="30" fillId="43" borderId="2" xfId="2" applyFont="1" applyFill="1" applyBorder="1" applyAlignment="1">
      <alignment horizontal="center" vertical="center"/>
    </xf>
    <xf numFmtId="9" fontId="30" fillId="43" borderId="2" xfId="2" applyFont="1" applyFill="1" applyBorder="1" applyAlignment="1">
      <alignment horizontal="left" vertical="top" wrapText="1"/>
    </xf>
    <xf numFmtId="9" fontId="30" fillId="43" borderId="2" xfId="2" applyFont="1" applyFill="1" applyBorder="1" applyAlignment="1">
      <alignment horizontal="left" vertical="top"/>
    </xf>
    <xf numFmtId="0" fontId="29" fillId="0" borderId="3" xfId="0" applyFont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3" fontId="29" fillId="5" borderId="1" xfId="0" applyNumberFormat="1" applyFont="1" applyFill="1" applyBorder="1" applyAlignment="1">
      <alignment horizontal="center"/>
    </xf>
    <xf numFmtId="9" fontId="29" fillId="5" borderId="1" xfId="2" applyFont="1" applyFill="1" applyBorder="1" applyAlignment="1">
      <alignment horizontal="center"/>
    </xf>
    <xf numFmtId="9" fontId="29" fillId="5" borderId="1" xfId="0" applyNumberFormat="1" applyFont="1" applyFill="1" applyBorder="1" applyAlignment="1">
      <alignment horizontal="center"/>
    </xf>
    <xf numFmtId="0" fontId="29" fillId="0" borderId="0" xfId="0" applyFont="1"/>
    <xf numFmtId="0" fontId="31" fillId="3" borderId="17" xfId="0" applyFont="1" applyFill="1" applyBorder="1" applyAlignment="1">
      <alignment horizontal="left" vertical="center" wrapText="1"/>
    </xf>
    <xf numFmtId="9" fontId="31" fillId="3" borderId="37" xfId="2" applyFont="1" applyFill="1" applyBorder="1" applyAlignment="1">
      <alignment horizontal="left" vertical="center" wrapText="1"/>
    </xf>
    <xf numFmtId="0" fontId="31" fillId="4" borderId="17" xfId="0" applyFont="1" applyFill="1" applyBorder="1" applyAlignment="1">
      <alignment horizontal="left" vertical="center"/>
    </xf>
    <xf numFmtId="0" fontId="31" fillId="4" borderId="17" xfId="0" applyFont="1" applyFill="1" applyBorder="1" applyAlignment="1">
      <alignment horizontal="left" vertical="center" wrapText="1"/>
    </xf>
    <xf numFmtId="9" fontId="31" fillId="4" borderId="37" xfId="2" applyFont="1" applyFill="1" applyBorder="1" applyAlignment="1">
      <alignment horizontal="left" vertical="center"/>
    </xf>
    <xf numFmtId="9" fontId="31" fillId="43" borderId="38" xfId="2" applyFont="1" applyFill="1" applyBorder="1" applyAlignment="1">
      <alignment horizontal="center" vertical="center"/>
    </xf>
    <xf numFmtId="9" fontId="31" fillId="43" borderId="39" xfId="2" applyFont="1" applyFill="1" applyBorder="1" applyAlignment="1">
      <alignment horizontal="center" vertical="center"/>
    </xf>
    <xf numFmtId="0" fontId="29" fillId="45" borderId="41" xfId="0" applyFont="1" applyFill="1" applyBorder="1" applyAlignment="1">
      <alignment horizontal="center"/>
    </xf>
    <xf numFmtId="0" fontId="29" fillId="45" borderId="1" xfId="0" applyFont="1" applyFill="1" applyBorder="1" applyAlignment="1">
      <alignment horizontal="center"/>
    </xf>
    <xf numFmtId="3" fontId="33" fillId="3" borderId="16" xfId="0" applyNumberFormat="1" applyFont="1" applyFill="1" applyBorder="1" applyAlignment="1">
      <alignment horizontal="right"/>
    </xf>
    <xf numFmtId="9" fontId="33" fillId="3" borderId="16" xfId="2" applyFont="1" applyFill="1" applyBorder="1" applyAlignment="1">
      <alignment horizontal="center"/>
    </xf>
    <xf numFmtId="3" fontId="33" fillId="4" borderId="16" xfId="1" applyNumberFormat="1" applyFont="1" applyFill="1" applyBorder="1"/>
    <xf numFmtId="9" fontId="33" fillId="40" borderId="16" xfId="2" applyFont="1" applyFill="1" applyBorder="1" applyAlignment="1">
      <alignment horizontal="center"/>
    </xf>
    <xf numFmtId="9" fontId="33" fillId="3" borderId="14" xfId="2" applyFont="1" applyFill="1" applyBorder="1" applyAlignment="1">
      <alignment horizontal="center"/>
    </xf>
    <xf numFmtId="9" fontId="33" fillId="40" borderId="14" xfId="2" applyFont="1" applyFill="1" applyBorder="1" applyAlignment="1">
      <alignment horizontal="center"/>
    </xf>
    <xf numFmtId="9" fontId="33" fillId="37" borderId="19" xfId="0" applyNumberFormat="1" applyFont="1" applyFill="1" applyBorder="1" applyAlignment="1">
      <alignment horizontal="center" vertical="center"/>
    </xf>
    <xf numFmtId="9" fontId="33" fillId="37" borderId="23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left"/>
    </xf>
    <xf numFmtId="0" fontId="34" fillId="2" borderId="15" xfId="0" applyFont="1" applyFill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left" vertical="center" wrapText="1"/>
    </xf>
    <xf numFmtId="0" fontId="36" fillId="45" borderId="41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45" borderId="1" xfId="0" applyFont="1" applyFill="1" applyBorder="1" applyAlignment="1">
      <alignment horizontal="center"/>
    </xf>
    <xf numFmtId="3" fontId="33" fillId="37" borderId="19" xfId="0" applyNumberFormat="1" applyFont="1" applyFill="1" applyBorder="1" applyAlignment="1">
      <alignment horizontal="center" vertical="center"/>
    </xf>
    <xf numFmtId="3" fontId="33" fillId="37" borderId="19" xfId="1" applyNumberFormat="1" applyFont="1" applyFill="1" applyBorder="1" applyAlignment="1">
      <alignment horizontal="center" vertical="center"/>
    </xf>
    <xf numFmtId="3" fontId="37" fillId="3" borderId="2" xfId="0" applyNumberFormat="1" applyFont="1" applyFill="1" applyBorder="1" applyAlignment="1">
      <alignment horizontal="right"/>
    </xf>
    <xf numFmtId="9" fontId="37" fillId="3" borderId="2" xfId="2" applyFont="1" applyFill="1" applyBorder="1" applyAlignment="1">
      <alignment horizontal="center"/>
    </xf>
    <xf numFmtId="3" fontId="37" fillId="4" borderId="2" xfId="1" applyNumberFormat="1" applyFont="1" applyFill="1" applyBorder="1"/>
    <xf numFmtId="9" fontId="37" fillId="4" borderId="2" xfId="2" applyFont="1" applyFill="1" applyBorder="1" applyAlignment="1">
      <alignment horizontal="center"/>
    </xf>
    <xf numFmtId="9" fontId="37" fillId="3" borderId="1" xfId="2" applyFont="1" applyFill="1" applyBorder="1" applyAlignment="1">
      <alignment horizontal="center"/>
    </xf>
    <xf numFmtId="9" fontId="37" fillId="43" borderId="2" xfId="2" applyFont="1" applyFill="1" applyBorder="1" applyAlignment="1">
      <alignment horizontal="left" vertical="top" wrapText="1"/>
    </xf>
    <xf numFmtId="9" fontId="37" fillId="43" borderId="2" xfId="2" applyFont="1" applyFill="1" applyBorder="1" applyAlignment="1">
      <alignment horizontal="left" vertical="top"/>
    </xf>
    <xf numFmtId="3" fontId="37" fillId="4" borderId="13" xfId="1" applyNumberFormat="1" applyFont="1" applyFill="1" applyBorder="1"/>
    <xf numFmtId="3" fontId="37" fillId="4" borderId="2" xfId="1" applyNumberFormat="1" applyFont="1" applyFill="1" applyBorder="1" applyAlignment="1">
      <alignment vertical="center"/>
    </xf>
    <xf numFmtId="3" fontId="37" fillId="38" borderId="14" xfId="0" applyNumberFormat="1" applyFont="1" applyFill="1" applyBorder="1"/>
    <xf numFmtId="3" fontId="37" fillId="39" borderId="14" xfId="0" applyNumberFormat="1" applyFont="1" applyFill="1" applyBorder="1"/>
    <xf numFmtId="3" fontId="37" fillId="3" borderId="29" xfId="0" applyNumberFormat="1" applyFont="1" applyFill="1" applyBorder="1" applyAlignment="1">
      <alignment horizontal="right"/>
    </xf>
    <xf numFmtId="9" fontId="37" fillId="3" borderId="3" xfId="2" applyFont="1" applyFill="1" applyBorder="1" applyAlignment="1">
      <alignment horizontal="center"/>
    </xf>
    <xf numFmtId="3" fontId="37" fillId="4" borderId="40" xfId="1" applyNumberFormat="1" applyFont="1" applyFill="1" applyBorder="1"/>
    <xf numFmtId="3" fontId="37" fillId="4" borderId="29" xfId="1" applyNumberFormat="1" applyFont="1" applyFill="1" applyBorder="1"/>
    <xf numFmtId="9" fontId="37" fillId="4" borderId="29" xfId="2" applyFont="1" applyFill="1" applyBorder="1" applyAlignment="1">
      <alignment horizontal="center"/>
    </xf>
    <xf numFmtId="9" fontId="37" fillId="43" borderId="29" xfId="2" applyFont="1" applyFill="1" applyBorder="1" applyAlignment="1">
      <alignment horizontal="center"/>
    </xf>
    <xf numFmtId="3" fontId="37" fillId="38" borderId="16" xfId="0" applyNumberFormat="1" applyFont="1" applyFill="1" applyBorder="1"/>
    <xf numFmtId="3" fontId="37" fillId="39" borderId="16" xfId="0" applyNumberFormat="1" applyFont="1" applyFill="1" applyBorder="1"/>
    <xf numFmtId="3" fontId="37" fillId="4" borderId="2" xfId="1" applyNumberFormat="1" applyFont="1" applyFill="1" applyBorder="1" applyAlignment="1">
      <alignment horizontal="right" vertical="center"/>
    </xf>
    <xf numFmtId="3" fontId="37" fillId="46" borderId="2" xfId="1" applyNumberFormat="1" applyFont="1" applyFill="1" applyBorder="1" applyAlignment="1">
      <alignment vertical="center"/>
    </xf>
    <xf numFmtId="3" fontId="37" fillId="46" borderId="29" xfId="1" applyNumberFormat="1" applyFont="1" applyFill="1" applyBorder="1" applyAlignment="1">
      <alignment vertical="center"/>
    </xf>
    <xf numFmtId="0" fontId="37" fillId="46" borderId="14" xfId="0" applyFont="1" applyFill="1" applyBorder="1"/>
    <xf numFmtId="3" fontId="37" fillId="3" borderId="13" xfId="0" applyNumberFormat="1" applyFont="1" applyFill="1" applyBorder="1" applyAlignment="1">
      <alignment horizontal="right"/>
    </xf>
    <xf numFmtId="3" fontId="37" fillId="4" borderId="2" xfId="1" applyNumberFormat="1" applyFont="1" applyFill="1" applyBorder="1" applyAlignment="1">
      <alignment horizontal="right" vertical="top"/>
    </xf>
    <xf numFmtId="0" fontId="37" fillId="39" borderId="16" xfId="0" applyFont="1" applyFill="1" applyBorder="1"/>
    <xf numFmtId="0" fontId="37" fillId="38" borderId="16" xfId="0" applyFont="1" applyFill="1" applyBorder="1"/>
    <xf numFmtId="9" fontId="30" fillId="43" borderId="2" xfId="2" applyFont="1" applyFill="1" applyBorder="1" applyAlignment="1">
      <alignment horizontal="center" wrapText="1"/>
    </xf>
    <xf numFmtId="9" fontId="30" fillId="43" borderId="2" xfId="2" applyFont="1" applyFill="1" applyBorder="1" applyAlignment="1">
      <alignment horizontal="left" wrapText="1"/>
    </xf>
    <xf numFmtId="0" fontId="28" fillId="0" borderId="0" xfId="0" applyFont="1"/>
    <xf numFmtId="0" fontId="37" fillId="43" borderId="1" xfId="0" applyFont="1" applyFill="1" applyBorder="1" applyAlignment="1">
      <alignment horizontal="left" vertical="top" wrapText="1"/>
    </xf>
    <xf numFmtId="0" fontId="38" fillId="43" borderId="42" xfId="0" applyFont="1" applyFill="1" applyBorder="1" applyAlignment="1">
      <alignment horizontal="left" vertical="top" wrapText="1"/>
    </xf>
    <xf numFmtId="0" fontId="38" fillId="43" borderId="13" xfId="0" applyFont="1" applyFill="1" applyBorder="1" applyAlignment="1">
      <alignment horizontal="left" vertical="top" wrapText="1"/>
    </xf>
    <xf numFmtId="0" fontId="38" fillId="43" borderId="14" xfId="0" applyFont="1" applyFill="1" applyBorder="1" applyAlignment="1">
      <alignment horizontal="left" vertical="top" wrapText="1"/>
    </xf>
    <xf numFmtId="0" fontId="38" fillId="43" borderId="30" xfId="0" applyFont="1" applyFill="1" applyBorder="1" applyAlignment="1">
      <alignment horizontal="left" vertical="top" wrapText="1"/>
    </xf>
    <xf numFmtId="49" fontId="0" fillId="0" borderId="0" xfId="0" applyNumberFormat="1" applyAlignment="1">
      <alignment wrapText="1"/>
    </xf>
    <xf numFmtId="9" fontId="37" fillId="4" borderId="18" xfId="2" applyFont="1" applyFill="1" applyBorder="1" applyAlignment="1">
      <alignment horizontal="center"/>
    </xf>
    <xf numFmtId="9" fontId="37" fillId="43" borderId="13" xfId="2" applyFont="1" applyFill="1" applyBorder="1" applyAlignment="1">
      <alignment horizontal="left" vertical="top" wrapText="1"/>
    </xf>
    <xf numFmtId="9" fontId="37" fillId="43" borderId="29" xfId="2" applyFont="1" applyFill="1" applyBorder="1" applyAlignment="1">
      <alignment horizontal="left" vertical="top" wrapText="1"/>
    </xf>
    <xf numFmtId="9" fontId="37" fillId="43" borderId="14" xfId="2" applyFont="1" applyFill="1" applyBorder="1" applyAlignment="1">
      <alignment horizontal="left" vertical="top" wrapText="1"/>
    </xf>
    <xf numFmtId="0" fontId="38" fillId="43" borderId="42" xfId="0" applyFont="1" applyFill="1" applyBorder="1" applyAlignment="1">
      <alignment horizontal="left" vertical="top"/>
    </xf>
    <xf numFmtId="9" fontId="37" fillId="4" borderId="2" xfId="2" applyFont="1" applyFill="1" applyBorder="1" applyAlignment="1">
      <alignment horizontal="center" wrapText="1"/>
    </xf>
    <xf numFmtId="3" fontId="37" fillId="39" borderId="16" xfId="0" applyNumberFormat="1" applyFont="1" applyFill="1" applyBorder="1" applyAlignment="1">
      <alignment horizontal="right"/>
    </xf>
    <xf numFmtId="3" fontId="37" fillId="4" borderId="13" xfId="1" applyNumberFormat="1" applyFont="1" applyFill="1" applyBorder="1" applyAlignment="1">
      <alignment horizontal="right"/>
    </xf>
    <xf numFmtId="3" fontId="37" fillId="4" borderId="2" xfId="1" applyNumberFormat="1" applyFont="1" applyFill="1" applyBorder="1" applyAlignment="1">
      <alignment horizontal="right"/>
    </xf>
    <xf numFmtId="3" fontId="37" fillId="39" borderId="14" xfId="0" applyNumberFormat="1" applyFont="1" applyFill="1" applyBorder="1" applyAlignment="1">
      <alignment horizontal="right"/>
    </xf>
    <xf numFmtId="0" fontId="25" fillId="0" borderId="0" xfId="43" applyFont="1"/>
    <xf numFmtId="0" fontId="36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3" fontId="33" fillId="3" borderId="16" xfId="0" applyNumberFormat="1" applyFont="1" applyFill="1" applyBorder="1" applyAlignment="1">
      <alignment horizontal="right" vertical="center"/>
    </xf>
    <xf numFmtId="9" fontId="33" fillId="3" borderId="14" xfId="2" applyFont="1" applyFill="1" applyBorder="1" applyAlignment="1">
      <alignment horizontal="center" vertical="center"/>
    </xf>
    <xf numFmtId="3" fontId="33" fillId="4" borderId="16" xfId="1" applyNumberFormat="1" applyFont="1" applyFill="1" applyBorder="1" applyAlignment="1">
      <alignment vertical="center"/>
    </xf>
    <xf numFmtId="9" fontId="33" fillId="40" borderId="14" xfId="2" applyFont="1" applyFill="1" applyBorder="1" applyAlignment="1">
      <alignment horizontal="center" vertical="center"/>
    </xf>
    <xf numFmtId="0" fontId="36" fillId="45" borderId="1" xfId="0" applyFont="1" applyFill="1" applyBorder="1" applyAlignment="1">
      <alignment horizontal="center" vertical="center"/>
    </xf>
    <xf numFmtId="0" fontId="29" fillId="45" borderId="1" xfId="0" applyFont="1" applyFill="1" applyBorder="1" applyAlignment="1">
      <alignment horizontal="center" vertical="center"/>
    </xf>
    <xf numFmtId="0" fontId="36" fillId="45" borderId="41" xfId="0" applyFont="1" applyFill="1" applyBorder="1" applyAlignment="1">
      <alignment horizontal="center" vertical="center"/>
    </xf>
    <xf numFmtId="0" fontId="29" fillId="45" borderId="41" xfId="0" applyFont="1" applyFill="1" applyBorder="1" applyAlignment="1">
      <alignment horizontal="center" vertical="center"/>
    </xf>
    <xf numFmtId="9" fontId="33" fillId="3" borderId="16" xfId="2" applyFont="1" applyFill="1" applyBorder="1" applyAlignment="1">
      <alignment horizontal="center" vertical="center"/>
    </xf>
    <xf numFmtId="9" fontId="33" fillId="40" borderId="16" xfId="2" applyFont="1" applyFill="1" applyBorder="1" applyAlignment="1">
      <alignment horizontal="center" vertical="center"/>
    </xf>
    <xf numFmtId="0" fontId="36" fillId="45" borderId="0" xfId="0" applyFont="1" applyFill="1" applyAlignment="1">
      <alignment horizontal="center" vertical="center"/>
    </xf>
    <xf numFmtId="0" fontId="29" fillId="45" borderId="40" xfId="0" applyFont="1" applyFill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29" fillId="0" borderId="40" xfId="0" applyFont="1" applyBorder="1" applyAlignment="1">
      <alignment horizontal="center"/>
    </xf>
    <xf numFmtId="9" fontId="30" fillId="43" borderId="2" xfId="2" applyFont="1" applyFill="1" applyBorder="1" applyAlignment="1">
      <alignment horizontal="left"/>
    </xf>
    <xf numFmtId="9" fontId="30" fillId="43" borderId="2" xfId="2" applyFont="1" applyFill="1" applyBorder="1" applyAlignment="1">
      <alignment horizontal="left" vertical="center"/>
    </xf>
    <xf numFmtId="0" fontId="29" fillId="0" borderId="1" xfId="0" applyFont="1" applyBorder="1" applyAlignment="1">
      <alignment horizontal="center" wrapText="1"/>
    </xf>
    <xf numFmtId="3" fontId="37" fillId="38" borderId="14" xfId="0" applyNumberFormat="1" applyFont="1" applyFill="1" applyBorder="1" applyAlignment="1">
      <alignment wrapText="1"/>
    </xf>
    <xf numFmtId="3" fontId="37" fillId="3" borderId="2" xfId="0" applyNumberFormat="1" applyFont="1" applyFill="1" applyBorder="1" applyAlignment="1">
      <alignment horizontal="right" wrapText="1"/>
    </xf>
    <xf numFmtId="9" fontId="37" fillId="3" borderId="1" xfId="2" applyFont="1" applyFill="1" applyBorder="1" applyAlignment="1">
      <alignment horizontal="center" wrapText="1"/>
    </xf>
    <xf numFmtId="3" fontId="37" fillId="39" borderId="14" xfId="0" applyNumberFormat="1" applyFont="1" applyFill="1" applyBorder="1" applyAlignment="1">
      <alignment wrapText="1"/>
    </xf>
    <xf numFmtId="3" fontId="37" fillId="4" borderId="2" xfId="1" applyNumberFormat="1" applyFont="1" applyFill="1" applyBorder="1" applyAlignment="1">
      <alignment wrapText="1"/>
    </xf>
    <xf numFmtId="0" fontId="0" fillId="0" borderId="0" xfId="0" applyAlignment="1">
      <alignment wrapText="1"/>
    </xf>
    <xf numFmtId="9" fontId="37" fillId="43" borderId="29" xfId="2" applyFont="1" applyFill="1" applyBorder="1" applyAlignment="1">
      <alignment horizontal="center" vertical="top"/>
    </xf>
    <xf numFmtId="9" fontId="37" fillId="43" borderId="29" xfId="2" applyFont="1" applyFill="1" applyBorder="1" applyAlignment="1">
      <alignment horizontal="left" vertical="top"/>
    </xf>
    <xf numFmtId="0" fontId="29" fillId="0" borderId="3" xfId="0" applyFont="1" applyBorder="1" applyAlignment="1">
      <alignment horizontal="left" vertical="top" wrapText="1"/>
    </xf>
    <xf numFmtId="0" fontId="36" fillId="45" borderId="2" xfId="0" applyFont="1" applyFill="1" applyBorder="1" applyAlignment="1">
      <alignment horizontal="center"/>
    </xf>
    <xf numFmtId="0" fontId="29" fillId="45" borderId="2" xfId="0" applyFont="1" applyFill="1" applyBorder="1" applyAlignment="1">
      <alignment horizontal="center"/>
    </xf>
    <xf numFmtId="9" fontId="37" fillId="43" borderId="29" xfId="2" applyFont="1" applyFill="1" applyBorder="1" applyAlignment="1">
      <alignment horizontal="left"/>
    </xf>
    <xf numFmtId="9" fontId="37" fillId="43" borderId="29" xfId="2" applyFont="1" applyFill="1" applyBorder="1" applyAlignment="1">
      <alignment horizontal="left" wrapText="1"/>
    </xf>
    <xf numFmtId="0" fontId="7" fillId="5" borderId="32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32" fillId="44" borderId="24" xfId="0" applyFont="1" applyFill="1" applyBorder="1" applyAlignment="1">
      <alignment horizontal="center" vertical="center"/>
    </xf>
    <xf numFmtId="0" fontId="32" fillId="44" borderId="25" xfId="0" applyFont="1" applyFill="1" applyBorder="1" applyAlignment="1">
      <alignment horizontal="center" vertical="center"/>
    </xf>
    <xf numFmtId="0" fontId="27" fillId="41" borderId="0" xfId="0" applyFont="1" applyFill="1" applyAlignment="1">
      <alignment horizontal="center" wrapText="1"/>
    </xf>
    <xf numFmtId="0" fontId="26" fillId="42" borderId="0" xfId="0" applyFont="1" applyFill="1" applyAlignment="1">
      <alignment horizontal="center" wrapText="1"/>
    </xf>
    <xf numFmtId="0" fontId="35" fillId="2" borderId="26" xfId="0" applyFont="1" applyFill="1" applyBorder="1" applyAlignment="1">
      <alignment horizontal="center" vertical="center" wrapText="1"/>
    </xf>
    <xf numFmtId="0" fontId="35" fillId="2" borderId="27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/>
    </xf>
    <xf numFmtId="0" fontId="7" fillId="5" borderId="33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7" fillId="5" borderId="22" xfId="0" applyFont="1" applyFill="1" applyBorder="1" applyAlignment="1">
      <alignment horizontal="center"/>
    </xf>
    <xf numFmtId="0" fontId="7" fillId="5" borderId="34" xfId="0" applyFont="1" applyFill="1" applyBorder="1" applyAlignment="1">
      <alignment horizontal="center"/>
    </xf>
    <xf numFmtId="0" fontId="7" fillId="5" borderId="35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>
        <left/>
        <right/>
        <top/>
        <bottom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40F5E-D45A-46FE-9183-4A31296D93F1}" name="Sites" displayName="Sites" ref="A2:E32" totalsRowShown="0" tableBorderDxfId="501">
  <autoFilter ref="A2:E32" xr:uid="{66A40F5E-D45A-46FE-9183-4A31296D93F1}"/>
  <sortState xmlns:xlrd2="http://schemas.microsoft.com/office/spreadsheetml/2017/richdata2" ref="A3:E31">
    <sortCondition ref="C3:C31"/>
    <sortCondition ref="B3:B31"/>
  </sortState>
  <tableColumns count="5">
    <tableColumn id="3" xr3:uid="{BFC0214A-8820-4A19-81D0-852548EDA4BC}" name="Site DAS Name" dataDxfId="500" dataCellStyle="Normal 2"/>
    <tableColumn id="1" xr3:uid="{2ECEDF7A-47C1-4159-BC3D-6E76D6492D27}" name="Site" dataDxfId="499" dataCellStyle="Normal 2"/>
    <tableColumn id="2" xr3:uid="{2C9662E7-9933-4E8D-97A6-DB7E03BCDC09}" name="State" dataDxfId="498" dataCellStyle="Normal 2"/>
    <tableColumn id="5" xr3:uid="{F1D3BF47-C530-4653-922C-CDF1211AB5F9}" name="Column1"/>
    <tableColumn id="4" xr3:uid="{5E96549A-C00F-4705-8CBF-BCABD72D7145}" name="DAS" dataDxfId="497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A959C2-52B2-422A-A87A-BC08BBF40681}" name="Data" displayName="Data" ref="A4:J16" totalsRowShown="0" headerRowDxfId="492" dataDxfId="491" headerRowBorderDxfId="489" tableBorderDxfId="490">
  <autoFilter ref="A4:J16" xr:uid="{59A959C2-52B2-422A-A87A-BC08BBF40681}"/>
  <tableColumns count="10">
    <tableColumn id="1" xr3:uid="{5546520C-DCC9-49E9-9FB3-CE316D4944DA}" name="Month" dataDxfId="488"/>
    <tableColumn id="2" xr3:uid="{DDF452E8-4CE6-4DD7-83F1-6C18FAC64F53}" name="Actual" dataDxfId="487"/>
    <tableColumn id="3" xr3:uid="{854FA685-1E8D-434A-A191-70ED326137F6}" name="Expected" dataDxfId="486"/>
    <tableColumn id="4" xr3:uid="{5C3F4DED-9A03-4256-AB35-C17DABA79D2D}" name="Delta Expected" dataDxfId="485">
      <calculatedColumnFormula>B5-C5</calculatedColumnFormula>
    </tableColumn>
    <tableColumn id="5" xr3:uid="{41D24EBB-4EC4-4943-84C6-B4913606DB53}" name="% Expected" dataDxfId="484">
      <calculatedColumnFormula>IFERROR(D5/C5, 0)</calculatedColumnFormula>
    </tableColumn>
    <tableColumn id="6" xr3:uid="{BD395EF8-0433-4B53-BE3C-227C7BC36415}" name="Forecasted" dataDxfId="483"/>
    <tableColumn id="7" xr3:uid="{72B64D61-E6FB-4C48-8CEB-D343DF097E3E}" name="Delta Forecasted" dataDxfId="482" dataCellStyle="Comma">
      <calculatedColumnFormula>B5-F5</calculatedColumnFormula>
    </tableColumn>
    <tableColumn id="8" xr3:uid="{27F4C8CA-7E0A-46AD-8278-F15F669646B7}" name="% Forecasted" dataDxfId="481">
      <calculatedColumnFormula>IFERROR(G5/F5, 0)</calculatedColumnFormula>
    </tableColumn>
    <tableColumn id="9" xr3:uid="{623D8263-ADF2-4E83-A133-77A77ECF5573}" name="Notes" dataDxfId="480"/>
    <tableColumn id="10" xr3:uid="{D21843AC-EB45-41B5-BBF8-600127984792}" name="Service Request" dataDxfId="4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CEE00CD-CFB6-4527-B7BB-68F63BD397FD}" name="Data18" displayName="Data18" ref="A4:J16" totalsRowShown="0" headerRowDxfId="476" dataDxfId="475" headerRowBorderDxfId="473" tableBorderDxfId="474">
  <autoFilter ref="A4:J16" xr:uid="{59A959C2-52B2-422A-A87A-BC08BBF40681}"/>
  <tableColumns count="10">
    <tableColumn id="1" xr3:uid="{300F2B93-3E43-4029-9602-E5303206602D}" name="Month" dataDxfId="472"/>
    <tableColumn id="2" xr3:uid="{37FF0282-4483-4A16-B4CD-FA5C5D2AAB66}" name="Actual" dataDxfId="471"/>
    <tableColumn id="3" xr3:uid="{4B1572C6-48CA-4285-A895-59F55B5B6A3F}" name="Expected" dataDxfId="470"/>
    <tableColumn id="4" xr3:uid="{05CC6563-3045-40DE-A32C-A03045F46221}" name="Delta Expected" dataDxfId="469">
      <calculatedColumnFormula>B5-C5</calculatedColumnFormula>
    </tableColumn>
    <tableColumn id="5" xr3:uid="{0112F9D3-7673-407D-B2C0-617699B4EADA}" name="% Expected" dataDxfId="468">
      <calculatedColumnFormula>IFERROR(D5/C5, 0)</calculatedColumnFormula>
    </tableColumn>
    <tableColumn id="6" xr3:uid="{66AF3356-8A8A-4469-9904-982EE44943E2}" name="Forecasted" dataDxfId="467"/>
    <tableColumn id="7" xr3:uid="{C6527BC9-FA83-465E-9209-CCE13ABEDC9D}" name="Delta Forecasted" dataDxfId="466" dataCellStyle="Comma">
      <calculatedColumnFormula>B5-F5</calculatedColumnFormula>
    </tableColumn>
    <tableColumn id="8" xr3:uid="{FA6C6671-F650-4018-910D-2FFB550B3762}" name="% Forecasted" dataDxfId="465">
      <calculatedColumnFormula>IFERROR(G5/F5, 0)</calculatedColumnFormula>
    </tableColumn>
    <tableColumn id="9" xr3:uid="{2783C74E-2CBC-4809-B11D-46D4F8FBBA31}" name="Notes" dataDxfId="464"/>
    <tableColumn id="10" xr3:uid="{0D13FC05-4475-4C0F-ACFE-D5CA9083D091}" name="Service Request" dataDxfId="46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46876FA-EAED-4A4C-ACC8-1B2053B2BE30}" name="Data1819202122232425262728" displayName="Data1819202122232425262728" ref="A4:J16" totalsRowShown="0" headerRowDxfId="460" dataDxfId="459" headerRowBorderDxfId="457" tableBorderDxfId="458">
  <autoFilter ref="A4:J16" xr:uid="{59A959C2-52B2-422A-A87A-BC08BBF40681}"/>
  <tableColumns count="10">
    <tableColumn id="1" xr3:uid="{0C8C5D2C-22CD-4B1A-AA89-7DF9CC077053}" name="Month" dataDxfId="456"/>
    <tableColumn id="2" xr3:uid="{1504A410-2AFF-45D8-B05D-3003630C6253}" name="Actual" dataDxfId="455"/>
    <tableColumn id="3" xr3:uid="{E4620953-7DAB-4FED-A94B-5ED1A18BA51C}" name="Expected" dataDxfId="454"/>
    <tableColumn id="4" xr3:uid="{0E2D487F-5D52-4EF3-93FA-9263831DB0A2}" name="Delta Expected" dataDxfId="453">
      <calculatedColumnFormula>B5-C5</calculatedColumnFormula>
    </tableColumn>
    <tableColumn id="5" xr3:uid="{4E7B4ABC-A69B-400D-B5B2-832C6832F796}" name="% Expected" dataDxfId="452">
      <calculatedColumnFormula>IFERROR(D5/C5, 0)</calculatedColumnFormula>
    </tableColumn>
    <tableColumn id="6" xr3:uid="{01863DDF-3CCB-4609-8F75-0B0C278BB83F}" name="Forecasted" dataDxfId="451"/>
    <tableColumn id="7" xr3:uid="{8D07CC50-2E6D-421F-97CE-C028BAC10737}" name="Delta Forecasted" dataDxfId="450" dataCellStyle="Comma">
      <calculatedColumnFormula>B5-F5</calculatedColumnFormula>
    </tableColumn>
    <tableColumn id="8" xr3:uid="{4AC223A0-5E24-439A-AE0C-C81A96EC683F}" name="% Forecasted" dataDxfId="449">
      <calculatedColumnFormula>IFERROR(G5/F5, 0)</calculatedColumnFormula>
    </tableColumn>
    <tableColumn id="9" xr3:uid="{B21D21F1-1D16-4710-8885-CDF7B8E73B1F}" name="Notes" dataDxfId="448"/>
    <tableColumn id="10" xr3:uid="{7153195E-F3DA-438B-8DCB-CED54F61277D}" name="Service Request" dataDxfId="44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C07257C-BFB6-4805-8596-0866AA78AA5C}" name="Data18192021222324252627" displayName="Data18192021222324252627" ref="A4:J16" totalsRowShown="0" headerRowDxfId="444" dataDxfId="443" headerRowBorderDxfId="441" tableBorderDxfId="442">
  <autoFilter ref="A4:J16" xr:uid="{59A959C2-52B2-422A-A87A-BC08BBF40681}"/>
  <tableColumns count="10">
    <tableColumn id="1" xr3:uid="{838083B7-0287-4C21-9A6F-17E6A9A57D22}" name="Month" dataDxfId="440"/>
    <tableColumn id="2" xr3:uid="{247316F2-665B-4CB8-AE98-B160EDC17CD1}" name="Actual" dataDxfId="439"/>
    <tableColumn id="3" xr3:uid="{28F7712E-DE86-4EF2-A5CF-1CC2167EC41E}" name="Expected" dataDxfId="438"/>
    <tableColumn id="4" xr3:uid="{D3B59548-44B6-4CD4-9C83-00A146E8357F}" name="Delta Expected" dataDxfId="437">
      <calculatedColumnFormula>B5-C5</calculatedColumnFormula>
    </tableColumn>
    <tableColumn id="5" xr3:uid="{0F77CB24-DF7E-44EB-8F7A-EF266ED592AE}" name="% Expected" dataDxfId="436">
      <calculatedColumnFormula>IFERROR(D5/C5, 0)</calculatedColumnFormula>
    </tableColumn>
    <tableColumn id="6" xr3:uid="{8C639BB8-17D1-4724-86F9-E040B1E62A03}" name="Forecasted" dataDxfId="435"/>
    <tableColumn id="7" xr3:uid="{44F5CABC-A9BD-4E7B-9A00-6B48C98165F9}" name="Delta Forecasted" dataDxfId="434" dataCellStyle="Comma">
      <calculatedColumnFormula>B5-F5</calculatedColumnFormula>
    </tableColumn>
    <tableColumn id="8" xr3:uid="{2C2956C7-5C1E-43AF-BBA2-759C09FFD0D8}" name="% Forecasted" dataDxfId="433">
      <calculatedColumnFormula>IFERROR(G5/F5, 0)</calculatedColumnFormula>
    </tableColumn>
    <tableColumn id="9" xr3:uid="{482A0B3D-F68B-4980-A8D8-A77870F1CACE}" name="Notes" dataDxfId="432"/>
    <tableColumn id="10" xr3:uid="{8EDA506D-EE14-4152-8B4C-D3AEABA8ED99}" name="Service Request" dataDxfId="43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7F7EA7-3DE4-4425-ADD4-2BDD7BFD814D}" name="Data181920212223242526" displayName="Data181920212223242526" ref="A4:J16" totalsRowShown="0" headerRowDxfId="428" dataDxfId="427" headerRowBorderDxfId="425" tableBorderDxfId="426">
  <autoFilter ref="A4:J16" xr:uid="{59A959C2-52B2-422A-A87A-BC08BBF40681}"/>
  <tableColumns count="10">
    <tableColumn id="1" xr3:uid="{118AA2FE-E7D2-4206-B16A-6CCC68775996}" name="Month" dataDxfId="424"/>
    <tableColumn id="2" xr3:uid="{8A368234-EDD7-4E42-B9AD-515668818627}" name="Actual" dataDxfId="423"/>
    <tableColumn id="3" xr3:uid="{73D95621-FBC9-4CA1-AC2E-D1C96DE36B70}" name="Expected" dataDxfId="422"/>
    <tableColumn id="4" xr3:uid="{48DCF5B7-C57B-4CF9-A49C-382C49997254}" name="Delta Expected" dataDxfId="421">
      <calculatedColumnFormula>B5-C5</calculatedColumnFormula>
    </tableColumn>
    <tableColumn id="5" xr3:uid="{5063409C-2F70-4B9F-84DC-2C5F3812BB27}" name="% Expected" dataDxfId="420">
      <calculatedColumnFormula>IFERROR(D5/C5, 0)</calculatedColumnFormula>
    </tableColumn>
    <tableColumn id="6" xr3:uid="{81C000AC-8AC1-4109-A3D9-07363868E241}" name="Forecasted" dataDxfId="419"/>
    <tableColumn id="7" xr3:uid="{FE7AC5F1-C3C2-4907-9BD3-BF7CE8EFF4D8}" name="Delta Forecasted" dataDxfId="418" dataCellStyle="Comma">
      <calculatedColumnFormula>B5-F5</calculatedColumnFormula>
    </tableColumn>
    <tableColumn id="8" xr3:uid="{504FC4D5-CE5F-4A3D-8704-2F10443078A7}" name="% Forecasted" dataDxfId="417">
      <calculatedColumnFormula>IFERROR(G5/F5, 0)</calculatedColumnFormula>
    </tableColumn>
    <tableColumn id="9" xr3:uid="{FBC18841-E5E5-4300-A44D-DAAA6A23EC2A}" name="Notes" dataDxfId="416"/>
    <tableColumn id="10" xr3:uid="{9FDCDDFC-003E-4741-A2BA-7A020C5F93E1}" name="Service Request" dataDxfId="4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A9A3C44-577B-4C40-8F57-7207CDD719E6}" name="Data1819202122232425" displayName="Data1819202122232425" ref="A4:J16" totalsRowShown="0" headerRowDxfId="412" dataDxfId="411" headerRowBorderDxfId="409" tableBorderDxfId="410">
  <autoFilter ref="A4:J16" xr:uid="{59A959C2-52B2-422A-A87A-BC08BBF40681}"/>
  <tableColumns count="10">
    <tableColumn id="1" xr3:uid="{3A3EEF0D-D014-4E53-901F-CA7C928A30A1}" name="Month" dataDxfId="408"/>
    <tableColumn id="2" xr3:uid="{ACE88E48-6015-4F1C-B2B4-901B0FB7A72E}" name="Actual" dataDxfId="407"/>
    <tableColumn id="3" xr3:uid="{C450CF17-55EB-41DF-86BF-0F90B2B17116}" name="Expected" dataDxfId="406"/>
    <tableColumn id="4" xr3:uid="{D328879F-AF67-4769-A8A0-1C5A45E099F0}" name="Delta Expected" dataDxfId="405">
      <calculatedColumnFormula>B5-C5</calculatedColumnFormula>
    </tableColumn>
    <tableColumn id="5" xr3:uid="{5A328FC1-E240-4800-9AF2-110C4A4ECC65}" name="% Expected" dataDxfId="404">
      <calculatedColumnFormula>IFERROR(D5/C5, 0)</calculatedColumnFormula>
    </tableColumn>
    <tableColumn id="6" xr3:uid="{7C79FD01-0775-4035-A0D4-C688561910F6}" name="Forecasted" dataDxfId="403"/>
    <tableColumn id="7" xr3:uid="{9B11E4B3-2FEA-48ED-B46E-5AD64770E9EF}" name="Delta Forecasted" dataDxfId="402" dataCellStyle="Comma">
      <calculatedColumnFormula>B5-F5</calculatedColumnFormula>
    </tableColumn>
    <tableColumn id="8" xr3:uid="{E2E6FD63-076A-4431-AAB9-BC1A2E2B8105}" name="% Forecasted" dataDxfId="401">
      <calculatedColumnFormula>IFERROR(G5/F5, 0)</calculatedColumnFormula>
    </tableColumn>
    <tableColumn id="9" xr3:uid="{CCA03326-3B22-4649-B671-18B331CFCFC9}" name="Notes" dataDxfId="400"/>
    <tableColumn id="10" xr3:uid="{6C921FF4-9FBC-47A9-B98A-CB58C94F10C5}" name="Service Request" dataDxfId="39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C40BF71-B37D-403C-8ED2-970FEFC4E1F8}" name="Data18192021222324" displayName="Data18192021222324" ref="A4:J16" totalsRowShown="0" headerRowDxfId="394" dataDxfId="393" headerRowBorderDxfId="391" tableBorderDxfId="392">
  <autoFilter ref="A4:J16" xr:uid="{59A959C2-52B2-422A-A87A-BC08BBF40681}"/>
  <tableColumns count="10">
    <tableColumn id="1" xr3:uid="{F9004329-C93B-4933-AB9F-534ED42FFD10}" name="Month" dataDxfId="390"/>
    <tableColumn id="2" xr3:uid="{432C2987-91D2-4E70-8181-8CD8A6D67978}" name="Actual" dataDxfId="389"/>
    <tableColumn id="3" xr3:uid="{BF6EC749-C28A-4B1B-9CA2-88C8EED0F545}" name="Expected" dataDxfId="388"/>
    <tableColumn id="4" xr3:uid="{8666E9BF-D657-45F6-BA3D-1E281BF0D8A2}" name="Delta Expected" dataDxfId="387">
      <calculatedColumnFormula>B5-C5</calculatedColumnFormula>
    </tableColumn>
    <tableColumn id="5" xr3:uid="{690EED91-B2CC-423E-A46D-0467A03087EB}" name="% Expected" dataDxfId="386">
      <calculatedColumnFormula>IFERROR(D5/C5, 0)</calculatedColumnFormula>
    </tableColumn>
    <tableColumn id="6" xr3:uid="{985AE196-ED6A-49D0-9CF5-38363D80BF1C}" name="Forecasted" dataDxfId="385"/>
    <tableColumn id="7" xr3:uid="{B3189039-676E-4B7F-B804-B61300C3AC2B}" name="Delta Forecasted" dataDxfId="384" dataCellStyle="Comma">
      <calculatedColumnFormula>B5-F5</calculatedColumnFormula>
    </tableColumn>
    <tableColumn id="8" xr3:uid="{3C865CF1-C516-404B-BD49-7AF88A316696}" name="% Forecasted" dataDxfId="383">
      <calculatedColumnFormula>IFERROR(G5/F5, 0)</calculatedColumnFormula>
    </tableColumn>
    <tableColumn id="9" xr3:uid="{A8E110DC-2AD0-4532-BAB3-F25A93C8FA14}" name="Notes" dataDxfId="382"/>
    <tableColumn id="10" xr3:uid="{6B03DC8E-AFEA-4605-83B2-335A63A6E612}" name="Service Request" dataDxfId="38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BA82670-369B-4C3A-82B7-2FD5C4776195}" name="Data181920212223" displayName="Data181920212223" ref="A4:J16" totalsRowShown="0" headerRowDxfId="376" dataDxfId="375" headerRowBorderDxfId="373" tableBorderDxfId="374">
  <autoFilter ref="A4:J16" xr:uid="{59A959C2-52B2-422A-A87A-BC08BBF40681}"/>
  <tableColumns count="10">
    <tableColumn id="1" xr3:uid="{8D8CAC86-1F92-428A-978A-419573E60EDA}" name="Month" dataDxfId="372"/>
    <tableColumn id="2" xr3:uid="{223FDFFC-2B96-4B49-A3DA-3CE9110E23BA}" name="Actual" dataDxfId="371"/>
    <tableColumn id="3" xr3:uid="{697166FB-0846-4476-A3B9-F5E3CD1A5484}" name="Expected" dataDxfId="370"/>
    <tableColumn id="4" xr3:uid="{19183987-F433-4DF0-B9DB-E51E150F6A35}" name="Delta Expected" dataDxfId="369">
      <calculatedColumnFormula>B5-C5</calculatedColumnFormula>
    </tableColumn>
    <tableColumn id="5" xr3:uid="{E16DBE60-5B92-446F-8AB1-18813170F80A}" name="% Expected" dataDxfId="368">
      <calculatedColumnFormula>IFERROR(D5/C5, 0)</calculatedColumnFormula>
    </tableColumn>
    <tableColumn id="6" xr3:uid="{9C65936D-3A2D-49C0-A20F-C0BCB81436F3}" name="Forecasted" dataDxfId="367"/>
    <tableColumn id="7" xr3:uid="{CCF7E1D2-D7A4-481E-A184-00FF7C45982A}" name="Delta Forecasted" dataDxfId="366" dataCellStyle="Comma">
      <calculatedColumnFormula>B5-F5</calculatedColumnFormula>
    </tableColumn>
    <tableColumn id="8" xr3:uid="{00CEF032-E306-4FD4-BF8E-2BA66ADCE3C9}" name="% Forecasted" dataDxfId="365">
      <calculatedColumnFormula>IFERROR(G5/F5, 0)</calculatedColumnFormula>
    </tableColumn>
    <tableColumn id="9" xr3:uid="{317641D1-0E53-4EE1-8813-736213A5B2A2}" name="Notes" dataDxfId="364"/>
    <tableColumn id="10" xr3:uid="{23757325-21CC-4B19-856B-0A394E6508D4}" name="Service Request" dataDxfId="36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83D6B4A-9416-4379-8BD6-AD0B1630A41D}" name="Data1819202122" displayName="Data1819202122" ref="A4:J16" totalsRowShown="0" headerRowDxfId="358" dataDxfId="357" headerRowBorderDxfId="355" tableBorderDxfId="356">
  <autoFilter ref="A4:J16" xr:uid="{59A959C2-52B2-422A-A87A-BC08BBF40681}"/>
  <tableColumns count="10">
    <tableColumn id="1" xr3:uid="{347C7D3C-FD82-46F9-BEBD-8735F2193CE9}" name="Month" dataDxfId="354"/>
    <tableColumn id="2" xr3:uid="{199C91A5-15D1-40E0-8621-51A592031F8A}" name="Actual" dataDxfId="353"/>
    <tableColumn id="3" xr3:uid="{7A6FD5D4-0F5A-4349-BB04-3685AC1C21F9}" name="Expected" dataDxfId="352"/>
    <tableColumn id="4" xr3:uid="{37A4EBAC-FCA0-45AD-A30B-96A8319A8E0C}" name="Delta Expected" dataDxfId="351">
      <calculatedColumnFormula>B5-C5</calculatedColumnFormula>
    </tableColumn>
    <tableColumn id="5" xr3:uid="{49F0FD00-E5C0-4904-AFDC-2209D8270C83}" name="% Expected" dataDxfId="350">
      <calculatedColumnFormula>IFERROR(D5/C5, 0)</calculatedColumnFormula>
    </tableColumn>
    <tableColumn id="6" xr3:uid="{435BBA7F-11D8-4DB8-88B6-3C87B3349883}" name="Forecasted" dataDxfId="349"/>
    <tableColumn id="7" xr3:uid="{57D2837A-D5C4-4D5B-A637-2DBB8F89E7B7}" name="Delta Forecasted" dataDxfId="348" dataCellStyle="Comma">
      <calculatedColumnFormula>B5-F5</calculatedColumnFormula>
    </tableColumn>
    <tableColumn id="8" xr3:uid="{D5D39AF6-24F2-48A2-B19B-F5FADCA2161A}" name="% Forecasted" dataDxfId="347">
      <calculatedColumnFormula>IFERROR(G5/F5, 0)</calculatedColumnFormula>
    </tableColumn>
    <tableColumn id="9" xr3:uid="{BDCD9932-214E-402F-BB90-9556552F7689}" name="Notes" dataDxfId="346"/>
    <tableColumn id="10" xr3:uid="{6961543E-6754-46C0-ABF0-4377D20747FD}" name="Service Request" dataDxfId="34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5F8F4CC-F9DF-4064-A109-D677019A6B4A}" name="Data1819202129" displayName="Data1819202129" ref="A4:J16" totalsRowShown="0" headerRowDxfId="339" dataDxfId="338" headerRowBorderDxfId="336" tableBorderDxfId="337">
  <autoFilter ref="A4:J16" xr:uid="{59A959C2-52B2-422A-A87A-BC08BBF40681}"/>
  <tableColumns count="10">
    <tableColumn id="1" xr3:uid="{5E6E1DF3-291C-4317-8B90-B38224AE85B4}" name="Month" dataDxfId="335"/>
    <tableColumn id="2" xr3:uid="{FD726984-5758-4C54-9CD2-641DEE206A55}" name="Actual" dataDxfId="334"/>
    <tableColumn id="3" xr3:uid="{0BF58DCD-6379-4A26-8254-BBFE2FFDB990}" name="Expected" dataDxfId="333"/>
    <tableColumn id="4" xr3:uid="{E6BD6D5A-EA9D-401B-8AA1-9430D80C0943}" name="Delta Expected" dataDxfId="332">
      <calculatedColumnFormula>B5-C5</calculatedColumnFormula>
    </tableColumn>
    <tableColumn id="5" xr3:uid="{CE84C08A-509D-448F-82D3-3F5FFB720A54}" name="% Expected" dataDxfId="331">
      <calculatedColumnFormula>IFERROR(D5/C5, 0)</calculatedColumnFormula>
    </tableColumn>
    <tableColumn id="6" xr3:uid="{5551BF92-6B60-4C37-A1AF-34332FF7E18F}" name="Forecasted" dataDxfId="330"/>
    <tableColumn id="7" xr3:uid="{090BB86A-DFAA-4458-8739-3FECCC845861}" name="Delta Forecasted" dataDxfId="329" dataCellStyle="Comma">
      <calculatedColumnFormula>B5-F5</calculatedColumnFormula>
    </tableColumn>
    <tableColumn id="8" xr3:uid="{A0F704B9-D9BC-4C25-9B01-EEF4CDBB244D}" name="% Forecasted" dataDxfId="328">
      <calculatedColumnFormula>IFERROR(G5/F5, 0)</calculatedColumnFormula>
    </tableColumn>
    <tableColumn id="9" xr3:uid="{013B8AF9-6C0E-4448-A9BE-F72AA4D66478}" name="Notes" dataDxfId="327"/>
    <tableColumn id="10" xr3:uid="{AF00D379-93D4-49A0-AA91-86B8B0653CB5}" name="Service Request" dataDxfId="32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2B0B743-DC6E-44E5-8EAA-B173BB52D67E}" name="Data18192021" displayName="Data18192021" ref="A4:J16" totalsRowShown="0" headerRowDxfId="321" dataDxfId="320" headerRowBorderDxfId="318" tableBorderDxfId="319">
  <autoFilter ref="A4:J16" xr:uid="{59A959C2-52B2-422A-A87A-BC08BBF40681}"/>
  <tableColumns count="10">
    <tableColumn id="1" xr3:uid="{02CBB29B-8FA5-4F92-8AF1-3ACF6DE0405A}" name="Month" dataDxfId="317"/>
    <tableColumn id="2" xr3:uid="{9F3DD7A4-1E93-48C9-865C-6884066E1FF6}" name="Actual" dataDxfId="316"/>
    <tableColumn id="3" xr3:uid="{19F29B76-B230-4627-9560-E871FAA1F939}" name="Expected" dataDxfId="315"/>
    <tableColumn id="4" xr3:uid="{816FC8AC-921F-4501-A77B-C19037E643D9}" name="Delta Expected" dataDxfId="314">
      <calculatedColumnFormula>B5-C5</calculatedColumnFormula>
    </tableColumn>
    <tableColumn id="5" xr3:uid="{D36857E3-4341-4AFF-A150-8993BE8FDE37}" name="% Expected" dataDxfId="313">
      <calculatedColumnFormula>IFERROR(D5/C5, 0)</calculatedColumnFormula>
    </tableColumn>
    <tableColumn id="6" xr3:uid="{AE4608B8-75F0-4E4F-91A6-C0556D119D4E}" name="Forecasted" dataDxfId="312"/>
    <tableColumn id="7" xr3:uid="{333D3E1E-F642-46CC-9C6B-93D4AA6809B4}" name="Delta Forecasted" dataDxfId="311" dataCellStyle="Comma">
      <calculatedColumnFormula>B5-F5</calculatedColumnFormula>
    </tableColumn>
    <tableColumn id="8" xr3:uid="{8761E2DE-58C9-41CE-A033-5FE829C1BA70}" name="% Forecasted" dataDxfId="310">
      <calculatedColumnFormula>IFERROR(G5/F5, 0)</calculatedColumnFormula>
    </tableColumn>
    <tableColumn id="9" xr3:uid="{DA86E462-D5CA-47CC-BB6F-E306D0C644A1}" name="Notes" dataDxfId="309"/>
    <tableColumn id="10" xr3:uid="{A116F92D-16FB-49E5-A53A-E4A92439DF62}" name="Service Request" dataDxfId="30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62484EC-8815-461B-B5AF-3853357CD44C}" name="Data1819202113141530" displayName="Data1819202113141530" ref="A4:J16" totalsRowShown="0" headerRowDxfId="305" dataDxfId="304" headerRowBorderDxfId="302" tableBorderDxfId="303">
  <autoFilter ref="A4:J16" xr:uid="{862484EC-8815-461B-B5AF-3853357CD44C}"/>
  <tableColumns count="10">
    <tableColumn id="1" xr3:uid="{96C26DCB-2B19-410F-9E17-E983BD4EA92D}" name="Month" dataDxfId="301"/>
    <tableColumn id="2" xr3:uid="{7F60CEEC-29F8-4E53-BBA6-1E9A379DC364}" name="Actual" dataDxfId="300"/>
    <tableColumn id="3" xr3:uid="{2D223852-329E-4F66-8BDF-98540534D4A1}" name="Expected" dataDxfId="299"/>
    <tableColumn id="4" xr3:uid="{70594C86-32F5-4B48-9ED6-19F127E10127}" name="Delta Expected" dataDxfId="298">
      <calculatedColumnFormula>B5-C5</calculatedColumnFormula>
    </tableColumn>
    <tableColumn id="5" xr3:uid="{922E7DEE-44A5-4C2E-8F55-C3A6D07DB41E}" name="% Expected" dataDxfId="297">
      <calculatedColumnFormula>IFERROR(D5/C5, 0)</calculatedColumnFormula>
    </tableColumn>
    <tableColumn id="6" xr3:uid="{FDBEDB40-77AE-481B-B498-2B8EAEE8AD8A}" name="Forecasted" dataDxfId="296"/>
    <tableColumn id="7" xr3:uid="{046B3021-43C5-4A62-828C-73E4B60938BA}" name="Delta Forecasted" dataDxfId="295" dataCellStyle="Comma">
      <calculatedColumnFormula>B5-F5</calculatedColumnFormula>
    </tableColumn>
    <tableColumn id="8" xr3:uid="{A5652D43-5992-45D4-B66B-9E2BD4554BCA}" name="% Forecasted" dataDxfId="294">
      <calculatedColumnFormula>IFERROR(G5/F5, 0)</calculatedColumnFormula>
    </tableColumn>
    <tableColumn id="9" xr3:uid="{164534D3-99F8-45CA-B189-0C421143A080}" name="Notes" dataDxfId="293"/>
    <tableColumn id="10" xr3:uid="{FDEEDDAF-51ED-4224-AD10-E15ACE0FF071}" name="Service Request" dataDxfId="29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C5A0A-E7D6-4491-8EBD-2013E563933C}" name="Data181945" displayName="Data181945" ref="A4:J16" totalsRowShown="0" headerRowDxfId="289" dataDxfId="288" headerRowBorderDxfId="286" tableBorderDxfId="287">
  <autoFilter ref="A4:J16" xr:uid="{59A959C2-52B2-422A-A87A-BC08BBF40681}"/>
  <tableColumns count="10">
    <tableColumn id="1" xr3:uid="{CD038687-0E84-4794-921C-DD75AD1B9372}" name="Month" dataDxfId="285"/>
    <tableColumn id="2" xr3:uid="{2DD93D7A-2759-4628-9A2A-FAD92290500D}" name="Actual" dataDxfId="284"/>
    <tableColumn id="3" xr3:uid="{0FF48EA7-18BF-478D-8E57-323867800979}" name="Expected" dataDxfId="283"/>
    <tableColumn id="4" xr3:uid="{0DF00230-7A51-4DAD-884C-EFA627AF9711}" name="Delta Expected" dataDxfId="282">
      <calculatedColumnFormula>B5-C5</calculatedColumnFormula>
    </tableColumn>
    <tableColumn id="5" xr3:uid="{B23BA50D-69A2-4B9E-8F48-DE3DD9F3E0F2}" name="% Expected" dataDxfId="281">
      <calculatedColumnFormula>IFERROR(D5/C5, 0)</calculatedColumnFormula>
    </tableColumn>
    <tableColumn id="6" xr3:uid="{70C5152C-E7FE-4917-ABF8-AFBC7A4A908E}" name="Forecasted" dataDxfId="280"/>
    <tableColumn id="7" xr3:uid="{9EBEE8DA-92D1-4170-BF6B-5C849EE9F474}" name="Delta Forecasted" dataDxfId="279" dataCellStyle="Comma">
      <calculatedColumnFormula>B5-F5</calculatedColumnFormula>
    </tableColumn>
    <tableColumn id="8" xr3:uid="{49327B8E-A475-446E-A72A-0D037FF44F56}" name="% Forecasted" dataDxfId="278">
      <calculatedColumnFormula>IFERROR(G5/F5, 0)</calculatedColumnFormula>
    </tableColumn>
    <tableColumn id="9" xr3:uid="{0531A28D-1F0A-4608-A3F0-1B25F7BBF7E7}" name="Notes" dataDxfId="277"/>
    <tableColumn id="10" xr3:uid="{0DCCD945-BC25-4239-9B6F-04BB9BC23BD6}" name="Service Request" dataDxfId="27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191EFA7-CD1E-412B-A6D8-D7D2C2760BE7}" name="Data1819202113141517" displayName="Data1819202113141517" ref="A4:J16" totalsRowShown="0" headerRowDxfId="273" dataDxfId="272" headerRowBorderDxfId="270" tableBorderDxfId="271">
  <autoFilter ref="A4:J16" xr:uid="{4191EFA7-CD1E-412B-A6D8-D7D2C2760BE7}"/>
  <tableColumns count="10">
    <tableColumn id="1" xr3:uid="{D9D40E3D-6138-4315-8B1F-3C458D75FDD2}" name="Month" dataDxfId="269"/>
    <tableColumn id="2" xr3:uid="{B4FFBAF2-87D4-4F2A-B594-488E40E9EC91}" name="Actual" dataDxfId="268"/>
    <tableColumn id="3" xr3:uid="{D8C02CB6-A9F9-4179-BE64-D11B73F1EBC7}" name="Expected" dataDxfId="267"/>
    <tableColumn id="4" xr3:uid="{C883C518-8EA6-4F12-A0FC-F99C51BA2FB1}" name="Delta Expected" dataDxfId="266">
      <calculatedColumnFormula>B5-C5</calculatedColumnFormula>
    </tableColumn>
    <tableColumn id="5" xr3:uid="{DA09225F-1FB7-4D2F-96C5-F82C24054817}" name="% Expected" dataDxfId="265">
      <calculatedColumnFormula>IFERROR(D5/C5, 0)</calculatedColumnFormula>
    </tableColumn>
    <tableColumn id="6" xr3:uid="{EFF87872-9275-4183-B751-1A8347CE3543}" name="Forecasted" dataDxfId="264"/>
    <tableColumn id="7" xr3:uid="{A4C4853A-87DC-4388-8AC7-A46DEDDC9BC6}" name="Delta Forecasted" dataDxfId="263" dataCellStyle="Comma">
      <calculatedColumnFormula>B5-F5</calculatedColumnFormula>
    </tableColumn>
    <tableColumn id="8" xr3:uid="{9FD4C140-020A-4766-9896-BD2944CADFD2}" name="% Forecasted" dataDxfId="262">
      <calculatedColumnFormula>IFERROR(G5/F5, 0)</calculatedColumnFormula>
    </tableColumn>
    <tableColumn id="9" xr3:uid="{75193DEC-B969-444E-BCE6-9CD97D731263}" name="Notes" dataDxfId="261"/>
    <tableColumn id="10" xr3:uid="{A25C1EE9-C525-432A-B90B-13EAEFB34475}" name="Service Request" dataDxfId="26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A6A99D-C3FB-4491-92B7-FD7860077C62}" name="Data18194567" displayName="Data18194567" ref="A4:J16" totalsRowShown="0" headerRowDxfId="257" dataDxfId="256" headerRowBorderDxfId="254" tableBorderDxfId="255">
  <autoFilter ref="A4:J16" xr:uid="{59A959C2-52B2-422A-A87A-BC08BBF40681}"/>
  <tableColumns count="10">
    <tableColumn id="1" xr3:uid="{8933602B-FDCD-4A09-9712-3AEC25D8B816}" name="Month" dataDxfId="253"/>
    <tableColumn id="2" xr3:uid="{74B9208D-B493-4174-B401-A08C3F7F54B6}" name="Actual" dataDxfId="252"/>
    <tableColumn id="3" xr3:uid="{1AA351F6-4BE6-40AF-8930-ACFD8D61FE5D}" name="Expected" dataDxfId="251"/>
    <tableColumn id="4" xr3:uid="{6EBD58A4-80D3-428E-8598-3876B2ADB097}" name="Delta Expected" dataDxfId="250">
      <calculatedColumnFormula>B5-C5</calculatedColumnFormula>
    </tableColumn>
    <tableColumn id="5" xr3:uid="{66E57D04-460C-44FB-B320-025906510849}" name="% Expected" dataDxfId="249">
      <calculatedColumnFormula>IFERROR(D5/C5, 0)</calculatedColumnFormula>
    </tableColumn>
    <tableColumn id="6" xr3:uid="{1524E7B3-1B0D-4D20-BD10-DC172A3A5DF9}" name="Forecasted" dataDxfId="248"/>
    <tableColumn id="7" xr3:uid="{5F4B244D-F28C-49A1-AD99-BB38B72CFE05}" name="Delta Forecasted" dataDxfId="247" dataCellStyle="Comma">
      <calculatedColumnFormula>B5-F5</calculatedColumnFormula>
    </tableColumn>
    <tableColumn id="8" xr3:uid="{23B01691-BBFA-49DD-B9EF-875A47ED33D9}" name="% Forecasted" dataDxfId="246">
      <calculatedColumnFormula>IFERROR(G5/F5, 0)</calculatedColumnFormula>
    </tableColumn>
    <tableColumn id="9" xr3:uid="{6EEF34B7-D784-4A6D-B3E1-D4E947C421D0}" name="Notes" dataDxfId="245"/>
    <tableColumn id="10" xr3:uid="{5EDFAFFF-B026-416A-AE03-0B529B313CD8}" name="Service Request" dataDxfId="24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EBF2E6-FE27-47D2-BDD4-9E6DF61D685B}" name="Data181945678" displayName="Data181945678" ref="A4:J16" totalsRowShown="0" headerRowDxfId="241" dataDxfId="240" headerRowBorderDxfId="238" tableBorderDxfId="239">
  <autoFilter ref="A4:J16" xr:uid="{59A959C2-52B2-422A-A87A-BC08BBF40681}"/>
  <tableColumns count="10">
    <tableColumn id="1" xr3:uid="{12F8CE1F-65D5-4B0F-82D8-E41FCC3B8B03}" name="Month" dataDxfId="237"/>
    <tableColumn id="2" xr3:uid="{7751D610-9099-465A-926D-BBDB61866C6D}" name="Actual" dataDxfId="236"/>
    <tableColumn id="3" xr3:uid="{DF7E734A-4686-49AB-ACB0-8A1BF5BAA621}" name="Expected" dataDxfId="235"/>
    <tableColumn id="4" xr3:uid="{1398153F-FD6B-4540-8957-F8F268B0DCBA}" name="Delta Expected" dataDxfId="234">
      <calculatedColumnFormula>B5-C5</calculatedColumnFormula>
    </tableColumn>
    <tableColumn id="5" xr3:uid="{CDD75C8B-5F81-43CF-B73C-CC9A8ADD3458}" name="% Expected" dataDxfId="233">
      <calculatedColumnFormula>IFERROR(D5/C5, 0)</calculatedColumnFormula>
    </tableColumn>
    <tableColumn id="6" xr3:uid="{FB4B9E65-F9EB-4625-9641-ACA7CB4C5700}" name="Forecasted" dataDxfId="232"/>
    <tableColumn id="7" xr3:uid="{371EBBB0-0BA7-4684-85F9-19903E9B4238}" name="Delta Forecasted" dataDxfId="231" dataCellStyle="Comma">
      <calculatedColumnFormula>B5-F5</calculatedColumnFormula>
    </tableColumn>
    <tableColumn id="8" xr3:uid="{68AD199C-18E5-41AD-A286-6D12CC37E9B9}" name="% Forecasted" dataDxfId="230">
      <calculatedColumnFormula>IFERROR(G5/F5, 0)</calculatedColumnFormula>
    </tableColumn>
    <tableColumn id="9" xr3:uid="{59C86CAD-B198-4D6C-A272-6C263CCE8B86}" name="Notes" dataDxfId="229"/>
    <tableColumn id="10" xr3:uid="{7741ED5F-DC45-4727-B1EC-20CA508672A2}" name="Service Request" dataDxfId="228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5346CEE-DAB9-41B7-8A4E-5BF72742DCBF}" name="Data1819456789" displayName="Data1819456789" ref="A4:J16" totalsRowShown="0" headerRowDxfId="225" dataDxfId="224" headerRowBorderDxfId="222" tableBorderDxfId="223">
  <autoFilter ref="A4:J16" xr:uid="{59A959C2-52B2-422A-A87A-BC08BBF40681}"/>
  <tableColumns count="10">
    <tableColumn id="1" xr3:uid="{21F81BBD-99B2-4802-BE7E-121F74A79C0B}" name="Month" dataDxfId="221"/>
    <tableColumn id="2" xr3:uid="{0843D03F-2654-4293-A48B-9220B7201401}" name="Actual" dataDxfId="220"/>
    <tableColumn id="3" xr3:uid="{D38FE785-EDEF-4D3F-B64E-4BDDA60B88F9}" name="Expected" dataDxfId="219"/>
    <tableColumn id="4" xr3:uid="{6156CB9D-7010-4B0A-A7E4-55DE5D9417A7}" name="Delta Expected" dataDxfId="218">
      <calculatedColumnFormula>B5-C5</calculatedColumnFormula>
    </tableColumn>
    <tableColumn id="5" xr3:uid="{555B5784-D637-4D2A-99A8-6EBE8BEDBCEC}" name="% Expected" dataDxfId="217">
      <calculatedColumnFormula>IFERROR(D5/C5, 0)</calculatedColumnFormula>
    </tableColumn>
    <tableColumn id="6" xr3:uid="{09BA7563-DCC0-4D33-B633-B4208D0BE592}" name="Forecasted" dataDxfId="216"/>
    <tableColumn id="7" xr3:uid="{B1971BCD-C888-483F-887B-90E16F467F3B}" name="Delta Forecasted" dataDxfId="215" dataCellStyle="Comma">
      <calculatedColumnFormula>B5-F5</calculatedColumnFormula>
    </tableColumn>
    <tableColumn id="8" xr3:uid="{960462FE-27E6-416F-8D6C-6EEE543D8925}" name="% Forecasted" dataDxfId="214">
      <calculatedColumnFormula>IFERROR(G5/F5, 0)</calculatedColumnFormula>
    </tableColumn>
    <tableColumn id="9" xr3:uid="{A716E33D-0738-44C1-88A6-310D27CAD939}" name="Notes" dataDxfId="213"/>
    <tableColumn id="10" xr3:uid="{41A735F2-53DD-4457-9A8A-1CAFBF0C4200}" name="Service Request" dataDxfId="212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C81869-06BF-48D4-A898-6B50A13D928D}" name="Data181945678910" displayName="Data181945678910" ref="A4:J16" totalsRowShown="0" headerRowDxfId="209" dataDxfId="208" headerRowBorderDxfId="206" tableBorderDxfId="207">
  <autoFilter ref="A4:J16" xr:uid="{59A959C2-52B2-422A-A87A-BC08BBF40681}"/>
  <tableColumns count="10">
    <tableColumn id="1" xr3:uid="{7DDB2F03-24B2-462E-85D3-BA541869B0F5}" name="Month" dataDxfId="205"/>
    <tableColumn id="2" xr3:uid="{3A343D0E-C92C-453B-9629-BB7FBCDB36C4}" name="Actual" dataDxfId="204"/>
    <tableColumn id="3" xr3:uid="{5FC4D49D-7F0E-4812-B18B-6DDD77591339}" name="Expected" dataDxfId="203"/>
    <tableColumn id="4" xr3:uid="{7CB08D9D-1A16-4F13-B481-F488C989DD29}" name="Delta Expected" dataDxfId="202">
      <calculatedColumnFormula>B5-C5</calculatedColumnFormula>
    </tableColumn>
    <tableColumn id="5" xr3:uid="{7FA58A1B-392D-4DE0-A140-37D4CFBC8137}" name="% Expected" dataDxfId="201">
      <calculatedColumnFormula>IFERROR(D5/C5, 0)</calculatedColumnFormula>
    </tableColumn>
    <tableColumn id="6" xr3:uid="{80E3C1AD-5092-47B8-BA10-A35EFB487697}" name="Forecasted" dataDxfId="200"/>
    <tableColumn id="7" xr3:uid="{A582CCAC-B7EE-43E6-BF8F-7763A7480898}" name="Delta Forecasted" dataDxfId="199" dataCellStyle="Comma">
      <calculatedColumnFormula>B5-F5</calculatedColumnFormula>
    </tableColumn>
    <tableColumn id="8" xr3:uid="{D61595B1-993F-41BE-B731-FE0ACE876028}" name="% Forecasted" dataDxfId="198">
      <calculatedColumnFormula>IFERROR(G5/F5, 0)</calculatedColumnFormula>
    </tableColumn>
    <tableColumn id="9" xr3:uid="{D63CBD27-B6F1-413A-85EA-2C1CAA66C7D6}" name="Notes" dataDxfId="197"/>
    <tableColumn id="10" xr3:uid="{2990662C-9421-4C21-85B4-A63E2D9E5B27}" name="Service Request" dataDxfId="19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D38F083-D86C-44DA-B579-13E96E242C75}" name="Data18192021131415" displayName="Data18192021131415" ref="A4:J16" totalsRowShown="0" headerRowDxfId="193" dataDxfId="192" headerRowBorderDxfId="190" tableBorderDxfId="191">
  <autoFilter ref="A4:J16" xr:uid="{59A959C2-52B2-422A-A87A-BC08BBF40681}"/>
  <tableColumns count="10">
    <tableColumn id="1" xr3:uid="{F49E0736-64DB-4E8E-955B-DFB972120236}" name="Month" dataDxfId="189"/>
    <tableColumn id="2" xr3:uid="{B3C8EC04-A27D-4228-B0C8-568F0459B3A6}" name="Actual" dataDxfId="188"/>
    <tableColumn id="3" xr3:uid="{149C7162-CA2C-4EF6-BEF9-CD6626A968B1}" name="Expected" dataDxfId="187"/>
    <tableColumn id="4" xr3:uid="{FB9CAC1A-FB8F-4BEE-B8A1-334C15972727}" name="Delta Expected" dataDxfId="186">
      <calculatedColumnFormula>B5-C5</calculatedColumnFormula>
    </tableColumn>
    <tableColumn id="5" xr3:uid="{E977F9F4-F888-4BEF-A17F-CFF34084FBB3}" name="% Expected" dataDxfId="185">
      <calculatedColumnFormula>IFERROR(D5/C5, 0)</calculatedColumnFormula>
    </tableColumn>
    <tableColumn id="6" xr3:uid="{965A60F9-A325-4163-B51E-ECFE214CD18C}" name="Forecasted" dataDxfId="184"/>
    <tableColumn id="7" xr3:uid="{9DBE6365-AAB6-4C21-882F-F15FC67AC0B6}" name="Delta Forecasted" dataDxfId="183" dataCellStyle="Comma">
      <calculatedColumnFormula>B5-F5</calculatedColumnFormula>
    </tableColumn>
    <tableColumn id="8" xr3:uid="{99718B19-81A0-46A8-94E3-AFC09669FD9E}" name="% Forecasted" dataDxfId="182">
      <calculatedColumnFormula>IFERROR(G5/F5, 0)</calculatedColumnFormula>
    </tableColumn>
    <tableColumn id="9" xr3:uid="{F144736D-08F2-49AE-8A2C-CE89537EBADC}" name="Notes" dataDxfId="181"/>
    <tableColumn id="10" xr3:uid="{579DB2A3-660B-4E30-BD89-095DAE112F7C}" name="Service Request" dataDxfId="180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FC58664-5AA9-4E3A-91AA-96C3FC109C04}" name="Data18194567891011" displayName="Data18194567891011" ref="A4:J16" totalsRowShown="0" headerRowDxfId="177" dataDxfId="176" headerRowBorderDxfId="174" tableBorderDxfId="175">
  <autoFilter ref="A4:J16" xr:uid="{59A959C2-52B2-422A-A87A-BC08BBF40681}"/>
  <tableColumns count="10">
    <tableColumn id="1" xr3:uid="{05E9553E-A16B-48C6-89C2-3D84F3397831}" name="Month" dataDxfId="173"/>
    <tableColumn id="2" xr3:uid="{59D22888-EA84-452F-ACAB-06AADF1EE68C}" name="Actual" dataDxfId="172"/>
    <tableColumn id="3" xr3:uid="{9927E3F2-23C2-4C40-B0D8-E7EF201D6862}" name="Expected" dataDxfId="171"/>
    <tableColumn id="4" xr3:uid="{6863BD22-8308-43FD-8F63-3250A1233871}" name="Delta Expected" dataDxfId="170">
      <calculatedColumnFormula>B5-C5</calculatedColumnFormula>
    </tableColumn>
    <tableColumn id="5" xr3:uid="{50B913F0-30E9-49F8-96BD-4A2302F12DDB}" name="% Expected" dataDxfId="169">
      <calculatedColumnFormula>IFERROR(D5/C5, 0)</calculatedColumnFormula>
    </tableColumn>
    <tableColumn id="6" xr3:uid="{DA3700AB-F914-4B46-8880-0F4593B4D22C}" name="Forecasted" dataDxfId="168"/>
    <tableColumn id="7" xr3:uid="{3B90040C-7F29-4B25-9EEE-DDF4387D729D}" name="Delta Forecasted" dataDxfId="167" dataCellStyle="Comma">
      <calculatedColumnFormula>B5-F5</calculatedColumnFormula>
    </tableColumn>
    <tableColumn id="8" xr3:uid="{55772994-CAF2-41CE-A144-BD5C99F63439}" name="% Forecasted" dataDxfId="166">
      <calculatedColumnFormula>IFERROR(G5/F5, 0)</calculatedColumnFormula>
    </tableColumn>
    <tableColumn id="9" xr3:uid="{4E9969C1-696C-40D3-953B-FA8BEB700016}" name="Notes" dataDxfId="165"/>
    <tableColumn id="10" xr3:uid="{F339223C-F5A5-4D2A-9D92-2C4DA9D39355}" name="Service Request" dataDxfId="164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8AD0BB6-B209-462F-BA04-0FA4BA97D7F5}" name="Data1819456789101112" displayName="Data1819456789101112" ref="A4:J16" totalsRowShown="0" headerRowDxfId="161" dataDxfId="160" headerRowBorderDxfId="158" tableBorderDxfId="159">
  <autoFilter ref="A4:J16" xr:uid="{59A959C2-52B2-422A-A87A-BC08BBF40681}"/>
  <tableColumns count="10">
    <tableColumn id="1" xr3:uid="{3E3486B1-130F-447D-9C70-6927D3A0BAD3}" name="Month" dataDxfId="157"/>
    <tableColumn id="2" xr3:uid="{ACED66E0-C1DA-445C-A562-2BB61E9421B2}" name="Actual" dataDxfId="156"/>
    <tableColumn id="3" xr3:uid="{1009B056-2753-4B4A-AC51-65955BBD7F51}" name="Expected" dataDxfId="155"/>
    <tableColumn id="4" xr3:uid="{A95E66D4-701F-4295-9AE1-EC5C052F8E17}" name="Delta Expected" dataDxfId="154">
      <calculatedColumnFormula>B5-C5</calculatedColumnFormula>
    </tableColumn>
    <tableColumn id="5" xr3:uid="{66C5960D-310A-40EE-B8CF-A1AC8EFD8A14}" name="% Expected" dataDxfId="153">
      <calculatedColumnFormula>IFERROR(D5/C5, 0)</calculatedColumnFormula>
    </tableColumn>
    <tableColumn id="6" xr3:uid="{964ADC52-FE0F-4AB2-8A53-7CEE20B376D8}" name="Forecasted" dataDxfId="152"/>
    <tableColumn id="7" xr3:uid="{559978FF-1554-4829-8615-A6E482DA9FDE}" name="Delta Forecasted" dataDxfId="151" dataCellStyle="Comma">
      <calculatedColumnFormula>B5-F5</calculatedColumnFormula>
    </tableColumn>
    <tableColumn id="8" xr3:uid="{E317DFF6-D1A6-46BF-8C89-CF6FD115E2D1}" name="% Forecasted" dataDxfId="150">
      <calculatedColumnFormula>IFERROR(G5/F5, 0)</calculatedColumnFormula>
    </tableColumn>
    <tableColumn id="9" xr3:uid="{7A30A7A4-B0F5-47EB-ADCA-36E0859AF298}" name="Notes" dataDxfId="149"/>
    <tableColumn id="10" xr3:uid="{A2A79F9E-7695-49EB-BE3A-29042CF6BE1E}" name="Service Request" dataDxfId="148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227315E-3D45-4F14-8850-6D6F6067DADF}" name="Data1819" displayName="Data1819" ref="A4:J16" totalsRowShown="0" headerRowDxfId="145" dataDxfId="144" headerRowBorderDxfId="142" tableBorderDxfId="143">
  <autoFilter ref="A4:J16" xr:uid="{59A959C2-52B2-422A-A87A-BC08BBF40681}"/>
  <tableColumns count="10">
    <tableColumn id="1" xr3:uid="{77E6FAAF-0999-49E3-99CA-07D98C9A302A}" name="Month" dataDxfId="141"/>
    <tableColumn id="2" xr3:uid="{59B2FACE-FD04-4B01-9769-1826A4BFD80D}" name="Actual" dataDxfId="140"/>
    <tableColumn id="3" xr3:uid="{DD87B9A3-2D37-45A6-9CDD-6537DF23AD7E}" name="Expected" dataDxfId="139"/>
    <tableColumn id="4" xr3:uid="{39BA3CEA-CBCA-4E6F-A0CA-4FA3B466A116}" name="Delta Expected" dataDxfId="138">
      <calculatedColumnFormula>B5-C5</calculatedColumnFormula>
    </tableColumn>
    <tableColumn id="5" xr3:uid="{DB5ACD05-6D0B-47C1-9519-E2B6FF709AD5}" name="% Expected" dataDxfId="137">
      <calculatedColumnFormula>IFERROR(D5/C5, 0)</calculatedColumnFormula>
    </tableColumn>
    <tableColumn id="6" xr3:uid="{B193E813-1C65-4930-8970-A32E7C27509E}" name="Forecasted" dataDxfId="136"/>
    <tableColumn id="7" xr3:uid="{C6C06131-4F24-45CB-BB1F-B32FA41C796F}" name="Delta Forecasted" dataDxfId="135" dataCellStyle="Comma">
      <calculatedColumnFormula>B5-F5</calculatedColumnFormula>
    </tableColumn>
    <tableColumn id="8" xr3:uid="{6E033078-CE54-4928-B0CD-8B04664AB929}" name="% Forecasted" dataDxfId="134">
      <calculatedColumnFormula>IFERROR(G5/F5, 0)</calculatedColumnFormula>
    </tableColumn>
    <tableColumn id="9" xr3:uid="{0859B2AD-AA89-4C25-A003-2FC4E3A6AFF9}" name="Notes" dataDxfId="133"/>
    <tableColumn id="10" xr3:uid="{F24B3FC5-F17E-42AE-B8E7-5C6B1CD32D85}" name="Service Request" dataDxfId="13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955D16-BCA9-4491-B5D1-D76E5E5FE458}" name="Data18194" displayName="Data18194" ref="A4:J16" totalsRowShown="0" headerRowDxfId="129" dataDxfId="128" headerRowBorderDxfId="126" tableBorderDxfId="127">
  <autoFilter ref="A4:J16" xr:uid="{59A959C2-52B2-422A-A87A-BC08BBF40681}"/>
  <tableColumns count="10">
    <tableColumn id="1" xr3:uid="{AB306FA5-B831-4C30-8BAC-A035748F0155}" name="Month" dataDxfId="125"/>
    <tableColumn id="2" xr3:uid="{80F6EFAB-0E80-428C-AD88-1820F9557DCE}" name="Actual" dataDxfId="124"/>
    <tableColumn id="3" xr3:uid="{10FBC545-44F2-4B25-BAAB-9F15CC46F8B1}" name="Expected" dataDxfId="123"/>
    <tableColumn id="4" xr3:uid="{44DAF0AE-ABFB-4AEE-83D6-9B0734680705}" name="Delta Expected" dataDxfId="122">
      <calculatedColumnFormula>B5-C5</calculatedColumnFormula>
    </tableColumn>
    <tableColumn id="5" xr3:uid="{41937403-4BE4-483E-B72C-F89DE6610403}" name="% Expected" dataDxfId="121">
      <calculatedColumnFormula>IFERROR(D5/C5, 0)</calculatedColumnFormula>
    </tableColumn>
    <tableColumn id="6" xr3:uid="{C4E038D9-1DB8-4112-B867-8A9E9EB1D147}" name="Forecasted" dataDxfId="120"/>
    <tableColumn id="7" xr3:uid="{14F2ED8F-6E2B-41BF-A7C2-01F66CDF5AAA}" name="Delta Forecasted" dataDxfId="119" dataCellStyle="Comma">
      <calculatedColumnFormula>B5-F5</calculatedColumnFormula>
    </tableColumn>
    <tableColumn id="8" xr3:uid="{7D6D0AAB-029D-46A2-9319-4D94A9447EBF}" name="% Forecasted" dataDxfId="118">
      <calculatedColumnFormula>IFERROR(G5/F5, 0)</calculatedColumnFormula>
    </tableColumn>
    <tableColumn id="9" xr3:uid="{48D6F784-B6F1-42D4-84F7-F9D2AF8E51D8}" name="Notes" dataDxfId="117"/>
    <tableColumn id="10" xr3:uid="{9BB7B21B-FE9F-47A3-BF0A-018A45D8610D}" name="Service Request" dataDxfId="116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1D41329-DDB8-465F-A571-0B5D000EFDE2}" name="Data1819202113141531" displayName="Data1819202113141531" ref="A4:J16" totalsRowShown="0" headerRowDxfId="113" dataDxfId="112" headerRowBorderDxfId="110" tableBorderDxfId="111">
  <autoFilter ref="A4:J16" xr:uid="{F1D41329-DDB8-465F-A571-0B5D000EFDE2}"/>
  <tableColumns count="10">
    <tableColumn id="1" xr3:uid="{E3C182E2-25B5-4392-BCDB-CA1E979ADE1B}" name="Month" dataDxfId="109"/>
    <tableColumn id="2" xr3:uid="{D743BC23-9776-47F3-AFB5-EE2CC096579E}" name="Actual" dataDxfId="108"/>
    <tableColumn id="3" xr3:uid="{B360E7D5-9E3C-4C60-A7E2-68B4FC454A06}" name="Expected" dataDxfId="107"/>
    <tableColumn id="4" xr3:uid="{9FF3D246-236A-4EE1-8A3B-29F380C25917}" name="Delta Expected" dataDxfId="106">
      <calculatedColumnFormula>B5-C5</calculatedColumnFormula>
    </tableColumn>
    <tableColumn id="5" xr3:uid="{49CBB4AA-16BD-423C-91ED-742B5CF9BB12}" name="% Expected" dataDxfId="105">
      <calculatedColumnFormula>IFERROR(D5/C5, 0)</calculatedColumnFormula>
    </tableColumn>
    <tableColumn id="6" xr3:uid="{5541A00D-A002-46A0-B777-EE90440E3D4E}" name="Forecasted" dataDxfId="104"/>
    <tableColumn id="7" xr3:uid="{0B4E8A15-876D-4018-9A98-2A11B86BF357}" name="Delta Forecasted" dataDxfId="103" dataCellStyle="Comma">
      <calculatedColumnFormula>B5-F5</calculatedColumnFormula>
    </tableColumn>
    <tableColumn id="8" xr3:uid="{B90FBA9A-5F01-4904-9F14-6930FB7A3988}" name="% Forecasted" dataDxfId="102">
      <calculatedColumnFormula>IFERROR(G5/F5, 0)</calculatedColumnFormula>
    </tableColumn>
    <tableColumn id="9" xr3:uid="{FAF3ADD5-BFAE-4B82-916E-1CD2D0953DC8}" name="Notes" dataDxfId="101"/>
    <tableColumn id="10" xr3:uid="{2D6A30B7-E9A6-4BCB-B61E-0D4270E3C089}" name="Service Request" dataDxfId="10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56C2490-DD84-41A0-B547-05A516E96E2B}" name="Data1819202113141531323334" displayName="Data1819202113141531323334" ref="A4:J16" totalsRowShown="0" headerRowDxfId="97" dataDxfId="96" headerRowBorderDxfId="94" tableBorderDxfId="95">
  <autoFilter ref="A4:J16" xr:uid="{F1D41329-DDB8-465F-A571-0B5D000EFDE2}"/>
  <tableColumns count="10">
    <tableColumn id="1" xr3:uid="{A09D6F5F-2076-47D6-ACE4-6D7470A3EAD4}" name="Month" dataDxfId="93"/>
    <tableColumn id="2" xr3:uid="{4F212262-C124-4225-90AF-56277EDEBC8F}" name="Actual" dataDxfId="92"/>
    <tableColumn id="3" xr3:uid="{1B0958D5-0538-4674-9ADD-4D5833B5F589}" name="Expected" dataDxfId="91"/>
    <tableColumn id="4" xr3:uid="{8A93F484-E6F6-47F0-BF27-B2F32C529D51}" name="Delta Expected" dataDxfId="90">
      <calculatedColumnFormula>B5-C5</calculatedColumnFormula>
    </tableColumn>
    <tableColumn id="5" xr3:uid="{61C50E04-B2A5-45AA-B829-D06C0A5D5461}" name="% Expected" dataDxfId="89">
      <calculatedColumnFormula>IFERROR(D5/C5, 0)</calculatedColumnFormula>
    </tableColumn>
    <tableColumn id="6" xr3:uid="{6A0016AC-8CA0-40CC-9F90-334CB4238332}" name="Forecasted" dataDxfId="88"/>
    <tableColumn id="7" xr3:uid="{EE593786-A58B-4C5E-BD64-E3C590874D64}" name="Delta Forecasted" dataDxfId="87" dataCellStyle="Comma">
      <calculatedColumnFormula>B5-F5</calculatedColumnFormula>
    </tableColumn>
    <tableColumn id="8" xr3:uid="{8A733901-CB2D-46F2-8239-8B068E7129E0}" name="% Forecasted" dataDxfId="86">
      <calculatedColumnFormula>IFERROR(G5/F5, 0)</calculatedColumnFormula>
    </tableColumn>
    <tableColumn id="9" xr3:uid="{1AD86A63-91FD-4E6F-8837-9A8A5EC6D46F}" name="Notes" dataDxfId="85"/>
    <tableColumn id="10" xr3:uid="{F1732E14-2525-4DCD-BE28-B92A9E8FCFD1}" name="Service Request" dataDxfId="84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E56CC05-DFF2-4CC5-BF36-99F65E1772BB}" name="Data18192021131415313233" displayName="Data18192021131415313233" ref="A4:J16" totalsRowShown="0" headerRowDxfId="81" dataDxfId="80" headerRowBorderDxfId="78" tableBorderDxfId="79">
  <autoFilter ref="A4:J16" xr:uid="{F1D41329-DDB8-465F-A571-0B5D000EFDE2}"/>
  <tableColumns count="10">
    <tableColumn id="1" xr3:uid="{83CB22A6-D8F7-4E88-8840-307A4B6C7CA1}" name="Month" dataDxfId="77"/>
    <tableColumn id="2" xr3:uid="{CA9E55DD-DE8E-4203-A829-E23F11B93939}" name="Actual" dataDxfId="76"/>
    <tableColumn id="3" xr3:uid="{0747DD8A-D4F2-479D-96AF-48CA96F3ED4C}" name="Expected" dataDxfId="75"/>
    <tableColumn id="4" xr3:uid="{DF3A19D7-21E9-4E31-BCFA-DD3E374EAD43}" name="Delta Expected" dataDxfId="74">
      <calculatedColumnFormula>B5-C5</calculatedColumnFormula>
    </tableColumn>
    <tableColumn id="5" xr3:uid="{F649E953-E4EB-488A-B21E-C46E58EA3656}" name="% Expected" dataDxfId="73">
      <calculatedColumnFormula>IFERROR(D5/C5, 0)</calculatedColumnFormula>
    </tableColumn>
    <tableColumn id="6" xr3:uid="{98288947-ABBA-4A19-BAE1-A64AEE0794B2}" name="Forecasted" dataDxfId="72"/>
    <tableColumn id="7" xr3:uid="{4FFA07C5-F1F7-4A5B-B928-8060DEEDCF8B}" name="Delta Forecasted" dataDxfId="71" dataCellStyle="Comma">
      <calculatedColumnFormula>B5-F5</calculatedColumnFormula>
    </tableColumn>
    <tableColumn id="8" xr3:uid="{862FD462-687D-4AAE-B197-710705943709}" name="% Forecasted" dataDxfId="70">
      <calculatedColumnFormula>IFERROR(G5/F5, 0)</calculatedColumnFormula>
    </tableColumn>
    <tableColumn id="9" xr3:uid="{95DA8AAF-A2AA-423C-BA6D-57733C485760}" name="Notes" dataDxfId="69"/>
    <tableColumn id="10" xr3:uid="{989DAD06-8F1F-48DB-B431-783343F28677}" name="Service Request" dataDxfId="68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2467824-88C6-4122-ACA1-5B02F1124B82}" name="Data181920211314153132" displayName="Data181920211314153132" ref="A4:J16" totalsRowShown="0" headerRowDxfId="65" dataDxfId="64" headerRowBorderDxfId="62" tableBorderDxfId="63">
  <autoFilter ref="A4:J16" xr:uid="{F1D41329-DDB8-465F-A571-0B5D000EFDE2}"/>
  <tableColumns count="10">
    <tableColumn id="1" xr3:uid="{A19447B5-496C-4412-AF85-9C3AB107988C}" name="Month" dataDxfId="61"/>
    <tableColumn id="2" xr3:uid="{C11573B4-EA0D-4741-BC11-0D5B76187B01}" name="Actual" dataDxfId="60"/>
    <tableColumn id="3" xr3:uid="{3C8FA203-4842-48F8-B146-A6A13C93C377}" name="Expected" dataDxfId="59"/>
    <tableColumn id="4" xr3:uid="{E8781C17-66A0-46B8-87BE-BB9AD8A03CCE}" name="Delta Expected" dataDxfId="58">
      <calculatedColumnFormula>B5-C5</calculatedColumnFormula>
    </tableColumn>
    <tableColumn id="5" xr3:uid="{1A03AEA2-3236-4B91-9A8F-A9E3B6564E78}" name="% Expected" dataDxfId="57">
      <calculatedColumnFormula>IFERROR(D5/C5, 0)</calculatedColumnFormula>
    </tableColumn>
    <tableColumn id="6" xr3:uid="{8E185091-B7CA-4CFC-9D07-8049B04260AE}" name="Forecasted" dataDxfId="56"/>
    <tableColumn id="7" xr3:uid="{E1267AF6-36BA-4281-A408-84EF5EF56738}" name="Delta Forecasted" dataDxfId="55" dataCellStyle="Comma">
      <calculatedColumnFormula>B5-F5</calculatedColumnFormula>
    </tableColumn>
    <tableColumn id="8" xr3:uid="{D0FC621A-59FB-457B-AAFB-6EF8FA4735AB}" name="% Forecasted" dataDxfId="54">
      <calculatedColumnFormula>IFERROR(G5/F5, 0)</calculatedColumnFormula>
    </tableColumn>
    <tableColumn id="9" xr3:uid="{EE200EB1-92D9-467F-85F3-640FE7881888}" name="Notes" dataDxfId="53"/>
    <tableColumn id="10" xr3:uid="{C25B177E-FB08-4EA8-976B-10981921CC8F}" name="Service Request" dataDxfId="52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0D2D5C-5F51-45EA-AA9F-FE09C3FB3588}" name="Data1819456" displayName="Data1819456" ref="A4:J16" totalsRowShown="0" headerRowDxfId="49" dataDxfId="48" headerRowBorderDxfId="46" tableBorderDxfId="47">
  <autoFilter ref="A4:J16" xr:uid="{59A959C2-52B2-422A-A87A-BC08BBF40681}"/>
  <tableColumns count="10">
    <tableColumn id="1" xr3:uid="{E69A2482-BCAA-46D5-924F-B7416C6A4E45}" name="Month" dataDxfId="45"/>
    <tableColumn id="2" xr3:uid="{8A273E9F-06D0-42FB-88AC-6ED63CC7E4BE}" name="Actual" dataDxfId="44"/>
    <tableColumn id="3" xr3:uid="{89A51D28-B526-4512-9D2B-4272D5EC2438}" name="Expected" dataDxfId="43"/>
    <tableColumn id="4" xr3:uid="{04082532-490C-4FC2-8BAA-B2C56FF502EA}" name="Delta Expected" dataDxfId="42">
      <calculatedColumnFormula>B5-C5</calculatedColumnFormula>
    </tableColumn>
    <tableColumn id="5" xr3:uid="{CC70A62F-EFD6-4D7F-9AD9-2C2AF207A751}" name="% Expected" dataDxfId="41">
      <calculatedColumnFormula>IFERROR(D5/C5, 0)</calculatedColumnFormula>
    </tableColumn>
    <tableColumn id="6" xr3:uid="{8F87CC99-3DA0-4B03-85E5-1D988694F639}" name="Forecasted" dataDxfId="40"/>
    <tableColumn id="7" xr3:uid="{2D06AA5C-5C93-4FE8-A18E-C34CF898CF9D}" name="Delta Forecasted" dataDxfId="39" dataCellStyle="Comma">
      <calculatedColumnFormula>B5-F5</calculatedColumnFormula>
    </tableColumn>
    <tableColumn id="8" xr3:uid="{482D7BA0-5F37-4550-B80E-C95D97B254FE}" name="% Forecasted" dataDxfId="38">
      <calculatedColumnFormula>IFERROR(G5/F5, 0)</calculatedColumnFormula>
    </tableColumn>
    <tableColumn id="9" xr3:uid="{B727D1E5-D392-4F4F-8026-B2C6BBF90ACD}" name="Notes" dataDxfId="37"/>
    <tableColumn id="10" xr3:uid="{86B9EBCF-F232-41B0-890C-97819F489FC9}" name="Service Request" dataDxfId="36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74CD59E-9089-431D-9329-7C988049D2AF}" name="Data181920" displayName="Data181920" ref="A4:J16" totalsRowShown="0" headerRowDxfId="31" dataDxfId="30" headerRowBorderDxfId="28" tableBorderDxfId="29">
  <autoFilter ref="A4:J16" xr:uid="{59A959C2-52B2-422A-A87A-BC08BBF40681}"/>
  <tableColumns count="10">
    <tableColumn id="1" xr3:uid="{D53E7D57-D771-4FAF-BC06-C05F5D88D9D4}" name="Month" dataDxfId="27"/>
    <tableColumn id="2" xr3:uid="{5E323DE3-0FEC-4C47-AA50-FB5FE8C8C25A}" name="Actual" dataDxfId="26"/>
    <tableColumn id="3" xr3:uid="{5B1E3641-7C82-4E82-974B-559132EE9A5F}" name="Expected" dataDxfId="25"/>
    <tableColumn id="4" xr3:uid="{281D7FFF-2047-475F-9DC6-60F0A760A82D}" name="Delta Expected" dataDxfId="24">
      <calculatedColumnFormula>B5-C5</calculatedColumnFormula>
    </tableColumn>
    <tableColumn id="5" xr3:uid="{0D02AC61-E298-4329-95FE-FB778AE1B7E4}" name="% Expected" dataDxfId="23">
      <calculatedColumnFormula>IFERROR(D5/C5, 0)</calculatedColumnFormula>
    </tableColumn>
    <tableColumn id="6" xr3:uid="{D737330F-7883-4D93-A5BD-961AE8C37A29}" name="Forecasted" dataDxfId="22"/>
    <tableColumn id="7" xr3:uid="{0D60582B-2476-4C79-8EA5-5AF64BA55860}" name="Delta Forecasted" dataDxfId="21" dataCellStyle="Comma">
      <calculatedColumnFormula>B5-F5</calculatedColumnFormula>
    </tableColumn>
    <tableColumn id="8" xr3:uid="{905D0CB4-F479-4BE7-AB1C-C4EFE56D101C}" name="% Forecasted" dataDxfId="20">
      <calculatedColumnFormula>IFERROR(G5/F5, 0)</calculatedColumnFormula>
    </tableColumn>
    <tableColumn id="9" xr3:uid="{93950D5B-A4A4-4E97-BCFD-C55D117C244E}" name="Notes" dataDxfId="19"/>
    <tableColumn id="10" xr3:uid="{1722AA17-AA2C-45F0-AB0A-AA19B15E174C}" name="Service Request" dataDxfId="18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B852FC4-283B-4EA2-AABB-5B99C3FD1ACE}" name="Data18192013" displayName="Data18192013" ref="A4:J16" totalsRowShown="0" headerRowDxfId="13" dataDxfId="12" headerRowBorderDxfId="10" tableBorderDxfId="11">
  <autoFilter ref="A4:J16" xr:uid="{59A959C2-52B2-422A-A87A-BC08BBF40681}"/>
  <tableColumns count="10">
    <tableColumn id="1" xr3:uid="{6629E605-E8FF-4E1B-A7E6-F5DF63A59ABA}" name="Month" dataDxfId="9"/>
    <tableColumn id="2" xr3:uid="{995BF362-777B-437D-B2D9-F2830928B21F}" name="Actual" dataDxfId="8"/>
    <tableColumn id="3" xr3:uid="{C569B940-9C45-40C1-A101-81143B1C2A0B}" name="Expected" dataDxfId="7"/>
    <tableColumn id="4" xr3:uid="{0CBD4F9E-7473-4986-B0AD-E7724B31AACC}" name="Delta Expected" dataDxfId="6">
      <calculatedColumnFormula>B5-C5</calculatedColumnFormula>
    </tableColumn>
    <tableColumn id="5" xr3:uid="{E20A4795-F227-4D8B-A3F9-912B5A752CD3}" name="% Expected" dataDxfId="5">
      <calculatedColumnFormula>IFERROR(D5/C5, 0)</calculatedColumnFormula>
    </tableColumn>
    <tableColumn id="6" xr3:uid="{1CAE6C08-F355-486D-BCA3-03A924DC16C4}" name="Forecasted" dataDxfId="4"/>
    <tableColumn id="7" xr3:uid="{CE2ACED8-79A9-4C1B-B4E6-B61C671B4F50}" name="Delta Forecasted" dataDxfId="3" dataCellStyle="Comma">
      <calculatedColumnFormula>B5-F5</calculatedColumnFormula>
    </tableColumn>
    <tableColumn id="8" xr3:uid="{D7AB1392-676D-4535-8CC6-C36DD472F3A3}" name="% Forecasted" dataDxfId="2">
      <calculatedColumnFormula>IFERROR(G5/F5, 0)</calculatedColumnFormula>
    </tableColumn>
    <tableColumn id="9" xr3:uid="{32290DE1-9FC8-4B28-B8BA-CC66A6F8A13E}" name="Notes" dataDxfId="1"/>
    <tableColumn id="10" xr3:uid="{17072104-B5CB-4FB3-8B5E-501BF523B156}" name="Service Reque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K39"/>
  <sheetViews>
    <sheetView zoomScale="90" zoomScaleNormal="90" workbookViewId="0">
      <pane ySplit="2" topLeftCell="A7" activePane="bottomLeft" state="frozen"/>
      <selection pane="bottomLeft" activeCell="J23" sqref="J23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37" t="str" cm="1">
        <f t="array" ref="A1">portfolio</f>
        <v>Greenbacker</v>
      </c>
      <c r="B1" s="138"/>
      <c r="C1" s="139" t="s">
        <v>0</v>
      </c>
      <c r="D1" s="140"/>
      <c r="E1" s="140"/>
      <c r="F1" s="141"/>
      <c r="G1" s="142" t="s">
        <v>1</v>
      </c>
      <c r="H1" s="142"/>
      <c r="I1" s="143"/>
      <c r="J1" s="131" t="s">
        <v>2</v>
      </c>
      <c r="K1" s="131" t="s">
        <v>3</v>
      </c>
    </row>
    <row r="2" spans="1:11" ht="14.25" customHeight="1">
      <c r="A2" s="45" t="s">
        <v>4</v>
      </c>
      <c r="B2" s="46" t="s">
        <v>5</v>
      </c>
      <c r="C2" s="5" t="s">
        <v>6</v>
      </c>
      <c r="D2" s="43" t="s">
        <v>7</v>
      </c>
      <c r="E2" s="5" t="s">
        <v>8</v>
      </c>
      <c r="F2" s="6" t="s">
        <v>9</v>
      </c>
      <c r="G2" s="44" t="s">
        <v>10</v>
      </c>
      <c r="H2" s="7" t="s">
        <v>8</v>
      </c>
      <c r="I2" s="9" t="s">
        <v>9</v>
      </c>
      <c r="J2" s="132"/>
      <c r="K2" s="132"/>
    </row>
    <row r="3" spans="1:11" ht="15.75">
      <c r="A3" s="47" t="str" cm="1">
        <f t="array" ref="A3:A32">Sites[Site]</f>
        <v>10 Walpole Park South</v>
      </c>
      <c r="B3" s="33" t="str" cm="1">
        <f t="array" ref="B3:B32">Sites[State]</f>
        <v>MA</v>
      </c>
      <c r="C3" s="35">
        <f ca="1">SUM('1st Qtr'!C3, '2nd Qtr'!C3, '3rd Qtr'!C3, '4th Qtr'!C3)</f>
        <v>3478.8125</v>
      </c>
      <c r="D3" s="35">
        <f ca="1">SUM('1st Qtr'!D3, '2nd Qtr'!D3, '3rd Qtr'!D3, '4th Qtr'!D3)</f>
        <v>6181.5739999999996</v>
      </c>
      <c r="E3" s="35">
        <f ca="1">C3-D3</f>
        <v>-2702.7614999999996</v>
      </c>
      <c r="F3" s="36">
        <f ca="1">IFERROR(E3/D3, 0)</f>
        <v>-0.43722868965088824</v>
      </c>
      <c r="G3" s="37">
        <f ca="1">SUM('1st Qtr'!G3, '2nd Qtr'!G3, '3rd Qtr'!G3, '4th Qtr'!G3)</f>
        <v>6823.2529999999997</v>
      </c>
      <c r="H3" s="37">
        <f ca="1">C3-G3</f>
        <v>-3344.4404999999997</v>
      </c>
      <c r="I3" s="38">
        <f ca="1">IFERROR(H3/G3, 0)</f>
        <v>-0.49015337698895234</v>
      </c>
      <c r="J3" s="15"/>
      <c r="K3" s="15"/>
    </row>
    <row r="4" spans="1:11" ht="15.75">
      <c r="A4" s="48" t="str">
        <v>15 Walpole Park South</v>
      </c>
      <c r="B4" s="16" t="str">
        <v>MA</v>
      </c>
      <c r="C4" s="35">
        <f ca="1">SUM('1st Qtr'!C4, '2nd Qtr'!C4, '3rd Qtr'!C4, '4th Qtr'!C4)</f>
        <v>12517</v>
      </c>
      <c r="D4" s="35">
        <f ca="1">SUM('1st Qtr'!D4, '2nd Qtr'!D4, '3rd Qtr'!D4, '4th Qtr'!D4)</f>
        <v>22722.47</v>
      </c>
      <c r="E4" s="35">
        <f t="shared" ref="E4:E30" ca="1" si="0">C4-D4</f>
        <v>-10205.470000000001</v>
      </c>
      <c r="F4" s="36">
        <f t="shared" ref="F4:F30" ca="1" si="1">IFERROR(E4/D4, 0)</f>
        <v>-0.44913559133316056</v>
      </c>
      <c r="G4" s="37">
        <f ca="1">SUM('1st Qtr'!G4, '2nd Qtr'!G4, '3rd Qtr'!G4, '4th Qtr'!G4)</f>
        <v>21603.71</v>
      </c>
      <c r="H4" s="37">
        <f t="shared" ref="H4:H30" ca="1" si="2">C4-G4</f>
        <v>-9086.7099999999991</v>
      </c>
      <c r="I4" s="38">
        <f t="shared" ref="I4:I30" ca="1" si="3">IFERROR(H4/G4, 0)</f>
        <v>-0.42060877506687505</v>
      </c>
      <c r="J4" s="15"/>
      <c r="K4" s="15"/>
    </row>
    <row r="5" spans="1:11" ht="15.75">
      <c r="A5" s="47" t="str">
        <v>19 Walpole Park South</v>
      </c>
      <c r="B5" s="33" t="str">
        <v>MA</v>
      </c>
      <c r="C5" s="35">
        <f ca="1">SUM('1st Qtr'!C5, '2nd Qtr'!C5, '3rd Qtr'!C5, '4th Qtr'!C5)</f>
        <v>7105.375</v>
      </c>
      <c r="D5" s="35">
        <f ca="1">SUM('1st Qtr'!D5, '2nd Qtr'!D5, '3rd Qtr'!D5, '4th Qtr'!D5)</f>
        <v>13704.15</v>
      </c>
      <c r="E5" s="35">
        <f t="shared" ca="1" si="0"/>
        <v>-6598.7749999999996</v>
      </c>
      <c r="F5" s="36">
        <f t="shared" ca="1" si="1"/>
        <v>-0.48151654790702086</v>
      </c>
      <c r="G5" s="37">
        <f ca="1">SUM('1st Qtr'!G5, '2nd Qtr'!G5, '3rd Qtr'!G5, '4th Qtr'!G5)</f>
        <v>14450.27</v>
      </c>
      <c r="H5" s="37">
        <f t="shared" ca="1" si="2"/>
        <v>-7344.8950000000004</v>
      </c>
      <c r="I5" s="38">
        <f t="shared" ca="1" si="3"/>
        <v>-0.50828773441603514</v>
      </c>
      <c r="J5" s="15"/>
      <c r="K5" s="15"/>
    </row>
    <row r="6" spans="1:11" ht="15.75">
      <c r="A6" s="48" t="str">
        <v>23 Walpole Park South</v>
      </c>
      <c r="B6" s="16" t="str">
        <v>MA</v>
      </c>
      <c r="C6" s="35">
        <f ca="1">SUM('1st Qtr'!C6, '2nd Qtr'!C6, '3rd Qtr'!C6, '4th Qtr'!C6)</f>
        <v>10190.25</v>
      </c>
      <c r="D6" s="35">
        <f ca="1">SUM('1st Qtr'!D6, '2nd Qtr'!D6, '3rd Qtr'!D6, '4th Qtr'!D6)</f>
        <v>16832.77</v>
      </c>
      <c r="E6" s="35">
        <f t="shared" ref="E6:E17" ca="1" si="4">C6-D6</f>
        <v>-6642.52</v>
      </c>
      <c r="F6" s="36">
        <f t="shared" ca="1" si="1"/>
        <v>-0.39461835455483563</v>
      </c>
      <c r="G6" s="37">
        <f ca="1">SUM('1st Qtr'!G6, '2nd Qtr'!G6, '3rd Qtr'!G6, '4th Qtr'!G6)</f>
        <v>18563.55</v>
      </c>
      <c r="H6" s="37">
        <f t="shared" ca="1" si="2"/>
        <v>-8373.2999999999993</v>
      </c>
      <c r="I6" s="38">
        <f t="shared" ca="1" si="3"/>
        <v>-0.4510613541052223</v>
      </c>
      <c r="J6" s="15"/>
      <c r="K6" s="15"/>
    </row>
    <row r="7" spans="1:11" ht="15.75">
      <c r="A7" s="47" t="str">
        <v>24 Walpole Park South</v>
      </c>
      <c r="B7" s="33" t="str">
        <v>MA</v>
      </c>
      <c r="C7" s="35">
        <f ca="1">SUM('1st Qtr'!C7, '2nd Qtr'!C7, '3rd Qtr'!C7, '4th Qtr'!C7)</f>
        <v>15037</v>
      </c>
      <c r="D7" s="35">
        <f ca="1">SUM('1st Qtr'!D7, '2nd Qtr'!D7, '3rd Qtr'!D7, '4th Qtr'!D7)</f>
        <v>14267.73</v>
      </c>
      <c r="E7" s="35">
        <f t="shared" ca="1" si="4"/>
        <v>769.27000000000044</v>
      </c>
      <c r="F7" s="36">
        <f t="shared" ca="1" si="1"/>
        <v>5.3916775829091275E-2</v>
      </c>
      <c r="G7" s="37">
        <f ca="1">SUM('1st Qtr'!G7, '2nd Qtr'!G7, '3rd Qtr'!G7, '4th Qtr'!G7)</f>
        <v>28642.02</v>
      </c>
      <c r="H7" s="37">
        <f t="shared" ca="1" si="2"/>
        <v>-13605.02</v>
      </c>
      <c r="I7" s="38">
        <f t="shared" ca="1" si="3"/>
        <v>-0.47500211228118688</v>
      </c>
      <c r="J7" s="15"/>
      <c r="K7" s="15"/>
    </row>
    <row r="8" spans="1:11" ht="15.75">
      <c r="A8" s="48" t="str">
        <v>25 Walpole Park South</v>
      </c>
      <c r="B8" s="16" t="str">
        <v>MA</v>
      </c>
      <c r="C8" s="35">
        <f ca="1">SUM('1st Qtr'!C8, '2nd Qtr'!C8, '3rd Qtr'!C8, '4th Qtr'!C8)</f>
        <v>15224.5</v>
      </c>
      <c r="D8" s="35">
        <f ca="1">SUM('1st Qtr'!D8, '2nd Qtr'!D8, '3rd Qtr'!D8, '4th Qtr'!D8)</f>
        <v>26799</v>
      </c>
      <c r="E8" s="35">
        <f t="shared" ca="1" si="4"/>
        <v>-11574.5</v>
      </c>
      <c r="F8" s="36">
        <f t="shared" ca="1" si="1"/>
        <v>-0.43190044404641964</v>
      </c>
      <c r="G8" s="37">
        <f ca="1">SUM('1st Qtr'!G8, '2nd Qtr'!G8, '3rd Qtr'!G8, '4th Qtr'!G8)</f>
        <v>29130.79</v>
      </c>
      <c r="H8" s="37">
        <f t="shared" ca="1" si="2"/>
        <v>-13906.29</v>
      </c>
      <c r="I8" s="38">
        <f t="shared" ca="1" si="3"/>
        <v>-0.47737428336135068</v>
      </c>
      <c r="J8" s="15"/>
      <c r="K8" s="15"/>
    </row>
    <row r="9" spans="1:11" ht="15.75">
      <c r="A9" s="47" t="str">
        <v>3 Walpole Park South</v>
      </c>
      <c r="B9" s="33" t="str">
        <v>MA</v>
      </c>
      <c r="C9" s="35">
        <f ca="1">SUM('1st Qtr'!C9, '2nd Qtr'!C9, '3rd Qtr'!C9, '4th Qtr'!C9)</f>
        <v>19881.5</v>
      </c>
      <c r="D9" s="35">
        <f ca="1">SUM('1st Qtr'!D9, '2nd Qtr'!D9, '3rd Qtr'!D9, '4th Qtr'!D9)</f>
        <v>35122.519999999997</v>
      </c>
      <c r="E9" s="35">
        <f t="shared" ca="1" si="4"/>
        <v>-15241.019999999997</v>
      </c>
      <c r="F9" s="36">
        <f t="shared" ca="1" si="1"/>
        <v>-0.43393868093747257</v>
      </c>
      <c r="G9" s="37">
        <f ca="1">SUM('1st Qtr'!G9, '2nd Qtr'!G9, '3rd Qtr'!G9, '4th Qtr'!G9)</f>
        <v>34800.550000000003</v>
      </c>
      <c r="H9" s="37">
        <f t="shared" ca="1" si="2"/>
        <v>-14919.050000000003</v>
      </c>
      <c r="I9" s="38">
        <f t="shared" ca="1" si="3"/>
        <v>-0.42870155787767728</v>
      </c>
      <c r="J9" s="15"/>
      <c r="K9" s="15"/>
    </row>
    <row r="10" spans="1:11" ht="15.75">
      <c r="A10" s="48" t="str">
        <v>4 Walpole Park South</v>
      </c>
      <c r="B10" s="16" t="str">
        <v>MA</v>
      </c>
      <c r="C10" s="35">
        <f ca="1">SUM('1st Qtr'!C10, '2nd Qtr'!C10, '3rd Qtr'!C10, '4th Qtr'!C10)</f>
        <v>10678.25</v>
      </c>
      <c r="D10" s="35">
        <f ca="1">SUM('1st Qtr'!D10, '2nd Qtr'!D10, '3rd Qtr'!D10, '4th Qtr'!D10)</f>
        <v>19843.16</v>
      </c>
      <c r="E10" s="35">
        <f t="shared" ca="1" si="4"/>
        <v>-9164.91</v>
      </c>
      <c r="F10" s="36">
        <f t="shared" ca="1" si="1"/>
        <v>-0.46186746465784684</v>
      </c>
      <c r="G10" s="37">
        <f ca="1">SUM('1st Qtr'!G10, '2nd Qtr'!G10, '3rd Qtr'!G10, '4th Qtr'!G10)</f>
        <v>19687.72</v>
      </c>
      <c r="H10" s="37">
        <f t="shared" ca="1" si="2"/>
        <v>-9009.4700000000012</v>
      </c>
      <c r="I10" s="38">
        <f t="shared" ca="1" si="3"/>
        <v>-0.45761875930783252</v>
      </c>
      <c r="J10" s="15"/>
      <c r="K10" s="15"/>
    </row>
    <row r="11" spans="1:11" ht="15.75">
      <c r="A11" s="47" t="str">
        <v>Brockton</v>
      </c>
      <c r="B11" s="33" t="str">
        <v>MA</v>
      </c>
      <c r="C11" s="35">
        <f ca="1">SUM('1st Qtr'!C11, '2nd Qtr'!C11, '3rd Qtr'!C11, '4th Qtr'!C11)</f>
        <v>21358</v>
      </c>
      <c r="D11" s="35">
        <f ca="1">SUM('1st Qtr'!D11, '2nd Qtr'!D11, '3rd Qtr'!D11, '4th Qtr'!D11)</f>
        <v>29225.200000000001</v>
      </c>
      <c r="E11" s="35">
        <f t="shared" ca="1" si="4"/>
        <v>-7867.2000000000007</v>
      </c>
      <c r="F11" s="36">
        <f t="shared" ca="1" si="1"/>
        <v>-0.26919234085652111</v>
      </c>
      <c r="G11" s="37">
        <f ca="1">SUM('1st Qtr'!G11, '2nd Qtr'!G11, '3rd Qtr'!G11, '4th Qtr'!G11)</f>
        <v>35891.120000000003</v>
      </c>
      <c r="H11" s="37">
        <f t="shared" ca="1" si="2"/>
        <v>-14533.120000000003</v>
      </c>
      <c r="I11" s="38">
        <f t="shared" ca="1" si="3"/>
        <v>-0.40492244321157994</v>
      </c>
      <c r="J11" s="15"/>
      <c r="K11" s="15"/>
    </row>
    <row r="12" spans="1:11" ht="15.75">
      <c r="A12" s="48" t="str">
        <v>Canton</v>
      </c>
      <c r="B12" s="16" t="str">
        <v>MA</v>
      </c>
      <c r="C12" s="35">
        <f ca="1">SUM('1st Qtr'!C12, '2nd Qtr'!C12, '3rd Qtr'!C12, '4th Qtr'!C12)</f>
        <v>17412.249999999502</v>
      </c>
      <c r="D12" s="35">
        <f ca="1">SUM('1st Qtr'!D12, '2nd Qtr'!D12, '3rd Qtr'!D12, '4th Qtr'!D12)</f>
        <v>31213.29</v>
      </c>
      <c r="E12" s="35">
        <f t="shared" ca="1" si="4"/>
        <v>-13801.040000000499</v>
      </c>
      <c r="F12" s="36">
        <f t="shared" ca="1" si="1"/>
        <v>-0.44215268560284732</v>
      </c>
      <c r="G12" s="37">
        <f ca="1">SUM('1st Qtr'!G12, '2nd Qtr'!G12, '3rd Qtr'!G12, '4th Qtr'!G12)</f>
        <v>30904.81</v>
      </c>
      <c r="H12" s="37">
        <f t="shared" ca="1" si="2"/>
        <v>-13492.5600000005</v>
      </c>
      <c r="I12" s="38">
        <f t="shared" ca="1" si="3"/>
        <v>-0.43658446694868852</v>
      </c>
      <c r="J12" s="15"/>
      <c r="K12" s="15"/>
    </row>
    <row r="13" spans="1:11" ht="15.75">
      <c r="A13" s="47" t="str">
        <v>Chelsea</v>
      </c>
      <c r="B13" s="33" t="str">
        <v>MA</v>
      </c>
      <c r="C13" s="35">
        <f ca="1">SUM('1st Qtr'!C13, '2nd Qtr'!C13, '3rd Qtr'!C13, '4th Qtr'!C13)</f>
        <v>38716</v>
      </c>
      <c r="D13" s="35">
        <f ca="1">SUM('1st Qtr'!D13, '2nd Qtr'!D13, '3rd Qtr'!D13, '4th Qtr'!D13)</f>
        <v>54336.05</v>
      </c>
      <c r="E13" s="35">
        <f t="shared" ca="1" si="4"/>
        <v>-15620.050000000003</v>
      </c>
      <c r="F13" s="36">
        <f t="shared" ca="1" si="1"/>
        <v>-0.28747120926162284</v>
      </c>
      <c r="G13" s="37">
        <f ca="1">SUM('1st Qtr'!G13, '2nd Qtr'!G13, '3rd Qtr'!G13, '4th Qtr'!G13)</f>
        <v>55003.46</v>
      </c>
      <c r="H13" s="37">
        <f t="shared" ca="1" si="2"/>
        <v>-16287.46</v>
      </c>
      <c r="I13" s="38">
        <f t="shared" ca="1" si="3"/>
        <v>-0.2961170079118659</v>
      </c>
      <c r="J13" s="15"/>
      <c r="K13" s="15"/>
    </row>
    <row r="14" spans="1:11" ht="15.75">
      <c r="A14" s="48" t="str">
        <v>Hamilton Landfill</v>
      </c>
      <c r="B14" s="16" t="str">
        <v>MA</v>
      </c>
      <c r="C14" s="35">
        <f ca="1">SUM('1st Qtr'!C14, '2nd Qtr'!C14, '3rd Qtr'!C14, '4th Qtr'!C14)</f>
        <v>30221</v>
      </c>
      <c r="D14" s="35">
        <f ca="1">SUM('1st Qtr'!D14, '2nd Qtr'!D14, '3rd Qtr'!D14, '4th Qtr'!D14)</f>
        <v>58716</v>
      </c>
      <c r="E14" s="35">
        <f t="shared" ca="1" si="4"/>
        <v>-28495</v>
      </c>
      <c r="F14" s="36">
        <f t="shared" ca="1" si="1"/>
        <v>-0.48530213229784047</v>
      </c>
      <c r="G14" s="37">
        <f ca="1">SUM('1st Qtr'!G14, '2nd Qtr'!G14, '3rd Qtr'!G14, '4th Qtr'!G14)</f>
        <v>0</v>
      </c>
      <c r="H14" s="37">
        <f t="shared" ca="1" si="2"/>
        <v>30221</v>
      </c>
      <c r="I14" s="38">
        <f t="shared" ca="1" si="3"/>
        <v>0</v>
      </c>
      <c r="J14" s="15"/>
      <c r="K14" s="15"/>
    </row>
    <row r="15" spans="1:11" ht="15.75">
      <c r="A15" s="47" t="str">
        <v>Holliston</v>
      </c>
      <c r="B15" s="33" t="str">
        <v>MA</v>
      </c>
      <c r="C15" s="35">
        <f ca="1">SUM('1st Qtr'!C15, '2nd Qtr'!C15, '3rd Qtr'!C15, '4th Qtr'!C15)</f>
        <v>37423.500000000902</v>
      </c>
      <c r="D15" s="35">
        <f ca="1">SUM('1st Qtr'!D15, '2nd Qtr'!D15, '3rd Qtr'!D15, '4th Qtr'!D15)</f>
        <v>60597.82</v>
      </c>
      <c r="E15" s="35">
        <f t="shared" ca="1" si="4"/>
        <v>-23174.319999999097</v>
      </c>
      <c r="F15" s="36">
        <f t="shared" ca="1" si="1"/>
        <v>-0.38242827877304986</v>
      </c>
      <c r="G15" s="37">
        <f ca="1">SUM('1st Qtr'!G15, '2nd Qtr'!G15, '3rd Qtr'!G15, '4th Qtr'!G15)</f>
        <v>84734.92</v>
      </c>
      <c r="H15" s="37">
        <f t="shared" ca="1" si="2"/>
        <v>-47311.419999999096</v>
      </c>
      <c r="I15" s="38">
        <f t="shared" ca="1" si="3"/>
        <v>-0.5583461930453123</v>
      </c>
      <c r="J15" s="15"/>
      <c r="K15" s="15"/>
    </row>
    <row r="16" spans="1:11" ht="15.75">
      <c r="A16" s="48" t="str">
        <v>Natick HS - Carports</v>
      </c>
      <c r="B16" s="16" t="str">
        <v>MA</v>
      </c>
      <c r="C16" s="35">
        <f ca="1">SUM('1st Qtr'!C16, '2nd Qtr'!C16, '3rd Qtr'!C16, '4th Qtr'!C16)</f>
        <v>13924</v>
      </c>
      <c r="D16" s="35">
        <f ca="1">SUM('1st Qtr'!D16, '2nd Qtr'!D16, '3rd Qtr'!D16, '4th Qtr'!D16)</f>
        <v>29010</v>
      </c>
      <c r="E16" s="35">
        <f t="shared" ca="1" si="4"/>
        <v>-15086</v>
      </c>
      <c r="F16" s="36">
        <f t="shared" ca="1" si="1"/>
        <v>-0.5200275766976904</v>
      </c>
      <c r="G16" s="37">
        <f ca="1">SUM('1st Qtr'!G16, '2nd Qtr'!G16, '3rd Qtr'!G16, '4th Qtr'!G16)</f>
        <v>0</v>
      </c>
      <c r="H16" s="37">
        <f t="shared" ca="1" si="2"/>
        <v>13924</v>
      </c>
      <c r="I16" s="38">
        <f t="shared" ca="1" si="3"/>
        <v>0</v>
      </c>
      <c r="J16" s="15"/>
      <c r="K16" s="15"/>
    </row>
    <row r="17" spans="1:11" ht="15.75">
      <c r="A17" s="47" t="str">
        <v>Norton</v>
      </c>
      <c r="B17" s="33" t="str">
        <v>MA</v>
      </c>
      <c r="C17" s="35">
        <f ca="1">SUM('1st Qtr'!C17, '2nd Qtr'!C17, '3rd Qtr'!C17, '4th Qtr'!C17)</f>
        <v>93336</v>
      </c>
      <c r="D17" s="35">
        <f ca="1">SUM('1st Qtr'!D17, '2nd Qtr'!D17, '3rd Qtr'!D17, '4th Qtr'!D17)</f>
        <v>144118.9</v>
      </c>
      <c r="E17" s="35">
        <f t="shared" ca="1" si="4"/>
        <v>-50782.899999999994</v>
      </c>
      <c r="F17" s="36">
        <f t="shared" ca="1" si="1"/>
        <v>-0.35236807941220755</v>
      </c>
      <c r="G17" s="37">
        <f ca="1">SUM('1st Qtr'!G17, '2nd Qtr'!G17, '3rd Qtr'!G17, '4th Qtr'!G17)</f>
        <v>162736.5</v>
      </c>
      <c r="H17" s="37">
        <f t="shared" ca="1" si="2"/>
        <v>-69400.5</v>
      </c>
      <c r="I17" s="38">
        <f t="shared" ca="1" si="3"/>
        <v>-0.42645933764091032</v>
      </c>
      <c r="J17" s="15"/>
      <c r="K17" s="15"/>
    </row>
    <row r="18" spans="1:11" ht="15.75">
      <c r="A18" s="48" t="str">
        <v>Palmer - Boston Rd.</v>
      </c>
      <c r="B18" s="16" t="str">
        <v>MA</v>
      </c>
      <c r="C18" s="35">
        <f ca="1">SUM('1st Qtr'!C18, '2nd Qtr'!C18, '3rd Qtr'!C18, '4th Qtr'!C18)</f>
        <v>18016.047500000299</v>
      </c>
      <c r="D18" s="35">
        <f ca="1">SUM('1st Qtr'!D18, '2nd Qtr'!D18, '3rd Qtr'!D18, '4th Qtr'!D18)</f>
        <v>31872.06</v>
      </c>
      <c r="E18" s="35">
        <f t="shared" ref="E18:E24" ca="1" si="5">C18-D18</f>
        <v>-13856.012499999702</v>
      </c>
      <c r="F18" s="36">
        <f t="shared" ref="F18:F24" ca="1" si="6">IFERROR(E18/D18, 0)</f>
        <v>-0.43473852960868242</v>
      </c>
      <c r="G18" s="37">
        <f ca="1">SUM('1st Qtr'!G18, '2nd Qtr'!G18, '3rd Qtr'!G18, '4th Qtr'!G18)</f>
        <v>45090</v>
      </c>
      <c r="H18" s="37">
        <f t="shared" ref="H18:H24" ca="1" si="7">C18-G18</f>
        <v>-27073.952499999701</v>
      </c>
      <c r="I18" s="38">
        <f t="shared" ref="I18:I24" ca="1" si="8">IFERROR(H18/G18, 0)</f>
        <v>-0.60044250388111997</v>
      </c>
      <c r="J18" s="15"/>
      <c r="K18" s="15"/>
    </row>
    <row r="19" spans="1:11" ht="15.75">
      <c r="A19" s="47" t="str">
        <v>Shirley Bartkus</v>
      </c>
      <c r="B19" s="33" t="str">
        <v>MA</v>
      </c>
      <c r="C19" s="35">
        <f ca="1">SUM('1st Qtr'!C19, '2nd Qtr'!C19, '3rd Qtr'!C19, '4th Qtr'!C19)</f>
        <v>24169.871179624501</v>
      </c>
      <c r="D19" s="35">
        <f ca="1">SUM('1st Qtr'!D19, '2nd Qtr'!D19, '3rd Qtr'!D19, '4th Qtr'!D19)</f>
        <v>47290.29</v>
      </c>
      <c r="E19" s="35">
        <f t="shared" ca="1" si="5"/>
        <v>-23120.4188203755</v>
      </c>
      <c r="F19" s="36">
        <f t="shared" ca="1" si="6"/>
        <v>-0.48890414544667626</v>
      </c>
      <c r="G19" s="37">
        <f ca="1">SUM('1st Qtr'!G19, '2nd Qtr'!G19, '3rd Qtr'!G19, '4th Qtr'!G19)</f>
        <v>65151</v>
      </c>
      <c r="H19" s="37">
        <f t="shared" ca="1" si="7"/>
        <v>-40981.128820375496</v>
      </c>
      <c r="I19" s="38">
        <f t="shared" ca="1" si="8"/>
        <v>-0.62901764854531006</v>
      </c>
      <c r="J19" s="15"/>
      <c r="K19" s="15"/>
    </row>
    <row r="20" spans="1:11" ht="15.75">
      <c r="A20" s="48" t="str">
        <v>Stoughton</v>
      </c>
      <c r="B20" s="16" t="str">
        <v>MA</v>
      </c>
      <c r="C20" s="35">
        <f ca="1">SUM('1st Qtr'!C20, '2nd Qtr'!C20, '3rd Qtr'!C20, '4th Qtr'!C20)</f>
        <v>22398.5</v>
      </c>
      <c r="D20" s="35">
        <f ca="1">SUM('1st Qtr'!D20, '2nd Qtr'!D20, '3rd Qtr'!D20, '4th Qtr'!D20)</f>
        <v>29378.29</v>
      </c>
      <c r="E20" s="35">
        <f t="shared" ca="1" si="5"/>
        <v>-6979.7900000000009</v>
      </c>
      <c r="F20" s="36">
        <f t="shared" ca="1" si="6"/>
        <v>-0.23758326301496788</v>
      </c>
      <c r="G20" s="37">
        <f ca="1">SUM('1st Qtr'!G20, '2nd Qtr'!G20, '3rd Qtr'!G20, '4th Qtr'!G20)</f>
        <v>35608.120000000003</v>
      </c>
      <c r="H20" s="37">
        <f t="shared" ca="1" si="7"/>
        <v>-13209.620000000003</v>
      </c>
      <c r="I20" s="38">
        <f t="shared" ca="1" si="8"/>
        <v>-0.37097212658236384</v>
      </c>
      <c r="J20" s="15"/>
      <c r="K20" s="15"/>
    </row>
    <row r="21" spans="1:11" ht="15.75">
      <c r="A21" s="47" t="str">
        <v>Wellfleet Landfill</v>
      </c>
      <c r="B21" s="33" t="str">
        <v>MA</v>
      </c>
      <c r="C21" s="35">
        <f ca="1">SUM('1st Qtr'!C21, '2nd Qtr'!C21, '3rd Qtr'!C21, '4th Qtr'!C21)</f>
        <v>40023</v>
      </c>
      <c r="D21" s="35">
        <f ca="1">SUM('1st Qtr'!D21, '2nd Qtr'!D21, '3rd Qtr'!D21, '4th Qtr'!D21)</f>
        <v>57476</v>
      </c>
      <c r="E21" s="35">
        <f t="shared" ca="1" si="5"/>
        <v>-17453</v>
      </c>
      <c r="F21" s="36">
        <f t="shared" ca="1" si="6"/>
        <v>-0.30365717864847935</v>
      </c>
      <c r="G21" s="37">
        <f ca="1">SUM('1st Qtr'!G21, '2nd Qtr'!G21, '3rd Qtr'!G21, '4th Qtr'!G21)</f>
        <v>0</v>
      </c>
      <c r="H21" s="37">
        <f t="shared" ca="1" si="7"/>
        <v>40023</v>
      </c>
      <c r="I21" s="38">
        <f t="shared" ca="1" si="8"/>
        <v>0</v>
      </c>
      <c r="J21" s="15"/>
      <c r="K21" s="15"/>
    </row>
    <row r="22" spans="1:11" ht="15.75">
      <c r="A22" s="48" t="str">
        <v>Wilmington Garage &amp; Building 7</v>
      </c>
      <c r="B22" s="16" t="str">
        <v>MA</v>
      </c>
      <c r="C22" s="35">
        <f ca="1">SUM('1st Qtr'!C22, '2nd Qtr'!C22, '3rd Qtr'!C22, '4th Qtr'!C22)</f>
        <v>28124.62</v>
      </c>
      <c r="D22" s="35">
        <f ca="1">SUM('1st Qtr'!D22, '2nd Qtr'!D22, '3rd Qtr'!D22, '4th Qtr'!D22)</f>
        <v>53740.59</v>
      </c>
      <c r="E22" s="35">
        <f t="shared" ca="1" si="5"/>
        <v>-25615.969999999998</v>
      </c>
      <c r="F22" s="36">
        <f t="shared" ca="1" si="6"/>
        <v>-0.47665963473791412</v>
      </c>
      <c r="G22" s="37">
        <f ca="1">SUM('1st Qtr'!G22, '2nd Qtr'!G22, '3rd Qtr'!G22, '4th Qtr'!G22)</f>
        <v>51473.440000000002</v>
      </c>
      <c r="H22" s="37">
        <f t="shared" ca="1" si="7"/>
        <v>-23348.820000000003</v>
      </c>
      <c r="I22" s="38">
        <f t="shared" ca="1" si="8"/>
        <v>-0.45360908460751803</v>
      </c>
      <c r="J22" s="15"/>
      <c r="K22" s="15"/>
    </row>
    <row r="23" spans="1:11" ht="15.75">
      <c r="A23" s="47" t="str">
        <v>Woburn</v>
      </c>
      <c r="B23" s="33" t="str">
        <v>MA</v>
      </c>
      <c r="C23" s="35">
        <f ca="1">SUM('1st Qtr'!C23, '2nd Qtr'!C23, '3rd Qtr'!C23, '4th Qtr'!C23)</f>
        <v>47752.5</v>
      </c>
      <c r="D23" s="35">
        <f ca="1">SUM('1st Qtr'!D23, '2nd Qtr'!D23, '3rd Qtr'!D23, '4th Qtr'!D23)</f>
        <v>99772.07</v>
      </c>
      <c r="E23" s="35">
        <f t="shared" ca="1" si="5"/>
        <v>-52019.570000000007</v>
      </c>
      <c r="F23" s="36">
        <f t="shared" ca="1" si="6"/>
        <v>-0.52138409075806491</v>
      </c>
      <c r="G23" s="37">
        <f ca="1">SUM('1st Qtr'!G23, '2nd Qtr'!G23, '3rd Qtr'!G23, '4th Qtr'!G23)</f>
        <v>69636.91</v>
      </c>
      <c r="H23" s="37">
        <f t="shared" ca="1" si="7"/>
        <v>-21884.410000000003</v>
      </c>
      <c r="I23" s="38">
        <f t="shared" ca="1" si="8"/>
        <v>-0.31426451862956012</v>
      </c>
      <c r="J23" s="15"/>
      <c r="K23" s="15"/>
    </row>
    <row r="24" spans="1:11" ht="15.75">
      <c r="A24" s="48" t="str">
        <v>Friendship Solar 1</v>
      </c>
      <c r="B24" s="16" t="str">
        <v>MD</v>
      </c>
      <c r="C24" s="35">
        <f ca="1">SUM('1st Qtr'!C24, '2nd Qtr'!C24, '3rd Qtr'!C24, '4th Qtr'!C24)</f>
        <v>185310</v>
      </c>
      <c r="D24" s="35">
        <f ca="1">SUM('1st Qtr'!D24, '2nd Qtr'!D24, '3rd Qtr'!D24, '4th Qtr'!D24)</f>
        <v>198138.4</v>
      </c>
      <c r="E24" s="35">
        <f t="shared" ca="1" si="5"/>
        <v>-12828.399999999994</v>
      </c>
      <c r="F24" s="36">
        <f t="shared" ca="1" si="6"/>
        <v>-6.4744643138331559E-2</v>
      </c>
      <c r="G24" s="37">
        <f ca="1">SUM('1st Qtr'!G24, '2nd Qtr'!G24, '3rd Qtr'!G24, '4th Qtr'!G24)</f>
        <v>253076.2</v>
      </c>
      <c r="H24" s="37">
        <f t="shared" ca="1" si="7"/>
        <v>-67766.200000000012</v>
      </c>
      <c r="I24" s="38">
        <f t="shared" ca="1" si="8"/>
        <v>-0.26776994438829099</v>
      </c>
      <c r="J24" s="15"/>
      <c r="K24" s="15"/>
    </row>
    <row r="25" spans="1:11" ht="15.75">
      <c r="A25" s="48" t="str">
        <v>Friendship Solar 2</v>
      </c>
      <c r="B25" s="16" t="str">
        <v>MD</v>
      </c>
      <c r="C25" s="35">
        <f ca="1">SUM('1st Qtr'!C25, '2nd Qtr'!C25, '3rd Qtr'!C25, '4th Qtr'!C25)</f>
        <v>183527</v>
      </c>
      <c r="D25" s="35">
        <f ca="1">SUM('1st Qtr'!D25, '2nd Qtr'!D25, '3rd Qtr'!D25, '4th Qtr'!D25)</f>
        <v>204402.5</v>
      </c>
      <c r="E25" s="35">
        <f t="shared" ca="1" si="0"/>
        <v>-20875.5</v>
      </c>
      <c r="F25" s="36">
        <f t="shared" ca="1" si="1"/>
        <v>-0.10212937708687517</v>
      </c>
      <c r="G25" s="37">
        <f ca="1">SUM('1st Qtr'!G25, '2nd Qtr'!G25, '3rd Qtr'!G25, '4th Qtr'!G25)</f>
        <v>250422.2</v>
      </c>
      <c r="H25" s="37">
        <f t="shared" ca="1" si="2"/>
        <v>-66895.200000000012</v>
      </c>
      <c r="I25" s="38">
        <f t="shared" ca="1" si="3"/>
        <v>-0.26712967141092125</v>
      </c>
      <c r="J25" s="18"/>
      <c r="K25" s="19"/>
    </row>
    <row r="26" spans="1:11" ht="15.75">
      <c r="A26" s="47" t="str">
        <v>101 Carnegie Center</v>
      </c>
      <c r="B26" s="33" t="str">
        <v>NJ</v>
      </c>
      <c r="C26" s="35">
        <f ca="1">SUM('1st Qtr'!C26, '2nd Qtr'!C26, '3rd Qtr'!C26, '4th Qtr'!C26)</f>
        <v>42576</v>
      </c>
      <c r="D26" s="35">
        <f ca="1">SUM('1st Qtr'!D26, '2nd Qtr'!D26, '3rd Qtr'!D26, '4th Qtr'!D26)</f>
        <v>72136</v>
      </c>
      <c r="E26" s="35">
        <f t="shared" ca="1" si="0"/>
        <v>-29560</v>
      </c>
      <c r="F26" s="36">
        <f t="shared" ca="1" si="1"/>
        <v>-0.40978152378839972</v>
      </c>
      <c r="G26" s="37">
        <f ca="1">SUM('1st Qtr'!G26, '2nd Qtr'!G26, '3rd Qtr'!G26, '4th Qtr'!G26)</f>
        <v>0</v>
      </c>
      <c r="H26" s="37">
        <f t="shared" ca="1" si="2"/>
        <v>42576</v>
      </c>
      <c r="I26" s="38">
        <f t="shared" ca="1" si="3"/>
        <v>0</v>
      </c>
      <c r="J26" s="15"/>
      <c r="K26" s="15"/>
    </row>
    <row r="27" spans="1:11" ht="15.75">
      <c r="A27" s="48" t="str">
        <v>302 Carnegie Center</v>
      </c>
      <c r="B27" s="16" t="str">
        <v>NJ</v>
      </c>
      <c r="C27" s="35">
        <f ca="1">SUM('1st Qtr'!C27, '2nd Qtr'!C27, '3rd Qtr'!C27, '4th Qtr'!C27)</f>
        <v>18853</v>
      </c>
      <c r="D27" s="35">
        <f ca="1">SUM('1st Qtr'!D27, '2nd Qtr'!D27, '3rd Qtr'!D27, '4th Qtr'!D27)</f>
        <v>28852</v>
      </c>
      <c r="E27" s="35">
        <f t="shared" ca="1" si="0"/>
        <v>-9999</v>
      </c>
      <c r="F27" s="36">
        <f t="shared" ca="1" si="1"/>
        <v>-0.34656176348260087</v>
      </c>
      <c r="G27" s="37">
        <f ca="1">SUM('1st Qtr'!G27, '2nd Qtr'!G27, '3rd Qtr'!G27, '4th Qtr'!G27)</f>
        <v>0</v>
      </c>
      <c r="H27" s="37">
        <f t="shared" ca="1" si="2"/>
        <v>18853</v>
      </c>
      <c r="I27" s="38">
        <f t="shared" ca="1" si="3"/>
        <v>0</v>
      </c>
      <c r="J27" s="15"/>
      <c r="K27" s="15"/>
    </row>
    <row r="28" spans="1:11" ht="15.75">
      <c r="A28" s="47" t="str">
        <v>510 Carnegie Center</v>
      </c>
      <c r="B28" s="33" t="str">
        <v>NJ</v>
      </c>
      <c r="C28" s="35">
        <f ca="1">SUM('1st Qtr'!C28, '2nd Qtr'!C28, '3rd Qtr'!C28, '4th Qtr'!C28)</f>
        <v>40883</v>
      </c>
      <c r="D28" s="35">
        <f ca="1">SUM('1st Qtr'!D28, '2nd Qtr'!D28, '3rd Qtr'!D28, '4th Qtr'!D28)</f>
        <v>79791</v>
      </c>
      <c r="E28" s="35">
        <f t="shared" ca="1" si="0"/>
        <v>-38908</v>
      </c>
      <c r="F28" s="36">
        <f t="shared" ca="1" si="1"/>
        <v>-0.48762391748442807</v>
      </c>
      <c r="G28" s="37">
        <f ca="1">SUM('1st Qtr'!G28, '2nd Qtr'!G28, '3rd Qtr'!G28, '4th Qtr'!G28)</f>
        <v>0</v>
      </c>
      <c r="H28" s="37">
        <f t="shared" ca="1" si="2"/>
        <v>40883</v>
      </c>
      <c r="I28" s="38">
        <f t="shared" ca="1" si="3"/>
        <v>0</v>
      </c>
      <c r="J28" s="17"/>
      <c r="K28" s="17"/>
    </row>
    <row r="29" spans="1:11" ht="15.75">
      <c r="A29" s="48" t="str">
        <v>701 Carnegie Center</v>
      </c>
      <c r="B29" s="16" t="str">
        <v>NJ</v>
      </c>
      <c r="C29" s="35">
        <f ca="1">SUM('1st Qtr'!C29, '2nd Qtr'!C29, '3rd Qtr'!C29, '4th Qtr'!C29)</f>
        <v>36140</v>
      </c>
      <c r="D29" s="35">
        <f ca="1">SUM('1st Qtr'!D29, '2nd Qtr'!D29, '3rd Qtr'!D29, '4th Qtr'!D29)</f>
        <v>59926</v>
      </c>
      <c r="E29" s="35">
        <f t="shared" ca="1" si="0"/>
        <v>-23786</v>
      </c>
      <c r="F29" s="36">
        <f t="shared" ca="1" si="1"/>
        <v>-0.39692287154156791</v>
      </c>
      <c r="G29" s="37">
        <f ca="1">SUM('1st Qtr'!G29, '2nd Qtr'!G29, '3rd Qtr'!G29, '4th Qtr'!G29)</f>
        <v>0</v>
      </c>
      <c r="H29" s="37">
        <f t="shared" ca="1" si="2"/>
        <v>36140</v>
      </c>
      <c r="I29" s="38">
        <f t="shared" ca="1" si="3"/>
        <v>0</v>
      </c>
      <c r="J29" s="15"/>
      <c r="K29" s="15"/>
    </row>
    <row r="30" spans="1:11" ht="15.75">
      <c r="A30" s="47" t="str">
        <v>Hudson County Correction</v>
      </c>
      <c r="B30" s="33" t="str">
        <v>NJ</v>
      </c>
      <c r="C30" s="35">
        <f ca="1">SUM('1st Qtr'!C30, '2nd Qtr'!C30, '3rd Qtr'!C30, '4th Qtr'!C30)</f>
        <v>52029.489726129497</v>
      </c>
      <c r="D30" s="35">
        <f ca="1">SUM('1st Qtr'!D30, '2nd Qtr'!D30, '3rd Qtr'!D30, '4th Qtr'!D30)</f>
        <v>59439.43</v>
      </c>
      <c r="E30" s="35">
        <f t="shared" ca="1" si="0"/>
        <v>-7409.940273870503</v>
      </c>
      <c r="F30" s="36">
        <f t="shared" ca="1" si="1"/>
        <v>-0.12466371689416442</v>
      </c>
      <c r="G30" s="37">
        <f ca="1">SUM('1st Qtr'!G30, '2nd Qtr'!G30, '3rd Qtr'!G30, '4th Qtr'!G30)</f>
        <v>87395.78</v>
      </c>
      <c r="H30" s="37">
        <f t="shared" ca="1" si="2"/>
        <v>-35366.290273870502</v>
      </c>
      <c r="I30" s="38">
        <f t="shared" ca="1" si="3"/>
        <v>-0.40466816903368219</v>
      </c>
      <c r="J30" s="18"/>
      <c r="K30" s="19"/>
    </row>
    <row r="31" spans="1:11" ht="15.75">
      <c r="A31" s="127" t="str">
        <v>ER Bison Solar</v>
      </c>
      <c r="B31" s="128" t="str">
        <v>PA</v>
      </c>
      <c r="C31" s="35">
        <f ca="1">SUM('1st Qtr'!C31, '2nd Qtr'!C31, '3rd Qtr'!C31, '4th Qtr'!C31)</f>
        <v>50310</v>
      </c>
      <c r="D31" s="35">
        <f ca="1">SUM('1st Qtr'!D31, '2nd Qtr'!D31, '3rd Qtr'!D31, '4th Qtr'!D31)</f>
        <v>0</v>
      </c>
      <c r="E31" s="35">
        <f t="shared" ref="E31:E32" ca="1" si="9">C31-D31</f>
        <v>50310</v>
      </c>
      <c r="F31" s="36">
        <f t="shared" ref="F31:F32" ca="1" si="10">IFERROR(E31/D31, 0)</f>
        <v>0</v>
      </c>
      <c r="G31" s="37">
        <f ca="1">SUM('1st Qtr'!G31, '2nd Qtr'!G31, '3rd Qtr'!G31, '4th Qtr'!G31)</f>
        <v>100651</v>
      </c>
      <c r="H31" s="37">
        <f t="shared" ref="H31:H32" ca="1" si="11">C31-G31</f>
        <v>-50341</v>
      </c>
      <c r="I31" s="38">
        <f t="shared" ref="I31:I32" ca="1" si="12">IFERROR(H31/G31, 0)</f>
        <v>-0.50015399747642841</v>
      </c>
      <c r="J31" s="18"/>
      <c r="K31" s="19"/>
    </row>
    <row r="32" spans="1:11" ht="15.75">
      <c r="A32" s="48" t="str">
        <v>Danville</v>
      </c>
      <c r="B32" s="16" t="str">
        <v>IL</v>
      </c>
      <c r="C32" s="35">
        <f ca="1">SUM('1st Qtr'!C32, '2nd Qtr'!C32, '3rd Qtr'!C32, '4th Qtr'!C32)</f>
        <v>119051</v>
      </c>
      <c r="D32" s="35">
        <f ca="1">SUM('1st Qtr'!D32, '2nd Qtr'!D32, '3rd Qtr'!D32, '4th Qtr'!D32)</f>
        <v>0</v>
      </c>
      <c r="E32" s="35">
        <f t="shared" ca="1" si="9"/>
        <v>119051</v>
      </c>
      <c r="F32" s="36">
        <f t="shared" ca="1" si="10"/>
        <v>0</v>
      </c>
      <c r="G32" s="37">
        <f ca="1">SUM('1st Qtr'!G32, '2nd Qtr'!G32, '3rd Qtr'!G32, '4th Qtr'!G32)</f>
        <v>0</v>
      </c>
      <c r="H32" s="37">
        <f t="shared" ca="1" si="11"/>
        <v>119051</v>
      </c>
      <c r="I32" s="38">
        <f t="shared" ca="1" si="12"/>
        <v>0</v>
      </c>
      <c r="J32" s="15"/>
      <c r="K32" s="15"/>
    </row>
    <row r="33" spans="1:10" ht="24.75" customHeight="1">
      <c r="A33" s="133" t="s">
        <v>11</v>
      </c>
      <c r="B33" s="134"/>
      <c r="C33" s="50">
        <f ca="1">SUM(C3:C32)</f>
        <v>1255667.4659057546</v>
      </c>
      <c r="D33" s="50">
        <f ca="1">SUM(D3:D32)</f>
        <v>1584905.264</v>
      </c>
      <c r="E33" s="50">
        <f ca="1">C33-D33</f>
        <v>-329237.79809424537</v>
      </c>
      <c r="F33" s="41">
        <f ca="1">IFERROR(E33/D33, 0)</f>
        <v>-0.20773342456022367</v>
      </c>
      <c r="G33" s="50">
        <f ca="1">SUM(G3:G32)</f>
        <v>1501477.3230000001</v>
      </c>
      <c r="H33" s="51">
        <f ca="1">C33-G33</f>
        <v>-245809.8570942455</v>
      </c>
      <c r="I33" s="42">
        <f ca="1">IFERROR(H33/G33, 0)</f>
        <v>-0.16371200105980255</v>
      </c>
      <c r="J33" s="8"/>
    </row>
    <row r="34" spans="1:10">
      <c r="J34" s="8"/>
    </row>
    <row r="35" spans="1:10" ht="12.75" customHeight="1">
      <c r="A35" s="135" t="s">
        <v>12</v>
      </c>
      <c r="J35" s="8"/>
    </row>
    <row r="36" spans="1:10">
      <c r="A36" s="135"/>
      <c r="J36" s="8"/>
    </row>
    <row r="37" spans="1:10">
      <c r="A37" s="136" t="s">
        <v>13</v>
      </c>
      <c r="J37" s="8"/>
    </row>
    <row r="38" spans="1:10" ht="12.75" customHeight="1">
      <c r="A38" s="136"/>
      <c r="J38" s="8"/>
    </row>
    <row r="39" spans="1:10">
      <c r="J39" s="8"/>
    </row>
  </sheetData>
  <autoFilter ref="A2:I2" xr:uid="{D5C25034-9971-4A61-864F-C938F31EB1B8}"/>
  <mergeCells count="8">
    <mergeCell ref="K1:K2"/>
    <mergeCell ref="A33:B33"/>
    <mergeCell ref="A35:A36"/>
    <mergeCell ref="A37:A38"/>
    <mergeCell ref="A1:B1"/>
    <mergeCell ref="C1:F1"/>
    <mergeCell ref="G1:I1"/>
    <mergeCell ref="J1:J2"/>
  </mergeCells>
  <conditionalFormatting sqref="F3:F33 I3:I33">
    <cfRule type="cellIs" dxfId="535" priority="1" operator="lessThanOrEqual">
      <formula>-0.1</formula>
    </cfRule>
    <cfRule type="cellIs" dxfId="534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39"/>
  <sheetViews>
    <sheetView workbookViewId="0">
      <pane ySplit="2" topLeftCell="A3" activePane="bottomLeft" state="frozen"/>
      <selection pane="bottomLeft" activeCell="G12" sqref="G1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37" t="str" cm="1">
        <f t="array" ref="A1">portfolio</f>
        <v>Greenbacker</v>
      </c>
      <c r="B1" s="138"/>
      <c r="C1" s="139" t="s">
        <v>14</v>
      </c>
      <c r="D1" s="140"/>
      <c r="E1" s="140"/>
      <c r="F1" s="141"/>
      <c r="G1" s="142" t="s">
        <v>15</v>
      </c>
      <c r="H1" s="142"/>
      <c r="I1" s="143"/>
      <c r="J1" s="131" t="s">
        <v>2</v>
      </c>
      <c r="K1" s="131" t="s">
        <v>3</v>
      </c>
    </row>
    <row r="2" spans="1:11" ht="14.25" customHeight="1">
      <c r="A2" s="45" t="s">
        <v>4</v>
      </c>
      <c r="B2" s="46" t="s">
        <v>5</v>
      </c>
      <c r="C2" s="5" t="s">
        <v>6</v>
      </c>
      <c r="D2" s="43" t="s">
        <v>7</v>
      </c>
      <c r="E2" s="5" t="s">
        <v>8</v>
      </c>
      <c r="F2" s="6" t="s">
        <v>9</v>
      </c>
      <c r="G2" s="44" t="s">
        <v>10</v>
      </c>
      <c r="H2" s="7" t="s">
        <v>8</v>
      </c>
      <c r="I2" s="9" t="s">
        <v>9</v>
      </c>
      <c r="J2" s="132"/>
      <c r="K2" s="132"/>
    </row>
    <row r="3" spans="1:11" ht="15.75">
      <c r="A3" s="47" t="str" cm="1">
        <f t="array" ref="A3:A32">Sites[Site]</f>
        <v>10 Walpole Park South</v>
      </c>
      <c r="B3" s="33" t="str" cm="1">
        <f t="array" ref="B3:B32">Sites[State]</f>
        <v>MA</v>
      </c>
      <c r="C3" s="35">
        <f ca="1">SUM(Jan!C3, Feb!C3, Mar!C3)</f>
        <v>3478.8125</v>
      </c>
      <c r="D3" s="35">
        <f ca="1">SUM(Jan!D3, Feb!D3, Mar!D3)</f>
        <v>6181.5739999999996</v>
      </c>
      <c r="E3" s="35">
        <f ca="1">C3-D3</f>
        <v>-2702.7614999999996</v>
      </c>
      <c r="F3" s="36">
        <f ca="1">IFERROR(E3/D3, 0)</f>
        <v>-0.43722868965088824</v>
      </c>
      <c r="G3" s="37">
        <f ca="1">SUM(Jan!G3, Feb!G3, Mar!G3)</f>
        <v>6823.2529999999997</v>
      </c>
      <c r="H3" s="37">
        <f ca="1">C3-G3</f>
        <v>-3344.4404999999997</v>
      </c>
      <c r="I3" s="38">
        <f ca="1">IFERROR(H3/G3, 0)</f>
        <v>-0.49015337698895234</v>
      </c>
      <c r="J3" s="15"/>
      <c r="K3" s="15"/>
    </row>
    <row r="4" spans="1:11" ht="15.75">
      <c r="A4" s="48" t="str">
        <v>15 Walpole Park South</v>
      </c>
      <c r="B4" s="16" t="str">
        <v>MA</v>
      </c>
      <c r="C4" s="35">
        <f ca="1">SUM(Jan!C4, Feb!C4, Mar!C4)</f>
        <v>12517</v>
      </c>
      <c r="D4" s="35">
        <f ca="1">SUM(Jan!D4, Feb!D4, Mar!D4)</f>
        <v>22722.47</v>
      </c>
      <c r="E4" s="35">
        <f t="shared" ref="E4:E31" ca="1" si="0">C4-D4</f>
        <v>-10205.470000000001</v>
      </c>
      <c r="F4" s="36">
        <f t="shared" ref="F4:F31" ca="1" si="1">IFERROR(E4/D4, 0)</f>
        <v>-0.44913559133316056</v>
      </c>
      <c r="G4" s="37">
        <f ca="1">SUM(Jan!G4, Feb!G4, Mar!G4)</f>
        <v>21603.71</v>
      </c>
      <c r="H4" s="37">
        <f t="shared" ref="H4:H31" ca="1" si="2">C4-G4</f>
        <v>-9086.7099999999991</v>
      </c>
      <c r="I4" s="38">
        <f t="shared" ref="I4:I31" ca="1" si="3">IFERROR(H4/G4, 0)</f>
        <v>-0.42060877506687505</v>
      </c>
      <c r="J4" s="15"/>
      <c r="K4" s="15"/>
    </row>
    <row r="5" spans="1:11" ht="15.75">
      <c r="A5" s="49" t="str">
        <v>19 Walpole Park South</v>
      </c>
      <c r="B5" s="34" t="str">
        <v>MA</v>
      </c>
      <c r="C5" s="35">
        <f ca="1">SUM(Jan!C5, Feb!C5, Mar!C5)</f>
        <v>7105.375</v>
      </c>
      <c r="D5" s="35">
        <f ca="1">SUM(Jan!D5, Feb!D5, Mar!D5)</f>
        <v>13704.15</v>
      </c>
      <c r="E5" s="35">
        <f t="shared" ca="1" si="0"/>
        <v>-6598.7749999999996</v>
      </c>
      <c r="F5" s="36">
        <f t="shared" ca="1" si="1"/>
        <v>-0.48151654790702086</v>
      </c>
      <c r="G5" s="37">
        <f ca="1">SUM(Jan!G5, Feb!G5, Mar!G5)</f>
        <v>14450.27</v>
      </c>
      <c r="H5" s="37">
        <f t="shared" ca="1" si="2"/>
        <v>-7344.8950000000004</v>
      </c>
      <c r="I5" s="38">
        <f t="shared" ca="1" si="3"/>
        <v>-0.50828773441603514</v>
      </c>
      <c r="J5" s="15"/>
      <c r="K5" s="15"/>
    </row>
    <row r="6" spans="1:11" ht="15.75">
      <c r="A6" s="48" t="str">
        <v>23 Walpole Park South</v>
      </c>
      <c r="B6" s="16" t="str">
        <v>MA</v>
      </c>
      <c r="C6" s="35">
        <f ca="1">SUM(Jan!C6, Feb!C6, Mar!C6)</f>
        <v>10190.25</v>
      </c>
      <c r="D6" s="35">
        <f ca="1">SUM(Jan!D6, Feb!D6, Mar!D6)</f>
        <v>16832.77</v>
      </c>
      <c r="E6" s="35">
        <f t="shared" ca="1" si="0"/>
        <v>-6642.52</v>
      </c>
      <c r="F6" s="36">
        <f t="shared" ca="1" si="1"/>
        <v>-0.39461835455483563</v>
      </c>
      <c r="G6" s="37">
        <f ca="1">SUM(Jan!G6, Feb!G6, Mar!G6)</f>
        <v>18563.55</v>
      </c>
      <c r="H6" s="37">
        <f t="shared" ca="1" si="2"/>
        <v>-8373.2999999999993</v>
      </c>
      <c r="I6" s="38">
        <f t="shared" ca="1" si="3"/>
        <v>-0.4510613541052223</v>
      </c>
      <c r="J6" s="15"/>
      <c r="K6" s="15"/>
    </row>
    <row r="7" spans="1:11" ht="15.75">
      <c r="A7" s="49" t="str">
        <v>24 Walpole Park South</v>
      </c>
      <c r="B7" s="34" t="str">
        <v>MA</v>
      </c>
      <c r="C7" s="35">
        <f ca="1">SUM(Jan!C7, Feb!C7, Mar!C7)</f>
        <v>15037</v>
      </c>
      <c r="D7" s="35">
        <f ca="1">SUM(Jan!D7, Feb!D7, Mar!D7)</f>
        <v>14267.73</v>
      </c>
      <c r="E7" s="35">
        <f t="shared" ca="1" si="0"/>
        <v>769.27000000000044</v>
      </c>
      <c r="F7" s="36">
        <f t="shared" ca="1" si="1"/>
        <v>5.3916775829091275E-2</v>
      </c>
      <c r="G7" s="37">
        <f ca="1">SUM(Jan!G7, Feb!G7, Mar!G7)</f>
        <v>28642.02</v>
      </c>
      <c r="H7" s="37">
        <f t="shared" ca="1" si="2"/>
        <v>-13605.02</v>
      </c>
      <c r="I7" s="38">
        <f t="shared" ca="1" si="3"/>
        <v>-0.47500211228118688</v>
      </c>
      <c r="J7" s="17"/>
      <c r="K7" s="17"/>
    </row>
    <row r="8" spans="1:11" ht="15.75">
      <c r="A8" s="48" t="str">
        <v>25 Walpole Park South</v>
      </c>
      <c r="B8" s="16" t="str">
        <v>MA</v>
      </c>
      <c r="C8" s="35">
        <f ca="1">SUM(Jan!C8, Feb!C8, Mar!C8)</f>
        <v>15224.5</v>
      </c>
      <c r="D8" s="35">
        <f ca="1">SUM(Jan!D8, Feb!D8, Mar!D8)</f>
        <v>26799</v>
      </c>
      <c r="E8" s="35">
        <f t="shared" ca="1" si="0"/>
        <v>-11574.5</v>
      </c>
      <c r="F8" s="36">
        <f t="shared" ca="1" si="1"/>
        <v>-0.43190044404641964</v>
      </c>
      <c r="G8" s="37">
        <f ca="1">SUM(Jan!G8, Feb!G8, Mar!G8)</f>
        <v>29130.79</v>
      </c>
      <c r="H8" s="37">
        <f t="shared" ca="1" si="2"/>
        <v>-13906.29</v>
      </c>
      <c r="I8" s="38">
        <f t="shared" ca="1" si="3"/>
        <v>-0.47737428336135068</v>
      </c>
      <c r="J8" s="15"/>
      <c r="K8" s="15"/>
    </row>
    <row r="9" spans="1:11" ht="15.75">
      <c r="A9" s="49" t="str">
        <v>3 Walpole Park South</v>
      </c>
      <c r="B9" s="34" t="str">
        <v>MA</v>
      </c>
      <c r="C9" s="35">
        <f ca="1">SUM(Jan!C9, Feb!C9, Mar!C9)</f>
        <v>19881.5</v>
      </c>
      <c r="D9" s="35">
        <f ca="1">SUM(Jan!D9, Feb!D9, Mar!D9)</f>
        <v>35122.519999999997</v>
      </c>
      <c r="E9" s="35">
        <f t="shared" ca="1" si="0"/>
        <v>-15241.019999999997</v>
      </c>
      <c r="F9" s="36">
        <f t="shared" ca="1" si="1"/>
        <v>-0.43393868093747257</v>
      </c>
      <c r="G9" s="37">
        <f ca="1">SUM(Jan!G9, Feb!G9, Mar!G9)</f>
        <v>34800.550000000003</v>
      </c>
      <c r="H9" s="37">
        <f t="shared" ca="1" si="2"/>
        <v>-14919.050000000003</v>
      </c>
      <c r="I9" s="38">
        <f t="shared" ca="1" si="3"/>
        <v>-0.42870155787767728</v>
      </c>
      <c r="J9" s="18"/>
      <c r="K9" s="19"/>
    </row>
    <row r="10" spans="1:11" ht="15.75">
      <c r="A10" s="48" t="str">
        <v>4 Walpole Park South</v>
      </c>
      <c r="B10" s="16" t="str">
        <v>MA</v>
      </c>
      <c r="C10" s="35">
        <f ca="1">SUM(Jan!C10, Feb!C10, Mar!C10)</f>
        <v>10678.25</v>
      </c>
      <c r="D10" s="35">
        <f ca="1">SUM(Jan!D10, Feb!D10, Mar!D10)</f>
        <v>19843.16</v>
      </c>
      <c r="E10" s="35">
        <f t="shared" ca="1" si="0"/>
        <v>-9164.91</v>
      </c>
      <c r="F10" s="36">
        <f t="shared" ca="1" si="1"/>
        <v>-0.46186746465784684</v>
      </c>
      <c r="G10" s="37">
        <f ca="1">SUM(Jan!G10, Feb!G10, Mar!G10)</f>
        <v>19687.72</v>
      </c>
      <c r="H10" s="37">
        <f t="shared" ca="1" si="2"/>
        <v>-9009.4700000000012</v>
      </c>
      <c r="I10" s="38">
        <f t="shared" ca="1" si="3"/>
        <v>-0.45761875930783252</v>
      </c>
      <c r="J10" s="15"/>
      <c r="K10" s="15"/>
    </row>
    <row r="11" spans="1:11" ht="15.75">
      <c r="A11" s="49" t="str">
        <v>Brockton</v>
      </c>
      <c r="B11" s="34" t="str">
        <v>MA</v>
      </c>
      <c r="C11" s="35">
        <f ca="1">SUM(Jan!C11, Feb!C11, Mar!C11)</f>
        <v>21358</v>
      </c>
      <c r="D11" s="35">
        <f ca="1">SUM(Jan!D11, Feb!D11, Mar!D11)</f>
        <v>29225.200000000001</v>
      </c>
      <c r="E11" s="35">
        <f t="shared" ca="1" si="0"/>
        <v>-7867.2000000000007</v>
      </c>
      <c r="F11" s="36">
        <f t="shared" ca="1" si="1"/>
        <v>-0.26919234085652111</v>
      </c>
      <c r="G11" s="37">
        <f ca="1">SUM(Jan!G11, Feb!G11, Mar!G11)</f>
        <v>35891.120000000003</v>
      </c>
      <c r="H11" s="37">
        <f t="shared" ca="1" si="2"/>
        <v>-14533.120000000003</v>
      </c>
      <c r="I11" s="38">
        <f t="shared" ca="1" si="3"/>
        <v>-0.40492244321157994</v>
      </c>
      <c r="J11" s="15"/>
      <c r="K11" s="15"/>
    </row>
    <row r="12" spans="1:11" ht="15.75">
      <c r="A12" s="48" t="str">
        <v>Canton</v>
      </c>
      <c r="B12" s="16" t="str">
        <v>MA</v>
      </c>
      <c r="C12" s="35">
        <f ca="1">SUM(Jan!C12, Feb!C12, Mar!C12)</f>
        <v>17412.249999999502</v>
      </c>
      <c r="D12" s="35">
        <f ca="1">SUM(Jan!D12, Feb!D12, Mar!D12)</f>
        <v>31213.29</v>
      </c>
      <c r="E12" s="35">
        <f t="shared" ref="E12:E28" ca="1" si="4">C12-D12</f>
        <v>-13801.040000000499</v>
      </c>
      <c r="F12" s="36">
        <f t="shared" ca="1" si="1"/>
        <v>-0.44215268560284732</v>
      </c>
      <c r="G12" s="37">
        <f ca="1">SUM(Jan!G12, Feb!G12, Mar!G12)</f>
        <v>30904.81</v>
      </c>
      <c r="H12" s="37">
        <f t="shared" ca="1" si="2"/>
        <v>-13492.5600000005</v>
      </c>
      <c r="I12" s="38">
        <f t="shared" ca="1" si="3"/>
        <v>-0.43658446694868852</v>
      </c>
      <c r="J12" s="15"/>
      <c r="K12" s="15"/>
    </row>
    <row r="13" spans="1:11" ht="15.75">
      <c r="A13" s="49" t="str">
        <v>Chelsea</v>
      </c>
      <c r="B13" s="34" t="str">
        <v>MA</v>
      </c>
      <c r="C13" s="35">
        <f ca="1">SUM(Jan!C13, Feb!C13, Mar!C13)</f>
        <v>38716</v>
      </c>
      <c r="D13" s="35">
        <f ca="1">SUM(Jan!D13, Feb!D13, Mar!D13)</f>
        <v>54336.05</v>
      </c>
      <c r="E13" s="35">
        <f t="shared" ca="1" si="4"/>
        <v>-15620.050000000003</v>
      </c>
      <c r="F13" s="36">
        <f t="shared" ca="1" si="1"/>
        <v>-0.28747120926162284</v>
      </c>
      <c r="G13" s="37">
        <f ca="1">SUM(Jan!G13, Feb!G13, Mar!G13)</f>
        <v>55003.46</v>
      </c>
      <c r="H13" s="37">
        <f t="shared" ca="1" si="2"/>
        <v>-16287.46</v>
      </c>
      <c r="I13" s="38">
        <f t="shared" ca="1" si="3"/>
        <v>-0.2961170079118659</v>
      </c>
      <c r="J13" s="15"/>
      <c r="K13" s="15"/>
    </row>
    <row r="14" spans="1:11" ht="15.75">
      <c r="A14" s="48" t="str">
        <v>Hamilton Landfill</v>
      </c>
      <c r="B14" s="16" t="str">
        <v>MA</v>
      </c>
      <c r="C14" s="35">
        <f ca="1">SUM(Jan!C14, Feb!C14, Mar!C14)</f>
        <v>30221</v>
      </c>
      <c r="D14" s="35">
        <f ca="1">SUM(Jan!D14, Feb!D14, Mar!D14)</f>
        <v>58716</v>
      </c>
      <c r="E14" s="35">
        <f t="shared" ca="1" si="4"/>
        <v>-28495</v>
      </c>
      <c r="F14" s="36">
        <f t="shared" ca="1" si="1"/>
        <v>-0.48530213229784047</v>
      </c>
      <c r="G14" s="37">
        <f ca="1">SUM(Jan!G14, Feb!G14, Mar!G14)</f>
        <v>0</v>
      </c>
      <c r="H14" s="37">
        <f t="shared" ca="1" si="2"/>
        <v>30221</v>
      </c>
      <c r="I14" s="38">
        <f t="shared" ca="1" si="3"/>
        <v>0</v>
      </c>
      <c r="J14" s="15"/>
      <c r="K14" s="15"/>
    </row>
    <row r="15" spans="1:11" ht="15.75">
      <c r="A15" s="49" t="str">
        <v>Holliston</v>
      </c>
      <c r="B15" s="34" t="str">
        <v>MA</v>
      </c>
      <c r="C15" s="35">
        <f ca="1">SUM(Jan!C15, Feb!C15, Mar!C15)</f>
        <v>37423.500000000902</v>
      </c>
      <c r="D15" s="35">
        <f ca="1">SUM(Jan!D15, Feb!D15, Mar!D15)</f>
        <v>60597.82</v>
      </c>
      <c r="E15" s="35">
        <f t="shared" ca="1" si="4"/>
        <v>-23174.319999999097</v>
      </c>
      <c r="F15" s="36">
        <f t="shared" ca="1" si="1"/>
        <v>-0.38242827877304986</v>
      </c>
      <c r="G15" s="37">
        <f ca="1">SUM(Jan!G15, Feb!G15, Mar!G15)</f>
        <v>84734.92</v>
      </c>
      <c r="H15" s="37">
        <f t="shared" ca="1" si="2"/>
        <v>-47311.419999999096</v>
      </c>
      <c r="I15" s="38">
        <f t="shared" ca="1" si="3"/>
        <v>-0.5583461930453123</v>
      </c>
      <c r="J15" s="15"/>
      <c r="K15" s="15"/>
    </row>
    <row r="16" spans="1:11" ht="15.75">
      <c r="A16" s="48" t="str">
        <v>Natick HS - Carports</v>
      </c>
      <c r="B16" s="16" t="str">
        <v>MA</v>
      </c>
      <c r="C16" s="35">
        <f ca="1">SUM(Jan!C16, Feb!C16, Mar!C16)</f>
        <v>13924</v>
      </c>
      <c r="D16" s="35">
        <f ca="1">SUM(Jan!D16, Feb!D16, Mar!D16)</f>
        <v>29010</v>
      </c>
      <c r="E16" s="35">
        <f t="shared" ca="1" si="4"/>
        <v>-15086</v>
      </c>
      <c r="F16" s="36">
        <f t="shared" ca="1" si="1"/>
        <v>-0.5200275766976904</v>
      </c>
      <c r="G16" s="37">
        <f ca="1">SUM(Jan!G16, Feb!G16, Mar!G16)</f>
        <v>0</v>
      </c>
      <c r="H16" s="37">
        <f t="shared" ca="1" si="2"/>
        <v>13924</v>
      </c>
      <c r="I16" s="38">
        <f t="shared" ca="1" si="3"/>
        <v>0</v>
      </c>
      <c r="J16" s="15"/>
      <c r="K16" s="15"/>
    </row>
    <row r="17" spans="1:11" ht="15.75">
      <c r="A17" s="49" t="str">
        <v>Norton</v>
      </c>
      <c r="B17" s="34" t="str">
        <v>MA</v>
      </c>
      <c r="C17" s="35">
        <f ca="1">SUM(Jan!C17, Feb!C17, Mar!C17)</f>
        <v>93336</v>
      </c>
      <c r="D17" s="35">
        <f ca="1">SUM(Jan!D17, Feb!D17, Mar!D17)</f>
        <v>144118.9</v>
      </c>
      <c r="E17" s="35">
        <f t="shared" ca="1" si="4"/>
        <v>-50782.899999999994</v>
      </c>
      <c r="F17" s="36">
        <f t="shared" ca="1" si="1"/>
        <v>-0.35236807941220755</v>
      </c>
      <c r="G17" s="37">
        <f ca="1">SUM(Jan!G17, Feb!G17, Mar!G17)</f>
        <v>162736.5</v>
      </c>
      <c r="H17" s="37">
        <f t="shared" ca="1" si="2"/>
        <v>-69400.5</v>
      </c>
      <c r="I17" s="38">
        <f t="shared" ca="1" si="3"/>
        <v>-0.42645933764091032</v>
      </c>
      <c r="J17" s="15"/>
      <c r="K17" s="15"/>
    </row>
    <row r="18" spans="1:11" ht="15.75">
      <c r="A18" s="48" t="str">
        <v>Palmer - Boston Rd.</v>
      </c>
      <c r="B18" s="16" t="str">
        <v>MA</v>
      </c>
      <c r="C18" s="35">
        <f ca="1">SUM(Jan!C18, Feb!C18, Mar!C18)</f>
        <v>18016.047500000299</v>
      </c>
      <c r="D18" s="35">
        <f ca="1">SUM(Jan!D18, Feb!D18, Mar!D18)</f>
        <v>31872.06</v>
      </c>
      <c r="E18" s="35">
        <f t="shared" ref="E18:E24" ca="1" si="5">C18-D18</f>
        <v>-13856.012499999702</v>
      </c>
      <c r="F18" s="36">
        <f t="shared" ref="F18:F24" ca="1" si="6">IFERROR(E18/D18, 0)</f>
        <v>-0.43473852960868242</v>
      </c>
      <c r="G18" s="37">
        <f ca="1">SUM(Jan!G18, Feb!G18, Mar!G18)</f>
        <v>45090</v>
      </c>
      <c r="H18" s="37">
        <f t="shared" ref="H18:H24" ca="1" si="7">C18-G18</f>
        <v>-27073.952499999701</v>
      </c>
      <c r="I18" s="38">
        <f t="shared" ref="I18:I24" ca="1" si="8">IFERROR(H18/G18, 0)</f>
        <v>-0.60044250388111997</v>
      </c>
      <c r="J18" s="15"/>
      <c r="K18" s="15"/>
    </row>
    <row r="19" spans="1:11" ht="15.75">
      <c r="A19" s="49" t="str">
        <v>Shirley Bartkus</v>
      </c>
      <c r="B19" s="34" t="str">
        <v>MA</v>
      </c>
      <c r="C19" s="35">
        <f ca="1">SUM(Jan!C19, Feb!C19, Mar!C19)</f>
        <v>24169.871179624501</v>
      </c>
      <c r="D19" s="35">
        <f ca="1">SUM(Jan!D19, Feb!D19, Mar!D19)</f>
        <v>47290.29</v>
      </c>
      <c r="E19" s="35">
        <f t="shared" ca="1" si="5"/>
        <v>-23120.4188203755</v>
      </c>
      <c r="F19" s="36">
        <f t="shared" ca="1" si="6"/>
        <v>-0.48890414544667626</v>
      </c>
      <c r="G19" s="37">
        <f ca="1">SUM(Jan!G19, Feb!G19, Mar!G19)</f>
        <v>65151</v>
      </c>
      <c r="H19" s="37">
        <f t="shared" ca="1" si="7"/>
        <v>-40981.128820375496</v>
      </c>
      <c r="I19" s="38">
        <f t="shared" ca="1" si="8"/>
        <v>-0.62901764854531006</v>
      </c>
      <c r="J19" s="15"/>
      <c r="K19" s="15"/>
    </row>
    <row r="20" spans="1:11" ht="15.75">
      <c r="A20" s="48" t="str">
        <v>Stoughton</v>
      </c>
      <c r="B20" s="16" t="str">
        <v>MA</v>
      </c>
      <c r="C20" s="35">
        <f ca="1">SUM(Jan!C20, Feb!C20, Mar!C20)</f>
        <v>22398.5</v>
      </c>
      <c r="D20" s="35">
        <f ca="1">SUM(Jan!D20, Feb!D20, Mar!D20)</f>
        <v>29378.29</v>
      </c>
      <c r="E20" s="35">
        <f t="shared" ca="1" si="5"/>
        <v>-6979.7900000000009</v>
      </c>
      <c r="F20" s="36">
        <f t="shared" ca="1" si="6"/>
        <v>-0.23758326301496788</v>
      </c>
      <c r="G20" s="37">
        <f ca="1">SUM(Jan!G20, Feb!G20, Mar!G20)</f>
        <v>35608.120000000003</v>
      </c>
      <c r="H20" s="37">
        <f t="shared" ca="1" si="7"/>
        <v>-13209.620000000003</v>
      </c>
      <c r="I20" s="38">
        <f t="shared" ca="1" si="8"/>
        <v>-0.37097212658236384</v>
      </c>
      <c r="J20" s="15"/>
      <c r="K20" s="15"/>
    </row>
    <row r="21" spans="1:11" ht="15.75">
      <c r="A21" s="49" t="str">
        <v>Wellfleet Landfill</v>
      </c>
      <c r="B21" s="34" t="str">
        <v>MA</v>
      </c>
      <c r="C21" s="35">
        <f ca="1">SUM(Jan!C21, Feb!C21, Mar!C21)</f>
        <v>40023</v>
      </c>
      <c r="D21" s="35">
        <f ca="1">SUM(Jan!D21, Feb!D21, Mar!D21)</f>
        <v>57476</v>
      </c>
      <c r="E21" s="35">
        <f t="shared" ca="1" si="5"/>
        <v>-17453</v>
      </c>
      <c r="F21" s="36">
        <f t="shared" ca="1" si="6"/>
        <v>-0.30365717864847935</v>
      </c>
      <c r="G21" s="37">
        <f ca="1">SUM(Jan!G21, Feb!G21, Mar!G21)</f>
        <v>0</v>
      </c>
      <c r="H21" s="37">
        <f t="shared" ca="1" si="7"/>
        <v>40023</v>
      </c>
      <c r="I21" s="38">
        <f t="shared" ca="1" si="8"/>
        <v>0</v>
      </c>
      <c r="J21" s="15"/>
      <c r="K21" s="15"/>
    </row>
    <row r="22" spans="1:11" ht="15.75">
      <c r="A22" s="48" t="str">
        <v>Wilmington Garage &amp; Building 7</v>
      </c>
      <c r="B22" s="16" t="str">
        <v>MA</v>
      </c>
      <c r="C22" s="35">
        <f ca="1">SUM(Jan!C22, Feb!C22, Mar!C22)</f>
        <v>28124.62</v>
      </c>
      <c r="D22" s="35">
        <f ca="1">SUM(Jan!D22, Feb!D22, Mar!D22)</f>
        <v>53740.59</v>
      </c>
      <c r="E22" s="35">
        <f t="shared" ca="1" si="5"/>
        <v>-25615.969999999998</v>
      </c>
      <c r="F22" s="36">
        <f t="shared" ca="1" si="6"/>
        <v>-0.47665963473791412</v>
      </c>
      <c r="G22" s="37">
        <f ca="1">SUM(Jan!G22, Feb!G22, Mar!G22)</f>
        <v>51473.440000000002</v>
      </c>
      <c r="H22" s="37">
        <f t="shared" ca="1" si="7"/>
        <v>-23348.820000000003</v>
      </c>
      <c r="I22" s="38">
        <f t="shared" ca="1" si="8"/>
        <v>-0.45360908460751803</v>
      </c>
      <c r="J22" s="15"/>
      <c r="K22" s="15"/>
    </row>
    <row r="23" spans="1:11" ht="15.75">
      <c r="A23" s="49" t="str">
        <v>Woburn</v>
      </c>
      <c r="B23" s="34" t="str">
        <v>MA</v>
      </c>
      <c r="C23" s="35">
        <f ca="1">SUM(Jan!C23, Feb!C23, Mar!C23)</f>
        <v>47752.5</v>
      </c>
      <c r="D23" s="35">
        <f ca="1">SUM(Jan!D23, Feb!D23, Mar!D23)</f>
        <v>99772.07</v>
      </c>
      <c r="E23" s="35">
        <f t="shared" ca="1" si="5"/>
        <v>-52019.570000000007</v>
      </c>
      <c r="F23" s="36">
        <f t="shared" ca="1" si="6"/>
        <v>-0.52138409075806491</v>
      </c>
      <c r="G23" s="37">
        <f ca="1">SUM(Jan!G23, Feb!G23, Mar!G23)</f>
        <v>69636.91</v>
      </c>
      <c r="H23" s="37">
        <f t="shared" ca="1" si="7"/>
        <v>-21884.410000000003</v>
      </c>
      <c r="I23" s="38">
        <f t="shared" ca="1" si="8"/>
        <v>-0.31426451862956012</v>
      </c>
      <c r="J23" s="15"/>
      <c r="K23" s="15"/>
    </row>
    <row r="24" spans="1:11" ht="15.75">
      <c r="A24" s="48" t="str">
        <v>Friendship Solar 1</v>
      </c>
      <c r="B24" s="16" t="str">
        <v>MD</v>
      </c>
      <c r="C24" s="35">
        <f ca="1">SUM(Jan!C24, Feb!C24, Mar!C24)</f>
        <v>185310</v>
      </c>
      <c r="D24" s="35">
        <f ca="1">SUM(Jan!D24, Feb!D24, Mar!D24)</f>
        <v>198138.4</v>
      </c>
      <c r="E24" s="35">
        <f t="shared" ca="1" si="5"/>
        <v>-12828.399999999994</v>
      </c>
      <c r="F24" s="36">
        <f t="shared" ca="1" si="6"/>
        <v>-6.4744643138331559E-2</v>
      </c>
      <c r="G24" s="37">
        <f ca="1">SUM(Jan!G24, Feb!G24, Mar!G24)</f>
        <v>253076.2</v>
      </c>
      <c r="H24" s="37">
        <f t="shared" ca="1" si="7"/>
        <v>-67766.200000000012</v>
      </c>
      <c r="I24" s="38">
        <f t="shared" ca="1" si="8"/>
        <v>-0.26776994438829099</v>
      </c>
      <c r="J24" s="15"/>
      <c r="K24" s="15"/>
    </row>
    <row r="25" spans="1:11" ht="15.75">
      <c r="A25" s="48" t="str">
        <v>Friendship Solar 2</v>
      </c>
      <c r="B25" s="16" t="str">
        <v>MD</v>
      </c>
      <c r="C25" s="35">
        <f ca="1">SUM(Jan!C25, Feb!C25, Mar!C25)</f>
        <v>183527</v>
      </c>
      <c r="D25" s="35">
        <f ca="1">SUM(Jan!D25, Feb!D25, Mar!D25)</f>
        <v>204402.5</v>
      </c>
      <c r="E25" s="35">
        <f t="shared" ca="1" si="4"/>
        <v>-20875.5</v>
      </c>
      <c r="F25" s="36">
        <f t="shared" ca="1" si="1"/>
        <v>-0.10212937708687517</v>
      </c>
      <c r="G25" s="37">
        <f ca="1">SUM(Jan!G25, Feb!G25, Mar!G25)</f>
        <v>250422.2</v>
      </c>
      <c r="H25" s="37">
        <f t="shared" ca="1" si="2"/>
        <v>-66895.200000000012</v>
      </c>
      <c r="I25" s="38">
        <f t="shared" ca="1" si="3"/>
        <v>-0.26712967141092125</v>
      </c>
      <c r="J25" s="15"/>
      <c r="K25" s="15"/>
    </row>
    <row r="26" spans="1:11" ht="15.75">
      <c r="A26" s="49" t="str">
        <v>101 Carnegie Center</v>
      </c>
      <c r="B26" s="34" t="str">
        <v>NJ</v>
      </c>
      <c r="C26" s="35">
        <f ca="1">SUM(Jan!C26, Feb!C26, Mar!C26)</f>
        <v>42576</v>
      </c>
      <c r="D26" s="35">
        <f ca="1">SUM(Jan!D26, Feb!D26, Mar!D26)</f>
        <v>72136</v>
      </c>
      <c r="E26" s="35">
        <f t="shared" ca="1" si="4"/>
        <v>-29560</v>
      </c>
      <c r="F26" s="36">
        <f t="shared" ca="1" si="1"/>
        <v>-0.40978152378839972</v>
      </c>
      <c r="G26" s="37">
        <f ca="1">SUM(Jan!G26, Feb!G26, Mar!G26)</f>
        <v>0</v>
      </c>
      <c r="H26" s="37">
        <f t="shared" ca="1" si="2"/>
        <v>42576</v>
      </c>
      <c r="I26" s="38">
        <f t="shared" ca="1" si="3"/>
        <v>0</v>
      </c>
      <c r="J26" s="15"/>
      <c r="K26" s="15"/>
    </row>
    <row r="27" spans="1:11" ht="15.75">
      <c r="A27" s="48" t="str">
        <v>302 Carnegie Center</v>
      </c>
      <c r="B27" s="16" t="str">
        <v>NJ</v>
      </c>
      <c r="C27" s="35">
        <f ca="1">SUM(Jan!C27, Feb!C27, Mar!C27)</f>
        <v>18853</v>
      </c>
      <c r="D27" s="35">
        <f ca="1">SUM(Jan!D27, Feb!D27, Mar!D27)</f>
        <v>28852</v>
      </c>
      <c r="E27" s="35">
        <f t="shared" ca="1" si="4"/>
        <v>-9999</v>
      </c>
      <c r="F27" s="36">
        <f t="shared" ca="1" si="1"/>
        <v>-0.34656176348260087</v>
      </c>
      <c r="G27" s="37">
        <f ca="1">SUM(Jan!G27, Feb!G27, Mar!G27)</f>
        <v>0</v>
      </c>
      <c r="H27" s="37">
        <f t="shared" ca="1" si="2"/>
        <v>18853</v>
      </c>
      <c r="I27" s="38">
        <f t="shared" ca="1" si="3"/>
        <v>0</v>
      </c>
      <c r="J27" s="15"/>
      <c r="K27" s="15"/>
    </row>
    <row r="28" spans="1:11" ht="15.75">
      <c r="A28" s="49" t="str">
        <v>510 Carnegie Center</v>
      </c>
      <c r="B28" s="34" t="str">
        <v>NJ</v>
      </c>
      <c r="C28" s="35">
        <f ca="1">SUM(Jan!C28, Feb!C28, Mar!C28)</f>
        <v>40883</v>
      </c>
      <c r="D28" s="35">
        <f ca="1">SUM(Jan!D28, Feb!D28, Mar!D28)</f>
        <v>79791</v>
      </c>
      <c r="E28" s="35">
        <f t="shared" ca="1" si="4"/>
        <v>-38908</v>
      </c>
      <c r="F28" s="36">
        <f t="shared" ca="1" si="1"/>
        <v>-0.48762391748442807</v>
      </c>
      <c r="G28" s="37">
        <f ca="1">SUM(Jan!G28, Feb!G28, Mar!G28)</f>
        <v>0</v>
      </c>
      <c r="H28" s="37">
        <f t="shared" ca="1" si="2"/>
        <v>40883</v>
      </c>
      <c r="I28" s="38">
        <f t="shared" ca="1" si="3"/>
        <v>0</v>
      </c>
      <c r="J28" s="15"/>
      <c r="K28" s="15"/>
    </row>
    <row r="29" spans="1:11" ht="15.75">
      <c r="A29" s="48" t="str">
        <v>701 Carnegie Center</v>
      </c>
      <c r="B29" s="16" t="str">
        <v>NJ</v>
      </c>
      <c r="C29" s="35">
        <f ca="1">SUM(Jan!C29, Feb!C29, Mar!C29)</f>
        <v>36140</v>
      </c>
      <c r="D29" s="35">
        <f ca="1">SUM(Jan!D29, Feb!D29, Mar!D29)</f>
        <v>59926</v>
      </c>
      <c r="E29" s="35">
        <f t="shared" ca="1" si="0"/>
        <v>-23786</v>
      </c>
      <c r="F29" s="36">
        <f t="shared" ca="1" si="1"/>
        <v>-0.39692287154156791</v>
      </c>
      <c r="G29" s="37">
        <f ca="1">SUM(Jan!G29, Feb!G29, Mar!G29)</f>
        <v>0</v>
      </c>
      <c r="H29" s="37">
        <f t="shared" ca="1" si="2"/>
        <v>36140</v>
      </c>
      <c r="I29" s="38">
        <f t="shared" ca="1" si="3"/>
        <v>0</v>
      </c>
      <c r="J29" s="15"/>
      <c r="K29" s="15"/>
    </row>
    <row r="30" spans="1:11" ht="15.75">
      <c r="A30" s="49" t="str">
        <v>Hudson County Correction</v>
      </c>
      <c r="B30" s="34" t="str">
        <v>NJ</v>
      </c>
      <c r="C30" s="35">
        <f ca="1">SUM(Jan!C30, Feb!C30, Mar!C30)</f>
        <v>52029.489726129497</v>
      </c>
      <c r="D30" s="35">
        <f ca="1">SUM(Jan!D30, Feb!D30, Mar!D30)</f>
        <v>59439.43</v>
      </c>
      <c r="E30" s="35">
        <f t="shared" ca="1" si="0"/>
        <v>-7409.940273870503</v>
      </c>
      <c r="F30" s="36">
        <f t="shared" ca="1" si="1"/>
        <v>-0.12466371689416442</v>
      </c>
      <c r="G30" s="37">
        <f ca="1">SUM(Jan!G30, Feb!G30, Mar!G30)</f>
        <v>87395.78</v>
      </c>
      <c r="H30" s="37">
        <f t="shared" ca="1" si="2"/>
        <v>-35366.290273870502</v>
      </c>
      <c r="I30" s="38">
        <f t="shared" ca="1" si="3"/>
        <v>-0.40466816903368219</v>
      </c>
      <c r="J30" s="18"/>
      <c r="K30" s="19"/>
    </row>
    <row r="31" spans="1:11" ht="15.75">
      <c r="A31" s="48" t="str">
        <v>ER Bison Solar</v>
      </c>
      <c r="B31" s="16" t="str">
        <v>PA</v>
      </c>
      <c r="C31" s="35">
        <f ca="1">SUM(Jan!C31, Feb!C31, Mar!C31)</f>
        <v>50310</v>
      </c>
      <c r="D31" s="35">
        <f ca="1">SUM(Jan!D31, Feb!D31, Mar!D31)</f>
        <v>0</v>
      </c>
      <c r="E31" s="35">
        <f t="shared" ca="1" si="0"/>
        <v>50310</v>
      </c>
      <c r="F31" s="36">
        <f t="shared" ca="1" si="1"/>
        <v>0</v>
      </c>
      <c r="G31" s="37">
        <f ca="1">SUM(Jan!G31, Feb!G31, Mar!G31)</f>
        <v>100651</v>
      </c>
      <c r="H31" s="37">
        <f t="shared" ca="1" si="2"/>
        <v>-50341</v>
      </c>
      <c r="I31" s="38">
        <f t="shared" ca="1" si="3"/>
        <v>-0.50015399747642841</v>
      </c>
      <c r="J31" s="15"/>
      <c r="K31" s="15"/>
    </row>
    <row r="32" spans="1:11" ht="15.75">
      <c r="A32" s="113" t="str">
        <v>Danville</v>
      </c>
      <c r="B32" s="114" t="str">
        <v>IL</v>
      </c>
      <c r="C32" s="35">
        <f ca="1">SUM(Jan!C32, Feb!C32, Mar!C32)</f>
        <v>119051</v>
      </c>
      <c r="D32" s="35">
        <f ca="1">SUM(Jan!D32, Feb!D32, Mar!D32)</f>
        <v>0</v>
      </c>
      <c r="E32" s="35">
        <f t="shared" ref="E32" ca="1" si="9">C32-D32</f>
        <v>119051</v>
      </c>
      <c r="F32" s="36">
        <f t="shared" ref="F32" ca="1" si="10">IFERROR(E32/D32, 0)</f>
        <v>0</v>
      </c>
      <c r="G32" s="37">
        <f ca="1">SUM(Jan!G32, Feb!G32, Mar!G32)</f>
        <v>0</v>
      </c>
      <c r="H32" s="37">
        <f t="shared" ref="H32" ca="1" si="11">C32-G32</f>
        <v>119051</v>
      </c>
      <c r="I32" s="38">
        <f t="shared" ref="I32" ca="1" si="12">IFERROR(H32/G32, 0)</f>
        <v>0</v>
      </c>
      <c r="J32" s="15"/>
      <c r="K32" s="15"/>
    </row>
    <row r="33" spans="1:10" ht="24.75" customHeight="1">
      <c r="A33" s="133" t="s">
        <v>11</v>
      </c>
      <c r="B33" s="134"/>
      <c r="C33" s="50">
        <f ca="1">SUM(C3:C31)</f>
        <v>1136616.4659057546</v>
      </c>
      <c r="D33" s="50">
        <f ca="1">SUM(D3:D31)</f>
        <v>1584905.264</v>
      </c>
      <c r="E33" s="50">
        <f ca="1">C33-D33</f>
        <v>-448288.79809424537</v>
      </c>
      <c r="F33" s="41">
        <f ca="1">IFERROR(E33/D33, 0)</f>
        <v>-0.28284895525102211</v>
      </c>
      <c r="G33" s="50">
        <f ca="1">SUM(G3:G31)</f>
        <v>1501477.3230000001</v>
      </c>
      <c r="H33" s="51">
        <f ca="1">C33-G33</f>
        <v>-364860.8570942455</v>
      </c>
      <c r="I33" s="42">
        <f ca="1">IFERROR(H33/G33, 0)</f>
        <v>-0.24300124384512298</v>
      </c>
      <c r="J33" s="8"/>
    </row>
    <row r="34" spans="1:10">
      <c r="J34" s="8"/>
    </row>
    <row r="35" spans="1:10" ht="12.75" customHeight="1">
      <c r="A35" s="135" t="s">
        <v>12</v>
      </c>
      <c r="J35" s="8"/>
    </row>
    <row r="36" spans="1:10">
      <c r="A36" s="135"/>
      <c r="J36" s="8"/>
    </row>
    <row r="37" spans="1:10">
      <c r="A37" s="136" t="s">
        <v>13</v>
      </c>
      <c r="J37" s="8"/>
    </row>
    <row r="38" spans="1:10" ht="12.75" customHeight="1">
      <c r="A38" s="136"/>
      <c r="J38" s="8"/>
    </row>
    <row r="39" spans="1:10">
      <c r="J39" s="8"/>
    </row>
  </sheetData>
  <autoFilter ref="A2:I2" xr:uid="{00000000-0001-0000-0000-000000000000}"/>
  <sortState xmlns:xlrd2="http://schemas.microsoft.com/office/spreadsheetml/2017/richdata2" ref="A3:J3">
    <sortCondition ref="A3"/>
  </sortState>
  <mergeCells count="8">
    <mergeCell ref="K1:K2"/>
    <mergeCell ref="A33:B33"/>
    <mergeCell ref="A35:A36"/>
    <mergeCell ref="A37:A38"/>
    <mergeCell ref="A1:B1"/>
    <mergeCell ref="C1:F1"/>
    <mergeCell ref="G1:I1"/>
    <mergeCell ref="J1:J2"/>
  </mergeCells>
  <conditionalFormatting sqref="F3:F33 I3:I33">
    <cfRule type="cellIs" dxfId="533" priority="1" operator="lessThanOrEqual">
      <formula>-0.1</formula>
    </cfRule>
    <cfRule type="cellIs" dxfId="532" priority="2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K39"/>
  <sheetViews>
    <sheetView workbookViewId="0">
      <pane ySplit="2" topLeftCell="A11" activePane="bottomLeft" state="frozen"/>
      <selection pane="bottomLeft" activeCell="G3" sqref="G3:G3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37" t="str" cm="1">
        <f t="array" ref="A1">portfolio</f>
        <v>Greenbacker</v>
      </c>
      <c r="B1" s="138"/>
      <c r="C1" s="139" t="s">
        <v>16</v>
      </c>
      <c r="D1" s="140"/>
      <c r="E1" s="140"/>
      <c r="F1" s="141"/>
      <c r="G1" s="142" t="s">
        <v>17</v>
      </c>
      <c r="H1" s="142"/>
      <c r="I1" s="143"/>
      <c r="J1" s="131" t="s">
        <v>2</v>
      </c>
      <c r="K1" s="131" t="s">
        <v>3</v>
      </c>
    </row>
    <row r="2" spans="1:11" ht="14.25" customHeight="1">
      <c r="A2" s="45" t="s">
        <v>4</v>
      </c>
      <c r="B2" s="46" t="s">
        <v>5</v>
      </c>
      <c r="C2" s="5" t="s">
        <v>6</v>
      </c>
      <c r="D2" s="43" t="s">
        <v>7</v>
      </c>
      <c r="E2" s="5" t="s">
        <v>8</v>
      </c>
      <c r="F2" s="6" t="s">
        <v>9</v>
      </c>
      <c r="G2" s="44" t="s">
        <v>10</v>
      </c>
      <c r="H2" s="7" t="s">
        <v>8</v>
      </c>
      <c r="I2" s="9" t="s">
        <v>9</v>
      </c>
      <c r="J2" s="132"/>
      <c r="K2" s="132"/>
    </row>
    <row r="3" spans="1:11" ht="15.75">
      <c r="A3" s="47" t="str" cm="1">
        <f t="array" ref="A3:A32">Sites[Site]</f>
        <v>10 Walpole Park South</v>
      </c>
      <c r="B3" s="33" t="str" cm="1">
        <f t="array" ref="B3:B32">Sites[State]</f>
        <v>MA</v>
      </c>
      <c r="C3" s="35">
        <f ca="1">SUM(Apr!C3, May!C3, Jun!C3)</f>
        <v>0</v>
      </c>
      <c r="D3" s="35">
        <f ca="1">SUM(Apr!D3, May!D3, Jun!D3)</f>
        <v>0</v>
      </c>
      <c r="E3" s="35">
        <f ca="1">C3-D3</f>
        <v>0</v>
      </c>
      <c r="F3" s="36">
        <f ca="1">IFERROR(E3/D3, 0)</f>
        <v>0</v>
      </c>
      <c r="G3" s="37">
        <f ca="1">SUM(Apr!G3, May!G3, Jun!G3)</f>
        <v>0</v>
      </c>
      <c r="H3" s="37">
        <f ca="1">C3-G3</f>
        <v>0</v>
      </c>
      <c r="I3" s="38">
        <f ca="1">IFERROR(H3/G3, 0)</f>
        <v>0</v>
      </c>
      <c r="J3" s="15"/>
      <c r="K3" s="15"/>
    </row>
    <row r="4" spans="1:11" ht="15.75">
      <c r="A4" s="48" t="str">
        <v>15 Walpole Park South</v>
      </c>
      <c r="B4" s="16" t="str">
        <v>MA</v>
      </c>
      <c r="C4" s="35">
        <f ca="1">SUM(Apr!C4, May!C4, Jun!C4)</f>
        <v>0</v>
      </c>
      <c r="D4" s="35">
        <f ca="1">SUM(Apr!D4, May!D4, Jun!D4)</f>
        <v>0</v>
      </c>
      <c r="E4" s="35">
        <f t="shared" ref="E4:E31" ca="1" si="0">C4-D4</f>
        <v>0</v>
      </c>
      <c r="F4" s="36">
        <f t="shared" ref="F4:F31" ca="1" si="1">IFERROR(E4/D4, 0)</f>
        <v>0</v>
      </c>
      <c r="G4" s="37">
        <f ca="1">SUM(Apr!G4, May!G4, Jun!G4)</f>
        <v>0</v>
      </c>
      <c r="H4" s="37">
        <f t="shared" ref="H4:H31" ca="1" si="2">C4-G4</f>
        <v>0</v>
      </c>
      <c r="I4" s="38">
        <f t="shared" ref="I4:I31" ca="1" si="3">IFERROR(H4/G4, 0)</f>
        <v>0</v>
      </c>
      <c r="J4" s="15"/>
      <c r="K4" s="15"/>
    </row>
    <row r="5" spans="1:11" ht="15.75">
      <c r="A5" s="49" t="str">
        <v>19 Walpole Park South</v>
      </c>
      <c r="B5" s="34" t="str">
        <v>MA</v>
      </c>
      <c r="C5" s="35">
        <f ca="1">SUM(Apr!C5, May!C5, Jun!C5)</f>
        <v>0</v>
      </c>
      <c r="D5" s="35">
        <f ca="1">SUM(Apr!D5, May!D5, Jun!D5)</f>
        <v>0</v>
      </c>
      <c r="E5" s="35">
        <f t="shared" ca="1" si="0"/>
        <v>0</v>
      </c>
      <c r="F5" s="36">
        <f t="shared" ca="1" si="1"/>
        <v>0</v>
      </c>
      <c r="G5" s="37">
        <f ca="1">SUM(Apr!G5, May!G5, Jun!G5)</f>
        <v>0</v>
      </c>
      <c r="H5" s="37">
        <f t="shared" ca="1" si="2"/>
        <v>0</v>
      </c>
      <c r="I5" s="38">
        <f t="shared" ca="1" si="3"/>
        <v>0</v>
      </c>
      <c r="J5" s="15"/>
      <c r="K5" s="15"/>
    </row>
    <row r="6" spans="1:11" ht="15.75">
      <c r="A6" s="48" t="str">
        <v>23 Walpole Park South</v>
      </c>
      <c r="B6" s="16" t="str">
        <v>MA</v>
      </c>
      <c r="C6" s="35">
        <f ca="1">SUM(Apr!C6, May!C6, Jun!C6)</f>
        <v>0</v>
      </c>
      <c r="D6" s="35">
        <f ca="1">SUM(Apr!D6, May!D6, Jun!D6)</f>
        <v>0</v>
      </c>
      <c r="E6" s="35">
        <f t="shared" ca="1" si="0"/>
        <v>0</v>
      </c>
      <c r="F6" s="36">
        <f t="shared" ca="1" si="1"/>
        <v>0</v>
      </c>
      <c r="G6" s="37">
        <f ca="1">SUM(Apr!G6, May!G6, Jun!G6)</f>
        <v>0</v>
      </c>
      <c r="H6" s="37">
        <f t="shared" ca="1" si="2"/>
        <v>0</v>
      </c>
      <c r="I6" s="38">
        <f t="shared" ca="1" si="3"/>
        <v>0</v>
      </c>
      <c r="J6" s="15"/>
      <c r="K6" s="15"/>
    </row>
    <row r="7" spans="1:11" ht="15.75">
      <c r="A7" s="49" t="str">
        <v>24 Walpole Park South</v>
      </c>
      <c r="B7" s="34" t="str">
        <v>MA</v>
      </c>
      <c r="C7" s="35">
        <f ca="1">SUM(Apr!C7, May!C7, Jun!C7)</f>
        <v>0</v>
      </c>
      <c r="D7" s="35">
        <f ca="1">SUM(Apr!D7, May!D7, Jun!D7)</f>
        <v>0</v>
      </c>
      <c r="E7" s="35">
        <f t="shared" ca="1" si="0"/>
        <v>0</v>
      </c>
      <c r="F7" s="36">
        <f t="shared" ca="1" si="1"/>
        <v>0</v>
      </c>
      <c r="G7" s="37">
        <f ca="1">SUM(Apr!G7, May!G7, Jun!G7)</f>
        <v>0</v>
      </c>
      <c r="H7" s="37">
        <f t="shared" ca="1" si="2"/>
        <v>0</v>
      </c>
      <c r="I7" s="38">
        <f t="shared" ca="1" si="3"/>
        <v>0</v>
      </c>
      <c r="J7" s="17"/>
      <c r="K7" s="17"/>
    </row>
    <row r="8" spans="1:11" ht="15.75">
      <c r="A8" s="48" t="str">
        <v>25 Walpole Park South</v>
      </c>
      <c r="B8" s="16" t="str">
        <v>MA</v>
      </c>
      <c r="C8" s="35">
        <f ca="1">SUM(Apr!C8, May!C8, Jun!C8)</f>
        <v>0</v>
      </c>
      <c r="D8" s="35">
        <f ca="1">SUM(Apr!D8, May!D8, Jun!D8)</f>
        <v>0</v>
      </c>
      <c r="E8" s="35">
        <f t="shared" ca="1" si="0"/>
        <v>0</v>
      </c>
      <c r="F8" s="36">
        <f t="shared" ca="1" si="1"/>
        <v>0</v>
      </c>
      <c r="G8" s="37">
        <f ca="1">SUM(Apr!G8, May!G8, Jun!G8)</f>
        <v>0</v>
      </c>
      <c r="H8" s="37">
        <f t="shared" ca="1" si="2"/>
        <v>0</v>
      </c>
      <c r="I8" s="38">
        <f t="shared" ca="1" si="3"/>
        <v>0</v>
      </c>
      <c r="J8" s="15"/>
      <c r="K8" s="15"/>
    </row>
    <row r="9" spans="1:11" ht="15.75">
      <c r="A9" s="49" t="str">
        <v>3 Walpole Park South</v>
      </c>
      <c r="B9" s="34" t="str">
        <v>MA</v>
      </c>
      <c r="C9" s="35">
        <f ca="1">SUM(Apr!C9, May!C9, Jun!C9)</f>
        <v>0</v>
      </c>
      <c r="D9" s="35">
        <f ca="1">SUM(Apr!D9, May!D9, Jun!D9)</f>
        <v>0</v>
      </c>
      <c r="E9" s="35">
        <f t="shared" ca="1" si="0"/>
        <v>0</v>
      </c>
      <c r="F9" s="36">
        <f t="shared" ca="1" si="1"/>
        <v>0</v>
      </c>
      <c r="G9" s="37">
        <f ca="1">SUM(Apr!G9, May!G9, Jun!G9)</f>
        <v>0</v>
      </c>
      <c r="H9" s="37">
        <f t="shared" ca="1" si="2"/>
        <v>0</v>
      </c>
      <c r="I9" s="38">
        <f t="shared" ca="1" si="3"/>
        <v>0</v>
      </c>
      <c r="J9" s="18"/>
      <c r="K9" s="19"/>
    </row>
    <row r="10" spans="1:11" ht="15.75">
      <c r="A10" s="48" t="str">
        <v>4 Walpole Park South</v>
      </c>
      <c r="B10" s="16" t="str">
        <v>MA</v>
      </c>
      <c r="C10" s="35">
        <f ca="1">SUM(Apr!C10, May!C10, Jun!C10)</f>
        <v>0</v>
      </c>
      <c r="D10" s="35">
        <f ca="1">SUM(Apr!D10, May!D10, Jun!D10)</f>
        <v>0</v>
      </c>
      <c r="E10" s="35">
        <f t="shared" ca="1" si="0"/>
        <v>0</v>
      </c>
      <c r="F10" s="36">
        <f t="shared" ca="1" si="1"/>
        <v>0</v>
      </c>
      <c r="G10" s="37">
        <f ca="1">SUM(Apr!G10, May!G10, Jun!G10)</f>
        <v>0</v>
      </c>
      <c r="H10" s="37">
        <f t="shared" ca="1" si="2"/>
        <v>0</v>
      </c>
      <c r="I10" s="38">
        <f t="shared" ca="1" si="3"/>
        <v>0</v>
      </c>
      <c r="J10" s="15"/>
      <c r="K10" s="15"/>
    </row>
    <row r="11" spans="1:11" ht="15.75">
      <c r="A11" s="49" t="str">
        <v>Brockton</v>
      </c>
      <c r="B11" s="34" t="str">
        <v>MA</v>
      </c>
      <c r="C11" s="35">
        <f ca="1">SUM(Apr!C11, May!C11, Jun!C11)</f>
        <v>0</v>
      </c>
      <c r="D11" s="35">
        <f ca="1">SUM(Apr!D11, May!D11, Jun!D11)</f>
        <v>0</v>
      </c>
      <c r="E11" s="35">
        <f t="shared" ref="E11:E29" ca="1" si="4">C11-D11</f>
        <v>0</v>
      </c>
      <c r="F11" s="36">
        <f t="shared" ca="1" si="1"/>
        <v>0</v>
      </c>
      <c r="G11" s="37">
        <f ca="1">SUM(Apr!G11, May!G11, Jun!G11)</f>
        <v>0</v>
      </c>
      <c r="H11" s="37">
        <f t="shared" ca="1" si="2"/>
        <v>0</v>
      </c>
      <c r="I11" s="38">
        <f t="shared" ca="1" si="3"/>
        <v>0</v>
      </c>
      <c r="J11" s="15"/>
      <c r="K11" s="15"/>
    </row>
    <row r="12" spans="1:11" ht="15.75">
      <c r="A12" s="48" t="str">
        <v>Canton</v>
      </c>
      <c r="B12" s="16" t="str">
        <v>MA</v>
      </c>
      <c r="C12" s="35">
        <f ca="1">SUM(Apr!C12, May!C12, Jun!C12)</f>
        <v>0</v>
      </c>
      <c r="D12" s="35">
        <f ca="1">SUM(Apr!D12, May!D12, Jun!D12)</f>
        <v>0</v>
      </c>
      <c r="E12" s="35">
        <f t="shared" ca="1" si="4"/>
        <v>0</v>
      </c>
      <c r="F12" s="36">
        <f t="shared" ca="1" si="1"/>
        <v>0</v>
      </c>
      <c r="G12" s="37">
        <f ca="1">SUM(Apr!G12, May!G12, Jun!G12)</f>
        <v>0</v>
      </c>
      <c r="H12" s="37">
        <f t="shared" ca="1" si="2"/>
        <v>0</v>
      </c>
      <c r="I12" s="38">
        <f t="shared" ca="1" si="3"/>
        <v>0</v>
      </c>
      <c r="J12" s="15"/>
      <c r="K12" s="15"/>
    </row>
    <row r="13" spans="1:11" ht="15.75">
      <c r="A13" s="49" t="str">
        <v>Chelsea</v>
      </c>
      <c r="B13" s="34" t="str">
        <v>MA</v>
      </c>
      <c r="C13" s="35">
        <f ca="1">SUM(Apr!C13, May!C13, Jun!C13)</f>
        <v>0</v>
      </c>
      <c r="D13" s="35">
        <f ca="1">SUM(Apr!D13, May!D13, Jun!D13)</f>
        <v>0</v>
      </c>
      <c r="E13" s="35">
        <f t="shared" ca="1" si="4"/>
        <v>0</v>
      </c>
      <c r="F13" s="36">
        <f t="shared" ca="1" si="1"/>
        <v>0</v>
      </c>
      <c r="G13" s="37">
        <f ca="1">SUM(Apr!G13, May!G13, Jun!G13)</f>
        <v>0</v>
      </c>
      <c r="H13" s="37">
        <f t="shared" ca="1" si="2"/>
        <v>0</v>
      </c>
      <c r="I13" s="38">
        <f t="shared" ca="1" si="3"/>
        <v>0</v>
      </c>
      <c r="J13" s="15"/>
      <c r="K13" s="15"/>
    </row>
    <row r="14" spans="1:11" ht="15.75">
      <c r="A14" s="48" t="str">
        <v>Hamilton Landfill</v>
      </c>
      <c r="B14" s="16" t="str">
        <v>MA</v>
      </c>
      <c r="C14" s="35">
        <f ca="1">SUM(Apr!C14, May!C14, Jun!C14)</f>
        <v>0</v>
      </c>
      <c r="D14" s="35">
        <f ca="1">SUM(Apr!D14, May!D14, Jun!D14)</f>
        <v>0</v>
      </c>
      <c r="E14" s="35">
        <f t="shared" ca="1" si="4"/>
        <v>0</v>
      </c>
      <c r="F14" s="36">
        <f t="shared" ca="1" si="1"/>
        <v>0</v>
      </c>
      <c r="G14" s="37">
        <f ca="1">SUM(Apr!G14, May!G14, Jun!G14)</f>
        <v>0</v>
      </c>
      <c r="H14" s="37">
        <f t="shared" ca="1" si="2"/>
        <v>0</v>
      </c>
      <c r="I14" s="38">
        <f t="shared" ca="1" si="3"/>
        <v>0</v>
      </c>
      <c r="J14" s="15"/>
      <c r="K14" s="15"/>
    </row>
    <row r="15" spans="1:11" ht="15.75">
      <c r="A15" s="49" t="str">
        <v>Holliston</v>
      </c>
      <c r="B15" s="34" t="str">
        <v>MA</v>
      </c>
      <c r="C15" s="35">
        <f ca="1">SUM(Apr!C15, May!C15, Jun!C15)</f>
        <v>0</v>
      </c>
      <c r="D15" s="35">
        <f ca="1">SUM(Apr!D15, May!D15, Jun!D15)</f>
        <v>0</v>
      </c>
      <c r="E15" s="35">
        <f t="shared" ca="1" si="4"/>
        <v>0</v>
      </c>
      <c r="F15" s="36">
        <f t="shared" ca="1" si="1"/>
        <v>0</v>
      </c>
      <c r="G15" s="37">
        <f ca="1">SUM(Apr!G15, May!G15, Jun!G15)</f>
        <v>0</v>
      </c>
      <c r="H15" s="37">
        <f t="shared" ca="1" si="2"/>
        <v>0</v>
      </c>
      <c r="I15" s="38">
        <f t="shared" ca="1" si="3"/>
        <v>0</v>
      </c>
      <c r="J15" s="15"/>
      <c r="K15" s="15"/>
    </row>
    <row r="16" spans="1:11" ht="15.75">
      <c r="A16" s="48" t="str">
        <v>Natick HS - Carports</v>
      </c>
      <c r="B16" s="16" t="str">
        <v>MA</v>
      </c>
      <c r="C16" s="35">
        <f ca="1">SUM(Apr!C16, May!C16, Jun!C16)</f>
        <v>0</v>
      </c>
      <c r="D16" s="35">
        <f ca="1">SUM(Apr!D16, May!D16, Jun!D16)</f>
        <v>0</v>
      </c>
      <c r="E16" s="35">
        <f t="shared" ca="1" si="4"/>
        <v>0</v>
      </c>
      <c r="F16" s="36">
        <f t="shared" ca="1" si="1"/>
        <v>0</v>
      </c>
      <c r="G16" s="37">
        <f ca="1">SUM(Apr!G16, May!G16, Jun!G16)</f>
        <v>0</v>
      </c>
      <c r="H16" s="37">
        <f t="shared" ca="1" si="2"/>
        <v>0</v>
      </c>
      <c r="I16" s="38">
        <f t="shared" ca="1" si="3"/>
        <v>0</v>
      </c>
      <c r="J16" s="15"/>
      <c r="K16" s="15"/>
    </row>
    <row r="17" spans="1:11" ht="15.75">
      <c r="A17" s="49" t="str">
        <v>Norton</v>
      </c>
      <c r="B17" s="34" t="str">
        <v>MA</v>
      </c>
      <c r="C17" s="35">
        <f ca="1">SUM(Apr!C17, May!C17, Jun!C17)</f>
        <v>0</v>
      </c>
      <c r="D17" s="35">
        <f ca="1">SUM(Apr!D17, May!D17, Jun!D17)</f>
        <v>0</v>
      </c>
      <c r="E17" s="35">
        <f t="shared" ca="1" si="4"/>
        <v>0</v>
      </c>
      <c r="F17" s="36">
        <f t="shared" ca="1" si="1"/>
        <v>0</v>
      </c>
      <c r="G17" s="37">
        <f ca="1">SUM(Apr!G17, May!G17, Jun!G17)</f>
        <v>0</v>
      </c>
      <c r="H17" s="37">
        <f t="shared" ca="1" si="2"/>
        <v>0</v>
      </c>
      <c r="I17" s="38">
        <f t="shared" ca="1" si="3"/>
        <v>0</v>
      </c>
      <c r="J17" s="15"/>
      <c r="K17" s="15"/>
    </row>
    <row r="18" spans="1:11" ht="15.75">
      <c r="A18" s="48" t="str">
        <v>Palmer - Boston Rd.</v>
      </c>
      <c r="B18" s="16" t="str">
        <v>MA</v>
      </c>
      <c r="C18" s="35">
        <f ca="1">SUM(Apr!C18, May!C18, Jun!C18)</f>
        <v>0</v>
      </c>
      <c r="D18" s="35">
        <f ca="1">SUM(Apr!D18, May!D18, Jun!D18)</f>
        <v>0</v>
      </c>
      <c r="E18" s="35">
        <f t="shared" ref="E18:E24" ca="1" si="5">C18-D18</f>
        <v>0</v>
      </c>
      <c r="F18" s="36">
        <f t="shared" ref="F18:F24" ca="1" si="6">IFERROR(E18/D18, 0)</f>
        <v>0</v>
      </c>
      <c r="G18" s="37">
        <f ca="1">SUM(Apr!G18, May!G18, Jun!G18)</f>
        <v>0</v>
      </c>
      <c r="H18" s="37">
        <f t="shared" ref="H18:H24" ca="1" si="7">C18-G18</f>
        <v>0</v>
      </c>
      <c r="I18" s="38">
        <f t="shared" ref="I18:I24" ca="1" si="8">IFERROR(H18/G18, 0)</f>
        <v>0</v>
      </c>
      <c r="J18" s="15"/>
      <c r="K18" s="15"/>
    </row>
    <row r="19" spans="1:11" ht="15.75">
      <c r="A19" s="49" t="str">
        <v>Shirley Bartkus</v>
      </c>
      <c r="B19" s="34" t="str">
        <v>MA</v>
      </c>
      <c r="C19" s="35">
        <f ca="1">SUM(Apr!C19, May!C19, Jun!C19)</f>
        <v>0</v>
      </c>
      <c r="D19" s="35">
        <f ca="1">SUM(Apr!D19, May!D19, Jun!D19)</f>
        <v>0</v>
      </c>
      <c r="E19" s="35">
        <f t="shared" ca="1" si="5"/>
        <v>0</v>
      </c>
      <c r="F19" s="36">
        <f t="shared" ca="1" si="6"/>
        <v>0</v>
      </c>
      <c r="G19" s="37">
        <f ca="1">SUM(Apr!G19, May!G19, Jun!G19)</f>
        <v>0</v>
      </c>
      <c r="H19" s="37">
        <f t="shared" ca="1" si="7"/>
        <v>0</v>
      </c>
      <c r="I19" s="38">
        <f t="shared" ca="1" si="8"/>
        <v>0</v>
      </c>
      <c r="J19" s="15"/>
      <c r="K19" s="15"/>
    </row>
    <row r="20" spans="1:11" ht="15.75">
      <c r="A20" s="48" t="str">
        <v>Stoughton</v>
      </c>
      <c r="B20" s="16" t="str">
        <v>MA</v>
      </c>
      <c r="C20" s="35">
        <f ca="1">SUM(Apr!C20, May!C20, Jun!C20)</f>
        <v>0</v>
      </c>
      <c r="D20" s="35">
        <f ca="1">SUM(Apr!D20, May!D20, Jun!D20)</f>
        <v>0</v>
      </c>
      <c r="E20" s="35">
        <f t="shared" ca="1" si="5"/>
        <v>0</v>
      </c>
      <c r="F20" s="36">
        <f t="shared" ca="1" si="6"/>
        <v>0</v>
      </c>
      <c r="G20" s="37">
        <f ca="1">SUM(Apr!G20, May!G20, Jun!G20)</f>
        <v>0</v>
      </c>
      <c r="H20" s="37">
        <f t="shared" ca="1" si="7"/>
        <v>0</v>
      </c>
      <c r="I20" s="38">
        <f t="shared" ca="1" si="8"/>
        <v>0</v>
      </c>
      <c r="J20" s="15"/>
      <c r="K20" s="15"/>
    </row>
    <row r="21" spans="1:11" ht="15.75">
      <c r="A21" s="49" t="str">
        <v>Wellfleet Landfill</v>
      </c>
      <c r="B21" s="34" t="str">
        <v>MA</v>
      </c>
      <c r="C21" s="35">
        <f ca="1">SUM(Apr!C21, May!C21, Jun!C21)</f>
        <v>0</v>
      </c>
      <c r="D21" s="35">
        <f ca="1">SUM(Apr!D21, May!D21, Jun!D21)</f>
        <v>0</v>
      </c>
      <c r="E21" s="35">
        <f t="shared" ca="1" si="5"/>
        <v>0</v>
      </c>
      <c r="F21" s="36">
        <f t="shared" ca="1" si="6"/>
        <v>0</v>
      </c>
      <c r="G21" s="37">
        <f ca="1">SUM(Apr!G21, May!G21, Jun!G21)</f>
        <v>0</v>
      </c>
      <c r="H21" s="37">
        <f t="shared" ca="1" si="7"/>
        <v>0</v>
      </c>
      <c r="I21" s="38">
        <f t="shared" ca="1" si="8"/>
        <v>0</v>
      </c>
      <c r="J21" s="15"/>
      <c r="K21" s="15"/>
    </row>
    <row r="22" spans="1:11" ht="15.75">
      <c r="A22" s="48" t="str">
        <v>Wilmington Garage &amp; Building 7</v>
      </c>
      <c r="B22" s="16" t="str">
        <v>MA</v>
      </c>
      <c r="C22" s="35">
        <f ca="1">SUM(Apr!C22, May!C22, Jun!C22)</f>
        <v>0</v>
      </c>
      <c r="D22" s="35">
        <f ca="1">SUM(Apr!D22, May!D22, Jun!D22)</f>
        <v>0</v>
      </c>
      <c r="E22" s="35">
        <f t="shared" ca="1" si="5"/>
        <v>0</v>
      </c>
      <c r="F22" s="36">
        <f t="shared" ca="1" si="6"/>
        <v>0</v>
      </c>
      <c r="G22" s="37">
        <f ca="1">SUM(Apr!G22, May!G22, Jun!G22)</f>
        <v>0</v>
      </c>
      <c r="H22" s="37">
        <f t="shared" ca="1" si="7"/>
        <v>0</v>
      </c>
      <c r="I22" s="38">
        <f t="shared" ca="1" si="8"/>
        <v>0</v>
      </c>
      <c r="J22" s="15"/>
      <c r="K22" s="15"/>
    </row>
    <row r="23" spans="1:11" ht="15.75">
      <c r="A23" s="49" t="str">
        <v>Woburn</v>
      </c>
      <c r="B23" s="34" t="str">
        <v>MA</v>
      </c>
      <c r="C23" s="35">
        <f ca="1">SUM(Apr!C23, May!C23, Jun!C23)</f>
        <v>0</v>
      </c>
      <c r="D23" s="35">
        <f ca="1">SUM(Apr!D23, May!D23, Jun!D23)</f>
        <v>0</v>
      </c>
      <c r="E23" s="35">
        <f t="shared" ca="1" si="5"/>
        <v>0</v>
      </c>
      <c r="F23" s="36">
        <f t="shared" ca="1" si="6"/>
        <v>0</v>
      </c>
      <c r="G23" s="37">
        <f ca="1">SUM(Apr!G23, May!G23, Jun!G23)</f>
        <v>0</v>
      </c>
      <c r="H23" s="37">
        <f t="shared" ca="1" si="7"/>
        <v>0</v>
      </c>
      <c r="I23" s="38">
        <f t="shared" ca="1" si="8"/>
        <v>0</v>
      </c>
      <c r="J23" s="15"/>
      <c r="K23" s="15"/>
    </row>
    <row r="24" spans="1:11" ht="15.75">
      <c r="A24" s="48" t="str">
        <v>Friendship Solar 1</v>
      </c>
      <c r="B24" s="16" t="str">
        <v>MD</v>
      </c>
      <c r="C24" s="35">
        <f ca="1">SUM(Apr!C24, May!C24, Jun!C24)</f>
        <v>0</v>
      </c>
      <c r="D24" s="35">
        <f ca="1">SUM(Apr!D24, May!D24, Jun!D24)</f>
        <v>0</v>
      </c>
      <c r="E24" s="35">
        <f t="shared" ca="1" si="5"/>
        <v>0</v>
      </c>
      <c r="F24" s="36">
        <f t="shared" ca="1" si="6"/>
        <v>0</v>
      </c>
      <c r="G24" s="37">
        <f ca="1">SUM(Apr!G24, May!G24, Jun!G24)</f>
        <v>0</v>
      </c>
      <c r="H24" s="37">
        <f t="shared" ca="1" si="7"/>
        <v>0</v>
      </c>
      <c r="I24" s="38">
        <f t="shared" ca="1" si="8"/>
        <v>0</v>
      </c>
      <c r="J24" s="15"/>
      <c r="K24" s="15"/>
    </row>
    <row r="25" spans="1:11" ht="15.75">
      <c r="A25" s="48" t="str">
        <v>Friendship Solar 2</v>
      </c>
      <c r="B25" s="16" t="str">
        <v>MD</v>
      </c>
      <c r="C25" s="35">
        <f ca="1">SUM(Apr!C25, May!C25, Jun!C25)</f>
        <v>0</v>
      </c>
      <c r="D25" s="35">
        <f ca="1">SUM(Apr!D25, May!D25, Jun!D25)</f>
        <v>0</v>
      </c>
      <c r="E25" s="35">
        <f t="shared" ca="1" si="4"/>
        <v>0</v>
      </c>
      <c r="F25" s="36">
        <f t="shared" ca="1" si="1"/>
        <v>0</v>
      </c>
      <c r="G25" s="37">
        <f ca="1">SUM(Apr!G25, May!G25, Jun!G25)</f>
        <v>0</v>
      </c>
      <c r="H25" s="37">
        <f t="shared" ca="1" si="2"/>
        <v>0</v>
      </c>
      <c r="I25" s="38">
        <f t="shared" ca="1" si="3"/>
        <v>0</v>
      </c>
      <c r="J25" s="15"/>
      <c r="K25" s="15"/>
    </row>
    <row r="26" spans="1:11" ht="15.75">
      <c r="A26" s="49" t="str">
        <v>101 Carnegie Center</v>
      </c>
      <c r="B26" s="34" t="str">
        <v>NJ</v>
      </c>
      <c r="C26" s="35">
        <f ca="1">SUM(Apr!C26, May!C26, Jun!C26)</f>
        <v>0</v>
      </c>
      <c r="D26" s="35">
        <f ca="1">SUM(Apr!D26, May!D26, Jun!D26)</f>
        <v>0</v>
      </c>
      <c r="E26" s="35">
        <f t="shared" ca="1" si="4"/>
        <v>0</v>
      </c>
      <c r="F26" s="36">
        <f t="shared" ca="1" si="1"/>
        <v>0</v>
      </c>
      <c r="G26" s="37">
        <f ca="1">SUM(Apr!G26, May!G26, Jun!G26)</f>
        <v>0</v>
      </c>
      <c r="H26" s="37">
        <f t="shared" ca="1" si="2"/>
        <v>0</v>
      </c>
      <c r="I26" s="38">
        <f t="shared" ca="1" si="3"/>
        <v>0</v>
      </c>
      <c r="J26" s="15"/>
      <c r="K26" s="15"/>
    </row>
    <row r="27" spans="1:11" ht="15.75">
      <c r="A27" s="48" t="str">
        <v>302 Carnegie Center</v>
      </c>
      <c r="B27" s="16" t="str">
        <v>NJ</v>
      </c>
      <c r="C27" s="35">
        <f ca="1">SUM(Apr!C27, May!C27, Jun!C27)</f>
        <v>0</v>
      </c>
      <c r="D27" s="35">
        <f ca="1">SUM(Apr!D27, May!D27, Jun!D27)</f>
        <v>0</v>
      </c>
      <c r="E27" s="35">
        <f t="shared" ca="1" si="4"/>
        <v>0</v>
      </c>
      <c r="F27" s="36">
        <f t="shared" ca="1" si="1"/>
        <v>0</v>
      </c>
      <c r="G27" s="37">
        <f ca="1">SUM(Apr!G27, May!G27, Jun!G27)</f>
        <v>0</v>
      </c>
      <c r="H27" s="37">
        <f t="shared" ca="1" si="2"/>
        <v>0</v>
      </c>
      <c r="I27" s="38">
        <f t="shared" ca="1" si="3"/>
        <v>0</v>
      </c>
      <c r="J27" s="15"/>
      <c r="K27" s="15"/>
    </row>
    <row r="28" spans="1:11" ht="15.75">
      <c r="A28" s="49" t="str">
        <v>510 Carnegie Center</v>
      </c>
      <c r="B28" s="34" t="str">
        <v>NJ</v>
      </c>
      <c r="C28" s="35">
        <f ca="1">SUM(Apr!C28, May!C28, Jun!C28)</f>
        <v>0</v>
      </c>
      <c r="D28" s="35">
        <f ca="1">SUM(Apr!D28, May!D28, Jun!D28)</f>
        <v>0</v>
      </c>
      <c r="E28" s="35">
        <f t="shared" ca="1" si="4"/>
        <v>0</v>
      </c>
      <c r="F28" s="36">
        <f t="shared" ca="1" si="1"/>
        <v>0</v>
      </c>
      <c r="G28" s="37">
        <f ca="1">SUM(Apr!G28, May!G28, Jun!G28)</f>
        <v>0</v>
      </c>
      <c r="H28" s="37">
        <f t="shared" ca="1" si="2"/>
        <v>0</v>
      </c>
      <c r="I28" s="38">
        <f t="shared" ca="1" si="3"/>
        <v>0</v>
      </c>
      <c r="J28" s="15"/>
      <c r="K28" s="15"/>
    </row>
    <row r="29" spans="1:11" ht="15.75">
      <c r="A29" s="48" t="str">
        <v>701 Carnegie Center</v>
      </c>
      <c r="B29" s="16" t="str">
        <v>NJ</v>
      </c>
      <c r="C29" s="35">
        <f ca="1">SUM(Apr!C29, May!C29, Jun!C29)</f>
        <v>0</v>
      </c>
      <c r="D29" s="35">
        <f ca="1">SUM(Apr!D29, May!D29, Jun!D29)</f>
        <v>0</v>
      </c>
      <c r="E29" s="35">
        <f t="shared" ca="1" si="4"/>
        <v>0</v>
      </c>
      <c r="F29" s="36">
        <f t="shared" ca="1" si="1"/>
        <v>0</v>
      </c>
      <c r="G29" s="37">
        <f ca="1">SUM(Apr!G29, May!G29, Jun!G29)</f>
        <v>0</v>
      </c>
      <c r="H29" s="37">
        <f t="shared" ca="1" si="2"/>
        <v>0</v>
      </c>
      <c r="I29" s="38">
        <f t="shared" ca="1" si="3"/>
        <v>0</v>
      </c>
      <c r="J29" s="15"/>
      <c r="K29" s="15"/>
    </row>
    <row r="30" spans="1:11" ht="15.75">
      <c r="A30" s="49" t="str">
        <v>Hudson County Correction</v>
      </c>
      <c r="B30" s="34" t="str">
        <v>NJ</v>
      </c>
      <c r="C30" s="35">
        <f ca="1">SUM(Apr!C30, May!C30, Jun!C30)</f>
        <v>0</v>
      </c>
      <c r="D30" s="35">
        <f ca="1">SUM(Apr!D30, May!D30, Jun!D30)</f>
        <v>0</v>
      </c>
      <c r="E30" s="35">
        <f t="shared" ca="1" si="0"/>
        <v>0</v>
      </c>
      <c r="F30" s="36">
        <f t="shared" ca="1" si="1"/>
        <v>0</v>
      </c>
      <c r="G30" s="37">
        <f ca="1">SUM(Apr!G30, May!G30, Jun!G30)</f>
        <v>0</v>
      </c>
      <c r="H30" s="37">
        <f t="shared" ca="1" si="2"/>
        <v>0</v>
      </c>
      <c r="I30" s="38">
        <f t="shared" ca="1" si="3"/>
        <v>0</v>
      </c>
      <c r="J30" s="18"/>
      <c r="K30" s="19"/>
    </row>
    <row r="31" spans="1:11" ht="15.75">
      <c r="A31" s="48" t="str">
        <v>ER Bison Solar</v>
      </c>
      <c r="B31" s="16" t="str">
        <v>PA</v>
      </c>
      <c r="C31" s="35">
        <f ca="1">SUM(Apr!C31, May!C31, Jun!C31)</f>
        <v>0</v>
      </c>
      <c r="D31" s="35">
        <f ca="1">SUM(Apr!D31, May!D31, Jun!D31)</f>
        <v>0</v>
      </c>
      <c r="E31" s="35">
        <f t="shared" ca="1" si="0"/>
        <v>0</v>
      </c>
      <c r="F31" s="36">
        <f t="shared" ca="1" si="1"/>
        <v>0</v>
      </c>
      <c r="G31" s="37">
        <f ca="1">SUM(Apr!G31, May!G31, Jun!G31)</f>
        <v>0</v>
      </c>
      <c r="H31" s="37">
        <f t="shared" ca="1" si="2"/>
        <v>0</v>
      </c>
      <c r="I31" s="38">
        <f t="shared" ca="1" si="3"/>
        <v>0</v>
      </c>
      <c r="J31" s="15"/>
      <c r="K31" s="15"/>
    </row>
    <row r="32" spans="1:11" ht="15.75">
      <c r="A32" s="113" t="str">
        <v>Danville</v>
      </c>
      <c r="B32" s="114" t="str">
        <v>IL</v>
      </c>
      <c r="C32" s="35">
        <f ca="1">SUM(Apr!C32, May!C32, Jun!C32)</f>
        <v>0</v>
      </c>
      <c r="D32" s="35">
        <f ca="1">SUM(Apr!D32, May!D32, Jun!D32)</f>
        <v>0</v>
      </c>
      <c r="E32" s="35">
        <f t="shared" ref="E32" ca="1" si="9">C32-D32</f>
        <v>0</v>
      </c>
      <c r="F32" s="36">
        <f t="shared" ref="F32" ca="1" si="10">IFERROR(E32/D32, 0)</f>
        <v>0</v>
      </c>
      <c r="G32" s="37">
        <f ca="1">SUM(Apr!G32, May!G32, Jun!G32)</f>
        <v>0</v>
      </c>
      <c r="H32" s="37">
        <f t="shared" ref="H32" ca="1" si="11">C32-G32</f>
        <v>0</v>
      </c>
      <c r="I32" s="38">
        <f t="shared" ref="I32" ca="1" si="12">IFERROR(H32/G32, 0)</f>
        <v>0</v>
      </c>
      <c r="J32" s="15"/>
      <c r="K32" s="15"/>
    </row>
    <row r="33" spans="1:10" ht="24.75" customHeight="1">
      <c r="A33" s="133" t="s">
        <v>11</v>
      </c>
      <c r="B33" s="134"/>
      <c r="C33" s="50">
        <f ca="1">SUM(C3:C31)</f>
        <v>0</v>
      </c>
      <c r="D33" s="50">
        <f ca="1">SUM(D3:D31)</f>
        <v>0</v>
      </c>
      <c r="E33" s="50">
        <f ca="1">C33-D33</f>
        <v>0</v>
      </c>
      <c r="F33" s="41">
        <f ca="1">IFERROR(E33/D33, 0)</f>
        <v>0</v>
      </c>
      <c r="G33" s="50">
        <f ca="1">SUM(G3:G31)</f>
        <v>0</v>
      </c>
      <c r="H33" s="51">
        <f ca="1">C33-G33</f>
        <v>0</v>
      </c>
      <c r="I33" s="42">
        <f ca="1">IFERROR(H33/G33, 0)</f>
        <v>0</v>
      </c>
      <c r="J33" s="8"/>
    </row>
    <row r="34" spans="1:10">
      <c r="J34" s="8"/>
    </row>
    <row r="35" spans="1:10" ht="12.75" customHeight="1">
      <c r="A35" s="135" t="s">
        <v>12</v>
      </c>
      <c r="J35" s="8"/>
    </row>
    <row r="36" spans="1:10">
      <c r="A36" s="135"/>
      <c r="J36" s="8"/>
    </row>
    <row r="37" spans="1:10">
      <c r="A37" s="136" t="s">
        <v>13</v>
      </c>
      <c r="J37" s="8"/>
    </row>
    <row r="38" spans="1:10" ht="12.75" customHeight="1">
      <c r="A38" s="136"/>
      <c r="J38" s="8"/>
    </row>
    <row r="39" spans="1:10">
      <c r="J39" s="8"/>
    </row>
  </sheetData>
  <autoFilter ref="A2:I2" xr:uid="{38E74E64-E3A4-43F8-9B1A-78F26543F23E}"/>
  <sortState xmlns:xlrd2="http://schemas.microsoft.com/office/spreadsheetml/2017/richdata2" ref="A3:J4">
    <sortCondition ref="A3:A4"/>
  </sortState>
  <mergeCells count="8">
    <mergeCell ref="K1:K2"/>
    <mergeCell ref="A33:B33"/>
    <mergeCell ref="A35:A36"/>
    <mergeCell ref="A37:A38"/>
    <mergeCell ref="A1:B1"/>
    <mergeCell ref="C1:F1"/>
    <mergeCell ref="G1:I1"/>
    <mergeCell ref="J1:J2"/>
  </mergeCells>
  <conditionalFormatting sqref="F3:F33 I3:I33">
    <cfRule type="cellIs" dxfId="531" priority="1" operator="lessThanOrEqual">
      <formula>-0.1</formula>
    </cfRule>
    <cfRule type="cellIs" dxfId="530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38"/>
  <sheetViews>
    <sheetView zoomScale="90" zoomScaleNormal="90" workbookViewId="0">
      <pane ySplit="2" topLeftCell="A8" activePane="bottomLeft" state="frozen"/>
      <selection pane="bottomLeft" activeCell="G3" sqref="G3:G32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37" t="str" cm="1">
        <f t="array" ref="A1">portfolio</f>
        <v>Greenbacker</v>
      </c>
      <c r="B1" s="138"/>
      <c r="C1" s="139" t="s">
        <v>18</v>
      </c>
      <c r="D1" s="140"/>
      <c r="E1" s="140"/>
      <c r="F1" s="141"/>
      <c r="G1" s="142" t="s">
        <v>19</v>
      </c>
      <c r="H1" s="142"/>
      <c r="I1" s="143"/>
      <c r="J1" s="131" t="s">
        <v>2</v>
      </c>
      <c r="K1" s="131" t="s">
        <v>3</v>
      </c>
    </row>
    <row r="2" spans="1:11" ht="14.25" customHeight="1">
      <c r="A2" s="45" t="s">
        <v>4</v>
      </c>
      <c r="B2" s="46" t="s">
        <v>5</v>
      </c>
      <c r="C2" s="5" t="s">
        <v>6</v>
      </c>
      <c r="D2" s="43" t="s">
        <v>7</v>
      </c>
      <c r="E2" s="5" t="s">
        <v>8</v>
      </c>
      <c r="F2" s="6" t="s">
        <v>9</v>
      </c>
      <c r="G2" s="44" t="s">
        <v>10</v>
      </c>
      <c r="H2" s="7" t="s">
        <v>8</v>
      </c>
      <c r="I2" s="9" t="s">
        <v>9</v>
      </c>
      <c r="J2" s="132"/>
      <c r="K2" s="132"/>
    </row>
    <row r="3" spans="1:11" ht="15.75">
      <c r="A3" s="47" t="str" cm="1">
        <f t="array" ref="A3:A32">Sites[Site]</f>
        <v>10 Walpole Park South</v>
      </c>
      <c r="B3" s="33" t="str" cm="1">
        <f t="array" ref="B3:B32">Sites[State]</f>
        <v>MA</v>
      </c>
      <c r="C3" s="35">
        <f ca="1">SUM(Jul!C3, Aug!C3, Sep!C3)</f>
        <v>0</v>
      </c>
      <c r="D3" s="35">
        <f ca="1">SUM(Jul!D3, Aug!D3, Sep!D3)</f>
        <v>0</v>
      </c>
      <c r="E3" s="35">
        <f ca="1">C3-D3</f>
        <v>0</v>
      </c>
      <c r="F3" s="36">
        <f ca="1">IFERROR(E3/D3, 0)</f>
        <v>0</v>
      </c>
      <c r="G3" s="37">
        <f ca="1">SUM(Jul!G3, Aug!G3, Sep!G3)</f>
        <v>0</v>
      </c>
      <c r="H3" s="37">
        <f ca="1">C3-G3</f>
        <v>0</v>
      </c>
      <c r="I3" s="38">
        <f ca="1">IFERROR(H3/G3, 0)</f>
        <v>0</v>
      </c>
      <c r="J3" s="15"/>
      <c r="K3" s="15"/>
    </row>
    <row r="4" spans="1:11" ht="15.75">
      <c r="A4" s="48" t="str">
        <v>15 Walpole Park South</v>
      </c>
      <c r="B4" s="16" t="str">
        <v>MA</v>
      </c>
      <c r="C4" s="35">
        <f ca="1">SUM(Jul!C4, Aug!C4, Sep!C4)</f>
        <v>0</v>
      </c>
      <c r="D4" s="35">
        <f ca="1">SUM(Jul!D4, Aug!D4, Sep!D4)</f>
        <v>0</v>
      </c>
      <c r="E4" s="35">
        <f t="shared" ref="E4:E31" ca="1" si="0">C4-D4</f>
        <v>0</v>
      </c>
      <c r="F4" s="36">
        <f t="shared" ref="F4:F31" ca="1" si="1">IFERROR(E4/D4, 0)</f>
        <v>0</v>
      </c>
      <c r="G4" s="37">
        <f ca="1">SUM(Jul!G4, Aug!G4, Sep!G4)</f>
        <v>0</v>
      </c>
      <c r="H4" s="37">
        <f t="shared" ref="H4:H31" ca="1" si="2">C4-G4</f>
        <v>0</v>
      </c>
      <c r="I4" s="38">
        <f t="shared" ref="I4:I31" ca="1" si="3">IFERROR(H4/G4, 0)</f>
        <v>0</v>
      </c>
      <c r="J4" s="15"/>
      <c r="K4" s="15"/>
    </row>
    <row r="5" spans="1:11" ht="15.75">
      <c r="A5" s="49" t="str">
        <v>19 Walpole Park South</v>
      </c>
      <c r="B5" s="34" t="str">
        <v>MA</v>
      </c>
      <c r="C5" s="35">
        <f ca="1">SUM(Jul!C5, Aug!C5, Sep!C5)</f>
        <v>0</v>
      </c>
      <c r="D5" s="35">
        <f ca="1">SUM(Jul!D5, Aug!D5, Sep!D5)</f>
        <v>0</v>
      </c>
      <c r="E5" s="35">
        <f t="shared" ca="1" si="0"/>
        <v>0</v>
      </c>
      <c r="F5" s="36">
        <f t="shared" ca="1" si="1"/>
        <v>0</v>
      </c>
      <c r="G5" s="37">
        <f ca="1">SUM(Jul!G5, Aug!G5, Sep!G5)</f>
        <v>0</v>
      </c>
      <c r="H5" s="37">
        <f t="shared" ca="1" si="2"/>
        <v>0</v>
      </c>
      <c r="I5" s="38">
        <f t="shared" ca="1" si="3"/>
        <v>0</v>
      </c>
      <c r="J5" s="15"/>
      <c r="K5" s="15"/>
    </row>
    <row r="6" spans="1:11" ht="15.75">
      <c r="A6" s="48" t="str">
        <v>23 Walpole Park South</v>
      </c>
      <c r="B6" s="16" t="str">
        <v>MA</v>
      </c>
      <c r="C6" s="35">
        <f ca="1">SUM(Jul!C6, Aug!C6, Sep!C6)</f>
        <v>0</v>
      </c>
      <c r="D6" s="35">
        <f ca="1">SUM(Jul!D6, Aug!D6, Sep!D6)</f>
        <v>0</v>
      </c>
      <c r="E6" s="35">
        <f t="shared" ca="1" si="0"/>
        <v>0</v>
      </c>
      <c r="F6" s="36">
        <f t="shared" ca="1" si="1"/>
        <v>0</v>
      </c>
      <c r="G6" s="37">
        <f ca="1">SUM(Jul!G6, Aug!G6, Sep!G6)</f>
        <v>0</v>
      </c>
      <c r="H6" s="37">
        <f t="shared" ca="1" si="2"/>
        <v>0</v>
      </c>
      <c r="I6" s="38">
        <f t="shared" ca="1" si="3"/>
        <v>0</v>
      </c>
      <c r="J6" s="15"/>
      <c r="K6" s="15"/>
    </row>
    <row r="7" spans="1:11" ht="15.75">
      <c r="A7" s="49" t="str">
        <v>24 Walpole Park South</v>
      </c>
      <c r="B7" s="34" t="str">
        <v>MA</v>
      </c>
      <c r="C7" s="35">
        <f ca="1">SUM(Jul!C7, Aug!C7, Sep!C7)</f>
        <v>0</v>
      </c>
      <c r="D7" s="35">
        <f ca="1">SUM(Jul!D7, Aug!D7, Sep!D7)</f>
        <v>0</v>
      </c>
      <c r="E7" s="35">
        <f t="shared" ca="1" si="0"/>
        <v>0</v>
      </c>
      <c r="F7" s="36">
        <f t="shared" ca="1" si="1"/>
        <v>0</v>
      </c>
      <c r="G7" s="37">
        <f ca="1">SUM(Jul!G7, Aug!G7, Sep!G7)</f>
        <v>0</v>
      </c>
      <c r="H7" s="37">
        <f t="shared" ca="1" si="2"/>
        <v>0</v>
      </c>
      <c r="I7" s="38">
        <f t="shared" ca="1" si="3"/>
        <v>0</v>
      </c>
      <c r="J7" s="17"/>
      <c r="K7" s="17"/>
    </row>
    <row r="8" spans="1:11" ht="15.75">
      <c r="A8" s="48" t="str">
        <v>25 Walpole Park South</v>
      </c>
      <c r="B8" s="16" t="str">
        <v>MA</v>
      </c>
      <c r="C8" s="35">
        <f ca="1">SUM(Jul!C8, Aug!C8, Sep!C8)</f>
        <v>0</v>
      </c>
      <c r="D8" s="35">
        <f ca="1">SUM(Jul!D8, Aug!D8, Sep!D8)</f>
        <v>0</v>
      </c>
      <c r="E8" s="35">
        <f t="shared" ca="1" si="0"/>
        <v>0</v>
      </c>
      <c r="F8" s="36">
        <f t="shared" ca="1" si="1"/>
        <v>0</v>
      </c>
      <c r="G8" s="37">
        <f ca="1">SUM(Jul!G8, Aug!G8, Sep!G8)</f>
        <v>0</v>
      </c>
      <c r="H8" s="37">
        <f t="shared" ca="1" si="2"/>
        <v>0</v>
      </c>
      <c r="I8" s="38">
        <f t="shared" ca="1" si="3"/>
        <v>0</v>
      </c>
      <c r="J8" s="15"/>
      <c r="K8" s="15"/>
    </row>
    <row r="9" spans="1:11" ht="15.75">
      <c r="A9" s="49" t="str">
        <v>3 Walpole Park South</v>
      </c>
      <c r="B9" s="34" t="str">
        <v>MA</v>
      </c>
      <c r="C9" s="35">
        <f ca="1">SUM(Jul!C9, Aug!C9, Sep!C9)</f>
        <v>0</v>
      </c>
      <c r="D9" s="35">
        <f ca="1">SUM(Jul!D9, Aug!D9, Sep!D9)</f>
        <v>0</v>
      </c>
      <c r="E9" s="35">
        <f t="shared" ref="E9:E26" ca="1" si="4">C9-D9</f>
        <v>0</v>
      </c>
      <c r="F9" s="36">
        <f t="shared" ca="1" si="1"/>
        <v>0</v>
      </c>
      <c r="G9" s="37">
        <f ca="1">SUM(Jul!G9, Aug!G9, Sep!G9)</f>
        <v>0</v>
      </c>
      <c r="H9" s="37">
        <f t="shared" ca="1" si="2"/>
        <v>0</v>
      </c>
      <c r="I9" s="38">
        <f t="shared" ca="1" si="3"/>
        <v>0</v>
      </c>
      <c r="J9" s="15"/>
      <c r="K9" s="15"/>
    </row>
    <row r="10" spans="1:11" ht="15.75">
      <c r="A10" s="48" t="str">
        <v>4 Walpole Park South</v>
      </c>
      <c r="B10" s="16" t="str">
        <v>MA</v>
      </c>
      <c r="C10" s="35">
        <f ca="1">SUM(Jul!C10, Aug!C10, Sep!C10)</f>
        <v>0</v>
      </c>
      <c r="D10" s="35">
        <f ca="1">SUM(Jul!D10, Aug!D10, Sep!D10)</f>
        <v>0</v>
      </c>
      <c r="E10" s="35">
        <f t="shared" ca="1" si="4"/>
        <v>0</v>
      </c>
      <c r="F10" s="36">
        <f t="shared" ca="1" si="1"/>
        <v>0</v>
      </c>
      <c r="G10" s="37">
        <f ca="1">SUM(Jul!G10, Aug!G10, Sep!G10)</f>
        <v>0</v>
      </c>
      <c r="H10" s="37">
        <f t="shared" ca="1" si="2"/>
        <v>0</v>
      </c>
      <c r="I10" s="38">
        <f t="shared" ca="1" si="3"/>
        <v>0</v>
      </c>
      <c r="J10" s="15"/>
      <c r="K10" s="15"/>
    </row>
    <row r="11" spans="1:11" ht="15.75">
      <c r="A11" s="49" t="str">
        <v>Brockton</v>
      </c>
      <c r="B11" s="34" t="str">
        <v>MA</v>
      </c>
      <c r="C11" s="35">
        <f ca="1">SUM(Jul!C11, Aug!C11, Sep!C11)</f>
        <v>0</v>
      </c>
      <c r="D11" s="35">
        <f ca="1">SUM(Jul!D11, Aug!D11, Sep!D11)</f>
        <v>0</v>
      </c>
      <c r="E11" s="35">
        <f t="shared" ca="1" si="4"/>
        <v>0</v>
      </c>
      <c r="F11" s="36">
        <f t="shared" ca="1" si="1"/>
        <v>0</v>
      </c>
      <c r="G11" s="37">
        <f ca="1">SUM(Jul!G11, Aug!G11, Sep!G11)</f>
        <v>0</v>
      </c>
      <c r="H11" s="37">
        <f t="shared" ca="1" si="2"/>
        <v>0</v>
      </c>
      <c r="I11" s="38">
        <f t="shared" ca="1" si="3"/>
        <v>0</v>
      </c>
      <c r="J11" s="15"/>
      <c r="K11" s="15"/>
    </row>
    <row r="12" spans="1:11" ht="15.75">
      <c r="A12" s="48" t="str">
        <v>Canton</v>
      </c>
      <c r="B12" s="16" t="str">
        <v>MA</v>
      </c>
      <c r="C12" s="35">
        <f ca="1">SUM(Jul!C12, Aug!C12, Sep!C12)</f>
        <v>0</v>
      </c>
      <c r="D12" s="35">
        <f ca="1">SUM(Jul!D12, Aug!D12, Sep!D12)</f>
        <v>0</v>
      </c>
      <c r="E12" s="35">
        <f t="shared" ca="1" si="4"/>
        <v>0</v>
      </c>
      <c r="F12" s="36">
        <f t="shared" ca="1" si="1"/>
        <v>0</v>
      </c>
      <c r="G12" s="37">
        <f ca="1">SUM(Jul!G12, Aug!G12, Sep!G12)</f>
        <v>0</v>
      </c>
      <c r="H12" s="37">
        <f t="shared" ca="1" si="2"/>
        <v>0</v>
      </c>
      <c r="I12" s="38">
        <f t="shared" ca="1" si="3"/>
        <v>0</v>
      </c>
      <c r="J12" s="15"/>
      <c r="K12" s="15"/>
    </row>
    <row r="13" spans="1:11" ht="15.75">
      <c r="A13" s="49" t="str">
        <v>Chelsea</v>
      </c>
      <c r="B13" s="34" t="str">
        <v>MA</v>
      </c>
      <c r="C13" s="35">
        <f ca="1">SUM(Jul!C13, Aug!C13, Sep!C13)</f>
        <v>0</v>
      </c>
      <c r="D13" s="35">
        <f ca="1">SUM(Jul!D13, Aug!D13, Sep!D13)</f>
        <v>0</v>
      </c>
      <c r="E13" s="35">
        <f t="shared" ca="1" si="4"/>
        <v>0</v>
      </c>
      <c r="F13" s="36">
        <f t="shared" ca="1" si="1"/>
        <v>0</v>
      </c>
      <c r="G13" s="37">
        <f ca="1">SUM(Jul!G13, Aug!G13, Sep!G13)</f>
        <v>0</v>
      </c>
      <c r="H13" s="37">
        <f t="shared" ca="1" si="2"/>
        <v>0</v>
      </c>
      <c r="I13" s="38">
        <f t="shared" ca="1" si="3"/>
        <v>0</v>
      </c>
      <c r="J13" s="15"/>
      <c r="K13" s="15"/>
    </row>
    <row r="14" spans="1:11" ht="15.75">
      <c r="A14" s="48" t="str">
        <v>Hamilton Landfill</v>
      </c>
      <c r="B14" s="16" t="str">
        <v>MA</v>
      </c>
      <c r="C14" s="35">
        <f ca="1">SUM(Jul!C14, Aug!C14, Sep!C14)</f>
        <v>0</v>
      </c>
      <c r="D14" s="35">
        <f ca="1">SUM(Jul!D14, Aug!D14, Sep!D14)</f>
        <v>0</v>
      </c>
      <c r="E14" s="35">
        <f t="shared" ca="1" si="4"/>
        <v>0</v>
      </c>
      <c r="F14" s="36">
        <f t="shared" ca="1" si="1"/>
        <v>0</v>
      </c>
      <c r="G14" s="37">
        <f ca="1">SUM(Jul!G14, Aug!G14, Sep!G14)</f>
        <v>0</v>
      </c>
      <c r="H14" s="37">
        <f t="shared" ca="1" si="2"/>
        <v>0</v>
      </c>
      <c r="I14" s="38">
        <f t="shared" ca="1" si="3"/>
        <v>0</v>
      </c>
      <c r="J14" s="15"/>
      <c r="K14" s="15"/>
    </row>
    <row r="15" spans="1:11" ht="15.75">
      <c r="A15" s="49" t="str">
        <v>Holliston</v>
      </c>
      <c r="B15" s="34" t="str">
        <v>MA</v>
      </c>
      <c r="C15" s="35">
        <f ca="1">SUM(Jul!C15, Aug!C15, Sep!C15)</f>
        <v>0</v>
      </c>
      <c r="D15" s="35">
        <f ca="1">SUM(Jul!D15, Aug!D15, Sep!D15)</f>
        <v>0</v>
      </c>
      <c r="E15" s="35">
        <f t="shared" ca="1" si="4"/>
        <v>0</v>
      </c>
      <c r="F15" s="36">
        <f t="shared" ca="1" si="1"/>
        <v>0</v>
      </c>
      <c r="G15" s="37">
        <f ca="1">SUM(Jul!G15, Aug!G15, Sep!G15)</f>
        <v>0</v>
      </c>
      <c r="H15" s="37">
        <f t="shared" ca="1" si="2"/>
        <v>0</v>
      </c>
      <c r="I15" s="38">
        <f t="shared" ca="1" si="3"/>
        <v>0</v>
      </c>
      <c r="J15" s="15"/>
      <c r="K15" s="15"/>
    </row>
    <row r="16" spans="1:11" ht="15.75">
      <c r="A16" s="48" t="str">
        <v>Natick HS - Carports</v>
      </c>
      <c r="B16" s="16" t="str">
        <v>MA</v>
      </c>
      <c r="C16" s="35">
        <f ca="1">SUM(Jul!C16, Aug!C16, Sep!C16)</f>
        <v>0</v>
      </c>
      <c r="D16" s="35">
        <f ca="1">SUM(Jul!D16, Aug!D16, Sep!D16)</f>
        <v>0</v>
      </c>
      <c r="E16" s="35">
        <f t="shared" ca="1" si="4"/>
        <v>0</v>
      </c>
      <c r="F16" s="36">
        <f t="shared" ca="1" si="1"/>
        <v>0</v>
      </c>
      <c r="G16" s="37">
        <f ca="1">SUM(Jul!G16, Aug!G16, Sep!G16)</f>
        <v>0</v>
      </c>
      <c r="H16" s="37">
        <f t="shared" ca="1" si="2"/>
        <v>0</v>
      </c>
      <c r="I16" s="38">
        <f t="shared" ca="1" si="3"/>
        <v>0</v>
      </c>
      <c r="J16" s="15"/>
      <c r="K16" s="15"/>
    </row>
    <row r="17" spans="1:11" ht="15.75">
      <c r="A17" s="49" t="str">
        <v>Norton</v>
      </c>
      <c r="B17" s="34" t="str">
        <v>MA</v>
      </c>
      <c r="C17" s="35">
        <f ca="1">SUM(Jul!C17, Aug!C17, Sep!C17)</f>
        <v>0</v>
      </c>
      <c r="D17" s="35">
        <f ca="1">SUM(Jul!D17, Aug!D17, Sep!D17)</f>
        <v>0</v>
      </c>
      <c r="E17" s="35">
        <f t="shared" ca="1" si="4"/>
        <v>0</v>
      </c>
      <c r="F17" s="36">
        <f t="shared" ca="1" si="1"/>
        <v>0</v>
      </c>
      <c r="G17" s="37">
        <f ca="1">SUM(Jul!G17, Aug!G17, Sep!G17)</f>
        <v>0</v>
      </c>
      <c r="H17" s="37">
        <f t="shared" ca="1" si="2"/>
        <v>0</v>
      </c>
      <c r="I17" s="38">
        <f t="shared" ca="1" si="3"/>
        <v>0</v>
      </c>
      <c r="J17" s="15"/>
      <c r="K17" s="15"/>
    </row>
    <row r="18" spans="1:11" ht="15.75">
      <c r="A18" s="48" t="str">
        <v>Palmer - Boston Rd.</v>
      </c>
      <c r="B18" s="16" t="str">
        <v>MA</v>
      </c>
      <c r="C18" s="35">
        <f ca="1">SUM(Jul!C18, Aug!C18, Sep!C18)</f>
        <v>0</v>
      </c>
      <c r="D18" s="35">
        <f ca="1">SUM(Jul!D18, Aug!D18, Sep!D18)</f>
        <v>0</v>
      </c>
      <c r="E18" s="35">
        <f t="shared" ref="E18:E24" ca="1" si="5">C18-D18</f>
        <v>0</v>
      </c>
      <c r="F18" s="36">
        <f t="shared" ref="F18:F24" ca="1" si="6">IFERROR(E18/D18, 0)</f>
        <v>0</v>
      </c>
      <c r="G18" s="37">
        <f ca="1">SUM(Jul!G18, Aug!G18, Sep!G18)</f>
        <v>0</v>
      </c>
      <c r="H18" s="37">
        <f t="shared" ref="H18:H24" ca="1" si="7">C18-G18</f>
        <v>0</v>
      </c>
      <c r="I18" s="38">
        <f t="shared" ref="I18:I24" ca="1" si="8">IFERROR(H18/G18, 0)</f>
        <v>0</v>
      </c>
      <c r="J18" s="15"/>
      <c r="K18" s="15"/>
    </row>
    <row r="19" spans="1:11" ht="15.75">
      <c r="A19" s="49" t="str">
        <v>Shirley Bartkus</v>
      </c>
      <c r="B19" s="34" t="str">
        <v>MA</v>
      </c>
      <c r="C19" s="35">
        <f ca="1">SUM(Jul!C19, Aug!C19, Sep!C19)</f>
        <v>0</v>
      </c>
      <c r="D19" s="35">
        <f ca="1">SUM(Jul!D19, Aug!D19, Sep!D19)</f>
        <v>0</v>
      </c>
      <c r="E19" s="35">
        <f t="shared" ca="1" si="5"/>
        <v>0</v>
      </c>
      <c r="F19" s="36">
        <f t="shared" ca="1" si="6"/>
        <v>0</v>
      </c>
      <c r="G19" s="37">
        <f ca="1">SUM(Jul!G19, Aug!G19, Sep!G19)</f>
        <v>0</v>
      </c>
      <c r="H19" s="37">
        <f t="shared" ca="1" si="7"/>
        <v>0</v>
      </c>
      <c r="I19" s="38">
        <f t="shared" ca="1" si="8"/>
        <v>0</v>
      </c>
      <c r="J19" s="15"/>
      <c r="K19" s="15"/>
    </row>
    <row r="20" spans="1:11" ht="15.75">
      <c r="A20" s="48" t="str">
        <v>Stoughton</v>
      </c>
      <c r="B20" s="16" t="str">
        <v>MA</v>
      </c>
      <c r="C20" s="35">
        <f ca="1">SUM(Jul!C20, Aug!C20, Sep!C20)</f>
        <v>0</v>
      </c>
      <c r="D20" s="35">
        <f ca="1">SUM(Jul!D20, Aug!D20, Sep!D20)</f>
        <v>0</v>
      </c>
      <c r="E20" s="35">
        <f t="shared" ca="1" si="5"/>
        <v>0</v>
      </c>
      <c r="F20" s="36">
        <f t="shared" ca="1" si="6"/>
        <v>0</v>
      </c>
      <c r="G20" s="37">
        <f ca="1">SUM(Jul!G20, Aug!G20, Sep!G20)</f>
        <v>0</v>
      </c>
      <c r="H20" s="37">
        <f t="shared" ca="1" si="7"/>
        <v>0</v>
      </c>
      <c r="I20" s="38">
        <f t="shared" ca="1" si="8"/>
        <v>0</v>
      </c>
      <c r="J20" s="15"/>
      <c r="K20" s="15"/>
    </row>
    <row r="21" spans="1:11" ht="15.75">
      <c r="A21" s="49" t="str">
        <v>Wellfleet Landfill</v>
      </c>
      <c r="B21" s="34" t="str">
        <v>MA</v>
      </c>
      <c r="C21" s="35">
        <f ca="1">SUM(Jul!C21, Aug!C21, Sep!C21)</f>
        <v>0</v>
      </c>
      <c r="D21" s="35">
        <f ca="1">SUM(Jul!D21, Aug!D21, Sep!D21)</f>
        <v>0</v>
      </c>
      <c r="E21" s="35">
        <f t="shared" ca="1" si="5"/>
        <v>0</v>
      </c>
      <c r="F21" s="36">
        <f t="shared" ca="1" si="6"/>
        <v>0</v>
      </c>
      <c r="G21" s="37">
        <f ca="1">SUM(Jul!G21, Aug!G21, Sep!G21)</f>
        <v>0</v>
      </c>
      <c r="H21" s="37">
        <f t="shared" ca="1" si="7"/>
        <v>0</v>
      </c>
      <c r="I21" s="38">
        <f t="shared" ca="1" si="8"/>
        <v>0</v>
      </c>
      <c r="J21" s="15"/>
      <c r="K21" s="15"/>
    </row>
    <row r="22" spans="1:11" ht="15.75">
      <c r="A22" s="48" t="str">
        <v>Wilmington Garage &amp; Building 7</v>
      </c>
      <c r="B22" s="16" t="str">
        <v>MA</v>
      </c>
      <c r="C22" s="35">
        <f ca="1">SUM(Jul!C22, Aug!C22, Sep!C22)</f>
        <v>0</v>
      </c>
      <c r="D22" s="35">
        <f ca="1">SUM(Jul!D22, Aug!D22, Sep!D22)</f>
        <v>0</v>
      </c>
      <c r="E22" s="35">
        <f t="shared" ca="1" si="5"/>
        <v>0</v>
      </c>
      <c r="F22" s="36">
        <f t="shared" ca="1" si="6"/>
        <v>0</v>
      </c>
      <c r="G22" s="37">
        <f ca="1">SUM(Jul!G22, Aug!G22, Sep!G22)</f>
        <v>0</v>
      </c>
      <c r="H22" s="37">
        <f t="shared" ca="1" si="7"/>
        <v>0</v>
      </c>
      <c r="I22" s="38">
        <f t="shared" ca="1" si="8"/>
        <v>0</v>
      </c>
      <c r="J22" s="15"/>
      <c r="K22" s="15"/>
    </row>
    <row r="23" spans="1:11" ht="15.75">
      <c r="A23" s="49" t="str">
        <v>Woburn</v>
      </c>
      <c r="B23" s="34" t="str">
        <v>MA</v>
      </c>
      <c r="C23" s="35">
        <f ca="1">SUM(Jul!C23, Aug!C23, Sep!C23)</f>
        <v>0</v>
      </c>
      <c r="D23" s="35">
        <f ca="1">SUM(Jul!D23, Aug!D23, Sep!D23)</f>
        <v>0</v>
      </c>
      <c r="E23" s="35">
        <f t="shared" ca="1" si="5"/>
        <v>0</v>
      </c>
      <c r="F23" s="36">
        <f t="shared" ca="1" si="6"/>
        <v>0</v>
      </c>
      <c r="G23" s="37">
        <f ca="1">SUM(Jul!G23, Aug!G23, Sep!G23)</f>
        <v>0</v>
      </c>
      <c r="H23" s="37">
        <f t="shared" ca="1" si="7"/>
        <v>0</v>
      </c>
      <c r="I23" s="38">
        <f t="shared" ca="1" si="8"/>
        <v>0</v>
      </c>
      <c r="J23" s="15"/>
      <c r="K23" s="15"/>
    </row>
    <row r="24" spans="1:11" ht="15.75">
      <c r="A24" s="48" t="str">
        <v>Friendship Solar 1</v>
      </c>
      <c r="B24" s="16" t="str">
        <v>MD</v>
      </c>
      <c r="C24" s="35">
        <f ca="1">SUM(Jul!C24, Aug!C24, Sep!C24)</f>
        <v>0</v>
      </c>
      <c r="D24" s="35">
        <f ca="1">SUM(Jul!D24, Aug!D24, Sep!D24)</f>
        <v>0</v>
      </c>
      <c r="E24" s="35">
        <f t="shared" ca="1" si="5"/>
        <v>0</v>
      </c>
      <c r="F24" s="36">
        <f t="shared" ca="1" si="6"/>
        <v>0</v>
      </c>
      <c r="G24" s="37">
        <f ca="1">SUM(Jul!G24, Aug!G24, Sep!G24)</f>
        <v>0</v>
      </c>
      <c r="H24" s="37">
        <f t="shared" ca="1" si="7"/>
        <v>0</v>
      </c>
      <c r="I24" s="38">
        <f t="shared" ca="1" si="8"/>
        <v>0</v>
      </c>
      <c r="J24" s="15"/>
      <c r="K24" s="15"/>
    </row>
    <row r="25" spans="1:11" ht="15.75">
      <c r="A25" s="48" t="str">
        <v>Friendship Solar 2</v>
      </c>
      <c r="B25" s="16" t="str">
        <v>MD</v>
      </c>
      <c r="C25" s="35">
        <f ca="1">SUM(Jul!C25, Aug!C25, Sep!C25)</f>
        <v>0</v>
      </c>
      <c r="D25" s="35">
        <f ca="1">SUM(Jul!D25, Aug!D25, Sep!D25)</f>
        <v>0</v>
      </c>
      <c r="E25" s="35">
        <f t="shared" ca="1" si="4"/>
        <v>0</v>
      </c>
      <c r="F25" s="36">
        <f t="shared" ca="1" si="1"/>
        <v>0</v>
      </c>
      <c r="G25" s="37">
        <f ca="1">SUM(Jul!G25, Aug!G25, Sep!G25)</f>
        <v>0</v>
      </c>
      <c r="H25" s="37">
        <f t="shared" ca="1" si="2"/>
        <v>0</v>
      </c>
      <c r="I25" s="38">
        <f t="shared" ca="1" si="3"/>
        <v>0</v>
      </c>
      <c r="J25" s="15"/>
      <c r="K25" s="15"/>
    </row>
    <row r="26" spans="1:11" ht="15.75">
      <c r="A26" s="49" t="str">
        <v>101 Carnegie Center</v>
      </c>
      <c r="B26" s="34" t="str">
        <v>NJ</v>
      </c>
      <c r="C26" s="35">
        <f ca="1">SUM(Jul!C26, Aug!C26, Sep!C26)</f>
        <v>0</v>
      </c>
      <c r="D26" s="35">
        <f ca="1">SUM(Jul!D26, Aug!D26, Sep!D26)</f>
        <v>0</v>
      </c>
      <c r="E26" s="35">
        <f t="shared" ca="1" si="4"/>
        <v>0</v>
      </c>
      <c r="F26" s="36">
        <f t="shared" ca="1" si="1"/>
        <v>0</v>
      </c>
      <c r="G26" s="37">
        <f ca="1">SUM(Jul!G26, Aug!G26, Sep!G26)</f>
        <v>0</v>
      </c>
      <c r="H26" s="37">
        <f t="shared" ca="1" si="2"/>
        <v>0</v>
      </c>
      <c r="I26" s="38">
        <f t="shared" ca="1" si="3"/>
        <v>0</v>
      </c>
      <c r="J26" s="15"/>
      <c r="K26" s="15"/>
    </row>
    <row r="27" spans="1:11" ht="15.75">
      <c r="A27" s="48" t="str">
        <v>302 Carnegie Center</v>
      </c>
      <c r="B27" s="16" t="str">
        <v>NJ</v>
      </c>
      <c r="C27" s="35">
        <f ca="1">SUM(Jul!C27, Aug!C27, Sep!C27)</f>
        <v>0</v>
      </c>
      <c r="D27" s="35">
        <f ca="1">SUM(Jul!D27, Aug!D27, Sep!D27)</f>
        <v>0</v>
      </c>
      <c r="E27" s="35">
        <f t="shared" ca="1" si="0"/>
        <v>0</v>
      </c>
      <c r="F27" s="36">
        <f t="shared" ca="1" si="1"/>
        <v>0</v>
      </c>
      <c r="G27" s="37">
        <f ca="1">SUM(Jul!G27, Aug!G27, Sep!G27)</f>
        <v>0</v>
      </c>
      <c r="H27" s="37">
        <f t="shared" ca="1" si="2"/>
        <v>0</v>
      </c>
      <c r="I27" s="38">
        <f t="shared" ca="1" si="3"/>
        <v>0</v>
      </c>
      <c r="J27" s="15"/>
      <c r="K27" s="15"/>
    </row>
    <row r="28" spans="1:11" ht="15.75">
      <c r="A28" s="49" t="str">
        <v>510 Carnegie Center</v>
      </c>
      <c r="B28" s="34" t="str">
        <v>NJ</v>
      </c>
      <c r="C28" s="35">
        <f ca="1">SUM(Jul!C28, Aug!C28, Sep!C28)</f>
        <v>0</v>
      </c>
      <c r="D28" s="35">
        <f ca="1">SUM(Jul!D28, Aug!D28, Sep!D28)</f>
        <v>0</v>
      </c>
      <c r="E28" s="35">
        <f t="shared" ca="1" si="0"/>
        <v>0</v>
      </c>
      <c r="F28" s="36">
        <f t="shared" ca="1" si="1"/>
        <v>0</v>
      </c>
      <c r="G28" s="37">
        <f ca="1">SUM(Jul!G28, Aug!G28, Sep!G28)</f>
        <v>0</v>
      </c>
      <c r="H28" s="37">
        <f t="shared" ca="1" si="2"/>
        <v>0</v>
      </c>
      <c r="I28" s="38">
        <f t="shared" ca="1" si="3"/>
        <v>0</v>
      </c>
      <c r="J28" s="17"/>
      <c r="K28" s="17"/>
    </row>
    <row r="29" spans="1:11" ht="15.75">
      <c r="A29" s="48" t="str">
        <v>701 Carnegie Center</v>
      </c>
      <c r="B29" s="16" t="str">
        <v>NJ</v>
      </c>
      <c r="C29" s="35">
        <f ca="1">SUM(Jul!C29, Aug!C29, Sep!C29)</f>
        <v>0</v>
      </c>
      <c r="D29" s="35">
        <f ca="1">SUM(Jul!D29, Aug!D29, Sep!D29)</f>
        <v>0</v>
      </c>
      <c r="E29" s="35">
        <f t="shared" ca="1" si="0"/>
        <v>0</v>
      </c>
      <c r="F29" s="36">
        <f t="shared" ca="1" si="1"/>
        <v>0</v>
      </c>
      <c r="G29" s="37">
        <f ca="1">SUM(Jul!G29, Aug!G29, Sep!G29)</f>
        <v>0</v>
      </c>
      <c r="H29" s="37">
        <f t="shared" ca="1" si="2"/>
        <v>0</v>
      </c>
      <c r="I29" s="38">
        <f t="shared" ca="1" si="3"/>
        <v>0</v>
      </c>
      <c r="J29" s="15"/>
      <c r="K29" s="15"/>
    </row>
    <row r="30" spans="1:11" ht="15.75">
      <c r="A30" s="49" t="str">
        <v>Hudson County Correction</v>
      </c>
      <c r="B30" s="34" t="str">
        <v>NJ</v>
      </c>
      <c r="C30" s="35">
        <f ca="1">SUM(Jul!C30, Aug!C30, Sep!C30)</f>
        <v>0</v>
      </c>
      <c r="D30" s="35">
        <f ca="1">SUM(Jul!D30, Aug!D30, Sep!D30)</f>
        <v>0</v>
      </c>
      <c r="E30" s="35">
        <f t="shared" ca="1" si="0"/>
        <v>0</v>
      </c>
      <c r="F30" s="36">
        <f t="shared" ca="1" si="1"/>
        <v>0</v>
      </c>
      <c r="G30" s="37">
        <f ca="1">SUM(Jul!G30, Aug!G30, Sep!G30)</f>
        <v>0</v>
      </c>
      <c r="H30" s="37">
        <f t="shared" ca="1" si="2"/>
        <v>0</v>
      </c>
      <c r="I30" s="38">
        <f t="shared" ca="1" si="3"/>
        <v>0</v>
      </c>
      <c r="J30" s="18"/>
      <c r="K30" s="19"/>
    </row>
    <row r="31" spans="1:11" ht="15.75">
      <c r="A31" s="48" t="str">
        <v>ER Bison Solar</v>
      </c>
      <c r="B31" s="16" t="str">
        <v>PA</v>
      </c>
      <c r="C31" s="35">
        <f ca="1">SUM(Jul!C31, Aug!C31, Sep!C31)</f>
        <v>0</v>
      </c>
      <c r="D31" s="35">
        <f ca="1">SUM(Jul!D31, Aug!D31, Sep!D31)</f>
        <v>0</v>
      </c>
      <c r="E31" s="35">
        <f t="shared" ca="1" si="0"/>
        <v>0</v>
      </c>
      <c r="F31" s="36">
        <f t="shared" ca="1" si="1"/>
        <v>0</v>
      </c>
      <c r="G31" s="37">
        <f ca="1">SUM(Jul!G31, Aug!G31, Sep!G31)</f>
        <v>0</v>
      </c>
      <c r="H31" s="37">
        <f t="shared" ca="1" si="2"/>
        <v>0</v>
      </c>
      <c r="I31" s="38">
        <f t="shared" ca="1" si="3"/>
        <v>0</v>
      </c>
      <c r="J31" s="15"/>
      <c r="K31" s="15"/>
    </row>
    <row r="32" spans="1:11" ht="15.75">
      <c r="A32" s="113" t="str">
        <v>Danville</v>
      </c>
      <c r="B32" s="114" t="str">
        <v>IL</v>
      </c>
      <c r="C32" s="35">
        <f ca="1">SUM(Jul!C32, Aug!C32, Sep!C32)</f>
        <v>0</v>
      </c>
      <c r="D32" s="35">
        <f ca="1">SUM(Jul!D32, Aug!D32, Sep!D32)</f>
        <v>0</v>
      </c>
      <c r="E32" s="35">
        <f t="shared" ref="E32" ca="1" si="9">C32-D32</f>
        <v>0</v>
      </c>
      <c r="F32" s="36">
        <f t="shared" ref="F32" ca="1" si="10">IFERROR(E32/D32, 0)</f>
        <v>0</v>
      </c>
      <c r="G32" s="37">
        <f ca="1">SUM(Jul!G32, Aug!G32, Sep!G32)</f>
        <v>0</v>
      </c>
      <c r="H32" s="37">
        <f t="shared" ref="H32" ca="1" si="11">C32-G32</f>
        <v>0</v>
      </c>
      <c r="I32" s="38">
        <f t="shared" ref="I32" ca="1" si="12">IFERROR(H32/G32, 0)</f>
        <v>0</v>
      </c>
      <c r="J32" s="15"/>
      <c r="K32" s="15"/>
    </row>
    <row r="33" spans="1:10" ht="24.75" customHeight="1">
      <c r="A33" s="133" t="s">
        <v>11</v>
      </c>
      <c r="B33" s="134"/>
      <c r="C33" s="50">
        <f ca="1">SUM(C3:C31)</f>
        <v>0</v>
      </c>
      <c r="D33" s="50">
        <f ca="1">SUM(D3:D31)</f>
        <v>0</v>
      </c>
      <c r="E33" s="50">
        <f ca="1">C33-D33</f>
        <v>0</v>
      </c>
      <c r="F33" s="41">
        <f ca="1">IFERROR(E33/D33, 0)</f>
        <v>0</v>
      </c>
      <c r="G33" s="50">
        <f ca="1">SUM(G3:G31)</f>
        <v>0</v>
      </c>
      <c r="H33" s="51">
        <f ca="1">C33-G33</f>
        <v>0</v>
      </c>
      <c r="I33" s="42">
        <f ca="1">IFERROR(H33/G33, 0)</f>
        <v>0</v>
      </c>
      <c r="J33" s="8"/>
    </row>
    <row r="34" spans="1:10">
      <c r="J34" s="8"/>
    </row>
    <row r="35" spans="1:10" ht="12.75" customHeight="1">
      <c r="A35" s="135" t="s">
        <v>12</v>
      </c>
      <c r="J35" s="8"/>
    </row>
    <row r="36" spans="1:10">
      <c r="A36" s="135"/>
      <c r="J36" s="8"/>
    </row>
    <row r="37" spans="1:10" ht="12.75" customHeight="1">
      <c r="A37" s="136" t="s">
        <v>13</v>
      </c>
      <c r="J37" s="8"/>
    </row>
    <row r="38" spans="1:10">
      <c r="A38" s="136"/>
      <c r="J38" s="8"/>
    </row>
  </sheetData>
  <autoFilter ref="A2:I2" xr:uid="{CACFAF7D-C0A7-49C0-9FFC-8D8BC8F00BC8}"/>
  <mergeCells count="8">
    <mergeCell ref="K1:K2"/>
    <mergeCell ref="A33:B33"/>
    <mergeCell ref="A35:A36"/>
    <mergeCell ref="A37:A38"/>
    <mergeCell ref="A1:B1"/>
    <mergeCell ref="C1:F1"/>
    <mergeCell ref="G1:I1"/>
    <mergeCell ref="J1:J2"/>
  </mergeCells>
  <conditionalFormatting sqref="F3:F33 I3:I33">
    <cfRule type="cellIs" dxfId="529" priority="1" operator="lessThanOrEqual">
      <formula>-0.1</formula>
    </cfRule>
    <cfRule type="cellIs" dxfId="528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K39"/>
  <sheetViews>
    <sheetView workbookViewId="0">
      <pane ySplit="2" topLeftCell="A3" activePane="bottomLeft" state="frozen"/>
      <selection pane="bottomLeft" activeCell="C19" sqref="C19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37" t="str" cm="1">
        <f t="array" ref="A1">portfolio</f>
        <v>Greenbacker</v>
      </c>
      <c r="B1" s="138"/>
      <c r="C1" s="139" t="s">
        <v>20</v>
      </c>
      <c r="D1" s="140"/>
      <c r="E1" s="140"/>
      <c r="F1" s="141"/>
      <c r="G1" s="142" t="s">
        <v>21</v>
      </c>
      <c r="H1" s="142"/>
      <c r="I1" s="143"/>
      <c r="J1" s="131" t="s">
        <v>2</v>
      </c>
      <c r="K1" s="131" t="s">
        <v>3</v>
      </c>
    </row>
    <row r="2" spans="1:11" ht="14.25" customHeight="1">
      <c r="A2" s="45" t="s">
        <v>4</v>
      </c>
      <c r="B2" s="46" t="s">
        <v>5</v>
      </c>
      <c r="C2" s="5" t="s">
        <v>6</v>
      </c>
      <c r="D2" s="43" t="s">
        <v>7</v>
      </c>
      <c r="E2" s="5" t="s">
        <v>8</v>
      </c>
      <c r="F2" s="6" t="s">
        <v>9</v>
      </c>
      <c r="G2" s="44" t="s">
        <v>10</v>
      </c>
      <c r="H2" s="7" t="s">
        <v>8</v>
      </c>
      <c r="I2" s="9" t="s">
        <v>9</v>
      </c>
      <c r="J2" s="132"/>
      <c r="K2" s="132"/>
    </row>
    <row r="3" spans="1:11" ht="15.75">
      <c r="A3" s="47" t="str" cm="1">
        <f t="array" ref="A3:A32">Sites[Site]</f>
        <v>10 Walpole Park South</v>
      </c>
      <c r="B3" s="33" t="str" cm="1">
        <f t="array" ref="B3:B32">Sites[State]</f>
        <v>MA</v>
      </c>
      <c r="C3" s="35">
        <f ca="1">SUM(Oct!C3, Nov!C3, Dec!C3)</f>
        <v>0</v>
      </c>
      <c r="D3" s="35">
        <f ca="1">SUM(Oct!D3, Nov!D3, Dec!D3)</f>
        <v>0</v>
      </c>
      <c r="E3" s="35">
        <f ca="1">C3-D3</f>
        <v>0</v>
      </c>
      <c r="F3" s="36">
        <f ca="1">IFERROR(E3/D3, 0)</f>
        <v>0</v>
      </c>
      <c r="G3" s="37">
        <f ca="1">SUM(Oct!G3, Nov!G3, Dec!G3)</f>
        <v>0</v>
      </c>
      <c r="H3" s="37">
        <f ca="1">C3-G3</f>
        <v>0</v>
      </c>
      <c r="I3" s="38">
        <f ca="1">IFERROR(H3/G3, 0)</f>
        <v>0</v>
      </c>
      <c r="J3" s="15"/>
      <c r="K3" s="15"/>
    </row>
    <row r="4" spans="1:11" ht="15.75">
      <c r="A4" s="48" t="str">
        <v>15 Walpole Park South</v>
      </c>
      <c r="B4" s="16" t="str">
        <v>MA</v>
      </c>
      <c r="C4" s="35">
        <f ca="1">SUM(Oct!C4, Nov!C4, Dec!C4)</f>
        <v>0</v>
      </c>
      <c r="D4" s="35">
        <f ca="1">SUM(Oct!D4, Nov!D4, Dec!D4)</f>
        <v>0</v>
      </c>
      <c r="E4" s="35">
        <f t="shared" ref="E4:E9" ca="1" si="0">C4-D4</f>
        <v>0</v>
      </c>
      <c r="F4" s="36">
        <f t="shared" ref="F4:F9" ca="1" si="1">IFERROR(E4/D4, 0)</f>
        <v>0</v>
      </c>
      <c r="G4" s="37">
        <f ca="1">SUM(Oct!G4, Nov!G4, Dec!G4)</f>
        <v>0</v>
      </c>
      <c r="H4" s="37">
        <f t="shared" ref="H4:H9" ca="1" si="2">C4-G4</f>
        <v>0</v>
      </c>
      <c r="I4" s="38">
        <f t="shared" ref="I4:I9" ca="1" si="3">IFERROR(H4/G4, 0)</f>
        <v>0</v>
      </c>
      <c r="J4" s="15"/>
      <c r="K4" s="15"/>
    </row>
    <row r="5" spans="1:11" ht="15.75">
      <c r="A5" s="49" t="str">
        <v>19 Walpole Park South</v>
      </c>
      <c r="B5" s="34" t="str">
        <v>MA</v>
      </c>
      <c r="C5" s="35">
        <f ca="1">SUM(Oct!C5, Nov!C5, Dec!C5)</f>
        <v>0</v>
      </c>
      <c r="D5" s="35">
        <f ca="1">SUM(Oct!D5, Nov!D5, Dec!D5)</f>
        <v>0</v>
      </c>
      <c r="E5" s="35">
        <f t="shared" ca="1" si="0"/>
        <v>0</v>
      </c>
      <c r="F5" s="36">
        <f t="shared" ca="1" si="1"/>
        <v>0</v>
      </c>
      <c r="G5" s="37">
        <f ca="1">SUM(Oct!G5, Nov!G5, Dec!G5)</f>
        <v>0</v>
      </c>
      <c r="H5" s="37">
        <f t="shared" ca="1" si="2"/>
        <v>0</v>
      </c>
      <c r="I5" s="38">
        <f t="shared" ca="1" si="3"/>
        <v>0</v>
      </c>
      <c r="J5" s="15"/>
      <c r="K5" s="15"/>
    </row>
    <row r="6" spans="1:11" ht="15.75">
      <c r="A6" s="48" t="str">
        <v>23 Walpole Park South</v>
      </c>
      <c r="B6" s="16" t="str">
        <v>MA</v>
      </c>
      <c r="C6" s="35">
        <f ca="1">SUM(Oct!C6, Nov!C6, Dec!C6)</f>
        <v>0</v>
      </c>
      <c r="D6" s="35">
        <f ca="1">SUM(Oct!D6, Nov!D6, Dec!D6)</f>
        <v>0</v>
      </c>
      <c r="E6" s="35">
        <f t="shared" ca="1" si="0"/>
        <v>0</v>
      </c>
      <c r="F6" s="36">
        <f t="shared" ca="1" si="1"/>
        <v>0</v>
      </c>
      <c r="G6" s="37">
        <f ca="1">SUM(Oct!G6, Nov!G6, Dec!G6)</f>
        <v>0</v>
      </c>
      <c r="H6" s="37">
        <f t="shared" ca="1" si="2"/>
        <v>0</v>
      </c>
      <c r="I6" s="38">
        <f t="shared" ca="1" si="3"/>
        <v>0</v>
      </c>
      <c r="J6" s="15"/>
      <c r="K6" s="15"/>
    </row>
    <row r="7" spans="1:11" ht="15.75">
      <c r="A7" s="49" t="str">
        <v>24 Walpole Park South</v>
      </c>
      <c r="B7" s="34" t="str">
        <v>MA</v>
      </c>
      <c r="C7" s="35">
        <f ca="1">SUM(Oct!C7, Nov!C7, Dec!C7)</f>
        <v>0</v>
      </c>
      <c r="D7" s="35">
        <f ca="1">SUM(Oct!D7, Nov!D7, Dec!D7)</f>
        <v>0</v>
      </c>
      <c r="E7" s="35">
        <f t="shared" ca="1" si="0"/>
        <v>0</v>
      </c>
      <c r="F7" s="36">
        <f t="shared" ca="1" si="1"/>
        <v>0</v>
      </c>
      <c r="G7" s="37">
        <f ca="1">SUM(Oct!G7, Nov!G7, Dec!G7)</f>
        <v>0</v>
      </c>
      <c r="H7" s="37">
        <f t="shared" ca="1" si="2"/>
        <v>0</v>
      </c>
      <c r="I7" s="38">
        <f t="shared" ca="1" si="3"/>
        <v>0</v>
      </c>
      <c r="J7" s="17"/>
      <c r="K7" s="17"/>
    </row>
    <row r="8" spans="1:11" ht="15.75">
      <c r="A8" s="48" t="str">
        <v>25 Walpole Park South</v>
      </c>
      <c r="B8" s="16" t="str">
        <v>MA</v>
      </c>
      <c r="C8" s="35">
        <f ca="1">SUM(Oct!C8, Nov!C8, Dec!C8)</f>
        <v>0</v>
      </c>
      <c r="D8" s="35">
        <f ca="1">SUM(Oct!D8, Nov!D8, Dec!D8)</f>
        <v>0</v>
      </c>
      <c r="E8" s="35">
        <f t="shared" ca="1" si="0"/>
        <v>0</v>
      </c>
      <c r="F8" s="36">
        <f t="shared" ca="1" si="1"/>
        <v>0</v>
      </c>
      <c r="G8" s="37">
        <f ca="1">SUM(Oct!G8, Nov!G8, Dec!G8)</f>
        <v>0</v>
      </c>
      <c r="H8" s="37">
        <f t="shared" ca="1" si="2"/>
        <v>0</v>
      </c>
      <c r="I8" s="38">
        <f t="shared" ca="1" si="3"/>
        <v>0</v>
      </c>
      <c r="J8" s="15"/>
      <c r="K8" s="15"/>
    </row>
    <row r="9" spans="1:11" ht="15.75">
      <c r="A9" s="49" t="str">
        <v>3 Walpole Park South</v>
      </c>
      <c r="B9" s="34" t="str">
        <v>MA</v>
      </c>
      <c r="C9" s="35">
        <f ca="1">SUM(Oct!C9, Nov!C9, Dec!C9)</f>
        <v>0</v>
      </c>
      <c r="D9" s="35">
        <f ca="1">SUM(Oct!D9, Nov!D9, Dec!D9)</f>
        <v>0</v>
      </c>
      <c r="E9" s="35">
        <f t="shared" ca="1" si="0"/>
        <v>0</v>
      </c>
      <c r="F9" s="36">
        <f t="shared" ca="1" si="1"/>
        <v>0</v>
      </c>
      <c r="G9" s="37">
        <f ca="1">SUM(Oct!G9, Nov!G9, Dec!G9)</f>
        <v>0</v>
      </c>
      <c r="H9" s="37">
        <f t="shared" ca="1" si="2"/>
        <v>0</v>
      </c>
      <c r="I9" s="38">
        <f t="shared" ca="1" si="3"/>
        <v>0</v>
      </c>
      <c r="J9" s="18"/>
      <c r="K9" s="19"/>
    </row>
    <row r="10" spans="1:11" ht="15.75">
      <c r="A10" s="48" t="str">
        <v>4 Walpole Park South</v>
      </c>
      <c r="B10" s="16" t="str">
        <v>MA</v>
      </c>
      <c r="C10" s="35">
        <f ca="1">SUM(Oct!C10, Nov!C10, Dec!C10)</f>
        <v>0</v>
      </c>
      <c r="D10" s="35">
        <f ca="1">SUM(Oct!D10, Nov!D10, Dec!D10)</f>
        <v>0</v>
      </c>
      <c r="E10" s="35">
        <f t="shared" ref="E10:E32" ca="1" si="4">C10-D10</f>
        <v>0</v>
      </c>
      <c r="F10" s="36">
        <f t="shared" ref="F10:F32" ca="1" si="5">IFERROR(E10/D10, 0)</f>
        <v>0</v>
      </c>
      <c r="G10" s="37">
        <f ca="1">SUM(Oct!G10, Nov!G10, Dec!G10)</f>
        <v>0</v>
      </c>
      <c r="H10" s="37">
        <f t="shared" ref="H10:H32" ca="1" si="6">C10-G10</f>
        <v>0</v>
      </c>
      <c r="I10" s="38">
        <f t="shared" ref="I10:I32" ca="1" si="7">IFERROR(H10/G10, 0)</f>
        <v>0</v>
      </c>
      <c r="J10" s="18"/>
      <c r="K10" s="19"/>
    </row>
    <row r="11" spans="1:11" ht="15.75">
      <c r="A11" s="49" t="str">
        <v>Brockton</v>
      </c>
      <c r="B11" s="34" t="str">
        <v>MA</v>
      </c>
      <c r="C11" s="35">
        <f ca="1">SUM(Oct!C11, Nov!C11, Dec!C11)</f>
        <v>0</v>
      </c>
      <c r="D11" s="35">
        <f ca="1">SUM(Oct!D11, Nov!D11, Dec!D11)</f>
        <v>0</v>
      </c>
      <c r="E11" s="35">
        <f t="shared" ca="1" si="4"/>
        <v>0</v>
      </c>
      <c r="F11" s="36">
        <f t="shared" ca="1" si="5"/>
        <v>0</v>
      </c>
      <c r="G11" s="37">
        <f ca="1">SUM(Oct!G11, Nov!G11, Dec!G11)</f>
        <v>0</v>
      </c>
      <c r="H11" s="37">
        <f t="shared" ca="1" si="6"/>
        <v>0</v>
      </c>
      <c r="I11" s="38">
        <f t="shared" ca="1" si="7"/>
        <v>0</v>
      </c>
      <c r="J11" s="18"/>
      <c r="K11" s="19"/>
    </row>
    <row r="12" spans="1:11" ht="15.75">
      <c r="A12" s="48" t="str">
        <v>Canton</v>
      </c>
      <c r="B12" s="16" t="str">
        <v>MA</v>
      </c>
      <c r="C12" s="35">
        <f ca="1">SUM(Oct!C12, Nov!C12, Dec!C12)</f>
        <v>0</v>
      </c>
      <c r="D12" s="35">
        <f ca="1">SUM(Oct!D12, Nov!D12, Dec!D12)</f>
        <v>0</v>
      </c>
      <c r="E12" s="35">
        <f t="shared" ca="1" si="4"/>
        <v>0</v>
      </c>
      <c r="F12" s="36">
        <f t="shared" ca="1" si="5"/>
        <v>0</v>
      </c>
      <c r="G12" s="37">
        <f ca="1">SUM(Oct!G12, Nov!G12, Dec!G12)</f>
        <v>0</v>
      </c>
      <c r="H12" s="37">
        <f t="shared" ca="1" si="6"/>
        <v>0</v>
      </c>
      <c r="I12" s="38">
        <f t="shared" ca="1" si="7"/>
        <v>0</v>
      </c>
      <c r="J12" s="18"/>
      <c r="K12" s="19"/>
    </row>
    <row r="13" spans="1:11" ht="15.75">
      <c r="A13" s="49" t="str">
        <v>Chelsea</v>
      </c>
      <c r="B13" s="34" t="str">
        <v>MA</v>
      </c>
      <c r="C13" s="35">
        <f ca="1">SUM(Oct!C13, Nov!C13, Dec!C13)</f>
        <v>0</v>
      </c>
      <c r="D13" s="35">
        <f ca="1">SUM(Oct!D13, Nov!D13, Dec!D13)</f>
        <v>0</v>
      </c>
      <c r="E13" s="35">
        <f t="shared" ca="1" si="4"/>
        <v>0</v>
      </c>
      <c r="F13" s="36">
        <f t="shared" ca="1" si="5"/>
        <v>0</v>
      </c>
      <c r="G13" s="37">
        <f ca="1">SUM(Oct!G13, Nov!G13, Dec!G13)</f>
        <v>0</v>
      </c>
      <c r="H13" s="37">
        <f t="shared" ca="1" si="6"/>
        <v>0</v>
      </c>
      <c r="I13" s="38">
        <f t="shared" ca="1" si="7"/>
        <v>0</v>
      </c>
      <c r="J13" s="18"/>
      <c r="K13" s="19"/>
    </row>
    <row r="14" spans="1:11" ht="15.75">
      <c r="A14" s="48" t="str">
        <v>Hamilton Landfill</v>
      </c>
      <c r="B14" s="16" t="str">
        <v>MA</v>
      </c>
      <c r="C14" s="35">
        <f ca="1">SUM(Oct!C14, Nov!C14, Dec!C14)</f>
        <v>0</v>
      </c>
      <c r="D14" s="35">
        <f ca="1">SUM(Oct!D14, Nov!D14, Dec!D14)</f>
        <v>0</v>
      </c>
      <c r="E14" s="35">
        <f t="shared" ca="1" si="4"/>
        <v>0</v>
      </c>
      <c r="F14" s="36">
        <f t="shared" ca="1" si="5"/>
        <v>0</v>
      </c>
      <c r="G14" s="37">
        <f ca="1">SUM(Oct!G14, Nov!G14, Dec!G14)</f>
        <v>0</v>
      </c>
      <c r="H14" s="37">
        <f t="shared" ca="1" si="6"/>
        <v>0</v>
      </c>
      <c r="I14" s="38">
        <f t="shared" ca="1" si="7"/>
        <v>0</v>
      </c>
      <c r="J14" s="18"/>
      <c r="K14" s="19"/>
    </row>
    <row r="15" spans="1:11" ht="15.75">
      <c r="A15" s="49" t="str">
        <v>Holliston</v>
      </c>
      <c r="B15" s="34" t="str">
        <v>MA</v>
      </c>
      <c r="C15" s="35">
        <f ca="1">SUM(Oct!C15, Nov!C15, Dec!C15)</f>
        <v>0</v>
      </c>
      <c r="D15" s="35">
        <f ca="1">SUM(Oct!D15, Nov!D15, Dec!D15)</f>
        <v>0</v>
      </c>
      <c r="E15" s="35">
        <f t="shared" ca="1" si="4"/>
        <v>0</v>
      </c>
      <c r="F15" s="36">
        <f t="shared" ca="1" si="5"/>
        <v>0</v>
      </c>
      <c r="G15" s="37">
        <f ca="1">SUM(Oct!G15, Nov!G15, Dec!G15)</f>
        <v>0</v>
      </c>
      <c r="H15" s="37">
        <f t="shared" ca="1" si="6"/>
        <v>0</v>
      </c>
      <c r="I15" s="38">
        <f t="shared" ca="1" si="7"/>
        <v>0</v>
      </c>
      <c r="J15" s="18"/>
      <c r="K15" s="19"/>
    </row>
    <row r="16" spans="1:11" ht="15.75">
      <c r="A16" s="48" t="str">
        <v>Natick HS - Carports</v>
      </c>
      <c r="B16" s="16" t="str">
        <v>MA</v>
      </c>
      <c r="C16" s="35">
        <f ca="1">SUM(Oct!C16, Nov!C16, Dec!C16)</f>
        <v>0</v>
      </c>
      <c r="D16" s="35">
        <f ca="1">SUM(Oct!D16, Nov!D16, Dec!D16)</f>
        <v>0</v>
      </c>
      <c r="E16" s="35">
        <f t="shared" ca="1" si="4"/>
        <v>0</v>
      </c>
      <c r="F16" s="36">
        <f t="shared" ca="1" si="5"/>
        <v>0</v>
      </c>
      <c r="G16" s="37">
        <f ca="1">SUM(Oct!G16, Nov!G16, Dec!G16)</f>
        <v>0</v>
      </c>
      <c r="H16" s="37">
        <f t="shared" ca="1" si="6"/>
        <v>0</v>
      </c>
      <c r="I16" s="38">
        <f t="shared" ca="1" si="7"/>
        <v>0</v>
      </c>
      <c r="J16" s="18"/>
      <c r="K16" s="19"/>
    </row>
    <row r="17" spans="1:11" ht="15.75">
      <c r="A17" s="49" t="str">
        <v>Norton</v>
      </c>
      <c r="B17" s="34" t="str">
        <v>MA</v>
      </c>
      <c r="C17" s="35">
        <f ca="1">SUM(Oct!C17, Nov!C17, Dec!C17)</f>
        <v>0</v>
      </c>
      <c r="D17" s="35">
        <f ca="1">SUM(Oct!D17, Nov!D17, Dec!D17)</f>
        <v>0</v>
      </c>
      <c r="E17" s="35">
        <f t="shared" ca="1" si="4"/>
        <v>0</v>
      </c>
      <c r="F17" s="36">
        <f t="shared" ca="1" si="5"/>
        <v>0</v>
      </c>
      <c r="G17" s="37">
        <f ca="1">SUM(Oct!G17, Nov!G17, Dec!G17)</f>
        <v>0</v>
      </c>
      <c r="H17" s="37">
        <f t="shared" ca="1" si="6"/>
        <v>0</v>
      </c>
      <c r="I17" s="38">
        <f t="shared" ca="1" si="7"/>
        <v>0</v>
      </c>
      <c r="J17" s="18"/>
      <c r="K17" s="19"/>
    </row>
    <row r="18" spans="1:11" ht="15.75">
      <c r="A18" s="48" t="str">
        <v>Palmer - Boston Rd.</v>
      </c>
      <c r="B18" s="16" t="str">
        <v>MA</v>
      </c>
      <c r="C18" s="35">
        <f ca="1">SUM(Oct!C18, Nov!C18, Dec!C18)</f>
        <v>0</v>
      </c>
      <c r="D18" s="35">
        <f ca="1">SUM(Oct!D18, Nov!D18, Dec!D18)</f>
        <v>0</v>
      </c>
      <c r="E18" s="35">
        <f t="shared" ca="1" si="4"/>
        <v>0</v>
      </c>
      <c r="F18" s="36">
        <f t="shared" ca="1" si="5"/>
        <v>0</v>
      </c>
      <c r="G18" s="37">
        <f ca="1">SUM(Oct!G18, Nov!G18, Dec!G18)</f>
        <v>0</v>
      </c>
      <c r="H18" s="37">
        <f t="shared" ca="1" si="6"/>
        <v>0</v>
      </c>
      <c r="I18" s="38">
        <f t="shared" ca="1" si="7"/>
        <v>0</v>
      </c>
      <c r="J18" s="18"/>
      <c r="K18" s="19"/>
    </row>
    <row r="19" spans="1:11" ht="15.75">
      <c r="A19" s="49" t="str">
        <v>Shirley Bartkus</v>
      </c>
      <c r="B19" s="34" t="str">
        <v>MA</v>
      </c>
      <c r="C19" s="35">
        <f ca="1">SUM(Oct!C19, Nov!C19, Dec!C19)</f>
        <v>0</v>
      </c>
      <c r="D19" s="35">
        <f ca="1">SUM(Oct!D19, Nov!D19, Dec!D19)</f>
        <v>0</v>
      </c>
      <c r="E19" s="35">
        <f t="shared" ca="1" si="4"/>
        <v>0</v>
      </c>
      <c r="F19" s="36">
        <f t="shared" ca="1" si="5"/>
        <v>0</v>
      </c>
      <c r="G19" s="37">
        <f ca="1">SUM(Oct!G19, Nov!G19, Dec!G19)</f>
        <v>0</v>
      </c>
      <c r="H19" s="37">
        <f t="shared" ca="1" si="6"/>
        <v>0</v>
      </c>
      <c r="I19" s="38">
        <f t="shared" ca="1" si="7"/>
        <v>0</v>
      </c>
      <c r="J19" s="18"/>
      <c r="K19" s="19"/>
    </row>
    <row r="20" spans="1:11" ht="15.75">
      <c r="A20" s="48" t="str">
        <v>Stoughton</v>
      </c>
      <c r="B20" s="16" t="str">
        <v>MA</v>
      </c>
      <c r="C20" s="35">
        <f ca="1">SUM(Oct!C20, Nov!C20, Dec!C20)</f>
        <v>0</v>
      </c>
      <c r="D20" s="35">
        <f ca="1">SUM(Oct!D20, Nov!D20, Dec!D20)</f>
        <v>0</v>
      </c>
      <c r="E20" s="35">
        <f t="shared" ca="1" si="4"/>
        <v>0</v>
      </c>
      <c r="F20" s="36">
        <f t="shared" ca="1" si="5"/>
        <v>0</v>
      </c>
      <c r="G20" s="37">
        <f ca="1">SUM(Oct!G20, Nov!G20, Dec!G20)</f>
        <v>0</v>
      </c>
      <c r="H20" s="37">
        <f t="shared" ca="1" si="6"/>
        <v>0</v>
      </c>
      <c r="I20" s="38">
        <f t="shared" ca="1" si="7"/>
        <v>0</v>
      </c>
      <c r="J20" s="18"/>
      <c r="K20" s="19"/>
    </row>
    <row r="21" spans="1:11" ht="15.75">
      <c r="A21" s="49" t="str">
        <v>Wellfleet Landfill</v>
      </c>
      <c r="B21" s="34" t="str">
        <v>MA</v>
      </c>
      <c r="C21" s="35">
        <f ca="1">SUM(Oct!C21, Nov!C21, Dec!C21)</f>
        <v>0</v>
      </c>
      <c r="D21" s="35">
        <f ca="1">SUM(Oct!D21, Nov!D21, Dec!D21)</f>
        <v>0</v>
      </c>
      <c r="E21" s="35">
        <f t="shared" ca="1" si="4"/>
        <v>0</v>
      </c>
      <c r="F21" s="36">
        <f t="shared" ca="1" si="5"/>
        <v>0</v>
      </c>
      <c r="G21" s="37">
        <f ca="1">SUM(Oct!G21, Nov!G21, Dec!G21)</f>
        <v>0</v>
      </c>
      <c r="H21" s="37">
        <f t="shared" ca="1" si="6"/>
        <v>0</v>
      </c>
      <c r="I21" s="38">
        <f t="shared" ca="1" si="7"/>
        <v>0</v>
      </c>
      <c r="J21" s="18"/>
      <c r="K21" s="19"/>
    </row>
    <row r="22" spans="1:11" ht="15.75">
      <c r="A22" s="48" t="str">
        <v>Wilmington Garage &amp; Building 7</v>
      </c>
      <c r="B22" s="16" t="str">
        <v>MA</v>
      </c>
      <c r="C22" s="35">
        <f ca="1">SUM(Oct!C22, Nov!C22, Dec!C22)</f>
        <v>0</v>
      </c>
      <c r="D22" s="35">
        <f ca="1">SUM(Oct!D22, Nov!D22, Dec!D22)</f>
        <v>0</v>
      </c>
      <c r="E22" s="35">
        <f t="shared" ca="1" si="4"/>
        <v>0</v>
      </c>
      <c r="F22" s="36">
        <f t="shared" ca="1" si="5"/>
        <v>0</v>
      </c>
      <c r="G22" s="37">
        <f ca="1">SUM(Oct!G22, Nov!G22, Dec!G22)</f>
        <v>0</v>
      </c>
      <c r="H22" s="37">
        <f t="shared" ca="1" si="6"/>
        <v>0</v>
      </c>
      <c r="I22" s="38">
        <f t="shared" ca="1" si="7"/>
        <v>0</v>
      </c>
      <c r="J22" s="18"/>
      <c r="K22" s="19"/>
    </row>
    <row r="23" spans="1:11" ht="15.75">
      <c r="A23" s="49" t="str">
        <v>Woburn</v>
      </c>
      <c r="B23" s="34" t="str">
        <v>MA</v>
      </c>
      <c r="C23" s="35">
        <f ca="1">SUM(Oct!C23, Nov!C23, Dec!C23)</f>
        <v>0</v>
      </c>
      <c r="D23" s="35">
        <f ca="1">SUM(Oct!D23, Nov!D23, Dec!D23)</f>
        <v>0</v>
      </c>
      <c r="E23" s="35">
        <f t="shared" ca="1" si="4"/>
        <v>0</v>
      </c>
      <c r="F23" s="36">
        <f t="shared" ca="1" si="5"/>
        <v>0</v>
      </c>
      <c r="G23" s="37">
        <f ca="1">SUM(Oct!G23, Nov!G23, Dec!G23)</f>
        <v>0</v>
      </c>
      <c r="H23" s="37">
        <f t="shared" ca="1" si="6"/>
        <v>0</v>
      </c>
      <c r="I23" s="38">
        <f t="shared" ca="1" si="7"/>
        <v>0</v>
      </c>
      <c r="J23" s="18"/>
      <c r="K23" s="19"/>
    </row>
    <row r="24" spans="1:11" ht="15.75">
      <c r="A24" s="48" t="str">
        <v>Friendship Solar 1</v>
      </c>
      <c r="B24" s="16" t="str">
        <v>MD</v>
      </c>
      <c r="C24" s="35">
        <f ca="1">SUM(Oct!C24, Nov!C24, Dec!C24)</f>
        <v>0</v>
      </c>
      <c r="D24" s="35">
        <f ca="1">SUM(Oct!D24, Nov!D24, Dec!D24)</f>
        <v>0</v>
      </c>
      <c r="E24" s="35">
        <f t="shared" ca="1" si="4"/>
        <v>0</v>
      </c>
      <c r="F24" s="36">
        <f t="shared" ca="1" si="5"/>
        <v>0</v>
      </c>
      <c r="G24" s="37">
        <f ca="1">SUM(Oct!G24, Nov!G24, Dec!G24)</f>
        <v>0</v>
      </c>
      <c r="H24" s="37">
        <f t="shared" ca="1" si="6"/>
        <v>0</v>
      </c>
      <c r="I24" s="38">
        <f t="shared" ca="1" si="7"/>
        <v>0</v>
      </c>
      <c r="J24" s="18"/>
      <c r="K24" s="19"/>
    </row>
    <row r="25" spans="1:11" ht="15.75">
      <c r="A25" s="48" t="str">
        <v>Friendship Solar 2</v>
      </c>
      <c r="B25" s="16" t="str">
        <v>MD</v>
      </c>
      <c r="C25" s="35">
        <f ca="1">SUM(Oct!C25, Nov!C25, Dec!C25)</f>
        <v>0</v>
      </c>
      <c r="D25" s="35">
        <f ca="1">SUM(Oct!D25, Nov!D25, Dec!D25)</f>
        <v>0</v>
      </c>
      <c r="E25" s="35">
        <f t="shared" ca="1" si="4"/>
        <v>0</v>
      </c>
      <c r="F25" s="36">
        <f t="shared" ca="1" si="5"/>
        <v>0</v>
      </c>
      <c r="G25" s="37">
        <f ca="1">SUM(Oct!G25, Nov!G25, Dec!G25)</f>
        <v>0</v>
      </c>
      <c r="H25" s="37">
        <f t="shared" ca="1" si="6"/>
        <v>0</v>
      </c>
      <c r="I25" s="38">
        <f t="shared" ca="1" si="7"/>
        <v>0</v>
      </c>
      <c r="J25" s="18"/>
      <c r="K25" s="19"/>
    </row>
    <row r="26" spans="1:11" ht="15.75">
      <c r="A26" s="49" t="str">
        <v>101 Carnegie Center</v>
      </c>
      <c r="B26" s="34" t="str">
        <v>NJ</v>
      </c>
      <c r="C26" s="35">
        <f ca="1">SUM(Oct!C26, Nov!C26, Dec!C26)</f>
        <v>0</v>
      </c>
      <c r="D26" s="35">
        <f ca="1">SUM(Oct!D26, Nov!D26, Dec!D26)</f>
        <v>0</v>
      </c>
      <c r="E26" s="35">
        <f t="shared" ca="1" si="4"/>
        <v>0</v>
      </c>
      <c r="F26" s="36">
        <f t="shared" ca="1" si="5"/>
        <v>0</v>
      </c>
      <c r="G26" s="37">
        <f ca="1">SUM(Oct!G26, Nov!G26, Dec!G26)</f>
        <v>0</v>
      </c>
      <c r="H26" s="37">
        <f t="shared" ca="1" si="6"/>
        <v>0</v>
      </c>
      <c r="I26" s="38">
        <f t="shared" ca="1" si="7"/>
        <v>0</v>
      </c>
      <c r="J26" s="18"/>
      <c r="K26" s="19"/>
    </row>
    <row r="27" spans="1:11" ht="15.75">
      <c r="A27" s="48" t="str">
        <v>302 Carnegie Center</v>
      </c>
      <c r="B27" s="16" t="str">
        <v>NJ</v>
      </c>
      <c r="C27" s="35">
        <f ca="1">SUM(Oct!C27, Nov!C27, Dec!C27)</f>
        <v>0</v>
      </c>
      <c r="D27" s="35">
        <f ca="1">SUM(Oct!D27, Nov!D27, Dec!D27)</f>
        <v>0</v>
      </c>
      <c r="E27" s="35">
        <f t="shared" ca="1" si="4"/>
        <v>0</v>
      </c>
      <c r="F27" s="36">
        <f t="shared" ca="1" si="5"/>
        <v>0</v>
      </c>
      <c r="G27" s="37">
        <f ca="1">SUM(Oct!G27, Nov!G27, Dec!G27)</f>
        <v>0</v>
      </c>
      <c r="H27" s="37">
        <f t="shared" ca="1" si="6"/>
        <v>0</v>
      </c>
      <c r="I27" s="38">
        <f t="shared" ca="1" si="7"/>
        <v>0</v>
      </c>
      <c r="J27" s="18"/>
      <c r="K27" s="19"/>
    </row>
    <row r="28" spans="1:11" ht="15.75">
      <c r="A28" s="49" t="str">
        <v>510 Carnegie Center</v>
      </c>
      <c r="B28" s="34" t="str">
        <v>NJ</v>
      </c>
      <c r="C28" s="35">
        <f ca="1">SUM(Oct!C28, Nov!C28, Dec!C28)</f>
        <v>0</v>
      </c>
      <c r="D28" s="35">
        <f ca="1">SUM(Oct!D28, Nov!D28, Dec!D28)</f>
        <v>0</v>
      </c>
      <c r="E28" s="35">
        <f t="shared" ca="1" si="4"/>
        <v>0</v>
      </c>
      <c r="F28" s="36">
        <f t="shared" ca="1" si="5"/>
        <v>0</v>
      </c>
      <c r="G28" s="37">
        <f ca="1">SUM(Oct!G28, Nov!G28, Dec!G28)</f>
        <v>0</v>
      </c>
      <c r="H28" s="37">
        <f t="shared" ca="1" si="6"/>
        <v>0</v>
      </c>
      <c r="I28" s="38">
        <f t="shared" ca="1" si="7"/>
        <v>0</v>
      </c>
      <c r="J28" s="18"/>
      <c r="K28" s="19"/>
    </row>
    <row r="29" spans="1:11" ht="15.75">
      <c r="A29" s="48" t="str">
        <v>701 Carnegie Center</v>
      </c>
      <c r="B29" s="16" t="str">
        <v>NJ</v>
      </c>
      <c r="C29" s="35">
        <f ca="1">SUM(Oct!C29, Nov!C29, Dec!C29)</f>
        <v>0</v>
      </c>
      <c r="D29" s="35">
        <f ca="1">SUM(Oct!D29, Nov!D29, Dec!D29)</f>
        <v>0</v>
      </c>
      <c r="E29" s="35">
        <f t="shared" ca="1" si="4"/>
        <v>0</v>
      </c>
      <c r="F29" s="36">
        <f t="shared" ca="1" si="5"/>
        <v>0</v>
      </c>
      <c r="G29" s="37">
        <f ca="1">SUM(Oct!G29, Nov!G29, Dec!G29)</f>
        <v>0</v>
      </c>
      <c r="H29" s="37">
        <f t="shared" ca="1" si="6"/>
        <v>0</v>
      </c>
      <c r="I29" s="38">
        <f t="shared" ca="1" si="7"/>
        <v>0</v>
      </c>
      <c r="J29" s="18"/>
      <c r="K29" s="19"/>
    </row>
    <row r="30" spans="1:11" ht="15.75">
      <c r="A30" s="49" t="str">
        <v>Hudson County Correction</v>
      </c>
      <c r="B30" s="34" t="str">
        <v>NJ</v>
      </c>
      <c r="C30" s="35">
        <f ca="1">SUM(Oct!C30, Nov!C30, Dec!C30)</f>
        <v>0</v>
      </c>
      <c r="D30" s="35">
        <f ca="1">SUM(Oct!D30, Nov!D30, Dec!D30)</f>
        <v>0</v>
      </c>
      <c r="E30" s="35">
        <f t="shared" ca="1" si="4"/>
        <v>0</v>
      </c>
      <c r="F30" s="36">
        <f t="shared" ca="1" si="5"/>
        <v>0</v>
      </c>
      <c r="G30" s="37">
        <f ca="1">SUM(Oct!G30, Nov!G30, Dec!G30)</f>
        <v>0</v>
      </c>
      <c r="H30" s="37">
        <f t="shared" ca="1" si="6"/>
        <v>0</v>
      </c>
      <c r="I30" s="38">
        <f t="shared" ca="1" si="7"/>
        <v>0</v>
      </c>
      <c r="J30" s="18"/>
      <c r="K30" s="19"/>
    </row>
    <row r="31" spans="1:11" ht="15.75">
      <c r="A31" s="48" t="str">
        <v>ER Bison Solar</v>
      </c>
      <c r="B31" s="16" t="str">
        <v>PA</v>
      </c>
      <c r="C31" s="35">
        <f ca="1">SUM(Oct!C31, Nov!C31, Dec!C31)</f>
        <v>0</v>
      </c>
      <c r="D31" s="35">
        <f ca="1">SUM(Oct!D31, Nov!D31, Dec!D31)</f>
        <v>0</v>
      </c>
      <c r="E31" s="35">
        <f t="shared" ca="1" si="4"/>
        <v>0</v>
      </c>
      <c r="F31" s="36">
        <f t="shared" ca="1" si="5"/>
        <v>0</v>
      </c>
      <c r="G31" s="37">
        <f ca="1">SUM(Oct!G31, Nov!G31, Dec!G31)</f>
        <v>0</v>
      </c>
      <c r="H31" s="37">
        <f t="shared" ca="1" si="6"/>
        <v>0</v>
      </c>
      <c r="I31" s="38">
        <f t="shared" ca="1" si="7"/>
        <v>0</v>
      </c>
      <c r="J31" s="18"/>
      <c r="K31" s="19"/>
    </row>
    <row r="32" spans="1:11" ht="15.75">
      <c r="A32" s="113" t="str">
        <v>Danville</v>
      </c>
      <c r="B32" s="114" t="str">
        <v>IL</v>
      </c>
      <c r="C32" s="35">
        <f ca="1">SUM(Oct!C32, Nov!C32, Dec!C32)</f>
        <v>0</v>
      </c>
      <c r="D32" s="35">
        <f ca="1">SUM(Oct!D32, Nov!D32, Dec!D32)</f>
        <v>0</v>
      </c>
      <c r="E32" s="35">
        <f t="shared" ca="1" si="4"/>
        <v>0</v>
      </c>
      <c r="F32" s="36">
        <f t="shared" ca="1" si="5"/>
        <v>0</v>
      </c>
      <c r="G32" s="37">
        <f ca="1">SUM(Oct!G32, Nov!G32, Dec!G32)</f>
        <v>0</v>
      </c>
      <c r="H32" s="37">
        <f t="shared" ca="1" si="6"/>
        <v>0</v>
      </c>
      <c r="I32" s="38">
        <f t="shared" ca="1" si="7"/>
        <v>0</v>
      </c>
      <c r="J32" s="18"/>
      <c r="K32" s="19"/>
    </row>
    <row r="33" spans="1:10" ht="24.75" customHeight="1">
      <c r="A33" s="133" t="s">
        <v>11</v>
      </c>
      <c r="B33" s="134"/>
      <c r="C33" s="50">
        <f ca="1">SUM(C3:C31)</f>
        <v>0</v>
      </c>
      <c r="D33" s="50">
        <f ca="1">SUM(D3:D31)</f>
        <v>0</v>
      </c>
      <c r="E33" s="50">
        <f ca="1">C33-D33</f>
        <v>0</v>
      </c>
      <c r="F33" s="41">
        <f ca="1">IFERROR(E33/D33, 0)</f>
        <v>0</v>
      </c>
      <c r="G33" s="50">
        <f ca="1">SUM(G3:G31)</f>
        <v>0</v>
      </c>
      <c r="H33" s="51">
        <f ca="1">C33-G33</f>
        <v>0</v>
      </c>
      <c r="I33" s="42">
        <f ca="1">IFERROR(H33/G33, 0)</f>
        <v>0</v>
      </c>
      <c r="J33" s="8"/>
    </row>
    <row r="34" spans="1:10">
      <c r="J34" s="8"/>
    </row>
    <row r="35" spans="1:10" ht="12.75" customHeight="1">
      <c r="A35" s="135" t="s">
        <v>12</v>
      </c>
      <c r="J35" s="8"/>
    </row>
    <row r="36" spans="1:10">
      <c r="A36" s="135"/>
      <c r="J36" s="8"/>
    </row>
    <row r="37" spans="1:10">
      <c r="A37" s="136" t="s">
        <v>13</v>
      </c>
      <c r="J37" s="8"/>
    </row>
    <row r="38" spans="1:10" ht="12.75" customHeight="1">
      <c r="A38" s="136"/>
      <c r="J38" s="8"/>
    </row>
    <row r="39" spans="1:10">
      <c r="J39" s="8"/>
    </row>
  </sheetData>
  <autoFilter ref="A2:I2" xr:uid="{CE62352A-0CAA-4862-87B6-A6A1C7531211}"/>
  <mergeCells count="8">
    <mergeCell ref="K1:K2"/>
    <mergeCell ref="A33:B33"/>
    <mergeCell ref="A35:A36"/>
    <mergeCell ref="A37:A38"/>
    <mergeCell ref="A1:B1"/>
    <mergeCell ref="C1:F1"/>
    <mergeCell ref="G1:I1"/>
    <mergeCell ref="J1:J2"/>
  </mergeCells>
  <conditionalFormatting sqref="F3:F33 I3:I33">
    <cfRule type="cellIs" dxfId="527" priority="1" operator="lessThanOrEqual">
      <formula>-0.1</formula>
    </cfRule>
    <cfRule type="cellIs" dxfId="526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39"/>
  <sheetViews>
    <sheetView workbookViewId="0">
      <pane ySplit="2" topLeftCell="A11" activePane="bottomLeft" state="frozen"/>
      <selection pane="bottomLeft" activeCell="J15" sqref="J15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44" bestFit="1" customWidth="1"/>
    <col min="11" max="11" width="13.85546875" customWidth="1"/>
  </cols>
  <sheetData>
    <row r="1" spans="1:11" ht="15">
      <c r="A1" s="137" t="str" cm="1">
        <f t="array" ref="A1">portfolio</f>
        <v>Greenbacker</v>
      </c>
      <c r="B1" s="138"/>
      <c r="C1" s="139" t="s">
        <v>22</v>
      </c>
      <c r="D1" s="140"/>
      <c r="E1" s="140"/>
      <c r="F1" s="141"/>
      <c r="G1" s="142" t="s">
        <v>23</v>
      </c>
      <c r="H1" s="142"/>
      <c r="I1" s="143"/>
      <c r="J1" s="131" t="s">
        <v>2</v>
      </c>
      <c r="K1" s="131" t="s">
        <v>3</v>
      </c>
    </row>
    <row r="2" spans="1:11" ht="13.9">
      <c r="A2" s="45" t="s">
        <v>4</v>
      </c>
      <c r="B2" s="46" t="s">
        <v>5</v>
      </c>
      <c r="C2" s="5" t="s">
        <v>6</v>
      </c>
      <c r="D2" s="43" t="s">
        <v>7</v>
      </c>
      <c r="E2" s="5" t="s">
        <v>8</v>
      </c>
      <c r="F2" s="6" t="s">
        <v>9</v>
      </c>
      <c r="G2" s="44" t="s">
        <v>10</v>
      </c>
      <c r="H2" s="7" t="s">
        <v>8</v>
      </c>
      <c r="I2" s="9" t="s">
        <v>9</v>
      </c>
      <c r="J2" s="132"/>
      <c r="K2" s="132"/>
    </row>
    <row r="3" spans="1:11" ht="15.75">
      <c r="A3" s="107" t="str" cm="1">
        <f t="array" ref="A3:A32">Sites[Site]</f>
        <v>10 Walpole Park South</v>
      </c>
      <c r="B3" s="108" t="str" cm="1">
        <f t="array" ref="B3:B32">Sites[State]</f>
        <v>MA</v>
      </c>
      <c r="C3" s="101" cm="1">
        <f t="array" aca="1" ref="C3:K3" ca="1">IF(INDIRECT("'" &amp; $A3 &amp; "'!B5:J5")="", "", INDIRECT("'" &amp; $A3 &amp; "'!B5:J5"))</f>
        <v>3478.8125</v>
      </c>
      <c r="D3" s="101">
        <f ca="1"/>
        <v>6181.5739999999996</v>
      </c>
      <c r="E3" s="101">
        <f ca="1"/>
        <v>-2702.7614999999996</v>
      </c>
      <c r="F3" s="109">
        <f ca="1"/>
        <v>-0.43722868965088824</v>
      </c>
      <c r="G3" s="103">
        <f ca="1"/>
        <v>6823.2529999999997</v>
      </c>
      <c r="H3" s="103">
        <f ca="1"/>
        <v>-3344.4404999999997</v>
      </c>
      <c r="I3" s="110">
        <f ca="1"/>
        <v>-0.49015337698895234</v>
      </c>
      <c r="J3" s="18" t="str">
        <f ca="1"/>
        <v/>
      </c>
      <c r="K3" s="18" t="str">
        <f ca="1"/>
        <v xml:space="preserve"> </v>
      </c>
    </row>
    <row r="4" spans="1:11" ht="15.75">
      <c r="A4" s="99" t="str">
        <v>15 Walpole Park South</v>
      </c>
      <c r="B4" s="100" t="str">
        <v>MA</v>
      </c>
      <c r="C4" s="101" cm="1">
        <f t="array" aca="1" ref="C4:K4" ca="1">IF(INDIRECT("'" &amp; $A4 &amp; "'!B5:J5")="", "", INDIRECT("'" &amp; $A4 &amp; "'!B5:J5"))</f>
        <v>12517</v>
      </c>
      <c r="D4" s="101">
        <f ca="1"/>
        <v>22722.47</v>
      </c>
      <c r="E4" s="101">
        <f ca="1"/>
        <v>-10205.470000000001</v>
      </c>
      <c r="F4" s="102">
        <f ca="1"/>
        <v>-0.44913559133316056</v>
      </c>
      <c r="G4" s="103">
        <f ca="1"/>
        <v>21603.71</v>
      </c>
      <c r="H4" s="103">
        <f ca="1"/>
        <v>-9086.7099999999991</v>
      </c>
      <c r="I4" s="104">
        <f ca="1"/>
        <v>-0.42060877506687505</v>
      </c>
      <c r="J4" s="18" t="str">
        <f ca="1"/>
        <v/>
      </c>
      <c r="K4" s="18" t="str">
        <f ca="1"/>
        <v xml:space="preserve"> </v>
      </c>
    </row>
    <row r="5" spans="1:11" ht="15.75">
      <c r="A5" s="105" t="str">
        <v>19 Walpole Park South</v>
      </c>
      <c r="B5" s="106" t="str">
        <v>MA</v>
      </c>
      <c r="C5" s="101" cm="1">
        <f t="array" aca="1" ref="C5:K5" ca="1">IF(INDIRECT("'" &amp; $A5 &amp; "'!B5:J5")="", "", INDIRECT("'" &amp; $A5 &amp; "'!B5:J5"))</f>
        <v>7105.375</v>
      </c>
      <c r="D5" s="101">
        <f ca="1"/>
        <v>13704.15</v>
      </c>
      <c r="E5" s="101">
        <f ca="1"/>
        <v>-6598.7749999999996</v>
      </c>
      <c r="F5" s="102">
        <f ca="1"/>
        <v>-0.48151654790702086</v>
      </c>
      <c r="G5" s="103">
        <f ca="1"/>
        <v>14450.27</v>
      </c>
      <c r="H5" s="103">
        <f ca="1"/>
        <v>-7344.8950000000004</v>
      </c>
      <c r="I5" s="104">
        <f ca="1"/>
        <v>-0.50828773441603514</v>
      </c>
      <c r="J5" s="18" t="str">
        <f ca="1"/>
        <v/>
      </c>
      <c r="K5" s="18" t="str">
        <f ca="1"/>
        <v xml:space="preserve"> </v>
      </c>
    </row>
    <row r="6" spans="1:11" ht="15.75">
      <c r="A6" s="99" t="str">
        <v>23 Walpole Park South</v>
      </c>
      <c r="B6" s="100" t="str">
        <v>MA</v>
      </c>
      <c r="C6" s="101" cm="1">
        <f t="array" aca="1" ref="C6:K6" ca="1">IF(INDIRECT("'" &amp; $A6 &amp; "'!B5:J5")="", "", INDIRECT("'" &amp; $A6 &amp; "'!B5:J5"))</f>
        <v>10190.25</v>
      </c>
      <c r="D6" s="101">
        <f ca="1"/>
        <v>16832.77</v>
      </c>
      <c r="E6" s="101">
        <f ca="1"/>
        <v>-6642.52</v>
      </c>
      <c r="F6" s="102">
        <f ca="1"/>
        <v>-0.39461835455483563</v>
      </c>
      <c r="G6" s="103">
        <f ca="1"/>
        <v>18563.55</v>
      </c>
      <c r="H6" s="103">
        <f ca="1"/>
        <v>-8373.2999999999993</v>
      </c>
      <c r="I6" s="104">
        <f ca="1"/>
        <v>-0.4510613541052223</v>
      </c>
      <c r="J6" s="18" t="str">
        <f ca="1"/>
        <v/>
      </c>
      <c r="K6" s="18" t="str">
        <f ca="1"/>
        <v xml:space="preserve"> </v>
      </c>
    </row>
    <row r="7" spans="1:11" ht="28.5">
      <c r="A7" s="105" t="str">
        <v>24 Walpole Park South</v>
      </c>
      <c r="B7" s="106" t="str">
        <v>MA</v>
      </c>
      <c r="C7" s="101" cm="1">
        <f t="array" aca="1" ref="C7:K7" ca="1">IF(INDIRECT("'" &amp; $A7 &amp; "'!B5:J5")="", "", INDIRECT("'" &amp; $A7 &amp; "'!B5:J5"))</f>
        <v>15037</v>
      </c>
      <c r="D7" s="101">
        <f ca="1"/>
        <v>14267.73</v>
      </c>
      <c r="E7" s="101">
        <f ca="1"/>
        <v>769.27000000000044</v>
      </c>
      <c r="F7" s="102">
        <f ca="1"/>
        <v>5.3916775829091275E-2</v>
      </c>
      <c r="G7" s="103">
        <f ca="1"/>
        <v>28642.02</v>
      </c>
      <c r="H7" s="103">
        <f ca="1"/>
        <v>-13605.02</v>
      </c>
      <c r="I7" s="104">
        <f ca="1"/>
        <v>-0.47500211228118688</v>
      </c>
      <c r="J7" s="18" t="str">
        <f ca="1"/>
        <v xml:space="preserve">1. Inverter 8 was offline on 01/15/24 7 and back online on 01/17/2024. </v>
      </c>
      <c r="K7" s="18" t="str">
        <f ca="1"/>
        <v>1.SR080248</v>
      </c>
    </row>
    <row r="8" spans="1:11" ht="15.75">
      <c r="A8" s="99" t="str">
        <v>25 Walpole Park South</v>
      </c>
      <c r="B8" s="100" t="str">
        <v>MA</v>
      </c>
      <c r="C8" s="101" cm="1">
        <f t="array" aca="1" ref="C8:K8" ca="1">IF(INDIRECT("'" &amp; $A8 &amp; "'!B5:J5")="", "", INDIRECT("'" &amp; $A8 &amp; "'!B5:J5"))</f>
        <v>15224.5</v>
      </c>
      <c r="D8" s="101">
        <f ca="1"/>
        <v>26799</v>
      </c>
      <c r="E8" s="101">
        <f ca="1"/>
        <v>-11574.5</v>
      </c>
      <c r="F8" s="102">
        <f ca="1"/>
        <v>-0.43190044404641964</v>
      </c>
      <c r="G8" s="103">
        <f ca="1"/>
        <v>29130.79</v>
      </c>
      <c r="H8" s="103">
        <f ca="1"/>
        <v>-13906.29</v>
      </c>
      <c r="I8" s="104">
        <f ca="1"/>
        <v>-0.47737428336135068</v>
      </c>
      <c r="J8" s="18" t="str">
        <f ca="1"/>
        <v/>
      </c>
      <c r="K8" s="18" t="str">
        <f ca="1"/>
        <v/>
      </c>
    </row>
    <row r="9" spans="1:11" ht="15.75">
      <c r="A9" s="105" t="str">
        <v>3 Walpole Park South</v>
      </c>
      <c r="B9" s="106" t="str">
        <v>MA</v>
      </c>
      <c r="C9" s="101" cm="1">
        <f t="array" aca="1" ref="C9:K9" ca="1">IF(INDIRECT("'" &amp; $A9 &amp; "'!B5:J5")="", "", INDIRECT("'" &amp; $A9 &amp; "'!B5:J5"))</f>
        <v>19881.5</v>
      </c>
      <c r="D9" s="101">
        <f ca="1"/>
        <v>35122.519999999997</v>
      </c>
      <c r="E9" s="101">
        <f ca="1"/>
        <v>-15241.019999999997</v>
      </c>
      <c r="F9" s="102">
        <f ca="1"/>
        <v>-0.43393868093747257</v>
      </c>
      <c r="G9" s="103">
        <f ca="1"/>
        <v>34800.550000000003</v>
      </c>
      <c r="H9" s="103">
        <f ca="1"/>
        <v>-14919.050000000003</v>
      </c>
      <c r="I9" s="104">
        <f ca="1"/>
        <v>-0.42870155787767728</v>
      </c>
      <c r="J9" s="18" t="str">
        <f ca="1"/>
        <v/>
      </c>
      <c r="K9" s="18" t="str">
        <f ca="1"/>
        <v/>
      </c>
    </row>
    <row r="10" spans="1:11" ht="15.75">
      <c r="A10" s="99" t="str">
        <v>4 Walpole Park South</v>
      </c>
      <c r="B10" s="100" t="str">
        <v>MA</v>
      </c>
      <c r="C10" s="101" cm="1">
        <f t="array" aca="1" ref="C10:K10" ca="1">IF(INDIRECT("'" &amp; $A10 &amp; "'!B5:J5")="", "", INDIRECT("'" &amp; $A10 &amp; "'!B5:J5"))</f>
        <v>10678.25</v>
      </c>
      <c r="D10" s="101">
        <f ca="1"/>
        <v>19843.16</v>
      </c>
      <c r="E10" s="101">
        <f ca="1"/>
        <v>-9164.91</v>
      </c>
      <c r="F10" s="102">
        <f ca="1"/>
        <v>-0.46186746465784684</v>
      </c>
      <c r="G10" s="103">
        <f ca="1"/>
        <v>19687.72</v>
      </c>
      <c r="H10" s="103">
        <f ca="1"/>
        <v>-9009.4700000000012</v>
      </c>
      <c r="I10" s="104">
        <f ca="1"/>
        <v>-0.45761875930783252</v>
      </c>
      <c r="J10" s="18" t="str">
        <f ca="1"/>
        <v/>
      </c>
      <c r="K10" s="18" t="str">
        <f ca="1"/>
        <v xml:space="preserve"> </v>
      </c>
    </row>
    <row r="11" spans="1:11" ht="15.75">
      <c r="A11" s="105" t="str">
        <v>Brockton</v>
      </c>
      <c r="B11" s="106" t="str">
        <v>MA</v>
      </c>
      <c r="C11" s="101" cm="1">
        <f t="array" aca="1" ref="C11:K11" ca="1">IF(INDIRECT("'" &amp; $A11 &amp; "'!B5:J5")="", "", INDIRECT("'" &amp; $A11 &amp; "'!B5:J5"))</f>
        <v>21358</v>
      </c>
      <c r="D11" s="101">
        <f ca="1"/>
        <v>29225.200000000001</v>
      </c>
      <c r="E11" s="101">
        <f ca="1"/>
        <v>-7867.2000000000007</v>
      </c>
      <c r="F11" s="102">
        <f ca="1"/>
        <v>-0.26919234085652111</v>
      </c>
      <c r="G11" s="103">
        <f ca="1"/>
        <v>35891.120000000003</v>
      </c>
      <c r="H11" s="103">
        <f ca="1"/>
        <v>-14533.120000000003</v>
      </c>
      <c r="I11" s="104">
        <f ca="1"/>
        <v>-0.40492244321157994</v>
      </c>
      <c r="J11" s="18" t="str">
        <f ca="1"/>
        <v/>
      </c>
      <c r="K11" s="18" t="str">
        <f ca="1"/>
        <v/>
      </c>
    </row>
    <row r="12" spans="1:11" ht="28.5">
      <c r="A12" s="99" t="str">
        <v>Canton</v>
      </c>
      <c r="B12" s="100" t="str">
        <v>MA</v>
      </c>
      <c r="C12" s="101" cm="1">
        <f t="array" aca="1" ref="C12:K12" ca="1">IF(INDIRECT("'" &amp; $A12 &amp; "'!B5:J5")="", "", INDIRECT("'" &amp; $A12 &amp; "'!B5:J5"))</f>
        <v>17412.249999999502</v>
      </c>
      <c r="D12" s="101">
        <f ca="1"/>
        <v>31213.29</v>
      </c>
      <c r="E12" s="101">
        <f ca="1"/>
        <v>-13801.040000000499</v>
      </c>
      <c r="F12" s="102">
        <f ca="1"/>
        <v>-0.44215268560284732</v>
      </c>
      <c r="G12" s="103">
        <f ca="1"/>
        <v>30904.81</v>
      </c>
      <c r="H12" s="103">
        <f ca="1"/>
        <v>-13492.5600000005</v>
      </c>
      <c r="I12" s="104">
        <f ca="1"/>
        <v>-0.43658446694868852</v>
      </c>
      <c r="J12" s="18" t="str">
        <f ca="1"/>
        <v xml:space="preserve">1. Inverter 4 tripped offline on 01/12/2024 at 08:30 &amp; back online on 01/17/2024 at 14:30. </v>
      </c>
      <c r="K12" s="18" t="str">
        <f ca="1"/>
        <v>1.SR080166</v>
      </c>
    </row>
    <row r="13" spans="1:11" ht="15.75">
      <c r="A13" s="105" t="str">
        <v>Chelsea</v>
      </c>
      <c r="B13" s="106" t="str">
        <v>MA</v>
      </c>
      <c r="C13" s="101" cm="1">
        <f t="array" aca="1" ref="C13:K13" ca="1">IF(INDIRECT("'" &amp; $A13 &amp; "'!B5:J5")="", "", INDIRECT("'" &amp; $A13 &amp; "'!B5:J5"))</f>
        <v>38716</v>
      </c>
      <c r="D13" s="101">
        <f ca="1"/>
        <v>54336.05</v>
      </c>
      <c r="E13" s="101">
        <f ca="1"/>
        <v>-15620.050000000003</v>
      </c>
      <c r="F13" s="102">
        <f ca="1"/>
        <v>-0.28747120926162284</v>
      </c>
      <c r="G13" s="103">
        <f ca="1"/>
        <v>55003.46</v>
      </c>
      <c r="H13" s="103">
        <f ca="1"/>
        <v>-16287.46</v>
      </c>
      <c r="I13" s="104">
        <f ca="1"/>
        <v>-0.2961170079118659</v>
      </c>
      <c r="J13" s="18" t="str">
        <f ca="1"/>
        <v/>
      </c>
      <c r="K13" s="18" t="str">
        <f ca="1"/>
        <v/>
      </c>
    </row>
    <row r="14" spans="1:11" ht="15.75">
      <c r="A14" s="99" t="str">
        <v>Hamilton Landfill</v>
      </c>
      <c r="B14" s="100" t="str">
        <v>MA</v>
      </c>
      <c r="C14" s="101" cm="1">
        <f t="array" aca="1" ref="C14:K14" ca="1">IF(INDIRECT("'" &amp; $A14 &amp; "'!B5:J5")="", "", INDIRECT("'" &amp; $A14 &amp; "'!B5:J5"))</f>
        <v>30221</v>
      </c>
      <c r="D14" s="101">
        <f ca="1"/>
        <v>58716</v>
      </c>
      <c r="E14" s="101">
        <f ca="1"/>
        <v>-28495</v>
      </c>
      <c r="F14" s="102">
        <f ca="1"/>
        <v>-0.48530213229784047</v>
      </c>
      <c r="G14" s="103">
        <f ca="1"/>
        <v>0</v>
      </c>
      <c r="H14" s="103">
        <f ca="1"/>
        <v>30221</v>
      </c>
      <c r="I14" s="104">
        <f ca="1"/>
        <v>0</v>
      </c>
      <c r="J14" s="18" t="str">
        <f ca="1"/>
        <v/>
      </c>
      <c r="K14" s="18" t="str">
        <f ca="1"/>
        <v/>
      </c>
    </row>
    <row r="15" spans="1:11" ht="28.5">
      <c r="A15" s="105" t="str">
        <v>Holliston</v>
      </c>
      <c r="B15" s="106" t="str">
        <v>MA</v>
      </c>
      <c r="C15" s="101" cm="1">
        <f t="array" aca="1" ref="C15:K15" ca="1">IF(INDIRECT("'" &amp; $A15 &amp; "'!B5:J5")="", "", INDIRECT("'" &amp; $A15 &amp; "'!B5:J5"))</f>
        <v>37423.500000000902</v>
      </c>
      <c r="D15" s="101">
        <f ca="1"/>
        <v>60597.82</v>
      </c>
      <c r="E15" s="101">
        <f ca="1"/>
        <v>-23174.319999999097</v>
      </c>
      <c r="F15" s="102">
        <f ca="1"/>
        <v>-0.38242827877304986</v>
      </c>
      <c r="G15" s="103">
        <f ca="1"/>
        <v>84734.92</v>
      </c>
      <c r="H15" s="103">
        <f ca="1"/>
        <v>-47311.419999999096</v>
      </c>
      <c r="I15" s="104">
        <f ca="1"/>
        <v>-0.5583461930453123</v>
      </c>
      <c r="J15" s="18" t="str">
        <f ca="1"/>
        <v>1.Site tripped offline on 01/13/2024 at 03:30 &amp; back on 01/16/2024 mid day.</v>
      </c>
      <c r="K15" s="18" t="str">
        <f ca="1"/>
        <v>1. SR080182</v>
      </c>
    </row>
    <row r="16" spans="1:11" ht="15.75">
      <c r="A16" s="99" t="str">
        <v>Natick HS - Carports</v>
      </c>
      <c r="B16" s="100" t="str">
        <v>MA</v>
      </c>
      <c r="C16" s="101" cm="1">
        <f t="array" aca="1" ref="C16:K16" ca="1">IF(INDIRECT("'" &amp; $A16 &amp; "'!B5:J5")="", "", INDIRECT("'" &amp; $A16 &amp; "'!B5:J5"))</f>
        <v>13924</v>
      </c>
      <c r="D16" s="101">
        <f ca="1"/>
        <v>29010</v>
      </c>
      <c r="E16" s="101">
        <f ca="1"/>
        <v>-15086</v>
      </c>
      <c r="F16" s="102">
        <f ca="1"/>
        <v>-0.5200275766976904</v>
      </c>
      <c r="G16" s="103">
        <f ca="1"/>
        <v>0</v>
      </c>
      <c r="H16" s="103">
        <f ca="1"/>
        <v>13924</v>
      </c>
      <c r="I16" s="104">
        <f ca="1"/>
        <v>0</v>
      </c>
      <c r="J16" s="18" t="str">
        <f ca="1"/>
        <v/>
      </c>
      <c r="K16" s="18" t="str">
        <f ca="1"/>
        <v/>
      </c>
    </row>
    <row r="17" spans="1:11" ht="57">
      <c r="A17" s="105" t="str">
        <v>Norton</v>
      </c>
      <c r="B17" s="106" t="str">
        <v>MA</v>
      </c>
      <c r="C17" s="101" cm="1">
        <f t="array" aca="1" ref="C17:K17" ca="1">IF(INDIRECT("'" &amp; $A17 &amp; "'!B5:J5")="", "", INDIRECT("'" &amp; $A17 &amp; "'!B5:J5"))</f>
        <v>93336</v>
      </c>
      <c r="D17" s="101">
        <f ca="1"/>
        <v>144118.9</v>
      </c>
      <c r="E17" s="101">
        <f ca="1"/>
        <v>-50782.899999999994</v>
      </c>
      <c r="F17" s="102">
        <f ca="1"/>
        <v>-0.35236807941220755</v>
      </c>
      <c r="G17" s="103">
        <f ca="1"/>
        <v>162736.5</v>
      </c>
      <c r="H17" s="103">
        <f ca="1"/>
        <v>-69400.5</v>
      </c>
      <c r="I17" s="104">
        <f ca="1"/>
        <v>-0.42645933764091032</v>
      </c>
      <c r="J17" s="18" t="str">
        <f ca="1"/>
        <v xml:space="preserve">1.  Inverter 1 was tripped offline on 01/02/2024 at 8:45 &amp; back online on 01/03/2024 at 11:30. 
2. Site was offline tripped offline on 01/21/2024 at 11:45 &amp; back online on 01/22/2024 at 10:30. </v>
      </c>
      <c r="K17" s="18" t="str">
        <f ca="1"/>
        <v>1. SR079865
2. SR080375</v>
      </c>
    </row>
    <row r="18" spans="1:11" ht="15.75">
      <c r="A18" s="99" t="str">
        <v>Palmer - Boston Rd.</v>
      </c>
      <c r="B18" s="100" t="str">
        <v>MA</v>
      </c>
      <c r="C18" s="101" cm="1">
        <f t="array" aca="1" ref="C18:K18" ca="1">IF(INDIRECT("'" &amp; $A18 &amp; "'!B5:J5")="", "", INDIRECT("'" &amp; $A18 &amp; "'!B5:J5"))</f>
        <v>18016.047500000299</v>
      </c>
      <c r="D18" s="101">
        <f ca="1"/>
        <v>31872.06</v>
      </c>
      <c r="E18" s="101">
        <f ca="1"/>
        <v>-13856.012499999702</v>
      </c>
      <c r="F18" s="102">
        <f ca="1"/>
        <v>-0.43473852960868242</v>
      </c>
      <c r="G18" s="103">
        <f ca="1"/>
        <v>45090</v>
      </c>
      <c r="H18" s="103">
        <f ca="1"/>
        <v>-27073.952499999701</v>
      </c>
      <c r="I18" s="104">
        <f ca="1"/>
        <v>-0.60044250388111997</v>
      </c>
      <c r="J18" s="18" t="str">
        <f ca="1"/>
        <v/>
      </c>
      <c r="K18" s="18" t="str">
        <f ca="1"/>
        <v/>
      </c>
    </row>
    <row r="19" spans="1:11" ht="15.75">
      <c r="A19" s="105" t="str">
        <v>Shirley Bartkus</v>
      </c>
      <c r="B19" s="106" t="str">
        <v>MA</v>
      </c>
      <c r="C19" s="101" cm="1">
        <f t="array" aca="1" ref="C19:K19" ca="1">IF(INDIRECT("'" &amp; $A19 &amp; "'!B5:J5")="", "", INDIRECT("'" &amp; $A19 &amp; "'!B5:J5"))</f>
        <v>24169.871179624501</v>
      </c>
      <c r="D19" s="101">
        <f ca="1"/>
        <v>47290.29</v>
      </c>
      <c r="E19" s="101">
        <f ca="1"/>
        <v>-23120.4188203755</v>
      </c>
      <c r="F19" s="102">
        <f ca="1"/>
        <v>-0.48890414544667626</v>
      </c>
      <c r="G19" s="103">
        <f ca="1"/>
        <v>65151</v>
      </c>
      <c r="H19" s="103">
        <f ca="1"/>
        <v>-40981.128820375496</v>
      </c>
      <c r="I19" s="104">
        <f ca="1"/>
        <v>-0.62901764854531006</v>
      </c>
      <c r="J19" s="18" t="str">
        <f ca="1"/>
        <v/>
      </c>
      <c r="K19" s="18" t="str">
        <f ca="1"/>
        <v/>
      </c>
    </row>
    <row r="20" spans="1:11" ht="15.75">
      <c r="A20" s="99" t="str">
        <v>Stoughton</v>
      </c>
      <c r="B20" s="100" t="str">
        <v>MA</v>
      </c>
      <c r="C20" s="101" cm="1">
        <f t="array" aca="1" ref="C20:K20" ca="1">IF(INDIRECT("'" &amp; $A20 &amp; "'!B5:J5")="", "", INDIRECT("'" &amp; $A20 &amp; "'!B5:J5"))</f>
        <v>22398.5</v>
      </c>
      <c r="D20" s="101">
        <f ca="1"/>
        <v>29378.29</v>
      </c>
      <c r="E20" s="101">
        <f ca="1"/>
        <v>-6979.7900000000009</v>
      </c>
      <c r="F20" s="102">
        <f ca="1"/>
        <v>-0.23758326301496788</v>
      </c>
      <c r="G20" s="103">
        <f ca="1"/>
        <v>35608.120000000003</v>
      </c>
      <c r="H20" s="103">
        <f ca="1"/>
        <v>-13209.620000000003</v>
      </c>
      <c r="I20" s="104">
        <f ca="1"/>
        <v>-0.37097212658236384</v>
      </c>
      <c r="J20" s="18" t="str">
        <f ca="1"/>
        <v/>
      </c>
      <c r="K20" s="18" t="str">
        <f ca="1"/>
        <v/>
      </c>
    </row>
    <row r="21" spans="1:11" ht="15.75">
      <c r="A21" s="105" t="str">
        <v>Wellfleet Landfill</v>
      </c>
      <c r="B21" s="106" t="str">
        <v>MA</v>
      </c>
      <c r="C21" s="101" cm="1">
        <f t="array" aca="1" ref="C21:K21" ca="1">IF(INDIRECT("'" &amp; $A21 &amp; "'!B5:J5")="", "", INDIRECT("'" &amp; $A21 &amp; "'!B5:J5"))</f>
        <v>40023</v>
      </c>
      <c r="D21" s="101">
        <f ca="1"/>
        <v>57476</v>
      </c>
      <c r="E21" s="101">
        <f ca="1"/>
        <v>-17453</v>
      </c>
      <c r="F21" s="102">
        <f ca="1"/>
        <v>-0.30365717864847935</v>
      </c>
      <c r="G21" s="103">
        <f ca="1"/>
        <v>0</v>
      </c>
      <c r="H21" s="103">
        <f ca="1"/>
        <v>40023</v>
      </c>
      <c r="I21" s="104">
        <f ca="1"/>
        <v>0</v>
      </c>
      <c r="J21" s="18" t="str">
        <f ca="1"/>
        <v>1. Site was tripped offline on 01/07 at 18:15 and back online on 01/08 at 12:00</v>
      </c>
      <c r="K21" s="18" t="str">
        <f ca="1"/>
        <v>1. SR080033</v>
      </c>
    </row>
    <row r="22" spans="1:11" ht="15.75">
      <c r="A22" s="99" t="str">
        <v>Wilmington Garage &amp; Building 7</v>
      </c>
      <c r="B22" s="100" t="str">
        <v>MA</v>
      </c>
      <c r="C22" s="101" cm="1">
        <f t="array" aca="1" ref="C22:K22" ca="1">IF(INDIRECT("'" &amp; $A22 &amp; "'!B5:J5")="", "", INDIRECT("'" &amp; $A22 &amp; "'!B5:J5"))</f>
        <v>28124.62</v>
      </c>
      <c r="D22" s="101">
        <f ca="1"/>
        <v>53740.59</v>
      </c>
      <c r="E22" s="101">
        <f ca="1"/>
        <v>-25615.969999999998</v>
      </c>
      <c r="F22" s="102">
        <f ca="1"/>
        <v>-0.47665963473791412</v>
      </c>
      <c r="G22" s="103">
        <f ca="1"/>
        <v>51473.440000000002</v>
      </c>
      <c r="H22" s="103">
        <f ca="1"/>
        <v>-23348.820000000003</v>
      </c>
      <c r="I22" s="104">
        <f ca="1"/>
        <v>-0.45360908460751803</v>
      </c>
      <c r="J22" s="18" t="str">
        <f ca="1"/>
        <v/>
      </c>
      <c r="K22" s="18" t="str">
        <f ca="1"/>
        <v/>
      </c>
    </row>
    <row r="23" spans="1:11" ht="28.5">
      <c r="A23" s="105" t="str">
        <v>Woburn</v>
      </c>
      <c r="B23" s="106" t="str">
        <v>MA</v>
      </c>
      <c r="C23" s="101" cm="1">
        <f t="array" aca="1" ref="C23:K23" ca="1">IF(INDIRECT("'" &amp; $A23 &amp; "'!B5:J5")="", "", INDIRECT("'" &amp; $A23 &amp; "'!B5:J5"))</f>
        <v>47752.5</v>
      </c>
      <c r="D23" s="101">
        <f ca="1"/>
        <v>99772.07</v>
      </c>
      <c r="E23" s="101">
        <f ca="1"/>
        <v>-52019.570000000007</v>
      </c>
      <c r="F23" s="102">
        <f ca="1"/>
        <v>-0.52138409075806491</v>
      </c>
      <c r="G23" s="103">
        <f ca="1"/>
        <v>69636.91</v>
      </c>
      <c r="H23" s="103">
        <f ca="1"/>
        <v>-21884.410000000003</v>
      </c>
      <c r="I23" s="104">
        <f ca="1"/>
        <v>-0.31426451862956012</v>
      </c>
      <c r="J23" s="18" t="str">
        <f ca="1"/>
        <v xml:space="preserve">1. Inverter 17 tripped offline on 01/23/2024 at 12:00 &amp; back online at 16:30. </v>
      </c>
      <c r="K23" s="18" t="str">
        <f ca="1"/>
        <v>1. SR079023</v>
      </c>
    </row>
    <row r="24" spans="1:11" ht="15.75">
      <c r="A24" s="99" t="str">
        <v>Friendship Solar 1</v>
      </c>
      <c r="B24" s="100" t="str">
        <v>MD</v>
      </c>
      <c r="C24" s="101" cm="1">
        <f t="array" aca="1" ref="C24:K24" ca="1">IF(INDIRECT("'" &amp; $A24 &amp; "'!B5:J5")="", "", INDIRECT("'" &amp; $A24 &amp; "'!B5:J5"))</f>
        <v>185310</v>
      </c>
      <c r="D24" s="101">
        <f ca="1"/>
        <v>198138.4</v>
      </c>
      <c r="E24" s="101">
        <f ca="1"/>
        <v>-12828.399999999994</v>
      </c>
      <c r="F24" s="102">
        <f ca="1"/>
        <v>-6.4744643138331559E-2</v>
      </c>
      <c r="G24" s="103">
        <f ca="1"/>
        <v>253076.2</v>
      </c>
      <c r="H24" s="103">
        <f ca="1"/>
        <v>-67766.200000000012</v>
      </c>
      <c r="I24" s="104">
        <f ca="1"/>
        <v>-0.26776994438829099</v>
      </c>
      <c r="J24" s="18" t="str">
        <f ca="1"/>
        <v/>
      </c>
      <c r="K24" s="18" t="str">
        <f ca="1"/>
        <v/>
      </c>
    </row>
    <row r="25" spans="1:11" ht="15.75">
      <c r="A25" s="105" t="str">
        <v>Friendship Solar 2</v>
      </c>
      <c r="B25" s="106" t="str">
        <v>MD</v>
      </c>
      <c r="C25" s="101" cm="1">
        <f t="array" aca="1" ref="C25:K25" ca="1">IF(INDIRECT("'" &amp; $A25 &amp; "'!B5:J5")="", "", INDIRECT("'" &amp; $A25 &amp; "'!B5:J5"))</f>
        <v>183527</v>
      </c>
      <c r="D25" s="101">
        <f ca="1"/>
        <v>204402.5</v>
      </c>
      <c r="E25" s="101">
        <f ca="1"/>
        <v>-20875.5</v>
      </c>
      <c r="F25" s="102">
        <f ca="1"/>
        <v>-0.10212937708687517</v>
      </c>
      <c r="G25" s="103">
        <f ca="1"/>
        <v>250422.2</v>
      </c>
      <c r="H25" s="103">
        <f ca="1"/>
        <v>-66895.200000000012</v>
      </c>
      <c r="I25" s="104">
        <f ca="1"/>
        <v>-0.26712967141092125</v>
      </c>
      <c r="J25" s="18" t="str">
        <f ca="1"/>
        <v/>
      </c>
      <c r="K25" s="18" t="str">
        <f ca="1"/>
        <v/>
      </c>
    </row>
    <row r="26" spans="1:11" ht="28.5">
      <c r="A26" s="99" t="str">
        <v>101 Carnegie Center</v>
      </c>
      <c r="B26" s="100" t="str">
        <v>NJ</v>
      </c>
      <c r="C26" s="101" cm="1">
        <f t="array" aca="1" ref="C26:K26" ca="1">IF(INDIRECT("'" &amp; $A26 &amp; "'!B5:J5")="", "", INDIRECT("'" &amp; $A26 &amp; "'!B5:J5"))</f>
        <v>42576</v>
      </c>
      <c r="D26" s="101">
        <f ca="1"/>
        <v>72136</v>
      </c>
      <c r="E26" s="101">
        <f ca="1"/>
        <v>-29560</v>
      </c>
      <c r="F26" s="102">
        <f ca="1"/>
        <v>-0.40978152378839972</v>
      </c>
      <c r="G26" s="103">
        <f ca="1"/>
        <v>0</v>
      </c>
      <c r="H26" s="103">
        <f ca="1"/>
        <v>42576</v>
      </c>
      <c r="I26" s="104">
        <f ca="1"/>
        <v>0</v>
      </c>
      <c r="J26" s="18" t="str">
        <f ca="1"/>
        <v xml:space="preserve">1.Inverters 14 and 18 tripped offline on 01/23/2024 at 13:45 &amp; back online on 01/24/2024. </v>
      </c>
      <c r="K26" s="18" t="str">
        <f ca="1"/>
        <v>1. SR080417</v>
      </c>
    </row>
    <row r="27" spans="1:11" ht="15.75">
      <c r="A27" s="105" t="str">
        <v>302 Carnegie Center</v>
      </c>
      <c r="B27" s="106" t="str">
        <v>NJ</v>
      </c>
      <c r="C27" s="101" cm="1">
        <f t="array" aca="1" ref="C27:K27" ca="1">IF(INDIRECT("'" &amp; $A27 &amp; "'!B5:J5")="", "", INDIRECT("'" &amp; $A27 &amp; "'!B5:J5"))</f>
        <v>18853</v>
      </c>
      <c r="D27" s="101">
        <f ca="1"/>
        <v>28852</v>
      </c>
      <c r="E27" s="101">
        <f ca="1"/>
        <v>-9999</v>
      </c>
      <c r="F27" s="102">
        <f ca="1"/>
        <v>-0.34656176348260087</v>
      </c>
      <c r="G27" s="103">
        <f ca="1"/>
        <v>0</v>
      </c>
      <c r="H27" s="103">
        <f ca="1"/>
        <v>18853</v>
      </c>
      <c r="I27" s="104">
        <f ca="1"/>
        <v>0</v>
      </c>
      <c r="J27" s="18" t="str">
        <f ca="1"/>
        <v/>
      </c>
      <c r="K27" s="18" t="str">
        <f ca="1"/>
        <v/>
      </c>
    </row>
    <row r="28" spans="1:11" ht="57">
      <c r="A28" s="99" t="str">
        <v>510 Carnegie Center</v>
      </c>
      <c r="B28" s="100" t="str">
        <v>NJ</v>
      </c>
      <c r="C28" s="101" cm="1">
        <f t="array" aca="1" ref="C28:K28" ca="1">IF(INDIRECT("'" &amp; $A28 &amp; "'!B5:J5")="", "", INDIRECT("'" &amp; $A28 &amp; "'!B5:J5"))</f>
        <v>40883</v>
      </c>
      <c r="D28" s="101">
        <f ca="1"/>
        <v>79791</v>
      </c>
      <c r="E28" s="101">
        <f ca="1"/>
        <v>-38908</v>
      </c>
      <c r="F28" s="102">
        <f ca="1"/>
        <v>-0.48762391748442807</v>
      </c>
      <c r="G28" s="103">
        <f ca="1"/>
        <v>0</v>
      </c>
      <c r="H28" s="103">
        <f ca="1"/>
        <v>40883</v>
      </c>
      <c r="I28" s="104">
        <f ca="1"/>
        <v>0</v>
      </c>
      <c r="J28" s="18" t="str">
        <f ca="1"/>
        <v xml:space="preserve">1. Inverter 7 tripped offline at 12/05/2023 at 13:00 &amp; back online at 01/24 at 12:15. 
2.  Inverters 2, 5, and 24 tripped offline on 01/23/2024 &amp; back online  on 01/24/2024. </v>
      </c>
      <c r="K28" s="18" t="str">
        <f ca="1"/>
        <v>1.SR078798
2. SR080419</v>
      </c>
    </row>
    <row r="29" spans="1:11" ht="15.75">
      <c r="A29" s="105" t="str">
        <v>701 Carnegie Center</v>
      </c>
      <c r="B29" s="106" t="str">
        <v>NJ</v>
      </c>
      <c r="C29" s="101" cm="1">
        <f t="array" aca="1" ref="C29:K29" ca="1">IF(INDIRECT("'" &amp; $A29 &amp; "'!B5:J5")="", "", INDIRECT("'" &amp; $A29 &amp; "'!B5:J5"))</f>
        <v>36140</v>
      </c>
      <c r="D29" s="101">
        <f ca="1"/>
        <v>59926</v>
      </c>
      <c r="E29" s="101">
        <f ca="1"/>
        <v>-23786</v>
      </c>
      <c r="F29" s="102">
        <f ca="1"/>
        <v>-0.39692287154156791</v>
      </c>
      <c r="G29" s="103">
        <f ca="1"/>
        <v>0</v>
      </c>
      <c r="H29" s="103">
        <f ca="1"/>
        <v>36140</v>
      </c>
      <c r="I29" s="104">
        <f ca="1"/>
        <v>0</v>
      </c>
      <c r="J29" s="18" t="str">
        <f ca="1"/>
        <v/>
      </c>
      <c r="K29" s="18" t="str">
        <f ca="1"/>
        <v/>
      </c>
    </row>
    <row r="30" spans="1:11" ht="15.75">
      <c r="A30" s="99" t="str">
        <v>Hudson County Correction</v>
      </c>
      <c r="B30" s="100" t="str">
        <v>NJ</v>
      </c>
      <c r="C30" s="101" cm="1">
        <f t="array" aca="1" ref="C30:K30" ca="1">IF(INDIRECT("'" &amp; $A30 &amp; "'!B5:J5")="", "", INDIRECT("'" &amp; $A30 &amp; "'!B5:J5"))</f>
        <v>52029.489726129497</v>
      </c>
      <c r="D30" s="101">
        <f ca="1"/>
        <v>59439.43</v>
      </c>
      <c r="E30" s="101">
        <f ca="1"/>
        <v>-7409.940273870503</v>
      </c>
      <c r="F30" s="102">
        <f ca="1"/>
        <v>-0.12466371689416442</v>
      </c>
      <c r="G30" s="103">
        <f ca="1"/>
        <v>87395.78</v>
      </c>
      <c r="H30" s="103">
        <f ca="1"/>
        <v>-35366.290273870502</v>
      </c>
      <c r="I30" s="104">
        <f ca="1"/>
        <v>-0.40466816903368219</v>
      </c>
      <c r="J30" s="18" t="str">
        <f ca="1"/>
        <v/>
      </c>
      <c r="K30" s="18" t="str">
        <f ca="1"/>
        <v xml:space="preserve"> </v>
      </c>
    </row>
    <row r="31" spans="1:11" ht="15.75">
      <c r="A31" s="105" t="str">
        <v>ER Bison Solar</v>
      </c>
      <c r="B31" s="106" t="str">
        <v>PA</v>
      </c>
      <c r="C31" s="101" cm="1">
        <f t="array" aca="1" ref="C31:K31" ca="1">IF(INDIRECT("'" &amp; $A31 &amp; "'!B5:J5")="", "", INDIRECT("'" &amp; $A31 &amp; "'!B5:J5"))</f>
        <v>50310</v>
      </c>
      <c r="D31" s="101">
        <f ca="1"/>
        <v>0</v>
      </c>
      <c r="E31" s="101">
        <f ca="1"/>
        <v>50310</v>
      </c>
      <c r="F31" s="102">
        <f ca="1"/>
        <v>0</v>
      </c>
      <c r="G31" s="103">
        <f ca="1"/>
        <v>100651</v>
      </c>
      <c r="H31" s="103">
        <f ca="1"/>
        <v>-50341</v>
      </c>
      <c r="I31" s="104">
        <f ca="1"/>
        <v>-0.50015399747642841</v>
      </c>
      <c r="J31" s="18" t="str">
        <f ca="1"/>
        <v/>
      </c>
      <c r="K31" s="18" t="str">
        <f ca="1"/>
        <v/>
      </c>
    </row>
    <row r="32" spans="1:11" ht="15.75">
      <c r="A32" s="111" t="str">
        <v>Danville</v>
      </c>
      <c r="B32" s="112" t="str">
        <v>IL</v>
      </c>
      <c r="C32" s="101" cm="1">
        <f t="array" aca="1" ref="C32:K32" ca="1">IF(INDIRECT("'" &amp; $A32 &amp; "'!B5:J5")="", "", INDIRECT("'" &amp; $A32 &amp; "'!B5:J5"))</f>
        <v>119051</v>
      </c>
      <c r="D32" s="101">
        <f ca="1"/>
        <v>0</v>
      </c>
      <c r="E32" s="101">
        <f ca="1"/>
        <v>119051</v>
      </c>
      <c r="F32" s="102">
        <f ca="1"/>
        <v>0</v>
      </c>
      <c r="G32" s="103">
        <f ca="1"/>
        <v>0</v>
      </c>
      <c r="H32" s="103">
        <f ca="1"/>
        <v>119051</v>
      </c>
      <c r="I32" s="104">
        <f ca="1"/>
        <v>0</v>
      </c>
      <c r="J32" s="18" t="str">
        <f ca="1"/>
        <v/>
      </c>
      <c r="K32" s="18" t="str">
        <f ca="1"/>
        <v xml:space="preserve"> </v>
      </c>
    </row>
    <row r="33" spans="1:10" ht="13.5">
      <c r="A33" s="133" t="s">
        <v>11</v>
      </c>
      <c r="B33" s="134"/>
      <c r="C33" s="50">
        <f ca="1">SUM(C3:C31)</f>
        <v>1136616.4659057546</v>
      </c>
      <c r="D33" s="50">
        <f ca="1">SUM(D3:D31)</f>
        <v>1584905.264</v>
      </c>
      <c r="E33" s="50">
        <f ca="1">C33-D33</f>
        <v>-448288.79809424537</v>
      </c>
      <c r="F33" s="41">
        <f ca="1">IFERROR(E33/D33, 0)</f>
        <v>-0.28284895525102211</v>
      </c>
      <c r="G33" s="50">
        <f ca="1">SUM(G3:G31)</f>
        <v>1501477.3230000001</v>
      </c>
      <c r="H33" s="51">
        <f ca="1">C33-G33</f>
        <v>-364860.8570942455</v>
      </c>
      <c r="I33" s="42">
        <f ca="1">IFERROR(H33/G33, 0)</f>
        <v>-0.24300124384512298</v>
      </c>
      <c r="J33" s="87"/>
    </row>
    <row r="34" spans="1:10">
      <c r="J34" s="8"/>
    </row>
    <row r="35" spans="1:10">
      <c r="A35" s="135" t="s">
        <v>12</v>
      </c>
      <c r="J35" s="8"/>
    </row>
    <row r="36" spans="1:10">
      <c r="A36" s="135"/>
      <c r="J36" s="8"/>
    </row>
    <row r="37" spans="1:10">
      <c r="A37" s="136" t="s">
        <v>13</v>
      </c>
      <c r="J37" s="8"/>
    </row>
    <row r="38" spans="1:10">
      <c r="A38" s="136"/>
      <c r="J38" s="8"/>
    </row>
    <row r="39" spans="1:10">
      <c r="J39" s="8"/>
    </row>
  </sheetData>
  <autoFilter ref="A2:I2" xr:uid="{B0362DDA-D4B4-4F79-9A5D-D43AD85A6C79}"/>
  <mergeCells count="8">
    <mergeCell ref="A35:A36"/>
    <mergeCell ref="A37:A38"/>
    <mergeCell ref="A33:B33"/>
    <mergeCell ref="K1:K2"/>
    <mergeCell ref="C1:F1"/>
    <mergeCell ref="G1:I1"/>
    <mergeCell ref="A1:B1"/>
    <mergeCell ref="J1:J2"/>
  </mergeCells>
  <conditionalFormatting sqref="F3:F33 I3:I33">
    <cfRule type="cellIs" dxfId="525" priority="4" operator="lessThanOrEqual">
      <formula>-0.1</formula>
    </cfRule>
    <cfRule type="cellIs" dxfId="524" priority="5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9"/>
  <sheetViews>
    <sheetView workbookViewId="0">
      <pane ySplit="2" topLeftCell="A2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52.140625" bestFit="1" customWidth="1"/>
    <col min="11" max="11" width="14.140625" customWidth="1"/>
  </cols>
  <sheetData>
    <row r="1" spans="1:11" ht="19.5" customHeight="1">
      <c r="A1" s="137" t="str" cm="1">
        <f t="array" ref="A1">portfolio</f>
        <v>Greenbacker</v>
      </c>
      <c r="B1" s="138"/>
      <c r="C1" s="139" t="s">
        <v>24</v>
      </c>
      <c r="D1" s="140"/>
      <c r="E1" s="140"/>
      <c r="F1" s="141"/>
      <c r="G1" s="142" t="s">
        <v>25</v>
      </c>
      <c r="H1" s="142"/>
      <c r="I1" s="143"/>
      <c r="J1" s="131" t="s">
        <v>2</v>
      </c>
      <c r="K1" s="131" t="s">
        <v>3</v>
      </c>
    </row>
    <row r="2" spans="1:11" ht="14.25" customHeight="1">
      <c r="A2" s="45" t="s">
        <v>4</v>
      </c>
      <c r="B2" s="46" t="s">
        <v>5</v>
      </c>
      <c r="C2" s="5" t="s">
        <v>6</v>
      </c>
      <c r="D2" s="43" t="s">
        <v>7</v>
      </c>
      <c r="E2" s="5" t="s">
        <v>8</v>
      </c>
      <c r="F2" s="6" t="s">
        <v>9</v>
      </c>
      <c r="G2" s="44" t="s">
        <v>10</v>
      </c>
      <c r="H2" s="7" t="s">
        <v>8</v>
      </c>
      <c r="I2" s="9" t="s">
        <v>9</v>
      </c>
      <c r="J2" s="132"/>
      <c r="K2" s="132"/>
    </row>
    <row r="3" spans="1:11" ht="15.75">
      <c r="A3" s="107" t="str" cm="1">
        <f t="array" ref="A3:A32">Sites[Site]</f>
        <v>10 Walpole Park South</v>
      </c>
      <c r="B3" s="108" t="str" cm="1">
        <f t="array" ref="B3:B32">Sites[State]</f>
        <v>MA</v>
      </c>
      <c r="C3" s="101" t="str" cm="1">
        <f t="array" aca="1" ref="C3:K3" ca="1">IF(INDIRECT("'" &amp; $A3 &amp; "'!B6:J6")="", "", INDIRECT("'" &amp; $A3 &amp; "'!B6:J6"))</f>
        <v/>
      </c>
      <c r="D3" s="101" t="str">
        <f ca="1"/>
        <v/>
      </c>
      <c r="E3" s="101">
        <f ca="1"/>
        <v>0</v>
      </c>
      <c r="F3" s="109">
        <f ca="1"/>
        <v>0</v>
      </c>
      <c r="G3" s="103" t="str">
        <f ca="1"/>
        <v/>
      </c>
      <c r="H3" s="103">
        <f ca="1"/>
        <v>0</v>
      </c>
      <c r="I3" s="110">
        <f ca="1"/>
        <v>0</v>
      </c>
      <c r="J3" s="18" t="str">
        <f ca="1"/>
        <v/>
      </c>
      <c r="K3" s="18" t="str">
        <f ca="1"/>
        <v xml:space="preserve"> </v>
      </c>
    </row>
    <row r="4" spans="1:11" ht="15.75">
      <c r="A4" s="99" t="str">
        <v>15 Walpole Park South</v>
      </c>
      <c r="B4" s="100" t="str">
        <v>MA</v>
      </c>
      <c r="C4" s="101" t="str" cm="1">
        <f t="array" aca="1" ref="C4:K4" ca="1">IF(INDIRECT("'" &amp; $A4 &amp; "'!B6:J6")="", "", INDIRECT("'" &amp; $A4 &amp; "'!B6:J6"))</f>
        <v/>
      </c>
      <c r="D4" s="101" t="str">
        <f ca="1"/>
        <v/>
      </c>
      <c r="E4" s="101">
        <f ca="1"/>
        <v>0</v>
      </c>
      <c r="F4" s="102">
        <f ca="1"/>
        <v>0</v>
      </c>
      <c r="G4" s="103" t="str">
        <f ca="1"/>
        <v/>
      </c>
      <c r="H4" s="103">
        <f ca="1"/>
        <v>0</v>
      </c>
      <c r="I4" s="104">
        <f ca="1"/>
        <v>0</v>
      </c>
      <c r="J4" s="18" t="str">
        <f ca="1"/>
        <v/>
      </c>
      <c r="K4" s="18" t="str">
        <f ca="1"/>
        <v xml:space="preserve"> </v>
      </c>
    </row>
    <row r="5" spans="1:11" ht="15.75">
      <c r="A5" s="105" t="str">
        <v>19 Walpole Park South</v>
      </c>
      <c r="B5" s="106" t="str">
        <v>MA</v>
      </c>
      <c r="C5" s="101" t="str" cm="1">
        <f t="array" aca="1" ref="C5:K5" ca="1">IF(INDIRECT("'" &amp; $A5 &amp; "'!B6:J6")="", "", INDIRECT("'" &amp; $A5 &amp; "'!B6:J6"))</f>
        <v/>
      </c>
      <c r="D5" s="101" t="str">
        <f ca="1"/>
        <v/>
      </c>
      <c r="E5" s="101">
        <f ca="1"/>
        <v>0</v>
      </c>
      <c r="F5" s="102">
        <f ca="1"/>
        <v>0</v>
      </c>
      <c r="G5" s="103" t="str">
        <f ca="1"/>
        <v/>
      </c>
      <c r="H5" s="103">
        <f ca="1"/>
        <v>0</v>
      </c>
      <c r="I5" s="104">
        <f ca="1"/>
        <v>0</v>
      </c>
      <c r="J5" s="18" t="str">
        <f ca="1"/>
        <v/>
      </c>
      <c r="K5" s="18" t="str">
        <f ca="1"/>
        <v xml:space="preserve"> </v>
      </c>
    </row>
    <row r="6" spans="1:11" ht="15.75">
      <c r="A6" s="99" t="str">
        <v>23 Walpole Park South</v>
      </c>
      <c r="B6" s="100" t="str">
        <v>MA</v>
      </c>
      <c r="C6" s="101" t="str" cm="1">
        <f t="array" aca="1" ref="C6:K6" ca="1">IF(INDIRECT("'" &amp; $A6 &amp; "'!B6:J6")="", "", INDIRECT("'" &amp; $A6 &amp; "'!B6:J6"))</f>
        <v/>
      </c>
      <c r="D6" s="101" t="str">
        <f ca="1"/>
        <v/>
      </c>
      <c r="E6" s="101">
        <f ca="1"/>
        <v>0</v>
      </c>
      <c r="F6" s="102">
        <f ca="1"/>
        <v>0</v>
      </c>
      <c r="G6" s="103" t="str">
        <f ca="1"/>
        <v/>
      </c>
      <c r="H6" s="103">
        <f ca="1"/>
        <v>0</v>
      </c>
      <c r="I6" s="104">
        <f ca="1"/>
        <v>0</v>
      </c>
      <c r="J6" s="18" t="str">
        <f ca="1"/>
        <v/>
      </c>
      <c r="K6" s="18" t="str">
        <f ca="1"/>
        <v xml:space="preserve"> </v>
      </c>
    </row>
    <row r="7" spans="1:11" ht="15.75">
      <c r="A7" s="105" t="str">
        <v>24 Walpole Park South</v>
      </c>
      <c r="B7" s="106" t="str">
        <v>MA</v>
      </c>
      <c r="C7" s="101" t="str" cm="1">
        <f t="array" aca="1" ref="C7:K7" ca="1">IF(INDIRECT("'" &amp; $A7 &amp; "'!B6:J6")="", "", INDIRECT("'" &amp; $A7 &amp; "'!B6:J6"))</f>
        <v/>
      </c>
      <c r="D7" s="101" t="str">
        <f ca="1"/>
        <v/>
      </c>
      <c r="E7" s="101">
        <f ca="1"/>
        <v>0</v>
      </c>
      <c r="F7" s="102">
        <f ca="1"/>
        <v>0</v>
      </c>
      <c r="G7" s="103" t="str">
        <f ca="1"/>
        <v/>
      </c>
      <c r="H7" s="103">
        <f ca="1"/>
        <v>0</v>
      </c>
      <c r="I7" s="104">
        <f ca="1"/>
        <v>0</v>
      </c>
      <c r="J7" s="18" t="str">
        <f ca="1"/>
        <v/>
      </c>
      <c r="K7" s="18" t="str">
        <f ca="1"/>
        <v/>
      </c>
    </row>
    <row r="8" spans="1:11" ht="15.75">
      <c r="A8" s="99" t="str">
        <v>25 Walpole Park South</v>
      </c>
      <c r="B8" s="100" t="str">
        <v>MA</v>
      </c>
      <c r="C8" s="101" t="str" cm="1">
        <f t="array" aca="1" ref="C8:K8" ca="1">IF(INDIRECT("'" &amp; $A8 &amp; "'!B6:J6")="", "", INDIRECT("'" &amp; $A8 &amp; "'!B6:J6"))</f>
        <v/>
      </c>
      <c r="D8" s="101" t="str">
        <f ca="1"/>
        <v/>
      </c>
      <c r="E8" s="101">
        <f ca="1"/>
        <v>0</v>
      </c>
      <c r="F8" s="102">
        <f ca="1"/>
        <v>0</v>
      </c>
      <c r="G8" s="103" t="str">
        <f ca="1"/>
        <v/>
      </c>
      <c r="H8" s="103">
        <f ca="1"/>
        <v>0</v>
      </c>
      <c r="I8" s="104">
        <f ca="1"/>
        <v>0</v>
      </c>
      <c r="J8" s="18" t="str">
        <f ca="1"/>
        <v/>
      </c>
      <c r="K8" s="18" t="str">
        <f ca="1"/>
        <v/>
      </c>
    </row>
    <row r="9" spans="1:11" ht="15.75">
      <c r="A9" s="105" t="str">
        <v>3 Walpole Park South</v>
      </c>
      <c r="B9" s="106" t="str">
        <v>MA</v>
      </c>
      <c r="C9" s="101" t="str" cm="1">
        <f t="array" aca="1" ref="C9:K9" ca="1">IF(INDIRECT("'" &amp; $A9 &amp; "'!B6:J6")="", "", INDIRECT("'" &amp; $A9 &amp; "'!B6:J6"))</f>
        <v/>
      </c>
      <c r="D9" s="101" t="str">
        <f ca="1"/>
        <v/>
      </c>
      <c r="E9" s="101">
        <f ca="1"/>
        <v>0</v>
      </c>
      <c r="F9" s="102">
        <f ca="1"/>
        <v>0</v>
      </c>
      <c r="G9" s="103" t="str">
        <f ca="1"/>
        <v/>
      </c>
      <c r="H9" s="103">
        <f ca="1"/>
        <v>0</v>
      </c>
      <c r="I9" s="104">
        <f ca="1"/>
        <v>0</v>
      </c>
      <c r="J9" s="18" t="str">
        <f ca="1"/>
        <v/>
      </c>
      <c r="K9" s="18" t="str">
        <f ca="1"/>
        <v/>
      </c>
    </row>
    <row r="10" spans="1:11" ht="15.75">
      <c r="A10" s="99" t="str">
        <v>4 Walpole Park South</v>
      </c>
      <c r="B10" s="100" t="str">
        <v>MA</v>
      </c>
      <c r="C10" s="101" t="str" cm="1">
        <f t="array" aca="1" ref="C10:K10" ca="1">IF(INDIRECT("'" &amp; $A10 &amp; "'!B6:J6")="", "", INDIRECT("'" &amp; $A10 &amp; "'!B6:J6"))</f>
        <v/>
      </c>
      <c r="D10" s="101" t="str">
        <f ca="1"/>
        <v/>
      </c>
      <c r="E10" s="101">
        <f ca="1"/>
        <v>0</v>
      </c>
      <c r="F10" s="102">
        <f ca="1"/>
        <v>0</v>
      </c>
      <c r="G10" s="103" t="str">
        <f ca="1"/>
        <v/>
      </c>
      <c r="H10" s="103">
        <f ca="1"/>
        <v>0</v>
      </c>
      <c r="I10" s="104">
        <f ca="1"/>
        <v>0</v>
      </c>
      <c r="J10" s="18" t="str">
        <f ca="1"/>
        <v/>
      </c>
      <c r="K10" s="18" t="str">
        <f ca="1"/>
        <v xml:space="preserve"> </v>
      </c>
    </row>
    <row r="11" spans="1:11" ht="15.75">
      <c r="A11" s="105" t="str">
        <v>Brockton</v>
      </c>
      <c r="B11" s="106" t="str">
        <v>MA</v>
      </c>
      <c r="C11" s="101" t="str" cm="1">
        <f t="array" aca="1" ref="C11:K11" ca="1">IF(INDIRECT("'" &amp; $A11 &amp; "'!B6:J6")="", "", INDIRECT("'" &amp; $A11 &amp; "'!B6:J6"))</f>
        <v/>
      </c>
      <c r="D11" s="101" t="str">
        <f ca="1"/>
        <v/>
      </c>
      <c r="E11" s="101">
        <f ca="1"/>
        <v>0</v>
      </c>
      <c r="F11" s="102">
        <f ca="1"/>
        <v>0</v>
      </c>
      <c r="G11" s="103" t="str">
        <f ca="1"/>
        <v/>
      </c>
      <c r="H11" s="103">
        <f ca="1"/>
        <v>0</v>
      </c>
      <c r="I11" s="104">
        <f ca="1"/>
        <v>0</v>
      </c>
      <c r="J11" s="18" t="str">
        <f ca="1"/>
        <v/>
      </c>
      <c r="K11" s="18" t="str">
        <f ca="1"/>
        <v/>
      </c>
    </row>
    <row r="12" spans="1:11" ht="15.75">
      <c r="A12" s="99" t="str">
        <v>Canton</v>
      </c>
      <c r="B12" s="100" t="str">
        <v>MA</v>
      </c>
      <c r="C12" s="101" t="str" cm="1">
        <f t="array" aca="1" ref="C12:K12" ca="1">IF(INDIRECT("'" &amp; $A12 &amp; "'!B6:J6")="", "", INDIRECT("'" &amp; $A12 &amp; "'!B6:J6"))</f>
        <v/>
      </c>
      <c r="D12" s="101" t="str">
        <f ca="1"/>
        <v/>
      </c>
      <c r="E12" s="101">
        <f ca="1"/>
        <v>0</v>
      </c>
      <c r="F12" s="102">
        <f ca="1"/>
        <v>0</v>
      </c>
      <c r="G12" s="103" t="str">
        <f ca="1"/>
        <v/>
      </c>
      <c r="H12" s="103">
        <f ca="1"/>
        <v>0</v>
      </c>
      <c r="I12" s="104">
        <f ca="1"/>
        <v>0</v>
      </c>
      <c r="J12" s="18" t="str">
        <f ca="1"/>
        <v/>
      </c>
      <c r="K12" s="18" t="str">
        <f ca="1"/>
        <v/>
      </c>
    </row>
    <row r="13" spans="1:11" ht="15.75">
      <c r="A13" s="105" t="str">
        <v>Chelsea</v>
      </c>
      <c r="B13" s="106" t="str">
        <v>MA</v>
      </c>
      <c r="C13" s="101" t="str" cm="1">
        <f t="array" aca="1" ref="C13:K13" ca="1">IF(INDIRECT("'" &amp; $A13 &amp; "'!B6:J6")="", "", INDIRECT("'" &amp; $A13 &amp; "'!B6:J6"))</f>
        <v/>
      </c>
      <c r="D13" s="101" t="str">
        <f ca="1"/>
        <v/>
      </c>
      <c r="E13" s="101">
        <f ca="1"/>
        <v>0</v>
      </c>
      <c r="F13" s="102">
        <f ca="1"/>
        <v>0</v>
      </c>
      <c r="G13" s="103" t="str">
        <f ca="1"/>
        <v/>
      </c>
      <c r="H13" s="103">
        <f ca="1"/>
        <v>0</v>
      </c>
      <c r="I13" s="104">
        <f ca="1"/>
        <v>0</v>
      </c>
      <c r="J13" s="18" t="str">
        <f ca="1"/>
        <v/>
      </c>
      <c r="K13" s="18" t="str">
        <f ca="1"/>
        <v/>
      </c>
    </row>
    <row r="14" spans="1:11" ht="15.75">
      <c r="A14" s="99" t="str">
        <v>Hamilton Landfill</v>
      </c>
      <c r="B14" s="100" t="str">
        <v>MA</v>
      </c>
      <c r="C14" s="101" t="str" cm="1">
        <f t="array" aca="1" ref="C14:K14" ca="1">IF(INDIRECT("'" &amp; $A14 &amp; "'!B6:J6")="", "", INDIRECT("'" &amp; $A14 &amp; "'!B6:J6"))</f>
        <v/>
      </c>
      <c r="D14" s="101" t="str">
        <f ca="1"/>
        <v/>
      </c>
      <c r="E14" s="101">
        <f ca="1"/>
        <v>0</v>
      </c>
      <c r="F14" s="102">
        <f ca="1"/>
        <v>0</v>
      </c>
      <c r="G14" s="103" t="str">
        <f ca="1"/>
        <v/>
      </c>
      <c r="H14" s="103">
        <f ca="1"/>
        <v>0</v>
      </c>
      <c r="I14" s="104">
        <f ca="1"/>
        <v>0</v>
      </c>
      <c r="J14" s="18" t="str">
        <f ca="1"/>
        <v/>
      </c>
      <c r="K14" s="18" t="str">
        <f ca="1"/>
        <v/>
      </c>
    </row>
    <row r="15" spans="1:11" ht="15.75">
      <c r="A15" s="105" t="str">
        <v>Holliston</v>
      </c>
      <c r="B15" s="106" t="str">
        <v>MA</v>
      </c>
      <c r="C15" s="101" t="str" cm="1">
        <f t="array" aca="1" ref="C15:K15" ca="1">IF(INDIRECT("'" &amp; $A15 &amp; "'!B6:J6")="", "", INDIRECT("'" &amp; $A15 &amp; "'!B6:J6"))</f>
        <v/>
      </c>
      <c r="D15" s="101" t="str">
        <f ca="1"/>
        <v/>
      </c>
      <c r="E15" s="101">
        <f ca="1"/>
        <v>0</v>
      </c>
      <c r="F15" s="102">
        <f ca="1"/>
        <v>0</v>
      </c>
      <c r="G15" s="103" t="str">
        <f ca="1"/>
        <v/>
      </c>
      <c r="H15" s="103">
        <f ca="1"/>
        <v>0</v>
      </c>
      <c r="I15" s="104">
        <f ca="1"/>
        <v>0</v>
      </c>
      <c r="J15" s="18" t="str">
        <f ca="1"/>
        <v/>
      </c>
      <c r="K15" s="18" t="str">
        <f ca="1"/>
        <v/>
      </c>
    </row>
    <row r="16" spans="1:11" ht="15.75">
      <c r="A16" s="99" t="str">
        <v>Natick HS - Carports</v>
      </c>
      <c r="B16" s="100" t="str">
        <v>MA</v>
      </c>
      <c r="C16" s="101" t="str" cm="1">
        <f t="array" aca="1" ref="C16:K16" ca="1">IF(INDIRECT("'" &amp; $A16 &amp; "'!B6:J6")="", "", INDIRECT("'" &amp; $A16 &amp; "'!B6:J6"))</f>
        <v/>
      </c>
      <c r="D16" s="101" t="str">
        <f ca="1"/>
        <v/>
      </c>
      <c r="E16" s="101">
        <f ca="1"/>
        <v>0</v>
      </c>
      <c r="F16" s="102">
        <f ca="1"/>
        <v>0</v>
      </c>
      <c r="G16" s="103" t="str">
        <f ca="1"/>
        <v/>
      </c>
      <c r="H16" s="103">
        <f ca="1"/>
        <v>0</v>
      </c>
      <c r="I16" s="104">
        <f ca="1"/>
        <v>0</v>
      </c>
      <c r="J16" s="18" t="str">
        <f ca="1"/>
        <v/>
      </c>
      <c r="K16" s="18" t="str">
        <f ca="1"/>
        <v/>
      </c>
    </row>
    <row r="17" spans="1:11" ht="15.75">
      <c r="A17" s="105" t="str">
        <v>Norton</v>
      </c>
      <c r="B17" s="106" t="str">
        <v>MA</v>
      </c>
      <c r="C17" s="101" t="str" cm="1">
        <f t="array" aca="1" ref="C17:K17" ca="1">IF(INDIRECT("'" &amp; $A17 &amp; "'!B6:J6")="", "", INDIRECT("'" &amp; $A17 &amp; "'!B6:J6"))</f>
        <v/>
      </c>
      <c r="D17" s="101" t="str">
        <f ca="1"/>
        <v/>
      </c>
      <c r="E17" s="101">
        <f ca="1"/>
        <v>0</v>
      </c>
      <c r="F17" s="102">
        <f ca="1"/>
        <v>0</v>
      </c>
      <c r="G17" s="103" t="str">
        <f ca="1"/>
        <v/>
      </c>
      <c r="H17" s="103">
        <f ca="1"/>
        <v>0</v>
      </c>
      <c r="I17" s="104">
        <f ca="1"/>
        <v>0</v>
      </c>
      <c r="J17" s="18" t="str">
        <f ca="1"/>
        <v/>
      </c>
      <c r="K17" s="18" t="str">
        <f ca="1"/>
        <v/>
      </c>
    </row>
    <row r="18" spans="1:11" ht="15.75">
      <c r="A18" s="99" t="str">
        <v>Palmer - Boston Rd.</v>
      </c>
      <c r="B18" s="100" t="str">
        <v>MA</v>
      </c>
      <c r="C18" s="101" t="str" cm="1">
        <f t="array" aca="1" ref="C18:K18" ca="1">IF(INDIRECT("'" &amp; $A18 &amp; "'!B6:J6")="", "", INDIRECT("'" &amp; $A18 &amp; "'!B6:J6"))</f>
        <v/>
      </c>
      <c r="D18" s="101" t="str">
        <f ca="1"/>
        <v/>
      </c>
      <c r="E18" s="101">
        <f ca="1"/>
        <v>0</v>
      </c>
      <c r="F18" s="102">
        <f ca="1"/>
        <v>0</v>
      </c>
      <c r="G18" s="103" t="str">
        <f ca="1"/>
        <v/>
      </c>
      <c r="H18" s="103">
        <f ca="1"/>
        <v>0</v>
      </c>
      <c r="I18" s="104">
        <f ca="1"/>
        <v>0</v>
      </c>
      <c r="J18" s="18" t="str">
        <f ca="1"/>
        <v/>
      </c>
      <c r="K18" s="18" t="str">
        <f ca="1"/>
        <v/>
      </c>
    </row>
    <row r="19" spans="1:11" ht="15.75">
      <c r="A19" s="105" t="str">
        <v>Shirley Bartkus</v>
      </c>
      <c r="B19" s="106" t="str">
        <v>MA</v>
      </c>
      <c r="C19" s="101" t="str" cm="1">
        <f t="array" aca="1" ref="C19:K19" ca="1">IF(INDIRECT("'" &amp; $A19 &amp; "'!B6:J6")="", "", INDIRECT("'" &amp; $A19 &amp; "'!B6:J6"))</f>
        <v/>
      </c>
      <c r="D19" s="101" t="str">
        <f ca="1"/>
        <v/>
      </c>
      <c r="E19" s="101">
        <f ca="1"/>
        <v>0</v>
      </c>
      <c r="F19" s="102">
        <f ca="1"/>
        <v>0</v>
      </c>
      <c r="G19" s="103" t="str">
        <f ca="1"/>
        <v/>
      </c>
      <c r="H19" s="103">
        <f ca="1"/>
        <v>0</v>
      </c>
      <c r="I19" s="104">
        <f ca="1"/>
        <v>0</v>
      </c>
      <c r="J19" s="18" t="str">
        <f ca="1"/>
        <v/>
      </c>
      <c r="K19" s="18" t="str">
        <f ca="1"/>
        <v/>
      </c>
    </row>
    <row r="20" spans="1:11" ht="15.75">
      <c r="A20" s="99" t="str">
        <v>Stoughton</v>
      </c>
      <c r="B20" s="100" t="str">
        <v>MA</v>
      </c>
      <c r="C20" s="101" t="str" cm="1">
        <f t="array" aca="1" ref="C20:K20" ca="1">IF(INDIRECT("'" &amp; $A20 &amp; "'!B6:J6")="", "", INDIRECT("'" &amp; $A20 &amp; "'!B6:J6"))</f>
        <v/>
      </c>
      <c r="D20" s="101" t="str">
        <f ca="1"/>
        <v/>
      </c>
      <c r="E20" s="101">
        <f ca="1"/>
        <v>0</v>
      </c>
      <c r="F20" s="102">
        <f ca="1"/>
        <v>0</v>
      </c>
      <c r="G20" s="103" t="str">
        <f ca="1"/>
        <v/>
      </c>
      <c r="H20" s="103">
        <f ca="1"/>
        <v>0</v>
      </c>
      <c r="I20" s="104">
        <f ca="1"/>
        <v>0</v>
      </c>
      <c r="J20" s="18" t="str">
        <f ca="1"/>
        <v/>
      </c>
      <c r="K20" s="18" t="str">
        <f ca="1"/>
        <v/>
      </c>
    </row>
    <row r="21" spans="1:11" ht="15.75">
      <c r="A21" s="105" t="str">
        <v>Wellfleet Landfill</v>
      </c>
      <c r="B21" s="106" t="str">
        <v>MA</v>
      </c>
      <c r="C21" s="101" t="str" cm="1">
        <f t="array" aca="1" ref="C21:K21" ca="1">IF(INDIRECT("'" &amp; $A21 &amp; "'!B6:J6")="", "", INDIRECT("'" &amp; $A21 &amp; "'!B6:J6"))</f>
        <v/>
      </c>
      <c r="D21" s="101" t="str">
        <f ca="1"/>
        <v/>
      </c>
      <c r="E21" s="101">
        <f ca="1"/>
        <v>0</v>
      </c>
      <c r="F21" s="102">
        <f ca="1"/>
        <v>0</v>
      </c>
      <c r="G21" s="103" t="str">
        <f ca="1"/>
        <v/>
      </c>
      <c r="H21" s="103">
        <f ca="1"/>
        <v>0</v>
      </c>
      <c r="I21" s="104">
        <f ca="1"/>
        <v>0</v>
      </c>
      <c r="J21" s="18" t="str">
        <f ca="1"/>
        <v/>
      </c>
      <c r="K21" s="18" t="str">
        <f ca="1"/>
        <v/>
      </c>
    </row>
    <row r="22" spans="1:11" ht="15.75">
      <c r="A22" s="99" t="str">
        <v>Wilmington Garage &amp; Building 7</v>
      </c>
      <c r="B22" s="100" t="str">
        <v>MA</v>
      </c>
      <c r="C22" s="101" t="str" cm="1">
        <f t="array" aca="1" ref="C22:K22" ca="1">IF(INDIRECT("'" &amp; $A22 &amp; "'!B6:J6")="", "", INDIRECT("'" &amp; $A22 &amp; "'!B6:J6"))</f>
        <v/>
      </c>
      <c r="D22" s="101" t="str">
        <f ca="1"/>
        <v/>
      </c>
      <c r="E22" s="101">
        <f ca="1"/>
        <v>0</v>
      </c>
      <c r="F22" s="102">
        <f ca="1"/>
        <v>0</v>
      </c>
      <c r="G22" s="103" t="str">
        <f ca="1"/>
        <v/>
      </c>
      <c r="H22" s="103">
        <f ca="1"/>
        <v>0</v>
      </c>
      <c r="I22" s="104">
        <f ca="1"/>
        <v>0</v>
      </c>
      <c r="J22" s="18" t="str">
        <f ca="1"/>
        <v/>
      </c>
      <c r="K22" s="18" t="str">
        <f ca="1"/>
        <v/>
      </c>
    </row>
    <row r="23" spans="1:11" ht="15.75">
      <c r="A23" s="105" t="str">
        <v>Woburn</v>
      </c>
      <c r="B23" s="106" t="str">
        <v>MA</v>
      </c>
      <c r="C23" s="101" t="str" cm="1">
        <f t="array" aca="1" ref="C23:K23" ca="1">IF(INDIRECT("'" &amp; $A23 &amp; "'!B6:J6")="", "", INDIRECT("'" &amp; $A23 &amp; "'!B6:J6"))</f>
        <v/>
      </c>
      <c r="D23" s="101" t="str">
        <f ca="1"/>
        <v/>
      </c>
      <c r="E23" s="101">
        <f ca="1"/>
        <v>0</v>
      </c>
      <c r="F23" s="102">
        <f ca="1"/>
        <v>0</v>
      </c>
      <c r="G23" s="103" t="str">
        <f ca="1"/>
        <v/>
      </c>
      <c r="H23" s="103">
        <f ca="1"/>
        <v>0</v>
      </c>
      <c r="I23" s="104">
        <f ca="1"/>
        <v>0</v>
      </c>
      <c r="J23" s="18" t="str">
        <f ca="1"/>
        <v/>
      </c>
      <c r="K23" s="18" t="str">
        <f ca="1"/>
        <v/>
      </c>
    </row>
    <row r="24" spans="1:11" ht="15.75">
      <c r="A24" s="99" t="str">
        <v>Friendship Solar 1</v>
      </c>
      <c r="B24" s="100" t="str">
        <v>MD</v>
      </c>
      <c r="C24" s="101" t="str" cm="1">
        <f t="array" aca="1" ref="C24:K24" ca="1">IF(INDIRECT("'" &amp; $A24 &amp; "'!B6:J6")="", "", INDIRECT("'" &amp; $A24 &amp; "'!B6:J6"))</f>
        <v/>
      </c>
      <c r="D24" s="101" t="str">
        <f ca="1"/>
        <v/>
      </c>
      <c r="E24" s="101">
        <f ca="1"/>
        <v>0</v>
      </c>
      <c r="F24" s="102">
        <f ca="1"/>
        <v>0</v>
      </c>
      <c r="G24" s="103" t="str">
        <f ca="1"/>
        <v/>
      </c>
      <c r="H24" s="103">
        <f ca="1"/>
        <v>0</v>
      </c>
      <c r="I24" s="104">
        <f ca="1"/>
        <v>0</v>
      </c>
      <c r="J24" s="18" t="str">
        <f ca="1"/>
        <v/>
      </c>
      <c r="K24" s="18" t="str">
        <f ca="1"/>
        <v/>
      </c>
    </row>
    <row r="25" spans="1:11" ht="15.75">
      <c r="A25" s="105" t="str">
        <v>Friendship Solar 2</v>
      </c>
      <c r="B25" s="106" t="str">
        <v>MD</v>
      </c>
      <c r="C25" s="101" t="str" cm="1">
        <f t="array" aca="1" ref="C25:K25" ca="1">IF(INDIRECT("'" &amp; $A25 &amp; "'!B6:J6")="", "", INDIRECT("'" &amp; $A25 &amp; "'!B6:J6"))</f>
        <v/>
      </c>
      <c r="D25" s="101" t="str">
        <f ca="1"/>
        <v/>
      </c>
      <c r="E25" s="101">
        <f ca="1"/>
        <v>0</v>
      </c>
      <c r="F25" s="102">
        <f ca="1"/>
        <v>0</v>
      </c>
      <c r="G25" s="103" t="str">
        <f ca="1"/>
        <v/>
      </c>
      <c r="H25" s="103">
        <f ca="1"/>
        <v>0</v>
      </c>
      <c r="I25" s="104">
        <f ca="1"/>
        <v>0</v>
      </c>
      <c r="J25" s="18" t="str">
        <f ca="1"/>
        <v/>
      </c>
      <c r="K25" s="18" t="str">
        <f ca="1"/>
        <v/>
      </c>
    </row>
    <row r="26" spans="1:11" ht="15.75">
      <c r="A26" s="99" t="str">
        <v>101 Carnegie Center</v>
      </c>
      <c r="B26" s="100" t="str">
        <v>NJ</v>
      </c>
      <c r="C26" s="101" t="str" cm="1">
        <f t="array" aca="1" ref="C26:K26" ca="1">IF(INDIRECT("'" &amp; $A26 &amp; "'!B6:J6")="", "", INDIRECT("'" &amp; $A26 &amp; "'!B6:J6"))</f>
        <v/>
      </c>
      <c r="D26" s="101" t="str">
        <f ca="1"/>
        <v/>
      </c>
      <c r="E26" s="101">
        <f ca="1"/>
        <v>0</v>
      </c>
      <c r="F26" s="102">
        <f ca="1"/>
        <v>0</v>
      </c>
      <c r="G26" s="103" t="str">
        <f ca="1"/>
        <v/>
      </c>
      <c r="H26" s="103">
        <f ca="1"/>
        <v>0</v>
      </c>
      <c r="I26" s="104">
        <f ca="1"/>
        <v>0</v>
      </c>
      <c r="J26" s="18" t="str">
        <f ca="1"/>
        <v/>
      </c>
      <c r="K26" s="18" t="str">
        <f ca="1"/>
        <v/>
      </c>
    </row>
    <row r="27" spans="1:11" ht="15.75">
      <c r="A27" s="105" t="str">
        <v>302 Carnegie Center</v>
      </c>
      <c r="B27" s="106" t="str">
        <v>NJ</v>
      </c>
      <c r="C27" s="101" t="str" cm="1">
        <f t="array" aca="1" ref="C27:K27" ca="1">IF(INDIRECT("'" &amp; $A27 &amp; "'!B6:J6")="", "", INDIRECT("'" &amp; $A27 &amp; "'!B6:J6"))</f>
        <v/>
      </c>
      <c r="D27" s="101" t="str">
        <f ca="1"/>
        <v/>
      </c>
      <c r="E27" s="101">
        <f ca="1"/>
        <v>0</v>
      </c>
      <c r="F27" s="102">
        <f ca="1"/>
        <v>0</v>
      </c>
      <c r="G27" s="103" t="str">
        <f ca="1"/>
        <v/>
      </c>
      <c r="H27" s="103">
        <f ca="1"/>
        <v>0</v>
      </c>
      <c r="I27" s="104">
        <f ca="1"/>
        <v>0</v>
      </c>
      <c r="J27" s="18" t="str">
        <f ca="1"/>
        <v/>
      </c>
      <c r="K27" s="18" t="str">
        <f ca="1"/>
        <v/>
      </c>
    </row>
    <row r="28" spans="1:11" ht="15.75">
      <c r="A28" s="99" t="str">
        <v>510 Carnegie Center</v>
      </c>
      <c r="B28" s="100" t="str">
        <v>NJ</v>
      </c>
      <c r="C28" s="101" t="str" cm="1">
        <f t="array" aca="1" ref="C28:K28" ca="1">IF(INDIRECT("'" &amp; $A28 &amp; "'!B6:J6")="", "", INDIRECT("'" &amp; $A28 &amp; "'!B6:J6"))</f>
        <v/>
      </c>
      <c r="D28" s="101" t="str">
        <f ca="1"/>
        <v/>
      </c>
      <c r="E28" s="101">
        <f ca="1"/>
        <v>0</v>
      </c>
      <c r="F28" s="102">
        <f ca="1"/>
        <v>0</v>
      </c>
      <c r="G28" s="103" t="str">
        <f ca="1"/>
        <v/>
      </c>
      <c r="H28" s="103">
        <f ca="1"/>
        <v>0</v>
      </c>
      <c r="I28" s="104">
        <f ca="1"/>
        <v>0</v>
      </c>
      <c r="J28" s="18" t="str">
        <f ca="1"/>
        <v/>
      </c>
      <c r="K28" s="18" t="str">
        <f ca="1"/>
        <v/>
      </c>
    </row>
    <row r="29" spans="1:11" ht="15.75">
      <c r="A29" s="105" t="str">
        <v>701 Carnegie Center</v>
      </c>
      <c r="B29" s="106" t="str">
        <v>NJ</v>
      </c>
      <c r="C29" s="101" t="str" cm="1">
        <f t="array" aca="1" ref="C29:K29" ca="1">IF(INDIRECT("'" &amp; $A29 &amp; "'!B6:J6")="", "", INDIRECT("'" &amp; $A29 &amp; "'!B6:J6"))</f>
        <v/>
      </c>
      <c r="D29" s="101" t="str">
        <f ca="1"/>
        <v/>
      </c>
      <c r="E29" s="101">
        <f ca="1"/>
        <v>0</v>
      </c>
      <c r="F29" s="102">
        <f ca="1"/>
        <v>0</v>
      </c>
      <c r="G29" s="103" t="str">
        <f ca="1"/>
        <v/>
      </c>
      <c r="H29" s="103">
        <f ca="1"/>
        <v>0</v>
      </c>
      <c r="I29" s="104">
        <f ca="1"/>
        <v>0</v>
      </c>
      <c r="J29" s="18" t="str">
        <f ca="1"/>
        <v/>
      </c>
      <c r="K29" s="18" t="str">
        <f ca="1"/>
        <v/>
      </c>
    </row>
    <row r="30" spans="1:11" ht="15.75">
      <c r="A30" s="99" t="str">
        <v>Hudson County Correction</v>
      </c>
      <c r="B30" s="100" t="str">
        <v>NJ</v>
      </c>
      <c r="C30" s="101" t="str" cm="1">
        <f t="array" aca="1" ref="C30:K30" ca="1">IF(INDIRECT("'" &amp; $A30 &amp; "'!B6:J6")="", "", INDIRECT("'" &amp; $A30 &amp; "'!B6:J6"))</f>
        <v/>
      </c>
      <c r="D30" s="101" t="str">
        <f ca="1"/>
        <v/>
      </c>
      <c r="E30" s="101">
        <f ca="1"/>
        <v>0</v>
      </c>
      <c r="F30" s="102">
        <f ca="1"/>
        <v>0</v>
      </c>
      <c r="G30" s="103" t="str">
        <f ca="1"/>
        <v/>
      </c>
      <c r="H30" s="103">
        <f ca="1"/>
        <v>0</v>
      </c>
      <c r="I30" s="104">
        <f ca="1"/>
        <v>0</v>
      </c>
      <c r="J30" s="18" t="str">
        <f ca="1"/>
        <v/>
      </c>
      <c r="K30" s="18" t="str">
        <f ca="1"/>
        <v/>
      </c>
    </row>
    <row r="31" spans="1:11" ht="15.75">
      <c r="A31" s="105" t="str">
        <v>ER Bison Solar</v>
      </c>
      <c r="B31" s="106" t="str">
        <v>PA</v>
      </c>
      <c r="C31" s="101" t="str" cm="1">
        <f t="array" aca="1" ref="C31:K31" ca="1">IF(INDIRECT("'" &amp; $A31 &amp; "'!B6:J6")="", "", INDIRECT("'" &amp; $A31 &amp; "'!B6:J6"))</f>
        <v/>
      </c>
      <c r="D31" s="101" t="str">
        <f ca="1"/>
        <v/>
      </c>
      <c r="E31" s="101">
        <f ca="1"/>
        <v>0</v>
      </c>
      <c r="F31" s="102">
        <f ca="1"/>
        <v>0</v>
      </c>
      <c r="G31" s="103" t="str">
        <f ca="1"/>
        <v/>
      </c>
      <c r="H31" s="103">
        <f ca="1"/>
        <v>0</v>
      </c>
      <c r="I31" s="104">
        <f ca="1"/>
        <v>0</v>
      </c>
      <c r="J31" s="18" t="str">
        <f ca="1"/>
        <v/>
      </c>
      <c r="K31" s="18" t="str">
        <f ca="1"/>
        <v/>
      </c>
    </row>
    <row r="32" spans="1:11" ht="15.75">
      <c r="A32" s="111" t="str">
        <v>Danville</v>
      </c>
      <c r="B32" s="112" t="str">
        <v>IL</v>
      </c>
      <c r="C32" s="101" t="str" cm="1">
        <f t="array" aca="1" ref="C32:K32" ca="1">IF(INDIRECT("'" &amp; $A32 &amp; "'!B6:J6")="", "", INDIRECT("'" &amp; $A32 &amp; "'!B6:J6"))</f>
        <v/>
      </c>
      <c r="D32" s="101" t="str">
        <f ca="1"/>
        <v/>
      </c>
      <c r="E32" s="101">
        <f ca="1"/>
        <v>0</v>
      </c>
      <c r="F32" s="102">
        <f ca="1"/>
        <v>0</v>
      </c>
      <c r="G32" s="103">
        <f ca="1"/>
        <v>0</v>
      </c>
      <c r="H32" s="103">
        <f ca="1"/>
        <v>0</v>
      </c>
      <c r="I32" s="104">
        <f ca="1"/>
        <v>0</v>
      </c>
      <c r="J32" s="18" t="str">
        <f ca="1"/>
        <v/>
      </c>
      <c r="K32" s="18" t="str">
        <f ca="1"/>
        <v xml:space="preserve"> </v>
      </c>
    </row>
    <row r="33" spans="1:10" ht="24.75" customHeight="1">
      <c r="A33" s="133" t="s">
        <v>11</v>
      </c>
      <c r="B33" s="134"/>
      <c r="C33" s="50">
        <f ca="1">SUM(C3:C31)</f>
        <v>0</v>
      </c>
      <c r="D33" s="50">
        <f ca="1">SUM(D3:D31)</f>
        <v>0</v>
      </c>
      <c r="E33" s="50">
        <f ca="1">C33-D33</f>
        <v>0</v>
      </c>
      <c r="F33" s="41">
        <f ca="1">IFERROR(E33/D33, 0)</f>
        <v>0</v>
      </c>
      <c r="G33" s="50">
        <f ca="1">SUM(G3:G31)</f>
        <v>0</v>
      </c>
      <c r="H33" s="51">
        <f ca="1">C33-G33</f>
        <v>0</v>
      </c>
      <c r="I33" s="42">
        <f ca="1">IFERROR(H33/G33, 0)</f>
        <v>0</v>
      </c>
      <c r="J33" s="8"/>
    </row>
    <row r="34" spans="1:10">
      <c r="J34" s="8"/>
    </row>
    <row r="35" spans="1:10" ht="12.75" customHeight="1">
      <c r="A35" s="135" t="s">
        <v>12</v>
      </c>
      <c r="J35" s="8"/>
    </row>
    <row r="36" spans="1:10">
      <c r="A36" s="135"/>
      <c r="J36" s="8"/>
    </row>
    <row r="37" spans="1:10">
      <c r="A37" s="136" t="s">
        <v>13</v>
      </c>
      <c r="J37" s="8"/>
    </row>
    <row r="38" spans="1:10" ht="12.75" customHeight="1">
      <c r="A38" s="136"/>
      <c r="J38" s="8"/>
    </row>
    <row r="39" spans="1:10">
      <c r="J39" s="8"/>
    </row>
  </sheetData>
  <autoFilter ref="A2:I2" xr:uid="{CAF24030-967D-40AB-9B78-5C3C0C46A55D}"/>
  <mergeCells count="8">
    <mergeCell ref="G1:I1"/>
    <mergeCell ref="J1:J2"/>
    <mergeCell ref="K1:K2"/>
    <mergeCell ref="A35:A36"/>
    <mergeCell ref="A37:A38"/>
    <mergeCell ref="A33:B33"/>
    <mergeCell ref="C1:F1"/>
    <mergeCell ref="A1:B1"/>
  </mergeCells>
  <conditionalFormatting sqref="F3:F33 I3:I33">
    <cfRule type="cellIs" dxfId="523" priority="1" operator="lessThanOrEqual">
      <formula>-0.1</formula>
    </cfRule>
    <cfRule type="cellIs" dxfId="522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9"/>
  <sheetViews>
    <sheetView workbookViewId="0">
      <pane ySplit="2" topLeftCell="A2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53.28515625" bestFit="1" customWidth="1"/>
    <col min="11" max="11" width="11.7109375" customWidth="1"/>
  </cols>
  <sheetData>
    <row r="1" spans="1:11" ht="19.5" customHeight="1">
      <c r="A1" s="137" t="str" cm="1">
        <f t="array" ref="A1">portfolio</f>
        <v>Greenbacker</v>
      </c>
      <c r="B1" s="138"/>
      <c r="C1" s="139" t="s">
        <v>26</v>
      </c>
      <c r="D1" s="140"/>
      <c r="E1" s="140"/>
      <c r="F1" s="141"/>
      <c r="G1" s="142" t="s">
        <v>27</v>
      </c>
      <c r="H1" s="142"/>
      <c r="I1" s="143"/>
      <c r="J1" s="131" t="s">
        <v>2</v>
      </c>
      <c r="K1" s="131" t="s">
        <v>3</v>
      </c>
    </row>
    <row r="2" spans="1:11" ht="14.25" customHeight="1">
      <c r="A2" s="45" t="s">
        <v>4</v>
      </c>
      <c r="B2" s="46" t="s">
        <v>5</v>
      </c>
      <c r="C2" s="5" t="s">
        <v>6</v>
      </c>
      <c r="D2" s="43" t="s">
        <v>7</v>
      </c>
      <c r="E2" s="5" t="s">
        <v>8</v>
      </c>
      <c r="F2" s="6" t="s">
        <v>9</v>
      </c>
      <c r="G2" s="44" t="s">
        <v>10</v>
      </c>
      <c r="H2" s="7" t="s">
        <v>8</v>
      </c>
      <c r="I2" s="9" t="s">
        <v>9</v>
      </c>
      <c r="J2" s="132"/>
      <c r="K2" s="132"/>
    </row>
    <row r="3" spans="1:11" ht="15.75">
      <c r="A3" s="107" t="str" cm="1">
        <f t="array" ref="A3:A32">Sites[Site]</f>
        <v>10 Walpole Park South</v>
      </c>
      <c r="B3" s="108" t="str" cm="1">
        <f t="array" ref="B3:B32">Sites[State]</f>
        <v>MA</v>
      </c>
      <c r="C3" s="101" t="str" cm="1">
        <f t="array" aca="1" ref="C3:K3" ca="1">IF(INDIRECT("'" &amp; $A3 &amp; "'!B7:J7")="", "", INDIRECT("'" &amp; $A3 &amp; "'!B7:J7"))</f>
        <v/>
      </c>
      <c r="D3" s="101" t="str">
        <f ca="1"/>
        <v/>
      </c>
      <c r="E3" s="101">
        <f ca="1"/>
        <v>0</v>
      </c>
      <c r="F3" s="109">
        <f ca="1"/>
        <v>0</v>
      </c>
      <c r="G3" s="103" t="str">
        <f ca="1"/>
        <v/>
      </c>
      <c r="H3" s="103">
        <f ca="1"/>
        <v>0</v>
      </c>
      <c r="I3" s="110">
        <f ca="1"/>
        <v>0</v>
      </c>
      <c r="J3" s="18" t="str">
        <f ca="1"/>
        <v/>
      </c>
      <c r="K3" s="18" t="str">
        <f ca="1"/>
        <v/>
      </c>
    </row>
    <row r="4" spans="1:11" ht="15.75">
      <c r="A4" s="99" t="str">
        <v>15 Walpole Park South</v>
      </c>
      <c r="B4" s="100" t="str">
        <v>MA</v>
      </c>
      <c r="C4" s="101" t="str" cm="1">
        <f t="array" aca="1" ref="C4:K4" ca="1">IF(INDIRECT("'" &amp; $A4 &amp; "'!B7:J7")="", "", INDIRECT("'" &amp; $A4 &amp; "'!B7:J7"))</f>
        <v/>
      </c>
      <c r="D4" s="101" t="str">
        <f ca="1"/>
        <v/>
      </c>
      <c r="E4" s="101">
        <f ca="1"/>
        <v>0</v>
      </c>
      <c r="F4" s="102">
        <f ca="1"/>
        <v>0</v>
      </c>
      <c r="G4" s="103" t="str">
        <f ca="1"/>
        <v/>
      </c>
      <c r="H4" s="103">
        <f ca="1"/>
        <v>0</v>
      </c>
      <c r="I4" s="104">
        <f ca="1"/>
        <v>0</v>
      </c>
      <c r="J4" s="18" t="str">
        <f ca="1"/>
        <v/>
      </c>
      <c r="K4" s="18" t="str">
        <f ca="1"/>
        <v/>
      </c>
    </row>
    <row r="5" spans="1:11" ht="15.75">
      <c r="A5" s="105" t="str">
        <v>19 Walpole Park South</v>
      </c>
      <c r="B5" s="106" t="str">
        <v>MA</v>
      </c>
      <c r="C5" s="101" t="str" cm="1">
        <f t="array" aca="1" ref="C5:K5" ca="1">IF(INDIRECT("'" &amp; $A5 &amp; "'!B7:J7")="", "", INDIRECT("'" &amp; $A5 &amp; "'!B7:J7"))</f>
        <v/>
      </c>
      <c r="D5" s="101" t="str">
        <f ca="1"/>
        <v/>
      </c>
      <c r="E5" s="101">
        <f ca="1"/>
        <v>0</v>
      </c>
      <c r="F5" s="102">
        <f ca="1"/>
        <v>0</v>
      </c>
      <c r="G5" s="103" t="str">
        <f ca="1"/>
        <v/>
      </c>
      <c r="H5" s="103">
        <f ca="1"/>
        <v>0</v>
      </c>
      <c r="I5" s="104">
        <f ca="1"/>
        <v>0</v>
      </c>
      <c r="J5" s="18" t="str">
        <f ca="1"/>
        <v/>
      </c>
      <c r="K5" s="18" t="str">
        <f ca="1"/>
        <v/>
      </c>
    </row>
    <row r="6" spans="1:11" ht="15.75">
      <c r="A6" s="99" t="str">
        <v>23 Walpole Park South</v>
      </c>
      <c r="B6" s="100" t="str">
        <v>MA</v>
      </c>
      <c r="C6" s="101" t="str" cm="1">
        <f t="array" aca="1" ref="C6:K6" ca="1">IF(INDIRECT("'" &amp; $A6 &amp; "'!B7:J7")="", "", INDIRECT("'" &amp; $A6 &amp; "'!B7:J7"))</f>
        <v/>
      </c>
      <c r="D6" s="101" t="str">
        <f ca="1"/>
        <v/>
      </c>
      <c r="E6" s="101">
        <f ca="1"/>
        <v>0</v>
      </c>
      <c r="F6" s="102">
        <f ca="1"/>
        <v>0</v>
      </c>
      <c r="G6" s="103" t="str">
        <f ca="1"/>
        <v/>
      </c>
      <c r="H6" s="103">
        <f ca="1"/>
        <v>0</v>
      </c>
      <c r="I6" s="104">
        <f ca="1"/>
        <v>0</v>
      </c>
      <c r="J6" s="18" t="str">
        <f ca="1"/>
        <v/>
      </c>
      <c r="K6" s="18" t="str">
        <f ca="1"/>
        <v/>
      </c>
    </row>
    <row r="7" spans="1:11" ht="15.75">
      <c r="A7" s="105" t="str">
        <v>24 Walpole Park South</v>
      </c>
      <c r="B7" s="106" t="str">
        <v>MA</v>
      </c>
      <c r="C7" s="101" t="str" cm="1">
        <f t="array" aca="1" ref="C7:K7" ca="1">IF(INDIRECT("'" &amp; $A7 &amp; "'!B7:J7")="", "", INDIRECT("'" &amp; $A7 &amp; "'!B7:J7"))</f>
        <v/>
      </c>
      <c r="D7" s="101" t="str">
        <f ca="1"/>
        <v/>
      </c>
      <c r="E7" s="101">
        <f ca="1"/>
        <v>0</v>
      </c>
      <c r="F7" s="102">
        <f ca="1"/>
        <v>0</v>
      </c>
      <c r="G7" s="103" t="str">
        <f ca="1"/>
        <v/>
      </c>
      <c r="H7" s="103">
        <f ca="1"/>
        <v>0</v>
      </c>
      <c r="I7" s="104">
        <f ca="1"/>
        <v>0</v>
      </c>
      <c r="J7" s="18" t="str">
        <f ca="1"/>
        <v/>
      </c>
      <c r="K7" s="18" t="str">
        <f ca="1"/>
        <v/>
      </c>
    </row>
    <row r="8" spans="1:11" ht="15.75">
      <c r="A8" s="99" t="str">
        <v>25 Walpole Park South</v>
      </c>
      <c r="B8" s="100" t="str">
        <v>MA</v>
      </c>
      <c r="C8" s="101" t="str" cm="1">
        <f t="array" aca="1" ref="C8:K8" ca="1">IF(INDIRECT("'" &amp; $A8 &amp; "'!B7:J7")="", "", INDIRECT("'" &amp; $A8 &amp; "'!B7:J7"))</f>
        <v/>
      </c>
      <c r="D8" s="101" t="str">
        <f ca="1"/>
        <v/>
      </c>
      <c r="E8" s="101">
        <f ca="1"/>
        <v>0</v>
      </c>
      <c r="F8" s="102">
        <f ca="1"/>
        <v>0</v>
      </c>
      <c r="G8" s="103" t="str">
        <f ca="1"/>
        <v/>
      </c>
      <c r="H8" s="103">
        <f ca="1"/>
        <v>0</v>
      </c>
      <c r="I8" s="104">
        <f ca="1"/>
        <v>0</v>
      </c>
      <c r="J8" s="18" t="str">
        <f ca="1"/>
        <v/>
      </c>
      <c r="K8" s="18" t="str">
        <f ca="1"/>
        <v/>
      </c>
    </row>
    <row r="9" spans="1:11" ht="15.75">
      <c r="A9" s="105" t="str">
        <v>3 Walpole Park South</v>
      </c>
      <c r="B9" s="106" t="str">
        <v>MA</v>
      </c>
      <c r="C9" s="101" t="str" cm="1">
        <f t="array" aca="1" ref="C9:K9" ca="1">IF(INDIRECT("'" &amp; $A9 &amp; "'!B7:J7")="", "", INDIRECT("'" &amp; $A9 &amp; "'!B7:J7"))</f>
        <v/>
      </c>
      <c r="D9" s="101" t="str">
        <f ca="1"/>
        <v/>
      </c>
      <c r="E9" s="101">
        <f ca="1"/>
        <v>0</v>
      </c>
      <c r="F9" s="102">
        <f ca="1"/>
        <v>0</v>
      </c>
      <c r="G9" s="103" t="str">
        <f ca="1"/>
        <v/>
      </c>
      <c r="H9" s="103">
        <f ca="1"/>
        <v>0</v>
      </c>
      <c r="I9" s="104">
        <f ca="1"/>
        <v>0</v>
      </c>
      <c r="J9" s="18" t="str">
        <f ca="1"/>
        <v/>
      </c>
      <c r="K9" s="18" t="str">
        <f ca="1"/>
        <v/>
      </c>
    </row>
    <row r="10" spans="1:11" ht="15.75">
      <c r="A10" s="99" t="str">
        <v>4 Walpole Park South</v>
      </c>
      <c r="B10" s="100" t="str">
        <v>MA</v>
      </c>
      <c r="C10" s="101" t="str" cm="1">
        <f t="array" aca="1" ref="C10:K10" ca="1">IF(INDIRECT("'" &amp; $A10 &amp; "'!B7:J7")="", "", INDIRECT("'" &amp; $A10 &amp; "'!B7:J7"))</f>
        <v/>
      </c>
      <c r="D10" s="101" t="str">
        <f ca="1"/>
        <v/>
      </c>
      <c r="E10" s="101">
        <f ca="1"/>
        <v>0</v>
      </c>
      <c r="F10" s="102">
        <f ca="1"/>
        <v>0</v>
      </c>
      <c r="G10" s="103" t="str">
        <f ca="1"/>
        <v/>
      </c>
      <c r="H10" s="103">
        <f ca="1"/>
        <v>0</v>
      </c>
      <c r="I10" s="104">
        <f ca="1"/>
        <v>0</v>
      </c>
      <c r="J10" s="18" t="str">
        <f ca="1"/>
        <v/>
      </c>
      <c r="K10" s="18" t="str">
        <f ca="1"/>
        <v/>
      </c>
    </row>
    <row r="11" spans="1:11" ht="15.75">
      <c r="A11" s="105" t="str">
        <v>Brockton</v>
      </c>
      <c r="B11" s="106" t="str">
        <v>MA</v>
      </c>
      <c r="C11" s="101" t="str" cm="1">
        <f t="array" aca="1" ref="C11:K11" ca="1">IF(INDIRECT("'" &amp; $A11 &amp; "'!B7:J7")="", "", INDIRECT("'" &amp; $A11 &amp; "'!B7:J7"))</f>
        <v/>
      </c>
      <c r="D11" s="101" t="str">
        <f ca="1"/>
        <v/>
      </c>
      <c r="E11" s="101">
        <f ca="1"/>
        <v>0</v>
      </c>
      <c r="F11" s="102">
        <f ca="1"/>
        <v>0</v>
      </c>
      <c r="G11" s="103" t="str">
        <f ca="1"/>
        <v/>
      </c>
      <c r="H11" s="103">
        <f ca="1"/>
        <v>0</v>
      </c>
      <c r="I11" s="104">
        <f ca="1"/>
        <v>0</v>
      </c>
      <c r="J11" s="18" t="str">
        <f ca="1"/>
        <v/>
      </c>
      <c r="K11" s="18" t="str">
        <f ca="1"/>
        <v/>
      </c>
    </row>
    <row r="12" spans="1:11" ht="15.75">
      <c r="A12" s="99" t="str">
        <v>Canton</v>
      </c>
      <c r="B12" s="100" t="str">
        <v>MA</v>
      </c>
      <c r="C12" s="101" t="str" cm="1">
        <f t="array" aca="1" ref="C12:K12" ca="1">IF(INDIRECT("'" &amp; $A12 &amp; "'!B7:J7")="", "", INDIRECT("'" &amp; $A12 &amp; "'!B7:J7"))</f>
        <v/>
      </c>
      <c r="D12" s="101" t="str">
        <f ca="1"/>
        <v/>
      </c>
      <c r="E12" s="101">
        <f ca="1"/>
        <v>0</v>
      </c>
      <c r="F12" s="102">
        <f ca="1"/>
        <v>0</v>
      </c>
      <c r="G12" s="103" t="str">
        <f ca="1"/>
        <v/>
      </c>
      <c r="H12" s="103">
        <f ca="1"/>
        <v>0</v>
      </c>
      <c r="I12" s="104">
        <f ca="1"/>
        <v>0</v>
      </c>
      <c r="J12" s="18" t="str">
        <f ca="1"/>
        <v/>
      </c>
      <c r="K12" s="18" t="str">
        <f ca="1"/>
        <v/>
      </c>
    </row>
    <row r="13" spans="1:11" ht="15.75">
      <c r="A13" s="105" t="str">
        <v>Chelsea</v>
      </c>
      <c r="B13" s="106" t="str">
        <v>MA</v>
      </c>
      <c r="C13" s="101" t="str" cm="1">
        <f t="array" aca="1" ref="C13:K13" ca="1">IF(INDIRECT("'" &amp; $A13 &amp; "'!B7:J7")="", "", INDIRECT("'" &amp; $A13 &amp; "'!B7:J7"))</f>
        <v/>
      </c>
      <c r="D13" s="101" t="str">
        <f ca="1"/>
        <v/>
      </c>
      <c r="E13" s="101">
        <f ca="1"/>
        <v>0</v>
      </c>
      <c r="F13" s="102">
        <f ca="1"/>
        <v>0</v>
      </c>
      <c r="G13" s="103" t="str">
        <f ca="1"/>
        <v/>
      </c>
      <c r="H13" s="103">
        <f ca="1"/>
        <v>0</v>
      </c>
      <c r="I13" s="104">
        <f ca="1"/>
        <v>0</v>
      </c>
      <c r="J13" s="18" t="str">
        <f ca="1"/>
        <v/>
      </c>
      <c r="K13" s="18" t="str">
        <f ca="1"/>
        <v/>
      </c>
    </row>
    <row r="14" spans="1:11" ht="15.75">
      <c r="A14" s="99" t="str">
        <v>Hamilton Landfill</v>
      </c>
      <c r="B14" s="100" t="str">
        <v>MA</v>
      </c>
      <c r="C14" s="101" t="str" cm="1">
        <f t="array" aca="1" ref="C14:K14" ca="1">IF(INDIRECT("'" &amp; $A14 &amp; "'!B7:J7")="", "", INDIRECT("'" &amp; $A14 &amp; "'!B7:J7"))</f>
        <v/>
      </c>
      <c r="D14" s="101" t="str">
        <f ca="1"/>
        <v/>
      </c>
      <c r="E14" s="101">
        <f ca="1"/>
        <v>0</v>
      </c>
      <c r="F14" s="102">
        <f ca="1"/>
        <v>0</v>
      </c>
      <c r="G14" s="103" t="str">
        <f ca="1"/>
        <v/>
      </c>
      <c r="H14" s="103">
        <f ca="1"/>
        <v>0</v>
      </c>
      <c r="I14" s="104">
        <f ca="1"/>
        <v>0</v>
      </c>
      <c r="J14" s="18" t="str">
        <f ca="1"/>
        <v/>
      </c>
      <c r="K14" s="18" t="str">
        <f ca="1"/>
        <v/>
      </c>
    </row>
    <row r="15" spans="1:11" ht="15.75">
      <c r="A15" s="105" t="str">
        <v>Holliston</v>
      </c>
      <c r="B15" s="106" t="str">
        <v>MA</v>
      </c>
      <c r="C15" s="101" t="str" cm="1">
        <f t="array" aca="1" ref="C15:K15" ca="1">IF(INDIRECT("'" &amp; $A15 &amp; "'!B7:J7")="", "", INDIRECT("'" &amp; $A15 &amp; "'!B7:J7"))</f>
        <v/>
      </c>
      <c r="D15" s="101" t="str">
        <f ca="1"/>
        <v/>
      </c>
      <c r="E15" s="101">
        <f ca="1"/>
        <v>0</v>
      </c>
      <c r="F15" s="102">
        <f ca="1"/>
        <v>0</v>
      </c>
      <c r="G15" s="103" t="str">
        <f ca="1"/>
        <v/>
      </c>
      <c r="H15" s="103">
        <f ca="1"/>
        <v>0</v>
      </c>
      <c r="I15" s="104">
        <f ca="1"/>
        <v>0</v>
      </c>
      <c r="J15" s="18" t="str">
        <f ca="1"/>
        <v/>
      </c>
      <c r="K15" s="18" t="str">
        <f ca="1"/>
        <v/>
      </c>
    </row>
    <row r="16" spans="1:11" ht="15.75">
      <c r="A16" s="99" t="str">
        <v>Natick HS - Carports</v>
      </c>
      <c r="B16" s="100" t="str">
        <v>MA</v>
      </c>
      <c r="C16" s="101" t="str" cm="1">
        <f t="array" aca="1" ref="C16:K16" ca="1">IF(INDIRECT("'" &amp; $A16 &amp; "'!B7:J7")="", "", INDIRECT("'" &amp; $A16 &amp; "'!B7:J7"))</f>
        <v/>
      </c>
      <c r="D16" s="101" t="str">
        <f ca="1"/>
        <v/>
      </c>
      <c r="E16" s="101">
        <f ca="1"/>
        <v>0</v>
      </c>
      <c r="F16" s="102">
        <f ca="1"/>
        <v>0</v>
      </c>
      <c r="G16" s="103" t="str">
        <f ca="1"/>
        <v/>
      </c>
      <c r="H16" s="103">
        <f ca="1"/>
        <v>0</v>
      </c>
      <c r="I16" s="104">
        <f ca="1"/>
        <v>0</v>
      </c>
      <c r="J16" s="18" t="str">
        <f ca="1"/>
        <v/>
      </c>
      <c r="K16" s="18" t="str">
        <f ca="1"/>
        <v/>
      </c>
    </row>
    <row r="17" spans="1:11" ht="15.75">
      <c r="A17" s="105" t="str">
        <v>Norton</v>
      </c>
      <c r="B17" s="106" t="str">
        <v>MA</v>
      </c>
      <c r="C17" s="101" t="str" cm="1">
        <f t="array" aca="1" ref="C17:K17" ca="1">IF(INDIRECT("'" &amp; $A17 &amp; "'!B7:J7")="", "", INDIRECT("'" &amp; $A17 &amp; "'!B7:J7"))</f>
        <v/>
      </c>
      <c r="D17" s="101" t="str">
        <f ca="1"/>
        <v/>
      </c>
      <c r="E17" s="101">
        <f ca="1"/>
        <v>0</v>
      </c>
      <c r="F17" s="102">
        <f ca="1"/>
        <v>0</v>
      </c>
      <c r="G17" s="103" t="str">
        <f ca="1"/>
        <v/>
      </c>
      <c r="H17" s="103">
        <f ca="1"/>
        <v>0</v>
      </c>
      <c r="I17" s="104">
        <f ca="1"/>
        <v>0</v>
      </c>
      <c r="J17" s="18" t="str">
        <f ca="1"/>
        <v/>
      </c>
      <c r="K17" s="18" t="str">
        <f ca="1"/>
        <v/>
      </c>
    </row>
    <row r="18" spans="1:11" ht="15.75">
      <c r="A18" s="99" t="str">
        <v>Palmer - Boston Rd.</v>
      </c>
      <c r="B18" s="100" t="str">
        <v>MA</v>
      </c>
      <c r="C18" s="101" t="str" cm="1">
        <f t="array" aca="1" ref="C18:K18" ca="1">IF(INDIRECT("'" &amp; $A18 &amp; "'!B7:J7")="", "", INDIRECT("'" &amp; $A18 &amp; "'!B7:J7"))</f>
        <v/>
      </c>
      <c r="D18" s="101" t="str">
        <f ca="1"/>
        <v/>
      </c>
      <c r="E18" s="101">
        <f ca="1"/>
        <v>0</v>
      </c>
      <c r="F18" s="102">
        <f ca="1"/>
        <v>0</v>
      </c>
      <c r="G18" s="103" t="str">
        <f ca="1"/>
        <v/>
      </c>
      <c r="H18" s="103">
        <f ca="1"/>
        <v>0</v>
      </c>
      <c r="I18" s="104">
        <f ca="1"/>
        <v>0</v>
      </c>
      <c r="J18" s="18" t="str">
        <f ca="1"/>
        <v/>
      </c>
      <c r="K18" s="18" t="str">
        <f ca="1"/>
        <v/>
      </c>
    </row>
    <row r="19" spans="1:11" ht="15.75">
      <c r="A19" s="105" t="str">
        <v>Shirley Bartkus</v>
      </c>
      <c r="B19" s="106" t="str">
        <v>MA</v>
      </c>
      <c r="C19" s="101" t="str" cm="1">
        <f t="array" aca="1" ref="C19:K19" ca="1">IF(INDIRECT("'" &amp; $A19 &amp; "'!B7:J7")="", "", INDIRECT("'" &amp; $A19 &amp; "'!B7:J7"))</f>
        <v/>
      </c>
      <c r="D19" s="101" t="str">
        <f ca="1"/>
        <v/>
      </c>
      <c r="E19" s="101">
        <f ca="1"/>
        <v>0</v>
      </c>
      <c r="F19" s="102">
        <f ca="1"/>
        <v>0</v>
      </c>
      <c r="G19" s="103" t="str">
        <f ca="1"/>
        <v/>
      </c>
      <c r="H19" s="103">
        <f ca="1"/>
        <v>0</v>
      </c>
      <c r="I19" s="104">
        <f ca="1"/>
        <v>0</v>
      </c>
      <c r="J19" s="18" t="str">
        <f ca="1"/>
        <v/>
      </c>
      <c r="K19" s="18" t="str">
        <f ca="1"/>
        <v/>
      </c>
    </row>
    <row r="20" spans="1:11" ht="15.75">
      <c r="A20" s="99" t="str">
        <v>Stoughton</v>
      </c>
      <c r="B20" s="100" t="str">
        <v>MA</v>
      </c>
      <c r="C20" s="101" t="str" cm="1">
        <f t="array" aca="1" ref="C20:K20" ca="1">IF(INDIRECT("'" &amp; $A20 &amp; "'!B7:J7")="", "", INDIRECT("'" &amp; $A20 &amp; "'!B7:J7"))</f>
        <v/>
      </c>
      <c r="D20" s="101" t="str">
        <f ca="1"/>
        <v/>
      </c>
      <c r="E20" s="101">
        <f ca="1"/>
        <v>0</v>
      </c>
      <c r="F20" s="102">
        <f ca="1"/>
        <v>0</v>
      </c>
      <c r="G20" s="103" t="str">
        <f ca="1"/>
        <v/>
      </c>
      <c r="H20" s="103">
        <f ca="1"/>
        <v>0</v>
      </c>
      <c r="I20" s="104">
        <f ca="1"/>
        <v>0</v>
      </c>
      <c r="J20" s="18" t="str">
        <f ca="1"/>
        <v/>
      </c>
      <c r="K20" s="18" t="str">
        <f ca="1"/>
        <v/>
      </c>
    </row>
    <row r="21" spans="1:11" ht="15.75">
      <c r="A21" s="105" t="str">
        <v>Wellfleet Landfill</v>
      </c>
      <c r="B21" s="106" t="str">
        <v>MA</v>
      </c>
      <c r="C21" s="101" t="str" cm="1">
        <f t="array" aca="1" ref="C21:K21" ca="1">IF(INDIRECT("'" &amp; $A21 &amp; "'!B7:J7")="", "", INDIRECT("'" &amp; $A21 &amp; "'!B7:J7"))</f>
        <v/>
      </c>
      <c r="D21" s="101" t="str">
        <f ca="1"/>
        <v/>
      </c>
      <c r="E21" s="101">
        <f ca="1"/>
        <v>0</v>
      </c>
      <c r="F21" s="102">
        <f ca="1"/>
        <v>0</v>
      </c>
      <c r="G21" s="103" t="str">
        <f ca="1"/>
        <v/>
      </c>
      <c r="H21" s="103">
        <f ca="1"/>
        <v>0</v>
      </c>
      <c r="I21" s="104">
        <f ca="1"/>
        <v>0</v>
      </c>
      <c r="J21" s="18" t="str">
        <f ca="1"/>
        <v/>
      </c>
      <c r="K21" s="18" t="str">
        <f ca="1"/>
        <v/>
      </c>
    </row>
    <row r="22" spans="1:11" ht="15.75">
      <c r="A22" s="99" t="str">
        <v>Wilmington Garage &amp; Building 7</v>
      </c>
      <c r="B22" s="100" t="str">
        <v>MA</v>
      </c>
      <c r="C22" s="101" t="str" cm="1">
        <f t="array" aca="1" ref="C22:K22" ca="1">IF(INDIRECT("'" &amp; $A22 &amp; "'!B7:J7")="", "", INDIRECT("'" &amp; $A22 &amp; "'!B7:J7"))</f>
        <v/>
      </c>
      <c r="D22" s="101" t="str">
        <f ca="1"/>
        <v/>
      </c>
      <c r="E22" s="101">
        <f ca="1"/>
        <v>0</v>
      </c>
      <c r="F22" s="102">
        <f ca="1"/>
        <v>0</v>
      </c>
      <c r="G22" s="103" t="str">
        <f ca="1"/>
        <v/>
      </c>
      <c r="H22" s="103">
        <f ca="1"/>
        <v>0</v>
      </c>
      <c r="I22" s="104">
        <f ca="1"/>
        <v>0</v>
      </c>
      <c r="J22" s="18" t="str">
        <f ca="1"/>
        <v/>
      </c>
      <c r="K22" s="18" t="str">
        <f ca="1"/>
        <v/>
      </c>
    </row>
    <row r="23" spans="1:11" ht="15.75">
      <c r="A23" s="105" t="str">
        <v>Woburn</v>
      </c>
      <c r="B23" s="106" t="str">
        <v>MA</v>
      </c>
      <c r="C23" s="101" t="str" cm="1">
        <f t="array" aca="1" ref="C23:K23" ca="1">IF(INDIRECT("'" &amp; $A23 &amp; "'!B7:J7")="", "", INDIRECT("'" &amp; $A23 &amp; "'!B7:J7"))</f>
        <v/>
      </c>
      <c r="D23" s="101" t="str">
        <f ca="1"/>
        <v/>
      </c>
      <c r="E23" s="101">
        <f ca="1"/>
        <v>0</v>
      </c>
      <c r="F23" s="102">
        <f ca="1"/>
        <v>0</v>
      </c>
      <c r="G23" s="103" t="str">
        <f ca="1"/>
        <v/>
      </c>
      <c r="H23" s="103">
        <f ca="1"/>
        <v>0</v>
      </c>
      <c r="I23" s="104">
        <f ca="1"/>
        <v>0</v>
      </c>
      <c r="J23" s="18" t="str">
        <f ca="1"/>
        <v/>
      </c>
      <c r="K23" s="18" t="str">
        <f ca="1"/>
        <v/>
      </c>
    </row>
    <row r="24" spans="1:11" ht="15.75">
      <c r="A24" s="99" t="str">
        <v>Friendship Solar 1</v>
      </c>
      <c r="B24" s="100" t="str">
        <v>MD</v>
      </c>
      <c r="C24" s="101" t="str" cm="1">
        <f t="array" aca="1" ref="C24:K24" ca="1">IF(INDIRECT("'" &amp; $A24 &amp; "'!B7:J7")="", "", INDIRECT("'" &amp; $A24 &amp; "'!B7:J7"))</f>
        <v/>
      </c>
      <c r="D24" s="101" t="str">
        <f ca="1"/>
        <v/>
      </c>
      <c r="E24" s="101">
        <f ca="1"/>
        <v>0</v>
      </c>
      <c r="F24" s="102">
        <f ca="1"/>
        <v>0</v>
      </c>
      <c r="G24" s="103" t="str">
        <f ca="1"/>
        <v/>
      </c>
      <c r="H24" s="103">
        <f ca="1"/>
        <v>0</v>
      </c>
      <c r="I24" s="104">
        <f ca="1"/>
        <v>0</v>
      </c>
      <c r="J24" s="18" t="str">
        <f ca="1"/>
        <v/>
      </c>
      <c r="K24" s="18" t="str">
        <f ca="1"/>
        <v/>
      </c>
    </row>
    <row r="25" spans="1:11" ht="15.75">
      <c r="A25" s="105" t="str">
        <v>Friendship Solar 2</v>
      </c>
      <c r="B25" s="106" t="str">
        <v>MD</v>
      </c>
      <c r="C25" s="101" t="str" cm="1">
        <f t="array" aca="1" ref="C25:K25" ca="1">IF(INDIRECT("'" &amp; $A25 &amp; "'!B7:J7")="", "", INDIRECT("'" &amp; $A25 &amp; "'!B7:J7"))</f>
        <v/>
      </c>
      <c r="D25" s="101" t="str">
        <f ca="1"/>
        <v/>
      </c>
      <c r="E25" s="101">
        <f ca="1"/>
        <v>0</v>
      </c>
      <c r="F25" s="102">
        <f ca="1"/>
        <v>0</v>
      </c>
      <c r="G25" s="103" t="str">
        <f ca="1"/>
        <v/>
      </c>
      <c r="H25" s="103">
        <f ca="1"/>
        <v>0</v>
      </c>
      <c r="I25" s="104">
        <f ca="1"/>
        <v>0</v>
      </c>
      <c r="J25" s="18" t="str">
        <f ca="1"/>
        <v/>
      </c>
      <c r="K25" s="18" t="str">
        <f ca="1"/>
        <v/>
      </c>
    </row>
    <row r="26" spans="1:11" ht="15.75">
      <c r="A26" s="99" t="str">
        <v>101 Carnegie Center</v>
      </c>
      <c r="B26" s="100" t="str">
        <v>NJ</v>
      </c>
      <c r="C26" s="101" t="str" cm="1">
        <f t="array" aca="1" ref="C26:K26" ca="1">IF(INDIRECT("'" &amp; $A26 &amp; "'!B7:J7")="", "", INDIRECT("'" &amp; $A26 &amp; "'!B7:J7"))</f>
        <v/>
      </c>
      <c r="D26" s="101" t="str">
        <f ca="1"/>
        <v/>
      </c>
      <c r="E26" s="101">
        <f ca="1"/>
        <v>0</v>
      </c>
      <c r="F26" s="102">
        <f ca="1"/>
        <v>0</v>
      </c>
      <c r="G26" s="103" t="str">
        <f ca="1"/>
        <v/>
      </c>
      <c r="H26" s="103">
        <f ca="1"/>
        <v>0</v>
      </c>
      <c r="I26" s="104">
        <f ca="1"/>
        <v>0</v>
      </c>
      <c r="J26" s="18" t="str">
        <f ca="1"/>
        <v/>
      </c>
      <c r="K26" s="18" t="str">
        <f ca="1"/>
        <v/>
      </c>
    </row>
    <row r="27" spans="1:11" ht="15.75">
      <c r="A27" s="105" t="str">
        <v>302 Carnegie Center</v>
      </c>
      <c r="B27" s="106" t="str">
        <v>NJ</v>
      </c>
      <c r="C27" s="101" t="str" cm="1">
        <f t="array" aca="1" ref="C27:K27" ca="1">IF(INDIRECT("'" &amp; $A27 &amp; "'!B7:J7")="", "", INDIRECT("'" &amp; $A27 &amp; "'!B7:J7"))</f>
        <v/>
      </c>
      <c r="D27" s="101" t="str">
        <f ca="1"/>
        <v/>
      </c>
      <c r="E27" s="101">
        <f ca="1"/>
        <v>0</v>
      </c>
      <c r="F27" s="102">
        <f ca="1"/>
        <v>0</v>
      </c>
      <c r="G27" s="103" t="str">
        <f ca="1"/>
        <v/>
      </c>
      <c r="H27" s="103">
        <f ca="1"/>
        <v>0</v>
      </c>
      <c r="I27" s="104">
        <f ca="1"/>
        <v>0</v>
      </c>
      <c r="J27" s="18" t="str">
        <f ca="1"/>
        <v/>
      </c>
      <c r="K27" s="18" t="str">
        <f ca="1"/>
        <v/>
      </c>
    </row>
    <row r="28" spans="1:11" ht="15.75">
      <c r="A28" s="99" t="str">
        <v>510 Carnegie Center</v>
      </c>
      <c r="B28" s="100" t="str">
        <v>NJ</v>
      </c>
      <c r="C28" s="101" t="str" cm="1">
        <f t="array" aca="1" ref="C28:K28" ca="1">IF(INDIRECT("'" &amp; $A28 &amp; "'!B7:J7")="", "", INDIRECT("'" &amp; $A28 &amp; "'!B7:J7"))</f>
        <v/>
      </c>
      <c r="D28" s="101" t="str">
        <f ca="1"/>
        <v/>
      </c>
      <c r="E28" s="101">
        <f ca="1"/>
        <v>0</v>
      </c>
      <c r="F28" s="102">
        <f ca="1"/>
        <v>0</v>
      </c>
      <c r="G28" s="103" t="str">
        <f ca="1"/>
        <v/>
      </c>
      <c r="H28" s="103">
        <f ca="1"/>
        <v>0</v>
      </c>
      <c r="I28" s="104">
        <f ca="1"/>
        <v>0</v>
      </c>
      <c r="J28" s="18" t="str">
        <f ca="1"/>
        <v/>
      </c>
      <c r="K28" s="18" t="str">
        <f ca="1"/>
        <v/>
      </c>
    </row>
    <row r="29" spans="1:11" ht="15.75">
      <c r="A29" s="105" t="str">
        <v>701 Carnegie Center</v>
      </c>
      <c r="B29" s="106" t="str">
        <v>NJ</v>
      </c>
      <c r="C29" s="101" t="str" cm="1">
        <f t="array" aca="1" ref="C29:K29" ca="1">IF(INDIRECT("'" &amp; $A29 &amp; "'!B7:J7")="", "", INDIRECT("'" &amp; $A29 &amp; "'!B7:J7"))</f>
        <v/>
      </c>
      <c r="D29" s="101" t="str">
        <f ca="1"/>
        <v/>
      </c>
      <c r="E29" s="101">
        <f ca="1"/>
        <v>0</v>
      </c>
      <c r="F29" s="102">
        <f ca="1"/>
        <v>0</v>
      </c>
      <c r="G29" s="103" t="str">
        <f ca="1"/>
        <v/>
      </c>
      <c r="H29" s="103">
        <f ca="1"/>
        <v>0</v>
      </c>
      <c r="I29" s="104">
        <f ca="1"/>
        <v>0</v>
      </c>
      <c r="J29" s="18" t="str">
        <f ca="1"/>
        <v/>
      </c>
      <c r="K29" s="18" t="str">
        <f ca="1"/>
        <v/>
      </c>
    </row>
    <row r="30" spans="1:11" ht="15.75">
      <c r="A30" s="99" t="str">
        <v>Hudson County Correction</v>
      </c>
      <c r="B30" s="100" t="str">
        <v>NJ</v>
      </c>
      <c r="C30" s="101" t="str" cm="1">
        <f t="array" aca="1" ref="C30:K30" ca="1">IF(INDIRECT("'" &amp; $A30 &amp; "'!B7:J7")="", "", INDIRECT("'" &amp; $A30 &amp; "'!B7:J7"))</f>
        <v/>
      </c>
      <c r="D30" s="101" t="str">
        <f ca="1"/>
        <v/>
      </c>
      <c r="E30" s="101">
        <f ca="1"/>
        <v>0</v>
      </c>
      <c r="F30" s="102">
        <f ca="1"/>
        <v>0</v>
      </c>
      <c r="G30" s="103" t="str">
        <f ca="1"/>
        <v/>
      </c>
      <c r="H30" s="103">
        <f ca="1"/>
        <v>0</v>
      </c>
      <c r="I30" s="104">
        <f ca="1"/>
        <v>0</v>
      </c>
      <c r="J30" s="18" t="str">
        <f ca="1"/>
        <v/>
      </c>
      <c r="K30" s="18" t="str">
        <f ca="1"/>
        <v/>
      </c>
    </row>
    <row r="31" spans="1:11" ht="15.75">
      <c r="A31" s="105" t="str">
        <v>ER Bison Solar</v>
      </c>
      <c r="B31" s="106" t="str">
        <v>PA</v>
      </c>
      <c r="C31" s="101" t="str" cm="1">
        <f t="array" aca="1" ref="C31:K31" ca="1">IF(INDIRECT("'" &amp; $A31 &amp; "'!B7:J7")="", "", INDIRECT("'" &amp; $A31 &amp; "'!B7:J7"))</f>
        <v/>
      </c>
      <c r="D31" s="101" t="str">
        <f ca="1"/>
        <v/>
      </c>
      <c r="E31" s="101">
        <f ca="1"/>
        <v>0</v>
      </c>
      <c r="F31" s="102">
        <f ca="1"/>
        <v>0</v>
      </c>
      <c r="G31" s="103" t="str">
        <f ca="1"/>
        <v/>
      </c>
      <c r="H31" s="103">
        <f ca="1"/>
        <v>0</v>
      </c>
      <c r="I31" s="104">
        <f ca="1"/>
        <v>0</v>
      </c>
      <c r="J31" s="18" t="str">
        <f ca="1"/>
        <v/>
      </c>
      <c r="K31" s="18" t="str">
        <f ca="1"/>
        <v/>
      </c>
    </row>
    <row r="32" spans="1:11" ht="15.75">
      <c r="A32" s="111" t="str">
        <v>Danville</v>
      </c>
      <c r="B32" s="112" t="str">
        <v>IL</v>
      </c>
      <c r="C32" s="101" t="str" cm="1">
        <f t="array" aca="1" ref="C32:K32" ca="1">IF(INDIRECT("'" &amp; $A32 &amp; "'!B7:J7")="", "", INDIRECT("'" &amp; $A32 &amp; "'!B7:J7"))</f>
        <v/>
      </c>
      <c r="D32" s="101" t="str">
        <f ca="1"/>
        <v/>
      </c>
      <c r="E32" s="101">
        <f ca="1"/>
        <v>0</v>
      </c>
      <c r="F32" s="102">
        <f ca="1"/>
        <v>0</v>
      </c>
      <c r="G32" s="103">
        <f ca="1"/>
        <v>0</v>
      </c>
      <c r="H32" s="103">
        <f ca="1"/>
        <v>0</v>
      </c>
      <c r="I32" s="104">
        <f ca="1"/>
        <v>0</v>
      </c>
      <c r="J32" s="18" t="str">
        <f ca="1"/>
        <v/>
      </c>
      <c r="K32" s="18" t="str">
        <f ca="1"/>
        <v/>
      </c>
    </row>
    <row r="33" spans="1:10" ht="24.75" customHeight="1">
      <c r="A33" s="133" t="s">
        <v>11</v>
      </c>
      <c r="B33" s="134"/>
      <c r="C33" s="50">
        <f ca="1">SUM(C3:C31)</f>
        <v>0</v>
      </c>
      <c r="D33" s="50">
        <f ca="1">SUM(D3:D31)</f>
        <v>0</v>
      </c>
      <c r="E33" s="50">
        <f ca="1">C33-D33</f>
        <v>0</v>
      </c>
      <c r="F33" s="41">
        <f ca="1">IFERROR(E33/D33, 0)</f>
        <v>0</v>
      </c>
      <c r="G33" s="50">
        <f ca="1">SUM(G3:G31)</f>
        <v>0</v>
      </c>
      <c r="H33" s="51">
        <f ca="1">C33-G33</f>
        <v>0</v>
      </c>
      <c r="I33" s="42">
        <f ca="1">IFERROR(H33/G33, 0)</f>
        <v>0</v>
      </c>
      <c r="J33" s="8"/>
    </row>
    <row r="34" spans="1:10">
      <c r="J34" s="8"/>
    </row>
    <row r="35" spans="1:10" ht="12.75" customHeight="1">
      <c r="A35" s="135" t="s">
        <v>12</v>
      </c>
      <c r="J35" s="8"/>
    </row>
    <row r="36" spans="1:10">
      <c r="A36" s="135"/>
      <c r="J36" s="8"/>
    </row>
    <row r="37" spans="1:10">
      <c r="A37" s="136" t="s">
        <v>13</v>
      </c>
      <c r="J37" s="8"/>
    </row>
    <row r="38" spans="1:10" ht="12.75" customHeight="1">
      <c r="A38" s="136"/>
      <c r="J38" s="8"/>
    </row>
    <row r="39" spans="1:10">
      <c r="J39" s="8"/>
    </row>
  </sheetData>
  <autoFilter ref="A2:I2" xr:uid="{E69961AB-A757-4049-8AB9-40F3BCB812B3}"/>
  <mergeCells count="8">
    <mergeCell ref="G1:I1"/>
    <mergeCell ref="J1:J2"/>
    <mergeCell ref="K1:K2"/>
    <mergeCell ref="A35:A36"/>
    <mergeCell ref="A37:A38"/>
    <mergeCell ref="A33:B33"/>
    <mergeCell ref="C1:F1"/>
    <mergeCell ref="A1:B1"/>
  </mergeCells>
  <conditionalFormatting sqref="F3:F33 I3:I33">
    <cfRule type="cellIs" dxfId="521" priority="1" operator="lessThanOrEqual">
      <formula>-0.1</formula>
    </cfRule>
    <cfRule type="cellIs" dxfId="520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9"/>
  <sheetViews>
    <sheetView workbookViewId="0">
      <pane ySplit="2" topLeftCell="A24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46.140625" bestFit="1" customWidth="1"/>
    <col min="11" max="11" width="13" customWidth="1"/>
  </cols>
  <sheetData>
    <row r="1" spans="1:11" ht="19.5" customHeight="1">
      <c r="A1" s="137" t="str" cm="1">
        <f t="array" ref="A1">portfolio</f>
        <v>Greenbacker</v>
      </c>
      <c r="B1" s="138"/>
      <c r="C1" s="139" t="s">
        <v>28</v>
      </c>
      <c r="D1" s="140"/>
      <c r="E1" s="140"/>
      <c r="F1" s="141"/>
      <c r="G1" s="142" t="s">
        <v>29</v>
      </c>
      <c r="H1" s="142"/>
      <c r="I1" s="143"/>
      <c r="J1" s="131" t="s">
        <v>2</v>
      </c>
      <c r="K1" s="131" t="s">
        <v>3</v>
      </c>
    </row>
    <row r="2" spans="1:11" ht="14.25" customHeight="1">
      <c r="A2" s="45" t="s">
        <v>4</v>
      </c>
      <c r="B2" s="46" t="s">
        <v>5</v>
      </c>
      <c r="C2" s="5" t="s">
        <v>6</v>
      </c>
      <c r="D2" s="43" t="s">
        <v>7</v>
      </c>
      <c r="E2" s="5" t="s">
        <v>8</v>
      </c>
      <c r="F2" s="6" t="s">
        <v>9</v>
      </c>
      <c r="G2" s="44" t="s">
        <v>10</v>
      </c>
      <c r="H2" s="7" t="s">
        <v>8</v>
      </c>
      <c r="I2" s="9" t="s">
        <v>9</v>
      </c>
      <c r="J2" s="132"/>
      <c r="K2" s="132"/>
    </row>
    <row r="3" spans="1:11" ht="15.75">
      <c r="A3" s="107" t="str" cm="1">
        <f t="array" ref="A3:A32">Sites[Site]</f>
        <v>10 Walpole Park South</v>
      </c>
      <c r="B3" s="108" t="str" cm="1">
        <f t="array" ref="B3:B32">Sites[State]</f>
        <v>MA</v>
      </c>
      <c r="C3" s="101" t="str" cm="1">
        <f t="array" aca="1" ref="C3:K3" ca="1">IF(INDIRECT("'" &amp; $A3 &amp; "'!B8:J8")="", "", INDIRECT("'" &amp; $A3 &amp; "'!B8:J8"))</f>
        <v/>
      </c>
      <c r="D3" s="101" t="str">
        <f ca="1"/>
        <v/>
      </c>
      <c r="E3" s="101">
        <f ca="1"/>
        <v>0</v>
      </c>
      <c r="F3" s="109">
        <f ca="1"/>
        <v>0</v>
      </c>
      <c r="G3" s="103" t="str">
        <f ca="1"/>
        <v/>
      </c>
      <c r="H3" s="103">
        <f ca="1"/>
        <v>0</v>
      </c>
      <c r="I3" s="110">
        <f ca="1"/>
        <v>0</v>
      </c>
      <c r="J3" s="18" t="str">
        <f ca="1"/>
        <v/>
      </c>
      <c r="K3" s="18" t="str">
        <f ca="1"/>
        <v/>
      </c>
    </row>
    <row r="4" spans="1:11" ht="15.75">
      <c r="A4" s="99" t="str">
        <v>15 Walpole Park South</v>
      </c>
      <c r="B4" s="100" t="str">
        <v>MA</v>
      </c>
      <c r="C4" s="101" t="str" cm="1">
        <f t="array" aca="1" ref="C4:K4" ca="1">IF(INDIRECT("'" &amp; $A4 &amp; "'!B8:J8")="", "", INDIRECT("'" &amp; $A4 &amp; "'!B8:J8"))</f>
        <v/>
      </c>
      <c r="D4" s="101" t="str">
        <f ca="1"/>
        <v/>
      </c>
      <c r="E4" s="101">
        <f ca="1"/>
        <v>0</v>
      </c>
      <c r="F4" s="102">
        <f ca="1"/>
        <v>0</v>
      </c>
      <c r="G4" s="103" t="str">
        <f ca="1"/>
        <v/>
      </c>
      <c r="H4" s="103">
        <f ca="1"/>
        <v>0</v>
      </c>
      <c r="I4" s="104">
        <f ca="1"/>
        <v>0</v>
      </c>
      <c r="J4" s="18" t="str">
        <f ca="1"/>
        <v/>
      </c>
      <c r="K4" s="18" t="str">
        <f ca="1"/>
        <v/>
      </c>
    </row>
    <row r="5" spans="1:11" ht="15.75">
      <c r="A5" s="105" t="str">
        <v>19 Walpole Park South</v>
      </c>
      <c r="B5" s="106" t="str">
        <v>MA</v>
      </c>
      <c r="C5" s="101" t="str" cm="1">
        <f t="array" aca="1" ref="C5:K5" ca="1">IF(INDIRECT("'" &amp; $A5 &amp; "'!B8:J8")="", "", INDIRECT("'" &amp; $A5 &amp; "'!B8:J8"))</f>
        <v/>
      </c>
      <c r="D5" s="101" t="str">
        <f ca="1"/>
        <v/>
      </c>
      <c r="E5" s="101">
        <f ca="1"/>
        <v>0</v>
      </c>
      <c r="F5" s="102">
        <f ca="1"/>
        <v>0</v>
      </c>
      <c r="G5" s="103" t="str">
        <f ca="1"/>
        <v/>
      </c>
      <c r="H5" s="103">
        <f ca="1"/>
        <v>0</v>
      </c>
      <c r="I5" s="104">
        <f ca="1"/>
        <v>0</v>
      </c>
      <c r="J5" s="18" t="str">
        <f ca="1"/>
        <v/>
      </c>
      <c r="K5" s="18" t="str">
        <f ca="1"/>
        <v/>
      </c>
    </row>
    <row r="6" spans="1:11" ht="15.75">
      <c r="A6" s="99" t="str">
        <v>23 Walpole Park South</v>
      </c>
      <c r="B6" s="100" t="str">
        <v>MA</v>
      </c>
      <c r="C6" s="101" t="str" cm="1">
        <f t="array" aca="1" ref="C6:K6" ca="1">IF(INDIRECT("'" &amp; $A6 &amp; "'!B8:J8")="", "", INDIRECT("'" &amp; $A6 &amp; "'!B8:J8"))</f>
        <v/>
      </c>
      <c r="D6" s="101" t="str">
        <f ca="1"/>
        <v/>
      </c>
      <c r="E6" s="101">
        <f ca="1"/>
        <v>0</v>
      </c>
      <c r="F6" s="102">
        <f ca="1"/>
        <v>0</v>
      </c>
      <c r="G6" s="103" t="str">
        <f ca="1"/>
        <v/>
      </c>
      <c r="H6" s="103">
        <f ca="1"/>
        <v>0</v>
      </c>
      <c r="I6" s="104">
        <f ca="1"/>
        <v>0</v>
      </c>
      <c r="J6" s="18" t="str">
        <f ca="1"/>
        <v/>
      </c>
      <c r="K6" s="18" t="str">
        <f ca="1"/>
        <v/>
      </c>
    </row>
    <row r="7" spans="1:11" ht="15.75">
      <c r="A7" s="105" t="str">
        <v>24 Walpole Park South</v>
      </c>
      <c r="B7" s="106" t="str">
        <v>MA</v>
      </c>
      <c r="C7" s="101" t="str" cm="1">
        <f t="array" aca="1" ref="C7:K7" ca="1">IF(INDIRECT("'" &amp; $A7 &amp; "'!B8:J8")="", "", INDIRECT("'" &amp; $A7 &amp; "'!B8:J8"))</f>
        <v/>
      </c>
      <c r="D7" s="101" t="str">
        <f ca="1"/>
        <v/>
      </c>
      <c r="E7" s="101">
        <f ca="1"/>
        <v>0</v>
      </c>
      <c r="F7" s="102">
        <f ca="1"/>
        <v>0</v>
      </c>
      <c r="G7" s="103" t="str">
        <f ca="1"/>
        <v/>
      </c>
      <c r="H7" s="103">
        <f ca="1"/>
        <v>0</v>
      </c>
      <c r="I7" s="104">
        <f ca="1"/>
        <v>0</v>
      </c>
      <c r="J7" s="18" t="str">
        <f ca="1"/>
        <v/>
      </c>
      <c r="K7" s="18" t="str">
        <f ca="1"/>
        <v/>
      </c>
    </row>
    <row r="8" spans="1:11" ht="15.75">
      <c r="A8" s="99" t="str">
        <v>25 Walpole Park South</v>
      </c>
      <c r="B8" s="100" t="str">
        <v>MA</v>
      </c>
      <c r="C8" s="101" t="str" cm="1">
        <f t="array" aca="1" ref="C8:K8" ca="1">IF(INDIRECT("'" &amp; $A8 &amp; "'!B8:J8")="", "", INDIRECT("'" &amp; $A8 &amp; "'!B8:J8"))</f>
        <v/>
      </c>
      <c r="D8" s="101" t="str">
        <f ca="1"/>
        <v/>
      </c>
      <c r="E8" s="101">
        <f ca="1"/>
        <v>0</v>
      </c>
      <c r="F8" s="102">
        <f ca="1"/>
        <v>0</v>
      </c>
      <c r="G8" s="103" t="str">
        <f ca="1"/>
        <v/>
      </c>
      <c r="H8" s="103">
        <f ca="1"/>
        <v>0</v>
      </c>
      <c r="I8" s="104">
        <f ca="1"/>
        <v>0</v>
      </c>
      <c r="J8" s="18" t="str">
        <f ca="1"/>
        <v/>
      </c>
      <c r="K8" s="18" t="str">
        <f ca="1"/>
        <v/>
      </c>
    </row>
    <row r="9" spans="1:11" ht="15.75">
      <c r="A9" s="105" t="str">
        <v>3 Walpole Park South</v>
      </c>
      <c r="B9" s="106" t="str">
        <v>MA</v>
      </c>
      <c r="C9" s="101" t="str" cm="1">
        <f t="array" aca="1" ref="C9:K9" ca="1">IF(INDIRECT("'" &amp; $A9 &amp; "'!B8:J8")="", "", INDIRECT("'" &amp; $A9 &amp; "'!B8:J8"))</f>
        <v/>
      </c>
      <c r="D9" s="101" t="str">
        <f ca="1"/>
        <v/>
      </c>
      <c r="E9" s="101">
        <f ca="1"/>
        <v>0</v>
      </c>
      <c r="F9" s="102">
        <f ca="1"/>
        <v>0</v>
      </c>
      <c r="G9" s="103" t="str">
        <f ca="1"/>
        <v/>
      </c>
      <c r="H9" s="103">
        <f ca="1"/>
        <v>0</v>
      </c>
      <c r="I9" s="104">
        <f ca="1"/>
        <v>0</v>
      </c>
      <c r="J9" s="18" t="str">
        <f ca="1"/>
        <v/>
      </c>
      <c r="K9" s="18" t="str">
        <f ca="1"/>
        <v/>
      </c>
    </row>
    <row r="10" spans="1:11" ht="15.75">
      <c r="A10" s="99" t="str">
        <v>4 Walpole Park South</v>
      </c>
      <c r="B10" s="100" t="str">
        <v>MA</v>
      </c>
      <c r="C10" s="101" t="str" cm="1">
        <f t="array" aca="1" ref="C10:K10" ca="1">IF(INDIRECT("'" &amp; $A10 &amp; "'!B8:J8")="", "", INDIRECT("'" &amp; $A10 &amp; "'!B8:J8"))</f>
        <v/>
      </c>
      <c r="D10" s="101" t="str">
        <f ca="1"/>
        <v/>
      </c>
      <c r="E10" s="101">
        <f ca="1"/>
        <v>0</v>
      </c>
      <c r="F10" s="102">
        <f ca="1"/>
        <v>0</v>
      </c>
      <c r="G10" s="103" t="str">
        <f ca="1"/>
        <v/>
      </c>
      <c r="H10" s="103">
        <f ca="1"/>
        <v>0</v>
      </c>
      <c r="I10" s="104">
        <f ca="1"/>
        <v>0</v>
      </c>
      <c r="J10" s="18" t="str">
        <f ca="1"/>
        <v/>
      </c>
      <c r="K10" s="18" t="str">
        <f ca="1"/>
        <v/>
      </c>
    </row>
    <row r="11" spans="1:11" ht="15.75">
      <c r="A11" s="105" t="str">
        <v>Brockton</v>
      </c>
      <c r="B11" s="106" t="str">
        <v>MA</v>
      </c>
      <c r="C11" s="101" t="str" cm="1">
        <f t="array" aca="1" ref="C11:K11" ca="1">IF(INDIRECT("'" &amp; $A11 &amp; "'!B8:J8")="", "", INDIRECT("'" &amp; $A11 &amp; "'!B8:J8"))</f>
        <v/>
      </c>
      <c r="D11" s="101" t="str">
        <f ca="1"/>
        <v/>
      </c>
      <c r="E11" s="101">
        <f ca="1"/>
        <v>0</v>
      </c>
      <c r="F11" s="102">
        <f ca="1"/>
        <v>0</v>
      </c>
      <c r="G11" s="103" t="str">
        <f ca="1"/>
        <v/>
      </c>
      <c r="H11" s="103">
        <f ca="1"/>
        <v>0</v>
      </c>
      <c r="I11" s="104">
        <f ca="1"/>
        <v>0</v>
      </c>
      <c r="J11" s="18" t="str">
        <f ca="1"/>
        <v/>
      </c>
      <c r="K11" s="18" t="str">
        <f ca="1"/>
        <v/>
      </c>
    </row>
    <row r="12" spans="1:11" ht="15.75">
      <c r="A12" s="99" t="str">
        <v>Canton</v>
      </c>
      <c r="B12" s="100" t="str">
        <v>MA</v>
      </c>
      <c r="C12" s="101" t="str" cm="1">
        <f t="array" aca="1" ref="C12:K12" ca="1">IF(INDIRECT("'" &amp; $A12 &amp; "'!B8:J8")="", "", INDIRECT("'" &amp; $A12 &amp; "'!B8:J8"))</f>
        <v/>
      </c>
      <c r="D12" s="101" t="str">
        <f ca="1"/>
        <v/>
      </c>
      <c r="E12" s="101">
        <f ca="1"/>
        <v>0</v>
      </c>
      <c r="F12" s="102">
        <f ca="1"/>
        <v>0</v>
      </c>
      <c r="G12" s="103" t="str">
        <f ca="1"/>
        <v/>
      </c>
      <c r="H12" s="103">
        <f ca="1"/>
        <v>0</v>
      </c>
      <c r="I12" s="104">
        <f ca="1"/>
        <v>0</v>
      </c>
      <c r="J12" s="18" t="str">
        <f ca="1"/>
        <v/>
      </c>
      <c r="K12" s="18" t="str">
        <f ca="1"/>
        <v/>
      </c>
    </row>
    <row r="13" spans="1:11" ht="15.75">
      <c r="A13" s="105" t="str">
        <v>Chelsea</v>
      </c>
      <c r="B13" s="106" t="str">
        <v>MA</v>
      </c>
      <c r="C13" s="101" t="str" cm="1">
        <f t="array" aca="1" ref="C13:K13" ca="1">IF(INDIRECT("'" &amp; $A13 &amp; "'!B8:J8")="", "", INDIRECT("'" &amp; $A13 &amp; "'!B8:J8"))</f>
        <v/>
      </c>
      <c r="D13" s="101" t="str">
        <f ca="1"/>
        <v/>
      </c>
      <c r="E13" s="101">
        <f ca="1"/>
        <v>0</v>
      </c>
      <c r="F13" s="102">
        <f ca="1"/>
        <v>0</v>
      </c>
      <c r="G13" s="103" t="str">
        <f ca="1"/>
        <v/>
      </c>
      <c r="H13" s="103">
        <f ca="1"/>
        <v>0</v>
      </c>
      <c r="I13" s="104">
        <f ca="1"/>
        <v>0</v>
      </c>
      <c r="J13" s="18" t="str">
        <f ca="1"/>
        <v/>
      </c>
      <c r="K13" s="18" t="str">
        <f ca="1"/>
        <v/>
      </c>
    </row>
    <row r="14" spans="1:11" ht="15.75">
      <c r="A14" s="99" t="str">
        <v>Hamilton Landfill</v>
      </c>
      <c r="B14" s="100" t="str">
        <v>MA</v>
      </c>
      <c r="C14" s="101" t="str" cm="1">
        <f t="array" aca="1" ref="C14:K14" ca="1">IF(INDIRECT("'" &amp; $A14 &amp; "'!B8:J8")="", "", INDIRECT("'" &amp; $A14 &amp; "'!B8:J8"))</f>
        <v/>
      </c>
      <c r="D14" s="101" t="str">
        <f ca="1"/>
        <v/>
      </c>
      <c r="E14" s="101">
        <f ca="1"/>
        <v>0</v>
      </c>
      <c r="F14" s="102">
        <f ca="1"/>
        <v>0</v>
      </c>
      <c r="G14" s="103" t="str">
        <f ca="1"/>
        <v/>
      </c>
      <c r="H14" s="103">
        <f ca="1"/>
        <v>0</v>
      </c>
      <c r="I14" s="104">
        <f ca="1"/>
        <v>0</v>
      </c>
      <c r="J14" s="18" t="str">
        <f ca="1"/>
        <v/>
      </c>
      <c r="K14" s="18" t="str">
        <f ca="1"/>
        <v/>
      </c>
    </row>
    <row r="15" spans="1:11" ht="15.75">
      <c r="A15" s="105" t="str">
        <v>Holliston</v>
      </c>
      <c r="B15" s="106" t="str">
        <v>MA</v>
      </c>
      <c r="C15" s="101" t="str" cm="1">
        <f t="array" aca="1" ref="C15:K15" ca="1">IF(INDIRECT("'" &amp; $A15 &amp; "'!B8:J8")="", "", INDIRECT("'" &amp; $A15 &amp; "'!B8:J8"))</f>
        <v/>
      </c>
      <c r="D15" s="101" t="str">
        <f ca="1"/>
        <v/>
      </c>
      <c r="E15" s="101">
        <f ca="1"/>
        <v>0</v>
      </c>
      <c r="F15" s="102">
        <f ca="1"/>
        <v>0</v>
      </c>
      <c r="G15" s="103" t="str">
        <f ca="1"/>
        <v/>
      </c>
      <c r="H15" s="103">
        <f ca="1"/>
        <v>0</v>
      </c>
      <c r="I15" s="104">
        <f ca="1"/>
        <v>0</v>
      </c>
      <c r="J15" s="18" t="str">
        <f ca="1"/>
        <v/>
      </c>
      <c r="K15" s="18" t="str">
        <f ca="1"/>
        <v/>
      </c>
    </row>
    <row r="16" spans="1:11" ht="15.75">
      <c r="A16" s="99" t="str">
        <v>Natick HS - Carports</v>
      </c>
      <c r="B16" s="100" t="str">
        <v>MA</v>
      </c>
      <c r="C16" s="101" t="str" cm="1">
        <f t="array" aca="1" ref="C16:K16" ca="1">IF(INDIRECT("'" &amp; $A16 &amp; "'!B8:J8")="", "", INDIRECT("'" &amp; $A16 &amp; "'!B8:J8"))</f>
        <v/>
      </c>
      <c r="D16" s="101" t="str">
        <f ca="1"/>
        <v/>
      </c>
      <c r="E16" s="101">
        <f ca="1"/>
        <v>0</v>
      </c>
      <c r="F16" s="102">
        <f ca="1"/>
        <v>0</v>
      </c>
      <c r="G16" s="103" t="str">
        <f ca="1"/>
        <v/>
      </c>
      <c r="H16" s="103">
        <f ca="1"/>
        <v>0</v>
      </c>
      <c r="I16" s="104">
        <f ca="1"/>
        <v>0</v>
      </c>
      <c r="J16" s="18" t="str">
        <f ca="1"/>
        <v/>
      </c>
      <c r="K16" s="18" t="str">
        <f ca="1"/>
        <v/>
      </c>
    </row>
    <row r="17" spans="1:11" ht="15.75">
      <c r="A17" s="105" t="str">
        <v>Norton</v>
      </c>
      <c r="B17" s="106" t="str">
        <v>MA</v>
      </c>
      <c r="C17" s="101" t="str" cm="1">
        <f t="array" aca="1" ref="C17:K17" ca="1">IF(INDIRECT("'" &amp; $A17 &amp; "'!B8:J8")="", "", INDIRECT("'" &amp; $A17 &amp; "'!B8:J8"))</f>
        <v/>
      </c>
      <c r="D17" s="101" t="str">
        <f ca="1"/>
        <v/>
      </c>
      <c r="E17" s="101">
        <f ca="1"/>
        <v>0</v>
      </c>
      <c r="F17" s="102">
        <f ca="1"/>
        <v>0</v>
      </c>
      <c r="G17" s="103" t="str">
        <f ca="1"/>
        <v/>
      </c>
      <c r="H17" s="103">
        <f ca="1"/>
        <v>0</v>
      </c>
      <c r="I17" s="104">
        <f ca="1"/>
        <v>0</v>
      </c>
      <c r="J17" s="18" t="str">
        <f ca="1"/>
        <v/>
      </c>
      <c r="K17" s="18" t="str">
        <f ca="1"/>
        <v/>
      </c>
    </row>
    <row r="18" spans="1:11" ht="15.75">
      <c r="A18" s="99" t="str">
        <v>Palmer - Boston Rd.</v>
      </c>
      <c r="B18" s="100" t="str">
        <v>MA</v>
      </c>
      <c r="C18" s="101" t="str" cm="1">
        <f t="array" aca="1" ref="C18:K18" ca="1">IF(INDIRECT("'" &amp; $A18 &amp; "'!B8:J8")="", "", INDIRECT("'" &amp; $A18 &amp; "'!B8:J8"))</f>
        <v/>
      </c>
      <c r="D18" s="101" t="str">
        <f ca="1"/>
        <v/>
      </c>
      <c r="E18" s="101">
        <f ca="1"/>
        <v>0</v>
      </c>
      <c r="F18" s="102">
        <f ca="1"/>
        <v>0</v>
      </c>
      <c r="G18" s="103" t="str">
        <f ca="1"/>
        <v/>
      </c>
      <c r="H18" s="103">
        <f ca="1"/>
        <v>0</v>
      </c>
      <c r="I18" s="104">
        <f ca="1"/>
        <v>0</v>
      </c>
      <c r="J18" s="18" t="str">
        <f ca="1"/>
        <v/>
      </c>
      <c r="K18" s="18" t="str">
        <f ca="1"/>
        <v/>
      </c>
    </row>
    <row r="19" spans="1:11" ht="15.75">
      <c r="A19" s="105" t="str">
        <v>Shirley Bartkus</v>
      </c>
      <c r="B19" s="106" t="str">
        <v>MA</v>
      </c>
      <c r="C19" s="101" t="str" cm="1">
        <f t="array" aca="1" ref="C19:K19" ca="1">IF(INDIRECT("'" &amp; $A19 &amp; "'!B8:J8")="", "", INDIRECT("'" &amp; $A19 &amp; "'!B8:J8"))</f>
        <v/>
      </c>
      <c r="D19" s="101" t="str">
        <f ca="1"/>
        <v/>
      </c>
      <c r="E19" s="101">
        <f ca="1"/>
        <v>0</v>
      </c>
      <c r="F19" s="102">
        <f ca="1"/>
        <v>0</v>
      </c>
      <c r="G19" s="103" t="str">
        <f ca="1"/>
        <v/>
      </c>
      <c r="H19" s="103">
        <f ca="1"/>
        <v>0</v>
      </c>
      <c r="I19" s="104">
        <f ca="1"/>
        <v>0</v>
      </c>
      <c r="J19" s="18" t="str">
        <f ca="1"/>
        <v/>
      </c>
      <c r="K19" s="18" t="str">
        <f ca="1"/>
        <v/>
      </c>
    </row>
    <row r="20" spans="1:11" ht="15.75">
      <c r="A20" s="99" t="str">
        <v>Stoughton</v>
      </c>
      <c r="B20" s="100" t="str">
        <v>MA</v>
      </c>
      <c r="C20" s="101" t="str" cm="1">
        <f t="array" aca="1" ref="C20:K20" ca="1">IF(INDIRECT("'" &amp; $A20 &amp; "'!B8:J8")="", "", INDIRECT("'" &amp; $A20 &amp; "'!B8:J8"))</f>
        <v/>
      </c>
      <c r="D20" s="101" t="str">
        <f ca="1"/>
        <v/>
      </c>
      <c r="E20" s="101">
        <f ca="1"/>
        <v>0</v>
      </c>
      <c r="F20" s="102">
        <f ca="1"/>
        <v>0</v>
      </c>
      <c r="G20" s="103" t="str">
        <f ca="1"/>
        <v/>
      </c>
      <c r="H20" s="103">
        <f ca="1"/>
        <v>0</v>
      </c>
      <c r="I20" s="104">
        <f ca="1"/>
        <v>0</v>
      </c>
      <c r="J20" s="18" t="str">
        <f ca="1"/>
        <v/>
      </c>
      <c r="K20" s="18" t="str">
        <f ca="1"/>
        <v/>
      </c>
    </row>
    <row r="21" spans="1:11" ht="15.75">
      <c r="A21" s="105" t="str">
        <v>Wellfleet Landfill</v>
      </c>
      <c r="B21" s="106" t="str">
        <v>MA</v>
      </c>
      <c r="C21" s="101" t="str" cm="1">
        <f t="array" aca="1" ref="C21:K21" ca="1">IF(INDIRECT("'" &amp; $A21 &amp; "'!B8:J8")="", "", INDIRECT("'" &amp; $A21 &amp; "'!B8:J8"))</f>
        <v/>
      </c>
      <c r="D21" s="101" t="str">
        <f ca="1"/>
        <v/>
      </c>
      <c r="E21" s="101">
        <f ca="1"/>
        <v>0</v>
      </c>
      <c r="F21" s="102">
        <f ca="1"/>
        <v>0</v>
      </c>
      <c r="G21" s="103" t="str">
        <f ca="1"/>
        <v/>
      </c>
      <c r="H21" s="103">
        <f ca="1"/>
        <v>0</v>
      </c>
      <c r="I21" s="104">
        <f ca="1"/>
        <v>0</v>
      </c>
      <c r="J21" s="18" t="str">
        <f ca="1"/>
        <v/>
      </c>
      <c r="K21" s="18" t="str">
        <f ca="1"/>
        <v/>
      </c>
    </row>
    <row r="22" spans="1:11" ht="15.75">
      <c r="A22" s="99" t="str">
        <v>Wilmington Garage &amp; Building 7</v>
      </c>
      <c r="B22" s="100" t="str">
        <v>MA</v>
      </c>
      <c r="C22" s="101" t="str" cm="1">
        <f t="array" aca="1" ref="C22:K22" ca="1">IF(INDIRECT("'" &amp; $A22 &amp; "'!B8:J8")="", "", INDIRECT("'" &amp; $A22 &amp; "'!B8:J8"))</f>
        <v/>
      </c>
      <c r="D22" s="101" t="str">
        <f ca="1"/>
        <v/>
      </c>
      <c r="E22" s="101">
        <f ca="1"/>
        <v>0</v>
      </c>
      <c r="F22" s="102">
        <f ca="1"/>
        <v>0</v>
      </c>
      <c r="G22" s="103" t="str">
        <f ca="1"/>
        <v/>
      </c>
      <c r="H22" s="103">
        <f ca="1"/>
        <v>0</v>
      </c>
      <c r="I22" s="104">
        <f ca="1"/>
        <v>0</v>
      </c>
      <c r="J22" s="18" t="str">
        <f ca="1"/>
        <v/>
      </c>
      <c r="K22" s="18" t="str">
        <f ca="1"/>
        <v/>
      </c>
    </row>
    <row r="23" spans="1:11" ht="15.75">
      <c r="A23" s="105" t="str">
        <v>Woburn</v>
      </c>
      <c r="B23" s="106" t="str">
        <v>MA</v>
      </c>
      <c r="C23" s="101" t="str" cm="1">
        <f t="array" aca="1" ref="C23:K23" ca="1">IF(INDIRECT("'" &amp; $A23 &amp; "'!B8:J8")="", "", INDIRECT("'" &amp; $A23 &amp; "'!B8:J8"))</f>
        <v/>
      </c>
      <c r="D23" s="101" t="str">
        <f ca="1"/>
        <v/>
      </c>
      <c r="E23" s="101">
        <f ca="1"/>
        <v>0</v>
      </c>
      <c r="F23" s="102">
        <f ca="1"/>
        <v>0</v>
      </c>
      <c r="G23" s="103" t="str">
        <f ca="1"/>
        <v/>
      </c>
      <c r="H23" s="103">
        <f ca="1"/>
        <v>0</v>
      </c>
      <c r="I23" s="104">
        <f ca="1"/>
        <v>0</v>
      </c>
      <c r="J23" s="18" t="str">
        <f ca="1"/>
        <v/>
      </c>
      <c r="K23" s="18" t="str">
        <f ca="1"/>
        <v/>
      </c>
    </row>
    <row r="24" spans="1:11" ht="15.75">
      <c r="A24" s="99" t="str">
        <v>Friendship Solar 1</v>
      </c>
      <c r="B24" s="100" t="str">
        <v>MD</v>
      </c>
      <c r="C24" s="101" t="str" cm="1">
        <f t="array" aca="1" ref="C24:K24" ca="1">IF(INDIRECT("'" &amp; $A24 &amp; "'!B8:J8")="", "", INDIRECT("'" &amp; $A24 &amp; "'!B8:J8"))</f>
        <v/>
      </c>
      <c r="D24" s="101" t="str">
        <f ca="1"/>
        <v/>
      </c>
      <c r="E24" s="101">
        <f ca="1"/>
        <v>0</v>
      </c>
      <c r="F24" s="102">
        <f ca="1"/>
        <v>0</v>
      </c>
      <c r="G24" s="103" t="str">
        <f ca="1"/>
        <v/>
      </c>
      <c r="H24" s="103">
        <f ca="1"/>
        <v>0</v>
      </c>
      <c r="I24" s="104">
        <f ca="1"/>
        <v>0</v>
      </c>
      <c r="J24" s="18" t="str">
        <f ca="1"/>
        <v/>
      </c>
      <c r="K24" s="18" t="str">
        <f ca="1"/>
        <v/>
      </c>
    </row>
    <row r="25" spans="1:11" ht="15.75">
      <c r="A25" s="105" t="str">
        <v>Friendship Solar 2</v>
      </c>
      <c r="B25" s="106" t="str">
        <v>MD</v>
      </c>
      <c r="C25" s="101" t="str" cm="1">
        <f t="array" aca="1" ref="C25:K25" ca="1">IF(INDIRECT("'" &amp; $A25 &amp; "'!B8:J8")="", "", INDIRECT("'" &amp; $A25 &amp; "'!B8:J8"))</f>
        <v/>
      </c>
      <c r="D25" s="101" t="str">
        <f ca="1"/>
        <v/>
      </c>
      <c r="E25" s="101">
        <f ca="1"/>
        <v>0</v>
      </c>
      <c r="F25" s="102">
        <f ca="1"/>
        <v>0</v>
      </c>
      <c r="G25" s="103" t="str">
        <f ca="1"/>
        <v/>
      </c>
      <c r="H25" s="103">
        <f ca="1"/>
        <v>0</v>
      </c>
      <c r="I25" s="104">
        <f ca="1"/>
        <v>0</v>
      </c>
      <c r="J25" s="18" t="str">
        <f ca="1"/>
        <v/>
      </c>
      <c r="K25" s="18" t="str">
        <f ca="1"/>
        <v/>
      </c>
    </row>
    <row r="26" spans="1:11" ht="15.75">
      <c r="A26" s="99" t="str">
        <v>101 Carnegie Center</v>
      </c>
      <c r="B26" s="100" t="str">
        <v>NJ</v>
      </c>
      <c r="C26" s="101" t="str" cm="1">
        <f t="array" aca="1" ref="C26:K26" ca="1">IF(INDIRECT("'" &amp; $A26 &amp; "'!B8:J8")="", "", INDIRECT("'" &amp; $A26 &amp; "'!B8:J8"))</f>
        <v/>
      </c>
      <c r="D26" s="101" t="str">
        <f ca="1"/>
        <v/>
      </c>
      <c r="E26" s="101">
        <f ca="1"/>
        <v>0</v>
      </c>
      <c r="F26" s="102">
        <f ca="1"/>
        <v>0</v>
      </c>
      <c r="G26" s="103" t="str">
        <f ca="1"/>
        <v/>
      </c>
      <c r="H26" s="103">
        <f ca="1"/>
        <v>0</v>
      </c>
      <c r="I26" s="104">
        <f ca="1"/>
        <v>0</v>
      </c>
      <c r="J26" s="18" t="str">
        <f ca="1"/>
        <v/>
      </c>
      <c r="K26" s="18" t="str">
        <f ca="1"/>
        <v/>
      </c>
    </row>
    <row r="27" spans="1:11" ht="15.75">
      <c r="A27" s="105" t="str">
        <v>302 Carnegie Center</v>
      </c>
      <c r="B27" s="106" t="str">
        <v>NJ</v>
      </c>
      <c r="C27" s="101" t="str" cm="1">
        <f t="array" aca="1" ref="C27:K27" ca="1">IF(INDIRECT("'" &amp; $A27 &amp; "'!B8:J8")="", "", INDIRECT("'" &amp; $A27 &amp; "'!B8:J8"))</f>
        <v/>
      </c>
      <c r="D27" s="101" t="str">
        <f ca="1"/>
        <v/>
      </c>
      <c r="E27" s="101">
        <f ca="1"/>
        <v>0</v>
      </c>
      <c r="F27" s="102">
        <f ca="1"/>
        <v>0</v>
      </c>
      <c r="G27" s="103" t="str">
        <f ca="1"/>
        <v/>
      </c>
      <c r="H27" s="103">
        <f ca="1"/>
        <v>0</v>
      </c>
      <c r="I27" s="104">
        <f ca="1"/>
        <v>0</v>
      </c>
      <c r="J27" s="18" t="str">
        <f ca="1"/>
        <v/>
      </c>
      <c r="K27" s="18" t="str">
        <f ca="1"/>
        <v/>
      </c>
    </row>
    <row r="28" spans="1:11" ht="15.75">
      <c r="A28" s="99" t="str">
        <v>510 Carnegie Center</v>
      </c>
      <c r="B28" s="100" t="str">
        <v>NJ</v>
      </c>
      <c r="C28" s="101" t="str" cm="1">
        <f t="array" aca="1" ref="C28:K28" ca="1">IF(INDIRECT("'" &amp; $A28 &amp; "'!B8:J8")="", "", INDIRECT("'" &amp; $A28 &amp; "'!B8:J8"))</f>
        <v/>
      </c>
      <c r="D28" s="101" t="str">
        <f ca="1"/>
        <v/>
      </c>
      <c r="E28" s="101">
        <f ca="1"/>
        <v>0</v>
      </c>
      <c r="F28" s="102">
        <f ca="1"/>
        <v>0</v>
      </c>
      <c r="G28" s="103" t="str">
        <f ca="1"/>
        <v/>
      </c>
      <c r="H28" s="103">
        <f ca="1"/>
        <v>0</v>
      </c>
      <c r="I28" s="104">
        <f ca="1"/>
        <v>0</v>
      </c>
      <c r="J28" s="18" t="str">
        <f ca="1"/>
        <v/>
      </c>
      <c r="K28" s="18" t="str">
        <f ca="1"/>
        <v/>
      </c>
    </row>
    <row r="29" spans="1:11" ht="15.75">
      <c r="A29" s="105" t="str">
        <v>701 Carnegie Center</v>
      </c>
      <c r="B29" s="106" t="str">
        <v>NJ</v>
      </c>
      <c r="C29" s="101" t="str" cm="1">
        <f t="array" aca="1" ref="C29:K29" ca="1">IF(INDIRECT("'" &amp; $A29 &amp; "'!B8:J8")="", "", INDIRECT("'" &amp; $A29 &amp; "'!B8:J8"))</f>
        <v/>
      </c>
      <c r="D29" s="101" t="str">
        <f ca="1"/>
        <v/>
      </c>
      <c r="E29" s="101">
        <f ca="1"/>
        <v>0</v>
      </c>
      <c r="F29" s="102">
        <f ca="1"/>
        <v>0</v>
      </c>
      <c r="G29" s="103" t="str">
        <f ca="1"/>
        <v/>
      </c>
      <c r="H29" s="103">
        <f ca="1"/>
        <v>0</v>
      </c>
      <c r="I29" s="104">
        <f ca="1"/>
        <v>0</v>
      </c>
      <c r="J29" s="18" t="str">
        <f ca="1"/>
        <v/>
      </c>
      <c r="K29" s="18" t="str">
        <f ca="1"/>
        <v/>
      </c>
    </row>
    <row r="30" spans="1:11" ht="15.75">
      <c r="A30" s="99" t="str">
        <v>Hudson County Correction</v>
      </c>
      <c r="B30" s="100" t="str">
        <v>NJ</v>
      </c>
      <c r="C30" s="101" t="str" cm="1">
        <f t="array" aca="1" ref="C30:K30" ca="1">IF(INDIRECT("'" &amp; $A30 &amp; "'!B8:J8")="", "", INDIRECT("'" &amp; $A30 &amp; "'!B8:J8"))</f>
        <v/>
      </c>
      <c r="D30" s="101" t="str">
        <f ca="1"/>
        <v/>
      </c>
      <c r="E30" s="101">
        <f ca="1"/>
        <v>0</v>
      </c>
      <c r="F30" s="102">
        <f ca="1"/>
        <v>0</v>
      </c>
      <c r="G30" s="103" t="str">
        <f ca="1"/>
        <v/>
      </c>
      <c r="H30" s="103">
        <f ca="1"/>
        <v>0</v>
      </c>
      <c r="I30" s="104">
        <f ca="1"/>
        <v>0</v>
      </c>
      <c r="J30" s="18" t="str">
        <f ca="1"/>
        <v/>
      </c>
      <c r="K30" s="18" t="str">
        <f ca="1"/>
        <v/>
      </c>
    </row>
    <row r="31" spans="1:11" ht="15.75">
      <c r="A31" s="105" t="str">
        <v>ER Bison Solar</v>
      </c>
      <c r="B31" s="106" t="str">
        <v>PA</v>
      </c>
      <c r="C31" s="101" t="str" cm="1">
        <f t="array" aca="1" ref="C31:K31" ca="1">IF(INDIRECT("'" &amp; $A31 &amp; "'!B8:J8")="", "", INDIRECT("'" &amp; $A31 &amp; "'!B8:J8"))</f>
        <v/>
      </c>
      <c r="D31" s="101" t="str">
        <f ca="1"/>
        <v/>
      </c>
      <c r="E31" s="101">
        <f ca="1"/>
        <v>0</v>
      </c>
      <c r="F31" s="102">
        <f ca="1"/>
        <v>0</v>
      </c>
      <c r="G31" s="103" t="str">
        <f ca="1"/>
        <v/>
      </c>
      <c r="H31" s="103">
        <f ca="1"/>
        <v>0</v>
      </c>
      <c r="I31" s="104">
        <f ca="1"/>
        <v>0</v>
      </c>
      <c r="J31" s="18" t="str">
        <f ca="1"/>
        <v/>
      </c>
      <c r="K31" s="18" t="str">
        <f ca="1"/>
        <v/>
      </c>
    </row>
    <row r="32" spans="1:11" ht="15.75">
      <c r="A32" s="111" t="str">
        <v>Danville</v>
      </c>
      <c r="B32" s="112" t="str">
        <v>IL</v>
      </c>
      <c r="C32" s="101" t="str" cm="1">
        <f t="array" aca="1" ref="C32:K32" ca="1">IF(INDIRECT("'" &amp; $A32 &amp; "'!B8:J8")="", "", INDIRECT("'" &amp; $A32 &amp; "'!B8:J8"))</f>
        <v/>
      </c>
      <c r="D32" s="101" t="str">
        <f ca="1"/>
        <v/>
      </c>
      <c r="E32" s="101">
        <f ca="1"/>
        <v>0</v>
      </c>
      <c r="F32" s="102">
        <f ca="1"/>
        <v>0</v>
      </c>
      <c r="G32" s="103">
        <f ca="1"/>
        <v>0</v>
      </c>
      <c r="H32" s="103">
        <f ca="1"/>
        <v>0</v>
      </c>
      <c r="I32" s="104">
        <f ca="1"/>
        <v>0</v>
      </c>
      <c r="J32" s="18" t="str">
        <f ca="1"/>
        <v/>
      </c>
      <c r="K32" s="18" t="str">
        <f ca="1"/>
        <v/>
      </c>
    </row>
    <row r="33" spans="1:10" ht="24.75" customHeight="1">
      <c r="A33" s="133" t="s">
        <v>11</v>
      </c>
      <c r="B33" s="134"/>
      <c r="C33" s="50">
        <f ca="1">SUM(C3:C31)</f>
        <v>0</v>
      </c>
      <c r="D33" s="50">
        <f ca="1">SUM(D3:D31)</f>
        <v>0</v>
      </c>
      <c r="E33" s="50">
        <f ca="1">C33-D33</f>
        <v>0</v>
      </c>
      <c r="F33" s="41">
        <f ca="1">IFERROR(E33/D33, 0)</f>
        <v>0</v>
      </c>
      <c r="G33" s="50">
        <f ca="1">SUM(G3:G31)</f>
        <v>0</v>
      </c>
      <c r="H33" s="51">
        <f ca="1">C33-G33</f>
        <v>0</v>
      </c>
      <c r="I33" s="42">
        <f ca="1">IFERROR(H33/G33, 0)</f>
        <v>0</v>
      </c>
      <c r="J33" s="8"/>
    </row>
    <row r="34" spans="1:10">
      <c r="J34" s="8"/>
    </row>
    <row r="35" spans="1:10" ht="12.75" customHeight="1">
      <c r="A35" s="135" t="s">
        <v>12</v>
      </c>
      <c r="J35" s="8"/>
    </row>
    <row r="36" spans="1:10">
      <c r="A36" s="135"/>
      <c r="J36" s="8"/>
    </row>
    <row r="37" spans="1:10">
      <c r="A37" s="136" t="s">
        <v>13</v>
      </c>
      <c r="J37" s="8"/>
    </row>
    <row r="38" spans="1:10" ht="12.75" customHeight="1">
      <c r="A38" s="136"/>
      <c r="J38" s="8"/>
    </row>
    <row r="39" spans="1:10">
      <c r="J39" s="8"/>
    </row>
  </sheetData>
  <autoFilter ref="A2:I2" xr:uid="{9CEFA865-F03F-435F-98CB-83683B1083B8}"/>
  <mergeCells count="8">
    <mergeCell ref="G1:I1"/>
    <mergeCell ref="J1:J2"/>
    <mergeCell ref="K1:K2"/>
    <mergeCell ref="A35:A36"/>
    <mergeCell ref="A37:A38"/>
    <mergeCell ref="A33:B33"/>
    <mergeCell ref="C1:F1"/>
    <mergeCell ref="A1:B1"/>
  </mergeCells>
  <conditionalFormatting sqref="F3:F33 I3:I33">
    <cfRule type="cellIs" dxfId="519" priority="1" operator="lessThanOrEqual">
      <formula>-0.1</formula>
    </cfRule>
    <cfRule type="cellIs" dxfId="518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9"/>
  <sheetViews>
    <sheetView workbookViewId="0">
      <pane ySplit="2" topLeftCell="A2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28515625" bestFit="1" customWidth="1"/>
    <col min="11" max="11" width="15.140625" customWidth="1"/>
  </cols>
  <sheetData>
    <row r="1" spans="1:11" ht="19.5" customHeight="1">
      <c r="A1" s="137" t="str" cm="1">
        <f t="array" ref="A1">portfolio</f>
        <v>Greenbacker</v>
      </c>
      <c r="B1" s="138"/>
      <c r="C1" s="139" t="s">
        <v>30</v>
      </c>
      <c r="D1" s="140"/>
      <c r="E1" s="140"/>
      <c r="F1" s="141"/>
      <c r="G1" s="142" t="s">
        <v>31</v>
      </c>
      <c r="H1" s="142"/>
      <c r="I1" s="143"/>
      <c r="J1" s="131" t="s">
        <v>2</v>
      </c>
      <c r="K1" s="131" t="s">
        <v>3</v>
      </c>
    </row>
    <row r="2" spans="1:11" ht="14.25" customHeight="1">
      <c r="A2" s="45" t="s">
        <v>4</v>
      </c>
      <c r="B2" s="46" t="s">
        <v>5</v>
      </c>
      <c r="C2" s="5" t="s">
        <v>6</v>
      </c>
      <c r="D2" s="43" t="s">
        <v>7</v>
      </c>
      <c r="E2" s="5" t="s">
        <v>8</v>
      </c>
      <c r="F2" s="6" t="s">
        <v>9</v>
      </c>
      <c r="G2" s="44" t="s">
        <v>10</v>
      </c>
      <c r="H2" s="7" t="s">
        <v>8</v>
      </c>
      <c r="I2" s="9" t="s">
        <v>9</v>
      </c>
      <c r="J2" s="132"/>
      <c r="K2" s="132"/>
    </row>
    <row r="3" spans="1:11" ht="15.75">
      <c r="A3" s="107" t="str" cm="1">
        <f t="array" ref="A3:A32">Sites[Site]</f>
        <v>10 Walpole Park South</v>
      </c>
      <c r="B3" s="108" t="str" cm="1">
        <f t="array" ref="B3:B32">Sites[State]</f>
        <v>MA</v>
      </c>
      <c r="C3" s="101" t="str" cm="1">
        <f t="array" aca="1" ref="C3:K3" ca="1">IF(INDIRECT("'" &amp; $A3 &amp; "'!B9:J9")="", "", INDIRECT("'" &amp; $A3 &amp; "'!B9:J9"))</f>
        <v/>
      </c>
      <c r="D3" s="101" t="str">
        <f ca="1"/>
        <v/>
      </c>
      <c r="E3" s="101">
        <f ca="1"/>
        <v>0</v>
      </c>
      <c r="F3" s="109">
        <f ca="1"/>
        <v>0</v>
      </c>
      <c r="G3" s="103" t="str">
        <f ca="1"/>
        <v/>
      </c>
      <c r="H3" s="103">
        <f ca="1"/>
        <v>0</v>
      </c>
      <c r="I3" s="110">
        <f ca="1"/>
        <v>0</v>
      </c>
      <c r="J3" s="18" t="str">
        <f ca="1"/>
        <v/>
      </c>
      <c r="K3" s="18" t="str">
        <f ca="1"/>
        <v/>
      </c>
    </row>
    <row r="4" spans="1:11" ht="15.75">
      <c r="A4" s="99" t="str">
        <v>15 Walpole Park South</v>
      </c>
      <c r="B4" s="100" t="str">
        <v>MA</v>
      </c>
      <c r="C4" s="101" t="str" cm="1">
        <f t="array" aca="1" ref="C4:K4" ca="1">IF(INDIRECT("'" &amp; $A4 &amp; "'!B9:J9")="", "", INDIRECT("'" &amp; $A4 &amp; "'!B9:J9"))</f>
        <v/>
      </c>
      <c r="D4" s="101" t="str">
        <f ca="1"/>
        <v/>
      </c>
      <c r="E4" s="101">
        <f ca="1"/>
        <v>0</v>
      </c>
      <c r="F4" s="102">
        <f ca="1"/>
        <v>0</v>
      </c>
      <c r="G4" s="103" t="str">
        <f ca="1"/>
        <v/>
      </c>
      <c r="H4" s="103">
        <f ca="1"/>
        <v>0</v>
      </c>
      <c r="I4" s="104">
        <f ca="1"/>
        <v>0</v>
      </c>
      <c r="J4" s="18" t="str">
        <f ca="1"/>
        <v/>
      </c>
      <c r="K4" s="18" t="str">
        <f ca="1"/>
        <v/>
      </c>
    </row>
    <row r="5" spans="1:11" ht="15.75">
      <c r="A5" s="105" t="str">
        <v>19 Walpole Park South</v>
      </c>
      <c r="B5" s="106" t="str">
        <v>MA</v>
      </c>
      <c r="C5" s="101" t="str" cm="1">
        <f t="array" aca="1" ref="C5:K5" ca="1">IF(INDIRECT("'" &amp; $A5 &amp; "'!B9:J9")="", "", INDIRECT("'" &amp; $A5 &amp; "'!B9:J9"))</f>
        <v/>
      </c>
      <c r="D5" s="101" t="str">
        <f ca="1"/>
        <v/>
      </c>
      <c r="E5" s="101">
        <f ca="1"/>
        <v>0</v>
      </c>
      <c r="F5" s="102">
        <f ca="1"/>
        <v>0</v>
      </c>
      <c r="G5" s="103" t="str">
        <f ca="1"/>
        <v/>
      </c>
      <c r="H5" s="103">
        <f ca="1"/>
        <v>0</v>
      </c>
      <c r="I5" s="104">
        <f ca="1"/>
        <v>0</v>
      </c>
      <c r="J5" s="18" t="str">
        <f ca="1"/>
        <v/>
      </c>
      <c r="K5" s="18" t="str">
        <f ca="1"/>
        <v/>
      </c>
    </row>
    <row r="6" spans="1:11" ht="15.75">
      <c r="A6" s="99" t="str">
        <v>23 Walpole Park South</v>
      </c>
      <c r="B6" s="100" t="str">
        <v>MA</v>
      </c>
      <c r="C6" s="101" t="str" cm="1">
        <f t="array" aca="1" ref="C6:K6" ca="1">IF(INDIRECT("'" &amp; $A6 &amp; "'!B9:J9")="", "", INDIRECT("'" &amp; $A6 &amp; "'!B9:J9"))</f>
        <v/>
      </c>
      <c r="D6" s="101" t="str">
        <f ca="1"/>
        <v/>
      </c>
      <c r="E6" s="101">
        <f ca="1"/>
        <v>0</v>
      </c>
      <c r="F6" s="102">
        <f ca="1"/>
        <v>0</v>
      </c>
      <c r="G6" s="103" t="str">
        <f ca="1"/>
        <v/>
      </c>
      <c r="H6" s="103">
        <f ca="1"/>
        <v>0</v>
      </c>
      <c r="I6" s="104">
        <f ca="1"/>
        <v>0</v>
      </c>
      <c r="J6" s="18" t="str">
        <f ca="1"/>
        <v/>
      </c>
      <c r="K6" s="18" t="str">
        <f ca="1"/>
        <v/>
      </c>
    </row>
    <row r="7" spans="1:11" ht="15.75">
      <c r="A7" s="105" t="str">
        <v>24 Walpole Park South</v>
      </c>
      <c r="B7" s="106" t="str">
        <v>MA</v>
      </c>
      <c r="C7" s="101" t="str" cm="1">
        <f t="array" aca="1" ref="C7:K7" ca="1">IF(INDIRECT("'" &amp; $A7 &amp; "'!B9:J9")="", "", INDIRECT("'" &amp; $A7 &amp; "'!B9:J9"))</f>
        <v/>
      </c>
      <c r="D7" s="101" t="str">
        <f ca="1"/>
        <v/>
      </c>
      <c r="E7" s="101">
        <f ca="1"/>
        <v>0</v>
      </c>
      <c r="F7" s="102">
        <f ca="1"/>
        <v>0</v>
      </c>
      <c r="G7" s="103" t="str">
        <f ca="1"/>
        <v/>
      </c>
      <c r="H7" s="103">
        <f ca="1"/>
        <v>0</v>
      </c>
      <c r="I7" s="104">
        <f ca="1"/>
        <v>0</v>
      </c>
      <c r="J7" s="18" t="str">
        <f ca="1"/>
        <v/>
      </c>
      <c r="K7" s="18" t="str">
        <f ca="1"/>
        <v/>
      </c>
    </row>
    <row r="8" spans="1:11" ht="15.75">
      <c r="A8" s="99" t="str">
        <v>25 Walpole Park South</v>
      </c>
      <c r="B8" s="100" t="str">
        <v>MA</v>
      </c>
      <c r="C8" s="101" t="str" cm="1">
        <f t="array" aca="1" ref="C8:K8" ca="1">IF(INDIRECT("'" &amp; $A8 &amp; "'!B9:J9")="", "", INDIRECT("'" &amp; $A8 &amp; "'!B9:J9"))</f>
        <v/>
      </c>
      <c r="D8" s="101" t="str">
        <f ca="1"/>
        <v/>
      </c>
      <c r="E8" s="101">
        <f ca="1"/>
        <v>0</v>
      </c>
      <c r="F8" s="102">
        <f ca="1"/>
        <v>0</v>
      </c>
      <c r="G8" s="103" t="str">
        <f ca="1"/>
        <v/>
      </c>
      <c r="H8" s="103">
        <f ca="1"/>
        <v>0</v>
      </c>
      <c r="I8" s="104">
        <f ca="1"/>
        <v>0</v>
      </c>
      <c r="J8" s="18" t="str">
        <f ca="1"/>
        <v/>
      </c>
      <c r="K8" s="18" t="str">
        <f ca="1"/>
        <v/>
      </c>
    </row>
    <row r="9" spans="1:11" ht="15.75">
      <c r="A9" s="105" t="str">
        <v>3 Walpole Park South</v>
      </c>
      <c r="B9" s="106" t="str">
        <v>MA</v>
      </c>
      <c r="C9" s="101" t="str" cm="1">
        <f t="array" aca="1" ref="C9:K9" ca="1">IF(INDIRECT("'" &amp; $A9 &amp; "'!B9:J9")="", "", INDIRECT("'" &amp; $A9 &amp; "'!B9:J9"))</f>
        <v/>
      </c>
      <c r="D9" s="101" t="str">
        <f ca="1"/>
        <v/>
      </c>
      <c r="E9" s="101">
        <f ca="1"/>
        <v>0</v>
      </c>
      <c r="F9" s="102">
        <f ca="1"/>
        <v>0</v>
      </c>
      <c r="G9" s="103" t="str">
        <f ca="1"/>
        <v/>
      </c>
      <c r="H9" s="103">
        <f ca="1"/>
        <v>0</v>
      </c>
      <c r="I9" s="104">
        <f ca="1"/>
        <v>0</v>
      </c>
      <c r="J9" s="18" t="str">
        <f ca="1"/>
        <v/>
      </c>
      <c r="K9" s="18" t="str">
        <f ca="1"/>
        <v/>
      </c>
    </row>
    <row r="10" spans="1:11" ht="15.75">
      <c r="A10" s="99" t="str">
        <v>4 Walpole Park South</v>
      </c>
      <c r="B10" s="100" t="str">
        <v>MA</v>
      </c>
      <c r="C10" s="101" t="str" cm="1">
        <f t="array" aca="1" ref="C10:K10" ca="1">IF(INDIRECT("'" &amp; $A10 &amp; "'!B9:J9")="", "", INDIRECT("'" &amp; $A10 &amp; "'!B9:J9"))</f>
        <v/>
      </c>
      <c r="D10" s="101" t="str">
        <f ca="1"/>
        <v/>
      </c>
      <c r="E10" s="101">
        <f ca="1"/>
        <v>0</v>
      </c>
      <c r="F10" s="102">
        <f ca="1"/>
        <v>0</v>
      </c>
      <c r="G10" s="103" t="str">
        <f ca="1"/>
        <v/>
      </c>
      <c r="H10" s="103">
        <f ca="1"/>
        <v>0</v>
      </c>
      <c r="I10" s="104">
        <f ca="1"/>
        <v>0</v>
      </c>
      <c r="J10" s="18" t="str">
        <f ca="1"/>
        <v/>
      </c>
      <c r="K10" s="18" t="str">
        <f ca="1"/>
        <v/>
      </c>
    </row>
    <row r="11" spans="1:11" ht="15.75">
      <c r="A11" s="105" t="str">
        <v>Brockton</v>
      </c>
      <c r="B11" s="106" t="str">
        <v>MA</v>
      </c>
      <c r="C11" s="101" t="str" cm="1">
        <f t="array" aca="1" ref="C11:K11" ca="1">IF(INDIRECT("'" &amp; $A11 &amp; "'!B9:J9")="", "", INDIRECT("'" &amp; $A11 &amp; "'!B9:J9"))</f>
        <v/>
      </c>
      <c r="D11" s="101" t="str">
        <f ca="1"/>
        <v/>
      </c>
      <c r="E11" s="101">
        <f ca="1"/>
        <v>0</v>
      </c>
      <c r="F11" s="102">
        <f ca="1"/>
        <v>0</v>
      </c>
      <c r="G11" s="103" t="str">
        <f ca="1"/>
        <v/>
      </c>
      <c r="H11" s="103">
        <f ca="1"/>
        <v>0</v>
      </c>
      <c r="I11" s="104">
        <f ca="1"/>
        <v>0</v>
      </c>
      <c r="J11" s="18" t="str">
        <f ca="1"/>
        <v/>
      </c>
      <c r="K11" s="18" t="str">
        <f ca="1"/>
        <v/>
      </c>
    </row>
    <row r="12" spans="1:11" ht="15.75">
      <c r="A12" s="99" t="str">
        <v>Canton</v>
      </c>
      <c r="B12" s="100" t="str">
        <v>MA</v>
      </c>
      <c r="C12" s="101" t="str" cm="1">
        <f t="array" aca="1" ref="C12:K12" ca="1">IF(INDIRECT("'" &amp; $A12 &amp; "'!B9:J9")="", "", INDIRECT("'" &amp; $A12 &amp; "'!B9:J9"))</f>
        <v/>
      </c>
      <c r="D12" s="101" t="str">
        <f ca="1"/>
        <v/>
      </c>
      <c r="E12" s="101">
        <f ca="1"/>
        <v>0</v>
      </c>
      <c r="F12" s="102">
        <f ca="1"/>
        <v>0</v>
      </c>
      <c r="G12" s="103" t="str">
        <f ca="1"/>
        <v/>
      </c>
      <c r="H12" s="103">
        <f ca="1"/>
        <v>0</v>
      </c>
      <c r="I12" s="104">
        <f ca="1"/>
        <v>0</v>
      </c>
      <c r="J12" s="18" t="str">
        <f ca="1"/>
        <v/>
      </c>
      <c r="K12" s="18" t="str">
        <f ca="1"/>
        <v/>
      </c>
    </row>
    <row r="13" spans="1:11" ht="15.75">
      <c r="A13" s="105" t="str">
        <v>Chelsea</v>
      </c>
      <c r="B13" s="106" t="str">
        <v>MA</v>
      </c>
      <c r="C13" s="101" t="str" cm="1">
        <f t="array" aca="1" ref="C13:K13" ca="1">IF(INDIRECT("'" &amp; $A13 &amp; "'!B9:J9")="", "", INDIRECT("'" &amp; $A13 &amp; "'!B9:J9"))</f>
        <v/>
      </c>
      <c r="D13" s="101" t="str">
        <f ca="1"/>
        <v/>
      </c>
      <c r="E13" s="101">
        <f ca="1"/>
        <v>0</v>
      </c>
      <c r="F13" s="102">
        <f ca="1"/>
        <v>0</v>
      </c>
      <c r="G13" s="103" t="str">
        <f ca="1"/>
        <v/>
      </c>
      <c r="H13" s="103">
        <f ca="1"/>
        <v>0</v>
      </c>
      <c r="I13" s="104">
        <f ca="1"/>
        <v>0</v>
      </c>
      <c r="J13" s="18" t="str">
        <f ca="1"/>
        <v/>
      </c>
      <c r="K13" s="18" t="str">
        <f ca="1"/>
        <v/>
      </c>
    </row>
    <row r="14" spans="1:11" ht="15.75">
      <c r="A14" s="99" t="str">
        <v>Hamilton Landfill</v>
      </c>
      <c r="B14" s="100" t="str">
        <v>MA</v>
      </c>
      <c r="C14" s="101" t="str" cm="1">
        <f t="array" aca="1" ref="C14:K14" ca="1">IF(INDIRECT("'" &amp; $A14 &amp; "'!B9:J9")="", "", INDIRECT("'" &amp; $A14 &amp; "'!B9:J9"))</f>
        <v/>
      </c>
      <c r="D14" s="101" t="str">
        <f ca="1"/>
        <v/>
      </c>
      <c r="E14" s="101">
        <f ca="1"/>
        <v>0</v>
      </c>
      <c r="F14" s="102">
        <f ca="1"/>
        <v>0</v>
      </c>
      <c r="G14" s="103" t="str">
        <f ca="1"/>
        <v/>
      </c>
      <c r="H14" s="103">
        <f ca="1"/>
        <v>0</v>
      </c>
      <c r="I14" s="104">
        <f ca="1"/>
        <v>0</v>
      </c>
      <c r="J14" s="18" t="str">
        <f ca="1"/>
        <v/>
      </c>
      <c r="K14" s="18" t="str">
        <f ca="1"/>
        <v/>
      </c>
    </row>
    <row r="15" spans="1:11" ht="15.75">
      <c r="A15" s="105" t="str">
        <v>Holliston</v>
      </c>
      <c r="B15" s="106" t="str">
        <v>MA</v>
      </c>
      <c r="C15" s="101" t="str" cm="1">
        <f t="array" aca="1" ref="C15:K15" ca="1">IF(INDIRECT("'" &amp; $A15 &amp; "'!B9:J9")="", "", INDIRECT("'" &amp; $A15 &amp; "'!B9:J9"))</f>
        <v/>
      </c>
      <c r="D15" s="101" t="str">
        <f ca="1"/>
        <v/>
      </c>
      <c r="E15" s="101">
        <f ca="1"/>
        <v>0</v>
      </c>
      <c r="F15" s="102">
        <f ca="1"/>
        <v>0</v>
      </c>
      <c r="G15" s="103" t="str">
        <f ca="1"/>
        <v/>
      </c>
      <c r="H15" s="103">
        <f ca="1"/>
        <v>0</v>
      </c>
      <c r="I15" s="104">
        <f ca="1"/>
        <v>0</v>
      </c>
      <c r="J15" s="18" t="str">
        <f ca="1"/>
        <v/>
      </c>
      <c r="K15" s="18" t="str">
        <f ca="1"/>
        <v/>
      </c>
    </row>
    <row r="16" spans="1:11" ht="15.75">
      <c r="A16" s="99" t="str">
        <v>Natick HS - Carports</v>
      </c>
      <c r="B16" s="100" t="str">
        <v>MA</v>
      </c>
      <c r="C16" s="101" t="str" cm="1">
        <f t="array" aca="1" ref="C16:K16" ca="1">IF(INDIRECT("'" &amp; $A16 &amp; "'!B9:J9")="", "", INDIRECT("'" &amp; $A16 &amp; "'!B9:J9"))</f>
        <v/>
      </c>
      <c r="D16" s="101" t="str">
        <f ca="1"/>
        <v/>
      </c>
      <c r="E16" s="101">
        <f ca="1"/>
        <v>0</v>
      </c>
      <c r="F16" s="102">
        <f ca="1"/>
        <v>0</v>
      </c>
      <c r="G16" s="103" t="str">
        <f ca="1"/>
        <v/>
      </c>
      <c r="H16" s="103">
        <f ca="1"/>
        <v>0</v>
      </c>
      <c r="I16" s="104">
        <f ca="1"/>
        <v>0</v>
      </c>
      <c r="J16" s="18" t="str">
        <f ca="1"/>
        <v/>
      </c>
      <c r="K16" s="18" t="str">
        <f ca="1"/>
        <v/>
      </c>
    </row>
    <row r="17" spans="1:11" ht="15.75">
      <c r="A17" s="105" t="str">
        <v>Norton</v>
      </c>
      <c r="B17" s="106" t="str">
        <v>MA</v>
      </c>
      <c r="C17" s="101" t="str" cm="1">
        <f t="array" aca="1" ref="C17:K17" ca="1">IF(INDIRECT("'" &amp; $A17 &amp; "'!B9:J9")="", "", INDIRECT("'" &amp; $A17 &amp; "'!B9:J9"))</f>
        <v/>
      </c>
      <c r="D17" s="101" t="str">
        <f ca="1"/>
        <v/>
      </c>
      <c r="E17" s="101">
        <f ca="1"/>
        <v>0</v>
      </c>
      <c r="F17" s="102">
        <f ca="1"/>
        <v>0</v>
      </c>
      <c r="G17" s="103" t="str">
        <f ca="1"/>
        <v/>
      </c>
      <c r="H17" s="103">
        <f ca="1"/>
        <v>0</v>
      </c>
      <c r="I17" s="104">
        <f ca="1"/>
        <v>0</v>
      </c>
      <c r="J17" s="18" t="str">
        <f ca="1"/>
        <v/>
      </c>
      <c r="K17" s="18" t="str">
        <f ca="1"/>
        <v/>
      </c>
    </row>
    <row r="18" spans="1:11" ht="15.75">
      <c r="A18" s="99" t="str">
        <v>Palmer - Boston Rd.</v>
      </c>
      <c r="B18" s="100" t="str">
        <v>MA</v>
      </c>
      <c r="C18" s="101" t="str" cm="1">
        <f t="array" aca="1" ref="C18:K18" ca="1">IF(INDIRECT("'" &amp; $A18 &amp; "'!B9:J9")="", "", INDIRECT("'" &amp; $A18 &amp; "'!B9:J9"))</f>
        <v/>
      </c>
      <c r="D18" s="101" t="str">
        <f ca="1"/>
        <v/>
      </c>
      <c r="E18" s="101">
        <f ca="1"/>
        <v>0</v>
      </c>
      <c r="F18" s="102">
        <f ca="1"/>
        <v>0</v>
      </c>
      <c r="G18" s="103" t="str">
        <f ca="1"/>
        <v/>
      </c>
      <c r="H18" s="103">
        <f ca="1"/>
        <v>0</v>
      </c>
      <c r="I18" s="104">
        <f ca="1"/>
        <v>0</v>
      </c>
      <c r="J18" s="18" t="str">
        <f ca="1"/>
        <v/>
      </c>
      <c r="K18" s="18" t="str">
        <f ca="1"/>
        <v/>
      </c>
    </row>
    <row r="19" spans="1:11" ht="15.75">
      <c r="A19" s="105" t="str">
        <v>Shirley Bartkus</v>
      </c>
      <c r="B19" s="106" t="str">
        <v>MA</v>
      </c>
      <c r="C19" s="101" t="str" cm="1">
        <f t="array" aca="1" ref="C19:K19" ca="1">IF(INDIRECT("'" &amp; $A19 &amp; "'!B9:J9")="", "", INDIRECT("'" &amp; $A19 &amp; "'!B9:J9"))</f>
        <v/>
      </c>
      <c r="D19" s="101" t="str">
        <f ca="1"/>
        <v/>
      </c>
      <c r="E19" s="101">
        <f ca="1"/>
        <v>0</v>
      </c>
      <c r="F19" s="102">
        <f ca="1"/>
        <v>0</v>
      </c>
      <c r="G19" s="103" t="str">
        <f ca="1"/>
        <v/>
      </c>
      <c r="H19" s="103">
        <f ca="1"/>
        <v>0</v>
      </c>
      <c r="I19" s="104">
        <f ca="1"/>
        <v>0</v>
      </c>
      <c r="J19" s="18" t="str">
        <f ca="1"/>
        <v/>
      </c>
      <c r="K19" s="18" t="str">
        <f ca="1"/>
        <v/>
      </c>
    </row>
    <row r="20" spans="1:11" ht="15.75">
      <c r="A20" s="99" t="str">
        <v>Stoughton</v>
      </c>
      <c r="B20" s="100" t="str">
        <v>MA</v>
      </c>
      <c r="C20" s="101" t="str" cm="1">
        <f t="array" aca="1" ref="C20:K20" ca="1">IF(INDIRECT("'" &amp; $A20 &amp; "'!B9:J9")="", "", INDIRECT("'" &amp; $A20 &amp; "'!B9:J9"))</f>
        <v/>
      </c>
      <c r="D20" s="101" t="str">
        <f ca="1"/>
        <v/>
      </c>
      <c r="E20" s="101">
        <f ca="1"/>
        <v>0</v>
      </c>
      <c r="F20" s="102">
        <f ca="1"/>
        <v>0</v>
      </c>
      <c r="G20" s="103" t="str">
        <f ca="1"/>
        <v/>
      </c>
      <c r="H20" s="103">
        <f ca="1"/>
        <v>0</v>
      </c>
      <c r="I20" s="104">
        <f ca="1"/>
        <v>0</v>
      </c>
      <c r="J20" s="18" t="str">
        <f ca="1"/>
        <v/>
      </c>
      <c r="K20" s="18" t="str">
        <f ca="1"/>
        <v/>
      </c>
    </row>
    <row r="21" spans="1:11" ht="15.75">
      <c r="A21" s="105" t="str">
        <v>Wellfleet Landfill</v>
      </c>
      <c r="B21" s="106" t="str">
        <v>MA</v>
      </c>
      <c r="C21" s="101" t="str" cm="1">
        <f t="array" aca="1" ref="C21:K21" ca="1">IF(INDIRECT("'" &amp; $A21 &amp; "'!B9:J9")="", "", INDIRECT("'" &amp; $A21 &amp; "'!B9:J9"))</f>
        <v/>
      </c>
      <c r="D21" s="101" t="str">
        <f ca="1"/>
        <v/>
      </c>
      <c r="E21" s="101">
        <f ca="1"/>
        <v>0</v>
      </c>
      <c r="F21" s="102">
        <f ca="1"/>
        <v>0</v>
      </c>
      <c r="G21" s="103" t="str">
        <f ca="1"/>
        <v/>
      </c>
      <c r="H21" s="103">
        <f ca="1"/>
        <v>0</v>
      </c>
      <c r="I21" s="104">
        <f ca="1"/>
        <v>0</v>
      </c>
      <c r="J21" s="18" t="str">
        <f ca="1"/>
        <v/>
      </c>
      <c r="K21" s="18" t="str">
        <f ca="1"/>
        <v/>
      </c>
    </row>
    <row r="22" spans="1:11" ht="15.75">
      <c r="A22" s="99" t="str">
        <v>Wilmington Garage &amp; Building 7</v>
      </c>
      <c r="B22" s="100" t="str">
        <v>MA</v>
      </c>
      <c r="C22" s="101" t="str" cm="1">
        <f t="array" aca="1" ref="C22:K22" ca="1">IF(INDIRECT("'" &amp; $A22 &amp; "'!B9:J9")="", "", INDIRECT("'" &amp; $A22 &amp; "'!B9:J9"))</f>
        <v/>
      </c>
      <c r="D22" s="101" t="str">
        <f ca="1"/>
        <v/>
      </c>
      <c r="E22" s="101">
        <f ca="1"/>
        <v>0</v>
      </c>
      <c r="F22" s="102">
        <f ca="1"/>
        <v>0</v>
      </c>
      <c r="G22" s="103" t="str">
        <f ca="1"/>
        <v/>
      </c>
      <c r="H22" s="103">
        <f ca="1"/>
        <v>0</v>
      </c>
      <c r="I22" s="104">
        <f ca="1"/>
        <v>0</v>
      </c>
      <c r="J22" s="18" t="str">
        <f ca="1"/>
        <v/>
      </c>
      <c r="K22" s="18" t="str">
        <f ca="1"/>
        <v/>
      </c>
    </row>
    <row r="23" spans="1:11" ht="15.75">
      <c r="A23" s="105" t="str">
        <v>Woburn</v>
      </c>
      <c r="B23" s="106" t="str">
        <v>MA</v>
      </c>
      <c r="C23" s="101" t="str" cm="1">
        <f t="array" aca="1" ref="C23:K23" ca="1">IF(INDIRECT("'" &amp; $A23 &amp; "'!B9:J9")="", "", INDIRECT("'" &amp; $A23 &amp; "'!B9:J9"))</f>
        <v/>
      </c>
      <c r="D23" s="101" t="str">
        <f ca="1"/>
        <v/>
      </c>
      <c r="E23" s="101">
        <f ca="1"/>
        <v>0</v>
      </c>
      <c r="F23" s="102">
        <f ca="1"/>
        <v>0</v>
      </c>
      <c r="G23" s="103" t="str">
        <f ca="1"/>
        <v/>
      </c>
      <c r="H23" s="103">
        <f ca="1"/>
        <v>0</v>
      </c>
      <c r="I23" s="104">
        <f ca="1"/>
        <v>0</v>
      </c>
      <c r="J23" s="18" t="str">
        <f ca="1"/>
        <v/>
      </c>
      <c r="K23" s="18" t="str">
        <f ca="1"/>
        <v/>
      </c>
    </row>
    <row r="24" spans="1:11" ht="15.75">
      <c r="A24" s="99" t="str">
        <v>Friendship Solar 1</v>
      </c>
      <c r="B24" s="100" t="str">
        <v>MD</v>
      </c>
      <c r="C24" s="101" t="str" cm="1">
        <f t="array" aca="1" ref="C24:K24" ca="1">IF(INDIRECT("'" &amp; $A24 &amp; "'!B9:J9")="", "", INDIRECT("'" &amp; $A24 &amp; "'!B9:J9"))</f>
        <v/>
      </c>
      <c r="D24" s="101" t="str">
        <f ca="1"/>
        <v/>
      </c>
      <c r="E24" s="101">
        <f ca="1"/>
        <v>0</v>
      </c>
      <c r="F24" s="102">
        <f ca="1"/>
        <v>0</v>
      </c>
      <c r="G24" s="103" t="str">
        <f ca="1"/>
        <v/>
      </c>
      <c r="H24" s="103">
        <f ca="1"/>
        <v>0</v>
      </c>
      <c r="I24" s="104">
        <f ca="1"/>
        <v>0</v>
      </c>
      <c r="J24" s="18" t="str">
        <f ca="1"/>
        <v/>
      </c>
      <c r="K24" s="18" t="str">
        <f ca="1"/>
        <v/>
      </c>
    </row>
    <row r="25" spans="1:11" ht="15.75">
      <c r="A25" s="105" t="str">
        <v>Friendship Solar 2</v>
      </c>
      <c r="B25" s="106" t="str">
        <v>MD</v>
      </c>
      <c r="C25" s="101" t="str" cm="1">
        <f t="array" aca="1" ref="C25:K25" ca="1">IF(INDIRECT("'" &amp; $A25 &amp; "'!B9:J9")="", "", INDIRECT("'" &amp; $A25 &amp; "'!B9:J9"))</f>
        <v/>
      </c>
      <c r="D25" s="101" t="str">
        <f ca="1"/>
        <v/>
      </c>
      <c r="E25" s="101">
        <f ca="1"/>
        <v>0</v>
      </c>
      <c r="F25" s="102">
        <f ca="1"/>
        <v>0</v>
      </c>
      <c r="G25" s="103" t="str">
        <f ca="1"/>
        <v/>
      </c>
      <c r="H25" s="103">
        <f ca="1"/>
        <v>0</v>
      </c>
      <c r="I25" s="104">
        <f ca="1"/>
        <v>0</v>
      </c>
      <c r="J25" s="18" t="str">
        <f ca="1"/>
        <v/>
      </c>
      <c r="K25" s="18" t="str">
        <f ca="1"/>
        <v/>
      </c>
    </row>
    <row r="26" spans="1:11" ht="15.75">
      <c r="A26" s="99" t="str">
        <v>101 Carnegie Center</v>
      </c>
      <c r="B26" s="100" t="str">
        <v>NJ</v>
      </c>
      <c r="C26" s="101" t="str" cm="1">
        <f t="array" aca="1" ref="C26:K26" ca="1">IF(INDIRECT("'" &amp; $A26 &amp; "'!B9:J9")="", "", INDIRECT("'" &amp; $A26 &amp; "'!B9:J9"))</f>
        <v/>
      </c>
      <c r="D26" s="101" t="str">
        <f ca="1"/>
        <v/>
      </c>
      <c r="E26" s="101">
        <f ca="1"/>
        <v>0</v>
      </c>
      <c r="F26" s="102">
        <f ca="1"/>
        <v>0</v>
      </c>
      <c r="G26" s="103" t="str">
        <f ca="1"/>
        <v/>
      </c>
      <c r="H26" s="103">
        <f ca="1"/>
        <v>0</v>
      </c>
      <c r="I26" s="104">
        <f ca="1"/>
        <v>0</v>
      </c>
      <c r="J26" s="18" t="str">
        <f ca="1"/>
        <v/>
      </c>
      <c r="K26" s="18" t="str">
        <f ca="1"/>
        <v/>
      </c>
    </row>
    <row r="27" spans="1:11" ht="15.75">
      <c r="A27" s="105" t="str">
        <v>302 Carnegie Center</v>
      </c>
      <c r="B27" s="106" t="str">
        <v>NJ</v>
      </c>
      <c r="C27" s="101" t="str" cm="1">
        <f t="array" aca="1" ref="C27:K27" ca="1">IF(INDIRECT("'" &amp; $A27 &amp; "'!B9:J9")="", "", INDIRECT("'" &amp; $A27 &amp; "'!B9:J9"))</f>
        <v/>
      </c>
      <c r="D27" s="101" t="str">
        <f ca="1"/>
        <v/>
      </c>
      <c r="E27" s="101">
        <f ca="1"/>
        <v>0</v>
      </c>
      <c r="F27" s="102">
        <f ca="1"/>
        <v>0</v>
      </c>
      <c r="G27" s="103" t="str">
        <f ca="1"/>
        <v/>
      </c>
      <c r="H27" s="103">
        <f ca="1"/>
        <v>0</v>
      </c>
      <c r="I27" s="104">
        <f ca="1"/>
        <v>0</v>
      </c>
      <c r="J27" s="18" t="str">
        <f ca="1"/>
        <v/>
      </c>
      <c r="K27" s="18" t="str">
        <f ca="1"/>
        <v/>
      </c>
    </row>
    <row r="28" spans="1:11" ht="15.75">
      <c r="A28" s="99" t="str">
        <v>510 Carnegie Center</v>
      </c>
      <c r="B28" s="100" t="str">
        <v>NJ</v>
      </c>
      <c r="C28" s="101" t="str" cm="1">
        <f t="array" aca="1" ref="C28:K28" ca="1">IF(INDIRECT("'" &amp; $A28 &amp; "'!B9:J9")="", "", INDIRECT("'" &amp; $A28 &amp; "'!B9:J9"))</f>
        <v/>
      </c>
      <c r="D28" s="101" t="str">
        <f ca="1"/>
        <v/>
      </c>
      <c r="E28" s="101">
        <f ca="1"/>
        <v>0</v>
      </c>
      <c r="F28" s="102">
        <f ca="1"/>
        <v>0</v>
      </c>
      <c r="G28" s="103" t="str">
        <f ca="1"/>
        <v/>
      </c>
      <c r="H28" s="103">
        <f ca="1"/>
        <v>0</v>
      </c>
      <c r="I28" s="104">
        <f ca="1"/>
        <v>0</v>
      </c>
      <c r="J28" s="18" t="str">
        <f ca="1"/>
        <v/>
      </c>
      <c r="K28" s="18" t="str">
        <f ca="1"/>
        <v/>
      </c>
    </row>
    <row r="29" spans="1:11" ht="15.75">
      <c r="A29" s="105" t="str">
        <v>701 Carnegie Center</v>
      </c>
      <c r="B29" s="106" t="str">
        <v>NJ</v>
      </c>
      <c r="C29" s="101" t="str" cm="1">
        <f t="array" aca="1" ref="C29:K29" ca="1">IF(INDIRECT("'" &amp; $A29 &amp; "'!B9:J9")="", "", INDIRECT("'" &amp; $A29 &amp; "'!B9:J9"))</f>
        <v/>
      </c>
      <c r="D29" s="101" t="str">
        <f ca="1"/>
        <v/>
      </c>
      <c r="E29" s="101">
        <f ca="1"/>
        <v>0</v>
      </c>
      <c r="F29" s="102">
        <f ca="1"/>
        <v>0</v>
      </c>
      <c r="G29" s="103" t="str">
        <f ca="1"/>
        <v/>
      </c>
      <c r="H29" s="103">
        <f ca="1"/>
        <v>0</v>
      </c>
      <c r="I29" s="104">
        <f ca="1"/>
        <v>0</v>
      </c>
      <c r="J29" s="18" t="str">
        <f ca="1"/>
        <v/>
      </c>
      <c r="K29" s="18" t="str">
        <f ca="1"/>
        <v/>
      </c>
    </row>
    <row r="30" spans="1:11" ht="15.75">
      <c r="A30" s="99" t="str">
        <v>Hudson County Correction</v>
      </c>
      <c r="B30" s="100" t="str">
        <v>NJ</v>
      </c>
      <c r="C30" s="101" t="str" cm="1">
        <f t="array" aca="1" ref="C30:K30" ca="1">IF(INDIRECT("'" &amp; $A30 &amp; "'!B9:J9")="", "", INDIRECT("'" &amp; $A30 &amp; "'!B9:J9"))</f>
        <v/>
      </c>
      <c r="D30" s="101" t="str">
        <f ca="1"/>
        <v/>
      </c>
      <c r="E30" s="101">
        <f ca="1"/>
        <v>0</v>
      </c>
      <c r="F30" s="102">
        <f ca="1"/>
        <v>0</v>
      </c>
      <c r="G30" s="103" t="str">
        <f ca="1"/>
        <v/>
      </c>
      <c r="H30" s="103">
        <f ca="1"/>
        <v>0</v>
      </c>
      <c r="I30" s="104">
        <f ca="1"/>
        <v>0</v>
      </c>
      <c r="J30" s="18" t="str">
        <f ca="1"/>
        <v/>
      </c>
      <c r="K30" s="18" t="str">
        <f ca="1"/>
        <v/>
      </c>
    </row>
    <row r="31" spans="1:11" ht="15.75">
      <c r="A31" s="105" t="str">
        <v>ER Bison Solar</v>
      </c>
      <c r="B31" s="106" t="str">
        <v>PA</v>
      </c>
      <c r="C31" s="101" t="str" cm="1">
        <f t="array" aca="1" ref="C31:K31" ca="1">IF(INDIRECT("'" &amp; $A31 &amp; "'!B9:J9")="", "", INDIRECT("'" &amp; $A31 &amp; "'!B9:J9"))</f>
        <v/>
      </c>
      <c r="D31" s="101" t="str">
        <f ca="1"/>
        <v/>
      </c>
      <c r="E31" s="101">
        <f ca="1"/>
        <v>0</v>
      </c>
      <c r="F31" s="102">
        <f ca="1"/>
        <v>0</v>
      </c>
      <c r="G31" s="103" t="str">
        <f ca="1"/>
        <v/>
      </c>
      <c r="H31" s="103">
        <f ca="1"/>
        <v>0</v>
      </c>
      <c r="I31" s="104">
        <f ca="1"/>
        <v>0</v>
      </c>
      <c r="J31" s="18" t="str">
        <f ca="1"/>
        <v/>
      </c>
      <c r="K31" s="18" t="str">
        <f ca="1"/>
        <v/>
      </c>
    </row>
    <row r="32" spans="1:11" ht="15.75">
      <c r="A32" s="111" t="str">
        <v>Danville</v>
      </c>
      <c r="B32" s="112" t="str">
        <v>IL</v>
      </c>
      <c r="C32" s="101" t="str" cm="1">
        <f t="array" aca="1" ref="C32:K32" ca="1">IF(INDIRECT("'" &amp; $A32 &amp; "'!B9:J9")="", "", INDIRECT("'" &amp; $A32 &amp; "'!B9:J9"))</f>
        <v/>
      </c>
      <c r="D32" s="101" t="str">
        <f ca="1"/>
        <v/>
      </c>
      <c r="E32" s="101">
        <f ca="1"/>
        <v>0</v>
      </c>
      <c r="F32" s="102">
        <f ca="1"/>
        <v>0</v>
      </c>
      <c r="G32" s="103">
        <f ca="1"/>
        <v>0</v>
      </c>
      <c r="H32" s="103">
        <f ca="1"/>
        <v>0</v>
      </c>
      <c r="I32" s="104">
        <f ca="1"/>
        <v>0</v>
      </c>
      <c r="J32" s="18" t="str">
        <f ca="1"/>
        <v/>
      </c>
      <c r="K32" s="18" t="str">
        <f ca="1"/>
        <v/>
      </c>
    </row>
    <row r="33" spans="1:10" ht="24.75" customHeight="1">
      <c r="A33" s="133" t="s">
        <v>11</v>
      </c>
      <c r="B33" s="134"/>
      <c r="C33" s="50">
        <f ca="1">SUM(C3:C31)</f>
        <v>0</v>
      </c>
      <c r="D33" s="50">
        <f ca="1">SUM(D3:D31)</f>
        <v>0</v>
      </c>
      <c r="E33" s="50">
        <f ca="1">C33-D33</f>
        <v>0</v>
      </c>
      <c r="F33" s="41">
        <f ca="1">IFERROR(E33/D33, 0)</f>
        <v>0</v>
      </c>
      <c r="G33" s="50">
        <f ca="1">SUM(G3:G31)</f>
        <v>0</v>
      </c>
      <c r="H33" s="51">
        <f ca="1">C33-G33</f>
        <v>0</v>
      </c>
      <c r="I33" s="42">
        <f ca="1">IFERROR(H33/G33, 0)</f>
        <v>0</v>
      </c>
      <c r="J33" s="8"/>
    </row>
    <row r="34" spans="1:10">
      <c r="J34" s="8"/>
    </row>
    <row r="35" spans="1:10" ht="12.75" customHeight="1">
      <c r="A35" s="135" t="s">
        <v>12</v>
      </c>
      <c r="J35" s="8"/>
    </row>
    <row r="36" spans="1:10">
      <c r="A36" s="135"/>
      <c r="J36" s="8"/>
    </row>
    <row r="37" spans="1:10">
      <c r="A37" s="136" t="s">
        <v>13</v>
      </c>
      <c r="J37" s="8"/>
    </row>
    <row r="38" spans="1:10" ht="12.75" customHeight="1">
      <c r="A38" s="136"/>
      <c r="J38" s="8"/>
    </row>
    <row r="39" spans="1:10">
      <c r="J39" s="8"/>
    </row>
  </sheetData>
  <autoFilter ref="A2:I2" xr:uid="{BC8A3C74-EDA3-4B8F-8C65-FD4243AE8FF6}"/>
  <mergeCells count="8">
    <mergeCell ref="G1:I1"/>
    <mergeCell ref="J1:J2"/>
    <mergeCell ref="K1:K2"/>
    <mergeCell ref="A35:A36"/>
    <mergeCell ref="A37:A38"/>
    <mergeCell ref="A33:B33"/>
    <mergeCell ref="C1:F1"/>
    <mergeCell ref="A1:B1"/>
  </mergeCells>
  <conditionalFormatting sqref="F3:F33 I3:I33">
    <cfRule type="cellIs" dxfId="517" priority="1" operator="lessThanOrEqual">
      <formula>-0.1</formula>
    </cfRule>
    <cfRule type="cellIs" dxfId="516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9"/>
  <sheetViews>
    <sheetView workbookViewId="0">
      <pane ySplit="2" topLeftCell="A16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59.5703125" bestFit="1" customWidth="1"/>
    <col min="11" max="11" width="11.7109375" customWidth="1"/>
  </cols>
  <sheetData>
    <row r="1" spans="1:11" ht="19.5" customHeight="1">
      <c r="A1" s="137" t="str" cm="1">
        <f t="array" ref="A1">portfolio</f>
        <v>Greenbacker</v>
      </c>
      <c r="B1" s="138"/>
      <c r="C1" s="139" t="s">
        <v>32</v>
      </c>
      <c r="D1" s="140"/>
      <c r="E1" s="140"/>
      <c r="F1" s="141"/>
      <c r="G1" s="142" t="s">
        <v>33</v>
      </c>
      <c r="H1" s="142"/>
      <c r="I1" s="143"/>
      <c r="J1" s="131" t="s">
        <v>2</v>
      </c>
      <c r="K1" s="131" t="s">
        <v>3</v>
      </c>
    </row>
    <row r="2" spans="1:11" ht="14.25" customHeight="1">
      <c r="A2" s="45" t="s">
        <v>4</v>
      </c>
      <c r="B2" s="46" t="s">
        <v>5</v>
      </c>
      <c r="C2" s="5" t="s">
        <v>6</v>
      </c>
      <c r="D2" s="43" t="s">
        <v>7</v>
      </c>
      <c r="E2" s="5" t="s">
        <v>8</v>
      </c>
      <c r="F2" s="6" t="s">
        <v>9</v>
      </c>
      <c r="G2" s="44" t="s">
        <v>10</v>
      </c>
      <c r="H2" s="7" t="s">
        <v>8</v>
      </c>
      <c r="I2" s="9" t="s">
        <v>9</v>
      </c>
      <c r="J2" s="132"/>
      <c r="K2" s="132"/>
    </row>
    <row r="3" spans="1:11" ht="15.75">
      <c r="A3" s="47" t="str" cm="1">
        <f t="array" ref="A3:A32">Sites[Site]</f>
        <v>10 Walpole Park South</v>
      </c>
      <c r="B3" s="33" t="str" cm="1">
        <f t="array" ref="B3:B32">Sites[State]</f>
        <v>MA</v>
      </c>
      <c r="C3" s="35" t="str" cm="1">
        <f t="array" aca="1" ref="C3:K3" ca="1">IF(INDIRECT("'" &amp; $A3 &amp; "'!B10:J10")="", "", INDIRECT("'" &amp; $A3 &amp; "'!B10:J10"))</f>
        <v/>
      </c>
      <c r="D3" s="35" t="str">
        <f ca="1"/>
        <v/>
      </c>
      <c r="E3" s="35">
        <f ca="1"/>
        <v>0</v>
      </c>
      <c r="F3" s="36">
        <f ca="1"/>
        <v>0</v>
      </c>
      <c r="G3" s="37" t="str">
        <f ca="1"/>
        <v/>
      </c>
      <c r="H3" s="37">
        <f ca="1"/>
        <v>0</v>
      </c>
      <c r="I3" s="38">
        <f ca="1"/>
        <v>0</v>
      </c>
      <c r="J3" s="79" t="str">
        <f ca="1"/>
        <v/>
      </c>
      <c r="K3" s="79" t="str">
        <f ca="1"/>
        <v xml:space="preserve"> </v>
      </c>
    </row>
    <row r="4" spans="1:11" ht="15.75">
      <c r="A4" s="48" t="str">
        <v>15 Walpole Park South</v>
      </c>
      <c r="B4" s="16" t="str">
        <v>MA</v>
      </c>
      <c r="C4" s="35" t="str" cm="1">
        <f t="array" aca="1" ref="C4:K4" ca="1">IF(INDIRECT("'" &amp; $A4 &amp; "'!B10:J10")="", "", INDIRECT("'" &amp; $A4 &amp; "'!B10:J10"))</f>
        <v/>
      </c>
      <c r="D4" s="35" t="str">
        <f ca="1"/>
        <v/>
      </c>
      <c r="E4" s="35">
        <f ca="1"/>
        <v>0</v>
      </c>
      <c r="F4" s="39">
        <f ca="1"/>
        <v>0</v>
      </c>
      <c r="G4" s="37" t="str">
        <f ca="1"/>
        <v/>
      </c>
      <c r="H4" s="37">
        <f ca="1"/>
        <v>0</v>
      </c>
      <c r="I4" s="40">
        <f ca="1"/>
        <v>0</v>
      </c>
      <c r="J4" s="80" t="str">
        <f ca="1"/>
        <v/>
      </c>
      <c r="K4" s="80" t="str">
        <f ca="1"/>
        <v xml:space="preserve"> </v>
      </c>
    </row>
    <row r="5" spans="1:11" ht="15.75">
      <c r="A5" s="107" t="str">
        <v>19 Walpole Park South</v>
      </c>
      <c r="B5" s="108" t="str">
        <v>MA</v>
      </c>
      <c r="C5" s="101" t="str" cm="1">
        <f t="array" aca="1" ref="C5:K5" ca="1">IF(INDIRECT("'" &amp; $A5 &amp; "'!B10:J10")="", "", INDIRECT("'" &amp; $A5 &amp; "'!B10:J10"))</f>
        <v/>
      </c>
      <c r="D5" s="101" t="str">
        <f ca="1"/>
        <v/>
      </c>
      <c r="E5" s="101">
        <f ca="1"/>
        <v>0</v>
      </c>
      <c r="F5" s="109">
        <f ca="1"/>
        <v>0</v>
      </c>
      <c r="G5" s="103" t="str">
        <f ca="1"/>
        <v/>
      </c>
      <c r="H5" s="103">
        <f ca="1"/>
        <v>0</v>
      </c>
      <c r="I5" s="110">
        <f ca="1"/>
        <v>0</v>
      </c>
      <c r="J5" s="18" t="str">
        <f ca="1"/>
        <v/>
      </c>
      <c r="K5" s="18" t="str">
        <f ca="1"/>
        <v xml:space="preserve"> </v>
      </c>
    </row>
    <row r="6" spans="1:11" ht="15.75">
      <c r="A6" s="99" t="str">
        <v>23 Walpole Park South</v>
      </c>
      <c r="B6" s="100" t="str">
        <v>MA</v>
      </c>
      <c r="C6" s="101" t="str" cm="1">
        <f t="array" aca="1" ref="C6:K6" ca="1">IF(INDIRECT("'" &amp; $A6 &amp; "'!B10:J10")="", "", INDIRECT("'" &amp; $A6 &amp; "'!B10:J10"))</f>
        <v/>
      </c>
      <c r="D6" s="101" t="str">
        <f ca="1"/>
        <v/>
      </c>
      <c r="E6" s="101">
        <f ca="1"/>
        <v>0</v>
      </c>
      <c r="F6" s="102">
        <f ca="1"/>
        <v>0</v>
      </c>
      <c r="G6" s="103" t="str">
        <f ca="1"/>
        <v/>
      </c>
      <c r="H6" s="103">
        <f ca="1"/>
        <v>0</v>
      </c>
      <c r="I6" s="104">
        <f ca="1"/>
        <v>0</v>
      </c>
      <c r="J6" s="18" t="str">
        <f ca="1"/>
        <v/>
      </c>
      <c r="K6" s="18" t="str">
        <f ca="1"/>
        <v xml:space="preserve"> </v>
      </c>
    </row>
    <row r="7" spans="1:11" ht="15.75">
      <c r="A7" s="105" t="str">
        <v>24 Walpole Park South</v>
      </c>
      <c r="B7" s="106" t="str">
        <v>MA</v>
      </c>
      <c r="C7" s="101" t="str" cm="1">
        <f t="array" aca="1" ref="C7:K7" ca="1">IF(INDIRECT("'" &amp; $A7 &amp; "'!B10:J10")="", "", INDIRECT("'" &amp; $A7 &amp; "'!B10:J10"))</f>
        <v/>
      </c>
      <c r="D7" s="101" t="str">
        <f ca="1"/>
        <v/>
      </c>
      <c r="E7" s="101">
        <f ca="1"/>
        <v>0</v>
      </c>
      <c r="F7" s="102">
        <f ca="1"/>
        <v>0</v>
      </c>
      <c r="G7" s="103" t="str">
        <f ca="1"/>
        <v/>
      </c>
      <c r="H7" s="103">
        <f ca="1"/>
        <v>0</v>
      </c>
      <c r="I7" s="104">
        <f ca="1"/>
        <v>0</v>
      </c>
      <c r="J7" s="18" t="str">
        <f ca="1"/>
        <v/>
      </c>
      <c r="K7" s="18" t="str">
        <f ca="1"/>
        <v/>
      </c>
    </row>
    <row r="8" spans="1:11" ht="15.75">
      <c r="A8" s="99" t="str">
        <v>25 Walpole Park South</v>
      </c>
      <c r="B8" s="100" t="str">
        <v>MA</v>
      </c>
      <c r="C8" s="101" t="str" cm="1">
        <f t="array" aca="1" ref="C8:K8" ca="1">IF(INDIRECT("'" &amp; $A8 &amp; "'!B10:J10")="", "", INDIRECT("'" &amp; $A8 &amp; "'!B10:J10"))</f>
        <v/>
      </c>
      <c r="D8" s="101" t="str">
        <f ca="1"/>
        <v/>
      </c>
      <c r="E8" s="101">
        <f ca="1"/>
        <v>0</v>
      </c>
      <c r="F8" s="102">
        <f ca="1"/>
        <v>0</v>
      </c>
      <c r="G8" s="103" t="str">
        <f ca="1"/>
        <v/>
      </c>
      <c r="H8" s="103">
        <f ca="1"/>
        <v>0</v>
      </c>
      <c r="I8" s="104">
        <f ca="1"/>
        <v>0</v>
      </c>
      <c r="J8" s="18" t="str">
        <f ca="1"/>
        <v/>
      </c>
      <c r="K8" s="18" t="str">
        <f ca="1"/>
        <v/>
      </c>
    </row>
    <row r="9" spans="1:11" ht="15.75" customHeight="1">
      <c r="A9" s="105" t="str">
        <v>3 Walpole Park South</v>
      </c>
      <c r="B9" s="106" t="str">
        <v>MA</v>
      </c>
      <c r="C9" s="101" t="str" cm="1">
        <f t="array" aca="1" ref="C9:K9" ca="1">IF(INDIRECT("'" &amp; $A9 &amp; "'!B10:J10")="", "", INDIRECT("'" &amp; $A9 &amp; "'!B10:J10"))</f>
        <v/>
      </c>
      <c r="D9" s="101" t="str">
        <f ca="1"/>
        <v/>
      </c>
      <c r="E9" s="101">
        <f ca="1"/>
        <v>0</v>
      </c>
      <c r="F9" s="102">
        <f ca="1"/>
        <v>0</v>
      </c>
      <c r="G9" s="103" t="str">
        <f ca="1"/>
        <v/>
      </c>
      <c r="H9" s="103">
        <f ca="1"/>
        <v>0</v>
      </c>
      <c r="I9" s="104">
        <f ca="1"/>
        <v>0</v>
      </c>
      <c r="J9" s="18" t="str">
        <f ca="1"/>
        <v/>
      </c>
      <c r="K9" s="18" t="str">
        <f ca="1"/>
        <v/>
      </c>
    </row>
    <row r="10" spans="1:11" ht="15.75">
      <c r="A10" s="99" t="str">
        <v>4 Walpole Park South</v>
      </c>
      <c r="B10" s="100" t="str">
        <v>MA</v>
      </c>
      <c r="C10" s="101" t="str" cm="1">
        <f t="array" aca="1" ref="C10:K10" ca="1">IF(INDIRECT("'" &amp; $A10 &amp; "'!B10:J10")="", "", INDIRECT("'" &amp; $A10 &amp; "'!B10:J10"))</f>
        <v/>
      </c>
      <c r="D10" s="101" t="str">
        <f ca="1"/>
        <v/>
      </c>
      <c r="E10" s="101">
        <f ca="1"/>
        <v>0</v>
      </c>
      <c r="F10" s="102">
        <f ca="1"/>
        <v>0</v>
      </c>
      <c r="G10" s="103" t="str">
        <f ca="1"/>
        <v/>
      </c>
      <c r="H10" s="103">
        <f ca="1"/>
        <v>0</v>
      </c>
      <c r="I10" s="104">
        <f ca="1"/>
        <v>0</v>
      </c>
      <c r="J10" s="18" t="str">
        <f ca="1"/>
        <v/>
      </c>
      <c r="K10" s="18" t="str">
        <f ca="1"/>
        <v xml:space="preserve"> </v>
      </c>
    </row>
    <row r="11" spans="1:11" ht="15.75">
      <c r="A11" s="105" t="str">
        <v>Brockton</v>
      </c>
      <c r="B11" s="106" t="str">
        <v>MA</v>
      </c>
      <c r="C11" s="101" t="str" cm="1">
        <f t="array" aca="1" ref="C11:K11" ca="1">IF(INDIRECT("'" &amp; $A11 &amp; "'!B10:J10")="", "", INDIRECT("'" &amp; $A11 &amp; "'!B10:J10"))</f>
        <v/>
      </c>
      <c r="D11" s="101" t="str">
        <f ca="1"/>
        <v/>
      </c>
      <c r="E11" s="101">
        <f ca="1"/>
        <v>0</v>
      </c>
      <c r="F11" s="102">
        <f ca="1"/>
        <v>0</v>
      </c>
      <c r="G11" s="103" t="str">
        <f ca="1"/>
        <v/>
      </c>
      <c r="H11" s="103">
        <f ca="1"/>
        <v>0</v>
      </c>
      <c r="I11" s="104">
        <f ca="1"/>
        <v>0</v>
      </c>
      <c r="J11" s="18" t="str">
        <f ca="1"/>
        <v/>
      </c>
      <c r="K11" s="18" t="str">
        <f ca="1"/>
        <v/>
      </c>
    </row>
    <row r="12" spans="1:11" ht="15.75">
      <c r="A12" s="99" t="str">
        <v>Canton</v>
      </c>
      <c r="B12" s="100" t="str">
        <v>MA</v>
      </c>
      <c r="C12" s="101" t="str" cm="1">
        <f t="array" aca="1" ref="C12:K12" ca="1">IF(INDIRECT("'" &amp; $A12 &amp; "'!B10:J10")="", "", INDIRECT("'" &amp; $A12 &amp; "'!B10:J10"))</f>
        <v/>
      </c>
      <c r="D12" s="101" t="str">
        <f ca="1"/>
        <v/>
      </c>
      <c r="E12" s="101">
        <f ca="1"/>
        <v>0</v>
      </c>
      <c r="F12" s="102">
        <f ca="1"/>
        <v>0</v>
      </c>
      <c r="G12" s="103" t="str">
        <f ca="1"/>
        <v/>
      </c>
      <c r="H12" s="103">
        <f ca="1"/>
        <v>0</v>
      </c>
      <c r="I12" s="104">
        <f ca="1"/>
        <v>0</v>
      </c>
      <c r="J12" s="18" t="str">
        <f ca="1"/>
        <v/>
      </c>
      <c r="K12" s="18" t="str">
        <f ca="1"/>
        <v/>
      </c>
    </row>
    <row r="13" spans="1:11" ht="15.75">
      <c r="A13" s="105" t="str">
        <v>Chelsea</v>
      </c>
      <c r="B13" s="106" t="str">
        <v>MA</v>
      </c>
      <c r="C13" s="101" t="str" cm="1">
        <f t="array" aca="1" ref="C13:K13" ca="1">IF(INDIRECT("'" &amp; $A13 &amp; "'!B10:J10")="", "", INDIRECT("'" &amp; $A13 &amp; "'!B10:J10"))</f>
        <v/>
      </c>
      <c r="D13" s="101" t="str">
        <f ca="1"/>
        <v/>
      </c>
      <c r="E13" s="101">
        <f ca="1"/>
        <v>0</v>
      </c>
      <c r="F13" s="102">
        <f ca="1"/>
        <v>0</v>
      </c>
      <c r="G13" s="103" t="str">
        <f ca="1"/>
        <v/>
      </c>
      <c r="H13" s="103">
        <f ca="1"/>
        <v>0</v>
      </c>
      <c r="I13" s="104">
        <f ca="1"/>
        <v>0</v>
      </c>
      <c r="J13" s="18" t="str">
        <f ca="1"/>
        <v/>
      </c>
      <c r="K13" s="18" t="str">
        <f ca="1"/>
        <v/>
      </c>
    </row>
    <row r="14" spans="1:11" ht="15.75">
      <c r="A14" s="99" t="str">
        <v>Hamilton Landfill</v>
      </c>
      <c r="B14" s="100" t="str">
        <v>MA</v>
      </c>
      <c r="C14" s="101" t="str" cm="1">
        <f t="array" aca="1" ref="C14:K14" ca="1">IF(INDIRECT("'" &amp; $A14 &amp; "'!B10:J10")="", "", INDIRECT("'" &amp; $A14 &amp; "'!B10:J10"))</f>
        <v/>
      </c>
      <c r="D14" s="101" t="str">
        <f ca="1"/>
        <v/>
      </c>
      <c r="E14" s="101">
        <f ca="1"/>
        <v>0</v>
      </c>
      <c r="F14" s="102">
        <f ca="1"/>
        <v>0</v>
      </c>
      <c r="G14" s="103" t="str">
        <f ca="1"/>
        <v/>
      </c>
      <c r="H14" s="103">
        <f ca="1"/>
        <v>0</v>
      </c>
      <c r="I14" s="104">
        <f ca="1"/>
        <v>0</v>
      </c>
      <c r="J14" s="18" t="str">
        <f ca="1"/>
        <v/>
      </c>
      <c r="K14" s="18" t="str">
        <f ca="1"/>
        <v/>
      </c>
    </row>
    <row r="15" spans="1:11" ht="28.7" customHeight="1">
      <c r="A15" s="105" t="str">
        <v>Holliston</v>
      </c>
      <c r="B15" s="106" t="str">
        <v>MA</v>
      </c>
      <c r="C15" s="101" t="str" cm="1">
        <f t="array" aca="1" ref="C15:K15" ca="1">IF(INDIRECT("'" &amp; $A15 &amp; "'!B10:J10")="", "", INDIRECT("'" &amp; $A15 &amp; "'!B10:J10"))</f>
        <v/>
      </c>
      <c r="D15" s="101" t="str">
        <f ca="1"/>
        <v/>
      </c>
      <c r="E15" s="101">
        <f ca="1"/>
        <v>0</v>
      </c>
      <c r="F15" s="102">
        <f ca="1"/>
        <v>0</v>
      </c>
      <c r="G15" s="103" t="str">
        <f ca="1"/>
        <v/>
      </c>
      <c r="H15" s="103">
        <f ca="1"/>
        <v>0</v>
      </c>
      <c r="I15" s="104">
        <f ca="1"/>
        <v>0</v>
      </c>
      <c r="J15" s="18" t="str">
        <f ca="1"/>
        <v/>
      </c>
      <c r="K15" s="18" t="str">
        <f ca="1"/>
        <v/>
      </c>
    </row>
    <row r="16" spans="1:11" ht="15.75">
      <c r="A16" s="99" t="str">
        <v>Natick HS - Carports</v>
      </c>
      <c r="B16" s="100" t="str">
        <v>MA</v>
      </c>
      <c r="C16" s="101" t="str" cm="1">
        <f t="array" aca="1" ref="C16:K16" ca="1">IF(INDIRECT("'" &amp; $A16 &amp; "'!B10:J10")="", "", INDIRECT("'" &amp; $A16 &amp; "'!B10:J10"))</f>
        <v/>
      </c>
      <c r="D16" s="101" t="str">
        <f ca="1"/>
        <v/>
      </c>
      <c r="E16" s="101">
        <f ca="1"/>
        <v>0</v>
      </c>
      <c r="F16" s="102">
        <f ca="1"/>
        <v>0</v>
      </c>
      <c r="G16" s="103" t="str">
        <f ca="1"/>
        <v/>
      </c>
      <c r="H16" s="103">
        <f ca="1"/>
        <v>0</v>
      </c>
      <c r="I16" s="104">
        <f ca="1"/>
        <v>0</v>
      </c>
      <c r="J16" s="18" t="str">
        <f ca="1"/>
        <v/>
      </c>
      <c r="K16" s="18" t="str">
        <f ca="1"/>
        <v/>
      </c>
    </row>
    <row r="17" spans="1:11" ht="15.75">
      <c r="A17" s="105" t="str">
        <v>Norton</v>
      </c>
      <c r="B17" s="106" t="str">
        <v>MA</v>
      </c>
      <c r="C17" s="101" t="str" cm="1">
        <f t="array" aca="1" ref="C17:K17" ca="1">IF(INDIRECT("'" &amp; $A17 &amp; "'!B10:J10")="", "", INDIRECT("'" &amp; $A17 &amp; "'!B10:J10"))</f>
        <v/>
      </c>
      <c r="D17" s="101" t="str">
        <f ca="1"/>
        <v/>
      </c>
      <c r="E17" s="101">
        <f ca="1"/>
        <v>0</v>
      </c>
      <c r="F17" s="102">
        <f ca="1"/>
        <v>0</v>
      </c>
      <c r="G17" s="103" t="str">
        <f ca="1"/>
        <v/>
      </c>
      <c r="H17" s="103">
        <f ca="1"/>
        <v>0</v>
      </c>
      <c r="I17" s="104">
        <f ca="1"/>
        <v>0</v>
      </c>
      <c r="J17" s="18" t="str">
        <f ca="1"/>
        <v/>
      </c>
      <c r="K17" s="18" t="str">
        <f ca="1"/>
        <v/>
      </c>
    </row>
    <row r="18" spans="1:11" ht="15.75">
      <c r="A18" s="99" t="str">
        <v>Palmer - Boston Rd.</v>
      </c>
      <c r="B18" s="100" t="str">
        <v>MA</v>
      </c>
      <c r="C18" s="101" t="str" cm="1">
        <f t="array" aca="1" ref="C18:K18" ca="1">IF(INDIRECT("'" &amp; $A18 &amp; "'!B10:J10")="", "", INDIRECT("'" &amp; $A18 &amp; "'!B10:J10"))</f>
        <v/>
      </c>
      <c r="D18" s="101" t="str">
        <f ca="1"/>
        <v/>
      </c>
      <c r="E18" s="101">
        <f ca="1"/>
        <v>0</v>
      </c>
      <c r="F18" s="102">
        <f ca="1"/>
        <v>0</v>
      </c>
      <c r="G18" s="103" t="str">
        <f ca="1"/>
        <v/>
      </c>
      <c r="H18" s="103">
        <f ca="1"/>
        <v>0</v>
      </c>
      <c r="I18" s="104">
        <f ca="1"/>
        <v>0</v>
      </c>
      <c r="J18" s="18" t="str">
        <f ca="1"/>
        <v/>
      </c>
      <c r="K18" s="18" t="str">
        <f ca="1"/>
        <v/>
      </c>
    </row>
    <row r="19" spans="1:11" ht="15.75">
      <c r="A19" s="105" t="str">
        <v>Shirley Bartkus</v>
      </c>
      <c r="B19" s="106" t="str">
        <v>MA</v>
      </c>
      <c r="C19" s="101" t="str" cm="1">
        <f t="array" aca="1" ref="C19:K19" ca="1">IF(INDIRECT("'" &amp; $A19 &amp; "'!B10:J10")="", "", INDIRECT("'" &amp; $A19 &amp; "'!B10:J10"))</f>
        <v/>
      </c>
      <c r="D19" s="101" t="str">
        <f ca="1"/>
        <v/>
      </c>
      <c r="E19" s="101">
        <f ca="1"/>
        <v>0</v>
      </c>
      <c r="F19" s="102">
        <f ca="1"/>
        <v>0</v>
      </c>
      <c r="G19" s="103" t="str">
        <f ca="1"/>
        <v/>
      </c>
      <c r="H19" s="103">
        <f ca="1"/>
        <v>0</v>
      </c>
      <c r="I19" s="104">
        <f ca="1"/>
        <v>0</v>
      </c>
      <c r="J19" s="18" t="str">
        <f ca="1"/>
        <v/>
      </c>
      <c r="K19" s="18" t="str">
        <f ca="1"/>
        <v/>
      </c>
    </row>
    <row r="20" spans="1:11" ht="15.75">
      <c r="A20" s="99" t="str">
        <v>Stoughton</v>
      </c>
      <c r="B20" s="100" t="str">
        <v>MA</v>
      </c>
      <c r="C20" s="101" t="str" cm="1">
        <f t="array" aca="1" ref="C20:K20" ca="1">IF(INDIRECT("'" &amp; $A20 &amp; "'!B10:J10")="", "", INDIRECT("'" &amp; $A20 &amp; "'!B10:J10"))</f>
        <v/>
      </c>
      <c r="D20" s="101" t="str">
        <f ca="1"/>
        <v/>
      </c>
      <c r="E20" s="101">
        <f ca="1"/>
        <v>0</v>
      </c>
      <c r="F20" s="102">
        <f ca="1"/>
        <v>0</v>
      </c>
      <c r="G20" s="103" t="str">
        <f ca="1"/>
        <v/>
      </c>
      <c r="H20" s="103">
        <f ca="1"/>
        <v>0</v>
      </c>
      <c r="I20" s="104">
        <f ca="1"/>
        <v>0</v>
      </c>
      <c r="J20" s="18" t="str">
        <f ca="1"/>
        <v/>
      </c>
      <c r="K20" s="18" t="str">
        <f ca="1"/>
        <v/>
      </c>
    </row>
    <row r="21" spans="1:11" ht="15.75">
      <c r="A21" s="105" t="str">
        <v>Wellfleet Landfill</v>
      </c>
      <c r="B21" s="106" t="str">
        <v>MA</v>
      </c>
      <c r="C21" s="101" t="str" cm="1">
        <f t="array" aca="1" ref="C21:K21" ca="1">IF(INDIRECT("'" &amp; $A21 &amp; "'!B10:J10")="", "", INDIRECT("'" &amp; $A21 &amp; "'!B10:J10"))</f>
        <v/>
      </c>
      <c r="D21" s="101" t="str">
        <f ca="1"/>
        <v/>
      </c>
      <c r="E21" s="101">
        <f ca="1"/>
        <v>0</v>
      </c>
      <c r="F21" s="102">
        <f ca="1"/>
        <v>0</v>
      </c>
      <c r="G21" s="103" t="str">
        <f ca="1"/>
        <v/>
      </c>
      <c r="H21" s="103">
        <f ca="1"/>
        <v>0</v>
      </c>
      <c r="I21" s="104">
        <f ca="1"/>
        <v>0</v>
      </c>
      <c r="J21" s="18" t="str">
        <f ca="1"/>
        <v/>
      </c>
      <c r="K21" s="18" t="str">
        <f ca="1"/>
        <v/>
      </c>
    </row>
    <row r="22" spans="1:11" ht="15.75">
      <c r="A22" s="99" t="str">
        <v>Wilmington Garage &amp; Building 7</v>
      </c>
      <c r="B22" s="100" t="str">
        <v>MA</v>
      </c>
      <c r="C22" s="101" t="str" cm="1">
        <f t="array" aca="1" ref="C22:K22" ca="1">IF(INDIRECT("'" &amp; $A22 &amp; "'!B10:J10")="", "", INDIRECT("'" &amp; $A22 &amp; "'!B10:J10"))</f>
        <v/>
      </c>
      <c r="D22" s="101" t="str">
        <f ca="1"/>
        <v/>
      </c>
      <c r="E22" s="101">
        <f ca="1"/>
        <v>0</v>
      </c>
      <c r="F22" s="102">
        <f ca="1"/>
        <v>0</v>
      </c>
      <c r="G22" s="103" t="str">
        <f ca="1"/>
        <v/>
      </c>
      <c r="H22" s="103">
        <f ca="1"/>
        <v>0</v>
      </c>
      <c r="I22" s="104">
        <f ca="1"/>
        <v>0</v>
      </c>
      <c r="J22" s="18" t="str">
        <f ca="1"/>
        <v/>
      </c>
      <c r="K22" s="18" t="str">
        <f ca="1"/>
        <v/>
      </c>
    </row>
    <row r="23" spans="1:11" ht="15.75">
      <c r="A23" s="105" t="str">
        <v>Woburn</v>
      </c>
      <c r="B23" s="106" t="str">
        <v>MA</v>
      </c>
      <c r="C23" s="101" t="str" cm="1">
        <f t="array" aca="1" ref="C23:K23" ca="1">IF(INDIRECT("'" &amp; $A23 &amp; "'!B10:J10")="", "", INDIRECT("'" &amp; $A23 &amp; "'!B10:J10"))</f>
        <v/>
      </c>
      <c r="D23" s="101" t="str">
        <f ca="1"/>
        <v/>
      </c>
      <c r="E23" s="101">
        <f ca="1"/>
        <v>0</v>
      </c>
      <c r="F23" s="102">
        <f ca="1"/>
        <v>0</v>
      </c>
      <c r="G23" s="103" t="str">
        <f ca="1"/>
        <v/>
      </c>
      <c r="H23" s="103">
        <f ca="1"/>
        <v>0</v>
      </c>
      <c r="I23" s="104">
        <f ca="1"/>
        <v>0</v>
      </c>
      <c r="J23" s="18" t="str">
        <f ca="1"/>
        <v/>
      </c>
      <c r="K23" s="18" t="str">
        <f ca="1"/>
        <v/>
      </c>
    </row>
    <row r="24" spans="1:11" ht="15.75">
      <c r="A24" s="99" t="str">
        <v>Friendship Solar 1</v>
      </c>
      <c r="B24" s="100" t="str">
        <v>MD</v>
      </c>
      <c r="C24" s="101" t="str" cm="1">
        <f t="array" aca="1" ref="C24:K24" ca="1">IF(INDIRECT("'" &amp; $A24 &amp; "'!B10:J10")="", "", INDIRECT("'" &amp; $A24 &amp; "'!B10:J10"))</f>
        <v/>
      </c>
      <c r="D24" s="101" t="str">
        <f ca="1"/>
        <v/>
      </c>
      <c r="E24" s="101">
        <f ca="1"/>
        <v>0</v>
      </c>
      <c r="F24" s="102">
        <f ca="1"/>
        <v>0</v>
      </c>
      <c r="G24" s="103" t="str">
        <f ca="1"/>
        <v/>
      </c>
      <c r="H24" s="103">
        <f ca="1"/>
        <v>0</v>
      </c>
      <c r="I24" s="104">
        <f ca="1"/>
        <v>0</v>
      </c>
      <c r="J24" s="18" t="str">
        <f ca="1"/>
        <v/>
      </c>
      <c r="K24" s="18" t="str">
        <f ca="1"/>
        <v/>
      </c>
    </row>
    <row r="25" spans="1:11" ht="15.75">
      <c r="A25" s="105" t="str">
        <v>Friendship Solar 2</v>
      </c>
      <c r="B25" s="106" t="str">
        <v>MD</v>
      </c>
      <c r="C25" s="101" t="str" cm="1">
        <f t="array" aca="1" ref="C25:K25" ca="1">IF(INDIRECT("'" &amp; $A25 &amp; "'!B10:J10")="", "", INDIRECT("'" &amp; $A25 &amp; "'!B10:J10"))</f>
        <v/>
      </c>
      <c r="D25" s="101" t="str">
        <f ca="1"/>
        <v/>
      </c>
      <c r="E25" s="101">
        <f ca="1"/>
        <v>0</v>
      </c>
      <c r="F25" s="102">
        <f ca="1"/>
        <v>0</v>
      </c>
      <c r="G25" s="103" t="str">
        <f ca="1"/>
        <v/>
      </c>
      <c r="H25" s="103">
        <f ca="1"/>
        <v>0</v>
      </c>
      <c r="I25" s="104">
        <f ca="1"/>
        <v>0</v>
      </c>
      <c r="J25" s="18" t="str">
        <f ca="1"/>
        <v/>
      </c>
      <c r="K25" s="18" t="str">
        <f ca="1"/>
        <v/>
      </c>
    </row>
    <row r="26" spans="1:11" ht="15.75">
      <c r="A26" s="99" t="str">
        <v>101 Carnegie Center</v>
      </c>
      <c r="B26" s="100" t="str">
        <v>NJ</v>
      </c>
      <c r="C26" s="101" t="str" cm="1">
        <f t="array" aca="1" ref="C26:K26" ca="1">IF(INDIRECT("'" &amp; $A26 &amp; "'!B10:J10")="", "", INDIRECT("'" &amp; $A26 &amp; "'!B10:J10"))</f>
        <v/>
      </c>
      <c r="D26" s="101" t="str">
        <f ca="1"/>
        <v/>
      </c>
      <c r="E26" s="101">
        <f ca="1"/>
        <v>0</v>
      </c>
      <c r="F26" s="102">
        <f ca="1"/>
        <v>0</v>
      </c>
      <c r="G26" s="103" t="str">
        <f ca="1"/>
        <v/>
      </c>
      <c r="H26" s="103">
        <f ca="1"/>
        <v>0</v>
      </c>
      <c r="I26" s="104">
        <f ca="1"/>
        <v>0</v>
      </c>
      <c r="J26" s="18" t="str">
        <f ca="1"/>
        <v/>
      </c>
      <c r="K26" s="18" t="str">
        <f ca="1"/>
        <v/>
      </c>
    </row>
    <row r="27" spans="1:11" ht="15.75">
      <c r="A27" s="105" t="str">
        <v>302 Carnegie Center</v>
      </c>
      <c r="B27" s="106" t="str">
        <v>NJ</v>
      </c>
      <c r="C27" s="101" t="str" cm="1">
        <f t="array" aca="1" ref="C27:K27" ca="1">IF(INDIRECT("'" &amp; $A27 &amp; "'!B10:J10")="", "", INDIRECT("'" &amp; $A27 &amp; "'!B10:J10"))</f>
        <v/>
      </c>
      <c r="D27" s="101" t="str">
        <f ca="1"/>
        <v/>
      </c>
      <c r="E27" s="101">
        <f ca="1"/>
        <v>0</v>
      </c>
      <c r="F27" s="102">
        <f ca="1"/>
        <v>0</v>
      </c>
      <c r="G27" s="103" t="str">
        <f ca="1"/>
        <v/>
      </c>
      <c r="H27" s="103">
        <f ca="1"/>
        <v>0</v>
      </c>
      <c r="I27" s="104">
        <f ca="1"/>
        <v>0</v>
      </c>
      <c r="J27" s="18" t="str">
        <f ca="1"/>
        <v/>
      </c>
      <c r="K27" s="18" t="str">
        <f ca="1"/>
        <v/>
      </c>
    </row>
    <row r="28" spans="1:11" ht="15.75">
      <c r="A28" s="99" t="str">
        <v>510 Carnegie Center</v>
      </c>
      <c r="B28" s="100" t="str">
        <v>NJ</v>
      </c>
      <c r="C28" s="101" t="str" cm="1">
        <f t="array" aca="1" ref="C28:K28" ca="1">IF(INDIRECT("'" &amp; $A28 &amp; "'!B10:J10")="", "", INDIRECT("'" &amp; $A28 &amp; "'!B10:J10"))</f>
        <v/>
      </c>
      <c r="D28" s="101" t="str">
        <f ca="1"/>
        <v/>
      </c>
      <c r="E28" s="101">
        <f ca="1"/>
        <v>0</v>
      </c>
      <c r="F28" s="102">
        <f ca="1"/>
        <v>0</v>
      </c>
      <c r="G28" s="103" t="str">
        <f ca="1"/>
        <v/>
      </c>
      <c r="H28" s="103">
        <f ca="1"/>
        <v>0</v>
      </c>
      <c r="I28" s="104">
        <f ca="1"/>
        <v>0</v>
      </c>
      <c r="J28" s="18" t="str">
        <f ca="1"/>
        <v/>
      </c>
      <c r="K28" s="18" t="str">
        <f ca="1"/>
        <v/>
      </c>
    </row>
    <row r="29" spans="1:11" ht="15.75">
      <c r="A29" s="105" t="str">
        <v>701 Carnegie Center</v>
      </c>
      <c r="B29" s="106" t="str">
        <v>NJ</v>
      </c>
      <c r="C29" s="101" t="str" cm="1">
        <f t="array" aca="1" ref="C29:K29" ca="1">IF(INDIRECT("'" &amp; $A29 &amp; "'!B10:J10")="", "", INDIRECT("'" &amp; $A29 &amp; "'!B10:J10"))</f>
        <v/>
      </c>
      <c r="D29" s="101" t="str">
        <f ca="1"/>
        <v/>
      </c>
      <c r="E29" s="101">
        <f ca="1"/>
        <v>0</v>
      </c>
      <c r="F29" s="102">
        <f ca="1"/>
        <v>0</v>
      </c>
      <c r="G29" s="103" t="str">
        <f ca="1"/>
        <v/>
      </c>
      <c r="H29" s="103">
        <f ca="1"/>
        <v>0</v>
      </c>
      <c r="I29" s="104">
        <f ca="1"/>
        <v>0</v>
      </c>
      <c r="J29" s="18" t="str">
        <f ca="1"/>
        <v/>
      </c>
      <c r="K29" s="18" t="str">
        <f ca="1"/>
        <v/>
      </c>
    </row>
    <row r="30" spans="1:11" ht="15.75">
      <c r="A30" s="99" t="str">
        <v>Hudson County Correction</v>
      </c>
      <c r="B30" s="100" t="str">
        <v>NJ</v>
      </c>
      <c r="C30" s="101" t="str" cm="1">
        <f t="array" aca="1" ref="C30:K30" ca="1">IF(INDIRECT("'" &amp; $A30 &amp; "'!B10:J10")="", "", INDIRECT("'" &amp; $A30 &amp; "'!B10:J10"))</f>
        <v/>
      </c>
      <c r="D30" s="101" t="str">
        <f ca="1"/>
        <v/>
      </c>
      <c r="E30" s="101">
        <f ca="1"/>
        <v>0</v>
      </c>
      <c r="F30" s="102">
        <f ca="1"/>
        <v>0</v>
      </c>
      <c r="G30" s="103" t="str">
        <f ca="1"/>
        <v/>
      </c>
      <c r="H30" s="103">
        <f ca="1"/>
        <v>0</v>
      </c>
      <c r="I30" s="104">
        <f ca="1"/>
        <v>0</v>
      </c>
      <c r="J30" s="18" t="str">
        <f ca="1"/>
        <v/>
      </c>
      <c r="K30" s="18" t="str">
        <f ca="1"/>
        <v/>
      </c>
    </row>
    <row r="31" spans="1:11" ht="15.75">
      <c r="A31" s="105" t="str">
        <v>ER Bison Solar</v>
      </c>
      <c r="B31" s="106" t="str">
        <v>PA</v>
      </c>
      <c r="C31" s="101" t="str" cm="1">
        <f t="array" aca="1" ref="C31:K31" ca="1">IF(INDIRECT("'" &amp; $A31 &amp; "'!B10:J10")="", "", INDIRECT("'" &amp; $A31 &amp; "'!B10:J10"))</f>
        <v/>
      </c>
      <c r="D31" s="101" t="str">
        <f ca="1"/>
        <v/>
      </c>
      <c r="E31" s="101">
        <f ca="1"/>
        <v>0</v>
      </c>
      <c r="F31" s="102">
        <f ca="1"/>
        <v>0</v>
      </c>
      <c r="G31" s="103" t="str">
        <f ca="1"/>
        <v/>
      </c>
      <c r="H31" s="103">
        <f ca="1"/>
        <v>0</v>
      </c>
      <c r="I31" s="104">
        <f ca="1"/>
        <v>0</v>
      </c>
      <c r="J31" s="18" t="str">
        <f ca="1"/>
        <v/>
      </c>
      <c r="K31" s="18" t="str">
        <f ca="1"/>
        <v/>
      </c>
    </row>
    <row r="32" spans="1:11" ht="15.75">
      <c r="A32" s="105" t="str">
        <v>Danville</v>
      </c>
      <c r="B32" s="106" t="str">
        <v>IL</v>
      </c>
      <c r="C32" s="101" t="str" cm="1">
        <f t="array" aca="1" ref="C32:K32" ca="1">IF(INDIRECT("'" &amp; $A32 &amp; "'!B10:J10")="", "", INDIRECT("'" &amp; $A32 &amp; "'!B10:J10"))</f>
        <v/>
      </c>
      <c r="D32" s="101" t="str">
        <f ca="1"/>
        <v/>
      </c>
      <c r="E32" s="101">
        <f ca="1"/>
        <v>0</v>
      </c>
      <c r="F32" s="102">
        <f ca="1"/>
        <v>0</v>
      </c>
      <c r="G32" s="103">
        <f ca="1"/>
        <v>0</v>
      </c>
      <c r="H32" s="103">
        <f ca="1"/>
        <v>0</v>
      </c>
      <c r="I32" s="104">
        <f ca="1"/>
        <v>0</v>
      </c>
      <c r="J32" s="18" t="str">
        <f ca="1"/>
        <v/>
      </c>
      <c r="K32" s="18" t="str">
        <f ca="1"/>
        <v xml:space="preserve"> </v>
      </c>
    </row>
    <row r="33" spans="1:10" ht="24.75" customHeight="1">
      <c r="A33" s="133" t="s">
        <v>11</v>
      </c>
      <c r="B33" s="134"/>
      <c r="C33" s="50">
        <f ca="1">SUM(C3:C31)</f>
        <v>0</v>
      </c>
      <c r="D33" s="50">
        <f ca="1">SUM(D3:D31)</f>
        <v>0</v>
      </c>
      <c r="E33" s="50">
        <f ca="1">C33-D33</f>
        <v>0</v>
      </c>
      <c r="F33" s="41">
        <f ca="1">IFERROR(E33/D33, 0)</f>
        <v>0</v>
      </c>
      <c r="G33" s="50">
        <f ca="1">SUM(G3:G31)</f>
        <v>0</v>
      </c>
      <c r="H33" s="51">
        <f ca="1">C33-G33</f>
        <v>0</v>
      </c>
      <c r="I33" s="42">
        <f ca="1">IFERROR(H33/G33, 0)</f>
        <v>0</v>
      </c>
      <c r="J33" s="8"/>
    </row>
    <row r="34" spans="1:10">
      <c r="J34" s="8"/>
    </row>
    <row r="35" spans="1:10" ht="12.75" customHeight="1">
      <c r="A35" s="135" t="s">
        <v>12</v>
      </c>
      <c r="J35" s="8"/>
    </row>
    <row r="36" spans="1:10">
      <c r="A36" s="135"/>
      <c r="J36" s="8"/>
    </row>
    <row r="37" spans="1:10" ht="12.75" customHeight="1">
      <c r="A37" s="136" t="s">
        <v>13</v>
      </c>
      <c r="J37" s="8"/>
    </row>
    <row r="38" spans="1:10" ht="12.75" customHeight="1">
      <c r="A38" s="136"/>
      <c r="J38" s="8"/>
    </row>
    <row r="39" spans="1:10">
      <c r="J39" s="8"/>
    </row>
  </sheetData>
  <autoFilter ref="A2:I2" xr:uid="{6C08AFFB-6AF8-48AC-9706-52E390C2AC4B}"/>
  <mergeCells count="8">
    <mergeCell ref="G1:I1"/>
    <mergeCell ref="J1:J2"/>
    <mergeCell ref="K1:K2"/>
    <mergeCell ref="A35:A36"/>
    <mergeCell ref="A37:A38"/>
    <mergeCell ref="A33:B33"/>
    <mergeCell ref="C1:F1"/>
    <mergeCell ref="A1:B1"/>
  </mergeCells>
  <conditionalFormatting sqref="F3:F33 I3:I33">
    <cfRule type="cellIs" dxfId="515" priority="1" operator="lessThanOrEqual">
      <formula>-0.1</formula>
    </cfRule>
    <cfRule type="cellIs" dxfId="514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9"/>
  <sheetViews>
    <sheetView zoomScale="80" zoomScaleNormal="80" workbookViewId="0">
      <pane ySplit="2" topLeftCell="A16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37" t="str" cm="1">
        <f t="array" ref="A1">portfolio</f>
        <v>Greenbacker</v>
      </c>
      <c r="B1" s="138"/>
      <c r="C1" s="139" t="s">
        <v>34</v>
      </c>
      <c r="D1" s="140"/>
      <c r="E1" s="140"/>
      <c r="F1" s="141"/>
      <c r="G1" s="142" t="s">
        <v>35</v>
      </c>
      <c r="H1" s="142"/>
      <c r="I1" s="143"/>
      <c r="J1" s="131" t="s">
        <v>2</v>
      </c>
      <c r="K1" s="131" t="s">
        <v>3</v>
      </c>
    </row>
    <row r="2" spans="1:11" ht="14.25" customHeight="1">
      <c r="A2" s="45" t="s">
        <v>4</v>
      </c>
      <c r="B2" s="46" t="s">
        <v>5</v>
      </c>
      <c r="C2" s="5" t="s">
        <v>6</v>
      </c>
      <c r="D2" s="43" t="s">
        <v>7</v>
      </c>
      <c r="E2" s="5" t="s">
        <v>8</v>
      </c>
      <c r="F2" s="6" t="s">
        <v>9</v>
      </c>
      <c r="G2" s="44" t="s">
        <v>10</v>
      </c>
      <c r="H2" s="7" t="s">
        <v>8</v>
      </c>
      <c r="I2" s="9" t="s">
        <v>9</v>
      </c>
      <c r="J2" s="132"/>
      <c r="K2" s="132"/>
    </row>
    <row r="3" spans="1:11" ht="15.75">
      <c r="A3" s="107" t="str" cm="1">
        <f t="array" ref="A3:A32">Sites[Site]</f>
        <v>10 Walpole Park South</v>
      </c>
      <c r="B3" s="108" t="str" cm="1">
        <f t="array" ref="B3:B32">Sites[State]</f>
        <v>MA</v>
      </c>
      <c r="C3" s="101" t="str" cm="1">
        <f t="array" aca="1" ref="C3:K3" ca="1">IF(INDIRECT("'" &amp; $A3 &amp; "'!B11:J11")="", "", INDIRECT("'" &amp; $A3 &amp; "'!B11:J11"))</f>
        <v/>
      </c>
      <c r="D3" s="101" t="str">
        <f ca="1"/>
        <v/>
      </c>
      <c r="E3" s="101">
        <f ca="1"/>
        <v>0</v>
      </c>
      <c r="F3" s="109">
        <f ca="1"/>
        <v>0</v>
      </c>
      <c r="G3" s="103" t="str">
        <f ca="1"/>
        <v/>
      </c>
      <c r="H3" s="103">
        <f ca="1"/>
        <v>0</v>
      </c>
      <c r="I3" s="110">
        <f ca="1"/>
        <v>0</v>
      </c>
      <c r="J3" s="18" t="str">
        <f ca="1"/>
        <v/>
      </c>
      <c r="K3" s="18" t="str">
        <f ca="1"/>
        <v xml:space="preserve"> </v>
      </c>
    </row>
    <row r="4" spans="1:11" ht="15.75">
      <c r="A4" s="99" t="str">
        <v>15 Walpole Park South</v>
      </c>
      <c r="B4" s="100" t="str">
        <v>MA</v>
      </c>
      <c r="C4" s="101" t="str" cm="1">
        <f t="array" aca="1" ref="C4:K4" ca="1">IF(INDIRECT("'" &amp; $A4 &amp; "'!B11:J11")="", "", INDIRECT("'" &amp; $A4 &amp; "'!B11:J11"))</f>
        <v/>
      </c>
      <c r="D4" s="101" t="str">
        <f ca="1"/>
        <v/>
      </c>
      <c r="E4" s="101">
        <f ca="1"/>
        <v>0</v>
      </c>
      <c r="F4" s="102">
        <f ca="1"/>
        <v>0</v>
      </c>
      <c r="G4" s="103" t="str">
        <f ca="1"/>
        <v/>
      </c>
      <c r="H4" s="103">
        <f ca="1"/>
        <v>0</v>
      </c>
      <c r="I4" s="104">
        <f ca="1"/>
        <v>0</v>
      </c>
      <c r="J4" s="18" t="str">
        <f ca="1"/>
        <v/>
      </c>
      <c r="K4" s="18" t="str">
        <f ca="1"/>
        <v xml:space="preserve"> </v>
      </c>
    </row>
    <row r="5" spans="1:11" ht="15.75">
      <c r="A5" s="105" t="str">
        <v>19 Walpole Park South</v>
      </c>
      <c r="B5" s="106" t="str">
        <v>MA</v>
      </c>
      <c r="C5" s="101" t="str" cm="1">
        <f t="array" aca="1" ref="C5:K5" ca="1">IF(INDIRECT("'" &amp; $A5 &amp; "'!B11:J11")="", "", INDIRECT("'" &amp; $A5 &amp; "'!B11:J11"))</f>
        <v/>
      </c>
      <c r="D5" s="101" t="str">
        <f ca="1"/>
        <v/>
      </c>
      <c r="E5" s="101">
        <f ca="1"/>
        <v>0</v>
      </c>
      <c r="F5" s="102">
        <f ca="1"/>
        <v>0</v>
      </c>
      <c r="G5" s="103" t="str">
        <f ca="1"/>
        <v/>
      </c>
      <c r="H5" s="103">
        <f ca="1"/>
        <v>0</v>
      </c>
      <c r="I5" s="104">
        <f ca="1"/>
        <v>0</v>
      </c>
      <c r="J5" s="18" t="str">
        <f ca="1"/>
        <v/>
      </c>
      <c r="K5" s="18" t="str">
        <f ca="1"/>
        <v xml:space="preserve"> </v>
      </c>
    </row>
    <row r="6" spans="1:11" ht="15.75">
      <c r="A6" s="99" t="str">
        <v>23 Walpole Park South</v>
      </c>
      <c r="B6" s="100" t="str">
        <v>MA</v>
      </c>
      <c r="C6" s="101" t="str" cm="1">
        <f t="array" aca="1" ref="C6:K6" ca="1">IF(INDIRECT("'" &amp; $A6 &amp; "'!B11:J11")="", "", INDIRECT("'" &amp; $A6 &amp; "'!B11:J11"))</f>
        <v/>
      </c>
      <c r="D6" s="101" t="str">
        <f ca="1"/>
        <v/>
      </c>
      <c r="E6" s="101">
        <f ca="1"/>
        <v>0</v>
      </c>
      <c r="F6" s="102">
        <f ca="1"/>
        <v>0</v>
      </c>
      <c r="G6" s="103" t="str">
        <f ca="1"/>
        <v/>
      </c>
      <c r="H6" s="103">
        <f ca="1"/>
        <v>0</v>
      </c>
      <c r="I6" s="104">
        <f ca="1"/>
        <v>0</v>
      </c>
      <c r="J6" s="18" t="str">
        <f ca="1"/>
        <v/>
      </c>
      <c r="K6" s="18" t="str">
        <f ca="1"/>
        <v xml:space="preserve"> </v>
      </c>
    </row>
    <row r="7" spans="1:11" ht="15.75">
      <c r="A7" s="105" t="str">
        <v>24 Walpole Park South</v>
      </c>
      <c r="B7" s="106" t="str">
        <v>MA</v>
      </c>
      <c r="C7" s="101" t="str" cm="1">
        <f t="array" aca="1" ref="C7:K7" ca="1">IF(INDIRECT("'" &amp; $A7 &amp; "'!B11:J11")="", "", INDIRECT("'" &amp; $A7 &amp; "'!B11:J11"))</f>
        <v/>
      </c>
      <c r="D7" s="101" t="str">
        <f ca="1"/>
        <v/>
      </c>
      <c r="E7" s="101">
        <f ca="1"/>
        <v>0</v>
      </c>
      <c r="F7" s="102">
        <f ca="1"/>
        <v>0</v>
      </c>
      <c r="G7" s="103" t="str">
        <f ca="1"/>
        <v/>
      </c>
      <c r="H7" s="103">
        <f ca="1"/>
        <v>0</v>
      </c>
      <c r="I7" s="104">
        <f ca="1"/>
        <v>0</v>
      </c>
      <c r="J7" s="18" t="str">
        <f ca="1"/>
        <v/>
      </c>
      <c r="K7" s="18" t="str">
        <f ca="1"/>
        <v/>
      </c>
    </row>
    <row r="8" spans="1:11" ht="15.75">
      <c r="A8" s="99" t="str">
        <v>25 Walpole Park South</v>
      </c>
      <c r="B8" s="100" t="str">
        <v>MA</v>
      </c>
      <c r="C8" s="101" t="str" cm="1">
        <f t="array" aca="1" ref="C8:K8" ca="1">IF(INDIRECT("'" &amp; $A8 &amp; "'!B11:J11")="", "", INDIRECT("'" &amp; $A8 &amp; "'!B11:J11"))</f>
        <v/>
      </c>
      <c r="D8" s="101" t="str">
        <f ca="1"/>
        <v/>
      </c>
      <c r="E8" s="101">
        <f ca="1"/>
        <v>0</v>
      </c>
      <c r="F8" s="102">
        <f ca="1"/>
        <v>0</v>
      </c>
      <c r="G8" s="103" t="str">
        <f ca="1"/>
        <v/>
      </c>
      <c r="H8" s="103">
        <f ca="1"/>
        <v>0</v>
      </c>
      <c r="I8" s="104">
        <f ca="1"/>
        <v>0</v>
      </c>
      <c r="J8" s="18" t="str">
        <f ca="1"/>
        <v/>
      </c>
      <c r="K8" s="18" t="str">
        <f ca="1"/>
        <v/>
      </c>
    </row>
    <row r="9" spans="1:11" ht="15.75">
      <c r="A9" s="105" t="str">
        <v>3 Walpole Park South</v>
      </c>
      <c r="B9" s="106" t="str">
        <v>MA</v>
      </c>
      <c r="C9" s="101" t="str" cm="1">
        <f t="array" aca="1" ref="C9:K9" ca="1">IF(INDIRECT("'" &amp; $A9 &amp; "'!B11:J11")="", "", INDIRECT("'" &amp; $A9 &amp; "'!B11:J11"))</f>
        <v/>
      </c>
      <c r="D9" s="101" t="str">
        <f ca="1"/>
        <v/>
      </c>
      <c r="E9" s="101">
        <f ca="1"/>
        <v>0</v>
      </c>
      <c r="F9" s="102">
        <f ca="1"/>
        <v>0</v>
      </c>
      <c r="G9" s="103" t="str">
        <f ca="1"/>
        <v/>
      </c>
      <c r="H9" s="103">
        <f ca="1"/>
        <v>0</v>
      </c>
      <c r="I9" s="104">
        <f ca="1"/>
        <v>0</v>
      </c>
      <c r="J9" s="18" t="str">
        <f ca="1"/>
        <v/>
      </c>
      <c r="K9" s="18" t="str">
        <f ca="1"/>
        <v/>
      </c>
    </row>
    <row r="10" spans="1:11" ht="15.75">
      <c r="A10" s="99" t="str">
        <v>4 Walpole Park South</v>
      </c>
      <c r="B10" s="100" t="str">
        <v>MA</v>
      </c>
      <c r="C10" s="101" t="str" cm="1">
        <f t="array" aca="1" ref="C10:K10" ca="1">IF(INDIRECT("'" &amp; $A10 &amp; "'!B11:J11")="", "", INDIRECT("'" &amp; $A10 &amp; "'!B11:J11"))</f>
        <v/>
      </c>
      <c r="D10" s="101" t="str">
        <f ca="1"/>
        <v/>
      </c>
      <c r="E10" s="101">
        <f ca="1"/>
        <v>0</v>
      </c>
      <c r="F10" s="102">
        <f ca="1"/>
        <v>0</v>
      </c>
      <c r="G10" s="103" t="str">
        <f ca="1"/>
        <v/>
      </c>
      <c r="H10" s="103">
        <f ca="1"/>
        <v>0</v>
      </c>
      <c r="I10" s="104">
        <f ca="1"/>
        <v>0</v>
      </c>
      <c r="J10" s="18" t="str">
        <f ca="1"/>
        <v/>
      </c>
      <c r="K10" s="18" t="str">
        <f ca="1"/>
        <v xml:space="preserve"> </v>
      </c>
    </row>
    <row r="11" spans="1:11" ht="23.25" customHeight="1">
      <c r="A11" s="105" t="str">
        <v>Brockton</v>
      </c>
      <c r="B11" s="106" t="str">
        <v>MA</v>
      </c>
      <c r="C11" s="101" t="str" cm="1">
        <f t="array" aca="1" ref="C11:K11" ca="1">IF(INDIRECT("'" &amp; $A11 &amp; "'!B11:J11")="", "", INDIRECT("'" &amp; $A11 &amp; "'!B11:J11"))</f>
        <v/>
      </c>
      <c r="D11" s="101" t="str">
        <f ca="1"/>
        <v/>
      </c>
      <c r="E11" s="101">
        <f ca="1"/>
        <v>0</v>
      </c>
      <c r="F11" s="102">
        <f ca="1"/>
        <v>0</v>
      </c>
      <c r="G11" s="103" t="str">
        <f ca="1"/>
        <v/>
      </c>
      <c r="H11" s="103">
        <f ca="1"/>
        <v>0</v>
      </c>
      <c r="I11" s="104">
        <f ca="1"/>
        <v>0</v>
      </c>
      <c r="J11" s="18" t="str">
        <f ca="1"/>
        <v/>
      </c>
      <c r="K11" s="18" t="str">
        <f ca="1"/>
        <v/>
      </c>
    </row>
    <row r="12" spans="1:11" ht="15.75">
      <c r="A12" s="99" t="str">
        <v>Canton</v>
      </c>
      <c r="B12" s="100" t="str">
        <v>MA</v>
      </c>
      <c r="C12" s="101" t="str" cm="1">
        <f t="array" aca="1" ref="C12:K12" ca="1">IF(INDIRECT("'" &amp; $A12 &amp; "'!B11:J11")="", "", INDIRECT("'" &amp; $A12 &amp; "'!B11:J11"))</f>
        <v/>
      </c>
      <c r="D12" s="101" t="str">
        <f ca="1"/>
        <v/>
      </c>
      <c r="E12" s="101">
        <f ca="1"/>
        <v>0</v>
      </c>
      <c r="F12" s="102">
        <f ca="1"/>
        <v>0</v>
      </c>
      <c r="G12" s="103" t="str">
        <f ca="1"/>
        <v/>
      </c>
      <c r="H12" s="103">
        <f ca="1"/>
        <v>0</v>
      </c>
      <c r="I12" s="104">
        <f ca="1"/>
        <v>0</v>
      </c>
      <c r="J12" s="18" t="str">
        <f ca="1"/>
        <v/>
      </c>
      <c r="K12" s="18" t="str">
        <f ca="1"/>
        <v/>
      </c>
    </row>
    <row r="13" spans="1:11" ht="15.75">
      <c r="A13" s="105" t="str">
        <v>Chelsea</v>
      </c>
      <c r="B13" s="106" t="str">
        <v>MA</v>
      </c>
      <c r="C13" s="101" t="str" cm="1">
        <f t="array" aca="1" ref="C13:K13" ca="1">IF(INDIRECT("'" &amp; $A13 &amp; "'!B11:J11")="", "", INDIRECT("'" &amp; $A13 &amp; "'!B11:J11"))</f>
        <v/>
      </c>
      <c r="D13" s="101" t="str">
        <f ca="1"/>
        <v/>
      </c>
      <c r="E13" s="101">
        <f ca="1"/>
        <v>0</v>
      </c>
      <c r="F13" s="102">
        <f ca="1"/>
        <v>0</v>
      </c>
      <c r="G13" s="103" t="str">
        <f ca="1"/>
        <v/>
      </c>
      <c r="H13" s="103">
        <f ca="1"/>
        <v>0</v>
      </c>
      <c r="I13" s="104">
        <f ca="1"/>
        <v>0</v>
      </c>
      <c r="J13" s="18" t="str">
        <f ca="1"/>
        <v/>
      </c>
      <c r="K13" s="18" t="str">
        <f ca="1"/>
        <v/>
      </c>
    </row>
    <row r="14" spans="1:11" ht="15.75">
      <c r="A14" s="99" t="str">
        <v>Hamilton Landfill</v>
      </c>
      <c r="B14" s="100" t="str">
        <v>MA</v>
      </c>
      <c r="C14" s="101" t="str" cm="1">
        <f t="array" aca="1" ref="C14:K14" ca="1">IF(INDIRECT("'" &amp; $A14 &amp; "'!B11:J11")="", "", INDIRECT("'" &amp; $A14 &amp; "'!B11:J11"))</f>
        <v/>
      </c>
      <c r="D14" s="101" t="str">
        <f ca="1"/>
        <v/>
      </c>
      <c r="E14" s="101">
        <f ca="1"/>
        <v>0</v>
      </c>
      <c r="F14" s="102">
        <f ca="1"/>
        <v>0</v>
      </c>
      <c r="G14" s="103" t="str">
        <f ca="1"/>
        <v/>
      </c>
      <c r="H14" s="103">
        <f ca="1"/>
        <v>0</v>
      </c>
      <c r="I14" s="104">
        <f ca="1"/>
        <v>0</v>
      </c>
      <c r="J14" s="18" t="str">
        <f ca="1"/>
        <v/>
      </c>
      <c r="K14" s="18" t="str">
        <f ca="1"/>
        <v/>
      </c>
    </row>
    <row r="15" spans="1:11" ht="15.75">
      <c r="A15" s="105" t="str">
        <v>Holliston</v>
      </c>
      <c r="B15" s="106" t="str">
        <v>MA</v>
      </c>
      <c r="C15" s="101" t="str" cm="1">
        <f t="array" aca="1" ref="C15:K15" ca="1">IF(INDIRECT("'" &amp; $A15 &amp; "'!B11:J11")="", "", INDIRECT("'" &amp; $A15 &amp; "'!B11:J11"))</f>
        <v/>
      </c>
      <c r="D15" s="101" t="str">
        <f ca="1"/>
        <v/>
      </c>
      <c r="E15" s="101">
        <f ca="1"/>
        <v>0</v>
      </c>
      <c r="F15" s="102">
        <f ca="1"/>
        <v>0</v>
      </c>
      <c r="G15" s="103" t="str">
        <f ca="1"/>
        <v/>
      </c>
      <c r="H15" s="103">
        <f ca="1"/>
        <v>0</v>
      </c>
      <c r="I15" s="104">
        <f ca="1"/>
        <v>0</v>
      </c>
      <c r="J15" s="18" t="str">
        <f ca="1"/>
        <v/>
      </c>
      <c r="K15" s="18" t="str">
        <f ca="1"/>
        <v/>
      </c>
    </row>
    <row r="16" spans="1:11" ht="15.75">
      <c r="A16" s="99" t="str">
        <v>Natick HS - Carports</v>
      </c>
      <c r="B16" s="100" t="str">
        <v>MA</v>
      </c>
      <c r="C16" s="101" t="str" cm="1">
        <f t="array" aca="1" ref="C16:K16" ca="1">IF(INDIRECT("'" &amp; $A16 &amp; "'!B11:J11")="", "", INDIRECT("'" &amp; $A16 &amp; "'!B11:J11"))</f>
        <v/>
      </c>
      <c r="D16" s="101" t="str">
        <f ca="1"/>
        <v/>
      </c>
      <c r="E16" s="101">
        <f ca="1"/>
        <v>0</v>
      </c>
      <c r="F16" s="102">
        <f ca="1"/>
        <v>0</v>
      </c>
      <c r="G16" s="103" t="str">
        <f ca="1"/>
        <v/>
      </c>
      <c r="H16" s="103">
        <f ca="1"/>
        <v>0</v>
      </c>
      <c r="I16" s="104">
        <f ca="1"/>
        <v>0</v>
      </c>
      <c r="J16" s="18" t="str">
        <f ca="1"/>
        <v/>
      </c>
      <c r="K16" s="18" t="str">
        <f ca="1"/>
        <v/>
      </c>
    </row>
    <row r="17" spans="1:11" ht="15.75">
      <c r="A17" s="105" t="str">
        <v>Norton</v>
      </c>
      <c r="B17" s="106" t="str">
        <v>MA</v>
      </c>
      <c r="C17" s="101" t="str" cm="1">
        <f t="array" aca="1" ref="C17:K17" ca="1">IF(INDIRECT("'" &amp; $A17 &amp; "'!B11:J11")="", "", INDIRECT("'" &amp; $A17 &amp; "'!B11:J11"))</f>
        <v/>
      </c>
      <c r="D17" s="101" t="str">
        <f ca="1"/>
        <v/>
      </c>
      <c r="E17" s="101">
        <f ca="1"/>
        <v>0</v>
      </c>
      <c r="F17" s="102">
        <f ca="1"/>
        <v>0</v>
      </c>
      <c r="G17" s="103" t="str">
        <f ca="1"/>
        <v/>
      </c>
      <c r="H17" s="103">
        <f ca="1"/>
        <v>0</v>
      </c>
      <c r="I17" s="104">
        <f ca="1"/>
        <v>0</v>
      </c>
      <c r="J17" s="18" t="str">
        <f ca="1"/>
        <v/>
      </c>
      <c r="K17" s="18" t="str">
        <f ca="1"/>
        <v/>
      </c>
    </row>
    <row r="18" spans="1:11" ht="15.75">
      <c r="A18" s="99" t="str">
        <v>Palmer - Boston Rd.</v>
      </c>
      <c r="B18" s="100" t="str">
        <v>MA</v>
      </c>
      <c r="C18" s="101" t="str" cm="1">
        <f t="array" aca="1" ref="C18:K18" ca="1">IF(INDIRECT("'" &amp; $A18 &amp; "'!B11:J11")="", "", INDIRECT("'" &amp; $A18 &amp; "'!B11:J11"))</f>
        <v/>
      </c>
      <c r="D18" s="101" t="str">
        <f ca="1"/>
        <v/>
      </c>
      <c r="E18" s="101">
        <f ca="1"/>
        <v>0</v>
      </c>
      <c r="F18" s="102">
        <f ca="1"/>
        <v>0</v>
      </c>
      <c r="G18" s="103" t="str">
        <f ca="1"/>
        <v/>
      </c>
      <c r="H18" s="103">
        <f ca="1"/>
        <v>0</v>
      </c>
      <c r="I18" s="104">
        <f ca="1"/>
        <v>0</v>
      </c>
      <c r="J18" s="18" t="str">
        <f ca="1"/>
        <v/>
      </c>
      <c r="K18" s="18" t="str">
        <f ca="1"/>
        <v/>
      </c>
    </row>
    <row r="19" spans="1:11" ht="15.75">
      <c r="A19" s="105" t="str">
        <v>Shirley Bartkus</v>
      </c>
      <c r="B19" s="106" t="str">
        <v>MA</v>
      </c>
      <c r="C19" s="101" t="str" cm="1">
        <f t="array" aca="1" ref="C19:K19" ca="1">IF(INDIRECT("'" &amp; $A19 &amp; "'!B11:J11")="", "", INDIRECT("'" &amp; $A19 &amp; "'!B11:J11"))</f>
        <v/>
      </c>
      <c r="D19" s="101" t="str">
        <f ca="1"/>
        <v/>
      </c>
      <c r="E19" s="101">
        <f ca="1"/>
        <v>0</v>
      </c>
      <c r="F19" s="102">
        <f ca="1"/>
        <v>0</v>
      </c>
      <c r="G19" s="103" t="str">
        <f ca="1"/>
        <v/>
      </c>
      <c r="H19" s="103">
        <f ca="1"/>
        <v>0</v>
      </c>
      <c r="I19" s="104">
        <f ca="1"/>
        <v>0</v>
      </c>
      <c r="J19" s="18" t="str">
        <f ca="1"/>
        <v/>
      </c>
      <c r="K19" s="18" t="str">
        <f ca="1"/>
        <v/>
      </c>
    </row>
    <row r="20" spans="1:11" ht="15.75">
      <c r="A20" s="99" t="str">
        <v>Stoughton</v>
      </c>
      <c r="B20" s="100" t="str">
        <v>MA</v>
      </c>
      <c r="C20" s="101" t="str" cm="1">
        <f t="array" aca="1" ref="C20:K20" ca="1">IF(INDIRECT("'" &amp; $A20 &amp; "'!B11:J11")="", "", INDIRECT("'" &amp; $A20 &amp; "'!B11:J11"))</f>
        <v/>
      </c>
      <c r="D20" s="101" t="str">
        <f ca="1"/>
        <v/>
      </c>
      <c r="E20" s="101">
        <f ca="1"/>
        <v>0</v>
      </c>
      <c r="F20" s="102">
        <f ca="1"/>
        <v>0</v>
      </c>
      <c r="G20" s="103" t="str">
        <f ca="1"/>
        <v/>
      </c>
      <c r="H20" s="103">
        <f ca="1"/>
        <v>0</v>
      </c>
      <c r="I20" s="104">
        <f ca="1"/>
        <v>0</v>
      </c>
      <c r="J20" s="18" t="str">
        <f ca="1"/>
        <v/>
      </c>
      <c r="K20" s="18" t="str">
        <f ca="1"/>
        <v/>
      </c>
    </row>
    <row r="21" spans="1:11" ht="15.75">
      <c r="A21" s="105" t="str">
        <v>Wellfleet Landfill</v>
      </c>
      <c r="B21" s="106" t="str">
        <v>MA</v>
      </c>
      <c r="C21" s="101" t="str" cm="1">
        <f t="array" aca="1" ref="C21:K21" ca="1">IF(INDIRECT("'" &amp; $A21 &amp; "'!B11:J11")="", "", INDIRECT("'" &amp; $A21 &amp; "'!B11:J11"))</f>
        <v/>
      </c>
      <c r="D21" s="101" t="str">
        <f ca="1"/>
        <v/>
      </c>
      <c r="E21" s="101">
        <f ca="1"/>
        <v>0</v>
      </c>
      <c r="F21" s="102">
        <f ca="1"/>
        <v>0</v>
      </c>
      <c r="G21" s="103" t="str">
        <f ca="1"/>
        <v/>
      </c>
      <c r="H21" s="103">
        <f ca="1"/>
        <v>0</v>
      </c>
      <c r="I21" s="104">
        <f ca="1"/>
        <v>0</v>
      </c>
      <c r="J21" s="18" t="str">
        <f ca="1"/>
        <v/>
      </c>
      <c r="K21" s="18" t="str">
        <f ca="1"/>
        <v/>
      </c>
    </row>
    <row r="22" spans="1:11" ht="15.75">
      <c r="A22" s="99" t="str">
        <v>Wilmington Garage &amp; Building 7</v>
      </c>
      <c r="B22" s="100" t="str">
        <v>MA</v>
      </c>
      <c r="C22" s="101" t="str" cm="1">
        <f t="array" aca="1" ref="C22:K22" ca="1">IF(INDIRECT("'" &amp; $A22 &amp; "'!B11:J11")="", "", INDIRECT("'" &amp; $A22 &amp; "'!B11:J11"))</f>
        <v/>
      </c>
      <c r="D22" s="101" t="str">
        <f ca="1"/>
        <v/>
      </c>
      <c r="E22" s="101">
        <f ca="1"/>
        <v>0</v>
      </c>
      <c r="F22" s="102">
        <f ca="1"/>
        <v>0</v>
      </c>
      <c r="G22" s="103" t="str">
        <f ca="1"/>
        <v/>
      </c>
      <c r="H22" s="103">
        <f ca="1"/>
        <v>0</v>
      </c>
      <c r="I22" s="104">
        <f ca="1"/>
        <v>0</v>
      </c>
      <c r="J22" s="18" t="str">
        <f ca="1"/>
        <v/>
      </c>
      <c r="K22" s="18" t="str">
        <f ca="1"/>
        <v/>
      </c>
    </row>
    <row r="23" spans="1:11" ht="15.75">
      <c r="A23" s="105" t="str">
        <v>Woburn</v>
      </c>
      <c r="B23" s="106" t="str">
        <v>MA</v>
      </c>
      <c r="C23" s="101" t="str" cm="1">
        <f t="array" aca="1" ref="C23:K23" ca="1">IF(INDIRECT("'" &amp; $A23 &amp; "'!B11:J11")="", "", INDIRECT("'" &amp; $A23 &amp; "'!B11:J11"))</f>
        <v/>
      </c>
      <c r="D23" s="101" t="str">
        <f ca="1"/>
        <v/>
      </c>
      <c r="E23" s="101">
        <f ca="1"/>
        <v>0</v>
      </c>
      <c r="F23" s="102">
        <f ca="1"/>
        <v>0</v>
      </c>
      <c r="G23" s="103" t="str">
        <f ca="1"/>
        <v/>
      </c>
      <c r="H23" s="103">
        <f ca="1"/>
        <v>0</v>
      </c>
      <c r="I23" s="104">
        <f ca="1"/>
        <v>0</v>
      </c>
      <c r="J23" s="18" t="str">
        <f ca="1"/>
        <v/>
      </c>
      <c r="K23" s="18" t="str">
        <f ca="1"/>
        <v/>
      </c>
    </row>
    <row r="24" spans="1:11" ht="15.75">
      <c r="A24" s="99" t="str">
        <v>Friendship Solar 1</v>
      </c>
      <c r="B24" s="100" t="str">
        <v>MD</v>
      </c>
      <c r="C24" s="101" t="str" cm="1">
        <f t="array" aca="1" ref="C24:K24" ca="1">IF(INDIRECT("'" &amp; $A24 &amp; "'!B11:J11")="", "", INDIRECT("'" &amp; $A24 &amp; "'!B11:J11"))</f>
        <v/>
      </c>
      <c r="D24" s="101" t="str">
        <f ca="1"/>
        <v/>
      </c>
      <c r="E24" s="101">
        <f ca="1"/>
        <v>0</v>
      </c>
      <c r="F24" s="102">
        <f ca="1"/>
        <v>0</v>
      </c>
      <c r="G24" s="103" t="str">
        <f ca="1"/>
        <v/>
      </c>
      <c r="H24" s="103">
        <f ca="1"/>
        <v>0</v>
      </c>
      <c r="I24" s="104">
        <f ca="1"/>
        <v>0</v>
      </c>
      <c r="J24" s="18" t="str">
        <f ca="1"/>
        <v/>
      </c>
      <c r="K24" s="18" t="str">
        <f ca="1"/>
        <v/>
      </c>
    </row>
    <row r="25" spans="1:11" ht="15.75">
      <c r="A25" s="105" t="str">
        <v>Friendship Solar 2</v>
      </c>
      <c r="B25" s="106" t="str">
        <v>MD</v>
      </c>
      <c r="C25" s="101" t="str" cm="1">
        <f t="array" aca="1" ref="C25:K25" ca="1">IF(INDIRECT("'" &amp; $A25 &amp; "'!B11:J11")="", "", INDIRECT("'" &amp; $A25 &amp; "'!B11:J11"))</f>
        <v/>
      </c>
      <c r="D25" s="101" t="str">
        <f ca="1"/>
        <v/>
      </c>
      <c r="E25" s="101">
        <f ca="1"/>
        <v>0</v>
      </c>
      <c r="F25" s="102">
        <f ca="1"/>
        <v>0</v>
      </c>
      <c r="G25" s="103" t="str">
        <f ca="1"/>
        <v/>
      </c>
      <c r="H25" s="103">
        <f ca="1"/>
        <v>0</v>
      </c>
      <c r="I25" s="104">
        <f ca="1"/>
        <v>0</v>
      </c>
      <c r="J25" s="18" t="str">
        <f ca="1"/>
        <v/>
      </c>
      <c r="K25" s="18" t="str">
        <f ca="1"/>
        <v/>
      </c>
    </row>
    <row r="26" spans="1:11" ht="15.75">
      <c r="A26" s="99" t="str">
        <v>101 Carnegie Center</v>
      </c>
      <c r="B26" s="100" t="str">
        <v>NJ</v>
      </c>
      <c r="C26" s="101" t="str" cm="1">
        <f t="array" aca="1" ref="C26:K26" ca="1">IF(INDIRECT("'" &amp; $A26 &amp; "'!B11:J11")="", "", INDIRECT("'" &amp; $A26 &amp; "'!B11:J11"))</f>
        <v/>
      </c>
      <c r="D26" s="101" t="str">
        <f ca="1"/>
        <v/>
      </c>
      <c r="E26" s="101">
        <f ca="1"/>
        <v>0</v>
      </c>
      <c r="F26" s="102">
        <f ca="1"/>
        <v>0</v>
      </c>
      <c r="G26" s="103" t="str">
        <f ca="1"/>
        <v/>
      </c>
      <c r="H26" s="103">
        <f ca="1"/>
        <v>0</v>
      </c>
      <c r="I26" s="104">
        <f ca="1"/>
        <v>0</v>
      </c>
      <c r="J26" s="18" t="str">
        <f ca="1"/>
        <v/>
      </c>
      <c r="K26" s="18" t="str">
        <f ca="1"/>
        <v/>
      </c>
    </row>
    <row r="27" spans="1:11" ht="15.75">
      <c r="A27" s="105" t="str">
        <v>302 Carnegie Center</v>
      </c>
      <c r="B27" s="106" t="str">
        <v>NJ</v>
      </c>
      <c r="C27" s="101" t="str" cm="1">
        <f t="array" aca="1" ref="C27:K27" ca="1">IF(INDIRECT("'" &amp; $A27 &amp; "'!B11:J11")="", "", INDIRECT("'" &amp; $A27 &amp; "'!B11:J11"))</f>
        <v/>
      </c>
      <c r="D27" s="101" t="str">
        <f ca="1"/>
        <v/>
      </c>
      <c r="E27" s="101">
        <f ca="1"/>
        <v>0</v>
      </c>
      <c r="F27" s="102">
        <f ca="1"/>
        <v>0</v>
      </c>
      <c r="G27" s="103" t="str">
        <f ca="1"/>
        <v/>
      </c>
      <c r="H27" s="103">
        <f ca="1"/>
        <v>0</v>
      </c>
      <c r="I27" s="104">
        <f ca="1"/>
        <v>0</v>
      </c>
      <c r="J27" s="18" t="str">
        <f ca="1"/>
        <v/>
      </c>
      <c r="K27" s="18" t="str">
        <f ca="1"/>
        <v/>
      </c>
    </row>
    <row r="28" spans="1:11" ht="15.75">
      <c r="A28" s="99" t="str">
        <v>510 Carnegie Center</v>
      </c>
      <c r="B28" s="100" t="str">
        <v>NJ</v>
      </c>
      <c r="C28" s="101" t="str" cm="1">
        <f t="array" aca="1" ref="C28:K28" ca="1">IF(INDIRECT("'" &amp; $A28 &amp; "'!B11:J11")="", "", INDIRECT("'" &amp; $A28 &amp; "'!B11:J11"))</f>
        <v/>
      </c>
      <c r="D28" s="101" t="str">
        <f ca="1"/>
        <v/>
      </c>
      <c r="E28" s="101">
        <f ca="1"/>
        <v>0</v>
      </c>
      <c r="F28" s="102">
        <f ca="1"/>
        <v>0</v>
      </c>
      <c r="G28" s="103" t="str">
        <f ca="1"/>
        <v/>
      </c>
      <c r="H28" s="103">
        <f ca="1"/>
        <v>0</v>
      </c>
      <c r="I28" s="104">
        <f ca="1"/>
        <v>0</v>
      </c>
      <c r="J28" s="18" t="str">
        <f ca="1"/>
        <v/>
      </c>
      <c r="K28" s="18" t="str">
        <f ca="1"/>
        <v/>
      </c>
    </row>
    <row r="29" spans="1:11" ht="15.75">
      <c r="A29" s="105" t="str">
        <v>701 Carnegie Center</v>
      </c>
      <c r="B29" s="106" t="str">
        <v>NJ</v>
      </c>
      <c r="C29" s="101" t="str" cm="1">
        <f t="array" aca="1" ref="C29:K29" ca="1">IF(INDIRECT("'" &amp; $A29 &amp; "'!B11:J11")="", "", INDIRECT("'" &amp; $A29 &amp; "'!B11:J11"))</f>
        <v/>
      </c>
      <c r="D29" s="101" t="str">
        <f ca="1"/>
        <v/>
      </c>
      <c r="E29" s="101">
        <f ca="1"/>
        <v>0</v>
      </c>
      <c r="F29" s="102">
        <f ca="1"/>
        <v>0</v>
      </c>
      <c r="G29" s="103" t="str">
        <f ca="1"/>
        <v/>
      </c>
      <c r="H29" s="103">
        <f ca="1"/>
        <v>0</v>
      </c>
      <c r="I29" s="104">
        <f ca="1"/>
        <v>0</v>
      </c>
      <c r="J29" s="18" t="str">
        <f ca="1"/>
        <v/>
      </c>
      <c r="K29" s="18" t="str">
        <f ca="1"/>
        <v/>
      </c>
    </row>
    <row r="30" spans="1:11" ht="15.75">
      <c r="A30" s="99" t="str">
        <v>Hudson County Correction</v>
      </c>
      <c r="B30" s="100" t="str">
        <v>NJ</v>
      </c>
      <c r="C30" s="101" t="str" cm="1">
        <f t="array" aca="1" ref="C30:K30" ca="1">IF(INDIRECT("'" &amp; $A30 &amp; "'!B11:J11")="", "", INDIRECT("'" &amp; $A30 &amp; "'!B11:J11"))</f>
        <v/>
      </c>
      <c r="D30" s="101" t="str">
        <f ca="1"/>
        <v/>
      </c>
      <c r="E30" s="101">
        <f ca="1"/>
        <v>0</v>
      </c>
      <c r="F30" s="102">
        <f ca="1"/>
        <v>0</v>
      </c>
      <c r="G30" s="103" t="str">
        <f ca="1"/>
        <v/>
      </c>
      <c r="H30" s="103">
        <f ca="1"/>
        <v>0</v>
      </c>
      <c r="I30" s="104">
        <f ca="1"/>
        <v>0</v>
      </c>
      <c r="J30" s="18" t="str">
        <f ca="1"/>
        <v/>
      </c>
      <c r="K30" s="18" t="str">
        <f ca="1"/>
        <v/>
      </c>
    </row>
    <row r="31" spans="1:11" ht="15.75">
      <c r="A31" s="105" t="str">
        <v>ER Bison Solar</v>
      </c>
      <c r="B31" s="106" t="str">
        <v>PA</v>
      </c>
      <c r="C31" s="101" t="str" cm="1">
        <f t="array" aca="1" ref="C31:K31" ca="1">IF(INDIRECT("'" &amp; $A31 &amp; "'!B11:J11")="", "", INDIRECT("'" &amp; $A31 &amp; "'!B11:J11"))</f>
        <v/>
      </c>
      <c r="D31" s="101" t="str">
        <f ca="1"/>
        <v/>
      </c>
      <c r="E31" s="101">
        <f ca="1"/>
        <v>0</v>
      </c>
      <c r="F31" s="102">
        <f ca="1"/>
        <v>0</v>
      </c>
      <c r="G31" s="103" t="str">
        <f ca="1"/>
        <v/>
      </c>
      <c r="H31" s="103">
        <f ca="1"/>
        <v>0</v>
      </c>
      <c r="I31" s="104">
        <f ca="1"/>
        <v>0</v>
      </c>
      <c r="J31" s="18" t="str">
        <f ca="1"/>
        <v/>
      </c>
      <c r="K31" s="18" t="str">
        <f ca="1"/>
        <v/>
      </c>
    </row>
    <row r="32" spans="1:11" ht="15.75">
      <c r="A32" s="111" t="str">
        <v>Danville</v>
      </c>
      <c r="B32" s="112" t="str">
        <v>IL</v>
      </c>
      <c r="C32" s="101" t="str" cm="1">
        <f t="array" aca="1" ref="C32:K32" ca="1">IF(INDIRECT("'" &amp; $A32 &amp; "'!B11:J11")="", "", INDIRECT("'" &amp; $A32 &amp; "'!B11:J11"))</f>
        <v/>
      </c>
      <c r="D32" s="101" t="str">
        <f ca="1"/>
        <v/>
      </c>
      <c r="E32" s="101">
        <f ca="1"/>
        <v>0</v>
      </c>
      <c r="F32" s="102">
        <f ca="1"/>
        <v>0</v>
      </c>
      <c r="G32" s="103">
        <f ca="1"/>
        <v>0</v>
      </c>
      <c r="H32" s="103">
        <f ca="1"/>
        <v>0</v>
      </c>
      <c r="I32" s="104">
        <f ca="1"/>
        <v>0</v>
      </c>
      <c r="J32" s="18" t="str">
        <f ca="1"/>
        <v/>
      </c>
      <c r="K32" s="18" t="str">
        <f ca="1"/>
        <v xml:space="preserve"> </v>
      </c>
    </row>
    <row r="33" spans="1:10" ht="24.75" customHeight="1">
      <c r="A33" s="133" t="s">
        <v>11</v>
      </c>
      <c r="B33" s="134"/>
      <c r="C33" s="50">
        <f ca="1">SUM(C3:C31)</f>
        <v>0</v>
      </c>
      <c r="D33" s="50">
        <f ca="1">SUM(D3:D31)</f>
        <v>0</v>
      </c>
      <c r="E33" s="50">
        <f ca="1">C33-D33</f>
        <v>0</v>
      </c>
      <c r="F33" s="41">
        <f ca="1">IFERROR(E33/D33, 0)</f>
        <v>0</v>
      </c>
      <c r="G33" s="50">
        <f ca="1">SUM(G3:G31)</f>
        <v>0</v>
      </c>
      <c r="H33" s="51">
        <f ca="1">C33-G33</f>
        <v>0</v>
      </c>
      <c r="I33" s="42">
        <f ca="1">IFERROR(H33/G33, 0)</f>
        <v>0</v>
      </c>
      <c r="J33" s="8"/>
    </row>
    <row r="34" spans="1:10">
      <c r="J34" s="8"/>
    </row>
    <row r="35" spans="1:10" ht="12.75" customHeight="1">
      <c r="A35" s="135" t="s">
        <v>12</v>
      </c>
      <c r="J35" s="8"/>
    </row>
    <row r="36" spans="1:10">
      <c r="A36" s="135"/>
      <c r="J36" s="8"/>
    </row>
    <row r="37" spans="1:10">
      <c r="A37" s="136" t="s">
        <v>13</v>
      </c>
      <c r="J37" s="8"/>
    </row>
    <row r="38" spans="1:10" ht="12.75" customHeight="1">
      <c r="A38" s="136"/>
      <c r="J38" s="8"/>
    </row>
    <row r="39" spans="1:10">
      <c r="J39" s="8"/>
    </row>
  </sheetData>
  <autoFilter ref="A2:I2" xr:uid="{957CD936-B73F-469A-B0B5-B8EA155C9C51}"/>
  <sortState xmlns:xlrd2="http://schemas.microsoft.com/office/spreadsheetml/2017/richdata2" ref="A3:K31">
    <sortCondition ref="A3:A31"/>
  </sortState>
  <mergeCells count="8">
    <mergeCell ref="G1:I1"/>
    <mergeCell ref="J1:J2"/>
    <mergeCell ref="K1:K2"/>
    <mergeCell ref="A35:A36"/>
    <mergeCell ref="A37:A38"/>
    <mergeCell ref="A33:B33"/>
    <mergeCell ref="C1:F1"/>
    <mergeCell ref="A1:B1"/>
  </mergeCells>
  <conditionalFormatting sqref="F3:F33 I3:I33">
    <cfRule type="cellIs" dxfId="513" priority="1" operator="lessThanOrEqual">
      <formula>-0.1</formula>
    </cfRule>
    <cfRule type="cellIs" dxfId="512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9"/>
  <sheetViews>
    <sheetView zoomScaleNormal="100" workbookViewId="0">
      <pane ySplit="2" topLeftCell="A16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37" t="str" cm="1">
        <f t="array" ref="A1">portfolio</f>
        <v>Greenbacker</v>
      </c>
      <c r="B1" s="138"/>
      <c r="C1" s="139" t="s">
        <v>36</v>
      </c>
      <c r="D1" s="140"/>
      <c r="E1" s="140"/>
      <c r="F1" s="141"/>
      <c r="G1" s="142" t="s">
        <v>37</v>
      </c>
      <c r="H1" s="142"/>
      <c r="I1" s="143"/>
      <c r="J1" s="131" t="s">
        <v>2</v>
      </c>
      <c r="K1" s="131" t="s">
        <v>3</v>
      </c>
    </row>
    <row r="2" spans="1:11" ht="14.25" customHeight="1">
      <c r="A2" s="45" t="s">
        <v>4</v>
      </c>
      <c r="B2" s="46" t="s">
        <v>5</v>
      </c>
      <c r="C2" s="5" t="s">
        <v>6</v>
      </c>
      <c r="D2" s="43" t="s">
        <v>7</v>
      </c>
      <c r="E2" s="5" t="s">
        <v>8</v>
      </c>
      <c r="F2" s="6" t="s">
        <v>9</v>
      </c>
      <c r="G2" s="44" t="s">
        <v>10</v>
      </c>
      <c r="H2" s="7" t="s">
        <v>8</v>
      </c>
      <c r="I2" s="9" t="s">
        <v>9</v>
      </c>
      <c r="J2" s="132"/>
      <c r="K2" s="132"/>
    </row>
    <row r="3" spans="1:11" ht="15.75">
      <c r="A3" s="107" t="str" cm="1">
        <f t="array" ref="A3:A32">Sites[Site]</f>
        <v>10 Walpole Park South</v>
      </c>
      <c r="B3" s="108" t="str" cm="1">
        <f t="array" ref="B3:B32">Sites[State]</f>
        <v>MA</v>
      </c>
      <c r="C3" s="101" t="str" cm="1">
        <f t="array" aca="1" ref="C3:K3" ca="1">IF(INDIRECT("'" &amp; $A3 &amp; "'!B12:J12")="", "", INDIRECT("'" &amp; $A3 &amp; "'!B12:J12"))</f>
        <v/>
      </c>
      <c r="D3" s="101" t="str">
        <f ca="1"/>
        <v/>
      </c>
      <c r="E3" s="101">
        <f ca="1"/>
        <v>0</v>
      </c>
      <c r="F3" s="109">
        <f ca="1"/>
        <v>0</v>
      </c>
      <c r="G3" s="103" t="str">
        <f ca="1"/>
        <v/>
      </c>
      <c r="H3" s="103">
        <f ca="1"/>
        <v>0</v>
      </c>
      <c r="I3" s="110">
        <f ca="1"/>
        <v>0</v>
      </c>
      <c r="J3" s="18" t="str">
        <f ca="1"/>
        <v/>
      </c>
      <c r="K3" s="18" t="str">
        <f ca="1"/>
        <v/>
      </c>
    </row>
    <row r="4" spans="1:11" ht="15.75">
      <c r="A4" s="99" t="str">
        <v>15 Walpole Park South</v>
      </c>
      <c r="B4" s="100" t="str">
        <v>MA</v>
      </c>
      <c r="C4" s="101" t="str" cm="1">
        <f t="array" aca="1" ref="C4:K4" ca="1">IF(INDIRECT("'" &amp; $A4 &amp; "'!B12:J12")="", "", INDIRECT("'" &amp; $A4 &amp; "'!B12:J12"))</f>
        <v/>
      </c>
      <c r="D4" s="101" t="str">
        <f ca="1"/>
        <v/>
      </c>
      <c r="E4" s="101">
        <f ca="1"/>
        <v>0</v>
      </c>
      <c r="F4" s="102">
        <f ca="1"/>
        <v>0</v>
      </c>
      <c r="G4" s="103" t="str">
        <f ca="1"/>
        <v/>
      </c>
      <c r="H4" s="103">
        <f ca="1"/>
        <v>0</v>
      </c>
      <c r="I4" s="104">
        <f ca="1"/>
        <v>0</v>
      </c>
      <c r="J4" s="18" t="str">
        <f ca="1"/>
        <v/>
      </c>
      <c r="K4" s="18" t="str">
        <f ca="1"/>
        <v/>
      </c>
    </row>
    <row r="5" spans="1:11" ht="15.75">
      <c r="A5" s="105" t="str">
        <v>19 Walpole Park South</v>
      </c>
      <c r="B5" s="106" t="str">
        <v>MA</v>
      </c>
      <c r="C5" s="101" t="str" cm="1">
        <f t="array" aca="1" ref="C5:K5" ca="1">IF(INDIRECT("'" &amp; $A5 &amp; "'!B12:J12")="", "", INDIRECT("'" &amp; $A5 &amp; "'!B12:J12"))</f>
        <v/>
      </c>
      <c r="D5" s="101" t="str">
        <f ca="1"/>
        <v/>
      </c>
      <c r="E5" s="101">
        <f ca="1"/>
        <v>0</v>
      </c>
      <c r="F5" s="102">
        <f ca="1"/>
        <v>0</v>
      </c>
      <c r="G5" s="103" t="str">
        <f ca="1"/>
        <v/>
      </c>
      <c r="H5" s="103">
        <f ca="1"/>
        <v>0</v>
      </c>
      <c r="I5" s="104">
        <f ca="1"/>
        <v>0</v>
      </c>
      <c r="J5" s="18" t="str">
        <f ca="1"/>
        <v/>
      </c>
      <c r="K5" s="18" t="str">
        <f ca="1"/>
        <v/>
      </c>
    </row>
    <row r="6" spans="1:11" ht="15.75">
      <c r="A6" s="99" t="str">
        <v>23 Walpole Park South</v>
      </c>
      <c r="B6" s="100" t="str">
        <v>MA</v>
      </c>
      <c r="C6" s="101" t="str" cm="1">
        <f t="array" aca="1" ref="C6:K6" ca="1">IF(INDIRECT("'" &amp; $A6 &amp; "'!B12:J12")="", "", INDIRECT("'" &amp; $A6 &amp; "'!B12:J12"))</f>
        <v/>
      </c>
      <c r="D6" s="101" t="str">
        <f ca="1"/>
        <v/>
      </c>
      <c r="E6" s="101">
        <f ca="1"/>
        <v>0</v>
      </c>
      <c r="F6" s="102">
        <f ca="1"/>
        <v>0</v>
      </c>
      <c r="G6" s="103" t="str">
        <f ca="1"/>
        <v/>
      </c>
      <c r="H6" s="103">
        <f ca="1"/>
        <v>0</v>
      </c>
      <c r="I6" s="104">
        <f ca="1"/>
        <v>0</v>
      </c>
      <c r="J6" s="18" t="str">
        <f ca="1"/>
        <v/>
      </c>
      <c r="K6" s="18" t="str">
        <f ca="1"/>
        <v/>
      </c>
    </row>
    <row r="7" spans="1:11" ht="15.75">
      <c r="A7" s="105" t="str">
        <v>24 Walpole Park South</v>
      </c>
      <c r="B7" s="106" t="str">
        <v>MA</v>
      </c>
      <c r="C7" s="101" t="str" cm="1">
        <f t="array" aca="1" ref="C7:K7" ca="1">IF(INDIRECT("'" &amp; $A7 &amp; "'!B12:J12")="", "", INDIRECT("'" &amp; $A7 &amp; "'!B12:J12"))</f>
        <v/>
      </c>
      <c r="D7" s="101" t="str">
        <f ca="1"/>
        <v/>
      </c>
      <c r="E7" s="101">
        <f ca="1"/>
        <v>0</v>
      </c>
      <c r="F7" s="102">
        <f ca="1"/>
        <v>0</v>
      </c>
      <c r="G7" s="103" t="str">
        <f ca="1"/>
        <v/>
      </c>
      <c r="H7" s="103">
        <f ca="1"/>
        <v>0</v>
      </c>
      <c r="I7" s="104">
        <f ca="1"/>
        <v>0</v>
      </c>
      <c r="J7" s="18" t="str">
        <f ca="1"/>
        <v/>
      </c>
      <c r="K7" s="18" t="str">
        <f ca="1"/>
        <v/>
      </c>
    </row>
    <row r="8" spans="1:11" ht="15.75">
      <c r="A8" s="99" t="str">
        <v>25 Walpole Park South</v>
      </c>
      <c r="B8" s="100" t="str">
        <v>MA</v>
      </c>
      <c r="C8" s="101" t="str" cm="1">
        <f t="array" aca="1" ref="C8:K8" ca="1">IF(INDIRECT("'" &amp; $A8 &amp; "'!B12:J12")="", "", INDIRECT("'" &amp; $A8 &amp; "'!B12:J12"))</f>
        <v/>
      </c>
      <c r="D8" s="101" t="str">
        <f ca="1"/>
        <v/>
      </c>
      <c r="E8" s="101">
        <f ca="1"/>
        <v>0</v>
      </c>
      <c r="F8" s="102">
        <f ca="1"/>
        <v>0</v>
      </c>
      <c r="G8" s="103" t="str">
        <f ca="1"/>
        <v/>
      </c>
      <c r="H8" s="103">
        <f ca="1"/>
        <v>0</v>
      </c>
      <c r="I8" s="104">
        <f ca="1"/>
        <v>0</v>
      </c>
      <c r="J8" s="18" t="str">
        <f ca="1"/>
        <v/>
      </c>
      <c r="K8" s="18" t="str">
        <f ca="1"/>
        <v/>
      </c>
    </row>
    <row r="9" spans="1:11" ht="15.75">
      <c r="A9" s="105" t="str">
        <v>3 Walpole Park South</v>
      </c>
      <c r="B9" s="106" t="str">
        <v>MA</v>
      </c>
      <c r="C9" s="101" t="str" cm="1">
        <f t="array" aca="1" ref="C9:K9" ca="1">IF(INDIRECT("'" &amp; $A9 &amp; "'!B12:J12")="", "", INDIRECT("'" &amp; $A9 &amp; "'!B12:J12"))</f>
        <v/>
      </c>
      <c r="D9" s="101" t="str">
        <f ca="1"/>
        <v/>
      </c>
      <c r="E9" s="101">
        <f ca="1"/>
        <v>0</v>
      </c>
      <c r="F9" s="102">
        <f ca="1"/>
        <v>0</v>
      </c>
      <c r="G9" s="103" t="str">
        <f ca="1"/>
        <v/>
      </c>
      <c r="H9" s="103">
        <f ca="1"/>
        <v>0</v>
      </c>
      <c r="I9" s="104">
        <f ca="1"/>
        <v>0</v>
      </c>
      <c r="J9" s="18" t="str">
        <f ca="1"/>
        <v/>
      </c>
      <c r="K9" s="18" t="str">
        <f ca="1"/>
        <v/>
      </c>
    </row>
    <row r="10" spans="1:11" ht="15.75">
      <c r="A10" s="99" t="str">
        <v>4 Walpole Park South</v>
      </c>
      <c r="B10" s="100" t="str">
        <v>MA</v>
      </c>
      <c r="C10" s="101" t="str" cm="1">
        <f t="array" aca="1" ref="C10:K10" ca="1">IF(INDIRECT("'" &amp; $A10 &amp; "'!B12:J12")="", "", INDIRECT("'" &amp; $A10 &amp; "'!B12:J12"))</f>
        <v/>
      </c>
      <c r="D10" s="101" t="str">
        <f ca="1"/>
        <v/>
      </c>
      <c r="E10" s="101">
        <f ca="1"/>
        <v>0</v>
      </c>
      <c r="F10" s="102">
        <f ca="1"/>
        <v>0</v>
      </c>
      <c r="G10" s="103" t="str">
        <f ca="1"/>
        <v/>
      </c>
      <c r="H10" s="103">
        <f ca="1"/>
        <v>0</v>
      </c>
      <c r="I10" s="104">
        <f ca="1"/>
        <v>0</v>
      </c>
      <c r="J10" s="18" t="str">
        <f ca="1"/>
        <v/>
      </c>
      <c r="K10" s="18" t="str">
        <f ca="1"/>
        <v/>
      </c>
    </row>
    <row r="11" spans="1:11" ht="15.75">
      <c r="A11" s="105" t="str">
        <v>Brockton</v>
      </c>
      <c r="B11" s="106" t="str">
        <v>MA</v>
      </c>
      <c r="C11" s="101" t="str" cm="1">
        <f t="array" aca="1" ref="C11:K11" ca="1">IF(INDIRECT("'" &amp; $A11 &amp; "'!B12:J12")="", "", INDIRECT("'" &amp; $A11 &amp; "'!B12:J12"))</f>
        <v/>
      </c>
      <c r="D11" s="101" t="str">
        <f ca="1"/>
        <v/>
      </c>
      <c r="E11" s="101">
        <f ca="1"/>
        <v>0</v>
      </c>
      <c r="F11" s="102">
        <f ca="1"/>
        <v>0</v>
      </c>
      <c r="G11" s="103" t="str">
        <f ca="1"/>
        <v/>
      </c>
      <c r="H11" s="103">
        <f ca="1"/>
        <v>0</v>
      </c>
      <c r="I11" s="104">
        <f ca="1"/>
        <v>0</v>
      </c>
      <c r="J11" s="18" t="str">
        <f ca="1"/>
        <v/>
      </c>
      <c r="K11" s="18" t="str">
        <f ca="1"/>
        <v/>
      </c>
    </row>
    <row r="12" spans="1:11" ht="15.75">
      <c r="A12" s="99" t="str">
        <v>Canton</v>
      </c>
      <c r="B12" s="100" t="str">
        <v>MA</v>
      </c>
      <c r="C12" s="101" t="str" cm="1">
        <f t="array" aca="1" ref="C12:K12" ca="1">IF(INDIRECT("'" &amp; $A12 &amp; "'!B12:J12")="", "", INDIRECT("'" &amp; $A12 &amp; "'!B12:J12"))</f>
        <v/>
      </c>
      <c r="D12" s="101" t="str">
        <f ca="1"/>
        <v/>
      </c>
      <c r="E12" s="101">
        <f ca="1"/>
        <v>0</v>
      </c>
      <c r="F12" s="102">
        <f ca="1"/>
        <v>0</v>
      </c>
      <c r="G12" s="103" t="str">
        <f ca="1"/>
        <v/>
      </c>
      <c r="H12" s="103">
        <f ca="1"/>
        <v>0</v>
      </c>
      <c r="I12" s="104">
        <f ca="1"/>
        <v>0</v>
      </c>
      <c r="J12" s="18" t="str">
        <f ca="1"/>
        <v/>
      </c>
      <c r="K12" s="18" t="str">
        <f ca="1"/>
        <v/>
      </c>
    </row>
    <row r="13" spans="1:11" ht="15.75">
      <c r="A13" s="105" t="str">
        <v>Chelsea</v>
      </c>
      <c r="B13" s="106" t="str">
        <v>MA</v>
      </c>
      <c r="C13" s="101" t="str" cm="1">
        <f t="array" aca="1" ref="C13:K13" ca="1">IF(INDIRECT("'" &amp; $A13 &amp; "'!B12:J12")="", "", INDIRECT("'" &amp; $A13 &amp; "'!B12:J12"))</f>
        <v/>
      </c>
      <c r="D13" s="101" t="str">
        <f ca="1"/>
        <v/>
      </c>
      <c r="E13" s="101">
        <f ca="1"/>
        <v>0</v>
      </c>
      <c r="F13" s="102">
        <f ca="1"/>
        <v>0</v>
      </c>
      <c r="G13" s="103" t="str">
        <f ca="1"/>
        <v/>
      </c>
      <c r="H13" s="103">
        <f ca="1"/>
        <v>0</v>
      </c>
      <c r="I13" s="104">
        <f ca="1"/>
        <v>0</v>
      </c>
      <c r="J13" s="18" t="str">
        <f ca="1"/>
        <v/>
      </c>
      <c r="K13" s="18" t="str">
        <f ca="1"/>
        <v/>
      </c>
    </row>
    <row r="14" spans="1:11" ht="15.75">
      <c r="A14" s="99" t="str">
        <v>Hamilton Landfill</v>
      </c>
      <c r="B14" s="100" t="str">
        <v>MA</v>
      </c>
      <c r="C14" s="101" t="str" cm="1">
        <f t="array" aca="1" ref="C14:K14" ca="1">IF(INDIRECT("'" &amp; $A14 &amp; "'!B12:J12")="", "", INDIRECT("'" &amp; $A14 &amp; "'!B12:J12"))</f>
        <v/>
      </c>
      <c r="D14" s="101" t="str">
        <f ca="1"/>
        <v/>
      </c>
      <c r="E14" s="101">
        <f ca="1"/>
        <v>0</v>
      </c>
      <c r="F14" s="102">
        <f ca="1"/>
        <v>0</v>
      </c>
      <c r="G14" s="103" t="str">
        <f ca="1"/>
        <v/>
      </c>
      <c r="H14" s="103">
        <f ca="1"/>
        <v>0</v>
      </c>
      <c r="I14" s="104">
        <f ca="1"/>
        <v>0</v>
      </c>
      <c r="J14" s="18" t="str">
        <f ca="1"/>
        <v/>
      </c>
      <c r="K14" s="18" t="str">
        <f ca="1"/>
        <v/>
      </c>
    </row>
    <row r="15" spans="1:11" ht="15.75">
      <c r="A15" s="105" t="str">
        <v>Holliston</v>
      </c>
      <c r="B15" s="106" t="str">
        <v>MA</v>
      </c>
      <c r="C15" s="101" t="str" cm="1">
        <f t="array" aca="1" ref="C15:K15" ca="1">IF(INDIRECT("'" &amp; $A15 &amp; "'!B12:J12")="", "", INDIRECT("'" &amp; $A15 &amp; "'!B12:J12"))</f>
        <v/>
      </c>
      <c r="D15" s="101" t="str">
        <f ca="1"/>
        <v/>
      </c>
      <c r="E15" s="101">
        <f ca="1"/>
        <v>0</v>
      </c>
      <c r="F15" s="102">
        <f ca="1"/>
        <v>0</v>
      </c>
      <c r="G15" s="103" t="str">
        <f ca="1"/>
        <v/>
      </c>
      <c r="H15" s="103">
        <f ca="1"/>
        <v>0</v>
      </c>
      <c r="I15" s="104">
        <f ca="1"/>
        <v>0</v>
      </c>
      <c r="J15" s="18" t="str">
        <f ca="1"/>
        <v/>
      </c>
      <c r="K15" s="18" t="str">
        <f ca="1"/>
        <v/>
      </c>
    </row>
    <row r="16" spans="1:11" ht="15.75">
      <c r="A16" s="99" t="str">
        <v>Natick HS - Carports</v>
      </c>
      <c r="B16" s="100" t="str">
        <v>MA</v>
      </c>
      <c r="C16" s="101" t="str" cm="1">
        <f t="array" aca="1" ref="C16:K16" ca="1">IF(INDIRECT("'" &amp; $A16 &amp; "'!B12:J12")="", "", INDIRECT("'" &amp; $A16 &amp; "'!B12:J12"))</f>
        <v/>
      </c>
      <c r="D16" s="101" t="str">
        <f ca="1"/>
        <v/>
      </c>
      <c r="E16" s="101">
        <f ca="1"/>
        <v>0</v>
      </c>
      <c r="F16" s="102">
        <f ca="1"/>
        <v>0</v>
      </c>
      <c r="G16" s="103" t="str">
        <f ca="1"/>
        <v/>
      </c>
      <c r="H16" s="103">
        <f ca="1"/>
        <v>0</v>
      </c>
      <c r="I16" s="104">
        <f ca="1"/>
        <v>0</v>
      </c>
      <c r="J16" s="18" t="str">
        <f ca="1"/>
        <v/>
      </c>
      <c r="K16" s="18" t="str">
        <f ca="1"/>
        <v/>
      </c>
    </row>
    <row r="17" spans="1:11" ht="15.75">
      <c r="A17" s="105" t="str">
        <v>Norton</v>
      </c>
      <c r="B17" s="106" t="str">
        <v>MA</v>
      </c>
      <c r="C17" s="101" t="str" cm="1">
        <f t="array" aca="1" ref="C17:K17" ca="1">IF(INDIRECT("'" &amp; $A17 &amp; "'!B12:J12")="", "", INDIRECT("'" &amp; $A17 &amp; "'!B12:J12"))</f>
        <v/>
      </c>
      <c r="D17" s="101" t="str">
        <f ca="1"/>
        <v/>
      </c>
      <c r="E17" s="101">
        <f ca="1"/>
        <v>0</v>
      </c>
      <c r="F17" s="102">
        <f ca="1"/>
        <v>0</v>
      </c>
      <c r="G17" s="103" t="str">
        <f ca="1"/>
        <v/>
      </c>
      <c r="H17" s="103">
        <f ca="1"/>
        <v>0</v>
      </c>
      <c r="I17" s="104">
        <f ca="1"/>
        <v>0</v>
      </c>
      <c r="J17" s="18" t="str">
        <f ca="1"/>
        <v/>
      </c>
      <c r="K17" s="18" t="str">
        <f ca="1"/>
        <v/>
      </c>
    </row>
    <row r="18" spans="1:11" ht="15.75">
      <c r="A18" s="99" t="str">
        <v>Palmer - Boston Rd.</v>
      </c>
      <c r="B18" s="100" t="str">
        <v>MA</v>
      </c>
      <c r="C18" s="101" t="str" cm="1">
        <f t="array" aca="1" ref="C18:K18" ca="1">IF(INDIRECT("'" &amp; $A18 &amp; "'!B12:J12")="", "", INDIRECT("'" &amp; $A18 &amp; "'!B12:J12"))</f>
        <v/>
      </c>
      <c r="D18" s="101" t="str">
        <f ca="1"/>
        <v/>
      </c>
      <c r="E18" s="101">
        <f ca="1"/>
        <v>0</v>
      </c>
      <c r="F18" s="102">
        <f ca="1"/>
        <v>0</v>
      </c>
      <c r="G18" s="103" t="str">
        <f ca="1"/>
        <v/>
      </c>
      <c r="H18" s="103">
        <f ca="1"/>
        <v>0</v>
      </c>
      <c r="I18" s="104">
        <f ca="1"/>
        <v>0</v>
      </c>
      <c r="J18" s="18" t="str">
        <f ca="1"/>
        <v/>
      </c>
      <c r="K18" s="18" t="str">
        <f ca="1"/>
        <v/>
      </c>
    </row>
    <row r="19" spans="1:11" ht="15.75">
      <c r="A19" s="105" t="str">
        <v>Shirley Bartkus</v>
      </c>
      <c r="B19" s="106" t="str">
        <v>MA</v>
      </c>
      <c r="C19" s="101" t="str" cm="1">
        <f t="array" aca="1" ref="C19:K19" ca="1">IF(INDIRECT("'" &amp; $A19 &amp; "'!B12:J12")="", "", INDIRECT("'" &amp; $A19 &amp; "'!B12:J12"))</f>
        <v/>
      </c>
      <c r="D19" s="101" t="str">
        <f ca="1"/>
        <v/>
      </c>
      <c r="E19" s="101">
        <f ca="1"/>
        <v>0</v>
      </c>
      <c r="F19" s="102">
        <f ca="1"/>
        <v>0</v>
      </c>
      <c r="G19" s="103" t="str">
        <f ca="1"/>
        <v/>
      </c>
      <c r="H19" s="103">
        <f ca="1"/>
        <v>0</v>
      </c>
      <c r="I19" s="104">
        <f ca="1"/>
        <v>0</v>
      </c>
      <c r="J19" s="18" t="str">
        <f ca="1"/>
        <v/>
      </c>
      <c r="K19" s="18" t="str">
        <f ca="1"/>
        <v/>
      </c>
    </row>
    <row r="20" spans="1:11" ht="15.75">
      <c r="A20" s="99" t="str">
        <v>Stoughton</v>
      </c>
      <c r="B20" s="100" t="str">
        <v>MA</v>
      </c>
      <c r="C20" s="101" t="str" cm="1">
        <f t="array" aca="1" ref="C20:K20" ca="1">IF(INDIRECT("'" &amp; $A20 &amp; "'!B12:J12")="", "", INDIRECT("'" &amp; $A20 &amp; "'!B12:J12"))</f>
        <v/>
      </c>
      <c r="D20" s="101" t="str">
        <f ca="1"/>
        <v/>
      </c>
      <c r="E20" s="101">
        <f ca="1"/>
        <v>0</v>
      </c>
      <c r="F20" s="102">
        <f ca="1"/>
        <v>0</v>
      </c>
      <c r="G20" s="103" t="str">
        <f ca="1"/>
        <v/>
      </c>
      <c r="H20" s="103">
        <f ca="1"/>
        <v>0</v>
      </c>
      <c r="I20" s="104">
        <f ca="1"/>
        <v>0</v>
      </c>
      <c r="J20" s="18" t="str">
        <f ca="1"/>
        <v/>
      </c>
      <c r="K20" s="18" t="str">
        <f ca="1"/>
        <v/>
      </c>
    </row>
    <row r="21" spans="1:11" ht="15.75">
      <c r="A21" s="105" t="str">
        <v>Wellfleet Landfill</v>
      </c>
      <c r="B21" s="106" t="str">
        <v>MA</v>
      </c>
      <c r="C21" s="101" t="str" cm="1">
        <f t="array" aca="1" ref="C21:K21" ca="1">IF(INDIRECT("'" &amp; $A21 &amp; "'!B12:J12")="", "", INDIRECT("'" &amp; $A21 &amp; "'!B12:J12"))</f>
        <v/>
      </c>
      <c r="D21" s="101" t="str">
        <f ca="1"/>
        <v/>
      </c>
      <c r="E21" s="101">
        <f ca="1"/>
        <v>0</v>
      </c>
      <c r="F21" s="102">
        <f ca="1"/>
        <v>0</v>
      </c>
      <c r="G21" s="103" t="str">
        <f ca="1"/>
        <v/>
      </c>
      <c r="H21" s="103">
        <f ca="1"/>
        <v>0</v>
      </c>
      <c r="I21" s="104">
        <f ca="1"/>
        <v>0</v>
      </c>
      <c r="J21" s="18" t="str">
        <f ca="1"/>
        <v/>
      </c>
      <c r="K21" s="18" t="str">
        <f ca="1"/>
        <v/>
      </c>
    </row>
    <row r="22" spans="1:11" ht="15.75">
      <c r="A22" s="99" t="str">
        <v>Wilmington Garage &amp; Building 7</v>
      </c>
      <c r="B22" s="100" t="str">
        <v>MA</v>
      </c>
      <c r="C22" s="101" t="str" cm="1">
        <f t="array" aca="1" ref="C22:K22" ca="1">IF(INDIRECT("'" &amp; $A22 &amp; "'!B12:J12")="", "", INDIRECT("'" &amp; $A22 &amp; "'!B12:J12"))</f>
        <v/>
      </c>
      <c r="D22" s="101" t="str">
        <f ca="1"/>
        <v/>
      </c>
      <c r="E22" s="101">
        <f ca="1"/>
        <v>0</v>
      </c>
      <c r="F22" s="102">
        <f ca="1"/>
        <v>0</v>
      </c>
      <c r="G22" s="103" t="str">
        <f ca="1"/>
        <v/>
      </c>
      <c r="H22" s="103">
        <f ca="1"/>
        <v>0</v>
      </c>
      <c r="I22" s="104">
        <f ca="1"/>
        <v>0</v>
      </c>
      <c r="J22" s="18" t="str">
        <f ca="1"/>
        <v/>
      </c>
      <c r="K22" s="18" t="str">
        <f ca="1"/>
        <v/>
      </c>
    </row>
    <row r="23" spans="1:11" ht="15.75">
      <c r="A23" s="105" t="str">
        <v>Woburn</v>
      </c>
      <c r="B23" s="106" t="str">
        <v>MA</v>
      </c>
      <c r="C23" s="101" t="str" cm="1">
        <f t="array" aca="1" ref="C23:K23" ca="1">IF(INDIRECT("'" &amp; $A23 &amp; "'!B12:J12")="", "", INDIRECT("'" &amp; $A23 &amp; "'!B12:J12"))</f>
        <v/>
      </c>
      <c r="D23" s="101" t="str">
        <f ca="1"/>
        <v/>
      </c>
      <c r="E23" s="101">
        <f ca="1"/>
        <v>0</v>
      </c>
      <c r="F23" s="102">
        <f ca="1"/>
        <v>0</v>
      </c>
      <c r="G23" s="103" t="str">
        <f ca="1"/>
        <v/>
      </c>
      <c r="H23" s="103">
        <f ca="1"/>
        <v>0</v>
      </c>
      <c r="I23" s="104">
        <f ca="1"/>
        <v>0</v>
      </c>
      <c r="J23" s="18" t="str">
        <f ca="1"/>
        <v/>
      </c>
      <c r="K23" s="18" t="str">
        <f ca="1"/>
        <v/>
      </c>
    </row>
    <row r="24" spans="1:11" ht="15.75">
      <c r="A24" s="99" t="str">
        <v>Friendship Solar 1</v>
      </c>
      <c r="B24" s="100" t="str">
        <v>MD</v>
      </c>
      <c r="C24" s="101" t="str" cm="1">
        <f t="array" aca="1" ref="C24:K24" ca="1">IF(INDIRECT("'" &amp; $A24 &amp; "'!B12:J12")="", "", INDIRECT("'" &amp; $A24 &amp; "'!B12:J12"))</f>
        <v/>
      </c>
      <c r="D24" s="101" t="str">
        <f ca="1"/>
        <v/>
      </c>
      <c r="E24" s="101">
        <f ca="1"/>
        <v>0</v>
      </c>
      <c r="F24" s="102">
        <f ca="1"/>
        <v>0</v>
      </c>
      <c r="G24" s="103" t="str">
        <f ca="1"/>
        <v/>
      </c>
      <c r="H24" s="103">
        <f ca="1"/>
        <v>0</v>
      </c>
      <c r="I24" s="104">
        <f ca="1"/>
        <v>0</v>
      </c>
      <c r="J24" s="18" t="str">
        <f ca="1"/>
        <v/>
      </c>
      <c r="K24" s="18" t="str">
        <f ca="1"/>
        <v/>
      </c>
    </row>
    <row r="25" spans="1:11" ht="15.75">
      <c r="A25" s="105" t="str">
        <v>Friendship Solar 2</v>
      </c>
      <c r="B25" s="106" t="str">
        <v>MD</v>
      </c>
      <c r="C25" s="101" t="str" cm="1">
        <f t="array" aca="1" ref="C25:K25" ca="1">IF(INDIRECT("'" &amp; $A25 &amp; "'!B12:J12")="", "", INDIRECT("'" &amp; $A25 &amp; "'!B12:J12"))</f>
        <v/>
      </c>
      <c r="D25" s="101" t="str">
        <f ca="1"/>
        <v/>
      </c>
      <c r="E25" s="101">
        <f ca="1"/>
        <v>0</v>
      </c>
      <c r="F25" s="102">
        <f ca="1"/>
        <v>0</v>
      </c>
      <c r="G25" s="103" t="str">
        <f ca="1"/>
        <v/>
      </c>
      <c r="H25" s="103">
        <f ca="1"/>
        <v>0</v>
      </c>
      <c r="I25" s="104">
        <f ca="1"/>
        <v>0</v>
      </c>
      <c r="J25" s="18" t="str">
        <f ca="1"/>
        <v/>
      </c>
      <c r="K25" s="18" t="str">
        <f ca="1"/>
        <v/>
      </c>
    </row>
    <row r="26" spans="1:11" ht="15.75">
      <c r="A26" s="99" t="str">
        <v>101 Carnegie Center</v>
      </c>
      <c r="B26" s="100" t="str">
        <v>NJ</v>
      </c>
      <c r="C26" s="101" t="str" cm="1">
        <f t="array" aca="1" ref="C26:K26" ca="1">IF(INDIRECT("'" &amp; $A26 &amp; "'!B12:J12")="", "", INDIRECT("'" &amp; $A26 &amp; "'!B12:J12"))</f>
        <v/>
      </c>
      <c r="D26" s="101" t="str">
        <f ca="1"/>
        <v/>
      </c>
      <c r="E26" s="101">
        <f ca="1"/>
        <v>0</v>
      </c>
      <c r="F26" s="102">
        <f ca="1"/>
        <v>0</v>
      </c>
      <c r="G26" s="103" t="str">
        <f ca="1"/>
        <v/>
      </c>
      <c r="H26" s="103">
        <f ca="1"/>
        <v>0</v>
      </c>
      <c r="I26" s="104">
        <f ca="1"/>
        <v>0</v>
      </c>
      <c r="J26" s="18" t="str">
        <f ca="1"/>
        <v/>
      </c>
      <c r="K26" s="18" t="str">
        <f ca="1"/>
        <v/>
      </c>
    </row>
    <row r="27" spans="1:11" ht="15.75">
      <c r="A27" s="105" t="str">
        <v>302 Carnegie Center</v>
      </c>
      <c r="B27" s="106" t="str">
        <v>NJ</v>
      </c>
      <c r="C27" s="101" t="str" cm="1">
        <f t="array" aca="1" ref="C27:K27" ca="1">IF(INDIRECT("'" &amp; $A27 &amp; "'!B12:J12")="", "", INDIRECT("'" &amp; $A27 &amp; "'!B12:J12"))</f>
        <v/>
      </c>
      <c r="D27" s="101" t="str">
        <f ca="1"/>
        <v/>
      </c>
      <c r="E27" s="101">
        <f ca="1"/>
        <v>0</v>
      </c>
      <c r="F27" s="102">
        <f ca="1"/>
        <v>0</v>
      </c>
      <c r="G27" s="103" t="str">
        <f ca="1"/>
        <v/>
      </c>
      <c r="H27" s="103">
        <f ca="1"/>
        <v>0</v>
      </c>
      <c r="I27" s="104">
        <f ca="1"/>
        <v>0</v>
      </c>
      <c r="J27" s="18" t="str">
        <f ca="1"/>
        <v/>
      </c>
      <c r="K27" s="18" t="str">
        <f ca="1"/>
        <v/>
      </c>
    </row>
    <row r="28" spans="1:11" ht="15.75">
      <c r="A28" s="99" t="str">
        <v>510 Carnegie Center</v>
      </c>
      <c r="B28" s="100" t="str">
        <v>NJ</v>
      </c>
      <c r="C28" s="101" t="str" cm="1">
        <f t="array" aca="1" ref="C28:K28" ca="1">IF(INDIRECT("'" &amp; $A28 &amp; "'!B12:J12")="", "", INDIRECT("'" &amp; $A28 &amp; "'!B12:J12"))</f>
        <v/>
      </c>
      <c r="D28" s="101" t="str">
        <f ca="1"/>
        <v/>
      </c>
      <c r="E28" s="101">
        <f ca="1"/>
        <v>0</v>
      </c>
      <c r="F28" s="102">
        <f ca="1"/>
        <v>0</v>
      </c>
      <c r="G28" s="103" t="str">
        <f ca="1"/>
        <v/>
      </c>
      <c r="H28" s="103">
        <f ca="1"/>
        <v>0</v>
      </c>
      <c r="I28" s="104">
        <f ca="1"/>
        <v>0</v>
      </c>
      <c r="J28" s="18" t="str">
        <f ca="1"/>
        <v/>
      </c>
      <c r="K28" s="18" t="str">
        <f ca="1"/>
        <v/>
      </c>
    </row>
    <row r="29" spans="1:11" ht="15.75">
      <c r="A29" s="105" t="str">
        <v>701 Carnegie Center</v>
      </c>
      <c r="B29" s="106" t="str">
        <v>NJ</v>
      </c>
      <c r="C29" s="101" t="str" cm="1">
        <f t="array" aca="1" ref="C29:K29" ca="1">IF(INDIRECT("'" &amp; $A29 &amp; "'!B12:J12")="", "", INDIRECT("'" &amp; $A29 &amp; "'!B12:J12"))</f>
        <v/>
      </c>
      <c r="D29" s="101" t="str">
        <f ca="1"/>
        <v/>
      </c>
      <c r="E29" s="101">
        <f ca="1"/>
        <v>0</v>
      </c>
      <c r="F29" s="102">
        <f ca="1"/>
        <v>0</v>
      </c>
      <c r="G29" s="103" t="str">
        <f ca="1"/>
        <v/>
      </c>
      <c r="H29" s="103">
        <f ca="1"/>
        <v>0</v>
      </c>
      <c r="I29" s="104">
        <f ca="1"/>
        <v>0</v>
      </c>
      <c r="J29" s="18" t="str">
        <f ca="1"/>
        <v/>
      </c>
      <c r="K29" s="18" t="str">
        <f ca="1"/>
        <v/>
      </c>
    </row>
    <row r="30" spans="1:11" ht="15.75">
      <c r="A30" s="99" t="str">
        <v>Hudson County Correction</v>
      </c>
      <c r="B30" s="100" t="str">
        <v>NJ</v>
      </c>
      <c r="C30" s="101" t="str" cm="1">
        <f t="array" aca="1" ref="C30:K30" ca="1">IF(INDIRECT("'" &amp; $A30 &amp; "'!B12:J12")="", "", INDIRECT("'" &amp; $A30 &amp; "'!B12:J12"))</f>
        <v/>
      </c>
      <c r="D30" s="101" t="str">
        <f ca="1"/>
        <v/>
      </c>
      <c r="E30" s="101">
        <f ca="1"/>
        <v>0</v>
      </c>
      <c r="F30" s="102">
        <f ca="1"/>
        <v>0</v>
      </c>
      <c r="G30" s="103" t="str">
        <f ca="1"/>
        <v/>
      </c>
      <c r="H30" s="103">
        <f ca="1"/>
        <v>0</v>
      </c>
      <c r="I30" s="104">
        <f ca="1"/>
        <v>0</v>
      </c>
      <c r="J30" s="18" t="str">
        <f ca="1"/>
        <v/>
      </c>
      <c r="K30" s="18" t="str">
        <f ca="1"/>
        <v/>
      </c>
    </row>
    <row r="31" spans="1:11" ht="15.75">
      <c r="A31" s="105" t="str">
        <v>ER Bison Solar</v>
      </c>
      <c r="B31" s="106" t="str">
        <v>PA</v>
      </c>
      <c r="C31" s="101" t="str" cm="1">
        <f t="array" aca="1" ref="C31:K31" ca="1">IF(INDIRECT("'" &amp; $A31 &amp; "'!B12:J12")="", "", INDIRECT("'" &amp; $A31 &amp; "'!B12:J12"))</f>
        <v/>
      </c>
      <c r="D31" s="101" t="str">
        <f ca="1"/>
        <v/>
      </c>
      <c r="E31" s="101">
        <f ca="1"/>
        <v>0</v>
      </c>
      <c r="F31" s="102">
        <f ca="1"/>
        <v>0</v>
      </c>
      <c r="G31" s="103" t="str">
        <f ca="1"/>
        <v/>
      </c>
      <c r="H31" s="103">
        <f ca="1"/>
        <v>0</v>
      </c>
      <c r="I31" s="104">
        <f ca="1"/>
        <v>0</v>
      </c>
      <c r="J31" s="18" t="str">
        <f ca="1"/>
        <v/>
      </c>
      <c r="K31" s="18" t="str">
        <f ca="1"/>
        <v/>
      </c>
    </row>
    <row r="32" spans="1:11" ht="15.75">
      <c r="A32" s="111" t="str">
        <v>Danville</v>
      </c>
      <c r="B32" s="112" t="str">
        <v>IL</v>
      </c>
      <c r="C32" s="101" t="str" cm="1">
        <f t="array" aca="1" ref="C32:K32" ca="1">IF(INDIRECT("'" &amp; $A32 &amp; "'!B12:J12")="", "", INDIRECT("'" &amp; $A32 &amp; "'!B12:J12"))</f>
        <v/>
      </c>
      <c r="D32" s="101" t="str">
        <f ca="1"/>
        <v/>
      </c>
      <c r="E32" s="101">
        <f ca="1"/>
        <v>0</v>
      </c>
      <c r="F32" s="102">
        <f ca="1"/>
        <v>0</v>
      </c>
      <c r="G32" s="103">
        <f ca="1"/>
        <v>0</v>
      </c>
      <c r="H32" s="103">
        <f ca="1"/>
        <v>0</v>
      </c>
      <c r="I32" s="104">
        <f ca="1"/>
        <v>0</v>
      </c>
      <c r="J32" s="18" t="str">
        <f ca="1"/>
        <v/>
      </c>
      <c r="K32" s="18" t="str">
        <f ca="1"/>
        <v/>
      </c>
    </row>
    <row r="33" spans="1:10" ht="24.75" customHeight="1">
      <c r="A33" s="133" t="s">
        <v>11</v>
      </c>
      <c r="B33" s="134"/>
      <c r="C33" s="50">
        <f ca="1">SUM(C3:C31)</f>
        <v>0</v>
      </c>
      <c r="D33" s="50">
        <f ca="1">SUM(D3:D31)</f>
        <v>0</v>
      </c>
      <c r="E33" s="50">
        <f ca="1">C33-D33</f>
        <v>0</v>
      </c>
      <c r="F33" s="41">
        <f ca="1">IFERROR(E33/D33, 0)</f>
        <v>0</v>
      </c>
      <c r="G33" s="50">
        <f ca="1">SUM(G3:G31)</f>
        <v>0</v>
      </c>
      <c r="H33" s="51">
        <f ca="1">C33-G33</f>
        <v>0</v>
      </c>
      <c r="I33" s="42">
        <f ca="1">IFERROR(H33/G33, 0)</f>
        <v>0</v>
      </c>
      <c r="J33" s="8"/>
    </row>
    <row r="34" spans="1:10">
      <c r="J34" s="8"/>
    </row>
    <row r="35" spans="1:10" ht="12.75" customHeight="1">
      <c r="A35" s="135" t="s">
        <v>12</v>
      </c>
      <c r="J35" s="8"/>
    </row>
    <row r="36" spans="1:10">
      <c r="A36" s="135"/>
      <c r="J36" s="8"/>
    </row>
    <row r="37" spans="1:10">
      <c r="A37" s="136" t="s">
        <v>13</v>
      </c>
      <c r="J37" s="8"/>
    </row>
    <row r="38" spans="1:10" ht="12.75" customHeight="1">
      <c r="A38" s="136"/>
      <c r="J38" s="8"/>
    </row>
    <row r="39" spans="1:10">
      <c r="J39" s="8"/>
    </row>
  </sheetData>
  <autoFilter ref="A2:I2" xr:uid="{48D80AE8-42BF-4DAC-863F-113F77A3E00F}"/>
  <mergeCells count="8">
    <mergeCell ref="G1:I1"/>
    <mergeCell ref="J1:J2"/>
    <mergeCell ref="K1:K2"/>
    <mergeCell ref="A35:A36"/>
    <mergeCell ref="A37:A38"/>
    <mergeCell ref="A33:B33"/>
    <mergeCell ref="C1:F1"/>
    <mergeCell ref="A1:B1"/>
  </mergeCells>
  <conditionalFormatting sqref="F3:F33 I3:I33">
    <cfRule type="cellIs" dxfId="511" priority="1" operator="lessThanOrEqual">
      <formula>-0.1</formula>
    </cfRule>
    <cfRule type="cellIs" dxfId="510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9"/>
  <sheetViews>
    <sheetView zoomScale="80" zoomScaleNormal="80" workbookViewId="0">
      <pane ySplit="2" topLeftCell="A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31.7109375" bestFit="1" customWidth="1"/>
  </cols>
  <sheetData>
    <row r="1" spans="1:11" ht="19.5" customHeight="1">
      <c r="A1" s="137" t="str" cm="1">
        <f t="array" ref="A1">portfolio</f>
        <v>Greenbacker</v>
      </c>
      <c r="B1" s="138"/>
      <c r="C1" s="139" t="s">
        <v>38</v>
      </c>
      <c r="D1" s="140"/>
      <c r="E1" s="140"/>
      <c r="F1" s="141"/>
      <c r="G1" s="142" t="s">
        <v>39</v>
      </c>
      <c r="H1" s="142"/>
      <c r="I1" s="143"/>
      <c r="J1" s="131" t="s">
        <v>2</v>
      </c>
      <c r="K1" s="131" t="s">
        <v>3</v>
      </c>
    </row>
    <row r="2" spans="1:11" ht="14.25" customHeight="1">
      <c r="A2" s="45" t="s">
        <v>4</v>
      </c>
      <c r="B2" s="46" t="s">
        <v>5</v>
      </c>
      <c r="C2" s="5" t="s">
        <v>6</v>
      </c>
      <c r="D2" s="43" t="s">
        <v>7</v>
      </c>
      <c r="E2" s="5" t="s">
        <v>8</v>
      </c>
      <c r="F2" s="6" t="s">
        <v>9</v>
      </c>
      <c r="G2" s="44" t="s">
        <v>10</v>
      </c>
      <c r="H2" s="7" t="s">
        <v>8</v>
      </c>
      <c r="I2" s="9" t="s">
        <v>9</v>
      </c>
      <c r="J2" s="132"/>
      <c r="K2" s="132"/>
    </row>
    <row r="3" spans="1:11" ht="15.75">
      <c r="A3" s="107" t="str" cm="1">
        <f t="array" ref="A3:A32">Sites[Site]</f>
        <v>10 Walpole Park South</v>
      </c>
      <c r="B3" s="108" t="str" cm="1">
        <f t="array" ref="B3:B32">Sites[State]</f>
        <v>MA</v>
      </c>
      <c r="C3" s="101" t="str" cm="1">
        <f t="array" aca="1" ref="C3:K3" ca="1">IF(INDIRECT("'" &amp; $A3 &amp; "'!B13:J13")="", "", INDIRECT("'" &amp; $A3 &amp; "'!B13:J13"))</f>
        <v/>
      </c>
      <c r="D3" s="101" t="str">
        <f ca="1"/>
        <v/>
      </c>
      <c r="E3" s="101">
        <f ca="1"/>
        <v>0</v>
      </c>
      <c r="F3" s="109">
        <f ca="1"/>
        <v>0</v>
      </c>
      <c r="G3" s="103" t="str">
        <f ca="1"/>
        <v/>
      </c>
      <c r="H3" s="103">
        <f ca="1"/>
        <v>0</v>
      </c>
      <c r="I3" s="110">
        <f ca="1"/>
        <v>0</v>
      </c>
      <c r="J3" s="18" t="str">
        <f ca="1"/>
        <v/>
      </c>
      <c r="K3" s="18" t="str">
        <f ca="1"/>
        <v/>
      </c>
    </row>
    <row r="4" spans="1:11" ht="15.75">
      <c r="A4" s="99" t="str">
        <v>15 Walpole Park South</v>
      </c>
      <c r="B4" s="100" t="str">
        <v>MA</v>
      </c>
      <c r="C4" s="101" t="str" cm="1">
        <f t="array" aca="1" ref="C4:K4" ca="1">IF(INDIRECT("'" &amp; $A4 &amp; "'!B13:J13")="", "", INDIRECT("'" &amp; $A4 &amp; "'!B13:J13"))</f>
        <v/>
      </c>
      <c r="D4" s="101" t="str">
        <f ca="1"/>
        <v/>
      </c>
      <c r="E4" s="101">
        <f ca="1"/>
        <v>0</v>
      </c>
      <c r="F4" s="102">
        <f ca="1"/>
        <v>0</v>
      </c>
      <c r="G4" s="103" t="str">
        <f ca="1"/>
        <v/>
      </c>
      <c r="H4" s="103">
        <f ca="1"/>
        <v>0</v>
      </c>
      <c r="I4" s="104">
        <f ca="1"/>
        <v>0</v>
      </c>
      <c r="J4" s="18" t="str">
        <f ca="1"/>
        <v/>
      </c>
      <c r="K4" s="18" t="str">
        <f ca="1"/>
        <v/>
      </c>
    </row>
    <row r="5" spans="1:11" ht="15.75">
      <c r="A5" s="105" t="str">
        <v>19 Walpole Park South</v>
      </c>
      <c r="B5" s="106" t="str">
        <v>MA</v>
      </c>
      <c r="C5" s="101" t="str" cm="1">
        <f t="array" aca="1" ref="C5:K5" ca="1">IF(INDIRECT("'" &amp; $A5 &amp; "'!B13:J13")="", "", INDIRECT("'" &amp; $A5 &amp; "'!B13:J13"))</f>
        <v/>
      </c>
      <c r="D5" s="101" t="str">
        <f ca="1"/>
        <v/>
      </c>
      <c r="E5" s="101">
        <f ca="1"/>
        <v>0</v>
      </c>
      <c r="F5" s="102">
        <f ca="1"/>
        <v>0</v>
      </c>
      <c r="G5" s="103" t="str">
        <f ca="1"/>
        <v/>
      </c>
      <c r="H5" s="103">
        <f ca="1"/>
        <v>0</v>
      </c>
      <c r="I5" s="104">
        <f ca="1"/>
        <v>0</v>
      </c>
      <c r="J5" s="18" t="str">
        <f ca="1"/>
        <v/>
      </c>
      <c r="K5" s="18" t="str">
        <f ca="1"/>
        <v/>
      </c>
    </row>
    <row r="6" spans="1:11" ht="15.75">
      <c r="A6" s="99" t="str">
        <v>23 Walpole Park South</v>
      </c>
      <c r="B6" s="100" t="str">
        <v>MA</v>
      </c>
      <c r="C6" s="101" t="str" cm="1">
        <f t="array" aca="1" ref="C6:K6" ca="1">IF(INDIRECT("'" &amp; $A6 &amp; "'!B13:J13")="", "", INDIRECT("'" &amp; $A6 &amp; "'!B13:J13"))</f>
        <v/>
      </c>
      <c r="D6" s="101" t="str">
        <f ca="1"/>
        <v/>
      </c>
      <c r="E6" s="101">
        <f ca="1"/>
        <v>0</v>
      </c>
      <c r="F6" s="102">
        <f ca="1"/>
        <v>0</v>
      </c>
      <c r="G6" s="103" t="str">
        <f ca="1"/>
        <v/>
      </c>
      <c r="H6" s="103">
        <f ca="1"/>
        <v>0</v>
      </c>
      <c r="I6" s="104">
        <f ca="1"/>
        <v>0</v>
      </c>
      <c r="J6" s="18" t="str">
        <f ca="1"/>
        <v/>
      </c>
      <c r="K6" s="18" t="str">
        <f ca="1"/>
        <v/>
      </c>
    </row>
    <row r="7" spans="1:11" ht="15.75">
      <c r="A7" s="105" t="str">
        <v>24 Walpole Park South</v>
      </c>
      <c r="B7" s="106" t="str">
        <v>MA</v>
      </c>
      <c r="C7" s="101" t="str" cm="1">
        <f t="array" aca="1" ref="C7:K7" ca="1">IF(INDIRECT("'" &amp; $A7 &amp; "'!B13:J13")="", "", INDIRECT("'" &amp; $A7 &amp; "'!B13:J13"))</f>
        <v/>
      </c>
      <c r="D7" s="101" t="str">
        <f ca="1"/>
        <v/>
      </c>
      <c r="E7" s="101">
        <f ca="1"/>
        <v>0</v>
      </c>
      <c r="F7" s="102">
        <f ca="1"/>
        <v>0</v>
      </c>
      <c r="G7" s="103" t="str">
        <f ca="1"/>
        <v/>
      </c>
      <c r="H7" s="103">
        <f ca="1"/>
        <v>0</v>
      </c>
      <c r="I7" s="104">
        <f ca="1"/>
        <v>0</v>
      </c>
      <c r="J7" s="18" t="str">
        <f ca="1"/>
        <v/>
      </c>
      <c r="K7" s="18" t="str">
        <f ca="1"/>
        <v/>
      </c>
    </row>
    <row r="8" spans="1:11" ht="15.75">
      <c r="A8" s="99" t="str">
        <v>25 Walpole Park South</v>
      </c>
      <c r="B8" s="100" t="str">
        <v>MA</v>
      </c>
      <c r="C8" s="101" t="str" cm="1">
        <f t="array" aca="1" ref="C8:K8" ca="1">IF(INDIRECT("'" &amp; $A8 &amp; "'!B13:J13")="", "", INDIRECT("'" &amp; $A8 &amp; "'!B13:J13"))</f>
        <v/>
      </c>
      <c r="D8" s="101" t="str">
        <f ca="1"/>
        <v/>
      </c>
      <c r="E8" s="101">
        <f ca="1"/>
        <v>0</v>
      </c>
      <c r="F8" s="102">
        <f ca="1"/>
        <v>0</v>
      </c>
      <c r="G8" s="103" t="str">
        <f ca="1"/>
        <v/>
      </c>
      <c r="H8" s="103">
        <f ca="1"/>
        <v>0</v>
      </c>
      <c r="I8" s="104">
        <f ca="1"/>
        <v>0</v>
      </c>
      <c r="J8" s="18" t="str">
        <f ca="1"/>
        <v/>
      </c>
      <c r="K8" s="18" t="str">
        <f ca="1"/>
        <v/>
      </c>
    </row>
    <row r="9" spans="1:11" ht="15.75">
      <c r="A9" s="105" t="str">
        <v>3 Walpole Park South</v>
      </c>
      <c r="B9" s="106" t="str">
        <v>MA</v>
      </c>
      <c r="C9" s="101" t="str" cm="1">
        <f t="array" aca="1" ref="C9:K9" ca="1">IF(INDIRECT("'" &amp; $A9 &amp; "'!B13:J13")="", "", INDIRECT("'" &amp; $A9 &amp; "'!B13:J13"))</f>
        <v/>
      </c>
      <c r="D9" s="101" t="str">
        <f ca="1"/>
        <v/>
      </c>
      <c r="E9" s="101">
        <f ca="1"/>
        <v>0</v>
      </c>
      <c r="F9" s="102">
        <f ca="1"/>
        <v>0</v>
      </c>
      <c r="G9" s="103" t="str">
        <f ca="1"/>
        <v/>
      </c>
      <c r="H9" s="103">
        <f ca="1"/>
        <v>0</v>
      </c>
      <c r="I9" s="104">
        <f ca="1"/>
        <v>0</v>
      </c>
      <c r="J9" s="18" t="str">
        <f ca="1"/>
        <v/>
      </c>
      <c r="K9" s="18" t="str">
        <f ca="1"/>
        <v/>
      </c>
    </row>
    <row r="10" spans="1:11" ht="15.75">
      <c r="A10" s="99" t="str">
        <v>4 Walpole Park South</v>
      </c>
      <c r="B10" s="100" t="str">
        <v>MA</v>
      </c>
      <c r="C10" s="101" t="str" cm="1">
        <f t="array" aca="1" ref="C10:K10" ca="1">IF(INDIRECT("'" &amp; $A10 &amp; "'!B13:J13")="", "", INDIRECT("'" &amp; $A10 &amp; "'!B13:J13"))</f>
        <v/>
      </c>
      <c r="D10" s="101" t="str">
        <f ca="1"/>
        <v/>
      </c>
      <c r="E10" s="101">
        <f ca="1"/>
        <v>0</v>
      </c>
      <c r="F10" s="102">
        <f ca="1"/>
        <v>0</v>
      </c>
      <c r="G10" s="103" t="str">
        <f ca="1"/>
        <v/>
      </c>
      <c r="H10" s="103">
        <f ca="1"/>
        <v>0</v>
      </c>
      <c r="I10" s="104">
        <f ca="1"/>
        <v>0</v>
      </c>
      <c r="J10" s="18" t="str">
        <f ca="1"/>
        <v/>
      </c>
      <c r="K10" s="18" t="str">
        <f ca="1"/>
        <v/>
      </c>
    </row>
    <row r="11" spans="1:11" ht="15.75">
      <c r="A11" s="105" t="str">
        <v>Brockton</v>
      </c>
      <c r="B11" s="106" t="str">
        <v>MA</v>
      </c>
      <c r="C11" s="101" t="str" cm="1">
        <f t="array" aca="1" ref="C11:K11" ca="1">IF(INDIRECT("'" &amp; $A11 &amp; "'!B13:J13")="", "", INDIRECT("'" &amp; $A11 &amp; "'!B13:J13"))</f>
        <v/>
      </c>
      <c r="D11" s="101" t="str">
        <f ca="1"/>
        <v/>
      </c>
      <c r="E11" s="101">
        <f ca="1"/>
        <v>0</v>
      </c>
      <c r="F11" s="102">
        <f ca="1"/>
        <v>0</v>
      </c>
      <c r="G11" s="103" t="str">
        <f ca="1"/>
        <v/>
      </c>
      <c r="H11" s="103">
        <f ca="1"/>
        <v>0</v>
      </c>
      <c r="I11" s="104">
        <f ca="1"/>
        <v>0</v>
      </c>
      <c r="J11" s="18" t="str">
        <f ca="1"/>
        <v/>
      </c>
      <c r="K11" s="18" t="str">
        <f ca="1"/>
        <v/>
      </c>
    </row>
    <row r="12" spans="1:11" ht="15.75">
      <c r="A12" s="99" t="str">
        <v>Canton</v>
      </c>
      <c r="B12" s="100" t="str">
        <v>MA</v>
      </c>
      <c r="C12" s="101" t="str" cm="1">
        <f t="array" aca="1" ref="C12:K12" ca="1">IF(INDIRECT("'" &amp; $A12 &amp; "'!B13:J13")="", "", INDIRECT("'" &amp; $A12 &amp; "'!B13:J13"))</f>
        <v/>
      </c>
      <c r="D12" s="101" t="str">
        <f ca="1"/>
        <v/>
      </c>
      <c r="E12" s="101">
        <f ca="1"/>
        <v>0</v>
      </c>
      <c r="F12" s="102">
        <f ca="1"/>
        <v>0</v>
      </c>
      <c r="G12" s="103" t="str">
        <f ca="1"/>
        <v/>
      </c>
      <c r="H12" s="103">
        <f ca="1"/>
        <v>0</v>
      </c>
      <c r="I12" s="104">
        <f ca="1"/>
        <v>0</v>
      </c>
      <c r="J12" s="18" t="str">
        <f ca="1"/>
        <v/>
      </c>
      <c r="K12" s="18" t="str">
        <f ca="1"/>
        <v/>
      </c>
    </row>
    <row r="13" spans="1:11" ht="15.75">
      <c r="A13" s="105" t="str">
        <v>Chelsea</v>
      </c>
      <c r="B13" s="106" t="str">
        <v>MA</v>
      </c>
      <c r="C13" s="101" t="str" cm="1">
        <f t="array" aca="1" ref="C13:K13" ca="1">IF(INDIRECT("'" &amp; $A13 &amp; "'!B13:J13")="", "", INDIRECT("'" &amp; $A13 &amp; "'!B13:J13"))</f>
        <v/>
      </c>
      <c r="D13" s="101" t="str">
        <f ca="1"/>
        <v/>
      </c>
      <c r="E13" s="101">
        <f ca="1"/>
        <v>0</v>
      </c>
      <c r="F13" s="102">
        <f ca="1"/>
        <v>0</v>
      </c>
      <c r="G13" s="103" t="str">
        <f ca="1"/>
        <v/>
      </c>
      <c r="H13" s="103">
        <f ca="1"/>
        <v>0</v>
      </c>
      <c r="I13" s="104">
        <f ca="1"/>
        <v>0</v>
      </c>
      <c r="J13" s="18" t="str">
        <f ca="1"/>
        <v/>
      </c>
      <c r="K13" s="18" t="str">
        <f ca="1"/>
        <v/>
      </c>
    </row>
    <row r="14" spans="1:11" ht="15.75">
      <c r="A14" s="99" t="str">
        <v>Hamilton Landfill</v>
      </c>
      <c r="B14" s="100" t="str">
        <v>MA</v>
      </c>
      <c r="C14" s="101" t="str" cm="1">
        <f t="array" aca="1" ref="C14:K14" ca="1">IF(INDIRECT("'" &amp; $A14 &amp; "'!B13:J13")="", "", INDIRECT("'" &amp; $A14 &amp; "'!B13:J13"))</f>
        <v/>
      </c>
      <c r="D14" s="101" t="str">
        <f ca="1"/>
        <v/>
      </c>
      <c r="E14" s="101">
        <f ca="1"/>
        <v>0</v>
      </c>
      <c r="F14" s="102">
        <f ca="1"/>
        <v>0</v>
      </c>
      <c r="G14" s="103" t="str">
        <f ca="1"/>
        <v/>
      </c>
      <c r="H14" s="103">
        <f ca="1"/>
        <v>0</v>
      </c>
      <c r="I14" s="104">
        <f ca="1"/>
        <v>0</v>
      </c>
      <c r="J14" s="18" t="str">
        <f ca="1"/>
        <v/>
      </c>
      <c r="K14" s="18" t="str">
        <f ca="1"/>
        <v/>
      </c>
    </row>
    <row r="15" spans="1:11" ht="15.75">
      <c r="A15" s="105" t="str">
        <v>Holliston</v>
      </c>
      <c r="B15" s="106" t="str">
        <v>MA</v>
      </c>
      <c r="C15" s="101" t="str" cm="1">
        <f t="array" aca="1" ref="C15:K15" ca="1">IF(INDIRECT("'" &amp; $A15 &amp; "'!B13:J13")="", "", INDIRECT("'" &amp; $A15 &amp; "'!B13:J13"))</f>
        <v/>
      </c>
      <c r="D15" s="101" t="str">
        <f ca="1"/>
        <v/>
      </c>
      <c r="E15" s="101">
        <f ca="1"/>
        <v>0</v>
      </c>
      <c r="F15" s="102">
        <f ca="1"/>
        <v>0</v>
      </c>
      <c r="G15" s="103" t="str">
        <f ca="1"/>
        <v/>
      </c>
      <c r="H15" s="103">
        <f ca="1"/>
        <v>0</v>
      </c>
      <c r="I15" s="104">
        <f ca="1"/>
        <v>0</v>
      </c>
      <c r="J15" s="18" t="str">
        <f ca="1"/>
        <v/>
      </c>
      <c r="K15" s="18" t="str">
        <f ca="1"/>
        <v/>
      </c>
    </row>
    <row r="16" spans="1:11" ht="15.75">
      <c r="A16" s="99" t="str">
        <v>Natick HS - Carports</v>
      </c>
      <c r="B16" s="100" t="str">
        <v>MA</v>
      </c>
      <c r="C16" s="101" t="str" cm="1">
        <f t="array" aca="1" ref="C16:K16" ca="1">IF(INDIRECT("'" &amp; $A16 &amp; "'!B13:J13")="", "", INDIRECT("'" &amp; $A16 &amp; "'!B13:J13"))</f>
        <v/>
      </c>
      <c r="D16" s="101" t="str">
        <f ca="1"/>
        <v/>
      </c>
      <c r="E16" s="101">
        <f ca="1"/>
        <v>0</v>
      </c>
      <c r="F16" s="102">
        <f ca="1"/>
        <v>0</v>
      </c>
      <c r="G16" s="103" t="str">
        <f ca="1"/>
        <v/>
      </c>
      <c r="H16" s="103">
        <f ca="1"/>
        <v>0</v>
      </c>
      <c r="I16" s="104">
        <f ca="1"/>
        <v>0</v>
      </c>
      <c r="J16" s="18" t="str">
        <f ca="1"/>
        <v/>
      </c>
      <c r="K16" s="18" t="str">
        <f ca="1"/>
        <v/>
      </c>
    </row>
    <row r="17" spans="1:11" ht="15.75">
      <c r="A17" s="105" t="str">
        <v>Norton</v>
      </c>
      <c r="B17" s="106" t="str">
        <v>MA</v>
      </c>
      <c r="C17" s="101" t="str" cm="1">
        <f t="array" aca="1" ref="C17:K17" ca="1">IF(INDIRECT("'" &amp; $A17 &amp; "'!B13:J13")="", "", INDIRECT("'" &amp; $A17 &amp; "'!B13:J13"))</f>
        <v/>
      </c>
      <c r="D17" s="101" t="str">
        <f ca="1"/>
        <v/>
      </c>
      <c r="E17" s="101">
        <f ca="1"/>
        <v>0</v>
      </c>
      <c r="F17" s="102">
        <f ca="1"/>
        <v>0</v>
      </c>
      <c r="G17" s="103" t="str">
        <f ca="1"/>
        <v/>
      </c>
      <c r="H17" s="103">
        <f ca="1"/>
        <v>0</v>
      </c>
      <c r="I17" s="104">
        <f ca="1"/>
        <v>0</v>
      </c>
      <c r="J17" s="18" t="str">
        <f ca="1"/>
        <v/>
      </c>
      <c r="K17" s="18" t="str">
        <f ca="1"/>
        <v/>
      </c>
    </row>
    <row r="18" spans="1:11" ht="15.75">
      <c r="A18" s="99" t="str">
        <v>Palmer - Boston Rd.</v>
      </c>
      <c r="B18" s="100" t="str">
        <v>MA</v>
      </c>
      <c r="C18" s="101" t="str" cm="1">
        <f t="array" aca="1" ref="C18:K18" ca="1">IF(INDIRECT("'" &amp; $A18 &amp; "'!B13:J13")="", "", INDIRECT("'" &amp; $A18 &amp; "'!B13:J13"))</f>
        <v/>
      </c>
      <c r="D18" s="101" t="str">
        <f ca="1"/>
        <v/>
      </c>
      <c r="E18" s="101">
        <f ca="1"/>
        <v>0</v>
      </c>
      <c r="F18" s="102">
        <f ca="1"/>
        <v>0</v>
      </c>
      <c r="G18" s="103" t="str">
        <f ca="1"/>
        <v/>
      </c>
      <c r="H18" s="103">
        <f ca="1"/>
        <v>0</v>
      </c>
      <c r="I18" s="104">
        <f ca="1"/>
        <v>0</v>
      </c>
      <c r="J18" s="18" t="str">
        <f ca="1"/>
        <v/>
      </c>
      <c r="K18" s="18" t="str">
        <f ca="1"/>
        <v/>
      </c>
    </row>
    <row r="19" spans="1:11" ht="15.75">
      <c r="A19" s="105" t="str">
        <v>Shirley Bartkus</v>
      </c>
      <c r="B19" s="106" t="str">
        <v>MA</v>
      </c>
      <c r="C19" s="101" t="str" cm="1">
        <f t="array" aca="1" ref="C19:K19" ca="1">IF(INDIRECT("'" &amp; $A19 &amp; "'!B13:J13")="", "", INDIRECT("'" &amp; $A19 &amp; "'!B13:J13"))</f>
        <v/>
      </c>
      <c r="D19" s="101" t="str">
        <f ca="1"/>
        <v/>
      </c>
      <c r="E19" s="101">
        <f ca="1"/>
        <v>0</v>
      </c>
      <c r="F19" s="102">
        <f ca="1"/>
        <v>0</v>
      </c>
      <c r="G19" s="103" t="str">
        <f ca="1"/>
        <v/>
      </c>
      <c r="H19" s="103">
        <f ca="1"/>
        <v>0</v>
      </c>
      <c r="I19" s="104">
        <f ca="1"/>
        <v>0</v>
      </c>
      <c r="J19" s="18" t="str">
        <f ca="1"/>
        <v/>
      </c>
      <c r="K19" s="18" t="str">
        <f ca="1"/>
        <v/>
      </c>
    </row>
    <row r="20" spans="1:11" ht="15.75">
      <c r="A20" s="99" t="str">
        <v>Stoughton</v>
      </c>
      <c r="B20" s="100" t="str">
        <v>MA</v>
      </c>
      <c r="C20" s="101" t="str" cm="1">
        <f t="array" aca="1" ref="C20:K20" ca="1">IF(INDIRECT("'" &amp; $A20 &amp; "'!B13:J13")="", "", INDIRECT("'" &amp; $A20 &amp; "'!B13:J13"))</f>
        <v/>
      </c>
      <c r="D20" s="101" t="str">
        <f ca="1"/>
        <v/>
      </c>
      <c r="E20" s="101">
        <f ca="1"/>
        <v>0</v>
      </c>
      <c r="F20" s="102">
        <f ca="1"/>
        <v>0</v>
      </c>
      <c r="G20" s="103" t="str">
        <f ca="1"/>
        <v/>
      </c>
      <c r="H20" s="103">
        <f ca="1"/>
        <v>0</v>
      </c>
      <c r="I20" s="104">
        <f ca="1"/>
        <v>0</v>
      </c>
      <c r="J20" s="18" t="str">
        <f ca="1"/>
        <v/>
      </c>
      <c r="K20" s="18" t="str">
        <f ca="1"/>
        <v/>
      </c>
    </row>
    <row r="21" spans="1:11" ht="15.75">
      <c r="A21" s="105" t="str">
        <v>Wellfleet Landfill</v>
      </c>
      <c r="B21" s="106" t="str">
        <v>MA</v>
      </c>
      <c r="C21" s="101" t="str" cm="1">
        <f t="array" aca="1" ref="C21:K21" ca="1">IF(INDIRECT("'" &amp; $A21 &amp; "'!B13:J13")="", "", INDIRECT("'" &amp; $A21 &amp; "'!B13:J13"))</f>
        <v/>
      </c>
      <c r="D21" s="101" t="str">
        <f ca="1"/>
        <v/>
      </c>
      <c r="E21" s="101">
        <f ca="1"/>
        <v>0</v>
      </c>
      <c r="F21" s="102">
        <f ca="1"/>
        <v>0</v>
      </c>
      <c r="G21" s="103" t="str">
        <f ca="1"/>
        <v/>
      </c>
      <c r="H21" s="103">
        <f ca="1"/>
        <v>0</v>
      </c>
      <c r="I21" s="104">
        <f ca="1"/>
        <v>0</v>
      </c>
      <c r="J21" s="18" t="str">
        <f ca="1"/>
        <v/>
      </c>
      <c r="K21" s="18" t="str">
        <f ca="1"/>
        <v/>
      </c>
    </row>
    <row r="22" spans="1:11" ht="15.75">
      <c r="A22" s="99" t="str">
        <v>Wilmington Garage &amp; Building 7</v>
      </c>
      <c r="B22" s="100" t="str">
        <v>MA</v>
      </c>
      <c r="C22" s="101" t="str" cm="1">
        <f t="array" aca="1" ref="C22:K22" ca="1">IF(INDIRECT("'" &amp; $A22 &amp; "'!B13:J13")="", "", INDIRECT("'" &amp; $A22 &amp; "'!B13:J13"))</f>
        <v/>
      </c>
      <c r="D22" s="101" t="str">
        <f ca="1"/>
        <v/>
      </c>
      <c r="E22" s="101">
        <f ca="1"/>
        <v>0</v>
      </c>
      <c r="F22" s="102">
        <f ca="1"/>
        <v>0</v>
      </c>
      <c r="G22" s="103" t="str">
        <f ca="1"/>
        <v/>
      </c>
      <c r="H22" s="103">
        <f ca="1"/>
        <v>0</v>
      </c>
      <c r="I22" s="104">
        <f ca="1"/>
        <v>0</v>
      </c>
      <c r="J22" s="18" t="str">
        <f ca="1"/>
        <v/>
      </c>
      <c r="K22" s="18" t="str">
        <f ca="1"/>
        <v/>
      </c>
    </row>
    <row r="23" spans="1:11" ht="15.75">
      <c r="A23" s="105" t="str">
        <v>Woburn</v>
      </c>
      <c r="B23" s="106" t="str">
        <v>MA</v>
      </c>
      <c r="C23" s="101" t="str" cm="1">
        <f t="array" aca="1" ref="C23:K23" ca="1">IF(INDIRECT("'" &amp; $A23 &amp; "'!B13:J13")="", "", INDIRECT("'" &amp; $A23 &amp; "'!B13:J13"))</f>
        <v/>
      </c>
      <c r="D23" s="101" t="str">
        <f ca="1"/>
        <v/>
      </c>
      <c r="E23" s="101">
        <f ca="1"/>
        <v>0</v>
      </c>
      <c r="F23" s="102">
        <f ca="1"/>
        <v>0</v>
      </c>
      <c r="G23" s="103" t="str">
        <f ca="1"/>
        <v/>
      </c>
      <c r="H23" s="103">
        <f ca="1"/>
        <v>0</v>
      </c>
      <c r="I23" s="104">
        <f ca="1"/>
        <v>0</v>
      </c>
      <c r="J23" s="18" t="str">
        <f ca="1"/>
        <v/>
      </c>
      <c r="K23" s="18" t="str">
        <f ca="1"/>
        <v/>
      </c>
    </row>
    <row r="24" spans="1:11" ht="15.75">
      <c r="A24" s="99" t="str">
        <v>Friendship Solar 1</v>
      </c>
      <c r="B24" s="100" t="str">
        <v>MD</v>
      </c>
      <c r="C24" s="101" t="str" cm="1">
        <f t="array" aca="1" ref="C24:K24" ca="1">IF(INDIRECT("'" &amp; $A24 &amp; "'!B13:J13")="", "", INDIRECT("'" &amp; $A24 &amp; "'!B13:J13"))</f>
        <v/>
      </c>
      <c r="D24" s="101" t="str">
        <f ca="1"/>
        <v/>
      </c>
      <c r="E24" s="101">
        <f ca="1"/>
        <v>0</v>
      </c>
      <c r="F24" s="102">
        <f ca="1"/>
        <v>0</v>
      </c>
      <c r="G24" s="103" t="str">
        <f ca="1"/>
        <v/>
      </c>
      <c r="H24" s="103">
        <f ca="1"/>
        <v>0</v>
      </c>
      <c r="I24" s="104">
        <f ca="1"/>
        <v>0</v>
      </c>
      <c r="J24" s="18" t="str">
        <f ca="1"/>
        <v/>
      </c>
      <c r="K24" s="18" t="str">
        <f ca="1"/>
        <v/>
      </c>
    </row>
    <row r="25" spans="1:11" ht="15.75">
      <c r="A25" s="105" t="str">
        <v>Friendship Solar 2</v>
      </c>
      <c r="B25" s="106" t="str">
        <v>MD</v>
      </c>
      <c r="C25" s="101" t="str" cm="1">
        <f t="array" aca="1" ref="C25:K25" ca="1">IF(INDIRECT("'" &amp; $A25 &amp; "'!B13:J13")="", "", INDIRECT("'" &amp; $A25 &amp; "'!B13:J13"))</f>
        <v/>
      </c>
      <c r="D25" s="101" t="str">
        <f ca="1"/>
        <v/>
      </c>
      <c r="E25" s="101">
        <f ca="1"/>
        <v>0</v>
      </c>
      <c r="F25" s="102">
        <f ca="1"/>
        <v>0</v>
      </c>
      <c r="G25" s="103" t="str">
        <f ca="1"/>
        <v/>
      </c>
      <c r="H25" s="103">
        <f ca="1"/>
        <v>0</v>
      </c>
      <c r="I25" s="104">
        <f ca="1"/>
        <v>0</v>
      </c>
      <c r="J25" s="18" t="str">
        <f ca="1"/>
        <v/>
      </c>
      <c r="K25" s="18" t="str">
        <f ca="1"/>
        <v/>
      </c>
    </row>
    <row r="26" spans="1:11" ht="15.75">
      <c r="A26" s="99" t="str">
        <v>101 Carnegie Center</v>
      </c>
      <c r="B26" s="100" t="str">
        <v>NJ</v>
      </c>
      <c r="C26" s="101" t="str" cm="1">
        <f t="array" aca="1" ref="C26:K26" ca="1">IF(INDIRECT("'" &amp; $A26 &amp; "'!B13:J13")="", "", INDIRECT("'" &amp; $A26 &amp; "'!B13:J13"))</f>
        <v/>
      </c>
      <c r="D26" s="101" t="str">
        <f ca="1"/>
        <v/>
      </c>
      <c r="E26" s="101">
        <f ca="1"/>
        <v>0</v>
      </c>
      <c r="F26" s="102">
        <f ca="1"/>
        <v>0</v>
      </c>
      <c r="G26" s="103" t="str">
        <f ca="1"/>
        <v/>
      </c>
      <c r="H26" s="103">
        <f ca="1"/>
        <v>0</v>
      </c>
      <c r="I26" s="104">
        <f ca="1"/>
        <v>0</v>
      </c>
      <c r="J26" s="18" t="str">
        <f ca="1"/>
        <v/>
      </c>
      <c r="K26" s="18" t="str">
        <f ca="1"/>
        <v/>
      </c>
    </row>
    <row r="27" spans="1:11" ht="15.75">
      <c r="A27" s="105" t="str">
        <v>302 Carnegie Center</v>
      </c>
      <c r="B27" s="106" t="str">
        <v>NJ</v>
      </c>
      <c r="C27" s="101" t="str" cm="1">
        <f t="array" aca="1" ref="C27:K27" ca="1">IF(INDIRECT("'" &amp; $A27 &amp; "'!B13:J13")="", "", INDIRECT("'" &amp; $A27 &amp; "'!B13:J13"))</f>
        <v/>
      </c>
      <c r="D27" s="101" t="str">
        <f ca="1"/>
        <v/>
      </c>
      <c r="E27" s="101">
        <f ca="1"/>
        <v>0</v>
      </c>
      <c r="F27" s="102">
        <f ca="1"/>
        <v>0</v>
      </c>
      <c r="G27" s="103" t="str">
        <f ca="1"/>
        <v/>
      </c>
      <c r="H27" s="103">
        <f ca="1"/>
        <v>0</v>
      </c>
      <c r="I27" s="104">
        <f ca="1"/>
        <v>0</v>
      </c>
      <c r="J27" s="18" t="str">
        <f ca="1"/>
        <v/>
      </c>
      <c r="K27" s="18" t="str">
        <f ca="1"/>
        <v/>
      </c>
    </row>
    <row r="28" spans="1:11" ht="15.75">
      <c r="A28" s="99" t="str">
        <v>510 Carnegie Center</v>
      </c>
      <c r="B28" s="100" t="str">
        <v>NJ</v>
      </c>
      <c r="C28" s="101" t="str" cm="1">
        <f t="array" aca="1" ref="C28:K28" ca="1">IF(INDIRECT("'" &amp; $A28 &amp; "'!B13:J13")="", "", INDIRECT("'" &amp; $A28 &amp; "'!B13:J13"))</f>
        <v/>
      </c>
      <c r="D28" s="101" t="str">
        <f ca="1"/>
        <v/>
      </c>
      <c r="E28" s="101">
        <f ca="1"/>
        <v>0</v>
      </c>
      <c r="F28" s="102">
        <f ca="1"/>
        <v>0</v>
      </c>
      <c r="G28" s="103" t="str">
        <f ca="1"/>
        <v/>
      </c>
      <c r="H28" s="103">
        <f ca="1"/>
        <v>0</v>
      </c>
      <c r="I28" s="104">
        <f ca="1"/>
        <v>0</v>
      </c>
      <c r="J28" s="18" t="str">
        <f ca="1"/>
        <v/>
      </c>
      <c r="K28" s="18" t="str">
        <f ca="1"/>
        <v/>
      </c>
    </row>
    <row r="29" spans="1:11" ht="15.75">
      <c r="A29" s="105" t="str">
        <v>701 Carnegie Center</v>
      </c>
      <c r="B29" s="106" t="str">
        <v>NJ</v>
      </c>
      <c r="C29" s="101" t="str" cm="1">
        <f t="array" aca="1" ref="C29:K29" ca="1">IF(INDIRECT("'" &amp; $A29 &amp; "'!B13:J13")="", "", INDIRECT("'" &amp; $A29 &amp; "'!B13:J13"))</f>
        <v/>
      </c>
      <c r="D29" s="101" t="str">
        <f ca="1"/>
        <v/>
      </c>
      <c r="E29" s="101">
        <f ca="1"/>
        <v>0</v>
      </c>
      <c r="F29" s="102">
        <f ca="1"/>
        <v>0</v>
      </c>
      <c r="G29" s="103" t="str">
        <f ca="1"/>
        <v/>
      </c>
      <c r="H29" s="103">
        <f ca="1"/>
        <v>0</v>
      </c>
      <c r="I29" s="104">
        <f ca="1"/>
        <v>0</v>
      </c>
      <c r="J29" s="18" t="str">
        <f ca="1"/>
        <v/>
      </c>
      <c r="K29" s="18" t="str">
        <f ca="1"/>
        <v/>
      </c>
    </row>
    <row r="30" spans="1:11" ht="15.75">
      <c r="A30" s="99" t="str">
        <v>Hudson County Correction</v>
      </c>
      <c r="B30" s="100" t="str">
        <v>NJ</v>
      </c>
      <c r="C30" s="101" t="str" cm="1">
        <f t="array" aca="1" ref="C30:K30" ca="1">IF(INDIRECT("'" &amp; $A30 &amp; "'!B13:J13")="", "", INDIRECT("'" &amp; $A30 &amp; "'!B13:J13"))</f>
        <v/>
      </c>
      <c r="D30" s="101" t="str">
        <f ca="1"/>
        <v/>
      </c>
      <c r="E30" s="101">
        <f ca="1"/>
        <v>0</v>
      </c>
      <c r="F30" s="102">
        <f ca="1"/>
        <v>0</v>
      </c>
      <c r="G30" s="103" t="str">
        <f ca="1"/>
        <v/>
      </c>
      <c r="H30" s="103">
        <f ca="1"/>
        <v>0</v>
      </c>
      <c r="I30" s="104">
        <f ca="1"/>
        <v>0</v>
      </c>
      <c r="J30" s="18" t="str">
        <f ca="1"/>
        <v/>
      </c>
      <c r="K30" s="18" t="str">
        <f ca="1"/>
        <v/>
      </c>
    </row>
    <row r="31" spans="1:11" ht="15.75">
      <c r="A31" s="105" t="str">
        <v>ER Bison Solar</v>
      </c>
      <c r="B31" s="106" t="str">
        <v>PA</v>
      </c>
      <c r="C31" s="101" t="str" cm="1">
        <f t="array" aca="1" ref="C31:K31" ca="1">IF(INDIRECT("'" &amp; $A31 &amp; "'!B13:J13")="", "", INDIRECT("'" &amp; $A31 &amp; "'!B13:J13"))</f>
        <v/>
      </c>
      <c r="D31" s="101" t="str">
        <f ca="1"/>
        <v/>
      </c>
      <c r="E31" s="101">
        <f ca="1"/>
        <v>0</v>
      </c>
      <c r="F31" s="102">
        <f ca="1"/>
        <v>0</v>
      </c>
      <c r="G31" s="103" t="str">
        <f ca="1"/>
        <v/>
      </c>
      <c r="H31" s="103">
        <f ca="1"/>
        <v>0</v>
      </c>
      <c r="I31" s="104">
        <f ca="1"/>
        <v>0</v>
      </c>
      <c r="J31" s="18" t="str">
        <f ca="1"/>
        <v/>
      </c>
      <c r="K31" s="18" t="str">
        <f ca="1"/>
        <v/>
      </c>
    </row>
    <row r="32" spans="1:11" ht="15.75">
      <c r="A32" s="111" t="str">
        <v>Danville</v>
      </c>
      <c r="B32" s="112" t="str">
        <v>IL</v>
      </c>
      <c r="C32" s="101" t="str" cm="1">
        <f t="array" aca="1" ref="C32:K32" ca="1">IF(INDIRECT("'" &amp; $A32 &amp; "'!B13:J13")="", "", INDIRECT("'" &amp; $A32 &amp; "'!B13:J13"))</f>
        <v/>
      </c>
      <c r="D32" s="101" t="str">
        <f ca="1"/>
        <v/>
      </c>
      <c r="E32" s="101">
        <f ca="1"/>
        <v>0</v>
      </c>
      <c r="F32" s="102">
        <f ca="1"/>
        <v>0</v>
      </c>
      <c r="G32" s="103">
        <f ca="1"/>
        <v>0</v>
      </c>
      <c r="H32" s="103">
        <f ca="1"/>
        <v>0</v>
      </c>
      <c r="I32" s="104">
        <f ca="1"/>
        <v>0</v>
      </c>
      <c r="J32" s="18" t="str">
        <f ca="1"/>
        <v/>
      </c>
      <c r="K32" s="18" t="str">
        <f ca="1"/>
        <v/>
      </c>
    </row>
    <row r="33" spans="1:10" ht="24.75" customHeight="1">
      <c r="A33" s="133" t="s">
        <v>11</v>
      </c>
      <c r="B33" s="134"/>
      <c r="C33" s="50">
        <f ca="1">SUM(C3:C31)</f>
        <v>0</v>
      </c>
      <c r="D33" s="50">
        <f ca="1">SUM(D3:D31)</f>
        <v>0</v>
      </c>
      <c r="E33" s="50">
        <f ca="1">C33-D33</f>
        <v>0</v>
      </c>
      <c r="F33" s="41">
        <f ca="1">IFERROR(E33/D33, 0)</f>
        <v>0</v>
      </c>
      <c r="G33" s="50">
        <f ca="1">SUM(G3:G31)</f>
        <v>0</v>
      </c>
      <c r="H33" s="51">
        <f ca="1">C33-G33</f>
        <v>0</v>
      </c>
      <c r="I33" s="42">
        <f ca="1">IFERROR(H33/G33, 0)</f>
        <v>0</v>
      </c>
      <c r="J33" s="8"/>
    </row>
    <row r="34" spans="1:10">
      <c r="J34" s="8"/>
    </row>
    <row r="35" spans="1:10" ht="12.75" customHeight="1">
      <c r="A35" s="135" t="s">
        <v>12</v>
      </c>
      <c r="J35" s="8"/>
    </row>
    <row r="36" spans="1:10">
      <c r="A36" s="135"/>
      <c r="J36" s="8"/>
    </row>
    <row r="37" spans="1:10">
      <c r="A37" s="136" t="s">
        <v>13</v>
      </c>
      <c r="J37" s="8"/>
    </row>
    <row r="38" spans="1:10" ht="12.75" customHeight="1">
      <c r="A38" s="136"/>
      <c r="J38" s="8"/>
    </row>
    <row r="39" spans="1:10">
      <c r="J39" s="8"/>
    </row>
  </sheetData>
  <autoFilter ref="A2:I2" xr:uid="{534CA70E-2643-48AC-AA44-E3F75A2814BF}"/>
  <mergeCells count="8">
    <mergeCell ref="G1:I1"/>
    <mergeCell ref="J1:J2"/>
    <mergeCell ref="K1:K2"/>
    <mergeCell ref="A35:A36"/>
    <mergeCell ref="A37:A38"/>
    <mergeCell ref="A33:B33"/>
    <mergeCell ref="C1:F1"/>
    <mergeCell ref="A1:B1"/>
  </mergeCells>
  <conditionalFormatting sqref="F3:F33 I3:I33">
    <cfRule type="cellIs" dxfId="509" priority="1" operator="lessThanOrEqual">
      <formula>-0.1</formula>
    </cfRule>
    <cfRule type="cellIs" dxfId="508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9"/>
  <sheetViews>
    <sheetView zoomScale="90" zoomScaleNormal="90" workbookViewId="0">
      <pane ySplit="2" topLeftCell="A14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37" t="str" cm="1">
        <f t="array" ref="A1">portfolio</f>
        <v>Greenbacker</v>
      </c>
      <c r="B1" s="138"/>
      <c r="C1" s="139" t="s">
        <v>40</v>
      </c>
      <c r="D1" s="140"/>
      <c r="E1" s="140"/>
      <c r="F1" s="141"/>
      <c r="G1" s="142" t="s">
        <v>41</v>
      </c>
      <c r="H1" s="142"/>
      <c r="I1" s="143"/>
      <c r="J1" s="131" t="s">
        <v>2</v>
      </c>
      <c r="K1" s="131" t="s">
        <v>3</v>
      </c>
    </row>
    <row r="2" spans="1:11" ht="14.25" customHeight="1">
      <c r="A2" s="45" t="s">
        <v>4</v>
      </c>
      <c r="B2" s="46" t="s">
        <v>5</v>
      </c>
      <c r="C2" s="5" t="s">
        <v>6</v>
      </c>
      <c r="D2" s="43" t="s">
        <v>7</v>
      </c>
      <c r="E2" s="5" t="s">
        <v>8</v>
      </c>
      <c r="F2" s="6" t="s">
        <v>9</v>
      </c>
      <c r="G2" s="44" t="s">
        <v>10</v>
      </c>
      <c r="H2" s="7" t="s">
        <v>8</v>
      </c>
      <c r="I2" s="9" t="s">
        <v>9</v>
      </c>
      <c r="J2" s="132"/>
      <c r="K2" s="132"/>
    </row>
    <row r="3" spans="1:11" ht="15.75">
      <c r="A3" s="47" t="str" cm="1">
        <f t="array" ref="A3:A32">Sites[Site]</f>
        <v>10 Walpole Park South</v>
      </c>
      <c r="B3" s="33" t="str" cm="1">
        <f t="array" ref="B3:B32">Sites[State]</f>
        <v>MA</v>
      </c>
      <c r="C3" s="35" t="str" cm="1">
        <f t="array" aca="1" ref="C3:K3" ca="1">IF(INDIRECT("'" &amp; $A3 &amp; "'!B14:J14")="", "", INDIRECT("'" &amp; $A3 &amp; "'!B14:J14"))</f>
        <v/>
      </c>
      <c r="D3" s="35" t="str">
        <f ca="1"/>
        <v/>
      </c>
      <c r="E3" s="35">
        <f ca="1"/>
        <v>0</v>
      </c>
      <c r="F3" s="36">
        <f ca="1"/>
        <v>0</v>
      </c>
      <c r="G3" s="37" t="str">
        <f ca="1"/>
        <v/>
      </c>
      <c r="H3" s="37">
        <f ca="1"/>
        <v>0</v>
      </c>
      <c r="I3" s="38">
        <f ca="1"/>
        <v>0</v>
      </c>
      <c r="J3" s="18" t="str">
        <f ca="1"/>
        <v/>
      </c>
      <c r="K3" s="18" t="str">
        <f ca="1"/>
        <v/>
      </c>
    </row>
    <row r="4" spans="1:11" ht="15.75">
      <c r="A4" s="48" t="str">
        <v>15 Walpole Park South</v>
      </c>
      <c r="B4" s="16" t="str">
        <v>MA</v>
      </c>
      <c r="C4" s="35" t="str" cm="1">
        <f t="array" aca="1" ref="C4:K4" ca="1">IF(INDIRECT("'" &amp; $A4 &amp; "'!B14:J14")="", "", INDIRECT("'" &amp; $A4 &amp; "'!B14:J14"))</f>
        <v/>
      </c>
      <c r="D4" s="35" t="str">
        <f ca="1"/>
        <v/>
      </c>
      <c r="E4" s="35">
        <f ca="1"/>
        <v>0</v>
      </c>
      <c r="F4" s="39">
        <f ca="1"/>
        <v>0</v>
      </c>
      <c r="G4" s="37" t="str">
        <f ca="1"/>
        <v/>
      </c>
      <c r="H4" s="37">
        <f ca="1"/>
        <v>0</v>
      </c>
      <c r="I4" s="40">
        <f ca="1"/>
        <v>0</v>
      </c>
      <c r="J4" s="18" t="str">
        <f ca="1"/>
        <v/>
      </c>
      <c r="K4" s="18" t="str">
        <f ca="1"/>
        <v/>
      </c>
    </row>
    <row r="5" spans="1:11" ht="15.75">
      <c r="A5" s="49" t="str">
        <v>19 Walpole Park South</v>
      </c>
      <c r="B5" s="34" t="str">
        <v>MA</v>
      </c>
      <c r="C5" s="35" t="str" cm="1">
        <f t="array" aca="1" ref="C5:K5" ca="1">IF(INDIRECT("'" &amp; $A5 &amp; "'!B14:J14")="", "", INDIRECT("'" &amp; $A5 &amp; "'!B14:J14"))</f>
        <v/>
      </c>
      <c r="D5" s="35" t="str">
        <f ca="1"/>
        <v/>
      </c>
      <c r="E5" s="35">
        <f ca="1"/>
        <v>0</v>
      </c>
      <c r="F5" s="39">
        <f ca="1"/>
        <v>0</v>
      </c>
      <c r="G5" s="37" t="str">
        <f ca="1"/>
        <v/>
      </c>
      <c r="H5" s="37">
        <f ca="1"/>
        <v>0</v>
      </c>
      <c r="I5" s="40">
        <f ca="1"/>
        <v>0</v>
      </c>
      <c r="J5" s="18" t="str">
        <f ca="1"/>
        <v/>
      </c>
      <c r="K5" s="18" t="str">
        <f ca="1"/>
        <v/>
      </c>
    </row>
    <row r="6" spans="1:11" ht="15.75">
      <c r="A6" s="48" t="str">
        <v>23 Walpole Park South</v>
      </c>
      <c r="B6" s="16" t="str">
        <v>MA</v>
      </c>
      <c r="C6" s="35" t="str" cm="1">
        <f t="array" aca="1" ref="C6:K6" ca="1">IF(INDIRECT("'" &amp; $A6 &amp; "'!B14:J14")="", "", INDIRECT("'" &amp; $A6 &amp; "'!B14:J14"))</f>
        <v/>
      </c>
      <c r="D6" s="35" t="str">
        <f ca="1"/>
        <v/>
      </c>
      <c r="E6" s="35">
        <f ca="1"/>
        <v>0</v>
      </c>
      <c r="F6" s="39">
        <f ca="1"/>
        <v>0</v>
      </c>
      <c r="G6" s="37" t="str">
        <f ca="1"/>
        <v/>
      </c>
      <c r="H6" s="37">
        <f ca="1"/>
        <v>0</v>
      </c>
      <c r="I6" s="40">
        <f ca="1"/>
        <v>0</v>
      </c>
      <c r="J6" s="18" t="str">
        <f ca="1"/>
        <v/>
      </c>
      <c r="K6" s="18" t="str">
        <f ca="1"/>
        <v/>
      </c>
    </row>
    <row r="7" spans="1:11" ht="15.75">
      <c r="A7" s="107" t="str">
        <v>24 Walpole Park South</v>
      </c>
      <c r="B7" s="108" t="str">
        <v>MA</v>
      </c>
      <c r="C7" s="101" t="str" cm="1">
        <f t="array" aca="1" ref="C7:K7" ca="1">IF(INDIRECT("'" &amp; $A7 &amp; "'!B14:J14")="", "", INDIRECT("'" &amp; $A7 &amp; "'!B14:J14"))</f>
        <v/>
      </c>
      <c r="D7" s="101" t="str">
        <f ca="1"/>
        <v/>
      </c>
      <c r="E7" s="101">
        <f ca="1"/>
        <v>0</v>
      </c>
      <c r="F7" s="109">
        <f ca="1"/>
        <v>0</v>
      </c>
      <c r="G7" s="103" t="str">
        <f ca="1"/>
        <v/>
      </c>
      <c r="H7" s="103">
        <f ca="1"/>
        <v>0</v>
      </c>
      <c r="I7" s="110">
        <f ca="1"/>
        <v>0</v>
      </c>
      <c r="J7" s="18" t="str">
        <f ca="1"/>
        <v/>
      </c>
      <c r="K7" s="18" t="str">
        <f ca="1"/>
        <v/>
      </c>
    </row>
    <row r="8" spans="1:11" ht="15.75">
      <c r="A8" s="99" t="str">
        <v>25 Walpole Park South</v>
      </c>
      <c r="B8" s="100" t="str">
        <v>MA</v>
      </c>
      <c r="C8" s="101" t="str" cm="1">
        <f t="array" aca="1" ref="C8:K8" ca="1">IF(INDIRECT("'" &amp; $A8 &amp; "'!B14:J14")="", "", INDIRECT("'" &amp; $A8 &amp; "'!B14:J14"))</f>
        <v/>
      </c>
      <c r="D8" s="101" t="str">
        <f ca="1"/>
        <v/>
      </c>
      <c r="E8" s="101">
        <f ca="1"/>
        <v>0</v>
      </c>
      <c r="F8" s="102">
        <f ca="1"/>
        <v>0</v>
      </c>
      <c r="G8" s="103" t="str">
        <f ca="1"/>
        <v/>
      </c>
      <c r="H8" s="103">
        <f ca="1"/>
        <v>0</v>
      </c>
      <c r="I8" s="104">
        <f ca="1"/>
        <v>0</v>
      </c>
      <c r="J8" s="18" t="str">
        <f ca="1"/>
        <v/>
      </c>
      <c r="K8" s="18" t="str">
        <f ca="1"/>
        <v/>
      </c>
    </row>
    <row r="9" spans="1:11" ht="15.75">
      <c r="A9" s="105" t="str">
        <v>3 Walpole Park South</v>
      </c>
      <c r="B9" s="106" t="str">
        <v>MA</v>
      </c>
      <c r="C9" s="101" t="str" cm="1">
        <f t="array" aca="1" ref="C9:K9" ca="1">IF(INDIRECT("'" &amp; $A9 &amp; "'!B14:J14")="", "", INDIRECT("'" &amp; $A9 &amp; "'!B14:J14"))</f>
        <v/>
      </c>
      <c r="D9" s="101" t="str">
        <f ca="1"/>
        <v/>
      </c>
      <c r="E9" s="101">
        <f ca="1"/>
        <v>0</v>
      </c>
      <c r="F9" s="102">
        <f ca="1"/>
        <v>0</v>
      </c>
      <c r="G9" s="103" t="str">
        <f ca="1"/>
        <v/>
      </c>
      <c r="H9" s="103">
        <f ca="1"/>
        <v>0</v>
      </c>
      <c r="I9" s="104">
        <f ca="1"/>
        <v>0</v>
      </c>
      <c r="J9" s="18" t="str">
        <f ca="1"/>
        <v/>
      </c>
      <c r="K9" s="18" t="str">
        <f ca="1"/>
        <v/>
      </c>
    </row>
    <row r="10" spans="1:11" ht="15.75">
      <c r="A10" s="99" t="str">
        <v>4 Walpole Park South</v>
      </c>
      <c r="B10" s="100" t="str">
        <v>MA</v>
      </c>
      <c r="C10" s="101" t="str" cm="1">
        <f t="array" aca="1" ref="C10:K10" ca="1">IF(INDIRECT("'" &amp; $A10 &amp; "'!B14:J14")="", "", INDIRECT("'" &amp; $A10 &amp; "'!B14:J14"))</f>
        <v/>
      </c>
      <c r="D10" s="101" t="str">
        <f ca="1"/>
        <v/>
      </c>
      <c r="E10" s="101">
        <f ca="1"/>
        <v>0</v>
      </c>
      <c r="F10" s="102">
        <f ca="1"/>
        <v>0</v>
      </c>
      <c r="G10" s="103" t="str">
        <f ca="1"/>
        <v/>
      </c>
      <c r="H10" s="103">
        <f ca="1"/>
        <v>0</v>
      </c>
      <c r="I10" s="104">
        <f ca="1"/>
        <v>0</v>
      </c>
      <c r="J10" s="18" t="str">
        <f ca="1"/>
        <v/>
      </c>
      <c r="K10" s="18" t="str">
        <f ca="1"/>
        <v/>
      </c>
    </row>
    <row r="11" spans="1:11" ht="15.75">
      <c r="A11" s="105" t="str">
        <v>Brockton</v>
      </c>
      <c r="B11" s="106" t="str">
        <v>MA</v>
      </c>
      <c r="C11" s="101" t="str" cm="1">
        <f t="array" aca="1" ref="C11:K11" ca="1">IF(INDIRECT("'" &amp; $A11 &amp; "'!B14:J14")="", "", INDIRECT("'" &amp; $A11 &amp; "'!B14:J14"))</f>
        <v/>
      </c>
      <c r="D11" s="101" t="str">
        <f ca="1"/>
        <v/>
      </c>
      <c r="E11" s="101">
        <f ca="1"/>
        <v>0</v>
      </c>
      <c r="F11" s="102">
        <f ca="1"/>
        <v>0</v>
      </c>
      <c r="G11" s="103" t="str">
        <f ca="1"/>
        <v/>
      </c>
      <c r="H11" s="103">
        <f ca="1"/>
        <v>0</v>
      </c>
      <c r="I11" s="104">
        <f ca="1"/>
        <v>0</v>
      </c>
      <c r="J11" s="18" t="str">
        <f ca="1"/>
        <v/>
      </c>
      <c r="K11" s="18" t="str">
        <f ca="1"/>
        <v/>
      </c>
    </row>
    <row r="12" spans="1:11" ht="15.75">
      <c r="A12" s="99" t="str">
        <v>Canton</v>
      </c>
      <c r="B12" s="100" t="str">
        <v>MA</v>
      </c>
      <c r="C12" s="101" t="str" cm="1">
        <f t="array" aca="1" ref="C12:K12" ca="1">IF(INDIRECT("'" &amp; $A12 &amp; "'!B14:J14")="", "", INDIRECT("'" &amp; $A12 &amp; "'!B14:J14"))</f>
        <v/>
      </c>
      <c r="D12" s="101" t="str">
        <f ca="1"/>
        <v/>
      </c>
      <c r="E12" s="101">
        <f ca="1"/>
        <v>0</v>
      </c>
      <c r="F12" s="102">
        <f ca="1"/>
        <v>0</v>
      </c>
      <c r="G12" s="103" t="str">
        <f ca="1"/>
        <v/>
      </c>
      <c r="H12" s="103">
        <f ca="1"/>
        <v>0</v>
      </c>
      <c r="I12" s="104">
        <f ca="1"/>
        <v>0</v>
      </c>
      <c r="J12" s="18" t="str">
        <f ca="1"/>
        <v/>
      </c>
      <c r="K12" s="18" t="str">
        <f ca="1"/>
        <v/>
      </c>
    </row>
    <row r="13" spans="1:11" ht="15.75">
      <c r="A13" s="105" t="str">
        <v>Chelsea</v>
      </c>
      <c r="B13" s="106" t="str">
        <v>MA</v>
      </c>
      <c r="C13" s="101" t="str" cm="1">
        <f t="array" aca="1" ref="C13:K13" ca="1">IF(INDIRECT("'" &amp; $A13 &amp; "'!B14:J14")="", "", INDIRECT("'" &amp; $A13 &amp; "'!B14:J14"))</f>
        <v/>
      </c>
      <c r="D13" s="101" t="str">
        <f ca="1"/>
        <v/>
      </c>
      <c r="E13" s="101">
        <f ca="1"/>
        <v>0</v>
      </c>
      <c r="F13" s="102">
        <f ca="1"/>
        <v>0</v>
      </c>
      <c r="G13" s="103" t="str">
        <f ca="1"/>
        <v/>
      </c>
      <c r="H13" s="103">
        <f ca="1"/>
        <v>0</v>
      </c>
      <c r="I13" s="104">
        <f ca="1"/>
        <v>0</v>
      </c>
      <c r="J13" s="18" t="str">
        <f ca="1"/>
        <v/>
      </c>
      <c r="K13" s="18" t="str">
        <f ca="1"/>
        <v/>
      </c>
    </row>
    <row r="14" spans="1:11" ht="15.75">
      <c r="A14" s="99" t="str">
        <v>Hamilton Landfill</v>
      </c>
      <c r="B14" s="100" t="str">
        <v>MA</v>
      </c>
      <c r="C14" s="101" t="str" cm="1">
        <f t="array" aca="1" ref="C14:K14" ca="1">IF(INDIRECT("'" &amp; $A14 &amp; "'!B14:J14")="", "", INDIRECT("'" &amp; $A14 &amp; "'!B14:J14"))</f>
        <v/>
      </c>
      <c r="D14" s="101" t="str">
        <f ca="1"/>
        <v/>
      </c>
      <c r="E14" s="101">
        <f ca="1"/>
        <v>0</v>
      </c>
      <c r="F14" s="102">
        <f ca="1"/>
        <v>0</v>
      </c>
      <c r="G14" s="103" t="str">
        <f ca="1"/>
        <v/>
      </c>
      <c r="H14" s="103">
        <f ca="1"/>
        <v>0</v>
      </c>
      <c r="I14" s="104">
        <f ca="1"/>
        <v>0</v>
      </c>
      <c r="J14" s="18" t="str">
        <f ca="1"/>
        <v/>
      </c>
      <c r="K14" s="18" t="str">
        <f ca="1"/>
        <v/>
      </c>
    </row>
    <row r="15" spans="1:11" ht="15.75">
      <c r="A15" s="105" t="str">
        <v>Holliston</v>
      </c>
      <c r="B15" s="106" t="str">
        <v>MA</v>
      </c>
      <c r="C15" s="101" t="str" cm="1">
        <f t="array" aca="1" ref="C15:K15" ca="1">IF(INDIRECT("'" &amp; $A15 &amp; "'!B14:J14")="", "", INDIRECT("'" &amp; $A15 &amp; "'!B14:J14"))</f>
        <v/>
      </c>
      <c r="D15" s="101" t="str">
        <f ca="1"/>
        <v/>
      </c>
      <c r="E15" s="101">
        <f ca="1"/>
        <v>0</v>
      </c>
      <c r="F15" s="102">
        <f ca="1"/>
        <v>0</v>
      </c>
      <c r="G15" s="103" t="str">
        <f ca="1"/>
        <v/>
      </c>
      <c r="H15" s="103">
        <f ca="1"/>
        <v>0</v>
      </c>
      <c r="I15" s="104">
        <f ca="1"/>
        <v>0</v>
      </c>
      <c r="J15" s="18" t="str">
        <f ca="1"/>
        <v/>
      </c>
      <c r="K15" s="18" t="str">
        <f ca="1"/>
        <v/>
      </c>
    </row>
    <row r="16" spans="1:11" ht="15.75">
      <c r="A16" s="99" t="str">
        <v>Natick HS - Carports</v>
      </c>
      <c r="B16" s="100" t="str">
        <v>MA</v>
      </c>
      <c r="C16" s="101" t="str" cm="1">
        <f t="array" aca="1" ref="C16:K16" ca="1">IF(INDIRECT("'" &amp; $A16 &amp; "'!B14:J14")="", "", INDIRECT("'" &amp; $A16 &amp; "'!B14:J14"))</f>
        <v/>
      </c>
      <c r="D16" s="101" t="str">
        <f ca="1"/>
        <v/>
      </c>
      <c r="E16" s="101">
        <f ca="1"/>
        <v>0</v>
      </c>
      <c r="F16" s="102">
        <f ca="1"/>
        <v>0</v>
      </c>
      <c r="G16" s="103" t="str">
        <f ca="1"/>
        <v/>
      </c>
      <c r="H16" s="103">
        <f ca="1"/>
        <v>0</v>
      </c>
      <c r="I16" s="104">
        <f ca="1"/>
        <v>0</v>
      </c>
      <c r="J16" s="18" t="str">
        <f ca="1"/>
        <v/>
      </c>
      <c r="K16" s="18" t="str">
        <f ca="1"/>
        <v/>
      </c>
    </row>
    <row r="17" spans="1:11" ht="15.75">
      <c r="A17" s="105" t="str">
        <v>Norton</v>
      </c>
      <c r="B17" s="106" t="str">
        <v>MA</v>
      </c>
      <c r="C17" s="101" t="str" cm="1">
        <f t="array" aca="1" ref="C17:K17" ca="1">IF(INDIRECT("'" &amp; $A17 &amp; "'!B14:J14")="", "", INDIRECT("'" &amp; $A17 &amp; "'!B14:J14"))</f>
        <v/>
      </c>
      <c r="D17" s="101" t="str">
        <f ca="1"/>
        <v/>
      </c>
      <c r="E17" s="101">
        <f ca="1"/>
        <v>0</v>
      </c>
      <c r="F17" s="102">
        <f ca="1"/>
        <v>0</v>
      </c>
      <c r="G17" s="103" t="str">
        <f ca="1"/>
        <v/>
      </c>
      <c r="H17" s="103">
        <f ca="1"/>
        <v>0</v>
      </c>
      <c r="I17" s="104">
        <f ca="1"/>
        <v>0</v>
      </c>
      <c r="J17" s="18" t="str">
        <f ca="1"/>
        <v/>
      </c>
      <c r="K17" s="18" t="str">
        <f ca="1"/>
        <v/>
      </c>
    </row>
    <row r="18" spans="1:11" ht="15.75">
      <c r="A18" s="99" t="str">
        <v>Palmer - Boston Rd.</v>
      </c>
      <c r="B18" s="100" t="str">
        <v>MA</v>
      </c>
      <c r="C18" s="101" t="str" cm="1">
        <f t="array" aca="1" ref="C18:K18" ca="1">IF(INDIRECT("'" &amp; $A18 &amp; "'!B14:J14")="", "", INDIRECT("'" &amp; $A18 &amp; "'!B14:J14"))</f>
        <v/>
      </c>
      <c r="D18" s="101" t="str">
        <f ca="1"/>
        <v/>
      </c>
      <c r="E18" s="101">
        <f ca="1"/>
        <v>0</v>
      </c>
      <c r="F18" s="102">
        <f ca="1"/>
        <v>0</v>
      </c>
      <c r="G18" s="103" t="str">
        <f ca="1"/>
        <v/>
      </c>
      <c r="H18" s="103">
        <f ca="1"/>
        <v>0</v>
      </c>
      <c r="I18" s="104">
        <f ca="1"/>
        <v>0</v>
      </c>
      <c r="J18" s="18" t="str">
        <f ca="1"/>
        <v/>
      </c>
      <c r="K18" s="18" t="str">
        <f ca="1"/>
        <v/>
      </c>
    </row>
    <row r="19" spans="1:11" ht="15.75">
      <c r="A19" s="105" t="str">
        <v>Shirley Bartkus</v>
      </c>
      <c r="B19" s="106" t="str">
        <v>MA</v>
      </c>
      <c r="C19" s="101" t="str" cm="1">
        <f t="array" aca="1" ref="C19:K19" ca="1">IF(INDIRECT("'" &amp; $A19 &amp; "'!B14:J14")="", "", INDIRECT("'" &amp; $A19 &amp; "'!B14:J14"))</f>
        <v/>
      </c>
      <c r="D19" s="101" t="str">
        <f ca="1"/>
        <v/>
      </c>
      <c r="E19" s="101">
        <f ca="1"/>
        <v>0</v>
      </c>
      <c r="F19" s="102">
        <f ca="1"/>
        <v>0</v>
      </c>
      <c r="G19" s="103" t="str">
        <f ca="1"/>
        <v/>
      </c>
      <c r="H19" s="103">
        <f ca="1"/>
        <v>0</v>
      </c>
      <c r="I19" s="104">
        <f ca="1"/>
        <v>0</v>
      </c>
      <c r="J19" s="18" t="str">
        <f ca="1"/>
        <v/>
      </c>
      <c r="K19" s="18" t="str">
        <f ca="1"/>
        <v/>
      </c>
    </row>
    <row r="20" spans="1:11" ht="15.75">
      <c r="A20" s="99" t="str">
        <v>Stoughton</v>
      </c>
      <c r="B20" s="100" t="str">
        <v>MA</v>
      </c>
      <c r="C20" s="101" t="str" cm="1">
        <f t="array" aca="1" ref="C20:K20" ca="1">IF(INDIRECT("'" &amp; $A20 &amp; "'!B14:J14")="", "", INDIRECT("'" &amp; $A20 &amp; "'!B14:J14"))</f>
        <v/>
      </c>
      <c r="D20" s="101" t="str">
        <f ca="1"/>
        <v/>
      </c>
      <c r="E20" s="101">
        <f ca="1"/>
        <v>0</v>
      </c>
      <c r="F20" s="102">
        <f ca="1"/>
        <v>0</v>
      </c>
      <c r="G20" s="103" t="str">
        <f ca="1"/>
        <v/>
      </c>
      <c r="H20" s="103">
        <f ca="1"/>
        <v>0</v>
      </c>
      <c r="I20" s="104">
        <f ca="1"/>
        <v>0</v>
      </c>
      <c r="J20" s="18" t="str">
        <f ca="1"/>
        <v/>
      </c>
      <c r="K20" s="18" t="str">
        <f ca="1"/>
        <v/>
      </c>
    </row>
    <row r="21" spans="1:11" ht="15.75">
      <c r="A21" s="105" t="str">
        <v>Wellfleet Landfill</v>
      </c>
      <c r="B21" s="106" t="str">
        <v>MA</v>
      </c>
      <c r="C21" s="101" t="str" cm="1">
        <f t="array" aca="1" ref="C21:K21" ca="1">IF(INDIRECT("'" &amp; $A21 &amp; "'!B14:J14")="", "", INDIRECT("'" &amp; $A21 &amp; "'!B14:J14"))</f>
        <v/>
      </c>
      <c r="D21" s="101" t="str">
        <f ca="1"/>
        <v/>
      </c>
      <c r="E21" s="101">
        <f ca="1"/>
        <v>0</v>
      </c>
      <c r="F21" s="102">
        <f ca="1"/>
        <v>0</v>
      </c>
      <c r="G21" s="103" t="str">
        <f ca="1"/>
        <v/>
      </c>
      <c r="H21" s="103">
        <f ca="1"/>
        <v>0</v>
      </c>
      <c r="I21" s="104">
        <f ca="1"/>
        <v>0</v>
      </c>
      <c r="J21" s="18" t="str">
        <f ca="1"/>
        <v/>
      </c>
      <c r="K21" s="18" t="str">
        <f ca="1"/>
        <v/>
      </c>
    </row>
    <row r="22" spans="1:11" ht="15.75">
      <c r="A22" s="99" t="str">
        <v>Wilmington Garage &amp; Building 7</v>
      </c>
      <c r="B22" s="100" t="str">
        <v>MA</v>
      </c>
      <c r="C22" s="101" t="str" cm="1">
        <f t="array" aca="1" ref="C22:K22" ca="1">IF(INDIRECT("'" &amp; $A22 &amp; "'!B14:J14")="", "", INDIRECT("'" &amp; $A22 &amp; "'!B14:J14"))</f>
        <v/>
      </c>
      <c r="D22" s="101" t="str">
        <f ca="1"/>
        <v/>
      </c>
      <c r="E22" s="101">
        <f ca="1"/>
        <v>0</v>
      </c>
      <c r="F22" s="102">
        <f ca="1"/>
        <v>0</v>
      </c>
      <c r="G22" s="103" t="str">
        <f ca="1"/>
        <v/>
      </c>
      <c r="H22" s="103">
        <f ca="1"/>
        <v>0</v>
      </c>
      <c r="I22" s="104">
        <f ca="1"/>
        <v>0</v>
      </c>
      <c r="J22" s="18" t="str">
        <f ca="1"/>
        <v/>
      </c>
      <c r="K22" s="18" t="str">
        <f ca="1"/>
        <v/>
      </c>
    </row>
    <row r="23" spans="1:11" ht="15.75">
      <c r="A23" s="105" t="str">
        <v>Woburn</v>
      </c>
      <c r="B23" s="106" t="str">
        <v>MA</v>
      </c>
      <c r="C23" s="101" t="str" cm="1">
        <f t="array" aca="1" ref="C23:K23" ca="1">IF(INDIRECT("'" &amp; $A23 &amp; "'!B14:J14")="", "", INDIRECT("'" &amp; $A23 &amp; "'!B14:J14"))</f>
        <v/>
      </c>
      <c r="D23" s="101" t="str">
        <f ca="1"/>
        <v/>
      </c>
      <c r="E23" s="101">
        <f ca="1"/>
        <v>0</v>
      </c>
      <c r="F23" s="102">
        <f ca="1"/>
        <v>0</v>
      </c>
      <c r="G23" s="103" t="str">
        <f ca="1"/>
        <v/>
      </c>
      <c r="H23" s="103">
        <f ca="1"/>
        <v>0</v>
      </c>
      <c r="I23" s="104">
        <f ca="1"/>
        <v>0</v>
      </c>
      <c r="J23" s="18" t="str">
        <f ca="1"/>
        <v/>
      </c>
      <c r="K23" s="18" t="str">
        <f ca="1"/>
        <v/>
      </c>
    </row>
    <row r="24" spans="1:11" ht="15.75">
      <c r="A24" s="99" t="str">
        <v>Friendship Solar 1</v>
      </c>
      <c r="B24" s="100" t="str">
        <v>MD</v>
      </c>
      <c r="C24" s="101" t="str" cm="1">
        <f t="array" aca="1" ref="C24:K24" ca="1">IF(INDIRECT("'" &amp; $A24 &amp; "'!B14:J14")="", "", INDIRECT("'" &amp; $A24 &amp; "'!B14:J14"))</f>
        <v/>
      </c>
      <c r="D24" s="101" t="str">
        <f ca="1"/>
        <v/>
      </c>
      <c r="E24" s="101">
        <f ca="1"/>
        <v>0</v>
      </c>
      <c r="F24" s="102">
        <f ca="1"/>
        <v>0</v>
      </c>
      <c r="G24" s="103" t="str">
        <f ca="1"/>
        <v/>
      </c>
      <c r="H24" s="103">
        <f ca="1"/>
        <v>0</v>
      </c>
      <c r="I24" s="104">
        <f ca="1"/>
        <v>0</v>
      </c>
      <c r="J24" s="18" t="str">
        <f ca="1"/>
        <v/>
      </c>
      <c r="K24" s="18" t="str">
        <f ca="1"/>
        <v/>
      </c>
    </row>
    <row r="25" spans="1:11" ht="15.75">
      <c r="A25" s="105" t="str">
        <v>Friendship Solar 2</v>
      </c>
      <c r="B25" s="106" t="str">
        <v>MD</v>
      </c>
      <c r="C25" s="101" t="str" cm="1">
        <f t="array" aca="1" ref="C25:K25" ca="1">IF(INDIRECT("'" &amp; $A25 &amp; "'!B14:J14")="", "", INDIRECT("'" &amp; $A25 &amp; "'!B14:J14"))</f>
        <v/>
      </c>
      <c r="D25" s="101" t="str">
        <f ca="1"/>
        <v/>
      </c>
      <c r="E25" s="101">
        <f ca="1"/>
        <v>0</v>
      </c>
      <c r="F25" s="102">
        <f ca="1"/>
        <v>0</v>
      </c>
      <c r="G25" s="103" t="str">
        <f ca="1"/>
        <v/>
      </c>
      <c r="H25" s="103">
        <f ca="1"/>
        <v>0</v>
      </c>
      <c r="I25" s="104">
        <f ca="1"/>
        <v>0</v>
      </c>
      <c r="J25" s="18" t="str">
        <f ca="1"/>
        <v/>
      </c>
      <c r="K25" s="18" t="str">
        <f ca="1"/>
        <v/>
      </c>
    </row>
    <row r="26" spans="1:11" ht="15.75">
      <c r="A26" s="99" t="str">
        <v>101 Carnegie Center</v>
      </c>
      <c r="B26" s="100" t="str">
        <v>NJ</v>
      </c>
      <c r="C26" s="101" t="str" cm="1">
        <f t="array" aca="1" ref="C26:K26" ca="1">IF(INDIRECT("'" &amp; $A26 &amp; "'!B14:J14")="", "", INDIRECT("'" &amp; $A26 &amp; "'!B14:J14"))</f>
        <v/>
      </c>
      <c r="D26" s="101" t="str">
        <f ca="1"/>
        <v/>
      </c>
      <c r="E26" s="101">
        <f ca="1"/>
        <v>0</v>
      </c>
      <c r="F26" s="102">
        <f ca="1"/>
        <v>0</v>
      </c>
      <c r="G26" s="103" t="str">
        <f ca="1"/>
        <v/>
      </c>
      <c r="H26" s="103">
        <f ca="1"/>
        <v>0</v>
      </c>
      <c r="I26" s="104">
        <f ca="1"/>
        <v>0</v>
      </c>
      <c r="J26" s="18" t="str">
        <f ca="1"/>
        <v/>
      </c>
      <c r="K26" s="18" t="str">
        <f ca="1"/>
        <v/>
      </c>
    </row>
    <row r="27" spans="1:11" ht="15.75">
      <c r="A27" s="105" t="str">
        <v>302 Carnegie Center</v>
      </c>
      <c r="B27" s="106" t="str">
        <v>NJ</v>
      </c>
      <c r="C27" s="101" t="str" cm="1">
        <f t="array" aca="1" ref="C27:K27" ca="1">IF(INDIRECT("'" &amp; $A27 &amp; "'!B14:J14")="", "", INDIRECT("'" &amp; $A27 &amp; "'!B14:J14"))</f>
        <v/>
      </c>
      <c r="D27" s="101" t="str">
        <f ca="1"/>
        <v/>
      </c>
      <c r="E27" s="101">
        <f ca="1"/>
        <v>0</v>
      </c>
      <c r="F27" s="102">
        <f ca="1"/>
        <v>0</v>
      </c>
      <c r="G27" s="103" t="str">
        <f ca="1"/>
        <v/>
      </c>
      <c r="H27" s="103">
        <f ca="1"/>
        <v>0</v>
      </c>
      <c r="I27" s="104">
        <f ca="1"/>
        <v>0</v>
      </c>
      <c r="J27" s="18" t="str">
        <f ca="1"/>
        <v/>
      </c>
      <c r="K27" s="18" t="str">
        <f ca="1"/>
        <v/>
      </c>
    </row>
    <row r="28" spans="1:11" ht="15.75">
      <c r="A28" s="99" t="str">
        <v>510 Carnegie Center</v>
      </c>
      <c r="B28" s="100" t="str">
        <v>NJ</v>
      </c>
      <c r="C28" s="101" t="str" cm="1">
        <f t="array" aca="1" ref="C28:K28" ca="1">IF(INDIRECT("'" &amp; $A28 &amp; "'!B14:J14")="", "", INDIRECT("'" &amp; $A28 &amp; "'!B14:J14"))</f>
        <v/>
      </c>
      <c r="D28" s="101" t="str">
        <f ca="1"/>
        <v/>
      </c>
      <c r="E28" s="101">
        <f ca="1"/>
        <v>0</v>
      </c>
      <c r="F28" s="102">
        <f ca="1"/>
        <v>0</v>
      </c>
      <c r="G28" s="103" t="str">
        <f ca="1"/>
        <v/>
      </c>
      <c r="H28" s="103">
        <f ca="1"/>
        <v>0</v>
      </c>
      <c r="I28" s="104">
        <f ca="1"/>
        <v>0</v>
      </c>
      <c r="J28" s="18" t="str">
        <f ca="1"/>
        <v/>
      </c>
      <c r="K28" s="18" t="str">
        <f ca="1"/>
        <v/>
      </c>
    </row>
    <row r="29" spans="1:11" ht="15.75">
      <c r="A29" s="105" t="str">
        <v>701 Carnegie Center</v>
      </c>
      <c r="B29" s="106" t="str">
        <v>NJ</v>
      </c>
      <c r="C29" s="101" t="str" cm="1">
        <f t="array" aca="1" ref="C29:K29" ca="1">IF(INDIRECT("'" &amp; $A29 &amp; "'!B14:J14")="", "", INDIRECT("'" &amp; $A29 &amp; "'!B14:J14"))</f>
        <v/>
      </c>
      <c r="D29" s="101" t="str">
        <f ca="1"/>
        <v/>
      </c>
      <c r="E29" s="101">
        <f ca="1"/>
        <v>0</v>
      </c>
      <c r="F29" s="102">
        <f ca="1"/>
        <v>0</v>
      </c>
      <c r="G29" s="103" t="str">
        <f ca="1"/>
        <v/>
      </c>
      <c r="H29" s="103">
        <f ca="1"/>
        <v>0</v>
      </c>
      <c r="I29" s="104">
        <f ca="1"/>
        <v>0</v>
      </c>
      <c r="J29" s="18" t="str">
        <f ca="1"/>
        <v/>
      </c>
      <c r="K29" s="18" t="str">
        <f ca="1"/>
        <v/>
      </c>
    </row>
    <row r="30" spans="1:11" ht="15.75">
      <c r="A30" s="99" t="str">
        <v>Hudson County Correction</v>
      </c>
      <c r="B30" s="100" t="str">
        <v>NJ</v>
      </c>
      <c r="C30" s="101" t="str" cm="1">
        <f t="array" aca="1" ref="C30:K30" ca="1">IF(INDIRECT("'" &amp; $A30 &amp; "'!B14:J14")="", "", INDIRECT("'" &amp; $A30 &amp; "'!B14:J14"))</f>
        <v/>
      </c>
      <c r="D30" s="101" t="str">
        <f ca="1"/>
        <v/>
      </c>
      <c r="E30" s="101">
        <f ca="1"/>
        <v>0</v>
      </c>
      <c r="F30" s="102">
        <f ca="1"/>
        <v>0</v>
      </c>
      <c r="G30" s="103" t="str">
        <f ca="1"/>
        <v/>
      </c>
      <c r="H30" s="103">
        <f ca="1"/>
        <v>0</v>
      </c>
      <c r="I30" s="104">
        <f ca="1"/>
        <v>0</v>
      </c>
      <c r="J30" s="18" t="str">
        <f ca="1"/>
        <v/>
      </c>
      <c r="K30" s="18" t="str">
        <f ca="1"/>
        <v/>
      </c>
    </row>
    <row r="31" spans="1:11" ht="15.75">
      <c r="A31" s="105" t="str">
        <v>ER Bison Solar</v>
      </c>
      <c r="B31" s="106" t="str">
        <v>PA</v>
      </c>
      <c r="C31" s="101" t="str" cm="1">
        <f t="array" aca="1" ref="C31:K31" ca="1">IF(INDIRECT("'" &amp; $A31 &amp; "'!B14:J14")="", "", INDIRECT("'" &amp; $A31 &amp; "'!B14:J14"))</f>
        <v/>
      </c>
      <c r="D31" s="101" t="str">
        <f ca="1"/>
        <v/>
      </c>
      <c r="E31" s="101">
        <f ca="1"/>
        <v>0</v>
      </c>
      <c r="F31" s="102">
        <f ca="1"/>
        <v>0</v>
      </c>
      <c r="G31" s="103" t="str">
        <f ca="1"/>
        <v/>
      </c>
      <c r="H31" s="103">
        <f ca="1"/>
        <v>0</v>
      </c>
      <c r="I31" s="104">
        <f ca="1"/>
        <v>0</v>
      </c>
      <c r="J31" s="18" t="str">
        <f ca="1"/>
        <v/>
      </c>
      <c r="K31" s="18" t="str">
        <f ca="1"/>
        <v/>
      </c>
    </row>
    <row r="32" spans="1:11" ht="15.75">
      <c r="A32" s="105" t="str">
        <v>Danville</v>
      </c>
      <c r="B32" s="112" t="str">
        <v>IL</v>
      </c>
      <c r="C32" s="101" t="str" cm="1">
        <f t="array" aca="1" ref="C32:K32" ca="1">IF(INDIRECT("'" &amp; $A32 &amp; "'!B14:J14")="", "", INDIRECT("'" &amp; $A32 &amp; "'!B14:J14"))</f>
        <v/>
      </c>
      <c r="D32" s="101" t="str">
        <f ca="1"/>
        <v/>
      </c>
      <c r="E32" s="101">
        <f ca="1"/>
        <v>0</v>
      </c>
      <c r="F32" s="102">
        <f ca="1"/>
        <v>0</v>
      </c>
      <c r="G32" s="103">
        <f ca="1"/>
        <v>0</v>
      </c>
      <c r="H32" s="103">
        <f ca="1"/>
        <v>0</v>
      </c>
      <c r="I32" s="104">
        <f ca="1"/>
        <v>0</v>
      </c>
      <c r="J32" s="18" t="str">
        <f ca="1"/>
        <v/>
      </c>
      <c r="K32" s="18" t="str">
        <f ca="1"/>
        <v/>
      </c>
    </row>
    <row r="33" spans="1:10" ht="24.75" customHeight="1">
      <c r="A33" s="133" t="s">
        <v>11</v>
      </c>
      <c r="B33" s="134"/>
      <c r="C33" s="50">
        <f ca="1">SUM(C3:C31)</f>
        <v>0</v>
      </c>
      <c r="D33" s="50">
        <f ca="1">SUM(D3:D31)</f>
        <v>0</v>
      </c>
      <c r="E33" s="50">
        <f ca="1">C33-D33</f>
        <v>0</v>
      </c>
      <c r="F33" s="41">
        <f ca="1">IFERROR(E33/D33, 0)</f>
        <v>0</v>
      </c>
      <c r="G33" s="50">
        <f ca="1">SUM(G3:G31)</f>
        <v>0</v>
      </c>
      <c r="H33" s="51">
        <f ca="1">C33-G33</f>
        <v>0</v>
      </c>
      <c r="I33" s="42">
        <f ca="1">IFERROR(H33/G33, 0)</f>
        <v>0</v>
      </c>
      <c r="J33" s="8"/>
    </row>
    <row r="34" spans="1:10">
      <c r="J34" s="8"/>
    </row>
    <row r="35" spans="1:10" ht="12.75" customHeight="1">
      <c r="A35" s="135" t="s">
        <v>12</v>
      </c>
      <c r="J35" s="8"/>
    </row>
    <row r="36" spans="1:10">
      <c r="A36" s="135"/>
      <c r="J36" s="8"/>
    </row>
    <row r="37" spans="1:10" ht="12.75" customHeight="1">
      <c r="A37" s="136" t="s">
        <v>13</v>
      </c>
      <c r="J37" s="8"/>
    </row>
    <row r="38" spans="1:10" ht="12.75" customHeight="1">
      <c r="A38" s="136"/>
      <c r="J38" s="8"/>
    </row>
    <row r="39" spans="1:10">
      <c r="J39" s="8"/>
    </row>
  </sheetData>
  <autoFilter ref="A2:I2" xr:uid="{B87DE706-15D9-4E58-ADBD-0129509DEFD6}"/>
  <mergeCells count="8">
    <mergeCell ref="G1:I1"/>
    <mergeCell ref="J1:J2"/>
    <mergeCell ref="K1:K2"/>
    <mergeCell ref="A35:A36"/>
    <mergeCell ref="A37:A38"/>
    <mergeCell ref="A33:B33"/>
    <mergeCell ref="C1:F1"/>
    <mergeCell ref="A1:B1"/>
  </mergeCells>
  <conditionalFormatting sqref="F3:F33 I3:I33">
    <cfRule type="cellIs" dxfId="507" priority="1" operator="lessThanOrEqual">
      <formula>-0.1</formula>
    </cfRule>
    <cfRule type="cellIs" dxfId="506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8"/>
  <sheetViews>
    <sheetView workbookViewId="0">
      <pane ySplit="2" topLeftCell="A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37" t="str" cm="1">
        <f t="array" ref="A1">portfolio</f>
        <v>Greenbacker</v>
      </c>
      <c r="B1" s="138"/>
      <c r="C1" s="139" t="s">
        <v>42</v>
      </c>
      <c r="D1" s="140"/>
      <c r="E1" s="140"/>
      <c r="F1" s="141"/>
      <c r="G1" s="142" t="s">
        <v>43</v>
      </c>
      <c r="H1" s="142"/>
      <c r="I1" s="143"/>
      <c r="J1" s="131" t="s">
        <v>2</v>
      </c>
      <c r="K1" s="131" t="s">
        <v>3</v>
      </c>
    </row>
    <row r="2" spans="1:11" ht="14.25" customHeight="1">
      <c r="A2" s="45" t="s">
        <v>4</v>
      </c>
      <c r="B2" s="46" t="s">
        <v>5</v>
      </c>
      <c r="C2" s="5" t="s">
        <v>6</v>
      </c>
      <c r="D2" s="43" t="s">
        <v>7</v>
      </c>
      <c r="E2" s="5" t="s">
        <v>8</v>
      </c>
      <c r="F2" s="6" t="s">
        <v>9</v>
      </c>
      <c r="G2" s="44" t="s">
        <v>10</v>
      </c>
      <c r="H2" s="7" t="s">
        <v>8</v>
      </c>
      <c r="I2" s="9" t="s">
        <v>9</v>
      </c>
      <c r="J2" s="132"/>
      <c r="K2" s="132"/>
    </row>
    <row r="3" spans="1:11" ht="15.75">
      <c r="A3" s="47" t="str" cm="1">
        <f t="array" ref="A3:A32">Sites[Site]</f>
        <v>10 Walpole Park South</v>
      </c>
      <c r="B3" s="33" t="str" cm="1">
        <f t="array" ref="B3:B32">Sites[State]</f>
        <v>MA</v>
      </c>
      <c r="C3" s="35" t="str" cm="1">
        <f t="array" aca="1" ref="C3:K3" ca="1">IF(INDIRECT("'" &amp; $A3 &amp; "'!B15:J15")="", "", INDIRECT("'" &amp; $A3 &amp; "'!B15:J15"))</f>
        <v/>
      </c>
      <c r="D3" s="35" t="str">
        <f ca="1"/>
        <v/>
      </c>
      <c r="E3" s="35">
        <f ca="1"/>
        <v>0</v>
      </c>
      <c r="F3" s="36">
        <f ca="1"/>
        <v>0</v>
      </c>
      <c r="G3" s="37" t="str">
        <f ca="1"/>
        <v/>
      </c>
      <c r="H3" s="37">
        <f ca="1"/>
        <v>0</v>
      </c>
      <c r="I3" s="38">
        <f ca="1"/>
        <v>0</v>
      </c>
      <c r="J3" s="115" t="str">
        <f ca="1"/>
        <v/>
      </c>
      <c r="K3" s="15" t="str">
        <f ca="1"/>
        <v xml:space="preserve"> </v>
      </c>
    </row>
    <row r="4" spans="1:11" ht="15.75">
      <c r="A4" s="48" t="str">
        <v>15 Walpole Park South</v>
      </c>
      <c r="B4" s="16" t="str">
        <v>MA</v>
      </c>
      <c r="C4" s="35" t="str" cm="1">
        <f t="array" aca="1" ref="C4:K4" ca="1">IF(INDIRECT("'" &amp; $A4 &amp; "'!B15:J15")="", "", INDIRECT("'" &amp; $A4 &amp; "'!B15:J15"))</f>
        <v/>
      </c>
      <c r="D4" s="35" t="str">
        <f ca="1"/>
        <v/>
      </c>
      <c r="E4" s="35">
        <f ca="1"/>
        <v>0</v>
      </c>
      <c r="F4" s="39">
        <f ca="1"/>
        <v>0</v>
      </c>
      <c r="G4" s="37" t="str">
        <f ca="1"/>
        <v/>
      </c>
      <c r="H4" s="37">
        <f ca="1"/>
        <v>0</v>
      </c>
      <c r="I4" s="40">
        <f ca="1"/>
        <v>0</v>
      </c>
      <c r="J4" s="115" t="str">
        <f ca="1"/>
        <v/>
      </c>
      <c r="K4" s="15" t="str">
        <f ca="1"/>
        <v xml:space="preserve"> </v>
      </c>
    </row>
    <row r="5" spans="1:11" ht="15.75">
      <c r="A5" s="49" t="str">
        <v>19 Walpole Park South</v>
      </c>
      <c r="B5" s="34" t="str">
        <v>MA</v>
      </c>
      <c r="C5" s="35" t="str" cm="1">
        <f t="array" aca="1" ref="C5:K5" ca="1">IF(INDIRECT("'" &amp; $A5 &amp; "'!B15:J15")="", "", INDIRECT("'" &amp; $A5 &amp; "'!B15:J15"))</f>
        <v/>
      </c>
      <c r="D5" s="35" t="str">
        <f ca="1"/>
        <v/>
      </c>
      <c r="E5" s="35">
        <f ca="1"/>
        <v>0</v>
      </c>
      <c r="F5" s="39">
        <f ca="1"/>
        <v>0</v>
      </c>
      <c r="G5" s="37" t="str">
        <f ca="1"/>
        <v/>
      </c>
      <c r="H5" s="37">
        <f ca="1"/>
        <v>0</v>
      </c>
      <c r="I5" s="40">
        <f ca="1"/>
        <v>0</v>
      </c>
      <c r="J5" s="115" t="str">
        <f ca="1"/>
        <v/>
      </c>
      <c r="K5" s="15" t="str">
        <f ca="1"/>
        <v xml:space="preserve"> </v>
      </c>
    </row>
    <row r="6" spans="1:11" ht="15.75">
      <c r="A6" s="48" t="str">
        <v>23 Walpole Park South</v>
      </c>
      <c r="B6" s="16" t="str">
        <v>MA</v>
      </c>
      <c r="C6" s="35" t="str" cm="1">
        <f t="array" aca="1" ref="C6:K6" ca="1">IF(INDIRECT("'" &amp; $A6 &amp; "'!B15:J15")="", "", INDIRECT("'" &amp; $A6 &amp; "'!B15:J15"))</f>
        <v/>
      </c>
      <c r="D6" s="35" t="str">
        <f ca="1"/>
        <v/>
      </c>
      <c r="E6" s="35">
        <f ca="1"/>
        <v>0</v>
      </c>
      <c r="F6" s="39">
        <f ca="1"/>
        <v>0</v>
      </c>
      <c r="G6" s="37" t="str">
        <f ca="1"/>
        <v/>
      </c>
      <c r="H6" s="37">
        <f ca="1"/>
        <v>0</v>
      </c>
      <c r="I6" s="40">
        <f ca="1"/>
        <v>0</v>
      </c>
      <c r="J6" s="115" t="str">
        <f ca="1"/>
        <v/>
      </c>
      <c r="K6" s="15" t="str">
        <f ca="1"/>
        <v/>
      </c>
    </row>
    <row r="7" spans="1:11" ht="15.75">
      <c r="A7" s="49" t="str">
        <v>24 Walpole Park South</v>
      </c>
      <c r="B7" s="34" t="str">
        <v>MA</v>
      </c>
      <c r="C7" s="35" t="str" cm="1">
        <f t="array" aca="1" ref="C7:K7" ca="1">IF(INDIRECT("'" &amp; $A7 &amp; "'!B15:J15")="", "", INDIRECT("'" &amp; $A7 &amp; "'!B15:J15"))</f>
        <v/>
      </c>
      <c r="D7" s="35" t="str">
        <f ca="1"/>
        <v/>
      </c>
      <c r="E7" s="35">
        <f ca="1"/>
        <v>0</v>
      </c>
      <c r="F7" s="39">
        <f ca="1"/>
        <v>0</v>
      </c>
      <c r="G7" s="37" t="str">
        <f ca="1"/>
        <v/>
      </c>
      <c r="H7" s="37">
        <f ca="1"/>
        <v>0</v>
      </c>
      <c r="I7" s="40">
        <f ca="1"/>
        <v>0</v>
      </c>
      <c r="J7" s="116" t="str">
        <f ca="1"/>
        <v/>
      </c>
      <c r="K7" s="116" t="str">
        <f ca="1"/>
        <v/>
      </c>
    </row>
    <row r="8" spans="1:11" ht="15.75">
      <c r="A8" s="48" t="str">
        <v>25 Walpole Park South</v>
      </c>
      <c r="B8" s="16" t="str">
        <v>MA</v>
      </c>
      <c r="C8" s="35" t="str" cm="1">
        <f t="array" aca="1" ref="C8:K8" ca="1">IF(INDIRECT("'" &amp; $A8 &amp; "'!B15:J15")="", "", INDIRECT("'" &amp; $A8 &amp; "'!B15:J15"))</f>
        <v/>
      </c>
      <c r="D8" s="35" t="str">
        <f ca="1"/>
        <v/>
      </c>
      <c r="E8" s="35">
        <f ca="1"/>
        <v>0</v>
      </c>
      <c r="F8" s="39">
        <f ca="1"/>
        <v>0</v>
      </c>
      <c r="G8" s="37" t="str">
        <f ca="1"/>
        <v/>
      </c>
      <c r="H8" s="37">
        <f ca="1"/>
        <v>0</v>
      </c>
      <c r="I8" s="40">
        <f ca="1"/>
        <v>0</v>
      </c>
      <c r="J8" s="115" t="str">
        <f ca="1"/>
        <v/>
      </c>
      <c r="K8" s="15" t="str">
        <f ca="1"/>
        <v/>
      </c>
    </row>
    <row r="9" spans="1:11" ht="15.75">
      <c r="A9" s="49" t="str">
        <v>3 Walpole Park South</v>
      </c>
      <c r="B9" s="34" t="str">
        <v>MA</v>
      </c>
      <c r="C9" s="35" t="str" cm="1">
        <f t="array" aca="1" ref="C9:K9" ca="1">IF(INDIRECT("'" &amp; $A9 &amp; "'!B15:J15")="", "", INDIRECT("'" &amp; $A9 &amp; "'!B15:J15"))</f>
        <v/>
      </c>
      <c r="D9" s="35" t="str">
        <f ca="1"/>
        <v/>
      </c>
      <c r="E9" s="35">
        <f ca="1"/>
        <v>0</v>
      </c>
      <c r="F9" s="39">
        <f ca="1"/>
        <v>0</v>
      </c>
      <c r="G9" s="37" t="str">
        <f ca="1"/>
        <v/>
      </c>
      <c r="H9" s="37">
        <f ca="1"/>
        <v>0</v>
      </c>
      <c r="I9" s="40">
        <f ca="1"/>
        <v>0</v>
      </c>
      <c r="J9" s="18" t="str">
        <f ca="1"/>
        <v/>
      </c>
      <c r="K9" s="19" t="str">
        <f ca="1"/>
        <v/>
      </c>
    </row>
    <row r="10" spans="1:11" ht="15.75">
      <c r="A10" s="48" t="str">
        <v>4 Walpole Park South</v>
      </c>
      <c r="B10" s="16" t="str">
        <v>MA</v>
      </c>
      <c r="C10" s="35" t="str" cm="1">
        <f t="array" aca="1" ref="C10:K10" ca="1">IF(INDIRECT("'" &amp; $A10 &amp; "'!B15:J15")="", "", INDIRECT("'" &amp; $A10 &amp; "'!B15:J15"))</f>
        <v/>
      </c>
      <c r="D10" s="35" t="str">
        <f ca="1"/>
        <v/>
      </c>
      <c r="E10" s="35">
        <f ca="1"/>
        <v>0</v>
      </c>
      <c r="F10" s="39">
        <f ca="1"/>
        <v>0</v>
      </c>
      <c r="G10" s="37" t="str">
        <f ca="1"/>
        <v/>
      </c>
      <c r="H10" s="37">
        <f ca="1"/>
        <v>0</v>
      </c>
      <c r="I10" s="40">
        <f ca="1"/>
        <v>0</v>
      </c>
      <c r="J10" s="115" t="str">
        <f ca="1"/>
        <v/>
      </c>
      <c r="K10" s="15" t="str">
        <f ca="1"/>
        <v xml:space="preserve"> </v>
      </c>
    </row>
    <row r="11" spans="1:11" ht="15.75">
      <c r="A11" s="107" t="str">
        <v>Brockton</v>
      </c>
      <c r="B11" s="108" t="str">
        <v>MA</v>
      </c>
      <c r="C11" s="101" t="str" cm="1">
        <f t="array" aca="1" ref="C11:K11" ca="1">IF(INDIRECT("'" &amp; $A11 &amp; "'!B15:J15")="", "", INDIRECT("'" &amp; $A11 &amp; "'!B15:J15"))</f>
        <v/>
      </c>
      <c r="D11" s="101" t="str">
        <f ca="1"/>
        <v/>
      </c>
      <c r="E11" s="101">
        <f ca="1"/>
        <v>0</v>
      </c>
      <c r="F11" s="109">
        <f ca="1"/>
        <v>0</v>
      </c>
      <c r="G11" s="103" t="str">
        <f ca="1"/>
        <v/>
      </c>
      <c r="H11" s="103">
        <f ca="1"/>
        <v>0</v>
      </c>
      <c r="I11" s="110">
        <f ca="1"/>
        <v>0</v>
      </c>
      <c r="J11" s="18" t="str">
        <f ca="1"/>
        <v/>
      </c>
      <c r="K11" s="18" t="str">
        <f ca="1"/>
        <v/>
      </c>
    </row>
    <row r="12" spans="1:11" ht="15.75">
      <c r="A12" s="99" t="str">
        <v>Canton</v>
      </c>
      <c r="B12" s="100" t="str">
        <v>MA</v>
      </c>
      <c r="C12" s="101" t="str" cm="1">
        <f t="array" aca="1" ref="C12:K12" ca="1">IF(INDIRECT("'" &amp; $A12 &amp; "'!B15:J15")="", "", INDIRECT("'" &amp; $A12 &amp; "'!B15:J15"))</f>
        <v/>
      </c>
      <c r="D12" s="101" t="str">
        <f ca="1"/>
        <v/>
      </c>
      <c r="E12" s="101">
        <f ca="1"/>
        <v>0</v>
      </c>
      <c r="F12" s="102">
        <f ca="1"/>
        <v>0</v>
      </c>
      <c r="G12" s="103" t="str">
        <f ca="1"/>
        <v/>
      </c>
      <c r="H12" s="103">
        <f ca="1"/>
        <v>0</v>
      </c>
      <c r="I12" s="104">
        <f ca="1"/>
        <v>0</v>
      </c>
      <c r="J12" s="18" t="str">
        <f ca="1"/>
        <v/>
      </c>
      <c r="K12" s="18" t="str">
        <f ca="1"/>
        <v/>
      </c>
    </row>
    <row r="13" spans="1:11" ht="15.75">
      <c r="A13" s="105" t="str">
        <v>Chelsea</v>
      </c>
      <c r="B13" s="106" t="str">
        <v>MA</v>
      </c>
      <c r="C13" s="101" t="str" cm="1">
        <f t="array" aca="1" ref="C13:K13" ca="1">IF(INDIRECT("'" &amp; $A13 &amp; "'!B15:J15")="", "", INDIRECT("'" &amp; $A13 &amp; "'!B15:J15"))</f>
        <v/>
      </c>
      <c r="D13" s="101" t="str">
        <f ca="1"/>
        <v/>
      </c>
      <c r="E13" s="101">
        <f ca="1"/>
        <v>0</v>
      </c>
      <c r="F13" s="102">
        <f ca="1"/>
        <v>0</v>
      </c>
      <c r="G13" s="103" t="str">
        <f ca="1"/>
        <v/>
      </c>
      <c r="H13" s="103">
        <f ca="1"/>
        <v>0</v>
      </c>
      <c r="I13" s="104">
        <f ca="1"/>
        <v>0</v>
      </c>
      <c r="J13" s="18" t="str">
        <f ca="1"/>
        <v/>
      </c>
      <c r="K13" s="18" t="str">
        <f ca="1"/>
        <v/>
      </c>
    </row>
    <row r="14" spans="1:11" ht="15.75">
      <c r="A14" s="99" t="str">
        <v>Hamilton Landfill</v>
      </c>
      <c r="B14" s="100" t="str">
        <v>MA</v>
      </c>
      <c r="C14" s="101" t="str" cm="1">
        <f t="array" aca="1" ref="C14:K14" ca="1">IF(INDIRECT("'" &amp; $A14 &amp; "'!B15:J15")="", "", INDIRECT("'" &amp; $A14 &amp; "'!B15:J15"))</f>
        <v/>
      </c>
      <c r="D14" s="101" t="str">
        <f ca="1"/>
        <v/>
      </c>
      <c r="E14" s="101">
        <f ca="1"/>
        <v>0</v>
      </c>
      <c r="F14" s="102">
        <f ca="1"/>
        <v>0</v>
      </c>
      <c r="G14" s="103" t="str">
        <f ca="1"/>
        <v/>
      </c>
      <c r="H14" s="103">
        <f ca="1"/>
        <v>0</v>
      </c>
      <c r="I14" s="104">
        <f ca="1"/>
        <v>0</v>
      </c>
      <c r="J14" s="18" t="str">
        <f ca="1"/>
        <v/>
      </c>
      <c r="K14" s="18" t="str">
        <f ca="1"/>
        <v/>
      </c>
    </row>
    <row r="15" spans="1:11" ht="15.75">
      <c r="A15" s="105" t="str">
        <v>Holliston</v>
      </c>
      <c r="B15" s="106" t="str">
        <v>MA</v>
      </c>
      <c r="C15" s="101" t="str" cm="1">
        <f t="array" aca="1" ref="C15:K15" ca="1">IF(INDIRECT("'" &amp; $A15 &amp; "'!B15:J15")="", "", INDIRECT("'" &amp; $A15 &amp; "'!B15:J15"))</f>
        <v/>
      </c>
      <c r="D15" s="101" t="str">
        <f ca="1"/>
        <v/>
      </c>
      <c r="E15" s="101">
        <f ca="1"/>
        <v>0</v>
      </c>
      <c r="F15" s="102">
        <f ca="1"/>
        <v>0</v>
      </c>
      <c r="G15" s="103" t="str">
        <f ca="1"/>
        <v/>
      </c>
      <c r="H15" s="103">
        <f ca="1"/>
        <v>0</v>
      </c>
      <c r="I15" s="104">
        <f ca="1"/>
        <v>0</v>
      </c>
      <c r="J15" s="18" t="str">
        <f ca="1"/>
        <v/>
      </c>
      <c r="K15" s="18" t="str">
        <f ca="1"/>
        <v/>
      </c>
    </row>
    <row r="16" spans="1:11" ht="15.75">
      <c r="A16" s="99" t="str">
        <v>Natick HS - Carports</v>
      </c>
      <c r="B16" s="100" t="str">
        <v>MA</v>
      </c>
      <c r="C16" s="101" t="str" cm="1">
        <f t="array" aca="1" ref="C16:K16" ca="1">IF(INDIRECT("'" &amp; $A16 &amp; "'!B15:J15")="", "", INDIRECT("'" &amp; $A16 &amp; "'!B15:J15"))</f>
        <v/>
      </c>
      <c r="D16" s="101" t="str">
        <f ca="1"/>
        <v/>
      </c>
      <c r="E16" s="101">
        <f ca="1"/>
        <v>0</v>
      </c>
      <c r="F16" s="102">
        <f ca="1"/>
        <v>0</v>
      </c>
      <c r="G16" s="103" t="str">
        <f ca="1"/>
        <v/>
      </c>
      <c r="H16" s="103">
        <f ca="1"/>
        <v>0</v>
      </c>
      <c r="I16" s="104">
        <f ca="1"/>
        <v>0</v>
      </c>
      <c r="J16" s="18" t="str">
        <f ca="1"/>
        <v/>
      </c>
      <c r="K16" s="18" t="str">
        <f ca="1"/>
        <v/>
      </c>
    </row>
    <row r="17" spans="1:11" ht="15.75">
      <c r="A17" s="105" t="str">
        <v>Norton</v>
      </c>
      <c r="B17" s="106" t="str">
        <v>MA</v>
      </c>
      <c r="C17" s="101" t="str" cm="1">
        <f t="array" aca="1" ref="C17:K17" ca="1">IF(INDIRECT("'" &amp; $A17 &amp; "'!B15:J15")="", "", INDIRECT("'" &amp; $A17 &amp; "'!B15:J15"))</f>
        <v/>
      </c>
      <c r="D17" s="101" t="str">
        <f ca="1"/>
        <v/>
      </c>
      <c r="E17" s="101">
        <f ca="1"/>
        <v>0</v>
      </c>
      <c r="F17" s="102">
        <f ca="1"/>
        <v>0</v>
      </c>
      <c r="G17" s="103" t="str">
        <f ca="1"/>
        <v/>
      </c>
      <c r="H17" s="103">
        <f ca="1"/>
        <v>0</v>
      </c>
      <c r="I17" s="104">
        <f ca="1"/>
        <v>0</v>
      </c>
      <c r="J17" s="18" t="str">
        <f ca="1"/>
        <v/>
      </c>
      <c r="K17" s="18" t="str">
        <f ca="1"/>
        <v/>
      </c>
    </row>
    <row r="18" spans="1:11" ht="15.75">
      <c r="A18" s="99" t="str">
        <v>Palmer - Boston Rd.</v>
      </c>
      <c r="B18" s="100" t="str">
        <v>MA</v>
      </c>
      <c r="C18" s="101" t="str" cm="1">
        <f t="array" aca="1" ref="C18:K18" ca="1">IF(INDIRECT("'" &amp; $A18 &amp; "'!B15:J15")="", "", INDIRECT("'" &amp; $A18 &amp; "'!B15:J15"))</f>
        <v/>
      </c>
      <c r="D18" s="101" t="str">
        <f ca="1"/>
        <v/>
      </c>
      <c r="E18" s="101">
        <f ca="1"/>
        <v>0</v>
      </c>
      <c r="F18" s="102">
        <f ca="1"/>
        <v>0</v>
      </c>
      <c r="G18" s="103" t="str">
        <f ca="1"/>
        <v/>
      </c>
      <c r="H18" s="103">
        <f ca="1"/>
        <v>0</v>
      </c>
      <c r="I18" s="104">
        <f ca="1"/>
        <v>0</v>
      </c>
      <c r="J18" s="18" t="str">
        <f ca="1"/>
        <v/>
      </c>
      <c r="K18" s="18" t="str">
        <f ca="1"/>
        <v/>
      </c>
    </row>
    <row r="19" spans="1:11" ht="15.75">
      <c r="A19" s="105" t="str">
        <v>Shirley Bartkus</v>
      </c>
      <c r="B19" s="106" t="str">
        <v>MA</v>
      </c>
      <c r="C19" s="101" t="str" cm="1">
        <f t="array" aca="1" ref="C19:K19" ca="1">IF(INDIRECT("'" &amp; $A19 &amp; "'!B15:J15")="", "", INDIRECT("'" &amp; $A19 &amp; "'!B15:J15"))</f>
        <v/>
      </c>
      <c r="D19" s="101" t="str">
        <f ca="1"/>
        <v/>
      </c>
      <c r="E19" s="101">
        <f ca="1"/>
        <v>0</v>
      </c>
      <c r="F19" s="102">
        <f ca="1"/>
        <v>0</v>
      </c>
      <c r="G19" s="103" t="str">
        <f ca="1"/>
        <v/>
      </c>
      <c r="H19" s="103">
        <f ca="1"/>
        <v>0</v>
      </c>
      <c r="I19" s="104">
        <f ca="1"/>
        <v>0</v>
      </c>
      <c r="J19" s="18" t="str">
        <f ca="1"/>
        <v/>
      </c>
      <c r="K19" s="18" t="str">
        <f ca="1"/>
        <v/>
      </c>
    </row>
    <row r="20" spans="1:11" ht="15.75">
      <c r="A20" s="99" t="str">
        <v>Stoughton</v>
      </c>
      <c r="B20" s="100" t="str">
        <v>MA</v>
      </c>
      <c r="C20" s="101" t="str" cm="1">
        <f t="array" aca="1" ref="C20:K20" ca="1">IF(INDIRECT("'" &amp; $A20 &amp; "'!B15:J15")="", "", INDIRECT("'" &amp; $A20 &amp; "'!B15:J15"))</f>
        <v/>
      </c>
      <c r="D20" s="101" t="str">
        <f ca="1"/>
        <v/>
      </c>
      <c r="E20" s="101">
        <f ca="1"/>
        <v>0</v>
      </c>
      <c r="F20" s="102">
        <f ca="1"/>
        <v>0</v>
      </c>
      <c r="G20" s="103" t="str">
        <f ca="1"/>
        <v/>
      </c>
      <c r="H20" s="103">
        <f ca="1"/>
        <v>0</v>
      </c>
      <c r="I20" s="104">
        <f ca="1"/>
        <v>0</v>
      </c>
      <c r="J20" s="18" t="str">
        <f ca="1"/>
        <v/>
      </c>
      <c r="K20" s="18" t="str">
        <f ca="1"/>
        <v xml:space="preserve"> </v>
      </c>
    </row>
    <row r="21" spans="1:11" ht="15.75">
      <c r="A21" s="105" t="str">
        <v>Wellfleet Landfill</v>
      </c>
      <c r="B21" s="106" t="str">
        <v>MA</v>
      </c>
      <c r="C21" s="101" t="str" cm="1">
        <f t="array" aca="1" ref="C21:K21" ca="1">IF(INDIRECT("'" &amp; $A21 &amp; "'!B15:J15")="", "", INDIRECT("'" &amp; $A21 &amp; "'!B15:J15"))</f>
        <v/>
      </c>
      <c r="D21" s="101" t="str">
        <f ca="1"/>
        <v/>
      </c>
      <c r="E21" s="101">
        <f ca="1"/>
        <v>0</v>
      </c>
      <c r="F21" s="102">
        <f ca="1"/>
        <v>0</v>
      </c>
      <c r="G21" s="103" t="str">
        <f ca="1"/>
        <v/>
      </c>
      <c r="H21" s="103">
        <f ca="1"/>
        <v>0</v>
      </c>
      <c r="I21" s="104">
        <f ca="1"/>
        <v>0</v>
      </c>
      <c r="J21" s="18" t="str">
        <f ca="1"/>
        <v/>
      </c>
      <c r="K21" s="18" t="str">
        <f ca="1"/>
        <v/>
      </c>
    </row>
    <row r="22" spans="1:11" ht="15.75">
      <c r="A22" s="99" t="str">
        <v>Wilmington Garage &amp; Building 7</v>
      </c>
      <c r="B22" s="100" t="str">
        <v>MA</v>
      </c>
      <c r="C22" s="101" t="str" cm="1">
        <f t="array" aca="1" ref="C22:K22" ca="1">IF(INDIRECT("'" &amp; $A22 &amp; "'!B15:J15")="", "", INDIRECT("'" &amp; $A22 &amp; "'!B15:J15"))</f>
        <v/>
      </c>
      <c r="D22" s="101" t="str">
        <f ca="1"/>
        <v/>
      </c>
      <c r="E22" s="101">
        <f ca="1"/>
        <v>0</v>
      </c>
      <c r="F22" s="102">
        <f ca="1"/>
        <v>0</v>
      </c>
      <c r="G22" s="103" t="str">
        <f ca="1"/>
        <v/>
      </c>
      <c r="H22" s="103">
        <f ca="1"/>
        <v>0</v>
      </c>
      <c r="I22" s="104">
        <f ca="1"/>
        <v>0</v>
      </c>
      <c r="J22" s="18" t="str">
        <f ca="1"/>
        <v/>
      </c>
      <c r="K22" s="18" t="str">
        <f ca="1"/>
        <v/>
      </c>
    </row>
    <row r="23" spans="1:11" ht="15.75">
      <c r="A23" s="105" t="str">
        <v>Woburn</v>
      </c>
      <c r="B23" s="106" t="str">
        <v>MA</v>
      </c>
      <c r="C23" s="101" t="str" cm="1">
        <f t="array" aca="1" ref="C23:K23" ca="1">IF(INDIRECT("'" &amp; $A23 &amp; "'!B15:J15")="", "", INDIRECT("'" &amp; $A23 &amp; "'!B15:J15"))</f>
        <v/>
      </c>
      <c r="D23" s="101" t="str">
        <f ca="1"/>
        <v/>
      </c>
      <c r="E23" s="101">
        <f ca="1"/>
        <v>0</v>
      </c>
      <c r="F23" s="102">
        <f ca="1"/>
        <v>0</v>
      </c>
      <c r="G23" s="103" t="str">
        <f ca="1"/>
        <v/>
      </c>
      <c r="H23" s="103">
        <f ca="1"/>
        <v>0</v>
      </c>
      <c r="I23" s="104">
        <f ca="1"/>
        <v>0</v>
      </c>
      <c r="J23" s="18" t="str">
        <f ca="1"/>
        <v/>
      </c>
      <c r="K23" s="18" t="str">
        <f ca="1"/>
        <v/>
      </c>
    </row>
    <row r="24" spans="1:11" ht="15.75">
      <c r="A24" s="99" t="str">
        <v>Friendship Solar 1</v>
      </c>
      <c r="B24" s="100" t="str">
        <v>MD</v>
      </c>
      <c r="C24" s="101" t="str" cm="1">
        <f t="array" aca="1" ref="C24:K24" ca="1">IF(INDIRECT("'" &amp; $A24 &amp; "'!B15:J15")="", "", INDIRECT("'" &amp; $A24 &amp; "'!B15:J15"))</f>
        <v/>
      </c>
      <c r="D24" s="101" t="str">
        <f ca="1"/>
        <v/>
      </c>
      <c r="E24" s="101">
        <f ca="1"/>
        <v>0</v>
      </c>
      <c r="F24" s="102">
        <f ca="1"/>
        <v>0</v>
      </c>
      <c r="G24" s="103" t="str">
        <f ca="1"/>
        <v/>
      </c>
      <c r="H24" s="103">
        <f ca="1"/>
        <v>0</v>
      </c>
      <c r="I24" s="104">
        <f ca="1"/>
        <v>0</v>
      </c>
      <c r="J24" s="18" t="str">
        <f ca="1"/>
        <v/>
      </c>
      <c r="K24" s="18" t="str">
        <f ca="1"/>
        <v/>
      </c>
    </row>
    <row r="25" spans="1:11" ht="15.75">
      <c r="A25" s="105" t="str">
        <v>Friendship Solar 2</v>
      </c>
      <c r="B25" s="106" t="str">
        <v>MD</v>
      </c>
      <c r="C25" s="101" t="str" cm="1">
        <f t="array" aca="1" ref="C25:K25" ca="1">IF(INDIRECT("'" &amp; $A25 &amp; "'!B15:J15")="", "", INDIRECT("'" &amp; $A25 &amp; "'!B15:J15"))</f>
        <v/>
      </c>
      <c r="D25" s="101" t="str">
        <f ca="1"/>
        <v/>
      </c>
      <c r="E25" s="101">
        <f ca="1"/>
        <v>0</v>
      </c>
      <c r="F25" s="102">
        <f ca="1"/>
        <v>0</v>
      </c>
      <c r="G25" s="103" t="str">
        <f ca="1"/>
        <v/>
      </c>
      <c r="H25" s="103">
        <f ca="1"/>
        <v>0</v>
      </c>
      <c r="I25" s="104">
        <f ca="1"/>
        <v>0</v>
      </c>
      <c r="J25" s="18" t="str">
        <f ca="1"/>
        <v/>
      </c>
      <c r="K25" s="18" t="str">
        <f ca="1"/>
        <v/>
      </c>
    </row>
    <row r="26" spans="1:11" ht="15.75">
      <c r="A26" s="99" t="str">
        <v>101 Carnegie Center</v>
      </c>
      <c r="B26" s="100" t="str">
        <v>NJ</v>
      </c>
      <c r="C26" s="101" t="str" cm="1">
        <f t="array" aca="1" ref="C26:K26" ca="1">IF(INDIRECT("'" &amp; $A26 &amp; "'!B15:J15")="", "", INDIRECT("'" &amp; $A26 &amp; "'!B15:J15"))</f>
        <v/>
      </c>
      <c r="D26" s="101" t="str">
        <f ca="1"/>
        <v/>
      </c>
      <c r="E26" s="101">
        <f ca="1"/>
        <v>0</v>
      </c>
      <c r="F26" s="102">
        <f ca="1"/>
        <v>0</v>
      </c>
      <c r="G26" s="103" t="str">
        <f ca="1"/>
        <v/>
      </c>
      <c r="H26" s="103">
        <f ca="1"/>
        <v>0</v>
      </c>
      <c r="I26" s="104">
        <f ca="1"/>
        <v>0</v>
      </c>
      <c r="J26" s="18" t="str">
        <f ca="1"/>
        <v/>
      </c>
      <c r="K26" s="18" t="str">
        <f ca="1"/>
        <v/>
      </c>
    </row>
    <row r="27" spans="1:11" ht="15.75">
      <c r="A27" s="105" t="str">
        <v>302 Carnegie Center</v>
      </c>
      <c r="B27" s="106" t="str">
        <v>NJ</v>
      </c>
      <c r="C27" s="101" t="str" cm="1">
        <f t="array" aca="1" ref="C27:K27" ca="1">IF(INDIRECT("'" &amp; $A27 &amp; "'!B15:J15")="", "", INDIRECT("'" &amp; $A27 &amp; "'!B15:J15"))</f>
        <v/>
      </c>
      <c r="D27" s="101" t="str">
        <f ca="1"/>
        <v/>
      </c>
      <c r="E27" s="101">
        <f ca="1"/>
        <v>0</v>
      </c>
      <c r="F27" s="102">
        <f ca="1"/>
        <v>0</v>
      </c>
      <c r="G27" s="103" t="str">
        <f ca="1"/>
        <v/>
      </c>
      <c r="H27" s="103">
        <f ca="1"/>
        <v>0</v>
      </c>
      <c r="I27" s="104">
        <f ca="1"/>
        <v>0</v>
      </c>
      <c r="J27" s="18" t="str">
        <f ca="1"/>
        <v/>
      </c>
      <c r="K27" s="18" t="str">
        <f ca="1"/>
        <v/>
      </c>
    </row>
    <row r="28" spans="1:11" ht="15.75">
      <c r="A28" s="99" t="str">
        <v>510 Carnegie Center</v>
      </c>
      <c r="B28" s="100" t="str">
        <v>NJ</v>
      </c>
      <c r="C28" s="101" t="str" cm="1">
        <f t="array" aca="1" ref="C28:K28" ca="1">IF(INDIRECT("'" &amp; $A28 &amp; "'!B15:J15")="", "", INDIRECT("'" &amp; $A28 &amp; "'!B15:J15"))</f>
        <v/>
      </c>
      <c r="D28" s="101" t="str">
        <f ca="1"/>
        <v/>
      </c>
      <c r="E28" s="101">
        <f ca="1"/>
        <v>0</v>
      </c>
      <c r="F28" s="102">
        <f ca="1"/>
        <v>0</v>
      </c>
      <c r="G28" s="103" t="str">
        <f ca="1"/>
        <v/>
      </c>
      <c r="H28" s="103">
        <f ca="1"/>
        <v>0</v>
      </c>
      <c r="I28" s="104">
        <f ca="1"/>
        <v>0</v>
      </c>
      <c r="J28" s="18" t="str">
        <f ca="1"/>
        <v/>
      </c>
      <c r="K28" s="18" t="str">
        <f ca="1"/>
        <v/>
      </c>
    </row>
    <row r="29" spans="1:11" ht="15.75">
      <c r="A29" s="105" t="str">
        <v>701 Carnegie Center</v>
      </c>
      <c r="B29" s="106" t="str">
        <v>NJ</v>
      </c>
      <c r="C29" s="101" t="str" cm="1">
        <f t="array" aca="1" ref="C29:K29" ca="1">IF(INDIRECT("'" &amp; $A29 &amp; "'!B15:J15")="", "", INDIRECT("'" &amp; $A29 &amp; "'!B15:J15"))</f>
        <v/>
      </c>
      <c r="D29" s="101" t="str">
        <f ca="1"/>
        <v/>
      </c>
      <c r="E29" s="101">
        <f ca="1"/>
        <v>0</v>
      </c>
      <c r="F29" s="102">
        <f ca="1"/>
        <v>0</v>
      </c>
      <c r="G29" s="103" t="str">
        <f ca="1"/>
        <v/>
      </c>
      <c r="H29" s="103">
        <f ca="1"/>
        <v>0</v>
      </c>
      <c r="I29" s="104">
        <f ca="1"/>
        <v>0</v>
      </c>
      <c r="J29" s="18" t="str">
        <f ca="1"/>
        <v/>
      </c>
      <c r="K29" s="18" t="str">
        <f ca="1"/>
        <v/>
      </c>
    </row>
    <row r="30" spans="1:11" ht="15.75">
      <c r="A30" s="99" t="str">
        <v>Hudson County Correction</v>
      </c>
      <c r="B30" s="100" t="str">
        <v>NJ</v>
      </c>
      <c r="C30" s="101" t="str" cm="1">
        <f t="array" aca="1" ref="C30:K30" ca="1">IF(INDIRECT("'" &amp; $A30 &amp; "'!B15:J15")="", "", INDIRECT("'" &amp; $A30 &amp; "'!B15:J15"))</f>
        <v/>
      </c>
      <c r="D30" s="101" t="str">
        <f ca="1"/>
        <v/>
      </c>
      <c r="E30" s="101">
        <f ca="1"/>
        <v>0</v>
      </c>
      <c r="F30" s="102">
        <f ca="1"/>
        <v>0</v>
      </c>
      <c r="G30" s="103" t="str">
        <f ca="1"/>
        <v/>
      </c>
      <c r="H30" s="103">
        <f ca="1"/>
        <v>0</v>
      </c>
      <c r="I30" s="104">
        <f ca="1"/>
        <v>0</v>
      </c>
      <c r="J30" s="18" t="str">
        <f ca="1"/>
        <v/>
      </c>
      <c r="K30" s="18" t="str">
        <f ca="1"/>
        <v/>
      </c>
    </row>
    <row r="31" spans="1:11" ht="15.75">
      <c r="A31" s="105" t="str">
        <v>ER Bison Solar</v>
      </c>
      <c r="B31" s="106" t="str">
        <v>PA</v>
      </c>
      <c r="C31" s="101" t="str" cm="1">
        <f t="array" aca="1" ref="C31:K31" ca="1">IF(INDIRECT("'" &amp; $A31 &amp; "'!B15:J15")="", "", INDIRECT("'" &amp; $A31 &amp; "'!B15:J15"))</f>
        <v/>
      </c>
      <c r="D31" s="101" t="str">
        <f ca="1"/>
        <v/>
      </c>
      <c r="E31" s="101">
        <f ca="1"/>
        <v>0</v>
      </c>
      <c r="F31" s="102">
        <f ca="1"/>
        <v>0</v>
      </c>
      <c r="G31" s="103" t="str">
        <f ca="1"/>
        <v/>
      </c>
      <c r="H31" s="103">
        <f ca="1"/>
        <v>0</v>
      </c>
      <c r="I31" s="104">
        <f ca="1"/>
        <v>0</v>
      </c>
      <c r="J31" s="18" t="str">
        <f ca="1"/>
        <v/>
      </c>
      <c r="K31" s="18" t="str">
        <f ca="1"/>
        <v/>
      </c>
    </row>
    <row r="32" spans="1:11" ht="15.75">
      <c r="A32" s="111" t="str">
        <v>Danville</v>
      </c>
      <c r="B32" s="112" t="str">
        <v>IL</v>
      </c>
      <c r="C32" s="101" t="str" cm="1">
        <f t="array" aca="1" ref="C32:K32" ca="1">IF(INDIRECT("'" &amp; $A32 &amp; "'!B15:J15")="", "", INDIRECT("'" &amp; $A32 &amp; "'!B15:J15"))</f>
        <v/>
      </c>
      <c r="D32" s="101" t="str">
        <f ca="1"/>
        <v/>
      </c>
      <c r="E32" s="101">
        <f ca="1"/>
        <v>0</v>
      </c>
      <c r="F32" s="102">
        <f ca="1"/>
        <v>0</v>
      </c>
      <c r="G32" s="103">
        <f ca="1"/>
        <v>0</v>
      </c>
      <c r="H32" s="103">
        <f ca="1"/>
        <v>0</v>
      </c>
      <c r="I32" s="104">
        <f ca="1"/>
        <v>0</v>
      </c>
      <c r="J32" s="18" t="str">
        <f ca="1"/>
        <v/>
      </c>
      <c r="K32" s="18" t="str">
        <f ca="1"/>
        <v xml:space="preserve"> </v>
      </c>
    </row>
    <row r="33" spans="1:9" ht="24.75" customHeight="1">
      <c r="A33" s="133" t="s">
        <v>11</v>
      </c>
      <c r="B33" s="134"/>
      <c r="C33" s="50">
        <f ca="1">SUM(C3:C31)</f>
        <v>0</v>
      </c>
      <c r="D33" s="50">
        <f ca="1">SUM(D3:D31)</f>
        <v>0</v>
      </c>
      <c r="E33" s="50">
        <f ca="1">C33-D33</f>
        <v>0</v>
      </c>
      <c r="F33" s="41">
        <f ca="1">IFERROR(E33/D33, 0)</f>
        <v>0</v>
      </c>
      <c r="G33" s="50">
        <f ca="1">SUM(G3:G31)</f>
        <v>0</v>
      </c>
      <c r="H33" s="51">
        <f ca="1">C33-G33</f>
        <v>0</v>
      </c>
      <c r="I33" s="42">
        <f ca="1">IFERROR(H33/G33, 0)</f>
        <v>0</v>
      </c>
    </row>
    <row r="35" spans="1:9" ht="12.75" customHeight="1">
      <c r="A35" s="135" t="s">
        <v>12</v>
      </c>
    </row>
    <row r="36" spans="1:9">
      <c r="A36" s="135"/>
    </row>
    <row r="37" spans="1:9" ht="12.75" customHeight="1">
      <c r="A37" s="136" t="s">
        <v>13</v>
      </c>
    </row>
    <row r="38" spans="1:9" ht="12.75" customHeight="1">
      <c r="A38" s="136"/>
    </row>
  </sheetData>
  <autoFilter ref="A2:I2" xr:uid="{7397A98F-A32F-42EE-8114-2658DE422011}"/>
  <mergeCells count="8">
    <mergeCell ref="G1:I1"/>
    <mergeCell ref="J1:J2"/>
    <mergeCell ref="K1:K2"/>
    <mergeCell ref="A35:A36"/>
    <mergeCell ref="A37:A38"/>
    <mergeCell ref="A33:B33"/>
    <mergeCell ref="C1:F1"/>
    <mergeCell ref="A1:B1"/>
  </mergeCells>
  <conditionalFormatting sqref="F3:F33 I3:I33">
    <cfRule type="cellIs" dxfId="505" priority="1" operator="lessThanOrEqual">
      <formula>-0.1</formula>
    </cfRule>
    <cfRule type="cellIs" dxfId="504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Q39"/>
  <sheetViews>
    <sheetView zoomScale="80" zoomScaleNormal="80" workbookViewId="0">
      <pane ySplit="2" topLeftCell="A3" activePane="bottomLeft" state="frozen"/>
      <selection pane="bottomLeft" activeCell="G20" sqref="G20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6.42578125" bestFit="1" customWidth="1"/>
    <col min="11" max="11" width="19.42578125" customWidth="1"/>
  </cols>
  <sheetData>
    <row r="1" spans="1:17" ht="19.5" customHeight="1">
      <c r="A1" s="137" t="str" cm="1">
        <f t="array" ref="A1">portfolio</f>
        <v>Greenbacker</v>
      </c>
      <c r="B1" s="138"/>
      <c r="C1" s="139" t="s">
        <v>44</v>
      </c>
      <c r="D1" s="140"/>
      <c r="E1" s="140"/>
      <c r="F1" s="141"/>
      <c r="G1" s="142" t="s">
        <v>45</v>
      </c>
      <c r="H1" s="142"/>
      <c r="I1" s="143"/>
      <c r="J1" s="131" t="s">
        <v>2</v>
      </c>
      <c r="K1" s="131" t="s">
        <v>3</v>
      </c>
    </row>
    <row r="2" spans="1:17" ht="14.25" customHeight="1">
      <c r="A2" s="45" t="s">
        <v>4</v>
      </c>
      <c r="B2" s="46" t="s">
        <v>5</v>
      </c>
      <c r="C2" s="5" t="s">
        <v>6</v>
      </c>
      <c r="D2" s="43" t="s">
        <v>7</v>
      </c>
      <c r="E2" s="5" t="s">
        <v>8</v>
      </c>
      <c r="F2" s="6" t="s">
        <v>9</v>
      </c>
      <c r="G2" s="44" t="s">
        <v>10</v>
      </c>
      <c r="H2" s="7" t="s">
        <v>8</v>
      </c>
      <c r="I2" s="9" t="s">
        <v>9</v>
      </c>
      <c r="J2" s="132"/>
      <c r="K2" s="132"/>
    </row>
    <row r="3" spans="1:17" ht="15.75">
      <c r="A3" s="107" t="str" cm="1">
        <f t="array" ref="A3:A32">Sites[Site]</f>
        <v>10 Walpole Park South</v>
      </c>
      <c r="B3" s="108" t="str" cm="1">
        <f t="array" ref="B3:B32">Sites[State]</f>
        <v>MA</v>
      </c>
      <c r="C3" s="101" t="str" cm="1">
        <f t="array" aca="1" ref="C3:K3" ca="1">IF(INDIRECT("'" &amp; $A3 &amp; "'!B16:J16")="", "", INDIRECT("'" &amp; $A3 &amp; "'!B16:J16"))</f>
        <v/>
      </c>
      <c r="D3" s="101" t="str">
        <f ca="1"/>
        <v/>
      </c>
      <c r="E3" s="101">
        <f ca="1"/>
        <v>0</v>
      </c>
      <c r="F3" s="109">
        <f ca="1"/>
        <v>0</v>
      </c>
      <c r="G3" s="103" t="str">
        <f ca="1"/>
        <v/>
      </c>
      <c r="H3" s="103">
        <f ca="1"/>
        <v>0</v>
      </c>
      <c r="I3" s="110">
        <f ca="1"/>
        <v>0</v>
      </c>
      <c r="J3" s="18" t="str">
        <f ca="1"/>
        <v/>
      </c>
      <c r="K3" s="18" t="str">
        <f ca="1"/>
        <v xml:space="preserve"> </v>
      </c>
    </row>
    <row r="4" spans="1:17" ht="15.75">
      <c r="A4" s="99" t="str">
        <v>15 Walpole Park South</v>
      </c>
      <c r="B4" s="100" t="str">
        <v>MA</v>
      </c>
      <c r="C4" s="101" t="str" cm="1">
        <f t="array" aca="1" ref="C4:K4" ca="1">IF(INDIRECT("'" &amp; $A4 &amp; "'!B16:J16")="", "", INDIRECT("'" &amp; $A4 &amp; "'!B16:J16"))</f>
        <v/>
      </c>
      <c r="D4" s="101" t="str">
        <f ca="1"/>
        <v/>
      </c>
      <c r="E4" s="101">
        <f ca="1"/>
        <v>0</v>
      </c>
      <c r="F4" s="102">
        <f ca="1"/>
        <v>0</v>
      </c>
      <c r="G4" s="103" t="str">
        <f ca="1"/>
        <v/>
      </c>
      <c r="H4" s="103">
        <f ca="1"/>
        <v>0</v>
      </c>
      <c r="I4" s="104">
        <f ca="1"/>
        <v>0</v>
      </c>
      <c r="J4" s="18" t="str">
        <f ca="1"/>
        <v/>
      </c>
      <c r="K4" s="18" t="str">
        <f ca="1"/>
        <v xml:space="preserve"> </v>
      </c>
    </row>
    <row r="5" spans="1:17" ht="15.75">
      <c r="A5" s="105" t="str">
        <v>19 Walpole Park South</v>
      </c>
      <c r="B5" s="106" t="str">
        <v>MA</v>
      </c>
      <c r="C5" s="101" t="str" cm="1">
        <f t="array" aca="1" ref="C5:K5" ca="1">IF(INDIRECT("'" &amp; $A5 &amp; "'!B16:J16")="", "", INDIRECT("'" &amp; $A5 &amp; "'!B16:J16"))</f>
        <v/>
      </c>
      <c r="D5" s="101" t="str">
        <f ca="1"/>
        <v/>
      </c>
      <c r="E5" s="101">
        <f ca="1"/>
        <v>0</v>
      </c>
      <c r="F5" s="102">
        <f ca="1"/>
        <v>0</v>
      </c>
      <c r="G5" s="103" t="str">
        <f ca="1"/>
        <v/>
      </c>
      <c r="H5" s="103">
        <f ca="1"/>
        <v>0</v>
      </c>
      <c r="I5" s="104">
        <f ca="1"/>
        <v>0</v>
      </c>
      <c r="J5" s="18" t="str">
        <f ca="1"/>
        <v/>
      </c>
      <c r="K5" s="18" t="str">
        <f ca="1"/>
        <v/>
      </c>
    </row>
    <row r="6" spans="1:17" ht="15.75">
      <c r="A6" s="99" t="str">
        <v>23 Walpole Park South</v>
      </c>
      <c r="B6" s="100" t="str">
        <v>MA</v>
      </c>
      <c r="C6" s="101" t="str" cm="1">
        <f t="array" aca="1" ref="C6:K6" ca="1">IF(INDIRECT("'" &amp; $A6 &amp; "'!B16:J16")="", "", INDIRECT("'" &amp; $A6 &amp; "'!B16:J16"))</f>
        <v/>
      </c>
      <c r="D6" s="101" t="str">
        <f ca="1"/>
        <v/>
      </c>
      <c r="E6" s="101">
        <f ca="1"/>
        <v>0</v>
      </c>
      <c r="F6" s="102">
        <f ca="1"/>
        <v>0</v>
      </c>
      <c r="G6" s="103" t="str">
        <f ca="1"/>
        <v/>
      </c>
      <c r="H6" s="103">
        <f ca="1"/>
        <v>0</v>
      </c>
      <c r="I6" s="104">
        <f ca="1"/>
        <v>0</v>
      </c>
      <c r="J6" s="18" t="str">
        <f ca="1"/>
        <v/>
      </c>
      <c r="K6" s="18" t="str">
        <f ca="1"/>
        <v/>
      </c>
    </row>
    <row r="7" spans="1:17" ht="15.75">
      <c r="A7" s="105" t="str">
        <v>24 Walpole Park South</v>
      </c>
      <c r="B7" s="106" t="str">
        <v>MA</v>
      </c>
      <c r="C7" s="101" t="str" cm="1">
        <f t="array" aca="1" ref="C7:K7" ca="1">IF(INDIRECT("'" &amp; $A7 &amp; "'!B16:J16")="", "", INDIRECT("'" &amp; $A7 &amp; "'!B16:J16"))</f>
        <v/>
      </c>
      <c r="D7" s="101" t="str">
        <f ca="1"/>
        <v/>
      </c>
      <c r="E7" s="101">
        <f ca="1"/>
        <v>0</v>
      </c>
      <c r="F7" s="102">
        <f ca="1"/>
        <v>0</v>
      </c>
      <c r="G7" s="103" t="str">
        <f ca="1"/>
        <v/>
      </c>
      <c r="H7" s="103">
        <f ca="1"/>
        <v>0</v>
      </c>
      <c r="I7" s="104">
        <f ca="1"/>
        <v>0</v>
      </c>
      <c r="J7" s="18" t="str">
        <f ca="1"/>
        <v/>
      </c>
      <c r="K7" s="18" t="str">
        <f ca="1"/>
        <v/>
      </c>
    </row>
    <row r="8" spans="1:17" ht="15.75">
      <c r="A8" s="99" t="str">
        <v>25 Walpole Park South</v>
      </c>
      <c r="B8" s="100" t="str">
        <v>MA</v>
      </c>
      <c r="C8" s="101" t="str" cm="1">
        <f t="array" aca="1" ref="C8:K8" ca="1">IF(INDIRECT("'" &amp; $A8 &amp; "'!B16:J16")="", "", INDIRECT("'" &amp; $A8 &amp; "'!B16:J16"))</f>
        <v/>
      </c>
      <c r="D8" s="101" t="str">
        <f ca="1"/>
        <v/>
      </c>
      <c r="E8" s="101">
        <f ca="1"/>
        <v>0</v>
      </c>
      <c r="F8" s="102">
        <f ca="1"/>
        <v>0</v>
      </c>
      <c r="G8" s="103" t="str">
        <f ca="1"/>
        <v/>
      </c>
      <c r="H8" s="103">
        <f ca="1"/>
        <v>0</v>
      </c>
      <c r="I8" s="104">
        <f ca="1"/>
        <v>0</v>
      </c>
      <c r="J8" s="18" t="str">
        <f ca="1"/>
        <v/>
      </c>
      <c r="K8" s="18" t="str">
        <f ca="1"/>
        <v/>
      </c>
    </row>
    <row r="9" spans="1:17" ht="15.75">
      <c r="A9" s="105" t="str">
        <v>3 Walpole Park South</v>
      </c>
      <c r="B9" s="106" t="str">
        <v>MA</v>
      </c>
      <c r="C9" s="101" t="str" cm="1">
        <f t="array" aca="1" ref="C9:K9" ca="1">IF(INDIRECT("'" &amp; $A9 &amp; "'!B16:J16")="", "", INDIRECT("'" &amp; $A9 &amp; "'!B16:J16"))</f>
        <v/>
      </c>
      <c r="D9" s="101" t="str">
        <f ca="1"/>
        <v/>
      </c>
      <c r="E9" s="101">
        <f ca="1"/>
        <v>0</v>
      </c>
      <c r="F9" s="102">
        <f ca="1"/>
        <v>0</v>
      </c>
      <c r="G9" s="103" t="str">
        <f ca="1"/>
        <v/>
      </c>
      <c r="H9" s="103">
        <f ca="1"/>
        <v>0</v>
      </c>
      <c r="I9" s="104">
        <f ca="1"/>
        <v>0</v>
      </c>
      <c r="J9" s="18" t="str">
        <f ca="1"/>
        <v/>
      </c>
      <c r="K9" s="18" t="str">
        <f ca="1"/>
        <v/>
      </c>
    </row>
    <row r="10" spans="1:17" ht="15.75">
      <c r="A10" s="99" t="str">
        <v>4 Walpole Park South</v>
      </c>
      <c r="B10" s="100" t="str">
        <v>MA</v>
      </c>
      <c r="C10" s="101" t="str" cm="1">
        <f t="array" aca="1" ref="C10:K10" ca="1">IF(INDIRECT("'" &amp; $A10 &amp; "'!B16:J16")="", "", INDIRECT("'" &amp; $A10 &amp; "'!B16:J16"))</f>
        <v/>
      </c>
      <c r="D10" s="101" t="str">
        <f ca="1"/>
        <v/>
      </c>
      <c r="E10" s="101">
        <f ca="1"/>
        <v>0</v>
      </c>
      <c r="F10" s="102">
        <f ca="1"/>
        <v>0</v>
      </c>
      <c r="G10" s="103" t="str">
        <f ca="1"/>
        <v/>
      </c>
      <c r="H10" s="103">
        <f ca="1"/>
        <v>0</v>
      </c>
      <c r="I10" s="104">
        <f ca="1"/>
        <v>0</v>
      </c>
      <c r="J10" s="18" t="str">
        <f ca="1"/>
        <v/>
      </c>
      <c r="K10" s="18" t="str">
        <f ca="1"/>
        <v xml:space="preserve"> </v>
      </c>
    </row>
    <row r="11" spans="1:17" ht="15.75">
      <c r="A11" s="105" t="str">
        <v>Brockton</v>
      </c>
      <c r="B11" s="106" t="str">
        <v>MA</v>
      </c>
      <c r="C11" s="101" t="str" cm="1">
        <f t="array" aca="1" ref="C11:K11" ca="1">IF(INDIRECT("'" &amp; $A11 &amp; "'!B16:J16")="", "", INDIRECT("'" &amp; $A11 &amp; "'!B16:J16"))</f>
        <v/>
      </c>
      <c r="D11" s="101" t="str">
        <f ca="1"/>
        <v/>
      </c>
      <c r="E11" s="101">
        <f ca="1"/>
        <v>0</v>
      </c>
      <c r="F11" s="102">
        <f ca="1"/>
        <v>0</v>
      </c>
      <c r="G11" s="103" t="str">
        <f ca="1"/>
        <v/>
      </c>
      <c r="H11" s="103">
        <f ca="1"/>
        <v>0</v>
      </c>
      <c r="I11" s="104">
        <f ca="1"/>
        <v>0</v>
      </c>
      <c r="J11" s="18" t="str">
        <f ca="1"/>
        <v/>
      </c>
      <c r="K11" s="18" t="str">
        <f ca="1"/>
        <v/>
      </c>
    </row>
    <row r="12" spans="1:17" ht="15.75">
      <c r="A12" s="99" t="str">
        <v>Canton</v>
      </c>
      <c r="B12" s="100" t="str">
        <v>MA</v>
      </c>
      <c r="C12" s="101" t="str" cm="1">
        <f t="array" aca="1" ref="C12:K12" ca="1">IF(INDIRECT("'" &amp; $A12 &amp; "'!B16:J16")="", "", INDIRECT("'" &amp; $A12 &amp; "'!B16:J16"))</f>
        <v/>
      </c>
      <c r="D12" s="101" t="str">
        <f ca="1"/>
        <v/>
      </c>
      <c r="E12" s="101">
        <f ca="1"/>
        <v>0</v>
      </c>
      <c r="F12" s="102">
        <f ca="1"/>
        <v>0</v>
      </c>
      <c r="G12" s="103" t="str">
        <f ca="1"/>
        <v/>
      </c>
      <c r="H12" s="103">
        <f ca="1"/>
        <v>0</v>
      </c>
      <c r="I12" s="104">
        <f ca="1"/>
        <v>0</v>
      </c>
      <c r="J12" s="18" t="str">
        <f ca="1"/>
        <v/>
      </c>
      <c r="K12" s="18" t="str">
        <f ca="1"/>
        <v/>
      </c>
    </row>
    <row r="13" spans="1:17" ht="15.75">
      <c r="A13" s="105" t="str">
        <v>Chelsea</v>
      </c>
      <c r="B13" s="106" t="str">
        <v>MA</v>
      </c>
      <c r="C13" s="101" t="str" cm="1">
        <f t="array" aca="1" ref="C13:K13" ca="1">IF(INDIRECT("'" &amp; $A13 &amp; "'!B16:J16")="", "", INDIRECT("'" &amp; $A13 &amp; "'!B16:J16"))</f>
        <v/>
      </c>
      <c r="D13" s="101" t="str">
        <f ca="1"/>
        <v/>
      </c>
      <c r="E13" s="101">
        <f ca="1"/>
        <v>0</v>
      </c>
      <c r="F13" s="102">
        <f ca="1"/>
        <v>0</v>
      </c>
      <c r="G13" s="103" t="str">
        <f ca="1"/>
        <v/>
      </c>
      <c r="H13" s="103">
        <f ca="1"/>
        <v>0</v>
      </c>
      <c r="I13" s="104">
        <f ca="1"/>
        <v>0</v>
      </c>
      <c r="J13" s="18" t="str">
        <f ca="1"/>
        <v/>
      </c>
      <c r="K13" s="18" t="str">
        <f ca="1"/>
        <v/>
      </c>
    </row>
    <row r="14" spans="1:17" ht="15.75">
      <c r="A14" s="99" t="str">
        <v>Hamilton Landfill</v>
      </c>
      <c r="B14" s="100" t="str">
        <v>MA</v>
      </c>
      <c r="C14" s="101" t="str" cm="1">
        <f t="array" aca="1" ref="C14:K14" ca="1">IF(INDIRECT("'" &amp; $A14 &amp; "'!B16:J16")="", "", INDIRECT("'" &amp; $A14 &amp; "'!B16:J16"))</f>
        <v/>
      </c>
      <c r="D14" s="101" t="str">
        <f ca="1"/>
        <v/>
      </c>
      <c r="E14" s="101">
        <f ca="1"/>
        <v>0</v>
      </c>
      <c r="F14" s="102">
        <f ca="1"/>
        <v>0</v>
      </c>
      <c r="G14" s="103" t="str">
        <f ca="1"/>
        <v/>
      </c>
      <c r="H14" s="103">
        <f ca="1"/>
        <v>0</v>
      </c>
      <c r="I14" s="104">
        <f ca="1"/>
        <v>0</v>
      </c>
      <c r="J14" s="18" t="str">
        <f ca="1"/>
        <v/>
      </c>
      <c r="K14" s="18" t="str">
        <f ca="1"/>
        <v/>
      </c>
    </row>
    <row r="15" spans="1:17" ht="15.75">
      <c r="A15" s="105" t="str">
        <v>Holliston</v>
      </c>
      <c r="B15" s="106" t="str">
        <v>MA</v>
      </c>
      <c r="C15" s="101" t="str" cm="1">
        <f t="array" aca="1" ref="C15:K15" ca="1">IF(INDIRECT("'" &amp; $A15 &amp; "'!B16:J16")="", "", INDIRECT("'" &amp; $A15 &amp; "'!B16:J16"))</f>
        <v/>
      </c>
      <c r="D15" s="101" t="str">
        <f ca="1"/>
        <v/>
      </c>
      <c r="E15" s="101">
        <f ca="1"/>
        <v>0</v>
      </c>
      <c r="F15" s="102">
        <f ca="1"/>
        <v>0</v>
      </c>
      <c r="G15" s="103" t="str">
        <f ca="1"/>
        <v/>
      </c>
      <c r="H15" s="103">
        <f ca="1"/>
        <v>0</v>
      </c>
      <c r="I15" s="104">
        <f ca="1"/>
        <v>0</v>
      </c>
      <c r="J15" s="18" t="str">
        <f ca="1"/>
        <v/>
      </c>
      <c r="K15" s="18" t="str">
        <f ca="1"/>
        <v/>
      </c>
    </row>
    <row r="16" spans="1:17" ht="15.75">
      <c r="A16" s="99" t="str">
        <v>Natick HS - Carports</v>
      </c>
      <c r="B16" s="100" t="str">
        <v>MA</v>
      </c>
      <c r="C16" s="101" t="str" cm="1">
        <f t="array" aca="1" ref="C16:K16" ca="1">IF(INDIRECT("'" &amp; $A16 &amp; "'!B16:J16")="", "", INDIRECT("'" &amp; $A16 &amp; "'!B16:J16"))</f>
        <v/>
      </c>
      <c r="D16" s="101" t="str">
        <f ca="1"/>
        <v/>
      </c>
      <c r="E16" s="101">
        <f ca="1"/>
        <v>0</v>
      </c>
      <c r="F16" s="102">
        <f ca="1"/>
        <v>0</v>
      </c>
      <c r="G16" s="103" t="str">
        <f ca="1"/>
        <v/>
      </c>
      <c r="H16" s="103">
        <f ca="1"/>
        <v>0</v>
      </c>
      <c r="I16" s="104">
        <f ca="1"/>
        <v>0</v>
      </c>
      <c r="J16" s="18" t="str">
        <f ca="1"/>
        <v/>
      </c>
      <c r="K16" s="18" t="str">
        <f ca="1"/>
        <v/>
      </c>
      <c r="Q16">
        <v>22000</v>
      </c>
    </row>
    <row r="17" spans="1:17" ht="15.75">
      <c r="A17" s="105" t="str">
        <v>Norton</v>
      </c>
      <c r="B17" s="106" t="str">
        <v>MA</v>
      </c>
      <c r="C17" s="101" t="str" cm="1">
        <f t="array" aca="1" ref="C17:K17" ca="1">IF(INDIRECT("'" &amp; $A17 &amp; "'!B16:J16")="", "", INDIRECT("'" &amp; $A17 &amp; "'!B16:J16"))</f>
        <v/>
      </c>
      <c r="D17" s="101" t="str">
        <f ca="1"/>
        <v/>
      </c>
      <c r="E17" s="101">
        <f ca="1"/>
        <v>0</v>
      </c>
      <c r="F17" s="102">
        <f ca="1"/>
        <v>0</v>
      </c>
      <c r="G17" s="103" t="str">
        <f ca="1"/>
        <v/>
      </c>
      <c r="H17" s="103">
        <f ca="1"/>
        <v>0</v>
      </c>
      <c r="I17" s="104">
        <f ca="1"/>
        <v>0</v>
      </c>
      <c r="J17" s="18" t="str">
        <f ca="1"/>
        <v/>
      </c>
      <c r="K17" s="18" t="str">
        <f ca="1"/>
        <v/>
      </c>
      <c r="Q17">
        <v>36</v>
      </c>
    </row>
    <row r="18" spans="1:17" ht="15.75">
      <c r="A18" s="99" t="str">
        <v>Palmer - Boston Rd.</v>
      </c>
      <c r="B18" s="100" t="str">
        <v>MA</v>
      </c>
      <c r="C18" s="101" t="str" cm="1">
        <f t="array" aca="1" ref="C18:K18" ca="1">IF(INDIRECT("'" &amp; $A18 &amp; "'!B16:J16")="", "", INDIRECT("'" &amp; $A18 &amp; "'!B16:J16"))</f>
        <v/>
      </c>
      <c r="D18" s="101" t="str">
        <f ca="1"/>
        <v/>
      </c>
      <c r="E18" s="101">
        <f ca="1"/>
        <v>0</v>
      </c>
      <c r="F18" s="102">
        <f ca="1"/>
        <v>0</v>
      </c>
      <c r="G18" s="103" t="str">
        <f ca="1"/>
        <v/>
      </c>
      <c r="H18" s="103">
        <f ca="1"/>
        <v>0</v>
      </c>
      <c r="I18" s="104">
        <f ca="1"/>
        <v>0</v>
      </c>
      <c r="J18" s="18" t="str">
        <f ca="1"/>
        <v/>
      </c>
      <c r="K18" s="18" t="str">
        <f ca="1"/>
        <v/>
      </c>
      <c r="Q18">
        <f>Q16*Q17</f>
        <v>792000</v>
      </c>
    </row>
    <row r="19" spans="1:17" ht="15.75">
      <c r="A19" s="105" t="str">
        <v>Shirley Bartkus</v>
      </c>
      <c r="B19" s="106" t="str">
        <v>MA</v>
      </c>
      <c r="C19" s="101" t="str" cm="1">
        <f t="array" aca="1" ref="C19:K19" ca="1">IF(INDIRECT("'" &amp; $A19 &amp; "'!B16:J16")="", "", INDIRECT("'" &amp; $A19 &amp; "'!B16:J16"))</f>
        <v/>
      </c>
      <c r="D19" s="101" t="str">
        <f ca="1"/>
        <v/>
      </c>
      <c r="E19" s="101">
        <f ca="1"/>
        <v>0</v>
      </c>
      <c r="F19" s="102">
        <f ca="1"/>
        <v>0</v>
      </c>
      <c r="G19" s="103" t="str">
        <f ca="1"/>
        <v/>
      </c>
      <c r="H19" s="103">
        <f ca="1"/>
        <v>0</v>
      </c>
      <c r="I19" s="104">
        <f ca="1"/>
        <v>0</v>
      </c>
      <c r="J19" s="18" t="str">
        <f ca="1"/>
        <v/>
      </c>
      <c r="K19" s="18" t="str">
        <f ca="1"/>
        <v/>
      </c>
    </row>
    <row r="20" spans="1:17" ht="15.75">
      <c r="A20" s="99" t="str">
        <v>Stoughton</v>
      </c>
      <c r="B20" s="100" t="str">
        <v>MA</v>
      </c>
      <c r="C20" s="101" t="str" cm="1">
        <f t="array" aca="1" ref="C20:K20" ca="1">IF(INDIRECT("'" &amp; $A20 &amp; "'!B16:J16")="", "", INDIRECT("'" &amp; $A20 &amp; "'!B16:J16"))</f>
        <v/>
      </c>
      <c r="D20" s="101" t="str">
        <f ca="1"/>
        <v/>
      </c>
      <c r="E20" s="101">
        <f ca="1"/>
        <v>0</v>
      </c>
      <c r="F20" s="102">
        <f ca="1"/>
        <v>0</v>
      </c>
      <c r="G20" s="103" t="str">
        <f ca="1"/>
        <v/>
      </c>
      <c r="H20" s="103">
        <f ca="1"/>
        <v>0</v>
      </c>
      <c r="I20" s="104">
        <f ca="1"/>
        <v>0</v>
      </c>
      <c r="J20" s="18" t="str">
        <f ca="1"/>
        <v/>
      </c>
      <c r="K20" s="18" t="str">
        <f ca="1"/>
        <v xml:space="preserve"> </v>
      </c>
    </row>
    <row r="21" spans="1:17" ht="15.75">
      <c r="A21" s="105" t="str">
        <v>Wellfleet Landfill</v>
      </c>
      <c r="B21" s="106" t="str">
        <v>MA</v>
      </c>
      <c r="C21" s="101" t="str" cm="1">
        <f t="array" aca="1" ref="C21:K21" ca="1">IF(INDIRECT("'" &amp; $A21 &amp; "'!B16:J16")="", "", INDIRECT("'" &amp; $A21 &amp; "'!B16:J16"))</f>
        <v/>
      </c>
      <c r="D21" s="101" t="str">
        <f ca="1"/>
        <v/>
      </c>
      <c r="E21" s="101">
        <f ca="1"/>
        <v>0</v>
      </c>
      <c r="F21" s="102">
        <f ca="1"/>
        <v>0</v>
      </c>
      <c r="G21" s="103" t="str">
        <f ca="1"/>
        <v/>
      </c>
      <c r="H21" s="103">
        <f ca="1"/>
        <v>0</v>
      </c>
      <c r="I21" s="104">
        <f ca="1"/>
        <v>0</v>
      </c>
      <c r="J21" s="18" t="str">
        <f ca="1"/>
        <v/>
      </c>
      <c r="K21" s="18" t="str">
        <f ca="1"/>
        <v/>
      </c>
    </row>
    <row r="22" spans="1:17" ht="15.75">
      <c r="A22" s="99" t="str">
        <v>Wilmington Garage &amp; Building 7</v>
      </c>
      <c r="B22" s="100" t="str">
        <v>MA</v>
      </c>
      <c r="C22" s="101" t="str" cm="1">
        <f t="array" aca="1" ref="C22:K22" ca="1">IF(INDIRECT("'" &amp; $A22 &amp; "'!B16:J16")="", "", INDIRECT("'" &amp; $A22 &amp; "'!B16:J16"))</f>
        <v/>
      </c>
      <c r="D22" s="101" t="str">
        <f ca="1"/>
        <v/>
      </c>
      <c r="E22" s="101">
        <f ca="1"/>
        <v>0</v>
      </c>
      <c r="F22" s="102">
        <f ca="1"/>
        <v>0</v>
      </c>
      <c r="G22" s="103" t="str">
        <f ca="1"/>
        <v/>
      </c>
      <c r="H22" s="103">
        <f ca="1"/>
        <v>0</v>
      </c>
      <c r="I22" s="104">
        <f ca="1"/>
        <v>0</v>
      </c>
      <c r="J22" s="18" t="str">
        <f ca="1"/>
        <v/>
      </c>
      <c r="K22" s="18" t="str">
        <f ca="1"/>
        <v/>
      </c>
    </row>
    <row r="23" spans="1:17" ht="15.75">
      <c r="A23" s="105" t="str">
        <v>Woburn</v>
      </c>
      <c r="B23" s="106" t="str">
        <v>MA</v>
      </c>
      <c r="C23" s="101" t="str" cm="1">
        <f t="array" aca="1" ref="C23:K23" ca="1">IF(INDIRECT("'" &amp; $A23 &amp; "'!B16:J16")="", "", INDIRECT("'" &amp; $A23 &amp; "'!B16:J16"))</f>
        <v/>
      </c>
      <c r="D23" s="101" t="str">
        <f ca="1"/>
        <v/>
      </c>
      <c r="E23" s="101">
        <f ca="1"/>
        <v>0</v>
      </c>
      <c r="F23" s="102">
        <f ca="1"/>
        <v>0</v>
      </c>
      <c r="G23" s="103" t="str">
        <f ca="1"/>
        <v/>
      </c>
      <c r="H23" s="103">
        <f ca="1"/>
        <v>0</v>
      </c>
      <c r="I23" s="104">
        <f ca="1"/>
        <v>0</v>
      </c>
      <c r="J23" s="18" t="str">
        <f ca="1"/>
        <v/>
      </c>
      <c r="K23" s="18" t="str">
        <f ca="1"/>
        <v/>
      </c>
    </row>
    <row r="24" spans="1:17" ht="15.75">
      <c r="A24" s="99" t="str">
        <v>Friendship Solar 1</v>
      </c>
      <c r="B24" s="100" t="str">
        <v>MD</v>
      </c>
      <c r="C24" s="101" t="str" cm="1">
        <f t="array" aca="1" ref="C24:K24" ca="1">IF(INDIRECT("'" &amp; $A24 &amp; "'!B16:J16")="", "", INDIRECT("'" &amp; $A24 &amp; "'!B16:J16"))</f>
        <v/>
      </c>
      <c r="D24" s="101" t="str">
        <f ca="1"/>
        <v/>
      </c>
      <c r="E24" s="101">
        <f ca="1"/>
        <v>0</v>
      </c>
      <c r="F24" s="102">
        <f ca="1"/>
        <v>0</v>
      </c>
      <c r="G24" s="103" t="str">
        <f ca="1"/>
        <v/>
      </c>
      <c r="H24" s="103">
        <f ca="1"/>
        <v>0</v>
      </c>
      <c r="I24" s="104">
        <f ca="1"/>
        <v>0</v>
      </c>
      <c r="J24" s="18" t="str">
        <f ca="1"/>
        <v/>
      </c>
      <c r="K24" s="18" t="str">
        <f ca="1"/>
        <v/>
      </c>
    </row>
    <row r="25" spans="1:17" ht="15.75">
      <c r="A25" s="105" t="str">
        <v>Friendship Solar 2</v>
      </c>
      <c r="B25" s="106" t="str">
        <v>MD</v>
      </c>
      <c r="C25" s="101" t="str" cm="1">
        <f t="array" aca="1" ref="C25:K25" ca="1">IF(INDIRECT("'" &amp; $A25 &amp; "'!B16:J16")="", "", INDIRECT("'" &amp; $A25 &amp; "'!B16:J16"))</f>
        <v/>
      </c>
      <c r="D25" s="101" t="str">
        <f ca="1"/>
        <v/>
      </c>
      <c r="E25" s="101">
        <f ca="1"/>
        <v>0</v>
      </c>
      <c r="F25" s="102">
        <f ca="1"/>
        <v>0</v>
      </c>
      <c r="G25" s="103" t="str">
        <f ca="1"/>
        <v/>
      </c>
      <c r="H25" s="103">
        <f ca="1"/>
        <v>0</v>
      </c>
      <c r="I25" s="104">
        <f ca="1"/>
        <v>0</v>
      </c>
      <c r="J25" s="18" t="str">
        <f ca="1"/>
        <v/>
      </c>
      <c r="K25" s="18" t="str">
        <f ca="1"/>
        <v/>
      </c>
    </row>
    <row r="26" spans="1:17" ht="15.75">
      <c r="A26" s="99" t="str">
        <v>101 Carnegie Center</v>
      </c>
      <c r="B26" s="100" t="str">
        <v>NJ</v>
      </c>
      <c r="C26" s="101" t="str" cm="1">
        <f t="array" aca="1" ref="C26:K26" ca="1">IF(INDIRECT("'" &amp; $A26 &amp; "'!B16:J16")="", "", INDIRECT("'" &amp; $A26 &amp; "'!B16:J16"))</f>
        <v/>
      </c>
      <c r="D26" s="101" t="str">
        <f ca="1"/>
        <v/>
      </c>
      <c r="E26" s="101">
        <f ca="1"/>
        <v>0</v>
      </c>
      <c r="F26" s="102">
        <f ca="1"/>
        <v>0</v>
      </c>
      <c r="G26" s="103" t="str">
        <f ca="1"/>
        <v/>
      </c>
      <c r="H26" s="103">
        <f ca="1"/>
        <v>0</v>
      </c>
      <c r="I26" s="104">
        <f ca="1"/>
        <v>0</v>
      </c>
      <c r="J26" s="18" t="str">
        <f ca="1"/>
        <v/>
      </c>
      <c r="K26" s="18" t="str">
        <f ca="1"/>
        <v/>
      </c>
    </row>
    <row r="27" spans="1:17" ht="15.75">
      <c r="A27" s="105" t="str">
        <v>302 Carnegie Center</v>
      </c>
      <c r="B27" s="106" t="str">
        <v>NJ</v>
      </c>
      <c r="C27" s="101" t="str" cm="1">
        <f t="array" aca="1" ref="C27:K27" ca="1">IF(INDIRECT("'" &amp; $A27 &amp; "'!B16:J16")="", "", INDIRECT("'" &amp; $A27 &amp; "'!B16:J16"))</f>
        <v/>
      </c>
      <c r="D27" s="101" t="str">
        <f ca="1"/>
        <v/>
      </c>
      <c r="E27" s="101">
        <f ca="1"/>
        <v>0</v>
      </c>
      <c r="F27" s="102">
        <f ca="1"/>
        <v>0</v>
      </c>
      <c r="G27" s="103" t="str">
        <f ca="1"/>
        <v/>
      </c>
      <c r="H27" s="103">
        <f ca="1"/>
        <v>0</v>
      </c>
      <c r="I27" s="104">
        <f ca="1"/>
        <v>0</v>
      </c>
      <c r="J27" s="18" t="str">
        <f ca="1"/>
        <v/>
      </c>
      <c r="K27" s="18" t="str">
        <f ca="1"/>
        <v/>
      </c>
    </row>
    <row r="28" spans="1:17" ht="15.75">
      <c r="A28" s="99" t="str">
        <v>510 Carnegie Center</v>
      </c>
      <c r="B28" s="100" t="str">
        <v>NJ</v>
      </c>
      <c r="C28" s="101" t="str" cm="1">
        <f t="array" aca="1" ref="C28:K28" ca="1">IF(INDIRECT("'" &amp; $A28 &amp; "'!B16:J16")="", "", INDIRECT("'" &amp; $A28 &amp; "'!B16:J16"))</f>
        <v/>
      </c>
      <c r="D28" s="101" t="str">
        <f ca="1"/>
        <v/>
      </c>
      <c r="E28" s="101">
        <f ca="1"/>
        <v>0</v>
      </c>
      <c r="F28" s="102">
        <f ca="1"/>
        <v>0</v>
      </c>
      <c r="G28" s="103" t="str">
        <f ca="1"/>
        <v/>
      </c>
      <c r="H28" s="103">
        <f ca="1"/>
        <v>0</v>
      </c>
      <c r="I28" s="104">
        <f ca="1"/>
        <v>0</v>
      </c>
      <c r="J28" s="18" t="str">
        <f ca="1"/>
        <v/>
      </c>
      <c r="K28" s="18" t="str">
        <f ca="1"/>
        <v/>
      </c>
    </row>
    <row r="29" spans="1:17" ht="15.75">
      <c r="A29" s="105" t="str">
        <v>701 Carnegie Center</v>
      </c>
      <c r="B29" s="106" t="str">
        <v>NJ</v>
      </c>
      <c r="C29" s="101" t="str" cm="1">
        <f t="array" aca="1" ref="C29:K29" ca="1">IF(INDIRECT("'" &amp; $A29 &amp; "'!B16:J16")="", "", INDIRECT("'" &amp; $A29 &amp; "'!B16:J16"))</f>
        <v/>
      </c>
      <c r="D29" s="101" t="str">
        <f ca="1"/>
        <v/>
      </c>
      <c r="E29" s="101">
        <f ca="1"/>
        <v>0</v>
      </c>
      <c r="F29" s="102">
        <f ca="1"/>
        <v>0</v>
      </c>
      <c r="G29" s="103" t="str">
        <f ca="1"/>
        <v/>
      </c>
      <c r="H29" s="103">
        <f ca="1"/>
        <v>0</v>
      </c>
      <c r="I29" s="104">
        <f ca="1"/>
        <v>0</v>
      </c>
      <c r="J29" s="18" t="str">
        <f ca="1"/>
        <v/>
      </c>
      <c r="K29" s="18" t="str">
        <f ca="1"/>
        <v/>
      </c>
    </row>
    <row r="30" spans="1:17" ht="15.75">
      <c r="A30" s="99" t="str">
        <v>Hudson County Correction</v>
      </c>
      <c r="B30" s="100" t="str">
        <v>NJ</v>
      </c>
      <c r="C30" s="101" t="str" cm="1">
        <f t="array" aca="1" ref="C30:K30" ca="1">IF(INDIRECT("'" &amp; $A30 &amp; "'!B16:J16")="", "", INDIRECT("'" &amp; $A30 &amp; "'!B16:J16"))</f>
        <v/>
      </c>
      <c r="D30" s="101" t="str">
        <f ca="1"/>
        <v/>
      </c>
      <c r="E30" s="101">
        <f ca="1"/>
        <v>0</v>
      </c>
      <c r="F30" s="102">
        <f ca="1"/>
        <v>0</v>
      </c>
      <c r="G30" s="103" t="str">
        <f ca="1"/>
        <v/>
      </c>
      <c r="H30" s="103">
        <f ca="1"/>
        <v>0</v>
      </c>
      <c r="I30" s="104">
        <f ca="1"/>
        <v>0</v>
      </c>
      <c r="J30" s="18" t="str">
        <f ca="1"/>
        <v/>
      </c>
      <c r="K30" s="18" t="str">
        <f ca="1"/>
        <v/>
      </c>
    </row>
    <row r="31" spans="1:17" ht="15.75">
      <c r="A31" s="105" t="str">
        <v>ER Bison Solar</v>
      </c>
      <c r="B31" s="106" t="str">
        <v>PA</v>
      </c>
      <c r="C31" s="101" t="str" cm="1">
        <f t="array" aca="1" ref="C31:K31" ca="1">IF(INDIRECT("'" &amp; $A31 &amp; "'!B16:J16")="", "", INDIRECT("'" &amp; $A31 &amp; "'!B16:J16"))</f>
        <v/>
      </c>
      <c r="D31" s="101" t="str">
        <f ca="1"/>
        <v/>
      </c>
      <c r="E31" s="101">
        <f ca="1"/>
        <v>0</v>
      </c>
      <c r="F31" s="102">
        <f ca="1"/>
        <v>0</v>
      </c>
      <c r="G31" s="103" t="str">
        <f ca="1"/>
        <v/>
      </c>
      <c r="H31" s="103">
        <f ca="1"/>
        <v>0</v>
      </c>
      <c r="I31" s="104">
        <f ca="1"/>
        <v>0</v>
      </c>
      <c r="J31" s="18" t="str">
        <f ca="1"/>
        <v/>
      </c>
      <c r="K31" s="18" t="str">
        <f ca="1"/>
        <v/>
      </c>
    </row>
    <row r="32" spans="1:17" ht="15.75">
      <c r="A32" s="111" t="str">
        <v>Danville</v>
      </c>
      <c r="B32" s="112" t="str">
        <v>IL</v>
      </c>
      <c r="C32" s="101" t="str" cm="1">
        <f t="array" aca="1" ref="C32:K32" ca="1">IF(INDIRECT("'" &amp; $A32 &amp; "'!B16:J16")="", "", INDIRECT("'" &amp; $A32 &amp; "'!B16:J16"))</f>
        <v/>
      </c>
      <c r="D32" s="101" t="str">
        <f ca="1"/>
        <v/>
      </c>
      <c r="E32" s="101">
        <f ca="1"/>
        <v>0</v>
      </c>
      <c r="F32" s="102">
        <f ca="1"/>
        <v>0</v>
      </c>
      <c r="G32" s="103">
        <f ca="1"/>
        <v>0</v>
      </c>
      <c r="H32" s="103">
        <f ca="1"/>
        <v>0</v>
      </c>
      <c r="I32" s="104">
        <f ca="1"/>
        <v>0</v>
      </c>
      <c r="J32" s="18" t="str">
        <f ca="1"/>
        <v/>
      </c>
      <c r="K32" s="18" t="str">
        <f ca="1"/>
        <v xml:space="preserve"> </v>
      </c>
    </row>
    <row r="33" spans="1:10" ht="24.75" customHeight="1">
      <c r="A33" s="133" t="s">
        <v>11</v>
      </c>
      <c r="B33" s="134"/>
      <c r="C33" s="50">
        <f ca="1">SUM(C3:C31)</f>
        <v>0</v>
      </c>
      <c r="D33" s="50">
        <f ca="1">SUM(D3:D31)</f>
        <v>0</v>
      </c>
      <c r="E33" s="50">
        <f ca="1">C33-D33</f>
        <v>0</v>
      </c>
      <c r="F33" s="41">
        <f ca="1">IFERROR(E33/D33, 0)</f>
        <v>0</v>
      </c>
      <c r="G33" s="50">
        <f ca="1">SUM(G3:G31)</f>
        <v>0</v>
      </c>
      <c r="H33" s="51">
        <f ca="1">C33-G33</f>
        <v>0</v>
      </c>
      <c r="I33" s="42">
        <f ca="1">IFERROR(H33/G33, 0)</f>
        <v>0</v>
      </c>
      <c r="J33" s="8"/>
    </row>
    <row r="34" spans="1:10">
      <c r="J34" s="8"/>
    </row>
    <row r="35" spans="1:10" ht="12.75" customHeight="1">
      <c r="A35" s="135" t="s">
        <v>12</v>
      </c>
      <c r="J35" s="8"/>
    </row>
    <row r="36" spans="1:10">
      <c r="A36" s="135"/>
      <c r="J36" s="8"/>
    </row>
    <row r="37" spans="1:10">
      <c r="A37" s="136" t="s">
        <v>13</v>
      </c>
      <c r="J37" s="8"/>
    </row>
    <row r="38" spans="1:10" ht="12.75" customHeight="1">
      <c r="A38" s="136"/>
      <c r="J38" s="8"/>
    </row>
    <row r="39" spans="1:10">
      <c r="J39" s="8"/>
    </row>
  </sheetData>
  <autoFilter ref="A2:I2" xr:uid="{7BFACBC8-3831-4E2B-BAD7-988F02FCC664}"/>
  <mergeCells count="8">
    <mergeCell ref="G1:I1"/>
    <mergeCell ref="J1:J2"/>
    <mergeCell ref="K1:K2"/>
    <mergeCell ref="A35:A36"/>
    <mergeCell ref="A37:A38"/>
    <mergeCell ref="A33:B33"/>
    <mergeCell ref="C1:F1"/>
    <mergeCell ref="A1:B1"/>
  </mergeCells>
  <conditionalFormatting sqref="F3:F33 I3:I33">
    <cfRule type="cellIs" dxfId="503" priority="1" operator="lessThanOrEqual">
      <formula>-0.1</formula>
    </cfRule>
    <cfRule type="cellIs" dxfId="502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32"/>
  <sheetViews>
    <sheetView workbookViewId="0">
      <pane ySplit="2" topLeftCell="A8" activePane="bottomLeft" state="frozen"/>
      <selection pane="bottomLeft" activeCell="B24" sqref="B24"/>
    </sheetView>
  </sheetViews>
  <sheetFormatPr defaultRowHeight="12.75" customHeight="1"/>
  <cols>
    <col min="1" max="2" width="41.85546875" customWidth="1"/>
    <col min="4" max="4" width="9.140625" customWidth="1"/>
    <col min="5" max="5" width="18.57031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2" spans="1:7">
      <c r="A2" t="s">
        <v>48</v>
      </c>
      <c r="B2" t="s">
        <v>4</v>
      </c>
      <c r="C2" t="s">
        <v>5</v>
      </c>
      <c r="D2" t="s">
        <v>49</v>
      </c>
      <c r="E2" t="s">
        <v>50</v>
      </c>
    </row>
    <row r="3" spans="1:7" ht="14.25">
      <c r="A3" s="12" t="s">
        <v>51</v>
      </c>
      <c r="B3" t="s">
        <v>51</v>
      </c>
      <c r="C3" s="98" t="s">
        <v>52</v>
      </c>
      <c r="D3" t="s">
        <v>53</v>
      </c>
      <c r="E3" s="98" t="s">
        <v>54</v>
      </c>
      <c r="G3" s="12"/>
    </row>
    <row r="4" spans="1:7" ht="14.25">
      <c r="A4" s="12" t="s">
        <v>55</v>
      </c>
      <c r="B4" t="s">
        <v>55</v>
      </c>
      <c r="C4" s="98" t="s">
        <v>52</v>
      </c>
      <c r="D4" t="s">
        <v>53</v>
      </c>
      <c r="E4" s="98" t="s">
        <v>54</v>
      </c>
      <c r="G4" s="12"/>
    </row>
    <row r="5" spans="1:7" ht="14.25">
      <c r="A5" s="12" t="s">
        <v>56</v>
      </c>
      <c r="B5" t="s">
        <v>56</v>
      </c>
      <c r="C5" s="98" t="s">
        <v>52</v>
      </c>
      <c r="D5" t="s">
        <v>53</v>
      </c>
      <c r="E5" s="98" t="s">
        <v>54</v>
      </c>
      <c r="G5" s="12"/>
    </row>
    <row r="6" spans="1:7" ht="14.25">
      <c r="A6" s="12" t="s">
        <v>57</v>
      </c>
      <c r="B6" t="s">
        <v>57</v>
      </c>
      <c r="C6" s="98" t="s">
        <v>52</v>
      </c>
      <c r="D6" t="s">
        <v>53</v>
      </c>
      <c r="E6" s="98" t="s">
        <v>54</v>
      </c>
      <c r="G6" s="12"/>
    </row>
    <row r="7" spans="1:7" ht="14.25">
      <c r="A7" s="12" t="s">
        <v>58</v>
      </c>
      <c r="B7" t="s">
        <v>58</v>
      </c>
      <c r="C7" s="98" t="s">
        <v>52</v>
      </c>
      <c r="D7" t="s">
        <v>53</v>
      </c>
      <c r="E7" s="98" t="s">
        <v>54</v>
      </c>
      <c r="G7" s="12"/>
    </row>
    <row r="8" spans="1:7" ht="14.25">
      <c r="A8" s="12" t="s">
        <v>59</v>
      </c>
      <c r="B8" t="s">
        <v>59</v>
      </c>
      <c r="C8" s="98" t="s">
        <v>52</v>
      </c>
      <c r="D8" t="s">
        <v>53</v>
      </c>
      <c r="E8" s="98" t="s">
        <v>54</v>
      </c>
      <c r="G8" s="12"/>
    </row>
    <row r="9" spans="1:7" ht="14.25">
      <c r="A9" s="12" t="s">
        <v>60</v>
      </c>
      <c r="B9" t="s">
        <v>60</v>
      </c>
      <c r="C9" s="98" t="s">
        <v>52</v>
      </c>
      <c r="D9" t="s">
        <v>53</v>
      </c>
      <c r="E9" s="98" t="s">
        <v>54</v>
      </c>
      <c r="G9" s="12"/>
    </row>
    <row r="10" spans="1:7" ht="14.25">
      <c r="A10" s="12" t="s">
        <v>61</v>
      </c>
      <c r="B10" t="s">
        <v>61</v>
      </c>
      <c r="C10" s="98" t="s">
        <v>52</v>
      </c>
      <c r="D10" t="s">
        <v>53</v>
      </c>
      <c r="E10" s="98" t="s">
        <v>54</v>
      </c>
      <c r="G10" s="12"/>
    </row>
    <row r="11" spans="1:7" ht="14.25">
      <c r="A11" s="12" t="s">
        <v>62</v>
      </c>
      <c r="B11" t="s">
        <v>62</v>
      </c>
      <c r="C11" s="98" t="s">
        <v>52</v>
      </c>
      <c r="D11" t="s">
        <v>53</v>
      </c>
      <c r="E11" s="98" t="s">
        <v>54</v>
      </c>
      <c r="G11" s="12"/>
    </row>
    <row r="12" spans="1:7" ht="14.25">
      <c r="A12" s="12" t="s">
        <v>63</v>
      </c>
      <c r="B12" t="s">
        <v>63</v>
      </c>
      <c r="C12" s="98" t="s">
        <v>52</v>
      </c>
      <c r="D12" t="s">
        <v>64</v>
      </c>
      <c r="E12" s="98" t="s">
        <v>54</v>
      </c>
      <c r="G12" s="12"/>
    </row>
    <row r="13" spans="1:7" ht="14.25">
      <c r="A13" s="12" t="s">
        <v>65</v>
      </c>
      <c r="B13" t="s">
        <v>65</v>
      </c>
      <c r="C13" s="98" t="s">
        <v>52</v>
      </c>
      <c r="D13" t="s">
        <v>53</v>
      </c>
      <c r="E13" s="98" t="s">
        <v>54</v>
      </c>
      <c r="G13" s="12"/>
    </row>
    <row r="14" spans="1:7" ht="14.25">
      <c r="A14" s="98" t="s">
        <v>66</v>
      </c>
      <c r="B14" t="s">
        <v>67</v>
      </c>
      <c r="C14" t="s">
        <v>52</v>
      </c>
      <c r="E14" t="s">
        <v>68</v>
      </c>
      <c r="G14" s="12"/>
    </row>
    <row r="15" spans="1:7" ht="14.25">
      <c r="A15" s="12" t="s">
        <v>69</v>
      </c>
      <c r="B15" t="s">
        <v>69</v>
      </c>
      <c r="C15" s="98" t="s">
        <v>52</v>
      </c>
      <c r="D15" t="s">
        <v>53</v>
      </c>
      <c r="E15" s="98" t="s">
        <v>54</v>
      </c>
      <c r="G15" s="12"/>
    </row>
    <row r="16" spans="1:7" ht="14.25">
      <c r="A16" s="98" t="s">
        <v>70</v>
      </c>
      <c r="B16" t="s">
        <v>71</v>
      </c>
      <c r="C16" t="s">
        <v>52</v>
      </c>
      <c r="E16" t="s">
        <v>68</v>
      </c>
      <c r="G16" s="12"/>
    </row>
    <row r="17" spans="1:7" ht="14.25">
      <c r="A17" s="12" t="s">
        <v>72</v>
      </c>
      <c r="B17" t="s">
        <v>72</v>
      </c>
      <c r="C17" s="98" t="s">
        <v>52</v>
      </c>
      <c r="D17" t="s">
        <v>53</v>
      </c>
      <c r="E17" s="98" t="s">
        <v>54</v>
      </c>
      <c r="G17" s="12"/>
    </row>
    <row r="18" spans="1:7" ht="14.25">
      <c r="A18" s="12" t="s">
        <v>73</v>
      </c>
      <c r="B18" t="s">
        <v>73</v>
      </c>
      <c r="C18" s="98" t="s">
        <v>52</v>
      </c>
      <c r="D18" t="s">
        <v>53</v>
      </c>
      <c r="E18" s="98" t="s">
        <v>54</v>
      </c>
      <c r="G18" s="12"/>
    </row>
    <row r="19" spans="1:7" ht="14.25">
      <c r="A19" s="12" t="s">
        <v>74</v>
      </c>
      <c r="B19" t="s">
        <v>74</v>
      </c>
      <c r="C19" s="98" t="s">
        <v>52</v>
      </c>
      <c r="D19" t="s">
        <v>53</v>
      </c>
      <c r="E19" s="98" t="s">
        <v>54</v>
      </c>
      <c r="G19" s="12"/>
    </row>
    <row r="20" spans="1:7" ht="14.25">
      <c r="A20" s="12" t="s">
        <v>75</v>
      </c>
      <c r="B20" t="s">
        <v>75</v>
      </c>
      <c r="C20" s="98" t="s">
        <v>52</v>
      </c>
      <c r="D20" t="s">
        <v>53</v>
      </c>
      <c r="E20" s="98" t="s">
        <v>54</v>
      </c>
      <c r="G20" s="12"/>
    </row>
    <row r="21" spans="1:7" ht="14.25">
      <c r="A21" s="98" t="s">
        <v>76</v>
      </c>
      <c r="B21" t="s">
        <v>77</v>
      </c>
      <c r="C21" t="s">
        <v>52</v>
      </c>
      <c r="E21" t="s">
        <v>68</v>
      </c>
      <c r="G21" s="12"/>
    </row>
    <row r="22" spans="1:7" ht="14.25">
      <c r="A22" s="12" t="s">
        <v>78</v>
      </c>
      <c r="B22" t="s">
        <v>78</v>
      </c>
      <c r="C22" s="98" t="s">
        <v>52</v>
      </c>
      <c r="D22" t="s">
        <v>53</v>
      </c>
      <c r="E22" s="98" t="s">
        <v>54</v>
      </c>
      <c r="G22" s="12"/>
    </row>
    <row r="23" spans="1:7" ht="14.25">
      <c r="A23" s="12" t="s">
        <v>79</v>
      </c>
      <c r="B23" t="s">
        <v>79</v>
      </c>
      <c r="C23" s="98" t="s">
        <v>52</v>
      </c>
      <c r="D23" t="s">
        <v>53</v>
      </c>
      <c r="E23" s="98" t="s">
        <v>54</v>
      </c>
      <c r="G23" s="12"/>
    </row>
    <row r="24" spans="1:7" ht="14.25">
      <c r="A24" s="12" t="s">
        <v>80</v>
      </c>
      <c r="B24" t="s">
        <v>80</v>
      </c>
      <c r="C24" s="98" t="s">
        <v>81</v>
      </c>
      <c r="D24" t="s">
        <v>53</v>
      </c>
      <c r="E24" s="98" t="s">
        <v>54</v>
      </c>
      <c r="G24" s="12"/>
    </row>
    <row r="25" spans="1:7" ht="12.75" customHeight="1">
      <c r="A25" s="12" t="s">
        <v>82</v>
      </c>
      <c r="B25" t="s">
        <v>82</v>
      </c>
      <c r="C25" s="98" t="s">
        <v>81</v>
      </c>
      <c r="D25" t="s">
        <v>53</v>
      </c>
      <c r="E25" s="98" t="s">
        <v>54</v>
      </c>
    </row>
    <row r="26" spans="1:7" ht="12.75" customHeight="1">
      <c r="A26" s="98" t="s">
        <v>83</v>
      </c>
      <c r="B26" t="s">
        <v>83</v>
      </c>
      <c r="C26" t="s">
        <v>84</v>
      </c>
      <c r="E26" t="s">
        <v>68</v>
      </c>
    </row>
    <row r="27" spans="1:7" ht="12.75" customHeight="1">
      <c r="A27" s="98" t="s">
        <v>85</v>
      </c>
      <c r="B27" t="s">
        <v>85</v>
      </c>
      <c r="C27" t="s">
        <v>84</v>
      </c>
      <c r="E27" t="s">
        <v>68</v>
      </c>
    </row>
    <row r="28" spans="1:7" ht="12.75" customHeight="1">
      <c r="A28" s="98" t="s">
        <v>86</v>
      </c>
      <c r="B28" t="s">
        <v>86</v>
      </c>
      <c r="C28" t="s">
        <v>84</v>
      </c>
      <c r="E28" t="s">
        <v>68</v>
      </c>
    </row>
    <row r="29" spans="1:7" ht="12.75" customHeight="1">
      <c r="A29" s="98" t="s">
        <v>87</v>
      </c>
      <c r="B29" t="s">
        <v>87</v>
      </c>
      <c r="C29" t="s">
        <v>84</v>
      </c>
      <c r="E29" t="s">
        <v>68</v>
      </c>
    </row>
    <row r="30" spans="1:7" ht="12.75" customHeight="1">
      <c r="A30" s="12" t="s">
        <v>88</v>
      </c>
      <c r="B30" t="s">
        <v>88</v>
      </c>
      <c r="C30" s="98" t="s">
        <v>84</v>
      </c>
      <c r="D30" t="s">
        <v>53</v>
      </c>
      <c r="E30" s="98" t="s">
        <v>54</v>
      </c>
    </row>
    <row r="31" spans="1:7" ht="12.75" customHeight="1">
      <c r="A31" s="12" t="s">
        <v>89</v>
      </c>
      <c r="B31" t="s">
        <v>89</v>
      </c>
      <c r="C31" s="98" t="s">
        <v>90</v>
      </c>
      <c r="D31" t="s">
        <v>53</v>
      </c>
      <c r="E31" s="98" t="s">
        <v>54</v>
      </c>
    </row>
    <row r="32" spans="1:7" ht="12.75" customHeight="1">
      <c r="A32" s="98" t="s">
        <v>91</v>
      </c>
      <c r="B32" s="98" t="s">
        <v>91</v>
      </c>
      <c r="C32" s="98" t="s">
        <v>92</v>
      </c>
      <c r="E32" t="s">
        <v>68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O20"/>
  <sheetViews>
    <sheetView workbookViewId="0">
      <selection activeCell="F5" activeCellId="1" sqref="B5:C16 F5:F1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9" customWidth="1"/>
    <col min="10" max="10" width="39.42578125" customWidth="1"/>
  </cols>
  <sheetData>
    <row r="1" spans="1:15" ht="24.6" customHeight="1">
      <c r="A1" s="152" t="s">
        <v>51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5" thickBot="1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 thickBo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3.35" customHeight="1">
      <c r="A5" s="14" t="s">
        <v>102</v>
      </c>
      <c r="B5" s="52">
        <v>3478.8125</v>
      </c>
      <c r="C5" s="52">
        <v>6181.5739999999996</v>
      </c>
      <c r="D5" s="52">
        <f>B5-C5</f>
        <v>-2702.7614999999996</v>
      </c>
      <c r="E5" s="53">
        <f t="shared" ref="E5:E16" si="0">IFERROR(D5/C5, 0)</f>
        <v>-0.43722868965088824</v>
      </c>
      <c r="F5" s="54">
        <v>6823.2529999999997</v>
      </c>
      <c r="G5" s="54">
        <f>B5-F5</f>
        <v>-3344.4404999999997</v>
      </c>
      <c r="H5" s="55">
        <f t="shared" ref="H5:H10" si="1">IFERROR(G5/F5, 0)</f>
        <v>-0.49015337698895234</v>
      </c>
      <c r="I5" s="57"/>
      <c r="J5" s="57" t="s">
        <v>103</v>
      </c>
      <c r="O5" s="4"/>
    </row>
    <row r="6" spans="1:15" ht="13.35" customHeight="1">
      <c r="A6" s="16" t="s">
        <v>104</v>
      </c>
      <c r="B6" s="52"/>
      <c r="C6" s="52"/>
      <c r="D6" s="52">
        <f t="shared" ref="D6:D16" si="2">B6-C6</f>
        <v>0</v>
      </c>
      <c r="E6" s="53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57"/>
      <c r="J6" s="57" t="s">
        <v>103</v>
      </c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3">
        <f t="shared" si="0"/>
        <v>0</v>
      </c>
      <c r="F7" s="71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3">
        <f t="shared" si="0"/>
        <v>0</v>
      </c>
      <c r="F8" s="54"/>
      <c r="G8" s="54">
        <f t="shared" si="3"/>
        <v>0</v>
      </c>
      <c r="H8" s="55">
        <f t="shared" si="1"/>
        <v>0</v>
      </c>
      <c r="I8" s="57"/>
      <c r="J8" s="57"/>
    </row>
    <row r="9" spans="1:15" ht="13.35" customHeight="1">
      <c r="A9" s="16" t="s">
        <v>107</v>
      </c>
      <c r="B9" s="52"/>
      <c r="C9" s="52"/>
      <c r="D9" s="52">
        <f t="shared" si="2"/>
        <v>0</v>
      </c>
      <c r="E9" s="53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3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 t="s">
        <v>103</v>
      </c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3">
        <f t="shared" si="0"/>
        <v>0</v>
      </c>
      <c r="F11" s="59"/>
      <c r="G11" s="54">
        <f t="shared" si="3"/>
        <v>0</v>
      </c>
      <c r="H11" s="55">
        <f t="shared" ref="H11:H16" si="4">IFERROR(G11/F11, 0)</f>
        <v>0</v>
      </c>
      <c r="I11" s="57"/>
      <c r="J11" s="57" t="s">
        <v>103</v>
      </c>
    </row>
    <row r="12" spans="1:15" ht="13.35" customHeight="1">
      <c r="A12" s="16" t="s">
        <v>110</v>
      </c>
      <c r="B12" s="52"/>
      <c r="C12" s="52"/>
      <c r="D12" s="52">
        <f t="shared" si="2"/>
        <v>0</v>
      </c>
      <c r="E12" s="53">
        <f t="shared" si="0"/>
        <v>0</v>
      </c>
      <c r="F12" s="60"/>
      <c r="G12" s="54">
        <f t="shared" si="3"/>
        <v>0</v>
      </c>
      <c r="H12" s="55">
        <f t="shared" si="4"/>
        <v>0</v>
      </c>
      <c r="I12" s="57"/>
      <c r="J12" s="57"/>
    </row>
    <row r="13" spans="1:15" ht="18.75" customHeight="1">
      <c r="A13" s="16" t="s">
        <v>111</v>
      </c>
      <c r="B13" s="52"/>
      <c r="C13" s="52"/>
      <c r="D13" s="52">
        <f t="shared" si="2"/>
        <v>0</v>
      </c>
      <c r="E13" s="53">
        <f t="shared" si="0"/>
        <v>0</v>
      </c>
      <c r="F13" s="54"/>
      <c r="G13" s="54">
        <f t="shared" si="3"/>
        <v>0</v>
      </c>
      <c r="H13" s="55">
        <f t="shared" si="4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4"/>
        <v>0</v>
      </c>
      <c r="I14" s="57"/>
      <c r="J14" s="57"/>
    </row>
    <row r="15" spans="1:15" ht="13.35" customHeight="1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62"/>
      <c r="G15" s="54">
        <f t="shared" si="3"/>
        <v>0</v>
      </c>
      <c r="H15" s="55">
        <f t="shared" si="4"/>
        <v>0</v>
      </c>
      <c r="I15" s="57"/>
      <c r="J15" s="57" t="s">
        <v>103</v>
      </c>
    </row>
    <row r="16" spans="1:15" ht="13.35" customHeight="1">
      <c r="A16" s="20" t="s">
        <v>114</v>
      </c>
      <c r="B16" s="63"/>
      <c r="C16" s="63"/>
      <c r="D16" s="52">
        <f t="shared" si="2"/>
        <v>0</v>
      </c>
      <c r="E16" s="56">
        <f t="shared" si="0"/>
        <v>0</v>
      </c>
      <c r="F16" s="65"/>
      <c r="G16" s="54">
        <f t="shared" si="3"/>
        <v>0</v>
      </c>
      <c r="H16" s="55">
        <f t="shared" si="4"/>
        <v>0</v>
      </c>
      <c r="I16" s="68"/>
      <c r="J16" s="68" t="s">
        <v>103</v>
      </c>
    </row>
    <row r="17" spans="1:15" ht="13.35" customHeight="1">
      <c r="A17" s="21" t="s">
        <v>115</v>
      </c>
      <c r="B17" s="22">
        <f>SUM(B5:B16)</f>
        <v>3478.8125</v>
      </c>
      <c r="C17" s="22">
        <f t="shared" ref="C17:F17" si="5">SUM(C5:C16)</f>
        <v>6181.5739999999996</v>
      </c>
      <c r="D17" s="22">
        <f>B17-C17</f>
        <v>-2702.7614999999996</v>
      </c>
      <c r="E17" s="23">
        <f>IFERROR(D17/C17, 0)</f>
        <v>-0.43722868965088824</v>
      </c>
      <c r="F17" s="22">
        <f t="shared" si="5"/>
        <v>6823.2529999999997</v>
      </c>
      <c r="G17" s="22">
        <f>B17-F17</f>
        <v>-3344.4404999999997</v>
      </c>
      <c r="H17" s="24">
        <f>IFERROR(G17/F17, 0)</f>
        <v>-0.49015337698895234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6 H5:H16">
    <cfRule type="cellIs" dxfId="496" priority="1" operator="lessThanOrEqual">
      <formula>-0.1</formula>
    </cfRule>
    <cfRule type="cellIs" dxfId="495" priority="2" operator="greaterThan">
      <formula>0.1</formula>
    </cfRule>
  </conditionalFormatting>
  <conditionalFormatting sqref="E17 H17">
    <cfRule type="cellIs" dxfId="494" priority="3" operator="lessThanOrEqual">
      <formula>-0.1</formula>
    </cfRule>
    <cfRule type="cellIs" dxfId="493" priority="4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36D7-94A0-4D51-90A7-AA747BD538E3}">
  <sheetPr codeName="Sheet20">
    <tabColor rgb="FFFFFF00"/>
  </sheetPr>
  <dimension ref="A1:O20"/>
  <sheetViews>
    <sheetView zoomScale="90" zoomScaleNormal="90" workbookViewId="0">
      <selection activeCell="F5" activeCellId="1" sqref="B5:C16 F5:F1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28" customWidth="1"/>
    <col min="10" max="10" width="18.5703125" bestFit="1" customWidth="1"/>
  </cols>
  <sheetData>
    <row r="1" spans="1:15" ht="25.15">
      <c r="A1" s="152" t="s">
        <v>55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15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3.35" customHeight="1">
      <c r="A5" s="14" t="s">
        <v>102</v>
      </c>
      <c r="B5" s="52">
        <v>12517</v>
      </c>
      <c r="C5" s="52">
        <v>22722.47</v>
      </c>
      <c r="D5" s="52">
        <f>B5-C5</f>
        <v>-10205.470000000001</v>
      </c>
      <c r="E5" s="53">
        <f t="shared" ref="E5:E16" si="0">IFERROR(D5/C5, 0)</f>
        <v>-0.44913559133316056</v>
      </c>
      <c r="F5" s="54">
        <v>21603.71</v>
      </c>
      <c r="G5" s="54">
        <f>B5-F5</f>
        <v>-9086.7099999999991</v>
      </c>
      <c r="H5" s="55">
        <f t="shared" ref="H5:H16" si="1">IFERROR(G5/F5, 0)</f>
        <v>-0.42060877506687505</v>
      </c>
      <c r="I5" s="57"/>
      <c r="J5" s="57" t="s">
        <v>103</v>
      </c>
      <c r="O5" s="4"/>
    </row>
    <row r="6" spans="1:15" ht="13.35" customHeight="1">
      <c r="A6" s="16" t="s">
        <v>104</v>
      </c>
      <c r="B6" s="52"/>
      <c r="C6" s="52"/>
      <c r="D6" s="52">
        <f t="shared" ref="D6:D16" si="2">B6-C6</f>
        <v>0</v>
      </c>
      <c r="E6" s="56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57"/>
      <c r="J6" s="57" t="s">
        <v>103</v>
      </c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54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54"/>
      <c r="G8" s="54">
        <f t="shared" si="3"/>
        <v>0</v>
      </c>
      <c r="H8" s="55">
        <f t="shared" si="1"/>
        <v>0</v>
      </c>
      <c r="I8" s="57"/>
      <c r="J8" s="57"/>
    </row>
    <row r="9" spans="1:15" ht="13.3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 t="s">
        <v>103</v>
      </c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 t="s">
        <v>103</v>
      </c>
    </row>
    <row r="12" spans="1:15" ht="13.35" customHeight="1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13.35" customHeight="1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1"/>
        <v>0</v>
      </c>
      <c r="I14" s="57"/>
      <c r="J14" s="57"/>
    </row>
    <row r="15" spans="1:15" ht="13.35" customHeight="1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62"/>
      <c r="G15" s="54">
        <f t="shared" si="3"/>
        <v>0</v>
      </c>
      <c r="H15" s="55">
        <f t="shared" si="1"/>
        <v>0</v>
      </c>
      <c r="I15" s="57"/>
      <c r="J15" s="57" t="s">
        <v>103</v>
      </c>
    </row>
    <row r="16" spans="1:15" ht="13.35" customHeight="1">
      <c r="A16" s="20" t="s">
        <v>114</v>
      </c>
      <c r="B16" s="63"/>
      <c r="C16" s="63"/>
      <c r="D16" s="52">
        <f t="shared" si="2"/>
        <v>0</v>
      </c>
      <c r="E16" s="56">
        <f t="shared" si="0"/>
        <v>0</v>
      </c>
      <c r="F16" s="65"/>
      <c r="G16" s="54">
        <f t="shared" si="3"/>
        <v>0</v>
      </c>
      <c r="H16" s="55">
        <f t="shared" si="1"/>
        <v>0</v>
      </c>
      <c r="I16" s="68"/>
      <c r="J16" s="68" t="s">
        <v>103</v>
      </c>
    </row>
    <row r="17" spans="1:15" ht="13.35" customHeight="1">
      <c r="A17" s="21" t="s">
        <v>115</v>
      </c>
      <c r="B17" s="22">
        <f>SUM(B5:B16)</f>
        <v>12517</v>
      </c>
      <c r="C17" s="22">
        <f t="shared" ref="C17:F17" si="4">SUM(C5:C16)</f>
        <v>22722.47</v>
      </c>
      <c r="D17" s="22">
        <f>B17-C17</f>
        <v>-10205.470000000001</v>
      </c>
      <c r="E17" s="23">
        <f>IFERROR(D17/C17, 0)</f>
        <v>-0.44913559133316056</v>
      </c>
      <c r="F17" s="22">
        <f t="shared" si="4"/>
        <v>21603.71</v>
      </c>
      <c r="G17" s="22">
        <f>B17-F17</f>
        <v>-9086.7099999999991</v>
      </c>
      <c r="H17" s="24">
        <f>IFERROR(G17/F17, 0)</f>
        <v>-0.42060877506687505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478" priority="1" operator="lessThanOrEqual">
      <formula>-0.1</formula>
    </cfRule>
    <cfRule type="cellIs" dxfId="477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DF61-AB9F-4A30-84FF-25FDD04000F5}">
  <sheetPr codeName="Sheet21">
    <tabColor rgb="FFFFFF00"/>
  </sheetPr>
  <dimension ref="A1:O20"/>
  <sheetViews>
    <sheetView workbookViewId="0">
      <selection activeCell="I22" sqref="I2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7.7109375" customWidth="1"/>
    <col min="10" max="10" width="18.5703125" bestFit="1" customWidth="1"/>
  </cols>
  <sheetData>
    <row r="1" spans="1:15" ht="25.15">
      <c r="A1" s="152" t="s">
        <v>56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15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3.35" customHeight="1">
      <c r="A5" s="14" t="s">
        <v>102</v>
      </c>
      <c r="B5" s="52">
        <v>7105.375</v>
      </c>
      <c r="C5" s="52">
        <v>13704.15</v>
      </c>
      <c r="D5" s="52">
        <f>B5-C5</f>
        <v>-6598.7749999999996</v>
      </c>
      <c r="E5" s="53">
        <f t="shared" ref="E5:E16" si="0">IFERROR(D5/C5, 0)</f>
        <v>-0.48151654790702086</v>
      </c>
      <c r="F5" s="54">
        <v>14450.27</v>
      </c>
      <c r="G5" s="54">
        <f>B5-F5</f>
        <v>-7344.8950000000004</v>
      </c>
      <c r="H5" s="55">
        <f t="shared" ref="H5:H16" si="1">IFERROR(G5/F5, 0)</f>
        <v>-0.50828773441603514</v>
      </c>
      <c r="I5" s="57"/>
      <c r="J5" s="57" t="s">
        <v>103</v>
      </c>
      <c r="O5" s="4"/>
    </row>
    <row r="6" spans="1:15" ht="13.35" customHeight="1">
      <c r="A6" s="16" t="s">
        <v>104</v>
      </c>
      <c r="B6" s="52"/>
      <c r="C6" s="52"/>
      <c r="D6" s="52">
        <f t="shared" ref="D6:D16" si="2">B6-C6</f>
        <v>0</v>
      </c>
      <c r="E6" s="56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57"/>
      <c r="J6" s="57" t="s">
        <v>103</v>
      </c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54"/>
      <c r="G8" s="54">
        <f t="shared" si="3"/>
        <v>0</v>
      </c>
      <c r="H8" s="55">
        <f t="shared" si="1"/>
        <v>0</v>
      </c>
      <c r="I8" s="57"/>
      <c r="J8" s="57"/>
    </row>
    <row r="9" spans="1:15" ht="13.3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 t="s">
        <v>103</v>
      </c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 t="s">
        <v>103</v>
      </c>
    </row>
    <row r="12" spans="1:15" ht="13.35" customHeight="1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13.35" customHeight="1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1"/>
        <v>0</v>
      </c>
      <c r="I14" s="57"/>
      <c r="J14" s="57"/>
    </row>
    <row r="15" spans="1:15" ht="13.35" customHeight="1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62"/>
      <c r="G15" s="54">
        <f t="shared" si="3"/>
        <v>0</v>
      </c>
      <c r="H15" s="55">
        <f t="shared" si="1"/>
        <v>0</v>
      </c>
      <c r="I15" s="57"/>
      <c r="J15" s="57" t="s">
        <v>103</v>
      </c>
    </row>
    <row r="16" spans="1:15" ht="19.5" customHeight="1">
      <c r="A16" s="20" t="s">
        <v>114</v>
      </c>
      <c r="B16" s="63"/>
      <c r="C16" s="63"/>
      <c r="D16" s="52">
        <f t="shared" si="2"/>
        <v>0</v>
      </c>
      <c r="E16" s="56">
        <f t="shared" si="0"/>
        <v>0</v>
      </c>
      <c r="F16" s="65"/>
      <c r="G16" s="54">
        <f t="shared" si="3"/>
        <v>0</v>
      </c>
      <c r="H16" s="55">
        <f t="shared" si="1"/>
        <v>0</v>
      </c>
      <c r="I16" s="124"/>
      <c r="J16" s="68"/>
    </row>
    <row r="17" spans="1:15" ht="13.35" customHeight="1">
      <c r="A17" s="21" t="s">
        <v>115</v>
      </c>
      <c r="B17" s="22">
        <f>SUM(B5:B16)</f>
        <v>7105.375</v>
      </c>
      <c r="C17" s="22">
        <f t="shared" ref="C17:F17" si="4">SUM(C5:C16)</f>
        <v>13704.15</v>
      </c>
      <c r="D17" s="22">
        <f>B17-C17</f>
        <v>-6598.7749999999996</v>
      </c>
      <c r="E17" s="23">
        <f>IFERROR(D17/C17, 0)</f>
        <v>-0.48151654790702086</v>
      </c>
      <c r="F17" s="22">
        <f t="shared" si="4"/>
        <v>14450.27</v>
      </c>
      <c r="G17" s="22">
        <f>B17-F17</f>
        <v>-7344.8950000000004</v>
      </c>
      <c r="H17" s="24">
        <f>IFERROR(G17/F17, 0)</f>
        <v>-0.50828773441603514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462" priority="1" operator="lessThanOrEqual">
      <formula>-0.1</formula>
    </cfRule>
    <cfRule type="cellIs" dxfId="461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4E75-1EC8-4BDA-8175-FAF2B4D842B8}">
  <sheetPr codeName="Sheet22">
    <tabColor rgb="FFFFFF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38.28515625" customWidth="1"/>
    <col min="10" max="10" width="18.5703125" bestFit="1" customWidth="1"/>
  </cols>
  <sheetData>
    <row r="1" spans="1:15" ht="25.15">
      <c r="A1" s="152" t="s">
        <v>57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15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4.25">
      <c r="A5" s="14" t="s">
        <v>102</v>
      </c>
      <c r="B5" s="69">
        <v>10190.25</v>
      </c>
      <c r="C5" s="78">
        <v>16832.77</v>
      </c>
      <c r="D5" s="52">
        <f>B5-C5</f>
        <v>-6642.52</v>
      </c>
      <c r="E5" s="53">
        <f t="shared" ref="E5:E16" si="0">IFERROR(D5/C5, 0)</f>
        <v>-0.39461835455483563</v>
      </c>
      <c r="F5" s="70">
        <v>18563.55</v>
      </c>
      <c r="G5" s="54">
        <f>B5-F5</f>
        <v>-8373.2999999999993</v>
      </c>
      <c r="H5" s="55">
        <f t="shared" ref="H5:H16" si="1">IFERROR(G5/F5, 0)</f>
        <v>-0.4510613541052223</v>
      </c>
      <c r="I5" s="57"/>
      <c r="J5" s="57" t="s">
        <v>103</v>
      </c>
      <c r="O5" s="4"/>
    </row>
    <row r="6" spans="1:15" ht="13.35" customHeight="1">
      <c r="A6" s="16" t="s">
        <v>104</v>
      </c>
      <c r="B6" s="52"/>
      <c r="C6" s="52"/>
      <c r="D6" s="52">
        <f t="shared" ref="D6:D16" si="2">B6-C6</f>
        <v>0</v>
      </c>
      <c r="E6" s="56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57"/>
      <c r="J6" s="57" t="s">
        <v>103</v>
      </c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54"/>
      <c r="G8" s="54">
        <f t="shared" si="3"/>
        <v>0</v>
      </c>
      <c r="H8" s="55">
        <f t="shared" si="1"/>
        <v>0</v>
      </c>
      <c r="I8" s="57"/>
      <c r="J8" s="57"/>
    </row>
    <row r="9" spans="1:15" ht="13.3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 t="s">
        <v>103</v>
      </c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 t="s">
        <v>103</v>
      </c>
    </row>
    <row r="12" spans="1:15" ht="13.35" customHeight="1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14.25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1"/>
        <v>0</v>
      </c>
      <c r="I14" s="57"/>
      <c r="J14" s="57"/>
    </row>
    <row r="15" spans="1:15" ht="13.35" customHeight="1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62"/>
      <c r="G15" s="54">
        <f t="shared" si="3"/>
        <v>0</v>
      </c>
      <c r="H15" s="55">
        <f t="shared" si="1"/>
        <v>0</v>
      </c>
      <c r="I15" s="57"/>
      <c r="J15" s="57"/>
    </row>
    <row r="16" spans="1:15" ht="46.9" customHeight="1">
      <c r="A16" s="20" t="s">
        <v>114</v>
      </c>
      <c r="B16" s="63"/>
      <c r="C16" s="63"/>
      <c r="D16" s="52">
        <f t="shared" si="2"/>
        <v>0</v>
      </c>
      <c r="E16" s="56">
        <f t="shared" si="0"/>
        <v>0</v>
      </c>
      <c r="F16" s="65"/>
      <c r="G16" s="54">
        <f t="shared" si="3"/>
        <v>0</v>
      </c>
      <c r="H16" s="55">
        <f t="shared" si="1"/>
        <v>0</v>
      </c>
      <c r="I16" s="90"/>
      <c r="J16" s="125"/>
    </row>
    <row r="17" spans="1:15" ht="13.35" customHeight="1">
      <c r="A17" s="21" t="s">
        <v>115</v>
      </c>
      <c r="B17" s="22">
        <f>SUM(B5:B16)</f>
        <v>10190.25</v>
      </c>
      <c r="C17" s="22">
        <f t="shared" ref="C17:F17" si="4">SUM(C5:C16)</f>
        <v>16832.77</v>
      </c>
      <c r="D17" s="22">
        <f>B17-C17</f>
        <v>-6642.52</v>
      </c>
      <c r="E17" s="23">
        <f>IFERROR(D17/C17, 0)</f>
        <v>-0.39461835455483563</v>
      </c>
      <c r="F17" s="22">
        <f t="shared" si="4"/>
        <v>18563.55</v>
      </c>
      <c r="G17" s="22">
        <f>B17-F17</f>
        <v>-8373.2999999999993</v>
      </c>
      <c r="H17" s="24">
        <f>IFERROR(G17/F17, 0)</f>
        <v>-0.4510613541052223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446" priority="1" operator="lessThanOrEqual">
      <formula>-0.1</formula>
    </cfRule>
    <cfRule type="cellIs" dxfId="445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6948-5DBB-4934-87C3-6A89FE70D843}">
  <sheetPr codeName="Sheet23">
    <tabColor rgb="FFFFFF00"/>
  </sheetPr>
  <dimension ref="A1:O20"/>
  <sheetViews>
    <sheetView workbookViewId="0">
      <selection activeCell="I12" sqref="I1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9" customWidth="1"/>
    <col min="10" max="10" width="18.5703125" bestFit="1" customWidth="1"/>
  </cols>
  <sheetData>
    <row r="1" spans="1:15" ht="25.15">
      <c r="A1" s="152" t="s">
        <v>58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15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4.25">
      <c r="A5" s="14" t="s">
        <v>102</v>
      </c>
      <c r="B5" s="69">
        <v>15037</v>
      </c>
      <c r="C5" s="69">
        <v>14267.73</v>
      </c>
      <c r="D5" s="52">
        <f>B5-C5</f>
        <v>769.27000000000044</v>
      </c>
      <c r="E5" s="53">
        <f t="shared" ref="E5:E16" si="0">IFERROR(D5/C5, 0)</f>
        <v>5.3916775829091275E-2</v>
      </c>
      <c r="F5" s="70">
        <v>28642.02</v>
      </c>
      <c r="G5" s="54">
        <f>B5-F5</f>
        <v>-13605.02</v>
      </c>
      <c r="H5" s="55">
        <f t="shared" ref="H5:H16" si="1">IFERROR(G5/F5, 0)</f>
        <v>-0.47500211228118688</v>
      </c>
      <c r="I5" s="58" t="s">
        <v>116</v>
      </c>
      <c r="J5" s="57" t="s">
        <v>117</v>
      </c>
      <c r="O5" s="4"/>
    </row>
    <row r="6" spans="1:15" ht="13.35" customHeight="1">
      <c r="A6" s="16" t="s">
        <v>104</v>
      </c>
      <c r="B6" s="69"/>
      <c r="C6" s="52"/>
      <c r="D6" s="52">
        <f t="shared" ref="D6:D16" si="2">B6-C6</f>
        <v>0</v>
      </c>
      <c r="E6" s="56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57"/>
      <c r="J6" s="57"/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54"/>
      <c r="G8" s="54">
        <f t="shared" si="3"/>
        <v>0</v>
      </c>
      <c r="H8" s="55">
        <f t="shared" si="1"/>
        <v>0</v>
      </c>
      <c r="I8" s="57"/>
      <c r="J8" s="57"/>
    </row>
    <row r="9" spans="1:15" ht="13.3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/>
    </row>
    <row r="12" spans="1:15" ht="13.35" customHeight="1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13.35" customHeight="1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1"/>
        <v>0</v>
      </c>
      <c r="I14" s="57"/>
      <c r="J14" s="57"/>
    </row>
    <row r="15" spans="1:15" s="123" customFormat="1" ht="15.75" customHeight="1">
      <c r="A15" s="117" t="s">
        <v>113</v>
      </c>
      <c r="B15" s="118"/>
      <c r="C15" s="118"/>
      <c r="D15" s="119">
        <f t="shared" si="2"/>
        <v>0</v>
      </c>
      <c r="E15" s="120">
        <f t="shared" si="0"/>
        <v>0</v>
      </c>
      <c r="F15" s="121"/>
      <c r="G15" s="122">
        <f t="shared" si="3"/>
        <v>0</v>
      </c>
      <c r="H15" s="93">
        <f t="shared" si="1"/>
        <v>0</v>
      </c>
      <c r="I15" s="57"/>
      <c r="J15" s="57"/>
    </row>
    <row r="16" spans="1:15" ht="14.25">
      <c r="A16" s="20" t="s">
        <v>114</v>
      </c>
      <c r="B16" s="63"/>
      <c r="C16" s="63"/>
      <c r="D16" s="63">
        <f t="shared" si="2"/>
        <v>0</v>
      </c>
      <c r="E16" s="64">
        <f t="shared" si="0"/>
        <v>0</v>
      </c>
      <c r="F16" s="65"/>
      <c r="G16" s="66">
        <f t="shared" si="3"/>
        <v>0</v>
      </c>
      <c r="H16" s="67">
        <f t="shared" si="1"/>
        <v>0</v>
      </c>
      <c r="I16" s="90"/>
      <c r="J16" s="90"/>
    </row>
    <row r="17" spans="1:15" ht="13.35" customHeight="1">
      <c r="A17" s="21" t="s">
        <v>115</v>
      </c>
      <c r="B17" s="22">
        <f>SUM(B5:B16)</f>
        <v>15037</v>
      </c>
      <c r="C17" s="22">
        <f t="shared" ref="C17:F17" si="4">SUM(C5:C16)</f>
        <v>14267.73</v>
      </c>
      <c r="D17" s="22">
        <f>B17-C17</f>
        <v>769.27000000000044</v>
      </c>
      <c r="E17" s="23">
        <f>IFERROR(D17/C17, 0)</f>
        <v>5.3916775829091275E-2</v>
      </c>
      <c r="F17" s="22">
        <f t="shared" si="4"/>
        <v>28642.02</v>
      </c>
      <c r="G17" s="22">
        <f>B17-F17</f>
        <v>-13605.02</v>
      </c>
      <c r="H17" s="24">
        <f>IFERROR(G17/F17, 0)</f>
        <v>-0.47500211228118688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430" priority="1" operator="lessThanOrEqual">
      <formula>-0.1</formula>
    </cfRule>
    <cfRule type="cellIs" dxfId="429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91FA-534A-4F59-A9AE-A70764A2D848}">
  <sheetPr codeName="Sheet24">
    <tabColor rgb="FFFFFF00"/>
  </sheetPr>
  <dimension ref="A1:O20"/>
  <sheetViews>
    <sheetView workbookViewId="0">
      <selection activeCell="M10" sqref="M10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1.85546875" customWidth="1"/>
    <col min="10" max="10" width="18.5703125" bestFit="1" customWidth="1"/>
  </cols>
  <sheetData>
    <row r="1" spans="1:15" ht="25.15">
      <c r="A1" s="152" t="s">
        <v>59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15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3.35" customHeight="1">
      <c r="A5" s="14" t="s">
        <v>102</v>
      </c>
      <c r="B5" s="78">
        <v>15224.5</v>
      </c>
      <c r="C5" s="69">
        <v>26799</v>
      </c>
      <c r="D5" s="52">
        <f>B5-C5</f>
        <v>-11574.5</v>
      </c>
      <c r="E5" s="53">
        <f t="shared" ref="E5:E16" si="0">IFERROR(D5/C5, 0)</f>
        <v>-0.43190044404641964</v>
      </c>
      <c r="F5" s="70">
        <v>29130.79</v>
      </c>
      <c r="G5" s="54">
        <f>B5-F5</f>
        <v>-13906.29</v>
      </c>
      <c r="H5" s="55">
        <f t="shared" ref="H5:H16" si="1">IFERROR(G5/F5, 0)</f>
        <v>-0.47737428336135068</v>
      </c>
      <c r="I5" s="57"/>
      <c r="J5" s="57"/>
      <c r="O5" s="4"/>
    </row>
    <row r="6" spans="1:15" ht="13.35" customHeight="1">
      <c r="A6" s="16" t="s">
        <v>104</v>
      </c>
      <c r="B6" s="52"/>
      <c r="C6" s="52"/>
      <c r="D6" s="52">
        <f t="shared" ref="D6:D16" si="2">B6-C6</f>
        <v>0</v>
      </c>
      <c r="E6" s="56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57"/>
      <c r="J6" s="57"/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54"/>
      <c r="G8" s="54">
        <f t="shared" si="3"/>
        <v>0</v>
      </c>
      <c r="H8" s="55">
        <f t="shared" si="1"/>
        <v>0</v>
      </c>
      <c r="I8" s="57"/>
      <c r="J8" s="57"/>
    </row>
    <row r="9" spans="1:15" ht="13.3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/>
    </row>
    <row r="12" spans="1:15" ht="13.35" customHeight="1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32.25" customHeight="1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28.35" customHeight="1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1"/>
        <v>0</v>
      </c>
      <c r="I14" s="57"/>
      <c r="J14" s="57"/>
    </row>
    <row r="15" spans="1:15" ht="13.35" customHeight="1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62"/>
      <c r="G15" s="54">
        <f t="shared" si="3"/>
        <v>0</v>
      </c>
      <c r="H15" s="55">
        <f t="shared" si="1"/>
        <v>0</v>
      </c>
      <c r="I15" s="57"/>
      <c r="J15" s="57"/>
    </row>
    <row r="16" spans="1:15" ht="31.5" customHeight="1">
      <c r="A16" s="126" t="s">
        <v>114</v>
      </c>
      <c r="B16" s="63"/>
      <c r="C16" s="63"/>
      <c r="D16" s="52">
        <f t="shared" si="2"/>
        <v>0</v>
      </c>
      <c r="E16" s="56">
        <f t="shared" si="0"/>
        <v>0</v>
      </c>
      <c r="F16" s="65"/>
      <c r="G16" s="54">
        <f t="shared" si="3"/>
        <v>0</v>
      </c>
      <c r="H16" s="55">
        <f t="shared" si="1"/>
        <v>0</v>
      </c>
      <c r="I16" s="90"/>
      <c r="J16" s="125"/>
    </row>
    <row r="17" spans="1:15" ht="13.35" customHeight="1">
      <c r="A17" s="21" t="s">
        <v>115</v>
      </c>
      <c r="B17" s="22">
        <f>SUM(B5:B16)</f>
        <v>15224.5</v>
      </c>
      <c r="C17" s="22">
        <f t="shared" ref="C17:F17" si="4">SUM(C5:C16)</f>
        <v>26799</v>
      </c>
      <c r="D17" s="22">
        <f>B17-C17</f>
        <v>-11574.5</v>
      </c>
      <c r="E17" s="23">
        <f>IFERROR(D17/C17, 0)</f>
        <v>-0.43190044404641964</v>
      </c>
      <c r="F17" s="22">
        <f t="shared" si="4"/>
        <v>29130.79</v>
      </c>
      <c r="G17" s="22">
        <f>B17-F17</f>
        <v>-13906.29</v>
      </c>
      <c r="H17" s="24">
        <f>IFERROR(G17/F17, 0)</f>
        <v>-0.47737428336135068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414" priority="1" operator="lessThanOrEqual">
      <formula>-0.1</formula>
    </cfRule>
    <cfRule type="cellIs" dxfId="413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4A71-5E79-4031-8921-6A4F1831EF88}">
  <sheetPr codeName="Sheet25">
    <tabColor rgb="FFFFFF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9.5703125" bestFit="1" customWidth="1"/>
    <col min="10" max="10" width="18.5703125" bestFit="1" customWidth="1"/>
  </cols>
  <sheetData>
    <row r="1" spans="1:15" ht="25.15">
      <c r="A1" s="152" t="s">
        <v>60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15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3.35" customHeight="1">
      <c r="A5" s="14" t="s">
        <v>102</v>
      </c>
      <c r="B5" s="78">
        <v>19881.5</v>
      </c>
      <c r="C5" s="78">
        <v>35122.519999999997</v>
      </c>
      <c r="D5" s="52">
        <f>B5-C5</f>
        <v>-15241.019999999997</v>
      </c>
      <c r="E5" s="53">
        <f t="shared" ref="E5:E16" si="0">IFERROR(D5/C5, 0)</f>
        <v>-0.43393868093747257</v>
      </c>
      <c r="F5" s="77">
        <v>34800.550000000003</v>
      </c>
      <c r="G5" s="54">
        <f>B5-F5</f>
        <v>-14919.050000000003</v>
      </c>
      <c r="H5" s="55">
        <f t="shared" ref="H5:H16" si="1">IFERROR(G5/F5, 0)</f>
        <v>-0.42870155787767728</v>
      </c>
      <c r="I5" s="57"/>
      <c r="J5" s="57"/>
      <c r="O5" s="4"/>
    </row>
    <row r="6" spans="1:15" ht="13.35" customHeight="1">
      <c r="A6" s="16" t="s">
        <v>104</v>
      </c>
      <c r="B6" s="52"/>
      <c r="C6" s="52"/>
      <c r="D6" s="52">
        <f t="shared" ref="D6:D16" si="2">B6-C6</f>
        <v>0</v>
      </c>
      <c r="E6" s="56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57"/>
      <c r="J6" s="57"/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54"/>
      <c r="G8" s="54">
        <f t="shared" si="3"/>
        <v>0</v>
      </c>
      <c r="H8" s="55">
        <f t="shared" si="1"/>
        <v>0</v>
      </c>
      <c r="I8" s="57"/>
      <c r="J8" s="57"/>
    </row>
    <row r="9" spans="1:15" ht="16.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30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/>
    </row>
    <row r="12" spans="1:15" ht="13.35" customHeight="1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78.75" customHeight="1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1"/>
        <v>0</v>
      </c>
      <c r="I14" s="57"/>
      <c r="J14" s="57"/>
    </row>
    <row r="15" spans="1:15" ht="13.35" customHeight="1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62"/>
      <c r="G15" s="54">
        <f t="shared" si="3"/>
        <v>0</v>
      </c>
      <c r="H15" s="55">
        <f t="shared" si="1"/>
        <v>0</v>
      </c>
      <c r="I15" s="57"/>
      <c r="J15" s="57"/>
    </row>
    <row r="16" spans="1:15" ht="13.35" customHeight="1">
      <c r="A16" s="20" t="s">
        <v>114</v>
      </c>
      <c r="B16" s="63"/>
      <c r="C16" s="63"/>
      <c r="D16" s="52">
        <f t="shared" si="2"/>
        <v>0</v>
      </c>
      <c r="E16" s="56">
        <f t="shared" si="0"/>
        <v>0</v>
      </c>
      <c r="F16" s="65"/>
      <c r="G16" s="54">
        <f t="shared" si="3"/>
        <v>0</v>
      </c>
      <c r="H16" s="55">
        <f t="shared" si="1"/>
        <v>0</v>
      </c>
      <c r="I16" s="125"/>
      <c r="J16" s="125"/>
    </row>
    <row r="17" spans="1:15" ht="13.35" customHeight="1">
      <c r="A17" s="21" t="s">
        <v>115</v>
      </c>
      <c r="B17" s="22">
        <f>SUM(B5:B16)</f>
        <v>19881.5</v>
      </c>
      <c r="C17" s="22">
        <f t="shared" ref="C17:F17" si="4">SUM(C5:C16)</f>
        <v>35122.519999999997</v>
      </c>
      <c r="D17" s="22">
        <f>B17-C17</f>
        <v>-15241.019999999997</v>
      </c>
      <c r="E17" s="23">
        <f>IFERROR(D17/C17, 0)</f>
        <v>-0.43393868093747257</v>
      </c>
      <c r="F17" s="22">
        <f t="shared" si="4"/>
        <v>34800.550000000003</v>
      </c>
      <c r="G17" s="22">
        <f>B17-F17</f>
        <v>-14919.050000000003</v>
      </c>
      <c r="H17" s="24">
        <f>IFERROR(G17/F17, 0)</f>
        <v>-0.42870155787767728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6 H5:H16">
    <cfRule type="cellIs" dxfId="398" priority="1" operator="lessThanOrEqual">
      <formula>-0.1</formula>
    </cfRule>
    <cfRule type="cellIs" dxfId="397" priority="2" operator="greaterThan">
      <formula>0.1</formula>
    </cfRule>
  </conditionalFormatting>
  <conditionalFormatting sqref="E17 H17">
    <cfRule type="cellIs" dxfId="396" priority="3" operator="lessThanOrEqual">
      <formula>-0.1</formula>
    </cfRule>
    <cfRule type="cellIs" dxfId="395" priority="4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0CF4-28D7-4AC1-88AA-26AD70AD233C}">
  <sheetPr codeName="Sheet26">
    <tabColor rgb="FFFFFF00"/>
  </sheetPr>
  <dimension ref="A1:O20"/>
  <sheetViews>
    <sheetView zoomScale="90" zoomScaleNormal="90" workbookViewId="0">
      <selection activeCell="I28" sqref="I28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36.5703125" customWidth="1"/>
    <col min="10" max="10" width="18.5703125" bestFit="1" customWidth="1"/>
  </cols>
  <sheetData>
    <row r="1" spans="1:15" ht="25.15">
      <c r="A1" s="152" t="s">
        <v>61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15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3.35" customHeight="1">
      <c r="A5" s="14" t="s">
        <v>102</v>
      </c>
      <c r="B5" s="69">
        <v>10678.25</v>
      </c>
      <c r="C5" s="69">
        <v>19843.16</v>
      </c>
      <c r="D5" s="52">
        <f>B5-C5</f>
        <v>-9164.91</v>
      </c>
      <c r="E5" s="53">
        <f t="shared" ref="E5:E16" si="0">IFERROR(D5/C5, 0)</f>
        <v>-0.46186746465784684</v>
      </c>
      <c r="F5" s="70">
        <v>19687.72</v>
      </c>
      <c r="G5" s="54">
        <f t="shared" ref="G5:G16" si="1">B5-F5</f>
        <v>-9009.4700000000012</v>
      </c>
      <c r="H5" s="55">
        <f t="shared" ref="H5:H16" si="2">IFERROR(G5/F5, 0)</f>
        <v>-0.45761875930783252</v>
      </c>
      <c r="I5" s="57"/>
      <c r="J5" s="57" t="s">
        <v>103</v>
      </c>
      <c r="O5" s="4"/>
    </row>
    <row r="6" spans="1:15" ht="13.35" customHeight="1">
      <c r="A6" s="16" t="s">
        <v>104</v>
      </c>
      <c r="B6" s="52"/>
      <c r="C6" s="52"/>
      <c r="D6" s="52">
        <f t="shared" ref="D6:D16" si="3">B6-C6</f>
        <v>0</v>
      </c>
      <c r="E6" s="56">
        <f t="shared" si="0"/>
        <v>0</v>
      </c>
      <c r="F6" s="59"/>
      <c r="G6" s="54">
        <f t="shared" si="1"/>
        <v>0</v>
      </c>
      <c r="H6" s="55">
        <f t="shared" si="2"/>
        <v>0</v>
      </c>
      <c r="I6" s="57"/>
      <c r="J6" s="57" t="s">
        <v>103</v>
      </c>
    </row>
    <row r="7" spans="1:15" ht="13.35" customHeight="1">
      <c r="A7" s="16" t="s">
        <v>105</v>
      </c>
      <c r="B7" s="52"/>
      <c r="C7" s="52"/>
      <c r="D7" s="52">
        <f t="shared" si="3"/>
        <v>0</v>
      </c>
      <c r="E7" s="56">
        <f t="shared" si="0"/>
        <v>0</v>
      </c>
      <c r="F7" s="60"/>
      <c r="G7" s="54">
        <f t="shared" si="1"/>
        <v>0</v>
      </c>
      <c r="H7" s="55">
        <f t="shared" si="2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3"/>
        <v>0</v>
      </c>
      <c r="E8" s="56">
        <f t="shared" si="0"/>
        <v>0</v>
      </c>
      <c r="F8" s="54"/>
      <c r="G8" s="54">
        <f t="shared" si="1"/>
        <v>0</v>
      </c>
      <c r="H8" s="55">
        <f t="shared" si="2"/>
        <v>0</v>
      </c>
      <c r="I8" s="57"/>
      <c r="J8" s="57"/>
    </row>
    <row r="9" spans="1:15" ht="13.35" customHeight="1">
      <c r="A9" s="16" t="s">
        <v>107</v>
      </c>
      <c r="B9" s="52"/>
      <c r="C9" s="52"/>
      <c r="D9" s="52">
        <f t="shared" si="3"/>
        <v>0</v>
      </c>
      <c r="E9" s="56">
        <f t="shared" si="0"/>
        <v>0</v>
      </c>
      <c r="F9" s="54"/>
      <c r="G9" s="54">
        <f t="shared" si="1"/>
        <v>0</v>
      </c>
      <c r="H9" s="55">
        <f t="shared" si="2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3"/>
        <v>0</v>
      </c>
      <c r="E10" s="56">
        <f t="shared" si="0"/>
        <v>0</v>
      </c>
      <c r="F10" s="54"/>
      <c r="G10" s="54">
        <f t="shared" si="1"/>
        <v>0</v>
      </c>
      <c r="H10" s="55">
        <f t="shared" si="2"/>
        <v>0</v>
      </c>
      <c r="I10" s="57"/>
      <c r="J10" s="57" t="s">
        <v>103</v>
      </c>
    </row>
    <row r="11" spans="1:15" ht="13.35" customHeight="1">
      <c r="A11" s="16" t="s">
        <v>109</v>
      </c>
      <c r="B11" s="52"/>
      <c r="C11" s="52"/>
      <c r="D11" s="52">
        <f t="shared" si="3"/>
        <v>0</v>
      </c>
      <c r="E11" s="56">
        <f t="shared" si="0"/>
        <v>0</v>
      </c>
      <c r="F11" s="59"/>
      <c r="G11" s="54">
        <f t="shared" si="1"/>
        <v>0</v>
      </c>
      <c r="H11" s="55">
        <f t="shared" si="2"/>
        <v>0</v>
      </c>
      <c r="I11" s="57"/>
      <c r="J11" s="57" t="s">
        <v>103</v>
      </c>
    </row>
    <row r="12" spans="1:15" ht="13.35" customHeight="1">
      <c r="A12" s="16" t="s">
        <v>110</v>
      </c>
      <c r="B12" s="52"/>
      <c r="C12" s="52"/>
      <c r="D12" s="52">
        <f t="shared" si="3"/>
        <v>0</v>
      </c>
      <c r="E12" s="56">
        <f t="shared" si="0"/>
        <v>0</v>
      </c>
      <c r="F12" s="60"/>
      <c r="G12" s="54">
        <f t="shared" si="1"/>
        <v>0</v>
      </c>
      <c r="H12" s="55">
        <f t="shared" si="2"/>
        <v>0</v>
      </c>
      <c r="I12" s="57"/>
      <c r="J12" s="57"/>
    </row>
    <row r="13" spans="1:15" ht="13.35" customHeight="1">
      <c r="A13" s="16" t="s">
        <v>111</v>
      </c>
      <c r="B13" s="52"/>
      <c r="C13" s="52"/>
      <c r="D13" s="52">
        <f t="shared" si="3"/>
        <v>0</v>
      </c>
      <c r="E13" s="56">
        <f t="shared" si="0"/>
        <v>0</v>
      </c>
      <c r="F13" s="54"/>
      <c r="G13" s="54">
        <f t="shared" si="1"/>
        <v>0</v>
      </c>
      <c r="H13" s="55">
        <f t="shared" si="2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3"/>
        <v>0</v>
      </c>
      <c r="E14" s="56">
        <f t="shared" si="0"/>
        <v>0</v>
      </c>
      <c r="F14" s="54"/>
      <c r="G14" s="54">
        <f t="shared" si="1"/>
        <v>0</v>
      </c>
      <c r="H14" s="55">
        <f t="shared" si="2"/>
        <v>0</v>
      </c>
      <c r="I14" s="57"/>
      <c r="J14" s="57"/>
    </row>
    <row r="15" spans="1:15" ht="13.35" customHeight="1">
      <c r="A15" s="16" t="s">
        <v>113</v>
      </c>
      <c r="B15" s="61"/>
      <c r="C15" s="61"/>
      <c r="D15" s="52">
        <f t="shared" si="3"/>
        <v>0</v>
      </c>
      <c r="E15" s="56">
        <f t="shared" si="0"/>
        <v>0</v>
      </c>
      <c r="F15" s="62"/>
      <c r="G15" s="54">
        <f t="shared" si="1"/>
        <v>0</v>
      </c>
      <c r="H15" s="55">
        <f t="shared" si="2"/>
        <v>0</v>
      </c>
      <c r="I15" s="57"/>
      <c r="J15" s="57" t="s">
        <v>103</v>
      </c>
    </row>
    <row r="16" spans="1:15" ht="13.35" customHeight="1">
      <c r="A16" s="20" t="s">
        <v>114</v>
      </c>
      <c r="B16" s="63"/>
      <c r="C16" s="63"/>
      <c r="D16" s="52">
        <f t="shared" si="3"/>
        <v>0</v>
      </c>
      <c r="E16" s="56">
        <f t="shared" si="0"/>
        <v>0</v>
      </c>
      <c r="F16" s="65"/>
      <c r="G16" s="54">
        <f t="shared" si="1"/>
        <v>0</v>
      </c>
      <c r="H16" s="55">
        <f t="shared" si="2"/>
        <v>0</v>
      </c>
      <c r="I16" s="68"/>
      <c r="J16" s="68" t="s">
        <v>103</v>
      </c>
    </row>
    <row r="17" spans="1:15" ht="13.35" customHeight="1">
      <c r="A17" s="21" t="s">
        <v>115</v>
      </c>
      <c r="B17" s="22">
        <f>SUM(B5:B16)</f>
        <v>10678.25</v>
      </c>
      <c r="C17" s="22">
        <f t="shared" ref="C17:F17" si="4">SUM(C5:C16)</f>
        <v>19843.16</v>
      </c>
      <c r="D17" s="22">
        <f>B17-C17</f>
        <v>-9164.91</v>
      </c>
      <c r="E17" s="23">
        <f>IFERROR(D17/C17, 0)</f>
        <v>-0.46186746465784684</v>
      </c>
      <c r="F17" s="22">
        <f t="shared" si="4"/>
        <v>19687.72</v>
      </c>
      <c r="G17" s="22">
        <f>B17-F17</f>
        <v>-9009.4700000000012</v>
      </c>
      <c r="H17" s="24">
        <f>IFERROR(G17/F17, 0)</f>
        <v>-0.45761875930783252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6 H5:H16">
    <cfRule type="cellIs" dxfId="380" priority="1" operator="lessThanOrEqual">
      <formula>-0.1</formula>
    </cfRule>
    <cfRule type="cellIs" dxfId="379" priority="2" operator="greaterThan">
      <formula>0.1</formula>
    </cfRule>
  </conditionalFormatting>
  <conditionalFormatting sqref="E17 H17">
    <cfRule type="cellIs" dxfId="378" priority="3" operator="lessThanOrEqual">
      <formula>-0.1</formula>
    </cfRule>
    <cfRule type="cellIs" dxfId="377" priority="4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3EF1-12CA-4F2E-B504-1435118765CA}">
  <sheetPr codeName="Sheet27">
    <tabColor rgb="FFFFFF00"/>
  </sheetPr>
  <dimension ref="A1:O20"/>
  <sheetViews>
    <sheetView zoomScale="90" zoomScaleNormal="90" workbookViewId="0">
      <selection activeCell="K8" sqref="K8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34.5703125" customWidth="1"/>
    <col min="10" max="10" width="18.5703125" bestFit="1" customWidth="1"/>
  </cols>
  <sheetData>
    <row r="1" spans="1:15" ht="25.15">
      <c r="A1" s="152" t="s">
        <v>62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15">
      <c r="A2" s="10"/>
      <c r="B2" s="10"/>
      <c r="C2" s="10"/>
      <c r="D2" s="10"/>
      <c r="E2" s="10"/>
    </row>
    <row r="3" spans="1:15" ht="15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4.25">
      <c r="A5" s="14" t="s">
        <v>102</v>
      </c>
      <c r="B5" s="78">
        <v>21358</v>
      </c>
      <c r="C5" s="78">
        <v>29225.200000000001</v>
      </c>
      <c r="D5" s="52">
        <f>B5-C5</f>
        <v>-7867.2000000000007</v>
      </c>
      <c r="E5" s="53">
        <f t="shared" ref="E5:E10" si="0">IFERROR(D5/C5, 0)</f>
        <v>-0.26919234085652111</v>
      </c>
      <c r="F5" s="70">
        <v>35891.120000000003</v>
      </c>
      <c r="G5" s="54">
        <f>B5-F5</f>
        <v>-14533.120000000003</v>
      </c>
      <c r="H5" s="55">
        <f t="shared" ref="H5:H11" si="1">IFERROR(G5/F5, 0)</f>
        <v>-0.40492244321157994</v>
      </c>
      <c r="I5" s="57"/>
      <c r="J5" s="57"/>
      <c r="O5" s="4"/>
    </row>
    <row r="6" spans="1:15" ht="14.25">
      <c r="A6" s="16" t="s">
        <v>104</v>
      </c>
      <c r="B6" s="52"/>
      <c r="C6" s="52"/>
      <c r="D6" s="52">
        <f t="shared" ref="D6:D10" si="2">B6-C6</f>
        <v>0</v>
      </c>
      <c r="E6" s="56">
        <f t="shared" si="0"/>
        <v>0</v>
      </c>
      <c r="F6" s="59"/>
      <c r="G6" s="54">
        <f t="shared" ref="G6:G11" si="3">B6-F6</f>
        <v>0</v>
      </c>
      <c r="H6" s="55">
        <f t="shared" si="1"/>
        <v>0</v>
      </c>
      <c r="I6" s="57"/>
      <c r="J6" s="57"/>
    </row>
    <row r="7" spans="1:15" ht="14.25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4.25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54"/>
      <c r="G8" s="54">
        <f t="shared" si="3"/>
        <v>0</v>
      </c>
      <c r="H8" s="55">
        <f t="shared" si="1"/>
        <v>0</v>
      </c>
      <c r="I8" s="57"/>
      <c r="J8" s="57"/>
    </row>
    <row r="9" spans="1:15" ht="14.25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8"/>
      <c r="J9" s="57"/>
    </row>
    <row r="10" spans="1:15" ht="14.25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39" customHeight="1">
      <c r="A11" s="16" t="s">
        <v>109</v>
      </c>
      <c r="B11" s="52"/>
      <c r="C11" s="52"/>
      <c r="D11" s="52">
        <f t="shared" ref="D11:D16" si="4">B11-C11</f>
        <v>0</v>
      </c>
      <c r="E11" s="56">
        <f t="shared" ref="E11:E16" si="5">IFERROR(D11/C11, 0)</f>
        <v>0</v>
      </c>
      <c r="F11" s="59"/>
      <c r="G11" s="54">
        <f t="shared" si="3"/>
        <v>0</v>
      </c>
      <c r="H11" s="55">
        <f t="shared" si="1"/>
        <v>0</v>
      </c>
      <c r="I11" s="57"/>
      <c r="J11" s="58"/>
    </row>
    <row r="12" spans="1:15" ht="14.25">
      <c r="A12" s="16" t="s">
        <v>110</v>
      </c>
      <c r="B12" s="52"/>
      <c r="C12" s="52"/>
      <c r="D12" s="52">
        <f t="shared" si="4"/>
        <v>0</v>
      </c>
      <c r="E12" s="56">
        <f t="shared" si="5"/>
        <v>0</v>
      </c>
      <c r="F12" s="60"/>
      <c r="G12" s="54">
        <f t="shared" ref="G12:G16" si="6">B12-F12</f>
        <v>0</v>
      </c>
      <c r="H12" s="55">
        <f t="shared" ref="H12:H16" si="7">IFERROR(G12/F12, 0)</f>
        <v>0</v>
      </c>
      <c r="I12" s="57"/>
      <c r="J12" s="57"/>
    </row>
    <row r="13" spans="1:15" ht="14.25">
      <c r="A13" s="16" t="s">
        <v>111</v>
      </c>
      <c r="B13" s="52"/>
      <c r="C13" s="52"/>
      <c r="D13" s="52">
        <f t="shared" si="4"/>
        <v>0</v>
      </c>
      <c r="E13" s="56">
        <f t="shared" si="5"/>
        <v>0</v>
      </c>
      <c r="F13" s="54"/>
      <c r="G13" s="54">
        <f t="shared" si="6"/>
        <v>0</v>
      </c>
      <c r="H13" s="55">
        <f t="shared" si="7"/>
        <v>0</v>
      </c>
      <c r="I13" s="57"/>
      <c r="J13" s="57"/>
    </row>
    <row r="14" spans="1:15" ht="14.25">
      <c r="A14" s="16" t="s">
        <v>112</v>
      </c>
      <c r="B14" s="52"/>
      <c r="C14" s="52"/>
      <c r="D14" s="52">
        <f t="shared" si="4"/>
        <v>0</v>
      </c>
      <c r="E14" s="56">
        <f t="shared" si="5"/>
        <v>0</v>
      </c>
      <c r="F14" s="54"/>
      <c r="G14" s="54">
        <f t="shared" si="6"/>
        <v>0</v>
      </c>
      <c r="H14" s="55">
        <f t="shared" si="7"/>
        <v>0</v>
      </c>
      <c r="I14" s="57"/>
      <c r="J14" s="57"/>
    </row>
    <row r="15" spans="1:15" ht="14.25">
      <c r="A15" s="16" t="s">
        <v>113</v>
      </c>
      <c r="B15" s="61"/>
      <c r="C15" s="61"/>
      <c r="D15" s="52">
        <f t="shared" si="4"/>
        <v>0</v>
      </c>
      <c r="E15" s="56">
        <f t="shared" si="5"/>
        <v>0</v>
      </c>
      <c r="F15" s="62"/>
      <c r="G15" s="54">
        <f t="shared" si="6"/>
        <v>0</v>
      </c>
      <c r="H15" s="55">
        <f t="shared" si="7"/>
        <v>0</v>
      </c>
      <c r="I15" s="57"/>
      <c r="J15" s="57"/>
    </row>
    <row r="16" spans="1:15" ht="14.25">
      <c r="A16" s="20" t="s">
        <v>114</v>
      </c>
      <c r="B16" s="63"/>
      <c r="C16" s="63"/>
      <c r="D16" s="52">
        <f t="shared" si="4"/>
        <v>0</v>
      </c>
      <c r="E16" s="56">
        <f t="shared" si="5"/>
        <v>0</v>
      </c>
      <c r="F16" s="65"/>
      <c r="G16" s="54">
        <f t="shared" si="6"/>
        <v>0</v>
      </c>
      <c r="H16" s="55">
        <f t="shared" si="7"/>
        <v>0</v>
      </c>
      <c r="I16" s="68"/>
      <c r="J16" s="68"/>
    </row>
    <row r="17" spans="1:15" ht="14.25">
      <c r="A17" s="21" t="s">
        <v>115</v>
      </c>
      <c r="B17" s="22">
        <f>SUM(B5:B16)</f>
        <v>21358</v>
      </c>
      <c r="C17" s="22">
        <f t="shared" ref="C17:F17" si="8">SUM(C5:C16)</f>
        <v>29225.200000000001</v>
      </c>
      <c r="D17" s="22">
        <f>B17-C17</f>
        <v>-7867.2000000000007</v>
      </c>
      <c r="E17" s="23">
        <f>IFERROR(D17/C17, 0)</f>
        <v>-0.26919234085652111</v>
      </c>
      <c r="F17" s="22">
        <f t="shared" si="8"/>
        <v>35891.120000000003</v>
      </c>
      <c r="G17" s="22">
        <f>B17-F17</f>
        <v>-14533.120000000003</v>
      </c>
      <c r="H17" s="24">
        <f>IFERROR(G17/F17, 0)</f>
        <v>-0.40492244321157994</v>
      </c>
      <c r="I17" s="25"/>
      <c r="J17" s="25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6 H5:H16">
    <cfRule type="cellIs" dxfId="362" priority="1" operator="lessThanOrEqual">
      <formula>-0.1</formula>
    </cfRule>
    <cfRule type="cellIs" dxfId="361" priority="2" operator="greaterThan">
      <formula>0.1</formula>
    </cfRule>
  </conditionalFormatting>
  <conditionalFormatting sqref="E17 H17">
    <cfRule type="cellIs" dxfId="360" priority="3" operator="lessThanOrEqual">
      <formula>-0.1</formula>
    </cfRule>
    <cfRule type="cellIs" dxfId="359" priority="4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7B0E-92E3-425E-9B70-A5D72654A3A5}">
  <sheetPr codeName="Sheet28">
    <tabColor rgb="FFFFFF00"/>
  </sheetPr>
  <dimension ref="A1:O20"/>
  <sheetViews>
    <sheetView zoomScale="90" zoomScaleNormal="90" workbookViewId="0">
      <selection activeCell="K5" sqref="K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38.7109375" bestFit="1" customWidth="1"/>
    <col min="10" max="10" width="18.5703125" bestFit="1" customWidth="1"/>
  </cols>
  <sheetData>
    <row r="1" spans="1:15" ht="25.15">
      <c r="A1" s="152" t="s">
        <v>63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15">
      <c r="A2" s="10"/>
      <c r="B2" s="10"/>
      <c r="C2" s="10"/>
      <c r="D2" s="10"/>
      <c r="E2" s="10"/>
    </row>
    <row r="3" spans="1:15" ht="15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28.5">
      <c r="A5" s="14" t="s">
        <v>102</v>
      </c>
      <c r="B5" s="78">
        <v>17412.249999999502</v>
      </c>
      <c r="C5" s="78">
        <v>31213.29</v>
      </c>
      <c r="D5" s="52">
        <f>B5-C5</f>
        <v>-13801.040000000499</v>
      </c>
      <c r="E5" s="53">
        <f t="shared" ref="E5:E11" si="0">IFERROR(D5/C5, 0)</f>
        <v>-0.44215268560284732</v>
      </c>
      <c r="F5" s="94">
        <v>30904.81</v>
      </c>
      <c r="G5" s="54">
        <f>B5-F5</f>
        <v>-13492.5600000005</v>
      </c>
      <c r="H5" s="55">
        <f t="shared" ref="H5:H11" si="1">IFERROR(G5/F5, 0)</f>
        <v>-0.43658446694868852</v>
      </c>
      <c r="I5" s="84" t="s">
        <v>118</v>
      </c>
      <c r="J5" s="84" t="s">
        <v>119</v>
      </c>
      <c r="O5" s="4"/>
    </row>
    <row r="6" spans="1:15" ht="14.25">
      <c r="A6" s="16" t="s">
        <v>104</v>
      </c>
      <c r="B6" s="52"/>
      <c r="C6" s="52"/>
      <c r="D6" s="52">
        <f t="shared" ref="D6:D11" si="2">B6-C6</f>
        <v>0</v>
      </c>
      <c r="E6" s="56">
        <f t="shared" si="0"/>
        <v>0</v>
      </c>
      <c r="F6" s="95"/>
      <c r="G6" s="54">
        <f t="shared" ref="G6:G11" si="3">B6-F6</f>
        <v>0</v>
      </c>
      <c r="H6" s="55">
        <f t="shared" si="1"/>
        <v>0</v>
      </c>
      <c r="I6" s="83"/>
      <c r="J6" s="83"/>
      <c r="K6" s="81"/>
    </row>
    <row r="7" spans="1:15" ht="14.25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96"/>
      <c r="G7" s="54">
        <f t="shared" si="3"/>
        <v>0</v>
      </c>
      <c r="H7" s="55">
        <f t="shared" si="1"/>
        <v>0</v>
      </c>
      <c r="I7" s="82"/>
      <c r="J7" s="57"/>
    </row>
    <row r="8" spans="1:15" ht="14.25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96"/>
      <c r="G8" s="54">
        <f t="shared" si="3"/>
        <v>0</v>
      </c>
      <c r="H8" s="55">
        <f t="shared" si="1"/>
        <v>0</v>
      </c>
      <c r="I8" s="57"/>
      <c r="J8" s="57"/>
    </row>
    <row r="9" spans="1:15" ht="14.25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96"/>
      <c r="G9" s="54">
        <f t="shared" si="3"/>
        <v>0</v>
      </c>
      <c r="H9" s="55">
        <f t="shared" si="1"/>
        <v>0</v>
      </c>
      <c r="I9" s="57"/>
      <c r="J9" s="57"/>
    </row>
    <row r="10" spans="1:15" ht="14.25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96"/>
      <c r="G10" s="54">
        <f t="shared" si="3"/>
        <v>0</v>
      </c>
      <c r="H10" s="55">
        <f t="shared" si="1"/>
        <v>0</v>
      </c>
      <c r="I10" s="57"/>
      <c r="J10" s="57"/>
    </row>
    <row r="11" spans="1:15" ht="14.25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95"/>
      <c r="G11" s="54">
        <f t="shared" si="3"/>
        <v>0</v>
      </c>
      <c r="H11" s="55">
        <f t="shared" si="1"/>
        <v>0</v>
      </c>
      <c r="I11" s="57"/>
      <c r="J11" s="57"/>
    </row>
    <row r="12" spans="1:15" ht="14.25">
      <c r="A12" s="16" t="s">
        <v>110</v>
      </c>
      <c r="B12" s="52"/>
      <c r="C12" s="52"/>
      <c r="D12" s="52">
        <f t="shared" ref="D12:D16" si="4">B12-C12</f>
        <v>0</v>
      </c>
      <c r="E12" s="56">
        <f t="shared" ref="E12:E16" si="5">IFERROR(D12/C12, 0)</f>
        <v>0</v>
      </c>
      <c r="F12" s="96"/>
      <c r="G12" s="54">
        <f t="shared" ref="G12:G16" si="6">B12-F12</f>
        <v>0</v>
      </c>
      <c r="H12" s="55">
        <f t="shared" ref="H12:H16" si="7">IFERROR(G12/F12, 0)</f>
        <v>0</v>
      </c>
      <c r="I12" s="57"/>
      <c r="J12" s="57"/>
    </row>
    <row r="13" spans="1:15" ht="14.25">
      <c r="A13" s="16" t="s">
        <v>111</v>
      </c>
      <c r="B13" s="52"/>
      <c r="C13" s="52"/>
      <c r="D13" s="52">
        <f t="shared" si="4"/>
        <v>0</v>
      </c>
      <c r="E13" s="56">
        <f t="shared" si="5"/>
        <v>0</v>
      </c>
      <c r="F13" s="54"/>
      <c r="G13" s="54">
        <f t="shared" si="6"/>
        <v>0</v>
      </c>
      <c r="H13" s="55">
        <f t="shared" si="7"/>
        <v>0</v>
      </c>
      <c r="I13" s="57"/>
      <c r="J13" s="57"/>
    </row>
    <row r="14" spans="1:15" ht="14.25">
      <c r="A14" s="16" t="s">
        <v>112</v>
      </c>
      <c r="B14" s="52"/>
      <c r="C14" s="52"/>
      <c r="D14" s="52">
        <f t="shared" si="4"/>
        <v>0</v>
      </c>
      <c r="E14" s="56">
        <f t="shared" si="5"/>
        <v>0</v>
      </c>
      <c r="F14" s="54"/>
      <c r="G14" s="54">
        <f t="shared" si="6"/>
        <v>0</v>
      </c>
      <c r="H14" s="55">
        <f t="shared" si="7"/>
        <v>0</v>
      </c>
      <c r="I14" s="57"/>
      <c r="J14" s="57"/>
    </row>
    <row r="15" spans="1:15" ht="14.25">
      <c r="A15" s="16" t="s">
        <v>113</v>
      </c>
      <c r="B15" s="61"/>
      <c r="C15" s="61"/>
      <c r="D15" s="52">
        <f t="shared" si="4"/>
        <v>0</v>
      </c>
      <c r="E15" s="56">
        <f t="shared" si="5"/>
        <v>0</v>
      </c>
      <c r="F15" s="62"/>
      <c r="G15" s="54">
        <f t="shared" si="6"/>
        <v>0</v>
      </c>
      <c r="H15" s="55">
        <f t="shared" si="7"/>
        <v>0</v>
      </c>
      <c r="I15" s="57"/>
      <c r="J15" s="57"/>
    </row>
    <row r="16" spans="1:15" ht="14.25">
      <c r="A16" s="20" t="s">
        <v>114</v>
      </c>
      <c r="B16" s="63"/>
      <c r="C16" s="63"/>
      <c r="D16" s="52">
        <f t="shared" si="4"/>
        <v>0</v>
      </c>
      <c r="E16" s="56">
        <f t="shared" si="5"/>
        <v>0</v>
      </c>
      <c r="F16" s="65"/>
      <c r="G16" s="54">
        <f t="shared" si="6"/>
        <v>0</v>
      </c>
      <c r="H16" s="55">
        <f t="shared" si="7"/>
        <v>0</v>
      </c>
      <c r="I16" s="68"/>
      <c r="J16" s="68"/>
    </row>
    <row r="17" spans="1:15" ht="14.25">
      <c r="A17" s="21" t="s">
        <v>115</v>
      </c>
      <c r="B17" s="22">
        <f>SUM(B5:B16)</f>
        <v>17412.249999999502</v>
      </c>
      <c r="C17" s="22">
        <f t="shared" ref="C17:F17" si="8">SUM(C5:C16)</f>
        <v>31213.29</v>
      </c>
      <c r="D17" s="22">
        <f>B17-C17</f>
        <v>-13801.040000000499</v>
      </c>
      <c r="E17" s="23">
        <f>IFERROR(D17/C17, 0)</f>
        <v>-0.44215268560284732</v>
      </c>
      <c r="F17" s="22">
        <f t="shared" si="8"/>
        <v>30904.81</v>
      </c>
      <c r="G17" s="22">
        <f>B17-F17</f>
        <v>-13492.5600000005</v>
      </c>
      <c r="H17" s="24">
        <f>IFERROR(G17/F17, 0)</f>
        <v>-0.43658446694868852</v>
      </c>
      <c r="I17" s="25"/>
      <c r="J17" s="25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6 H5:H16">
    <cfRule type="cellIs" dxfId="344" priority="1" operator="lessThanOrEqual">
      <formula>-0.1</formula>
    </cfRule>
    <cfRule type="cellIs" dxfId="343" priority="2" operator="greaterThan">
      <formula>0.1</formula>
    </cfRule>
  </conditionalFormatting>
  <conditionalFormatting sqref="E17 H17">
    <cfRule type="cellIs" dxfId="342" priority="4" operator="lessThanOrEqual">
      <formula>-0.1</formula>
    </cfRule>
    <cfRule type="cellIs" dxfId="341" priority="5" operator="greaterThan">
      <formula>0.1</formula>
    </cfRule>
  </conditionalFormatting>
  <conditionalFormatting sqref="I7">
    <cfRule type="cellIs" dxfId="340" priority="3" operator="lessThan">
      <formula>0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F6B16-D497-4605-A7F3-4374FFA66927}">
  <sheetPr codeName="Sheet29">
    <tabColor rgb="FFFFFF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4.140625" customWidth="1"/>
    <col min="10" max="10" width="18.5703125" bestFit="1" customWidth="1"/>
  </cols>
  <sheetData>
    <row r="1" spans="1:15" ht="25.15">
      <c r="A1" s="152" t="s">
        <v>65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15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3.35" customHeight="1">
      <c r="A5" s="14" t="s">
        <v>102</v>
      </c>
      <c r="B5" s="69">
        <v>38716</v>
      </c>
      <c r="C5" s="69">
        <v>54336.05</v>
      </c>
      <c r="D5" s="52">
        <f>B5-C5</f>
        <v>-15620.050000000003</v>
      </c>
      <c r="E5" s="53">
        <f t="shared" ref="E5:E11" si="0">IFERROR(D5/C5, 0)</f>
        <v>-0.28747120926162284</v>
      </c>
      <c r="F5" s="70">
        <v>55003.46</v>
      </c>
      <c r="G5" s="54">
        <f>B5-F5</f>
        <v>-16287.46</v>
      </c>
      <c r="H5" s="55">
        <f t="shared" ref="H5:H11" si="1">IFERROR(G5/F5, 0)</f>
        <v>-0.2961170079118659</v>
      </c>
      <c r="I5" s="84"/>
      <c r="J5" s="84"/>
      <c r="O5" s="4"/>
    </row>
    <row r="6" spans="1:15" ht="13.35" customHeight="1">
      <c r="A6" s="16" t="s">
        <v>104</v>
      </c>
      <c r="B6" s="52"/>
      <c r="C6" s="52"/>
      <c r="D6" s="52">
        <f t="shared" ref="D6:D11" si="2">B6-C6</f>
        <v>0</v>
      </c>
      <c r="E6" s="56">
        <f t="shared" si="0"/>
        <v>0</v>
      </c>
      <c r="F6" s="59"/>
      <c r="G6" s="54">
        <f t="shared" ref="G6:G11" si="3">B6-F6</f>
        <v>0</v>
      </c>
      <c r="H6" s="55">
        <f t="shared" si="1"/>
        <v>0</v>
      </c>
      <c r="I6" s="57"/>
      <c r="J6" s="57"/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54"/>
      <c r="G8" s="54">
        <f t="shared" si="3"/>
        <v>0</v>
      </c>
      <c r="H8" s="55">
        <f t="shared" si="1"/>
        <v>0</v>
      </c>
      <c r="I8" s="57"/>
      <c r="J8" s="57"/>
    </row>
    <row r="9" spans="1:15" ht="13.3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/>
    </row>
    <row r="12" spans="1:15" ht="30" customHeight="1">
      <c r="A12" s="16" t="s">
        <v>110</v>
      </c>
      <c r="B12" s="52"/>
      <c r="C12" s="52"/>
      <c r="D12" s="52">
        <f t="shared" ref="D12:D16" si="4">B12-C12</f>
        <v>0</v>
      </c>
      <c r="E12" s="56">
        <f t="shared" ref="E12:E16" si="5">IFERROR(D12/C12, 0)</f>
        <v>0</v>
      </c>
      <c r="F12" s="60"/>
      <c r="G12" s="54">
        <f t="shared" ref="G12:G16" si="6">B12-F12</f>
        <v>0</v>
      </c>
      <c r="H12" s="55">
        <f t="shared" ref="H12:H16" si="7">IFERROR(G12/F12, 0)</f>
        <v>0</v>
      </c>
      <c r="I12" s="57"/>
      <c r="J12" s="57"/>
    </row>
    <row r="13" spans="1:15" ht="13.35" customHeight="1">
      <c r="A13" s="16" t="s">
        <v>111</v>
      </c>
      <c r="B13" s="52"/>
      <c r="C13" s="52"/>
      <c r="D13" s="52">
        <f t="shared" si="4"/>
        <v>0</v>
      </c>
      <c r="E13" s="56">
        <f t="shared" si="5"/>
        <v>0</v>
      </c>
      <c r="F13" s="54"/>
      <c r="G13" s="54">
        <f t="shared" si="6"/>
        <v>0</v>
      </c>
      <c r="H13" s="55">
        <f t="shared" si="7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4"/>
        <v>0</v>
      </c>
      <c r="E14" s="56">
        <f t="shared" si="5"/>
        <v>0</v>
      </c>
      <c r="F14" s="54"/>
      <c r="G14" s="54">
        <f t="shared" si="6"/>
        <v>0</v>
      </c>
      <c r="H14" s="55">
        <f t="shared" si="7"/>
        <v>0</v>
      </c>
      <c r="I14" s="57"/>
      <c r="J14" s="57"/>
    </row>
    <row r="15" spans="1:15" ht="13.35" customHeight="1">
      <c r="A15" s="16" t="s">
        <v>113</v>
      </c>
      <c r="B15" s="61"/>
      <c r="C15" s="61"/>
      <c r="D15" s="52">
        <f t="shared" si="4"/>
        <v>0</v>
      </c>
      <c r="E15" s="56">
        <f t="shared" si="5"/>
        <v>0</v>
      </c>
      <c r="F15" s="62"/>
      <c r="G15" s="54">
        <f t="shared" si="6"/>
        <v>0</v>
      </c>
      <c r="H15" s="55">
        <f t="shared" si="7"/>
        <v>0</v>
      </c>
      <c r="I15" s="57"/>
      <c r="J15" s="57"/>
    </row>
    <row r="16" spans="1:15" ht="14.25">
      <c r="A16" s="20" t="s">
        <v>114</v>
      </c>
      <c r="B16" s="63"/>
      <c r="C16" s="63"/>
      <c r="D16" s="52">
        <f t="shared" si="4"/>
        <v>0</v>
      </c>
      <c r="E16" s="56">
        <f t="shared" si="5"/>
        <v>0</v>
      </c>
      <c r="F16" s="65"/>
      <c r="G16" s="54">
        <f t="shared" si="6"/>
        <v>0</v>
      </c>
      <c r="H16" s="55">
        <f t="shared" si="7"/>
        <v>0</v>
      </c>
      <c r="I16" s="130"/>
      <c r="J16" s="125"/>
    </row>
    <row r="17" spans="1:15" ht="13.35" customHeight="1">
      <c r="A17" s="21" t="s">
        <v>115</v>
      </c>
      <c r="B17" s="22">
        <f>SUM(B5:B16)</f>
        <v>38716</v>
      </c>
      <c r="C17" s="22">
        <f t="shared" ref="C17:F17" si="8">SUM(C5:C16)</f>
        <v>54336.05</v>
      </c>
      <c r="D17" s="22">
        <f>B17-C17</f>
        <v>-15620.050000000003</v>
      </c>
      <c r="E17" s="23">
        <f>IFERROR(D17/C17, 0)</f>
        <v>-0.28747120926162284</v>
      </c>
      <c r="F17" s="22">
        <f t="shared" si="8"/>
        <v>55003.46</v>
      </c>
      <c r="G17" s="22">
        <f>B17-F17</f>
        <v>-16287.46</v>
      </c>
      <c r="H17" s="24">
        <f>IFERROR(G17/F17, 0)</f>
        <v>-0.2961170079118659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6 H5:H16">
    <cfRule type="cellIs" dxfId="325" priority="1" operator="lessThanOrEqual">
      <formula>-0.1</formula>
    </cfRule>
    <cfRule type="cellIs" dxfId="324" priority="2" operator="greaterThan">
      <formula>0.1</formula>
    </cfRule>
  </conditionalFormatting>
  <conditionalFormatting sqref="E17 H17">
    <cfRule type="cellIs" dxfId="323" priority="3" operator="lessThanOrEqual">
      <formula>-0.1</formula>
    </cfRule>
    <cfRule type="cellIs" dxfId="322" priority="4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D3120-1943-4C2A-90DA-6BAF88C0381B}">
  <sheetPr codeName="Sheet41">
    <tabColor rgb="FFFFFF00"/>
  </sheetPr>
  <dimension ref="A1:O20"/>
  <sheetViews>
    <sheetView workbookViewId="0">
      <selection activeCell="G27" sqref="G27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8" bestFit="1" customWidth="1"/>
    <col min="10" max="10" width="18.5703125" bestFit="1" customWidth="1"/>
  </cols>
  <sheetData>
    <row r="1" spans="1:15" ht="25.15">
      <c r="A1" s="152" t="s">
        <v>67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15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3.35" customHeight="1">
      <c r="A5" s="14" t="s">
        <v>102</v>
      </c>
      <c r="B5" s="69">
        <v>30221</v>
      </c>
      <c r="C5" s="69">
        <v>58716</v>
      </c>
      <c r="D5" s="52">
        <f>B5-C5</f>
        <v>-28495</v>
      </c>
      <c r="E5" s="53">
        <f t="shared" ref="E5:E16" si="0">IFERROR(D5/C5, 0)</f>
        <v>-0.48530213229784047</v>
      </c>
      <c r="F5" s="70">
        <v>0</v>
      </c>
      <c r="G5" s="54">
        <f>B5-F5</f>
        <v>30221</v>
      </c>
      <c r="H5" s="55">
        <f t="shared" ref="H5:H16" si="1">IFERROR(G5/F5, 0)</f>
        <v>0</v>
      </c>
      <c r="I5" s="84"/>
      <c r="J5" s="84"/>
      <c r="O5" s="4"/>
    </row>
    <row r="6" spans="1:15" ht="13.35" customHeight="1">
      <c r="A6" s="16" t="s">
        <v>104</v>
      </c>
      <c r="B6" s="52"/>
      <c r="C6" s="52"/>
      <c r="D6" s="52">
        <f t="shared" ref="D6:D16" si="2">B6-C6</f>
        <v>0</v>
      </c>
      <c r="E6" s="56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57"/>
      <c r="J6" s="57"/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54"/>
      <c r="G8" s="54">
        <f t="shared" si="3"/>
        <v>0</v>
      </c>
      <c r="H8" s="55">
        <f t="shared" si="1"/>
        <v>0</v>
      </c>
      <c r="I8" s="57"/>
      <c r="J8" s="57"/>
    </row>
    <row r="9" spans="1:15" ht="13.3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/>
    </row>
    <row r="12" spans="1:15" ht="14.25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13.35" customHeight="1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1"/>
        <v>0</v>
      </c>
      <c r="I14" s="57"/>
      <c r="J14" s="57"/>
    </row>
    <row r="15" spans="1:15" ht="14.25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54"/>
      <c r="G15" s="54">
        <f t="shared" si="3"/>
        <v>0</v>
      </c>
      <c r="H15" s="55">
        <f t="shared" si="1"/>
        <v>0</v>
      </c>
      <c r="I15" s="57"/>
      <c r="J15" s="57"/>
    </row>
    <row r="16" spans="1:15" ht="14.25">
      <c r="A16" s="20" t="s">
        <v>114</v>
      </c>
      <c r="B16" s="63"/>
      <c r="C16" s="63"/>
      <c r="D16" s="52">
        <f t="shared" si="2"/>
        <v>0</v>
      </c>
      <c r="E16" s="56">
        <f t="shared" si="0"/>
        <v>0</v>
      </c>
      <c r="F16" s="54"/>
      <c r="G16" s="54">
        <f t="shared" si="3"/>
        <v>0</v>
      </c>
      <c r="H16" s="55">
        <f t="shared" si="1"/>
        <v>0</v>
      </c>
      <c r="I16" s="57"/>
      <c r="J16" s="57"/>
    </row>
    <row r="17" spans="1:15" ht="13.35" customHeight="1">
      <c r="A17" s="21" t="s">
        <v>115</v>
      </c>
      <c r="B17" s="22">
        <f>SUM(B5:B16)</f>
        <v>30221</v>
      </c>
      <c r="C17" s="22">
        <f t="shared" ref="C17:F17" si="4">SUM(C5:C16)</f>
        <v>58716</v>
      </c>
      <c r="D17" s="22">
        <f>B17-C17</f>
        <v>-28495</v>
      </c>
      <c r="E17" s="23">
        <f>IFERROR(D17/C17, 0)</f>
        <v>-0.48530213229784047</v>
      </c>
      <c r="F17" s="22">
        <f t="shared" si="4"/>
        <v>0</v>
      </c>
      <c r="G17" s="22">
        <f>B17-F17</f>
        <v>30221</v>
      </c>
      <c r="H17" s="24">
        <f>IFERROR(G17/F17, 0)</f>
        <v>0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307" priority="1" operator="lessThanOrEqual">
      <formula>-0.1</formula>
    </cfRule>
    <cfRule type="cellIs" dxfId="30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4F96-904C-4904-987F-DE970A8A5149}">
  <sheetPr codeName="Sheet33">
    <tabColor rgb="FFFFFF00"/>
  </sheetPr>
  <dimension ref="A1:O20"/>
  <sheetViews>
    <sheetView topLeftCell="D1" workbookViewId="0">
      <selection activeCell="I6" sqref="I6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18.5703125" bestFit="1" customWidth="1"/>
  </cols>
  <sheetData>
    <row r="1" spans="1:15" ht="25.15">
      <c r="A1" s="152" t="s">
        <v>69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5" thickBot="1">
      <c r="A2" s="10"/>
      <c r="B2" s="10"/>
      <c r="C2" s="10"/>
      <c r="D2" s="10"/>
      <c r="E2" s="10"/>
    </row>
    <row r="3" spans="1:15" ht="15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15" thickBo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4.25">
      <c r="A5" s="14" t="s">
        <v>102</v>
      </c>
      <c r="B5" s="78">
        <v>37423.500000000902</v>
      </c>
      <c r="C5" s="78">
        <v>60597.82</v>
      </c>
      <c r="D5" s="52">
        <f>B5-C5</f>
        <v>-23174.319999999097</v>
      </c>
      <c r="E5" s="53">
        <f t="shared" ref="E5:E16" si="0">IFERROR(D5/C5, 0)</f>
        <v>-0.38242827877304986</v>
      </c>
      <c r="F5" s="77">
        <v>84734.92</v>
      </c>
      <c r="G5" s="54">
        <f>B5-F5</f>
        <v>-47311.419999999096</v>
      </c>
      <c r="H5" s="55">
        <f t="shared" ref="H5:H16" si="1">IFERROR(G5/F5, 0)</f>
        <v>-0.5583461930453123</v>
      </c>
      <c r="I5" s="84" t="s">
        <v>120</v>
      </c>
      <c r="J5" s="84" t="s">
        <v>121</v>
      </c>
      <c r="O5" s="4"/>
    </row>
    <row r="6" spans="1:15" ht="14.25">
      <c r="A6" s="16" t="s">
        <v>104</v>
      </c>
      <c r="B6" s="52"/>
      <c r="C6" s="52"/>
      <c r="D6" s="52">
        <f t="shared" ref="D6:D16" si="2">B6-C6</f>
        <v>0</v>
      </c>
      <c r="E6" s="56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83"/>
      <c r="J6" s="83"/>
    </row>
    <row r="7" spans="1:15" ht="14.25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4.25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54"/>
      <c r="G8" s="54">
        <f t="shared" si="3"/>
        <v>0</v>
      </c>
      <c r="H8" s="55">
        <f t="shared" si="1"/>
        <v>0</v>
      </c>
      <c r="I8" s="57"/>
      <c r="J8" s="57"/>
    </row>
    <row r="9" spans="1:15" ht="14.25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4.25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14.25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/>
    </row>
    <row r="12" spans="1:15" ht="14.25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14.25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14.25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1"/>
        <v>0</v>
      </c>
      <c r="I14" s="57"/>
      <c r="J14" s="57"/>
    </row>
    <row r="15" spans="1:15" ht="14.25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62"/>
      <c r="G15" s="54">
        <f t="shared" si="3"/>
        <v>0</v>
      </c>
      <c r="H15" s="55">
        <f t="shared" si="1"/>
        <v>0</v>
      </c>
      <c r="I15" s="57"/>
      <c r="J15" s="57"/>
    </row>
    <row r="16" spans="1:15" ht="14.25">
      <c r="A16" s="20" t="s">
        <v>114</v>
      </c>
      <c r="B16" s="63"/>
      <c r="C16" s="63"/>
      <c r="D16" s="63">
        <f t="shared" si="2"/>
        <v>0</v>
      </c>
      <c r="E16" s="64">
        <f t="shared" si="0"/>
        <v>0</v>
      </c>
      <c r="F16" s="65"/>
      <c r="G16" s="66">
        <f t="shared" si="3"/>
        <v>0</v>
      </c>
      <c r="H16" s="67">
        <f t="shared" si="1"/>
        <v>0</v>
      </c>
      <c r="I16" s="129"/>
      <c r="J16" s="129"/>
    </row>
    <row r="17" spans="1:15" ht="14.25">
      <c r="A17" s="21" t="s">
        <v>115</v>
      </c>
      <c r="B17" s="22">
        <f>SUM(B5:B16)</f>
        <v>37423.500000000902</v>
      </c>
      <c r="C17" s="22">
        <f t="shared" ref="C17:F17" si="4">SUM(C5:C16)</f>
        <v>60597.82</v>
      </c>
      <c r="D17" s="22">
        <f>B17-C17</f>
        <v>-23174.319999999097</v>
      </c>
      <c r="E17" s="23">
        <f>IFERROR(D17/C17, 0)</f>
        <v>-0.38242827877304986</v>
      </c>
      <c r="F17" s="22">
        <f t="shared" si="4"/>
        <v>84734.92</v>
      </c>
      <c r="G17" s="22">
        <f>B17-F17</f>
        <v>-47311.419999999096</v>
      </c>
      <c r="H17" s="24">
        <f>IFERROR(G17/F17, 0)</f>
        <v>-0.5583461930453123</v>
      </c>
      <c r="I17" s="25"/>
      <c r="J17" s="25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291" priority="1" operator="lessThanOrEqual">
      <formula>-0.1</formula>
    </cfRule>
    <cfRule type="cellIs" dxfId="29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9C5B-C23B-4A78-A57B-E3813E002C90}">
  <sheetPr codeName="Sheet42">
    <tabColor rgb="FFFFFF00"/>
  </sheetPr>
  <dimension ref="A1:O20"/>
  <sheetViews>
    <sheetView workbookViewId="0">
      <selection activeCell="D25" sqref="D2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4.140625" customWidth="1"/>
    <col min="10" max="10" width="18.5703125" bestFit="1" customWidth="1"/>
  </cols>
  <sheetData>
    <row r="1" spans="1:15" ht="25.15">
      <c r="A1" s="152" t="s">
        <v>71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15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3.35" customHeight="1">
      <c r="A5" s="14" t="s">
        <v>102</v>
      </c>
      <c r="B5" s="69">
        <v>13924</v>
      </c>
      <c r="C5" s="69">
        <v>29010</v>
      </c>
      <c r="D5" s="52">
        <f>B5-C5</f>
        <v>-15086</v>
      </c>
      <c r="E5" s="53">
        <f t="shared" ref="E5:E16" si="0">IFERROR(D5/C5, 0)</f>
        <v>-0.5200275766976904</v>
      </c>
      <c r="F5" s="70">
        <v>0</v>
      </c>
      <c r="G5" s="54">
        <f>B5-F5</f>
        <v>13924</v>
      </c>
      <c r="H5" s="55">
        <f t="shared" ref="H5:H16" si="1">IFERROR(G5/F5, 0)</f>
        <v>0</v>
      </c>
      <c r="I5" s="84"/>
      <c r="J5" s="84"/>
      <c r="O5" s="4"/>
    </row>
    <row r="6" spans="1:15" ht="13.35" customHeight="1">
      <c r="A6" s="16" t="s">
        <v>104</v>
      </c>
      <c r="B6" s="52"/>
      <c r="C6" s="52"/>
      <c r="D6" s="52">
        <f t="shared" ref="D6:D16" si="2">B6-C6</f>
        <v>0</v>
      </c>
      <c r="E6" s="56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57"/>
      <c r="J6" s="57"/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54"/>
      <c r="G8" s="54">
        <f t="shared" si="3"/>
        <v>0</v>
      </c>
      <c r="H8" s="55">
        <f t="shared" si="1"/>
        <v>0</v>
      </c>
      <c r="I8" s="57"/>
      <c r="J8" s="57"/>
    </row>
    <row r="9" spans="1:15" ht="13.3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/>
    </row>
    <row r="12" spans="1:15" ht="14.25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13.35" customHeight="1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1"/>
        <v>0</v>
      </c>
      <c r="I14" s="57"/>
      <c r="J14" s="57"/>
    </row>
    <row r="15" spans="1:15" ht="13.35" customHeight="1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54"/>
      <c r="G15" s="54">
        <f t="shared" si="3"/>
        <v>0</v>
      </c>
      <c r="H15" s="55">
        <f t="shared" si="1"/>
        <v>0</v>
      </c>
      <c r="I15" s="57"/>
      <c r="J15" s="57"/>
    </row>
    <row r="16" spans="1:15" ht="13.35" customHeight="1">
      <c r="A16" s="20" t="s">
        <v>114</v>
      </c>
      <c r="B16" s="63"/>
      <c r="C16" s="63"/>
      <c r="D16" s="52">
        <f t="shared" si="2"/>
        <v>0</v>
      </c>
      <c r="E16" s="56">
        <f t="shared" si="0"/>
        <v>0</v>
      </c>
      <c r="F16" s="54"/>
      <c r="G16" s="54">
        <f t="shared" si="3"/>
        <v>0</v>
      </c>
      <c r="H16" s="55">
        <f t="shared" si="1"/>
        <v>0</v>
      </c>
      <c r="I16" s="57"/>
      <c r="J16" s="57"/>
    </row>
    <row r="17" spans="1:15" ht="13.35" customHeight="1">
      <c r="A17" s="21" t="s">
        <v>115</v>
      </c>
      <c r="B17" s="22">
        <f>SUM(B5:B16)</f>
        <v>13924</v>
      </c>
      <c r="C17" s="22">
        <f t="shared" ref="C17:F17" si="4">SUM(C5:C16)</f>
        <v>29010</v>
      </c>
      <c r="D17" s="22">
        <f>B17-C17</f>
        <v>-15086</v>
      </c>
      <c r="E17" s="23">
        <f>IFERROR(D17/C17, 0)</f>
        <v>-0.5200275766976904</v>
      </c>
      <c r="F17" s="22">
        <f t="shared" si="4"/>
        <v>0</v>
      </c>
      <c r="G17" s="22">
        <f>B17-F17</f>
        <v>13924</v>
      </c>
      <c r="H17" s="24">
        <f>IFERROR(G17/F17, 0)</f>
        <v>0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275" priority="1" operator="lessThanOrEqual">
      <formula>-0.1</formula>
    </cfRule>
    <cfRule type="cellIs" dxfId="27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E8E3-9092-4C3D-871B-37BBBE372E19}">
  <sheetPr codeName="Sheet35">
    <tabColor rgb="FFFFFF00"/>
  </sheetPr>
  <dimension ref="A1:O20"/>
  <sheetViews>
    <sheetView topLeftCell="E1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97.42578125" customWidth="1"/>
    <col min="10" max="10" width="18.5703125" bestFit="1" customWidth="1"/>
  </cols>
  <sheetData>
    <row r="1" spans="1:15" ht="25.15">
      <c r="A1" s="152" t="s">
        <v>72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5" thickBot="1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 thickBo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29.25" customHeight="1">
      <c r="A5" s="14" t="s">
        <v>102</v>
      </c>
      <c r="B5" s="69">
        <v>93336</v>
      </c>
      <c r="C5" s="69">
        <v>144118.9</v>
      </c>
      <c r="D5" s="52">
        <f>B5-C5</f>
        <v>-50782.899999999994</v>
      </c>
      <c r="E5" s="53">
        <f t="shared" ref="E5:E16" si="0">IFERROR(D5/C5, 0)</f>
        <v>-0.35236807941220755</v>
      </c>
      <c r="F5" s="70">
        <v>162736.5</v>
      </c>
      <c r="G5" s="54">
        <f>B5-F5</f>
        <v>-69400.5</v>
      </c>
      <c r="H5" s="55">
        <f t="shared" ref="H5:H16" si="1">IFERROR(G5/F5, 0)</f>
        <v>-0.42645933764091032</v>
      </c>
      <c r="I5" s="84" t="s">
        <v>122</v>
      </c>
      <c r="J5" s="84" t="s">
        <v>123</v>
      </c>
      <c r="O5" s="4"/>
    </row>
    <row r="6" spans="1:15" ht="13.35" customHeight="1">
      <c r="A6" s="16" t="s">
        <v>104</v>
      </c>
      <c r="B6" s="52"/>
      <c r="C6" s="52"/>
      <c r="D6" s="52">
        <f t="shared" ref="D6:D16" si="2">B6-C6</f>
        <v>0</v>
      </c>
      <c r="E6" s="56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57"/>
      <c r="J6" s="57"/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54"/>
      <c r="G8" s="54">
        <f t="shared" si="3"/>
        <v>0</v>
      </c>
      <c r="H8" s="55">
        <f t="shared" si="1"/>
        <v>0</v>
      </c>
      <c r="I8" s="57"/>
      <c r="J8" s="57"/>
    </row>
    <row r="9" spans="1:15" ht="13.3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76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/>
    </row>
    <row r="12" spans="1:15" ht="13.35" customHeight="1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13.35" customHeight="1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1"/>
        <v>0</v>
      </c>
      <c r="I14" s="57"/>
      <c r="J14" s="57"/>
    </row>
    <row r="15" spans="1:15" ht="13.35" customHeight="1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62"/>
      <c r="G15" s="54">
        <f t="shared" si="3"/>
        <v>0</v>
      </c>
      <c r="H15" s="55">
        <f t="shared" si="1"/>
        <v>0</v>
      </c>
      <c r="I15" s="57"/>
      <c r="J15" s="57"/>
    </row>
    <row r="16" spans="1:15" ht="14.25">
      <c r="A16" s="20" t="s">
        <v>114</v>
      </c>
      <c r="B16" s="63"/>
      <c r="C16" s="63"/>
      <c r="D16" s="63">
        <f t="shared" si="2"/>
        <v>0</v>
      </c>
      <c r="E16" s="64">
        <f t="shared" si="0"/>
        <v>0</v>
      </c>
      <c r="F16" s="65"/>
      <c r="G16" s="66">
        <f t="shared" si="3"/>
        <v>0</v>
      </c>
      <c r="H16" s="67">
        <f t="shared" si="1"/>
        <v>0</v>
      </c>
      <c r="I16" s="130"/>
      <c r="J16" s="90"/>
    </row>
    <row r="17" spans="1:15" ht="13.35" customHeight="1">
      <c r="A17" s="21" t="s">
        <v>115</v>
      </c>
      <c r="B17" s="22">
        <f>SUM(B5:B16)</f>
        <v>93336</v>
      </c>
      <c r="C17" s="22">
        <f t="shared" ref="C17:F17" si="4">SUM(C5:C16)</f>
        <v>144118.9</v>
      </c>
      <c r="D17" s="22">
        <f>B17-C17</f>
        <v>-50782.899999999994</v>
      </c>
      <c r="E17" s="23">
        <f>IFERROR(D17/C17, 0)</f>
        <v>-0.35236807941220755</v>
      </c>
      <c r="F17" s="22">
        <f t="shared" si="4"/>
        <v>162736.5</v>
      </c>
      <c r="G17" s="22">
        <f>B17-F17</f>
        <v>-69400.5</v>
      </c>
      <c r="H17" s="24">
        <f>IFERROR(G17/F17, 0)</f>
        <v>-0.42645933764091032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259" priority="1" operator="lessThanOrEqual">
      <formula>-0.1</formula>
    </cfRule>
    <cfRule type="cellIs" dxfId="25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2497-42A8-48D2-B0BB-2937B7EC6F91}">
  <sheetPr codeName="Sheet36">
    <tabColor rgb="FFFFFF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0.7109375" customWidth="1"/>
    <col min="10" max="10" width="18.5703125" bestFit="1" customWidth="1"/>
  </cols>
  <sheetData>
    <row r="1" spans="1:15" ht="25.15">
      <c r="A1" s="152" t="s">
        <v>73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5" thickBot="1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 thickBo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3.35" customHeight="1">
      <c r="A5" s="14" t="s">
        <v>102</v>
      </c>
      <c r="B5" s="69">
        <v>18016.047500000299</v>
      </c>
      <c r="C5" s="69">
        <v>31872.06</v>
      </c>
      <c r="D5" s="52">
        <f>B5-C5</f>
        <v>-13856.012499999702</v>
      </c>
      <c r="E5" s="53">
        <f t="shared" ref="E5:E16" si="0">IFERROR(D5/C5, 0)</f>
        <v>-0.43473852960868242</v>
      </c>
      <c r="F5" s="70">
        <v>45090</v>
      </c>
      <c r="G5" s="54">
        <f>B5-F5</f>
        <v>-27073.952499999701</v>
      </c>
      <c r="H5" s="55">
        <f t="shared" ref="H5:H16" si="1">IFERROR(G5/F5, 0)</f>
        <v>-0.60044250388111997</v>
      </c>
      <c r="I5" s="57"/>
      <c r="J5" s="57"/>
      <c r="O5" s="4"/>
    </row>
    <row r="6" spans="1:15" ht="13.35" customHeight="1">
      <c r="A6" s="16" t="s">
        <v>104</v>
      </c>
      <c r="B6" s="52"/>
      <c r="C6" s="69"/>
      <c r="D6" s="52">
        <f t="shared" ref="D6:D16" si="2">B6-C6</f>
        <v>0</v>
      </c>
      <c r="E6" s="56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57"/>
      <c r="J6" s="57"/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71"/>
      <c r="G8" s="54">
        <f t="shared" si="3"/>
        <v>0</v>
      </c>
      <c r="H8" s="55">
        <f t="shared" si="1"/>
        <v>0</v>
      </c>
      <c r="I8" s="57"/>
      <c r="J8" s="57"/>
    </row>
    <row r="9" spans="1:15" ht="13.3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/>
    </row>
    <row r="12" spans="1:15" ht="13.35" customHeight="1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13.35" customHeight="1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14.25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1"/>
        <v>0</v>
      </c>
      <c r="I14" s="57"/>
      <c r="J14" s="57"/>
    </row>
    <row r="15" spans="1:15" ht="13.35" customHeight="1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62"/>
      <c r="G15" s="54">
        <f t="shared" si="3"/>
        <v>0</v>
      </c>
      <c r="H15" s="55">
        <f t="shared" si="1"/>
        <v>0</v>
      </c>
      <c r="I15" s="57"/>
      <c r="J15" s="57"/>
    </row>
    <row r="16" spans="1:15" ht="13.35" customHeight="1">
      <c r="A16" s="20" t="s">
        <v>114</v>
      </c>
      <c r="B16" s="63"/>
      <c r="C16" s="63"/>
      <c r="D16" s="63">
        <f t="shared" si="2"/>
        <v>0</v>
      </c>
      <c r="E16" s="64">
        <f t="shared" si="0"/>
        <v>0</v>
      </c>
      <c r="F16" s="65"/>
      <c r="G16" s="66">
        <f t="shared" si="3"/>
        <v>0</v>
      </c>
      <c r="H16" s="67">
        <f t="shared" si="1"/>
        <v>0</v>
      </c>
      <c r="I16" s="68"/>
      <c r="J16" s="68"/>
    </row>
    <row r="17" spans="1:15" ht="13.35" customHeight="1">
      <c r="A17" s="21" t="s">
        <v>115</v>
      </c>
      <c r="B17" s="22">
        <f>SUM(B5:B16)</f>
        <v>18016.047500000299</v>
      </c>
      <c r="C17" s="22">
        <f t="shared" ref="C17:F17" si="4">SUM(C5:C16)</f>
        <v>31872.06</v>
      </c>
      <c r="D17" s="22">
        <f>B17-C17</f>
        <v>-13856.012499999702</v>
      </c>
      <c r="E17" s="23">
        <f>IFERROR(D17/C17, 0)</f>
        <v>-0.43473852960868242</v>
      </c>
      <c r="F17" s="22">
        <f t="shared" si="4"/>
        <v>45090</v>
      </c>
      <c r="G17" s="22">
        <f>B17-F17</f>
        <v>-27073.952499999701</v>
      </c>
      <c r="H17" s="24">
        <f>IFERROR(G17/F17, 0)</f>
        <v>-0.60044250388111997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243" priority="1" operator="lessThanOrEqual">
      <formula>-0.1</formula>
    </cfRule>
    <cfRule type="cellIs" dxfId="24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7395-85DD-40B1-8FD9-C48674919EE7}">
  <sheetPr codeName="Sheet37">
    <tabColor rgb="FFFFFF00"/>
  </sheetPr>
  <dimension ref="A1:O20"/>
  <sheetViews>
    <sheetView workbookViewId="0">
      <selection activeCell="I21" sqref="I21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68.7109375" customWidth="1"/>
    <col min="10" max="10" width="18.5703125" bestFit="1" customWidth="1"/>
  </cols>
  <sheetData>
    <row r="1" spans="1:15" ht="25.15">
      <c r="A1" s="152" t="s">
        <v>74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5" thickBot="1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 thickBo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31.5" customHeight="1">
      <c r="A5" s="14" t="s">
        <v>102</v>
      </c>
      <c r="B5" s="69">
        <v>24169.871179624501</v>
      </c>
      <c r="C5" s="69">
        <v>47290.29</v>
      </c>
      <c r="D5" s="52">
        <f>B5-C5</f>
        <v>-23120.4188203755</v>
      </c>
      <c r="E5" s="53">
        <f t="shared" ref="E5:E16" si="0">IFERROR(D5/C5, 0)</f>
        <v>-0.48890414544667626</v>
      </c>
      <c r="F5" s="70">
        <v>65151</v>
      </c>
      <c r="G5" s="54">
        <f>B5-F5</f>
        <v>-40981.128820375496</v>
      </c>
      <c r="H5" s="55">
        <f t="shared" ref="H5:H16" si="1">IFERROR(G5/F5, 0)</f>
        <v>-0.62901764854531006</v>
      </c>
      <c r="I5" s="84"/>
      <c r="J5" s="84"/>
      <c r="O5" s="4"/>
    </row>
    <row r="6" spans="1:15" ht="13.35" customHeight="1">
      <c r="A6" s="16" t="s">
        <v>104</v>
      </c>
      <c r="B6" s="52"/>
      <c r="C6" s="52"/>
      <c r="D6" s="52">
        <f t="shared" ref="D6:D16" si="2">B6-C6</f>
        <v>0</v>
      </c>
      <c r="E6" s="56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83"/>
      <c r="J6" s="83"/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54"/>
      <c r="G8" s="54">
        <f t="shared" si="3"/>
        <v>0</v>
      </c>
      <c r="H8" s="55">
        <f t="shared" si="1"/>
        <v>0</v>
      </c>
      <c r="I8" s="57"/>
      <c r="J8" s="57"/>
    </row>
    <row r="9" spans="1:15" ht="26.2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/>
    </row>
    <row r="12" spans="1:15" ht="13.35" customHeight="1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13.35" customHeight="1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1"/>
        <v>0</v>
      </c>
      <c r="I14" s="57"/>
      <c r="J14" s="57"/>
    </row>
    <row r="15" spans="1:15" ht="18.75" customHeight="1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62"/>
      <c r="G15" s="54">
        <f t="shared" si="3"/>
        <v>0</v>
      </c>
      <c r="H15" s="55">
        <f t="shared" si="1"/>
        <v>0</v>
      </c>
      <c r="I15" s="57"/>
      <c r="J15" s="57"/>
    </row>
    <row r="16" spans="1:15" ht="13.35" customHeight="1">
      <c r="A16" s="20" t="s">
        <v>114</v>
      </c>
      <c r="B16" s="63"/>
      <c r="C16" s="63"/>
      <c r="D16" s="63">
        <f t="shared" si="2"/>
        <v>0</v>
      </c>
      <c r="E16" s="64">
        <f t="shared" si="0"/>
        <v>0</v>
      </c>
      <c r="F16" s="65"/>
      <c r="G16" s="66">
        <f t="shared" si="3"/>
        <v>0</v>
      </c>
      <c r="H16" s="67">
        <f t="shared" si="1"/>
        <v>0</v>
      </c>
      <c r="I16" s="125"/>
      <c r="J16" s="125"/>
    </row>
    <row r="17" spans="1:15" ht="13.35" customHeight="1">
      <c r="A17" s="21" t="s">
        <v>115</v>
      </c>
      <c r="B17" s="22">
        <f>SUM(B5:B16)</f>
        <v>24169.871179624501</v>
      </c>
      <c r="C17" s="22">
        <f t="shared" ref="C17:F17" si="4">SUM(C5:C16)</f>
        <v>47290.29</v>
      </c>
      <c r="D17" s="22">
        <f>B17-C17</f>
        <v>-23120.4188203755</v>
      </c>
      <c r="E17" s="23">
        <f>IFERROR(D17/C17, 0)</f>
        <v>-0.48890414544667626</v>
      </c>
      <c r="F17" s="22">
        <f t="shared" si="4"/>
        <v>65151</v>
      </c>
      <c r="G17" s="22">
        <f>B17-F17</f>
        <v>-40981.128820375496</v>
      </c>
      <c r="H17" s="24">
        <f>IFERROR(G17/F17, 0)</f>
        <v>-0.62901764854531006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227" priority="1" operator="lessThanOrEqual">
      <formula>-0.1</formula>
    </cfRule>
    <cfRule type="cellIs" dxfId="22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B266-43E2-48D5-B158-AD79DB6D889F}">
  <sheetPr codeName="Sheet38">
    <tabColor rgb="FFFFFF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33" customWidth="1"/>
    <col min="10" max="10" width="18.5703125" bestFit="1" customWidth="1"/>
  </cols>
  <sheetData>
    <row r="1" spans="1:15" ht="25.15">
      <c r="A1" s="152" t="s">
        <v>75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5" thickBot="1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 thickBo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3.35" customHeight="1">
      <c r="A5" s="14" t="s">
        <v>102</v>
      </c>
      <c r="B5" s="69">
        <v>22398.5</v>
      </c>
      <c r="C5" s="69">
        <v>29378.29</v>
      </c>
      <c r="D5" s="52">
        <f>B5-C5</f>
        <v>-6979.7900000000009</v>
      </c>
      <c r="E5" s="53">
        <f t="shared" ref="E5:E16" si="0">IFERROR(D5/C5, 0)</f>
        <v>-0.23758326301496788</v>
      </c>
      <c r="F5" s="70">
        <v>35608.120000000003</v>
      </c>
      <c r="G5" s="54">
        <f>B5-F5</f>
        <v>-13209.620000000003</v>
      </c>
      <c r="H5" s="55">
        <f t="shared" ref="H5:H16" si="1">IFERROR(G5/F5, 0)</f>
        <v>-0.37097212658236384</v>
      </c>
      <c r="I5" s="57"/>
      <c r="J5" s="57"/>
      <c r="O5" s="4"/>
    </row>
    <row r="6" spans="1:15" ht="13.35" customHeight="1">
      <c r="A6" s="16" t="s">
        <v>104</v>
      </c>
      <c r="B6" s="52"/>
      <c r="C6" s="52"/>
      <c r="D6" s="52">
        <f t="shared" ref="D6:D16" si="2">B6-C6</f>
        <v>0</v>
      </c>
      <c r="E6" s="56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92"/>
      <c r="J6" s="83"/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59"/>
      <c r="G8" s="54">
        <f t="shared" si="3"/>
        <v>0</v>
      </c>
      <c r="H8" s="55">
        <f t="shared" si="1"/>
        <v>0</v>
      </c>
      <c r="I8" s="57"/>
      <c r="J8" s="57"/>
    </row>
    <row r="9" spans="1:15" ht="13.3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/>
    </row>
    <row r="12" spans="1:15" ht="13.35" customHeight="1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13.35" customHeight="1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1"/>
        <v>0</v>
      </c>
      <c r="I14" s="57"/>
      <c r="J14" s="57"/>
    </row>
    <row r="15" spans="1:15" ht="13.35" customHeight="1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62"/>
      <c r="G15" s="54">
        <f t="shared" si="3"/>
        <v>0</v>
      </c>
      <c r="H15" s="55">
        <f t="shared" si="1"/>
        <v>0</v>
      </c>
      <c r="I15" s="57"/>
      <c r="J15" s="57" t="s">
        <v>103</v>
      </c>
    </row>
    <row r="16" spans="1:15" ht="13.35" customHeight="1">
      <c r="A16" s="20" t="s">
        <v>114</v>
      </c>
      <c r="B16" s="63"/>
      <c r="C16" s="63"/>
      <c r="D16" s="63">
        <f t="shared" si="2"/>
        <v>0</v>
      </c>
      <c r="E16" s="64">
        <f t="shared" si="0"/>
        <v>0</v>
      </c>
      <c r="F16" s="65"/>
      <c r="G16" s="66">
        <f t="shared" si="3"/>
        <v>0</v>
      </c>
      <c r="H16" s="67">
        <f t="shared" si="1"/>
        <v>0</v>
      </c>
      <c r="I16" s="68"/>
      <c r="J16" s="68" t="s">
        <v>103</v>
      </c>
    </row>
    <row r="17" spans="1:15" ht="13.35" customHeight="1">
      <c r="A17" s="21" t="s">
        <v>115</v>
      </c>
      <c r="B17" s="22">
        <f>SUM(B5:B16)</f>
        <v>22398.5</v>
      </c>
      <c r="C17" s="22">
        <f t="shared" ref="C17:F17" si="4">SUM(C5:C16)</f>
        <v>29378.29</v>
      </c>
      <c r="D17" s="22">
        <f>B17-C17</f>
        <v>-6979.7900000000009</v>
      </c>
      <c r="E17" s="23">
        <f>IFERROR(D17/C17, 0)</f>
        <v>-0.23758326301496788</v>
      </c>
      <c r="F17" s="22">
        <f t="shared" si="4"/>
        <v>35608.120000000003</v>
      </c>
      <c r="G17" s="22">
        <f>B17-F17</f>
        <v>-13209.620000000003</v>
      </c>
      <c r="H17" s="24">
        <f>IFERROR(G17/F17, 0)</f>
        <v>-0.37097212658236384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211" priority="1" operator="lessThanOrEqual">
      <formula>-0.1</formula>
    </cfRule>
    <cfRule type="cellIs" dxfId="21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4FB4-56E3-4C1E-93DA-251A676B2D46}">
  <sheetPr codeName="Sheet43">
    <tabColor rgb="FFFFFF00"/>
  </sheetPr>
  <dimension ref="A1:O20"/>
  <sheetViews>
    <sheetView workbookViewId="0">
      <selection activeCell="I33" sqref="I33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4.140625" customWidth="1"/>
    <col min="10" max="10" width="18.5703125" bestFit="1" customWidth="1"/>
  </cols>
  <sheetData>
    <row r="1" spans="1:15" ht="25.15">
      <c r="A1" s="152" t="s">
        <v>77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15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28.5">
      <c r="A5" s="14" t="s">
        <v>102</v>
      </c>
      <c r="B5" s="69">
        <v>40023</v>
      </c>
      <c r="C5" s="69">
        <v>57476</v>
      </c>
      <c r="D5" s="52">
        <f>B5-C5</f>
        <v>-17453</v>
      </c>
      <c r="E5" s="53">
        <f t="shared" ref="E5:E13" si="0">IFERROR(D5/C5, 0)</f>
        <v>-0.30365717864847935</v>
      </c>
      <c r="F5" s="70">
        <v>0</v>
      </c>
      <c r="G5" s="54">
        <f>B5-F5</f>
        <v>40023</v>
      </c>
      <c r="H5" s="55">
        <f t="shared" ref="H5:H13" si="1">IFERROR(G5/F5, 0)</f>
        <v>0</v>
      </c>
      <c r="I5" s="84" t="s">
        <v>124</v>
      </c>
      <c r="J5" s="84" t="s">
        <v>125</v>
      </c>
      <c r="O5" s="4"/>
    </row>
    <row r="6" spans="1:15" ht="13.35" customHeight="1">
      <c r="A6" s="16" t="s">
        <v>104</v>
      </c>
      <c r="B6" s="52"/>
      <c r="C6" s="52"/>
      <c r="D6" s="52">
        <f t="shared" ref="D6:D13" si="2">B6-C6</f>
        <v>0</v>
      </c>
      <c r="E6" s="56">
        <f t="shared" si="0"/>
        <v>0</v>
      </c>
      <c r="F6" s="59"/>
      <c r="G6" s="54">
        <f t="shared" ref="G6:G13" si="3">B6-F6</f>
        <v>0</v>
      </c>
      <c r="H6" s="55">
        <f t="shared" si="1"/>
        <v>0</v>
      </c>
      <c r="I6" s="57"/>
      <c r="J6" s="57"/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54"/>
      <c r="G8" s="54">
        <f t="shared" si="3"/>
        <v>0</v>
      </c>
      <c r="H8" s="55">
        <f t="shared" si="1"/>
        <v>0</v>
      </c>
      <c r="I8" s="57"/>
      <c r="J8" s="57"/>
    </row>
    <row r="9" spans="1:15" ht="13.3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/>
    </row>
    <row r="12" spans="1:15" ht="14.25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13.35" customHeight="1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ref="D14:D16" si="4">B14-C14</f>
        <v>0</v>
      </c>
      <c r="E14" s="56">
        <f t="shared" ref="E14:E16" si="5">IFERROR(D14/C14, 0)</f>
        <v>0</v>
      </c>
      <c r="F14" s="54"/>
      <c r="G14" s="54">
        <f t="shared" ref="G14:G16" si="6">B14-F14</f>
        <v>0</v>
      </c>
      <c r="H14" s="55">
        <f t="shared" ref="H14:H16" si="7">IFERROR(G14/F14, 0)</f>
        <v>0</v>
      </c>
      <c r="I14" s="57"/>
      <c r="J14" s="57"/>
    </row>
    <row r="15" spans="1:15" ht="13.35" customHeight="1">
      <c r="A15" s="16" t="s">
        <v>113</v>
      </c>
      <c r="B15" s="61"/>
      <c r="C15" s="61"/>
      <c r="D15" s="52">
        <f t="shared" si="4"/>
        <v>0</v>
      </c>
      <c r="E15" s="56">
        <f t="shared" si="5"/>
        <v>0</v>
      </c>
      <c r="F15" s="54"/>
      <c r="G15" s="54">
        <f t="shared" si="6"/>
        <v>0</v>
      </c>
      <c r="H15" s="55">
        <f t="shared" si="7"/>
        <v>0</v>
      </c>
      <c r="I15" s="57"/>
      <c r="J15" s="57"/>
    </row>
    <row r="16" spans="1:15" ht="13.35" customHeight="1">
      <c r="A16" s="20" t="s">
        <v>114</v>
      </c>
      <c r="B16" s="63"/>
      <c r="C16" s="63"/>
      <c r="D16" s="52">
        <f t="shared" si="4"/>
        <v>0</v>
      </c>
      <c r="E16" s="56">
        <f t="shared" si="5"/>
        <v>0</v>
      </c>
      <c r="F16" s="54"/>
      <c r="G16" s="54">
        <f t="shared" si="6"/>
        <v>0</v>
      </c>
      <c r="H16" s="55">
        <f t="shared" si="7"/>
        <v>0</v>
      </c>
      <c r="I16" s="57"/>
      <c r="J16" s="57"/>
    </row>
    <row r="17" spans="1:15" ht="13.35" customHeight="1">
      <c r="A17" s="21" t="s">
        <v>115</v>
      </c>
      <c r="B17" s="22">
        <f>SUM(B5:B16)</f>
        <v>40023</v>
      </c>
      <c r="C17" s="22">
        <f t="shared" ref="C17:F17" si="8">SUM(C5:C16)</f>
        <v>57476</v>
      </c>
      <c r="D17" s="22">
        <f>B17-C17</f>
        <v>-17453</v>
      </c>
      <c r="E17" s="23">
        <f>IFERROR(D17/C17, 0)</f>
        <v>-0.30365717864847935</v>
      </c>
      <c r="F17" s="22">
        <f t="shared" si="8"/>
        <v>0</v>
      </c>
      <c r="G17" s="22">
        <f>B17-F17</f>
        <v>40023</v>
      </c>
      <c r="H17" s="24">
        <f>IFERROR(G17/F17, 0)</f>
        <v>0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195" priority="1" operator="lessThanOrEqual">
      <formula>-0.1</formula>
    </cfRule>
    <cfRule type="cellIs" dxfId="19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003E-46F0-4CD8-A61F-F752EF0349DF}">
  <sheetPr codeName="Sheet39">
    <tabColor rgb="FFFFFF00"/>
  </sheetPr>
  <dimension ref="A1:O20"/>
  <sheetViews>
    <sheetView workbookViewId="0">
      <selection activeCell="M9" sqref="M9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1.28515625" bestFit="1" customWidth="1"/>
    <col min="10" max="10" width="18.5703125" bestFit="1" customWidth="1"/>
  </cols>
  <sheetData>
    <row r="1" spans="1:15" ht="25.15">
      <c r="A1" s="152" t="s">
        <v>78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5" thickBot="1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 thickBo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3.35" customHeight="1">
      <c r="A5" s="14" t="s">
        <v>102</v>
      </c>
      <c r="B5" s="69">
        <v>28124.62</v>
      </c>
      <c r="C5" s="69">
        <v>53740.59</v>
      </c>
      <c r="D5" s="52">
        <f>B5-C5</f>
        <v>-25615.969999999998</v>
      </c>
      <c r="E5" s="53">
        <f t="shared" ref="E5:E16" si="0">IFERROR(D5/C5, 0)</f>
        <v>-0.47665963473791412</v>
      </c>
      <c r="F5" s="70">
        <v>51473.440000000002</v>
      </c>
      <c r="G5" s="54">
        <f>B5-F5</f>
        <v>-23348.820000000003</v>
      </c>
      <c r="H5" s="55">
        <f t="shared" ref="H5:H16" si="1">IFERROR(G5/F5, 0)</f>
        <v>-0.45360908460751803</v>
      </c>
      <c r="I5" s="57"/>
      <c r="J5" s="57"/>
      <c r="O5" s="4"/>
    </row>
    <row r="6" spans="1:15" ht="13.35" customHeight="1">
      <c r="A6" s="16" t="s">
        <v>104</v>
      </c>
      <c r="B6" s="52"/>
      <c r="C6" s="52"/>
      <c r="D6" s="52">
        <f t="shared" ref="D6:D16" si="2">B6-C6</f>
        <v>0</v>
      </c>
      <c r="E6" s="56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57"/>
      <c r="J6" s="57"/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73"/>
      <c r="C8" s="72"/>
      <c r="D8" s="52">
        <f t="shared" si="2"/>
        <v>0</v>
      </c>
      <c r="E8" s="56">
        <f t="shared" si="0"/>
        <v>0</v>
      </c>
      <c r="F8" s="60"/>
      <c r="G8" s="54">
        <f t="shared" si="3"/>
        <v>0</v>
      </c>
      <c r="H8" s="55">
        <f t="shared" si="1"/>
        <v>0</v>
      </c>
      <c r="I8" s="57"/>
      <c r="J8" s="57"/>
    </row>
    <row r="9" spans="1:15" ht="28.5" customHeight="1">
      <c r="A9" s="16" t="s">
        <v>107</v>
      </c>
      <c r="B9" s="74"/>
      <c r="C9" s="75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/>
    </row>
    <row r="12" spans="1:15" ht="13.35" customHeight="1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13.35" customHeight="1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1"/>
        <v>0</v>
      </c>
      <c r="I14" s="57"/>
      <c r="J14" s="57"/>
    </row>
    <row r="15" spans="1:15" ht="63.75" customHeight="1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62"/>
      <c r="G15" s="54">
        <f t="shared" si="3"/>
        <v>0</v>
      </c>
      <c r="H15" s="55">
        <f t="shared" si="1"/>
        <v>0</v>
      </c>
      <c r="I15" s="57"/>
      <c r="J15" s="57"/>
    </row>
    <row r="16" spans="1:15" ht="13.35" customHeight="1">
      <c r="A16" s="20" t="s">
        <v>114</v>
      </c>
      <c r="B16" s="63"/>
      <c r="C16" s="63"/>
      <c r="D16" s="63">
        <f t="shared" si="2"/>
        <v>0</v>
      </c>
      <c r="E16" s="64">
        <f t="shared" si="0"/>
        <v>0</v>
      </c>
      <c r="F16" s="65"/>
      <c r="G16" s="66">
        <f t="shared" si="3"/>
        <v>0</v>
      </c>
      <c r="H16" s="67">
        <f t="shared" si="1"/>
        <v>0</v>
      </c>
      <c r="I16" s="68"/>
      <c r="J16" s="68"/>
    </row>
    <row r="17" spans="1:15" ht="13.35" customHeight="1">
      <c r="A17" s="21" t="s">
        <v>115</v>
      </c>
      <c r="B17" s="22">
        <f>SUM(B5:B16)</f>
        <v>28124.62</v>
      </c>
      <c r="C17" s="22">
        <f t="shared" ref="C17:F17" si="4">SUM(C5:C16)</f>
        <v>53740.59</v>
      </c>
      <c r="D17" s="22">
        <f>B17-C17</f>
        <v>-25615.969999999998</v>
      </c>
      <c r="E17" s="23">
        <f>IFERROR(D17/C17, 0)</f>
        <v>-0.47665963473791412</v>
      </c>
      <c r="F17" s="22">
        <f t="shared" si="4"/>
        <v>51473.440000000002</v>
      </c>
      <c r="G17" s="22">
        <f>B17-F17</f>
        <v>-23348.820000000003</v>
      </c>
      <c r="H17" s="24">
        <f>IFERROR(G17/F17, 0)</f>
        <v>-0.45360908460751803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179" priority="1" operator="lessThanOrEqual">
      <formula>-0.1</formula>
    </cfRule>
    <cfRule type="cellIs" dxfId="17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08D53-5ECD-4125-B1E7-29A1FD1B68FA}">
  <sheetPr codeName="Sheet40">
    <tabColor rgb="FFFFFF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63.7109375" customWidth="1"/>
    <col min="10" max="10" width="18.5703125" bestFit="1" customWidth="1"/>
  </cols>
  <sheetData>
    <row r="1" spans="1:15" ht="25.15">
      <c r="A1" s="152" t="s">
        <v>79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5" thickBot="1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 thickBo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28.5">
      <c r="A5" s="14" t="s">
        <v>102</v>
      </c>
      <c r="B5" s="69">
        <v>47752.5</v>
      </c>
      <c r="C5" s="69">
        <v>99772.07</v>
      </c>
      <c r="D5" s="52">
        <f>B5-C5</f>
        <v>-52019.570000000007</v>
      </c>
      <c r="E5" s="53">
        <f t="shared" ref="E5:E16" si="0">IFERROR(D5/C5, 0)</f>
        <v>-0.52138409075806491</v>
      </c>
      <c r="F5" s="70">
        <v>69636.91</v>
      </c>
      <c r="G5" s="54">
        <f>B5-F5</f>
        <v>-21884.410000000003</v>
      </c>
      <c r="H5" s="55">
        <f t="shared" ref="H5:H16" si="1">IFERROR(G5/F5, 0)</f>
        <v>-0.31426451862956012</v>
      </c>
      <c r="I5" s="84" t="s">
        <v>126</v>
      </c>
      <c r="J5" s="84" t="s">
        <v>127</v>
      </c>
      <c r="O5" s="4"/>
    </row>
    <row r="6" spans="1:15" ht="13.35" customHeight="1">
      <c r="A6" s="16" t="s">
        <v>104</v>
      </c>
      <c r="B6" s="52"/>
      <c r="C6" s="52"/>
      <c r="D6" s="52">
        <f t="shared" ref="D6:D16" si="2">B6-C6</f>
        <v>0</v>
      </c>
      <c r="E6" s="56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83"/>
      <c r="J6" s="83"/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72"/>
      <c r="C8" s="72"/>
      <c r="D8" s="52">
        <f t="shared" si="2"/>
        <v>0</v>
      </c>
      <c r="E8" s="56">
        <f t="shared" si="0"/>
        <v>0</v>
      </c>
      <c r="F8" s="54"/>
      <c r="G8" s="54">
        <f t="shared" si="3"/>
        <v>0</v>
      </c>
      <c r="H8" s="55">
        <f t="shared" si="1"/>
        <v>0</v>
      </c>
      <c r="I8" s="57"/>
      <c r="J8" s="57"/>
    </row>
    <row r="9" spans="1:15" ht="1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/>
    </row>
    <row r="12" spans="1:15" ht="13.35" customHeight="1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13.35" customHeight="1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1"/>
        <v>0</v>
      </c>
      <c r="I14" s="57"/>
      <c r="J14" s="57"/>
    </row>
    <row r="15" spans="1:15" ht="13.35" customHeight="1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62"/>
      <c r="G15" s="54">
        <f t="shared" si="3"/>
        <v>0</v>
      </c>
      <c r="H15" s="55">
        <f t="shared" si="1"/>
        <v>0</v>
      </c>
      <c r="I15" s="57"/>
      <c r="J15" s="57"/>
    </row>
    <row r="16" spans="1:15" ht="13.35" customHeight="1">
      <c r="A16" s="20" t="s">
        <v>114</v>
      </c>
      <c r="B16" s="63"/>
      <c r="C16" s="63"/>
      <c r="D16" s="63">
        <f t="shared" si="2"/>
        <v>0</v>
      </c>
      <c r="E16" s="64">
        <f t="shared" si="0"/>
        <v>0</v>
      </c>
      <c r="F16" s="65"/>
      <c r="G16" s="66">
        <f t="shared" si="3"/>
        <v>0</v>
      </c>
      <c r="H16" s="67">
        <f t="shared" si="1"/>
        <v>0</v>
      </c>
      <c r="I16" s="125"/>
      <c r="J16" s="125"/>
    </row>
    <row r="17" spans="1:15" ht="13.35" customHeight="1">
      <c r="A17" s="21" t="s">
        <v>115</v>
      </c>
      <c r="B17" s="22">
        <f>SUM(B5:B16)</f>
        <v>47752.5</v>
      </c>
      <c r="C17" s="22">
        <f t="shared" ref="C17:F17" si="4">SUM(C5:C16)</f>
        <v>99772.07</v>
      </c>
      <c r="D17" s="22">
        <f>B17-C17</f>
        <v>-52019.570000000007</v>
      </c>
      <c r="E17" s="23">
        <f>IFERROR(D17/C17, 0)</f>
        <v>-0.52138409075806491</v>
      </c>
      <c r="F17" s="22">
        <f t="shared" si="4"/>
        <v>69636.91</v>
      </c>
      <c r="G17" s="22">
        <f>B17-F17</f>
        <v>-21884.410000000003</v>
      </c>
      <c r="H17" s="24">
        <f>IFERROR(G17/F17, 0)</f>
        <v>-0.31426451862956012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163" priority="1" operator="lessThanOrEqual">
      <formula>-0.1</formula>
    </cfRule>
    <cfRule type="cellIs" dxfId="16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8D96-6D4C-40E6-9F96-37CE715411C8}">
  <sheetPr codeName="Sheet31">
    <tabColor theme="5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7.5703125" bestFit="1" customWidth="1"/>
    <col min="10" max="10" width="18.5703125" bestFit="1" customWidth="1"/>
  </cols>
  <sheetData>
    <row r="1" spans="1:15" ht="25.15">
      <c r="A1" s="152" t="s">
        <v>80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15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3.35" customHeight="1">
      <c r="A5" s="14" t="s">
        <v>102</v>
      </c>
      <c r="B5" s="52">
        <v>185310</v>
      </c>
      <c r="C5" s="52">
        <v>198138.4</v>
      </c>
      <c r="D5" s="52">
        <f t="shared" ref="D5" si="0">B5-C5</f>
        <v>-12828.399999999994</v>
      </c>
      <c r="E5" s="56">
        <f t="shared" ref="E5" si="1">IFERROR(D5/C5, 0)</f>
        <v>-6.4744643138331559E-2</v>
      </c>
      <c r="F5" s="95">
        <v>253076.2</v>
      </c>
      <c r="G5" s="54">
        <f t="shared" ref="G5" si="2">B5-F5</f>
        <v>-67766.200000000012</v>
      </c>
      <c r="H5" s="55">
        <f t="shared" ref="H5" si="3">IFERROR(G5/F5, 0)</f>
        <v>-0.26776994438829099</v>
      </c>
      <c r="I5" s="57"/>
      <c r="J5" s="57"/>
      <c r="O5" s="4"/>
    </row>
    <row r="6" spans="1:15" ht="13.35" customHeight="1">
      <c r="A6" s="16" t="s">
        <v>104</v>
      </c>
      <c r="B6" s="52"/>
      <c r="C6" s="52"/>
      <c r="D6" s="52">
        <f t="shared" ref="D6:D16" si="4">B6-C6</f>
        <v>0</v>
      </c>
      <c r="E6" s="56">
        <f t="shared" ref="E6:E16" si="5">IFERROR(D6/C6, 0)</f>
        <v>0</v>
      </c>
      <c r="F6" s="95"/>
      <c r="G6" s="54">
        <f t="shared" ref="G6:G16" si="6">B6-F6</f>
        <v>0</v>
      </c>
      <c r="H6" s="55">
        <f t="shared" ref="H6:H16" si="7">IFERROR(G6/F6, 0)</f>
        <v>0</v>
      </c>
      <c r="I6" s="57"/>
      <c r="J6" s="57"/>
    </row>
    <row r="7" spans="1:15" ht="13.35" customHeight="1">
      <c r="A7" s="16" t="s">
        <v>105</v>
      </c>
      <c r="B7" s="52"/>
      <c r="C7" s="52"/>
      <c r="D7" s="52">
        <f t="shared" si="4"/>
        <v>0</v>
      </c>
      <c r="E7" s="56">
        <f t="shared" si="5"/>
        <v>0</v>
      </c>
      <c r="F7" s="96"/>
      <c r="G7" s="54">
        <f t="shared" si="6"/>
        <v>0</v>
      </c>
      <c r="H7" s="55">
        <f t="shared" si="7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4"/>
        <v>0</v>
      </c>
      <c r="E8" s="56">
        <f t="shared" si="5"/>
        <v>0</v>
      </c>
      <c r="F8" s="96"/>
      <c r="G8" s="54">
        <f t="shared" si="6"/>
        <v>0</v>
      </c>
      <c r="H8" s="55">
        <f t="shared" si="7"/>
        <v>0</v>
      </c>
      <c r="I8" s="57"/>
      <c r="J8" s="57"/>
    </row>
    <row r="9" spans="1:15" ht="13.35" customHeight="1">
      <c r="A9" s="16" t="s">
        <v>107</v>
      </c>
      <c r="B9" s="52"/>
      <c r="C9" s="52"/>
      <c r="D9" s="52">
        <f t="shared" si="4"/>
        <v>0</v>
      </c>
      <c r="E9" s="56">
        <f t="shared" si="5"/>
        <v>0</v>
      </c>
      <c r="F9" s="96"/>
      <c r="G9" s="54">
        <f t="shared" si="6"/>
        <v>0</v>
      </c>
      <c r="H9" s="55">
        <f t="shared" si="7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4"/>
        <v>0</v>
      </c>
      <c r="E10" s="56">
        <f t="shared" si="5"/>
        <v>0</v>
      </c>
      <c r="F10" s="97"/>
      <c r="G10" s="54">
        <f t="shared" si="6"/>
        <v>0</v>
      </c>
      <c r="H10" s="55">
        <f t="shared" si="7"/>
        <v>0</v>
      </c>
      <c r="I10" s="58"/>
      <c r="J10" s="57"/>
    </row>
    <row r="11" spans="1:15" ht="31.35" customHeight="1">
      <c r="A11" s="16" t="s">
        <v>109</v>
      </c>
      <c r="B11" s="52"/>
      <c r="C11" s="52"/>
      <c r="D11" s="52">
        <f t="shared" si="4"/>
        <v>0</v>
      </c>
      <c r="E11" s="56">
        <f t="shared" si="5"/>
        <v>0</v>
      </c>
      <c r="F11" s="95"/>
      <c r="G11" s="54">
        <f t="shared" si="6"/>
        <v>0</v>
      </c>
      <c r="H11" s="55">
        <f t="shared" si="7"/>
        <v>0</v>
      </c>
      <c r="I11" s="57"/>
      <c r="J11" s="57"/>
    </row>
    <row r="12" spans="1:15" ht="29.45" customHeight="1">
      <c r="A12" s="16" t="s">
        <v>110</v>
      </c>
      <c r="B12" s="52"/>
      <c r="C12" s="52"/>
      <c r="D12" s="52">
        <f t="shared" si="4"/>
        <v>0</v>
      </c>
      <c r="E12" s="56">
        <f t="shared" si="5"/>
        <v>0</v>
      </c>
      <c r="F12" s="96"/>
      <c r="G12" s="54">
        <f t="shared" si="6"/>
        <v>0</v>
      </c>
      <c r="H12" s="55">
        <f t="shared" si="7"/>
        <v>0</v>
      </c>
      <c r="I12" s="57"/>
      <c r="J12" s="57"/>
    </row>
    <row r="13" spans="1:15" ht="36.75" customHeight="1">
      <c r="A13" s="16" t="s">
        <v>111</v>
      </c>
      <c r="B13" s="52"/>
      <c r="C13" s="52"/>
      <c r="D13" s="52">
        <f t="shared" si="4"/>
        <v>0</v>
      </c>
      <c r="E13" s="56">
        <f t="shared" si="5"/>
        <v>0</v>
      </c>
      <c r="F13" s="54"/>
      <c r="G13" s="54">
        <f t="shared" si="6"/>
        <v>0</v>
      </c>
      <c r="H13" s="55">
        <f t="shared" si="7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4"/>
        <v>0</v>
      </c>
      <c r="E14" s="56">
        <f t="shared" si="5"/>
        <v>0</v>
      </c>
      <c r="F14" s="54"/>
      <c r="G14" s="54">
        <f t="shared" si="6"/>
        <v>0</v>
      </c>
      <c r="H14" s="55">
        <f t="shared" si="7"/>
        <v>0</v>
      </c>
      <c r="I14" s="57"/>
      <c r="J14" s="57"/>
    </row>
    <row r="15" spans="1:15" ht="13.35" customHeight="1">
      <c r="A15" s="16" t="s">
        <v>113</v>
      </c>
      <c r="B15" s="61"/>
      <c r="C15" s="61"/>
      <c r="D15" s="52">
        <f t="shared" si="4"/>
        <v>0</v>
      </c>
      <c r="E15" s="56">
        <f t="shared" si="5"/>
        <v>0</v>
      </c>
      <c r="F15" s="62"/>
      <c r="G15" s="54">
        <f t="shared" si="6"/>
        <v>0</v>
      </c>
      <c r="H15" s="55">
        <f t="shared" si="7"/>
        <v>0</v>
      </c>
      <c r="I15" s="57"/>
      <c r="J15" s="57"/>
    </row>
    <row r="16" spans="1:15" ht="13.35" customHeight="1">
      <c r="A16" s="20" t="s">
        <v>114</v>
      </c>
      <c r="B16" s="63"/>
      <c r="C16" s="63"/>
      <c r="D16" s="63">
        <f t="shared" si="4"/>
        <v>0</v>
      </c>
      <c r="E16" s="64">
        <f t="shared" si="5"/>
        <v>0</v>
      </c>
      <c r="F16" s="65"/>
      <c r="G16" s="66">
        <f t="shared" si="6"/>
        <v>0</v>
      </c>
      <c r="H16" s="67">
        <f t="shared" si="7"/>
        <v>0</v>
      </c>
      <c r="I16" s="68"/>
      <c r="J16" s="68"/>
    </row>
    <row r="17" spans="1:15" ht="13.35" customHeight="1">
      <c r="A17" s="21" t="s">
        <v>115</v>
      </c>
      <c r="B17" s="22">
        <f>SUM(B5:B16)</f>
        <v>185310</v>
      </c>
      <c r="C17" s="22">
        <f t="shared" ref="C17:F17" si="8">SUM(C5:C16)</f>
        <v>198138.4</v>
      </c>
      <c r="D17" s="22">
        <f>B17-C17</f>
        <v>-12828.399999999994</v>
      </c>
      <c r="E17" s="23">
        <f>IFERROR(D17/C17, 0)</f>
        <v>-6.4744643138331559E-2</v>
      </c>
      <c r="F17" s="22">
        <f t="shared" si="8"/>
        <v>253076.2</v>
      </c>
      <c r="G17" s="22">
        <f>B17-F17</f>
        <v>-67766.200000000012</v>
      </c>
      <c r="H17" s="24">
        <f>IFERROR(G17/F17, 0)</f>
        <v>-0.26776994438829099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47" priority="1" operator="lessThanOrEqual">
      <formula>-0.1</formula>
    </cfRule>
    <cfRule type="cellIs" dxfId="14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719B-D219-4374-9FC3-CFF4EAAD3A8D}">
  <sheetPr codeName="Sheet32">
    <tabColor theme="5"/>
  </sheetPr>
  <dimension ref="A1:O23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6.85546875" customWidth="1"/>
    <col min="10" max="10" width="18.5703125" bestFit="1" customWidth="1"/>
  </cols>
  <sheetData>
    <row r="1" spans="1:15" ht="25.15">
      <c r="A1" s="152" t="s">
        <v>82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5" thickBot="1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 thickBo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3.35" customHeight="1">
      <c r="A5" s="14" t="s">
        <v>102</v>
      </c>
      <c r="B5" s="52">
        <v>183527</v>
      </c>
      <c r="C5" s="52">
        <v>204402.5</v>
      </c>
      <c r="D5" s="52">
        <f t="shared" ref="D5" si="0">B5-C5</f>
        <v>-20875.5</v>
      </c>
      <c r="E5" s="56">
        <f t="shared" ref="E5" si="1">IFERROR(D5/C5, 0)</f>
        <v>-0.10212937708687517</v>
      </c>
      <c r="F5" s="59">
        <v>250422.2</v>
      </c>
      <c r="G5" s="54">
        <f t="shared" ref="G5" si="2">B5-F5</f>
        <v>-66895.200000000012</v>
      </c>
      <c r="H5" s="55">
        <f t="shared" ref="H5" si="3">IFERROR(G5/F5, 0)</f>
        <v>-0.26712967141092125</v>
      </c>
      <c r="I5" s="57"/>
      <c r="J5" s="57"/>
      <c r="O5" s="4"/>
    </row>
    <row r="6" spans="1:15" ht="13.35" customHeight="1">
      <c r="A6" s="16" t="s">
        <v>104</v>
      </c>
      <c r="B6" s="52"/>
      <c r="C6" s="52"/>
      <c r="D6" s="52">
        <f t="shared" ref="D6:D10" si="4">B6-C6</f>
        <v>0</v>
      </c>
      <c r="E6" s="56">
        <f t="shared" ref="E6:E16" si="5">IFERROR(D6/C6, 0)</f>
        <v>0</v>
      </c>
      <c r="F6" s="59"/>
      <c r="G6" s="54">
        <f t="shared" ref="G6:G16" si="6">B6-F6</f>
        <v>0</v>
      </c>
      <c r="H6" s="55">
        <f t="shared" ref="H6:H16" si="7">IFERROR(G6/F6, 0)</f>
        <v>0</v>
      </c>
      <c r="I6" s="57"/>
      <c r="J6" s="57"/>
    </row>
    <row r="7" spans="1:15" ht="13.35" customHeight="1">
      <c r="A7" s="16" t="s">
        <v>105</v>
      </c>
      <c r="B7" s="52"/>
      <c r="C7" s="52"/>
      <c r="D7" s="52">
        <f t="shared" si="4"/>
        <v>0</v>
      </c>
      <c r="E7" s="56">
        <f t="shared" si="5"/>
        <v>0</v>
      </c>
      <c r="F7" s="60"/>
      <c r="G7" s="54">
        <f t="shared" si="6"/>
        <v>0</v>
      </c>
      <c r="H7" s="55">
        <f t="shared" si="7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4"/>
        <v>0</v>
      </c>
      <c r="E8" s="56">
        <f t="shared" si="5"/>
        <v>0</v>
      </c>
      <c r="F8" s="54"/>
      <c r="G8" s="54">
        <f t="shared" si="6"/>
        <v>0</v>
      </c>
      <c r="H8" s="55">
        <f t="shared" si="7"/>
        <v>0</v>
      </c>
      <c r="I8" s="57"/>
      <c r="J8" s="57"/>
    </row>
    <row r="9" spans="1:15" ht="13.35" customHeight="1">
      <c r="A9" s="16" t="s">
        <v>107</v>
      </c>
      <c r="B9" s="52"/>
      <c r="C9" s="52"/>
      <c r="D9" s="52">
        <f t="shared" si="4"/>
        <v>0</v>
      </c>
      <c r="E9" s="56">
        <f t="shared" si="5"/>
        <v>0</v>
      </c>
      <c r="F9" s="54"/>
      <c r="G9" s="54">
        <f t="shared" si="6"/>
        <v>0</v>
      </c>
      <c r="H9" s="55">
        <f t="shared" si="7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4"/>
        <v>0</v>
      </c>
      <c r="E10" s="56">
        <f t="shared" si="5"/>
        <v>0</v>
      </c>
      <c r="F10" s="54"/>
      <c r="G10" s="54">
        <f t="shared" si="6"/>
        <v>0</v>
      </c>
      <c r="H10" s="55">
        <f t="shared" si="7"/>
        <v>0</v>
      </c>
      <c r="I10" s="57"/>
      <c r="J10" s="57"/>
    </row>
    <row r="11" spans="1:15" ht="13.35" customHeight="1">
      <c r="A11" s="16" t="s">
        <v>109</v>
      </c>
      <c r="B11" s="52"/>
      <c r="C11" s="52"/>
      <c r="D11" s="52">
        <f t="shared" ref="D11:D16" si="8">B11-C11</f>
        <v>0</v>
      </c>
      <c r="E11" s="56">
        <f t="shared" si="5"/>
        <v>0</v>
      </c>
      <c r="F11" s="59"/>
      <c r="G11" s="54">
        <f t="shared" si="6"/>
        <v>0</v>
      </c>
      <c r="H11" s="55">
        <f t="shared" si="7"/>
        <v>0</v>
      </c>
      <c r="I11" s="57"/>
      <c r="J11" s="57"/>
    </row>
    <row r="12" spans="1:15" ht="32.1" customHeight="1">
      <c r="A12" s="16" t="s">
        <v>110</v>
      </c>
      <c r="B12" s="52"/>
      <c r="C12" s="52"/>
      <c r="D12" s="52">
        <f t="shared" si="8"/>
        <v>0</v>
      </c>
      <c r="E12" s="56">
        <f t="shared" si="5"/>
        <v>0</v>
      </c>
      <c r="F12" s="60"/>
      <c r="G12" s="54">
        <f t="shared" si="6"/>
        <v>0</v>
      </c>
      <c r="H12" s="93">
        <f t="shared" si="7"/>
        <v>0</v>
      </c>
      <c r="I12" s="57"/>
      <c r="J12" s="57"/>
    </row>
    <row r="13" spans="1:15" ht="28.5" customHeight="1">
      <c r="A13" s="16" t="s">
        <v>111</v>
      </c>
      <c r="B13" s="52"/>
      <c r="C13" s="52"/>
      <c r="D13" s="52">
        <f t="shared" si="8"/>
        <v>0</v>
      </c>
      <c r="E13" s="56">
        <f t="shared" si="5"/>
        <v>0</v>
      </c>
      <c r="F13" s="54"/>
      <c r="G13" s="54">
        <f t="shared" si="6"/>
        <v>0</v>
      </c>
      <c r="H13" s="55">
        <f t="shared" si="7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8"/>
        <v>0</v>
      </c>
      <c r="E14" s="56">
        <f t="shared" si="5"/>
        <v>0</v>
      </c>
      <c r="F14" s="54"/>
      <c r="G14" s="54">
        <f t="shared" si="6"/>
        <v>0</v>
      </c>
      <c r="H14" s="55">
        <f t="shared" si="7"/>
        <v>0</v>
      </c>
      <c r="I14" s="57"/>
      <c r="J14" s="57"/>
    </row>
    <row r="15" spans="1:15" ht="13.35" customHeight="1">
      <c r="A15" s="16" t="s">
        <v>113</v>
      </c>
      <c r="B15" s="61"/>
      <c r="C15" s="61"/>
      <c r="D15" s="52">
        <f t="shared" si="8"/>
        <v>0</v>
      </c>
      <c r="E15" s="56">
        <f t="shared" si="5"/>
        <v>0</v>
      </c>
      <c r="F15" s="62"/>
      <c r="G15" s="54">
        <f t="shared" si="6"/>
        <v>0</v>
      </c>
      <c r="H15" s="55">
        <f t="shared" si="7"/>
        <v>0</v>
      </c>
      <c r="I15" s="57"/>
      <c r="J15" s="57"/>
    </row>
    <row r="16" spans="1:15" ht="13.35" customHeight="1">
      <c r="A16" s="20" t="s">
        <v>114</v>
      </c>
      <c r="B16" s="63"/>
      <c r="C16" s="63"/>
      <c r="D16" s="63">
        <f t="shared" si="8"/>
        <v>0</v>
      </c>
      <c r="E16" s="64">
        <f t="shared" si="5"/>
        <v>0</v>
      </c>
      <c r="F16" s="65"/>
      <c r="G16" s="66">
        <f t="shared" si="6"/>
        <v>0</v>
      </c>
      <c r="H16" s="67">
        <f t="shared" si="7"/>
        <v>0</v>
      </c>
      <c r="I16" s="68"/>
      <c r="J16" s="68"/>
    </row>
    <row r="17" spans="1:15" ht="13.35" customHeight="1">
      <c r="A17" s="21" t="s">
        <v>115</v>
      </c>
      <c r="B17" s="22">
        <f>SUM(B5:B16)</f>
        <v>183527</v>
      </c>
      <c r="C17" s="22">
        <f t="shared" ref="C17:F17" si="9">SUM(C5:C16)</f>
        <v>204402.5</v>
      </c>
      <c r="D17" s="22">
        <f>B17-C17</f>
        <v>-20875.5</v>
      </c>
      <c r="E17" s="23">
        <f>IFERROR(D17/C17, 0)</f>
        <v>-0.10212937708687517</v>
      </c>
      <c r="F17" s="22">
        <f t="shared" si="9"/>
        <v>250422.2</v>
      </c>
      <c r="G17" s="22">
        <f>B17-F17</f>
        <v>-66895.200000000012</v>
      </c>
      <c r="H17" s="24">
        <f>IFERROR(G17/F17, 0)</f>
        <v>-0.26712967141092125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  <row r="23" spans="1:15">
      <c r="I23" t="s">
        <v>103</v>
      </c>
    </row>
  </sheetData>
  <mergeCells count="4">
    <mergeCell ref="A1:J1"/>
    <mergeCell ref="A3:E3"/>
    <mergeCell ref="F3:H3"/>
    <mergeCell ref="I3:J3"/>
  </mergeCells>
  <conditionalFormatting sqref="E5:E17 H5:H17">
    <cfRule type="cellIs" dxfId="131" priority="1" operator="lessThanOrEqual">
      <formula>-0.1</formula>
    </cfRule>
    <cfRule type="cellIs" dxfId="13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93D1-0252-412F-BCA0-807548C4142E}">
  <sheetPr codeName="Sheet44">
    <tabColor theme="4"/>
  </sheetPr>
  <dimension ref="A1:O20"/>
  <sheetViews>
    <sheetView workbookViewId="0">
      <selection activeCell="J5" sqref="J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3.5703125" bestFit="1" customWidth="1"/>
    <col min="10" max="10" width="18.5703125" bestFit="1" customWidth="1"/>
  </cols>
  <sheetData>
    <row r="1" spans="1:15" ht="25.15">
      <c r="A1" s="152" t="s">
        <v>83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15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 thickBo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33.75" customHeight="1">
      <c r="A5" s="14" t="s">
        <v>102</v>
      </c>
      <c r="B5" s="69">
        <v>42576</v>
      </c>
      <c r="C5" s="69">
        <v>72136</v>
      </c>
      <c r="D5" s="52">
        <f>B5-C5</f>
        <v>-29560</v>
      </c>
      <c r="E5" s="53">
        <f t="shared" ref="E5:E16" si="0">IFERROR(D5/C5, 0)</f>
        <v>-0.40978152378839972</v>
      </c>
      <c r="F5" s="70">
        <v>0</v>
      </c>
      <c r="G5" s="54">
        <f>B5-F5</f>
        <v>42576</v>
      </c>
      <c r="H5" s="55">
        <f t="shared" ref="H5:H16" si="1">IFERROR(G5/F5, 0)</f>
        <v>0</v>
      </c>
      <c r="I5" s="84" t="s">
        <v>128</v>
      </c>
      <c r="J5" s="84" t="s">
        <v>129</v>
      </c>
      <c r="O5" s="4"/>
    </row>
    <row r="6" spans="1:15" ht="13.35" customHeight="1">
      <c r="A6" s="16" t="s">
        <v>104</v>
      </c>
      <c r="B6" s="52"/>
      <c r="C6" s="52"/>
      <c r="D6" s="52">
        <f t="shared" ref="D6:D16" si="2">B6-C6</f>
        <v>0</v>
      </c>
      <c r="E6" s="56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57"/>
      <c r="J6" s="57"/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54"/>
      <c r="G8" s="54">
        <f t="shared" si="3"/>
        <v>0</v>
      </c>
      <c r="H8" s="55">
        <f t="shared" si="1"/>
        <v>0</v>
      </c>
      <c r="I8" s="57"/>
      <c r="J8" s="57"/>
    </row>
    <row r="9" spans="1:15" ht="13.3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/>
    </row>
    <row r="12" spans="1:15" ht="14.25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13.35" customHeight="1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1"/>
        <v>0</v>
      </c>
      <c r="I14" s="57"/>
      <c r="J14" s="57"/>
    </row>
    <row r="15" spans="1:15" ht="14.25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54"/>
      <c r="G15" s="54">
        <f t="shared" si="3"/>
        <v>0</v>
      </c>
      <c r="H15" s="55">
        <f t="shared" si="1"/>
        <v>0</v>
      </c>
      <c r="I15" s="57"/>
      <c r="J15" s="57"/>
    </row>
    <row r="16" spans="1:15" ht="13.35" customHeight="1">
      <c r="A16" s="20" t="s">
        <v>114</v>
      </c>
      <c r="B16" s="63"/>
      <c r="C16" s="63"/>
      <c r="D16" s="52">
        <f t="shared" si="2"/>
        <v>0</v>
      </c>
      <c r="E16" s="56">
        <f t="shared" si="0"/>
        <v>0</v>
      </c>
      <c r="F16" s="54"/>
      <c r="G16" s="54">
        <f t="shared" si="3"/>
        <v>0</v>
      </c>
      <c r="H16" s="55">
        <f t="shared" si="1"/>
        <v>0</v>
      </c>
      <c r="I16" s="57"/>
      <c r="J16" s="57"/>
    </row>
    <row r="17" spans="1:15" ht="13.35" customHeight="1">
      <c r="A17" s="21" t="s">
        <v>115</v>
      </c>
      <c r="B17" s="22">
        <f>SUM(B5:B16)</f>
        <v>42576</v>
      </c>
      <c r="C17" s="22">
        <f t="shared" ref="C17:F17" si="4">SUM(C5:C16)</f>
        <v>72136</v>
      </c>
      <c r="D17" s="22">
        <f>B17-C17</f>
        <v>-29560</v>
      </c>
      <c r="E17" s="23">
        <f>IFERROR(D17/C17, 0)</f>
        <v>-0.40978152378839972</v>
      </c>
      <c r="F17" s="22">
        <f t="shared" si="4"/>
        <v>0</v>
      </c>
      <c r="G17" s="22">
        <f>B17-F17</f>
        <v>42576</v>
      </c>
      <c r="H17" s="24">
        <f>IFERROR(G17/F17, 0)</f>
        <v>0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115" priority="1" operator="lessThanOrEqual">
      <formula>-0.1</formula>
    </cfRule>
    <cfRule type="cellIs" dxfId="11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4679-70C0-4BF3-B40D-974FD4BA6AE6}">
  <sheetPr codeName="Sheet45">
    <tabColor theme="4"/>
  </sheetPr>
  <dimension ref="A1:O20"/>
  <sheetViews>
    <sheetView workbookViewId="0">
      <selection activeCell="C5" sqref="C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4.140625" customWidth="1"/>
    <col min="10" max="10" width="18.5703125" bestFit="1" customWidth="1"/>
  </cols>
  <sheetData>
    <row r="1" spans="1:15" ht="25.15">
      <c r="A1" s="152" t="s">
        <v>85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15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3.35" customHeight="1">
      <c r="A5" s="14" t="s">
        <v>102</v>
      </c>
      <c r="B5" s="69">
        <v>18853</v>
      </c>
      <c r="C5" s="69">
        <v>28852</v>
      </c>
      <c r="D5" s="52">
        <f>B5-C5</f>
        <v>-9999</v>
      </c>
      <c r="E5" s="53">
        <f t="shared" ref="E5:E16" si="0">IFERROR(D5/C5, 0)</f>
        <v>-0.34656176348260087</v>
      </c>
      <c r="F5" s="70">
        <v>0</v>
      </c>
      <c r="G5" s="54">
        <f>B5-F5</f>
        <v>18853</v>
      </c>
      <c r="H5" s="55">
        <f t="shared" ref="H5:H16" si="1">IFERROR(G5/F5, 0)</f>
        <v>0</v>
      </c>
      <c r="I5" s="84"/>
      <c r="J5" s="84"/>
      <c r="O5" s="4"/>
    </row>
    <row r="6" spans="1:15" ht="13.35" customHeight="1">
      <c r="A6" s="16" t="s">
        <v>104</v>
      </c>
      <c r="B6" s="52"/>
      <c r="C6" s="52"/>
      <c r="D6" s="52">
        <f t="shared" ref="D6:D16" si="2">B6-C6</f>
        <v>0</v>
      </c>
      <c r="E6" s="56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57"/>
      <c r="J6" s="57"/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54"/>
      <c r="G8" s="54">
        <f t="shared" si="3"/>
        <v>0</v>
      </c>
      <c r="H8" s="55">
        <f t="shared" si="1"/>
        <v>0</v>
      </c>
      <c r="I8" s="57"/>
      <c r="J8" s="57"/>
    </row>
    <row r="9" spans="1:15" ht="13.3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/>
    </row>
    <row r="12" spans="1:15" ht="14.25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13.35" customHeight="1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1"/>
        <v>0</v>
      </c>
      <c r="I14" s="57"/>
      <c r="J14" s="57"/>
    </row>
    <row r="15" spans="1:15" ht="13.35" customHeight="1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54"/>
      <c r="G15" s="54">
        <f t="shared" si="3"/>
        <v>0</v>
      </c>
      <c r="H15" s="55">
        <f t="shared" si="1"/>
        <v>0</v>
      </c>
      <c r="I15" s="57"/>
      <c r="J15" s="57"/>
    </row>
    <row r="16" spans="1:15" ht="13.35" customHeight="1">
      <c r="A16" s="20" t="s">
        <v>114</v>
      </c>
      <c r="B16" s="63"/>
      <c r="C16" s="63"/>
      <c r="D16" s="52">
        <f t="shared" si="2"/>
        <v>0</v>
      </c>
      <c r="E16" s="56">
        <f t="shared" si="0"/>
        <v>0</v>
      </c>
      <c r="F16" s="54"/>
      <c r="G16" s="54">
        <f t="shared" si="3"/>
        <v>0</v>
      </c>
      <c r="H16" s="55">
        <f t="shared" si="1"/>
        <v>0</v>
      </c>
      <c r="I16" s="57"/>
      <c r="J16" s="57"/>
    </row>
    <row r="17" spans="1:15" ht="13.35" customHeight="1">
      <c r="A17" s="21" t="s">
        <v>115</v>
      </c>
      <c r="B17" s="22">
        <f>SUM(B5:B16)</f>
        <v>18853</v>
      </c>
      <c r="C17" s="22">
        <f t="shared" ref="C17:F17" si="4">SUM(C5:C16)</f>
        <v>28852</v>
      </c>
      <c r="D17" s="22">
        <f>B17-C17</f>
        <v>-9999</v>
      </c>
      <c r="E17" s="23">
        <f>IFERROR(D17/C17, 0)</f>
        <v>-0.34656176348260087</v>
      </c>
      <c r="F17" s="22">
        <f t="shared" si="4"/>
        <v>0</v>
      </c>
      <c r="G17" s="22">
        <f>B17-F17</f>
        <v>18853</v>
      </c>
      <c r="H17" s="24">
        <f>IFERROR(G17/F17, 0)</f>
        <v>0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99" priority="1" operator="lessThanOrEqual">
      <formula>-0.1</formula>
    </cfRule>
    <cfRule type="cellIs" dxfId="9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80476-A649-4A6D-869D-0A876F47453A}">
  <sheetPr codeName="Sheet46">
    <tabColor theme="4"/>
  </sheetPr>
  <dimension ref="A1:O20"/>
  <sheetViews>
    <sheetView workbookViewId="0">
      <selection activeCell="H24" sqref="H24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3" customWidth="1"/>
    <col min="10" max="10" width="18.5703125" bestFit="1" customWidth="1"/>
  </cols>
  <sheetData>
    <row r="1" spans="1:15" ht="25.15">
      <c r="A1" s="152" t="s">
        <v>86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15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28.5">
      <c r="A5" s="14" t="s">
        <v>102</v>
      </c>
      <c r="B5" s="69">
        <v>40883</v>
      </c>
      <c r="C5" s="69">
        <v>79791</v>
      </c>
      <c r="D5" s="52">
        <f>B5-C5</f>
        <v>-38908</v>
      </c>
      <c r="E5" s="53">
        <f t="shared" ref="E5:E16" si="0">IFERROR(D5/C5, 0)</f>
        <v>-0.48762391748442807</v>
      </c>
      <c r="F5" s="70">
        <v>0</v>
      </c>
      <c r="G5" s="54">
        <f>B5-F5</f>
        <v>40883</v>
      </c>
      <c r="H5" s="55">
        <f t="shared" ref="H5:H16" si="1">IFERROR(G5/F5, 0)</f>
        <v>0</v>
      </c>
      <c r="I5" s="84" t="s">
        <v>130</v>
      </c>
      <c r="J5" s="84" t="s">
        <v>131</v>
      </c>
      <c r="O5" s="4"/>
    </row>
    <row r="6" spans="1:15" ht="13.35" customHeight="1">
      <c r="A6" s="16" t="s">
        <v>104</v>
      </c>
      <c r="B6" s="52"/>
      <c r="C6" s="52"/>
      <c r="D6" s="52">
        <f t="shared" ref="D6:D16" si="2">B6-C6</f>
        <v>0</v>
      </c>
      <c r="E6" s="56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57"/>
      <c r="J6" s="57"/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54"/>
      <c r="G8" s="54">
        <f t="shared" si="3"/>
        <v>0</v>
      </c>
      <c r="H8" s="55">
        <f t="shared" si="1"/>
        <v>0</v>
      </c>
      <c r="I8" s="57"/>
      <c r="J8" s="57"/>
    </row>
    <row r="9" spans="1:15" ht="13.3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/>
    </row>
    <row r="12" spans="1:15" ht="14.25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13.35" customHeight="1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1"/>
        <v>0</v>
      </c>
      <c r="I14" s="57"/>
      <c r="J14" s="57"/>
    </row>
    <row r="15" spans="1:15" ht="14.25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54"/>
      <c r="G15" s="54">
        <f t="shared" si="3"/>
        <v>0</v>
      </c>
      <c r="H15" s="55">
        <f t="shared" si="1"/>
        <v>0</v>
      </c>
      <c r="I15" s="57"/>
      <c r="J15" s="57"/>
    </row>
    <row r="16" spans="1:15" ht="13.35" customHeight="1">
      <c r="A16" s="20" t="s">
        <v>114</v>
      </c>
      <c r="B16" s="63"/>
      <c r="C16" s="63"/>
      <c r="D16" s="52">
        <f t="shared" si="2"/>
        <v>0</v>
      </c>
      <c r="E16" s="56">
        <f t="shared" si="0"/>
        <v>0</v>
      </c>
      <c r="F16" s="54"/>
      <c r="G16" s="54">
        <f t="shared" si="3"/>
        <v>0</v>
      </c>
      <c r="H16" s="55">
        <f t="shared" si="1"/>
        <v>0</v>
      </c>
      <c r="I16" s="57"/>
      <c r="J16" s="57"/>
    </row>
    <row r="17" spans="1:15" ht="13.35" customHeight="1">
      <c r="A17" s="21" t="s">
        <v>115</v>
      </c>
      <c r="B17" s="22">
        <f>SUM(B5:B16)</f>
        <v>40883</v>
      </c>
      <c r="C17" s="22">
        <f t="shared" ref="C17:F17" si="4">SUM(C5:C16)</f>
        <v>79791</v>
      </c>
      <c r="D17" s="22">
        <f>B17-C17</f>
        <v>-38908</v>
      </c>
      <c r="E17" s="23">
        <f>IFERROR(D17/C17, 0)</f>
        <v>-0.48762391748442807</v>
      </c>
      <c r="F17" s="22">
        <f t="shared" si="4"/>
        <v>0</v>
      </c>
      <c r="G17" s="22">
        <f>B17-F17</f>
        <v>40883</v>
      </c>
      <c r="H17" s="24">
        <f>IFERROR(G17/F17, 0)</f>
        <v>0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83" priority="1" operator="lessThanOrEqual">
      <formula>-0.1</formula>
    </cfRule>
    <cfRule type="cellIs" dxfId="8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A8B2B-A82E-47FF-AA6E-059E6E6D1087}">
  <sheetPr codeName="Sheet47">
    <tabColor theme="4"/>
  </sheetPr>
  <dimension ref="A1:O20"/>
  <sheetViews>
    <sheetView workbookViewId="0">
      <selection activeCell="I21" sqref="I21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4.140625" customWidth="1"/>
    <col min="10" max="10" width="18.5703125" bestFit="1" customWidth="1"/>
  </cols>
  <sheetData>
    <row r="1" spans="1:15" ht="25.15">
      <c r="A1" s="152" t="s">
        <v>87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15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3.35" customHeight="1">
      <c r="A5" s="14" t="s">
        <v>102</v>
      </c>
      <c r="B5" s="69">
        <v>36140</v>
      </c>
      <c r="C5" s="69">
        <v>59926</v>
      </c>
      <c r="D5" s="52">
        <f>B5-C5</f>
        <v>-23786</v>
      </c>
      <c r="E5" s="53">
        <f t="shared" ref="E5:E16" si="0">IFERROR(D5/C5, 0)</f>
        <v>-0.39692287154156791</v>
      </c>
      <c r="F5" s="70">
        <v>0</v>
      </c>
      <c r="G5" s="54">
        <f>B5-F5</f>
        <v>36140</v>
      </c>
      <c r="H5" s="55">
        <f t="shared" ref="H5:H16" si="1">IFERROR(G5/F5, 0)</f>
        <v>0</v>
      </c>
      <c r="I5" s="84"/>
      <c r="J5" s="84"/>
      <c r="O5" s="4"/>
    </row>
    <row r="6" spans="1:15" ht="13.35" customHeight="1">
      <c r="A6" s="16" t="s">
        <v>104</v>
      </c>
      <c r="B6" s="52"/>
      <c r="C6" s="52"/>
      <c r="D6" s="52">
        <f t="shared" ref="D6:D16" si="2">B6-C6</f>
        <v>0</v>
      </c>
      <c r="E6" s="56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57"/>
      <c r="J6" s="57"/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54"/>
      <c r="G8" s="54">
        <f t="shared" si="3"/>
        <v>0</v>
      </c>
      <c r="H8" s="55">
        <f t="shared" si="1"/>
        <v>0</v>
      </c>
      <c r="I8" s="57"/>
      <c r="J8" s="57"/>
    </row>
    <row r="9" spans="1:15" ht="13.3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/>
    </row>
    <row r="12" spans="1:15" ht="14.25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13.35" customHeight="1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1"/>
        <v>0</v>
      </c>
      <c r="I14" s="57"/>
      <c r="J14" s="57"/>
    </row>
    <row r="15" spans="1:15" ht="14.25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54"/>
      <c r="G15" s="54">
        <f t="shared" si="3"/>
        <v>0</v>
      </c>
      <c r="H15" s="55">
        <f t="shared" si="1"/>
        <v>0</v>
      </c>
      <c r="I15" s="57"/>
      <c r="J15" s="57"/>
    </row>
    <row r="16" spans="1:15" ht="13.35" customHeight="1">
      <c r="A16" s="20" t="s">
        <v>114</v>
      </c>
      <c r="B16" s="63"/>
      <c r="C16" s="63"/>
      <c r="D16" s="52">
        <f t="shared" si="2"/>
        <v>0</v>
      </c>
      <c r="E16" s="56">
        <f t="shared" si="0"/>
        <v>0</v>
      </c>
      <c r="F16" s="54"/>
      <c r="G16" s="54">
        <f t="shared" si="3"/>
        <v>0</v>
      </c>
      <c r="H16" s="55">
        <f t="shared" si="1"/>
        <v>0</v>
      </c>
      <c r="I16" s="57"/>
      <c r="J16" s="57"/>
    </row>
    <row r="17" spans="1:15" ht="13.35" customHeight="1">
      <c r="A17" s="21" t="s">
        <v>115</v>
      </c>
      <c r="B17" s="22">
        <f>SUM(B5:B16)</f>
        <v>36140</v>
      </c>
      <c r="C17" s="22">
        <f t="shared" ref="C17:F17" si="4">SUM(C5:C16)</f>
        <v>59926</v>
      </c>
      <c r="D17" s="22">
        <f>B17-C17</f>
        <v>-23786</v>
      </c>
      <c r="E17" s="23">
        <f>IFERROR(D17/C17, 0)</f>
        <v>-0.39692287154156791</v>
      </c>
      <c r="F17" s="22">
        <f t="shared" si="4"/>
        <v>0</v>
      </c>
      <c r="G17" s="22">
        <f>B17-F17</f>
        <v>36140</v>
      </c>
      <c r="H17" s="24">
        <f>IFERROR(G17/F17, 0)</f>
        <v>0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67" priority="1" operator="lessThanOrEqual">
      <formula>-0.1</formula>
    </cfRule>
    <cfRule type="cellIs" dxfId="6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6EA2-06F1-46E5-AE42-0B42AFD8855A}">
  <sheetPr codeName="Sheet34">
    <tabColor theme="8" tint="-0.249977111117893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0" bestFit="1" customWidth="1"/>
    <col min="10" max="10" width="16.85546875" bestFit="1" customWidth="1"/>
  </cols>
  <sheetData>
    <row r="1" spans="1:15" ht="25.15">
      <c r="A1" s="152" t="s">
        <v>88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5" thickBot="1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 thickBo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3.35" customHeight="1">
      <c r="A5" s="14" t="s">
        <v>102</v>
      </c>
      <c r="B5" s="69">
        <v>52029.489726129497</v>
      </c>
      <c r="C5" s="69">
        <v>59439.43</v>
      </c>
      <c r="D5" s="52">
        <f>B5-C5</f>
        <v>-7409.940273870503</v>
      </c>
      <c r="E5" s="53">
        <f t="shared" ref="E5:E16" si="0">IFERROR(D5/C5, 0)</f>
        <v>-0.12466371689416442</v>
      </c>
      <c r="F5" s="77">
        <v>87395.78</v>
      </c>
      <c r="G5" s="54">
        <f>B5-F5</f>
        <v>-35366.290273870502</v>
      </c>
      <c r="H5" s="55">
        <f t="shared" ref="H5:H16" si="1">IFERROR(G5/F5, 0)</f>
        <v>-0.40466816903368219</v>
      </c>
      <c r="I5" s="57"/>
      <c r="J5" s="57" t="s">
        <v>103</v>
      </c>
      <c r="O5" s="4"/>
    </row>
    <row r="6" spans="1:15" ht="13.35" customHeight="1">
      <c r="A6" s="16" t="s">
        <v>104</v>
      </c>
      <c r="B6" s="52"/>
      <c r="C6" s="52"/>
      <c r="D6" s="52">
        <f t="shared" ref="D6:D16" si="2">B6-C6</f>
        <v>0</v>
      </c>
      <c r="E6" s="56">
        <f t="shared" si="0"/>
        <v>0</v>
      </c>
      <c r="F6" s="59"/>
      <c r="G6" s="54">
        <f t="shared" ref="G6:G16" si="3">B6-F6</f>
        <v>0</v>
      </c>
      <c r="H6" s="55">
        <f t="shared" si="1"/>
        <v>0</v>
      </c>
      <c r="I6" s="57"/>
      <c r="J6" s="57"/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54"/>
      <c r="G8" s="54">
        <f t="shared" si="3"/>
        <v>0</v>
      </c>
      <c r="H8" s="55">
        <f t="shared" si="1"/>
        <v>0</v>
      </c>
      <c r="I8" s="85"/>
      <c r="J8" s="86"/>
    </row>
    <row r="9" spans="1:15" ht="13.3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55">
        <f t="shared" si="1"/>
        <v>0</v>
      </c>
      <c r="I9" s="57"/>
      <c r="J9" s="57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/>
    </row>
    <row r="12" spans="1:15" ht="13.35" customHeight="1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/>
      <c r="G12" s="54">
        <f t="shared" si="3"/>
        <v>0</v>
      </c>
      <c r="H12" s="55">
        <f t="shared" si="1"/>
        <v>0</v>
      </c>
      <c r="I12" s="57"/>
      <c r="J12" s="57"/>
    </row>
    <row r="13" spans="1:15" ht="39" customHeight="1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/>
      <c r="G13" s="54">
        <f t="shared" si="3"/>
        <v>0</v>
      </c>
      <c r="H13" s="55">
        <f t="shared" si="1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/>
      <c r="G14" s="54">
        <f t="shared" si="3"/>
        <v>0</v>
      </c>
      <c r="H14" s="55">
        <f t="shared" si="1"/>
        <v>0</v>
      </c>
      <c r="I14" s="57"/>
      <c r="J14" s="57"/>
    </row>
    <row r="15" spans="1:15" ht="13.35" customHeight="1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62"/>
      <c r="G15" s="54">
        <f t="shared" si="3"/>
        <v>0</v>
      </c>
      <c r="H15" s="55">
        <f t="shared" si="1"/>
        <v>0</v>
      </c>
      <c r="I15" s="57"/>
      <c r="J15" s="57"/>
    </row>
    <row r="16" spans="1:15" ht="13.35" customHeight="1">
      <c r="A16" s="20" t="s">
        <v>114</v>
      </c>
      <c r="B16" s="63"/>
      <c r="C16" s="63"/>
      <c r="D16" s="63">
        <f t="shared" si="2"/>
        <v>0</v>
      </c>
      <c r="E16" s="64">
        <f t="shared" si="0"/>
        <v>0</v>
      </c>
      <c r="F16" s="65"/>
      <c r="G16" s="66">
        <f t="shared" si="3"/>
        <v>0</v>
      </c>
      <c r="H16" s="67">
        <f t="shared" si="1"/>
        <v>0</v>
      </c>
      <c r="I16" s="68"/>
      <c r="J16" s="68"/>
    </row>
    <row r="17" spans="1:15" ht="13.35" customHeight="1">
      <c r="A17" s="21" t="s">
        <v>115</v>
      </c>
      <c r="B17" s="22">
        <f>SUM(B5:B16)</f>
        <v>52029.489726129497</v>
      </c>
      <c r="C17" s="22">
        <f t="shared" ref="C17:F17" si="4">SUM(C5:C16)</f>
        <v>59439.43</v>
      </c>
      <c r="D17" s="22">
        <f>B17-C17</f>
        <v>-7409.940273870503</v>
      </c>
      <c r="E17" s="23">
        <f>IFERROR(D17/C17, 0)</f>
        <v>-0.12466371689416442</v>
      </c>
      <c r="F17" s="22">
        <f t="shared" si="4"/>
        <v>87395.78</v>
      </c>
      <c r="G17" s="22">
        <f>B17-F17</f>
        <v>-35366.290273870502</v>
      </c>
      <c r="H17" s="24">
        <f>IFERROR(G17/F17, 0)</f>
        <v>-0.40466816903368219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51" priority="1" operator="lessThanOrEqual">
      <formula>-0.1</formula>
    </cfRule>
    <cfRule type="cellIs" dxfId="5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D247-F01A-48EA-812F-62CB2CDB5B3C}">
  <sheetPr codeName="Sheet30">
    <tabColor rgb="FF7030A0"/>
  </sheetPr>
  <dimension ref="A1:O20"/>
  <sheetViews>
    <sheetView workbookViewId="0">
      <selection activeCell="P14" sqref="P14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5" customWidth="1"/>
    <col min="10" max="10" width="18.5703125" bestFit="1" customWidth="1"/>
  </cols>
  <sheetData>
    <row r="1" spans="1:15" ht="25.15">
      <c r="A1" s="152" t="s">
        <v>89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15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3.35" customHeight="1">
      <c r="A5" s="14" t="s">
        <v>102</v>
      </c>
      <c r="B5" s="69">
        <v>50310</v>
      </c>
      <c r="C5" s="78">
        <v>0</v>
      </c>
      <c r="D5" s="52">
        <f>B5-C5</f>
        <v>50310</v>
      </c>
      <c r="E5" s="53">
        <f t="shared" ref="E5:E11" si="0">IFERROR(D5/C5, 0)</f>
        <v>0</v>
      </c>
      <c r="F5" s="70">
        <v>100651</v>
      </c>
      <c r="G5" s="54">
        <f>B5-F5</f>
        <v>-50341</v>
      </c>
      <c r="H5" s="55">
        <f t="shared" ref="H5:H11" si="1">IFERROR(G5/F5, 0)</f>
        <v>-0.50015399747642841</v>
      </c>
      <c r="I5" s="57"/>
      <c r="J5" s="57"/>
      <c r="O5" s="4"/>
    </row>
    <row r="6" spans="1:15" ht="13.35" customHeight="1">
      <c r="A6" s="16" t="s">
        <v>104</v>
      </c>
      <c r="B6" s="52"/>
      <c r="C6" s="52"/>
      <c r="D6" s="52">
        <f t="shared" ref="D6:D11" si="2">B6-C6</f>
        <v>0</v>
      </c>
      <c r="E6" s="56">
        <f t="shared" si="0"/>
        <v>0</v>
      </c>
      <c r="F6" s="59"/>
      <c r="G6" s="54">
        <f t="shared" ref="G6:G11" si="3">B6-F6</f>
        <v>0</v>
      </c>
      <c r="H6" s="55">
        <f t="shared" si="1"/>
        <v>0</v>
      </c>
      <c r="I6" s="57"/>
      <c r="J6" s="57"/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/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60"/>
      <c r="G8" s="54">
        <f t="shared" si="3"/>
        <v>0</v>
      </c>
      <c r="H8" s="55">
        <f t="shared" si="1"/>
        <v>0</v>
      </c>
      <c r="I8" s="90"/>
      <c r="J8" s="57"/>
    </row>
    <row r="9" spans="1:15" ht="13.3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/>
      <c r="G9" s="54">
        <f t="shared" si="3"/>
        <v>0</v>
      </c>
      <c r="H9" s="88">
        <f t="shared" si="1"/>
        <v>0</v>
      </c>
      <c r="I9" s="91"/>
      <c r="J9" s="89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/>
      <c r="G10" s="54">
        <f t="shared" si="3"/>
        <v>0</v>
      </c>
      <c r="H10" s="55">
        <f t="shared" si="1"/>
        <v>0</v>
      </c>
      <c r="I10" s="57"/>
      <c r="J10" s="57"/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/>
      <c r="G11" s="54">
        <f t="shared" si="3"/>
        <v>0</v>
      </c>
      <c r="H11" s="55">
        <f t="shared" si="1"/>
        <v>0</v>
      </c>
      <c r="I11" s="57"/>
      <c r="J11" s="57"/>
    </row>
    <row r="12" spans="1:15" ht="13.35" customHeight="1">
      <c r="A12" s="16" t="s">
        <v>110</v>
      </c>
      <c r="B12" s="52"/>
      <c r="C12" s="52"/>
      <c r="D12" s="52">
        <f t="shared" ref="D12:D16" si="4">B12-C12</f>
        <v>0</v>
      </c>
      <c r="E12" s="56">
        <f t="shared" ref="E12:E16" si="5">IFERROR(D12/C12, 0)</f>
        <v>0</v>
      </c>
      <c r="F12" s="60"/>
      <c r="G12" s="54">
        <f t="shared" ref="G12:G16" si="6">B12-F12</f>
        <v>0</v>
      </c>
      <c r="H12" s="55">
        <f t="shared" ref="H12:H16" si="7">IFERROR(G12/F12, 0)</f>
        <v>0</v>
      </c>
      <c r="I12" s="57"/>
      <c r="J12" s="57"/>
    </row>
    <row r="13" spans="1:15" ht="13.35" customHeight="1">
      <c r="A13" s="16" t="s">
        <v>111</v>
      </c>
      <c r="B13" s="52"/>
      <c r="C13" s="52"/>
      <c r="D13" s="52">
        <f t="shared" si="4"/>
        <v>0</v>
      </c>
      <c r="E13" s="56">
        <f t="shared" si="5"/>
        <v>0</v>
      </c>
      <c r="F13" s="54"/>
      <c r="G13" s="54">
        <f t="shared" si="6"/>
        <v>0</v>
      </c>
      <c r="H13" s="55">
        <f t="shared" si="7"/>
        <v>0</v>
      </c>
      <c r="I13" s="57"/>
      <c r="J13" s="57"/>
    </row>
    <row r="14" spans="1:15" ht="34.35" customHeight="1">
      <c r="A14" s="16" t="s">
        <v>112</v>
      </c>
      <c r="B14" s="52"/>
      <c r="C14" s="52"/>
      <c r="D14" s="52">
        <f t="shared" si="4"/>
        <v>0</v>
      </c>
      <c r="E14" s="56">
        <f t="shared" si="5"/>
        <v>0</v>
      </c>
      <c r="F14" s="54"/>
      <c r="G14" s="54">
        <f t="shared" si="6"/>
        <v>0</v>
      </c>
      <c r="H14" s="55">
        <f t="shared" si="7"/>
        <v>0</v>
      </c>
      <c r="I14" s="57"/>
      <c r="J14" s="57"/>
    </row>
    <row r="15" spans="1:15" ht="35.25" customHeight="1">
      <c r="A15" s="16" t="s">
        <v>113</v>
      </c>
      <c r="B15" s="61"/>
      <c r="C15" s="61"/>
      <c r="D15" s="52">
        <f t="shared" si="4"/>
        <v>0</v>
      </c>
      <c r="E15" s="56">
        <f t="shared" si="5"/>
        <v>0</v>
      </c>
      <c r="F15" s="62"/>
      <c r="G15" s="54">
        <f t="shared" si="6"/>
        <v>0</v>
      </c>
      <c r="H15" s="55">
        <f t="shared" si="7"/>
        <v>0</v>
      </c>
      <c r="I15" s="57"/>
      <c r="J15" s="57"/>
    </row>
    <row r="16" spans="1:15" ht="13.35" customHeight="1">
      <c r="A16" s="20" t="s">
        <v>114</v>
      </c>
      <c r="B16" s="63"/>
      <c r="C16" s="63"/>
      <c r="D16" s="52">
        <f t="shared" si="4"/>
        <v>0</v>
      </c>
      <c r="E16" s="56">
        <f t="shared" si="5"/>
        <v>0</v>
      </c>
      <c r="F16" s="65"/>
      <c r="G16" s="54">
        <f t="shared" si="6"/>
        <v>0</v>
      </c>
      <c r="H16" s="55">
        <f t="shared" si="7"/>
        <v>0</v>
      </c>
      <c r="I16" s="68"/>
      <c r="J16" s="68"/>
    </row>
    <row r="17" spans="1:15" ht="13.35" customHeight="1">
      <c r="A17" s="21" t="s">
        <v>115</v>
      </c>
      <c r="B17" s="22">
        <f>SUM(B5:B16)</f>
        <v>50310</v>
      </c>
      <c r="C17" s="22">
        <f t="shared" ref="C17:F17" si="8">SUM(C5:C16)</f>
        <v>0</v>
      </c>
      <c r="D17" s="22">
        <f>B17-C17</f>
        <v>50310</v>
      </c>
      <c r="E17" s="23">
        <f>IFERROR(D17/C17, 0)</f>
        <v>0</v>
      </c>
      <c r="F17" s="22">
        <f t="shared" si="8"/>
        <v>100651</v>
      </c>
      <c r="G17" s="22">
        <f>B17-F17</f>
        <v>-50341</v>
      </c>
      <c r="H17" s="24">
        <f>IFERROR(G17/F17, 0)</f>
        <v>-0.50015399747642841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6 H5:H16">
    <cfRule type="cellIs" dxfId="35" priority="1" operator="lessThanOrEqual">
      <formula>-0.1</formula>
    </cfRule>
    <cfRule type="cellIs" dxfId="34" priority="2" operator="greaterThan">
      <formula>0.1</formula>
    </cfRule>
  </conditionalFormatting>
  <conditionalFormatting sqref="E17 H17">
    <cfRule type="cellIs" dxfId="33" priority="3" operator="lessThanOrEqual">
      <formula>-0.1</formula>
    </cfRule>
    <cfRule type="cellIs" dxfId="32" priority="4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2E2B-38D5-4FE2-B436-B9F14964BC11}">
  <sheetPr codeName="Sheet48">
    <tabColor rgb="FF92D050"/>
  </sheetPr>
  <dimension ref="A1:O20"/>
  <sheetViews>
    <sheetView tabSelected="1" workbookViewId="0">
      <selection activeCell="E23" sqref="E23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2.42578125" customWidth="1"/>
    <col min="10" max="10" width="18.5703125" bestFit="1" customWidth="1"/>
  </cols>
  <sheetData>
    <row r="1" spans="1:15" ht="25.15">
      <c r="A1" s="152" t="s">
        <v>91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5" ht="25.5" thickBot="1">
      <c r="A2" s="10"/>
      <c r="B2" s="10"/>
      <c r="C2" s="10"/>
      <c r="D2" s="10"/>
      <c r="E2" s="10"/>
    </row>
    <row r="3" spans="1:15" ht="16.5" customHeight="1">
      <c r="A3" s="144" t="s">
        <v>93</v>
      </c>
      <c r="B3" s="145"/>
      <c r="C3" s="145"/>
      <c r="D3" s="145"/>
      <c r="E3" s="146"/>
      <c r="F3" s="147" t="s">
        <v>94</v>
      </c>
      <c r="G3" s="148"/>
      <c r="H3" s="149"/>
      <c r="I3" s="150" t="s">
        <v>95</v>
      </c>
      <c r="J3" s="151"/>
    </row>
    <row r="4" spans="1:15" ht="13.35" customHeight="1" thickBot="1">
      <c r="A4" s="13" t="s">
        <v>96</v>
      </c>
      <c r="B4" s="26" t="s">
        <v>6</v>
      </c>
      <c r="C4" s="26" t="s">
        <v>7</v>
      </c>
      <c r="D4" s="26" t="s">
        <v>97</v>
      </c>
      <c r="E4" s="27" t="s">
        <v>98</v>
      </c>
      <c r="F4" s="28" t="s">
        <v>10</v>
      </c>
      <c r="G4" s="29" t="s">
        <v>99</v>
      </c>
      <c r="H4" s="30" t="s">
        <v>100</v>
      </c>
      <c r="I4" s="31" t="s">
        <v>95</v>
      </c>
      <c r="J4" s="32" t="s">
        <v>101</v>
      </c>
    </row>
    <row r="5" spans="1:15" ht="13.35" customHeight="1">
      <c r="A5" s="14" t="s">
        <v>102</v>
      </c>
      <c r="B5" s="69">
        <v>119051</v>
      </c>
      <c r="C5" s="52">
        <v>0</v>
      </c>
      <c r="D5" s="52">
        <f>B5-C5</f>
        <v>119051</v>
      </c>
      <c r="E5" s="53">
        <f t="shared" ref="E5:E16" si="0">IFERROR(D5/C5, 0)</f>
        <v>0</v>
      </c>
      <c r="F5" s="70">
        <v>0</v>
      </c>
      <c r="G5" s="54">
        <f>B5-F5</f>
        <v>119051</v>
      </c>
      <c r="H5" s="55">
        <f t="shared" ref="H5:H16" si="1">IFERROR(G5/F5, 0)</f>
        <v>0</v>
      </c>
      <c r="I5" s="57"/>
      <c r="J5" s="57" t="s">
        <v>103</v>
      </c>
      <c r="O5" s="4"/>
    </row>
    <row r="6" spans="1:15" ht="13.35" customHeight="1">
      <c r="A6" s="16" t="s">
        <v>104</v>
      </c>
      <c r="B6" s="52"/>
      <c r="C6" s="52"/>
      <c r="D6" s="52">
        <f t="shared" ref="D6:D16" si="2">B6-C6</f>
        <v>0</v>
      </c>
      <c r="E6" s="56">
        <f t="shared" si="0"/>
        <v>0</v>
      </c>
      <c r="F6" s="59">
        <v>0</v>
      </c>
      <c r="G6" s="54">
        <f t="shared" ref="G6:G16" si="3">B6-F6</f>
        <v>0</v>
      </c>
      <c r="H6" s="55">
        <f t="shared" si="1"/>
        <v>0</v>
      </c>
      <c r="I6" s="57"/>
      <c r="J6" s="57" t="s">
        <v>103</v>
      </c>
    </row>
    <row r="7" spans="1:15" ht="13.35" customHeight="1">
      <c r="A7" s="16" t="s">
        <v>105</v>
      </c>
      <c r="B7" s="52"/>
      <c r="C7" s="52"/>
      <c r="D7" s="52">
        <f t="shared" si="2"/>
        <v>0</v>
      </c>
      <c r="E7" s="56">
        <f t="shared" si="0"/>
        <v>0</v>
      </c>
      <c r="F7" s="60">
        <v>0</v>
      </c>
      <c r="G7" s="54">
        <f t="shared" si="3"/>
        <v>0</v>
      </c>
      <c r="H7" s="55">
        <f t="shared" si="1"/>
        <v>0</v>
      </c>
      <c r="I7" s="57"/>
      <c r="J7" s="57"/>
    </row>
    <row r="8" spans="1:15" ht="13.35" customHeight="1">
      <c r="A8" s="16" t="s">
        <v>106</v>
      </c>
      <c r="B8" s="52"/>
      <c r="C8" s="52"/>
      <c r="D8" s="52">
        <f t="shared" si="2"/>
        <v>0</v>
      </c>
      <c r="E8" s="56">
        <f t="shared" si="0"/>
        <v>0</v>
      </c>
      <c r="F8" s="60">
        <v>0</v>
      </c>
      <c r="G8" s="54">
        <f t="shared" si="3"/>
        <v>0</v>
      </c>
      <c r="H8" s="55">
        <f t="shared" si="1"/>
        <v>0</v>
      </c>
      <c r="I8" s="90"/>
      <c r="J8" s="57"/>
    </row>
    <row r="9" spans="1:15" ht="13.35" customHeight="1">
      <c r="A9" s="16" t="s">
        <v>107</v>
      </c>
      <c r="B9" s="52"/>
      <c r="C9" s="52"/>
      <c r="D9" s="52">
        <f t="shared" si="2"/>
        <v>0</v>
      </c>
      <c r="E9" s="56">
        <f t="shared" si="0"/>
        <v>0</v>
      </c>
      <c r="F9" s="54">
        <v>0</v>
      </c>
      <c r="G9" s="54">
        <f t="shared" si="3"/>
        <v>0</v>
      </c>
      <c r="H9" s="88">
        <f t="shared" si="1"/>
        <v>0</v>
      </c>
      <c r="I9" s="91"/>
      <c r="J9" s="89"/>
    </row>
    <row r="10" spans="1:15" ht="13.35" customHeight="1">
      <c r="A10" s="16" t="s">
        <v>108</v>
      </c>
      <c r="B10" s="52"/>
      <c r="C10" s="52"/>
      <c r="D10" s="52">
        <f t="shared" si="2"/>
        <v>0</v>
      </c>
      <c r="E10" s="56">
        <f t="shared" si="0"/>
        <v>0</v>
      </c>
      <c r="F10" s="54">
        <v>0</v>
      </c>
      <c r="G10" s="54">
        <f t="shared" si="3"/>
        <v>0</v>
      </c>
      <c r="H10" s="55">
        <f t="shared" si="1"/>
        <v>0</v>
      </c>
      <c r="I10" s="57"/>
      <c r="J10" s="57" t="s">
        <v>103</v>
      </c>
    </row>
    <row r="11" spans="1:15" ht="13.35" customHeight="1">
      <c r="A11" s="16" t="s">
        <v>109</v>
      </c>
      <c r="B11" s="52"/>
      <c r="C11" s="52"/>
      <c r="D11" s="52">
        <f t="shared" si="2"/>
        <v>0</v>
      </c>
      <c r="E11" s="56">
        <f t="shared" si="0"/>
        <v>0</v>
      </c>
      <c r="F11" s="59">
        <v>0</v>
      </c>
      <c r="G11" s="54">
        <f t="shared" si="3"/>
        <v>0</v>
      </c>
      <c r="H11" s="55">
        <f t="shared" si="1"/>
        <v>0</v>
      </c>
      <c r="I11" s="57"/>
      <c r="J11" s="57" t="s">
        <v>103</v>
      </c>
    </row>
    <row r="12" spans="1:15" ht="13.35" customHeight="1">
      <c r="A12" s="16" t="s">
        <v>110</v>
      </c>
      <c r="B12" s="52"/>
      <c r="C12" s="52"/>
      <c r="D12" s="52">
        <f t="shared" si="2"/>
        <v>0</v>
      </c>
      <c r="E12" s="56">
        <f t="shared" si="0"/>
        <v>0</v>
      </c>
      <c r="F12" s="60">
        <v>0</v>
      </c>
      <c r="G12" s="54">
        <f t="shared" si="3"/>
        <v>0</v>
      </c>
      <c r="H12" s="55">
        <f t="shared" si="1"/>
        <v>0</v>
      </c>
      <c r="I12" s="57"/>
      <c r="J12" s="57"/>
    </row>
    <row r="13" spans="1:15" ht="13.35" customHeight="1">
      <c r="A13" s="16" t="s">
        <v>111</v>
      </c>
      <c r="B13" s="52"/>
      <c r="C13" s="52"/>
      <c r="D13" s="52">
        <f t="shared" si="2"/>
        <v>0</v>
      </c>
      <c r="E13" s="56">
        <f t="shared" si="0"/>
        <v>0</v>
      </c>
      <c r="F13" s="54">
        <v>0</v>
      </c>
      <c r="G13" s="54">
        <f t="shared" si="3"/>
        <v>0</v>
      </c>
      <c r="H13" s="55">
        <f t="shared" si="1"/>
        <v>0</v>
      </c>
      <c r="I13" s="57"/>
      <c r="J13" s="57"/>
    </row>
    <row r="14" spans="1:15" ht="13.35" customHeight="1">
      <c r="A14" s="16" t="s">
        <v>112</v>
      </c>
      <c r="B14" s="52"/>
      <c r="C14" s="52"/>
      <c r="D14" s="52">
        <f t="shared" si="2"/>
        <v>0</v>
      </c>
      <c r="E14" s="56">
        <f t="shared" si="0"/>
        <v>0</v>
      </c>
      <c r="F14" s="54">
        <v>0</v>
      </c>
      <c r="G14" s="54">
        <f t="shared" si="3"/>
        <v>0</v>
      </c>
      <c r="H14" s="55">
        <f t="shared" si="1"/>
        <v>0</v>
      </c>
      <c r="I14" s="57"/>
      <c r="J14" s="57"/>
    </row>
    <row r="15" spans="1:15" ht="13.35" customHeight="1">
      <c r="A15" s="16" t="s">
        <v>113</v>
      </c>
      <c r="B15" s="61"/>
      <c r="C15" s="61"/>
      <c r="D15" s="52">
        <f t="shared" si="2"/>
        <v>0</v>
      </c>
      <c r="E15" s="56">
        <f t="shared" si="0"/>
        <v>0</v>
      </c>
      <c r="F15" s="54">
        <v>0</v>
      </c>
      <c r="G15" s="54">
        <f t="shared" si="3"/>
        <v>0</v>
      </c>
      <c r="H15" s="55">
        <f t="shared" si="1"/>
        <v>0</v>
      </c>
      <c r="I15" s="57"/>
      <c r="J15" s="57" t="s">
        <v>103</v>
      </c>
    </row>
    <row r="16" spans="1:15" ht="13.35" customHeight="1">
      <c r="A16" s="20" t="s">
        <v>114</v>
      </c>
      <c r="B16" s="63"/>
      <c r="C16" s="61"/>
      <c r="D16" s="52">
        <f t="shared" si="2"/>
        <v>0</v>
      </c>
      <c r="E16" s="56">
        <f t="shared" si="0"/>
        <v>0</v>
      </c>
      <c r="F16" s="54">
        <v>0</v>
      </c>
      <c r="G16" s="54">
        <f t="shared" si="3"/>
        <v>0</v>
      </c>
      <c r="H16" s="55">
        <f t="shared" si="1"/>
        <v>0</v>
      </c>
      <c r="I16" s="68"/>
      <c r="J16" s="68" t="s">
        <v>103</v>
      </c>
    </row>
    <row r="17" spans="1:15" ht="13.35" customHeight="1">
      <c r="A17" s="21" t="s">
        <v>115</v>
      </c>
      <c r="B17" s="22">
        <f>SUM(B5:B16)</f>
        <v>119051</v>
      </c>
      <c r="C17" s="22">
        <f t="shared" ref="C17:F17" si="4">SUM(C5:C16)</f>
        <v>0</v>
      </c>
      <c r="D17" s="22">
        <f>B17-C17</f>
        <v>119051</v>
      </c>
      <c r="E17" s="23">
        <f>IFERROR(D17/C17, 0)</f>
        <v>0</v>
      </c>
      <c r="F17" s="22">
        <f t="shared" si="4"/>
        <v>0</v>
      </c>
      <c r="G17" s="22">
        <f>B17-F17</f>
        <v>119051</v>
      </c>
      <c r="H17" s="24">
        <f>IFERROR(G17/F17, 0)</f>
        <v>0</v>
      </c>
      <c r="I17" s="25"/>
      <c r="J17" s="25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6 H5:H16">
    <cfRule type="cellIs" dxfId="17" priority="1" operator="lessThanOrEqual">
      <formula>-0.1</formula>
    </cfRule>
    <cfRule type="cellIs" dxfId="16" priority="2" operator="greaterThan">
      <formula>0.1</formula>
    </cfRule>
  </conditionalFormatting>
  <conditionalFormatting sqref="E17 H17">
    <cfRule type="cellIs" dxfId="15" priority="3" operator="lessThanOrEqual">
      <formula>-0.1</formula>
    </cfRule>
    <cfRule type="cellIs" dxfId="14" priority="4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74BC068B-16AA-445C-9FAD-08EC7FBA30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2024-03-19T13:22:02Z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