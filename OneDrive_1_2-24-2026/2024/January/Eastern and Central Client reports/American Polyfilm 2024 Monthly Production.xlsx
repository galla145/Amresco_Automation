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0" documentId="13_ncr:1_{20ECC370-9670-47D0-B784-E0B268B01DEB}" xr6:coauthVersionLast="47" xr6:coauthVersionMax="47" xr10:uidLastSave="{00000000-0000-0000-0000-000000000000}"/>
  <bookViews>
    <workbookView xWindow="-28920" yWindow="7725" windowWidth="29040" windowHeight="15720" tabRatio="866" activeTab="18" xr2:uid="{00000000-000D-0000-FFFF-FFFF00000000}"/>
  </bookViews>
  <sheets>
    <sheet name="YTD Total" sheetId="34" r:id="rId1"/>
    <sheet name="1st Qtr" sheetId="1" r:id="rId2"/>
    <sheet name="2nd Qtr" sheetId="18" r:id="rId3"/>
    <sheet name="3rd Qtr" sheetId="29" r:id="rId4"/>
    <sheet name="4th Qtr" sheetId="30" r:id="rId5"/>
    <sheet name="Jan" sheetId="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  <sheet name="15 Baldwin Dr" sheetId="5" r:id="rId19"/>
    <sheet name="8 Sycamore Way" sheetId="69" r:id="rId20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Jan!$A$2:$I$2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'YTD Total'!$A$2:$I$2</definedName>
    <definedName name="JanActual">Jan!$C$3:$C$4</definedName>
    <definedName name="JanActual2">Jan!#REF!</definedName>
    <definedName name="JanExpected">Jan!$D$3:$D$4</definedName>
    <definedName name="JanExpectedDelta">Jan!$E$3:$E$4</definedName>
    <definedName name="JanExpectedPercent">Jan!$F$3:$F$4</definedName>
    <definedName name="JanExpPercent">Jan!$F$3:$F$4</definedName>
    <definedName name="JanForecasted">Jan!$G$3:$G$4</definedName>
    <definedName name="JanForecastedDelta">Jan!$H$3:$H$4</definedName>
    <definedName name="JanForecastedPercent">Jan!$I$3:$I$4</definedName>
    <definedName name="portfolio">Sites!$B$2:$B$2</definedName>
    <definedName name="Year">Sites!$B$1:$B$1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30" l="1"/>
  <c r="C1" i="30"/>
  <c r="G1" i="29"/>
  <c r="C1" i="29"/>
  <c r="G1" i="18"/>
  <c r="C1" i="18"/>
  <c r="G1" i="1"/>
  <c r="C1" i="1"/>
  <c r="G1" i="34"/>
  <c r="C1" i="34"/>
  <c r="F17" i="5" l="1"/>
  <c r="C17" i="5"/>
  <c r="B17" i="5"/>
  <c r="G16" i="5"/>
  <c r="H16" i="5" s="1"/>
  <c r="D16" i="5"/>
  <c r="E16" i="5" s="1"/>
  <c r="G15" i="5"/>
  <c r="H15" i="5" s="1"/>
  <c r="D15" i="5"/>
  <c r="E15" i="5" s="1"/>
  <c r="G14" i="5"/>
  <c r="H14" i="5" s="1"/>
  <c r="D14" i="5"/>
  <c r="E14" i="5" s="1"/>
  <c r="G13" i="5"/>
  <c r="H13" i="5" s="1"/>
  <c r="D13" i="5"/>
  <c r="E13" i="5" s="1"/>
  <c r="G12" i="5"/>
  <c r="H12" i="5" s="1"/>
  <c r="D12" i="5"/>
  <c r="E12" i="5" s="1"/>
  <c r="G11" i="5"/>
  <c r="H11" i="5" s="1"/>
  <c r="D11" i="5"/>
  <c r="E11" i="5" s="1"/>
  <c r="G10" i="5"/>
  <c r="H10" i="5" s="1"/>
  <c r="D10" i="5"/>
  <c r="E10" i="5" s="1"/>
  <c r="G9" i="5"/>
  <c r="H9" i="5" s="1"/>
  <c r="D9" i="5"/>
  <c r="E9" i="5" s="1"/>
  <c r="G8" i="5"/>
  <c r="H8" i="5" s="1"/>
  <c r="D8" i="5"/>
  <c r="E8" i="5" s="1"/>
  <c r="G7" i="5"/>
  <c r="H7" i="5" s="1"/>
  <c r="D7" i="5"/>
  <c r="E7" i="5" s="1"/>
  <c r="G6" i="5"/>
  <c r="H6" i="5" s="1"/>
  <c r="D6" i="5"/>
  <c r="E6" i="5" s="1"/>
  <c r="G5" i="5"/>
  <c r="H5" i="5" s="1"/>
  <c r="D5" i="5"/>
  <c r="E5" i="5" s="1"/>
  <c r="F17" i="69"/>
  <c r="C17" i="69"/>
  <c r="B17" i="69"/>
  <c r="G16" i="69"/>
  <c r="H16" i="69" s="1"/>
  <c r="D16" i="69"/>
  <c r="E16" i="69" s="1"/>
  <c r="G15" i="69"/>
  <c r="H15" i="69" s="1"/>
  <c r="D15" i="69"/>
  <c r="E15" i="69" s="1"/>
  <c r="G14" i="69"/>
  <c r="H14" i="69" s="1"/>
  <c r="D14" i="69"/>
  <c r="E14" i="69" s="1"/>
  <c r="G13" i="69"/>
  <c r="H13" i="69" s="1"/>
  <c r="D13" i="69"/>
  <c r="E13" i="69" s="1"/>
  <c r="G12" i="69"/>
  <c r="H12" i="69" s="1"/>
  <c r="D12" i="69"/>
  <c r="E12" i="69" s="1"/>
  <c r="G11" i="69"/>
  <c r="H11" i="69" s="1"/>
  <c r="D11" i="69"/>
  <c r="E11" i="69" s="1"/>
  <c r="G10" i="69"/>
  <c r="H10" i="69" s="1"/>
  <c r="D10" i="69"/>
  <c r="E10" i="69" s="1"/>
  <c r="G9" i="69"/>
  <c r="H9" i="69" s="1"/>
  <c r="D9" i="69"/>
  <c r="E9" i="69" s="1"/>
  <c r="G8" i="69"/>
  <c r="H8" i="69" s="1"/>
  <c r="D8" i="69"/>
  <c r="E8" i="69" s="1"/>
  <c r="G7" i="69"/>
  <c r="H7" i="69" s="1"/>
  <c r="D7" i="69"/>
  <c r="E7" i="69" s="1"/>
  <c r="G6" i="69"/>
  <c r="H6" i="69" s="1"/>
  <c r="D6" i="69"/>
  <c r="E6" i="69" s="1"/>
  <c r="G5" i="69"/>
  <c r="H5" i="69" s="1"/>
  <c r="D5" i="69"/>
  <c r="E5" i="69" s="1"/>
  <c r="A1" i="2" a="1"/>
  <c r="A1" i="2"/>
  <c r="B3" i="33" a="1"/>
  <c r="B3" i="33" s="1"/>
  <c r="A3" i="33" a="1"/>
  <c r="B3" i="32" a="1"/>
  <c r="B3" i="32" s="1"/>
  <c r="A3" i="32" a="1"/>
  <c r="B3" i="31" a="1"/>
  <c r="B3" i="31" s="1"/>
  <c r="A3" i="31" a="1"/>
  <c r="B3" i="28" a="1"/>
  <c r="B3" i="28" s="1"/>
  <c r="A3" i="28" a="1"/>
  <c r="B3" i="27" a="1"/>
  <c r="B3" i="27" s="1"/>
  <c r="A3" i="27" a="1"/>
  <c r="B3" i="26" a="1"/>
  <c r="B3" i="26" s="1"/>
  <c r="A3" i="26" a="1"/>
  <c r="B3" i="19" a="1"/>
  <c r="B3" i="19" s="1"/>
  <c r="A3" i="19" a="1"/>
  <c r="B3" i="20" a="1"/>
  <c r="B3" i="20" s="1"/>
  <c r="A3" i="20" a="1"/>
  <c r="B3" i="21" a="1"/>
  <c r="B3" i="21" s="1"/>
  <c r="A3" i="21" a="1"/>
  <c r="B3" i="4" a="1"/>
  <c r="B3" i="4" s="1"/>
  <c r="A3" i="4" a="1"/>
  <c r="B3" i="3" a="1"/>
  <c r="B3" i="3" s="1"/>
  <c r="A3" i="3" a="1"/>
  <c r="A3" i="3" s="1"/>
  <c r="B3" i="2" a="1"/>
  <c r="B3" i="2" s="1"/>
  <c r="A3" i="2" a="1"/>
  <c r="B3" i="30" a="1"/>
  <c r="B3" i="30" s="1"/>
  <c r="A3" i="30" a="1"/>
  <c r="A3" i="30" s="1"/>
  <c r="B3" i="29" a="1"/>
  <c r="B3" i="29" s="1"/>
  <c r="A3" i="29" a="1"/>
  <c r="A3" i="29" s="1"/>
  <c r="B3" i="18" a="1"/>
  <c r="B3" i="18" s="1"/>
  <c r="A3" i="18" a="1"/>
  <c r="A3" i="18" s="1"/>
  <c r="B3" i="1" a="1"/>
  <c r="B3" i="1" s="1"/>
  <c r="A3" i="1" a="1"/>
  <c r="A3" i="1" s="1"/>
  <c r="B3" i="34" a="1"/>
  <c r="B3" i="34"/>
  <c r="A3" i="34" a="1"/>
  <c r="A3" i="34"/>
  <c r="A1" i="34" a="1"/>
  <c r="A1" i="34" s="1"/>
  <c r="A1" i="30" a="1"/>
  <c r="A1" i="30" s="1"/>
  <c r="A1" i="29" a="1"/>
  <c r="A1" i="29" s="1"/>
  <c r="A1" i="18" a="1"/>
  <c r="A1" i="18" s="1"/>
  <c r="A1" i="1" a="1"/>
  <c r="A1" i="1" s="1"/>
  <c r="A1" i="33" a="1"/>
  <c r="A1" i="33" s="1"/>
  <c r="A1" i="32" a="1"/>
  <c r="A1" i="32" s="1"/>
  <c r="A1" i="31" a="1"/>
  <c r="A1" i="31" s="1"/>
  <c r="A1" i="28" a="1"/>
  <c r="A1" i="28" s="1"/>
  <c r="A1" i="27" a="1"/>
  <c r="A1" i="27" s="1"/>
  <c r="A1" i="26" a="1"/>
  <c r="A1" i="26" s="1"/>
  <c r="A1" i="19" a="1"/>
  <c r="A1" i="19" s="1"/>
  <c r="A1" i="20" a="1"/>
  <c r="A1" i="20" s="1"/>
  <c r="A1" i="21" a="1"/>
  <c r="A1" i="21" s="1"/>
  <c r="A1" i="4" a="1"/>
  <c r="A1" i="4" s="1"/>
  <c r="A1" i="3" a="1"/>
  <c r="A1" i="3" s="1"/>
  <c r="G17" i="5" l="1"/>
  <c r="H17" i="5" s="1"/>
  <c r="D17" i="5"/>
  <c r="E17" i="5" s="1"/>
  <c r="G17" i="69"/>
  <c r="H17" i="69" s="1"/>
  <c r="D17" i="69"/>
  <c r="E17" i="69" s="1"/>
  <c r="A3" i="33"/>
  <c r="A3" i="32"/>
  <c r="A3" i="31"/>
  <c r="A3" i="28"/>
  <c r="A3" i="27"/>
  <c r="A3" i="26"/>
  <c r="A3" i="19"/>
  <c r="A3" i="20"/>
  <c r="A3" i="21"/>
  <c r="A3" i="4"/>
  <c r="A3" i="2"/>
  <c r="C4" i="3" a="1"/>
  <c r="C3" i="3" a="1"/>
  <c r="C4" i="31" a="1"/>
  <c r="C3" i="19" a="1"/>
  <c r="C4" i="21" a="1"/>
  <c r="C3" i="4" a="1"/>
  <c r="C3" i="31" a="1"/>
  <c r="C3" i="20" a="1"/>
  <c r="C4" i="20" a="1"/>
  <c r="C4" i="33" a="1"/>
  <c r="C4" i="28" a="1"/>
  <c r="C3" i="33" a="1"/>
  <c r="C4" i="27" a="1"/>
  <c r="C4" i="32" a="1"/>
  <c r="C4" i="26" a="1"/>
  <c r="C4" i="4" a="1"/>
  <c r="C3" i="32" a="1"/>
  <c r="C4" i="2" a="1"/>
  <c r="C3" i="21" a="1"/>
  <c r="C3" i="2" a="1"/>
  <c r="C4" i="19" a="1"/>
  <c r="C3" i="26" a="1"/>
  <c r="C3" i="27" a="1"/>
  <c r="C3" i="28" a="1"/>
  <c r="C3" i="21" l="1"/>
  <c r="G3" i="18"/>
  <c r="C3" i="20"/>
  <c r="C4" i="33"/>
  <c r="C4" i="21"/>
  <c r="G4" i="18"/>
  <c r="C3" i="32"/>
  <c r="C4" i="20"/>
  <c r="C3" i="19"/>
  <c r="C4" i="32"/>
  <c r="C4" i="4"/>
  <c r="C3" i="26"/>
  <c r="C4" i="31"/>
  <c r="C3" i="27"/>
  <c r="C4" i="28"/>
  <c r="C3" i="4"/>
  <c r="C3" i="33"/>
  <c r="C4" i="3"/>
  <c r="C4" i="2"/>
  <c r="C3" i="28"/>
  <c r="C4" i="27"/>
  <c r="C4" i="19"/>
  <c r="C3" i="2"/>
  <c r="C3" i="31"/>
  <c r="C4" i="26"/>
  <c r="G5" i="33"/>
  <c r="D5" i="33"/>
  <c r="G5" i="32"/>
  <c r="D5" i="32"/>
  <c r="G5" i="31"/>
  <c r="D5" i="31"/>
  <c r="G5" i="28"/>
  <c r="D5" i="28"/>
  <c r="G5" i="27"/>
  <c r="D5" i="27"/>
  <c r="G5" i="26"/>
  <c r="D5" i="26"/>
  <c r="G5" i="19"/>
  <c r="D5" i="19"/>
  <c r="G5" i="20"/>
  <c r="D5" i="20"/>
  <c r="G5" i="21"/>
  <c r="D5" i="21"/>
  <c r="G5" i="4"/>
  <c r="D5" i="4"/>
  <c r="D3" i="18"/>
  <c r="D4" i="18"/>
  <c r="D3" i="29"/>
  <c r="G3" i="29"/>
  <c r="D4" i="29"/>
  <c r="G4" i="29"/>
  <c r="D3" i="30"/>
  <c r="G3" i="30"/>
  <c r="D4" i="30"/>
  <c r="G4" i="30"/>
  <c r="G3" i="1"/>
  <c r="D4" i="1"/>
  <c r="G4" i="1"/>
  <c r="D3" i="1"/>
  <c r="G5" i="3"/>
  <c r="D5" i="3"/>
  <c r="C3" i="3"/>
  <c r="C5" i="26" l="1"/>
  <c r="E5" i="26" s="1"/>
  <c r="F5" i="26" s="1"/>
  <c r="C5" i="33"/>
  <c r="E5" i="33" s="1"/>
  <c r="F5" i="33" s="1"/>
  <c r="C5" i="28"/>
  <c r="E5" i="28" s="1"/>
  <c r="F5" i="28" s="1"/>
  <c r="C3" i="29"/>
  <c r="H3" i="29" s="1"/>
  <c r="I3" i="29" s="1"/>
  <c r="C5" i="32"/>
  <c r="H5" i="32" s="1"/>
  <c r="I5" i="32" s="1"/>
  <c r="D5" i="1"/>
  <c r="C5" i="4"/>
  <c r="H5" i="4" s="1"/>
  <c r="I5" i="4" s="1"/>
  <c r="C5" i="19"/>
  <c r="H5" i="19" s="1"/>
  <c r="I5" i="19" s="1"/>
  <c r="C5" i="27"/>
  <c r="H5" i="27" s="1"/>
  <c r="I5" i="27" s="1"/>
  <c r="C5" i="20"/>
  <c r="E5" i="20" s="1"/>
  <c r="F5" i="20" s="1"/>
  <c r="C4" i="30"/>
  <c r="H4" i="30" s="1"/>
  <c r="I4" i="30" s="1"/>
  <c r="G5" i="29"/>
  <c r="D5" i="30"/>
  <c r="C3" i="18"/>
  <c r="C4" i="29"/>
  <c r="H4" i="29" s="1"/>
  <c r="I4" i="29" s="1"/>
  <c r="C5" i="21"/>
  <c r="H5" i="21" s="1"/>
  <c r="I5" i="21" s="1"/>
  <c r="D5" i="29"/>
  <c r="C5" i="31"/>
  <c r="H5" i="31" s="1"/>
  <c r="I5" i="31" s="1"/>
  <c r="C3" i="30"/>
  <c r="H3" i="30" s="1"/>
  <c r="I3" i="30" s="1"/>
  <c r="D5" i="18"/>
  <c r="G5" i="30"/>
  <c r="G5" i="1"/>
  <c r="D3" i="34"/>
  <c r="C4" i="18"/>
  <c r="E4" i="18" s="1"/>
  <c r="F4" i="18" s="1"/>
  <c r="D4" i="34"/>
  <c r="H5" i="33"/>
  <c r="I5" i="33" s="1"/>
  <c r="H5" i="28"/>
  <c r="I5" i="28" s="1"/>
  <c r="C4" i="1"/>
  <c r="E4" i="1" s="1"/>
  <c r="F4" i="1" s="1"/>
  <c r="C5" i="3"/>
  <c r="E5" i="3" s="1"/>
  <c r="F5" i="3" s="1"/>
  <c r="C3" i="1"/>
  <c r="H5" i="26" l="1"/>
  <c r="I5" i="26" s="1"/>
  <c r="H5" i="20"/>
  <c r="I5" i="20" s="1"/>
  <c r="E4" i="29"/>
  <c r="F4" i="29" s="1"/>
  <c r="E5" i="32"/>
  <c r="F5" i="32" s="1"/>
  <c r="E5" i="19"/>
  <c r="F5" i="19" s="1"/>
  <c r="E5" i="27"/>
  <c r="F5" i="27" s="1"/>
  <c r="E4" i="30"/>
  <c r="F4" i="30" s="1"/>
  <c r="E5" i="4"/>
  <c r="F5" i="4" s="1"/>
  <c r="E5" i="31"/>
  <c r="F5" i="31" s="1"/>
  <c r="E5" i="21"/>
  <c r="F5" i="21" s="1"/>
  <c r="H5" i="3"/>
  <c r="I5" i="3" s="1"/>
  <c r="D5" i="34"/>
  <c r="G4" i="34"/>
  <c r="H4" i="18"/>
  <c r="I4" i="18" s="1"/>
  <c r="C3" i="34"/>
  <c r="E3" i="34" s="1"/>
  <c r="F3" i="34" s="1"/>
  <c r="H3" i="1"/>
  <c r="I3" i="1" s="1"/>
  <c r="C4" i="34"/>
  <c r="E4" i="34" s="1"/>
  <c r="F4" i="34" s="1"/>
  <c r="H4" i="1"/>
  <c r="I4" i="1" s="1"/>
  <c r="C5" i="30"/>
  <c r="E3" i="30"/>
  <c r="F3" i="30" s="1"/>
  <c r="C5" i="29"/>
  <c r="E3" i="29"/>
  <c r="F3" i="29" s="1"/>
  <c r="C5" i="18"/>
  <c r="E3" i="18"/>
  <c r="F3" i="18" s="1"/>
  <c r="C5" i="1"/>
  <c r="E3" i="1"/>
  <c r="C5" i="34" l="1"/>
  <c r="E5" i="34" s="1"/>
  <c r="F5" i="34" s="1"/>
  <c r="G5" i="18"/>
  <c r="H5" i="18" s="1"/>
  <c r="I5" i="18" s="1"/>
  <c r="H3" i="18"/>
  <c r="I3" i="18" s="1"/>
  <c r="G3" i="34"/>
  <c r="G5" i="34" s="1"/>
  <c r="H4" i="34"/>
  <c r="I4" i="34" s="1"/>
  <c r="F3" i="1"/>
  <c r="H5" i="30"/>
  <c r="I5" i="30" s="1"/>
  <c r="E5" i="30"/>
  <c r="F5" i="30" s="1"/>
  <c r="H5" i="29"/>
  <c r="I5" i="29" s="1"/>
  <c r="E5" i="29"/>
  <c r="F5" i="29" s="1"/>
  <c r="E5" i="18"/>
  <c r="F5" i="18" s="1"/>
  <c r="H5" i="1"/>
  <c r="I5" i="1" s="1"/>
  <c r="E5" i="1"/>
  <c r="F5" i="1" s="1"/>
  <c r="G5" i="2"/>
  <c r="D5" i="2"/>
  <c r="H5" i="34" l="1"/>
  <c r="I5" i="34" s="1"/>
  <c r="H3" i="34"/>
  <c r="I3" i="34" s="1"/>
  <c r="C5" i="2"/>
  <c r="H5" i="2" l="1"/>
  <c r="I5" i="2" s="1"/>
  <c r="E5" i="2"/>
  <c r="F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<sst xmlns="http://schemas.openxmlformats.org/spreadsheetml/2006/main" count="334" uniqueCount="70">
  <si>
    <t>Site</t>
  </si>
  <si>
    <t>State</t>
  </si>
  <si>
    <t>Actual</t>
  </si>
  <si>
    <t>Expected</t>
  </si>
  <si>
    <t>Delta</t>
  </si>
  <si>
    <t>%</t>
  </si>
  <si>
    <t>Forecasted</t>
  </si>
  <si>
    <t>Total</t>
  </si>
  <si>
    <t>Values in gold exceed expected or forecasted by 10% or more.</t>
  </si>
  <si>
    <t>Values in red are below expected or forecasted by 10% or more.</t>
  </si>
  <si>
    <t>January Actual v. Expected</t>
  </si>
  <si>
    <t>January Actual v. Forecasted</t>
  </si>
  <si>
    <t>NOTES</t>
  </si>
  <si>
    <t>SR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</si>
  <si>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</si>
  <si>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</si>
  <si>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</si>
  <si>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</si>
  <si>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</si>
  <si>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</si>
  <si>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</si>
  <si>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</si>
  <si>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</si>
  <si>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</si>
  <si>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</si>
  <si>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</si>
  <si>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</si>
  <si>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</si>
  <si>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</si>
  <si>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</si>
  <si>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</si>
  <si>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</si>
  <si>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</si>
  <si>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</si>
  <si>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</si>
  <si>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</si>
  <si>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Year:</t>
  </si>
  <si>
    <t>Portfolio:</t>
  </si>
  <si>
    <t>American Polyfilm, Inc.</t>
  </si>
  <si>
    <t>Site DAS Name</t>
  </si>
  <si>
    <t>Update</t>
  </si>
  <si>
    <t>DAS</t>
  </si>
  <si>
    <t>15 Baldwin</t>
  </si>
  <si>
    <t>15 Baldwin Dr</t>
  </si>
  <si>
    <t>CT</t>
  </si>
  <si>
    <t>PowerTrack</t>
  </si>
  <si>
    <t>8 Sycamore Way</t>
  </si>
  <si>
    <t>Actual vs. Expected</t>
  </si>
  <si>
    <t>Actual vs. Forecasted</t>
  </si>
  <si>
    <t>Notes</t>
  </si>
  <si>
    <t>Month</t>
  </si>
  <si>
    <t>Delta Expected</t>
  </si>
  <si>
    <t>% Expected</t>
  </si>
  <si>
    <t>Delta Forecasted</t>
  </si>
  <si>
    <t>% Forecasted</t>
  </si>
  <si>
    <t>Service Request</t>
  </si>
  <si>
    <t>Jan</t>
  </si>
  <si>
    <t xml:space="preserve">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</si>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</sst>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</font>
    <font>
      <sz val="11"/>
      <name val="Calibri"/>
    </font>
    <font>
      <b/>
      <sz val="9"/>
      <color rgb="FF000000"/>
      <name val="Arial"/>
      <family val="2"/>
    </font>
    <font>
      <b/>
      <sz val="10"/>
      <name val="Arial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</font>
    <font>
      <sz val="11"/>
      <color theme="1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7" applyNumberFormat="0" applyAlignment="0" applyProtection="0"/>
    <xf numFmtId="0" fontId="17" fillId="10" borderId="8" applyNumberFormat="0" applyAlignment="0" applyProtection="0"/>
    <xf numFmtId="0" fontId="18" fillId="10" borderId="7" applyNumberFormat="0" applyAlignment="0" applyProtection="0"/>
    <xf numFmtId="0" fontId="19" fillId="0" borderId="9" applyNumberFormat="0" applyFill="0" applyAlignment="0" applyProtection="0"/>
    <xf numFmtId="0" fontId="20" fillId="11" borderId="10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2" borderId="11" applyNumberFormat="0" applyFont="0" applyAlignment="0" applyProtection="0"/>
  </cellStyleXfs>
  <cellXfs count="91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0" fontId="3" fillId="3" borderId="15" xfId="0" applyFont="1" applyFill="1" applyBorder="1" applyAlignment="1">
      <alignment horizontal="center" vertical="center" wrapText="1"/>
    </xf>
    <xf numFmtId="9" fontId="5" fillId="3" borderId="15" xfId="2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49" fontId="0" fillId="0" borderId="0" xfId="0" applyNumberFormat="1"/>
    <xf numFmtId="9" fontId="5" fillId="40" borderId="15" xfId="2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8" fillId="0" borderId="34" xfId="0" applyFont="1" applyBorder="1" applyAlignment="1">
      <alignment horizontal="left" vertical="center"/>
    </xf>
    <xf numFmtId="0" fontId="29" fillId="0" borderId="2" xfId="0" applyFont="1" applyBorder="1" applyAlignment="1">
      <alignment horizontal="center"/>
    </xf>
    <xf numFmtId="3" fontId="30" fillId="38" borderId="16" xfId="0" applyNumberFormat="1" applyFont="1" applyFill="1" applyBorder="1"/>
    <xf numFmtId="3" fontId="30" fillId="3" borderId="2" xfId="0" applyNumberFormat="1" applyFont="1" applyFill="1" applyBorder="1" applyAlignment="1">
      <alignment horizontal="right"/>
    </xf>
    <xf numFmtId="9" fontId="30" fillId="3" borderId="2" xfId="2" applyFont="1" applyFill="1" applyBorder="1" applyAlignment="1">
      <alignment horizontal="center"/>
    </xf>
    <xf numFmtId="3" fontId="30" fillId="39" borderId="16" xfId="0" applyNumberFormat="1" applyFont="1" applyFill="1" applyBorder="1"/>
    <xf numFmtId="3" fontId="30" fillId="4" borderId="2" xfId="1" applyNumberFormat="1" applyFont="1" applyFill="1" applyBorder="1"/>
    <xf numFmtId="9" fontId="30" fillId="4" borderId="2" xfId="2" applyFont="1" applyFill="1" applyBorder="1" applyAlignment="1">
      <alignment horizontal="center"/>
    </xf>
    <xf numFmtId="9" fontId="30" fillId="43" borderId="2" xfId="2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9" fontId="30" fillId="3" borderId="1" xfId="2" applyFont="1" applyFill="1" applyBorder="1" applyAlignment="1">
      <alignment horizontal="center"/>
    </xf>
    <xf numFmtId="3" fontId="30" fillId="4" borderId="13" xfId="1" applyNumberFormat="1" applyFont="1" applyFill="1" applyBorder="1"/>
    <xf numFmtId="3" fontId="30" fillId="4" borderId="2" xfId="1" applyNumberFormat="1" applyFont="1" applyFill="1" applyBorder="1" applyAlignment="1">
      <alignment vertical="center"/>
    </xf>
    <xf numFmtId="3" fontId="30" fillId="38" borderId="14" xfId="0" applyNumberFormat="1" applyFont="1" applyFill="1" applyBorder="1"/>
    <xf numFmtId="3" fontId="30" fillId="39" borderId="14" xfId="0" applyNumberFormat="1" applyFont="1" applyFill="1" applyBorder="1"/>
    <xf numFmtId="0" fontId="29" fillId="0" borderId="3" xfId="0" applyFont="1" applyBorder="1" applyAlignment="1">
      <alignment horizontal="center"/>
    </xf>
    <xf numFmtId="3" fontId="30" fillId="3" borderId="28" xfId="0" applyNumberFormat="1" applyFont="1" applyFill="1" applyBorder="1" applyAlignment="1">
      <alignment horizontal="right"/>
    </xf>
    <xf numFmtId="9" fontId="30" fillId="3" borderId="3" xfId="2" applyFont="1" applyFill="1" applyBorder="1" applyAlignment="1">
      <alignment horizontal="center"/>
    </xf>
    <xf numFmtId="3" fontId="30" fillId="4" borderId="38" xfId="1" applyNumberFormat="1" applyFont="1" applyFill="1" applyBorder="1"/>
    <xf numFmtId="3" fontId="30" fillId="4" borderId="28" xfId="1" applyNumberFormat="1" applyFont="1" applyFill="1" applyBorder="1"/>
    <xf numFmtId="9" fontId="30" fillId="4" borderId="28" xfId="2" applyFont="1" applyFill="1" applyBorder="1" applyAlignment="1">
      <alignment horizontal="center"/>
    </xf>
    <xf numFmtId="0" fontId="29" fillId="5" borderId="1" xfId="0" applyFont="1" applyFill="1" applyBorder="1" applyAlignment="1">
      <alignment horizontal="center"/>
    </xf>
    <xf numFmtId="3" fontId="29" fillId="5" borderId="1" xfId="0" applyNumberFormat="1" applyFont="1" applyFill="1" applyBorder="1" applyAlignment="1">
      <alignment horizontal="center"/>
    </xf>
    <xf numFmtId="9" fontId="29" fillId="5" borderId="1" xfId="2" applyFont="1" applyFill="1" applyBorder="1" applyAlignment="1">
      <alignment horizontal="center"/>
    </xf>
    <xf numFmtId="9" fontId="29" fillId="5" borderId="1" xfId="0" applyNumberFormat="1" applyFont="1" applyFill="1" applyBorder="1" applyAlignment="1">
      <alignment horizontal="center"/>
    </xf>
    <xf numFmtId="0" fontId="29" fillId="0" borderId="0" xfId="0" applyFont="1"/>
    <xf numFmtId="0" fontId="31" fillId="3" borderId="17" xfId="0" applyFont="1" applyFill="1" applyBorder="1" applyAlignment="1">
      <alignment horizontal="left" vertical="center" wrapText="1"/>
    </xf>
    <xf numFmtId="9" fontId="31" fillId="3" borderId="35" xfId="2" applyFont="1" applyFill="1" applyBorder="1" applyAlignment="1">
      <alignment horizontal="left" vertical="center" wrapText="1"/>
    </xf>
    <xf numFmtId="0" fontId="31" fillId="4" borderId="17" xfId="0" applyFont="1" applyFill="1" applyBorder="1" applyAlignment="1">
      <alignment horizontal="left" vertical="center"/>
    </xf>
    <xf numFmtId="0" fontId="31" fillId="4" borderId="17" xfId="0" applyFont="1" applyFill="1" applyBorder="1" applyAlignment="1">
      <alignment horizontal="left" vertical="center" wrapText="1"/>
    </xf>
    <xf numFmtId="9" fontId="31" fillId="4" borderId="35" xfId="2" applyFont="1" applyFill="1" applyBorder="1" applyAlignment="1">
      <alignment horizontal="left" vertical="center"/>
    </xf>
    <xf numFmtId="9" fontId="31" fillId="43" borderId="36" xfId="2" applyFont="1" applyFill="1" applyBorder="1" applyAlignment="1">
      <alignment horizontal="center" vertical="center"/>
    </xf>
    <xf numFmtId="9" fontId="31" fillId="43" borderId="37" xfId="2" applyFont="1" applyFill="1" applyBorder="1" applyAlignment="1">
      <alignment horizontal="center" vertical="center"/>
    </xf>
    <xf numFmtId="0" fontId="29" fillId="45" borderId="39" xfId="0" applyFont="1" applyFill="1" applyBorder="1" applyAlignment="1">
      <alignment horizontal="center"/>
    </xf>
    <xf numFmtId="3" fontId="33" fillId="3" borderId="16" xfId="0" applyNumberFormat="1" applyFont="1" applyFill="1" applyBorder="1" applyAlignment="1">
      <alignment horizontal="right"/>
    </xf>
    <xf numFmtId="9" fontId="33" fillId="3" borderId="16" xfId="2" applyFont="1" applyFill="1" applyBorder="1" applyAlignment="1">
      <alignment horizontal="center"/>
    </xf>
    <xf numFmtId="3" fontId="33" fillId="4" borderId="16" xfId="1" applyNumberFormat="1" applyFont="1" applyFill="1" applyBorder="1"/>
    <xf numFmtId="9" fontId="33" fillId="40" borderId="16" xfId="2" applyFont="1" applyFill="1" applyBorder="1" applyAlignment="1">
      <alignment horizontal="center"/>
    </xf>
    <xf numFmtId="9" fontId="33" fillId="3" borderId="14" xfId="2" applyFont="1" applyFill="1" applyBorder="1" applyAlignment="1">
      <alignment horizontal="center"/>
    </xf>
    <xf numFmtId="9" fontId="33" fillId="40" borderId="14" xfId="2" applyFont="1" applyFill="1" applyBorder="1" applyAlignment="1">
      <alignment horizontal="center"/>
    </xf>
    <xf numFmtId="9" fontId="33" fillId="37" borderId="18" xfId="0" applyNumberFormat="1" applyFont="1" applyFill="1" applyBorder="1" applyAlignment="1">
      <alignment horizontal="center" vertical="center"/>
    </xf>
    <xf numFmtId="9" fontId="33" fillId="37" borderId="22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left"/>
    </xf>
    <xf numFmtId="0" fontId="34" fillId="2" borderId="15" xfId="0" applyFont="1" applyFill="1" applyBorder="1" applyAlignment="1">
      <alignment horizontal="center" vertical="center" wrapText="1"/>
    </xf>
    <xf numFmtId="0" fontId="34" fillId="2" borderId="15" xfId="0" applyFont="1" applyFill="1" applyBorder="1" applyAlignment="1">
      <alignment horizontal="left" vertical="center" wrapText="1"/>
    </xf>
    <xf numFmtId="0" fontId="36" fillId="45" borderId="39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3" fontId="33" fillId="37" borderId="18" xfId="0" applyNumberFormat="1" applyFont="1" applyFill="1" applyBorder="1" applyAlignment="1">
      <alignment horizontal="center" vertical="center"/>
    </xf>
    <xf numFmtId="3" fontId="33" fillId="37" borderId="18" xfId="1" applyNumberFormat="1" applyFont="1" applyFill="1" applyBorder="1" applyAlignment="1">
      <alignment horizontal="center" vertical="center"/>
    </xf>
    <xf numFmtId="0" fontId="25" fillId="0" borderId="0" xfId="43" applyFont="1"/>
    <xf numFmtId="49" fontId="30" fillId="43" borderId="2" xfId="2" applyNumberFormat="1" applyFont="1" applyFill="1" applyBorder="1" applyAlignment="1">
      <alignment horizontal="center" wrapText="1"/>
    </xf>
    <xf numFmtId="49" fontId="30" fillId="43" borderId="2" xfId="2" applyNumberFormat="1" applyFont="1" applyFill="1" applyBorder="1" applyAlignment="1">
      <alignment horizontal="center" vertical="center" wrapText="1"/>
    </xf>
    <xf numFmtId="49" fontId="30" fillId="43" borderId="2" xfId="2" applyNumberFormat="1" applyFont="1" applyFill="1" applyBorder="1" applyAlignment="1">
      <alignment horizontal="left" vertical="top" wrapText="1"/>
    </xf>
    <xf numFmtId="49" fontId="30" fillId="43" borderId="28" xfId="2" applyNumberFormat="1" applyFont="1" applyFill="1" applyBorder="1" applyAlignment="1">
      <alignment horizontal="center" wrapText="1"/>
    </xf>
    <xf numFmtId="3" fontId="37" fillId="3" borderId="39" xfId="0" applyNumberFormat="1" applyFont="1" applyFill="1" applyBorder="1" applyAlignment="1">
      <alignment horizontal="right"/>
    </xf>
    <xf numFmtId="0" fontId="4" fillId="4" borderId="27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32" fillId="44" borderId="23" xfId="0" applyFont="1" applyFill="1" applyBorder="1" applyAlignment="1">
      <alignment horizontal="center" vertical="center"/>
    </xf>
    <xf numFmtId="0" fontId="32" fillId="44" borderId="24" xfId="0" applyFont="1" applyFill="1" applyBorder="1" applyAlignment="1">
      <alignment horizontal="center" vertical="center"/>
    </xf>
    <xf numFmtId="0" fontId="27" fillId="41" borderId="0" xfId="0" applyFont="1" applyFill="1" applyAlignment="1">
      <alignment horizontal="center" wrapText="1"/>
    </xf>
    <xf numFmtId="0" fontId="26" fillId="42" borderId="0" xfId="0" applyFont="1" applyFill="1" applyAlignment="1">
      <alignment horizontal="center" wrapText="1"/>
    </xf>
    <xf numFmtId="0" fontId="35" fillId="2" borderId="25" xfId="0" applyFont="1" applyFill="1" applyBorder="1" applyAlignment="1">
      <alignment horizontal="center" vertical="center" wrapText="1"/>
    </xf>
    <xf numFmtId="0" fontId="35" fillId="2" borderId="26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/>
    </xf>
    <xf numFmtId="0" fontId="7" fillId="5" borderId="30" xfId="0" applyFont="1" applyFill="1" applyBorder="1" applyAlignment="1">
      <alignment horizontal="center"/>
    </xf>
    <xf numFmtId="0" fontId="7" fillId="5" borderId="31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0" fontId="7" fillId="5" borderId="32" xfId="0" applyFont="1" applyFill="1" applyBorder="1" applyAlignment="1">
      <alignment horizontal="center"/>
    </xf>
    <xf numFmtId="0" fontId="7" fillId="5" borderId="33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77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76" dataCellStyle="Normal 2"/>
    <tableColumn id="1" xr3:uid="{9A753695-C18C-437C-AD9C-C2CE5C1A806E}" name="Site" dataDxfId="75" dataCellStyle="Normal 2"/>
    <tableColumn id="2" xr3:uid="{250F229D-34D2-4043-BE8F-6D9C210E223F}" name="State" dataDxfId="7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C79101-AD0E-47F7-8B22-5048B2E95B4F}" name="Data2" displayName="Data2" ref="A4:J16" totalsRowShown="0" headerRowDxfId="73" dataDxfId="71" headerRowBorderDxfId="72" tableBorderDxfId="70" dataCellStyle="Percent">
  <autoFilter ref="A4:J16" xr:uid="{BAC79101-AD0E-47F7-8B22-5048B2E95B4F}"/>
  <tableColumns count="10">
    <tableColumn id="1" xr3:uid="{2DAAECF3-4CBF-46FF-9C14-E957A389C698}" name="Month" dataDxfId="69"/>
    <tableColumn id="2" xr3:uid="{130A60EE-3F22-4336-AB31-7C476B0416BE}" name="Actual" dataDxfId="68"/>
    <tableColumn id="3" xr3:uid="{B6152CA5-44D6-4FD0-B102-62863F3E07D7}" name="Expected" dataDxfId="67"/>
    <tableColumn id="4" xr3:uid="{B19961B1-7823-43F6-B8B9-B9DA13B6C122}" name="Delta Expected" dataDxfId="66">
      <calculatedColumnFormula>B5-C5</calculatedColumnFormula>
    </tableColumn>
    <tableColumn id="5" xr3:uid="{72C66A63-168F-415B-98F2-659ECD2644B1}" name="% Expected" dataDxfId="65" dataCellStyle="Percent">
      <calculatedColumnFormula>IFERROR(D5/C5, 0)</calculatedColumnFormula>
    </tableColumn>
    <tableColumn id="6" xr3:uid="{60D47970-8992-4B04-A5BB-D5EEBA62C79E}" name="Forecasted" dataDxfId="64"/>
    <tableColumn id="7" xr3:uid="{164D036E-6819-4030-BB46-F6CA9502325D}" name="Delta Forecasted" dataDxfId="63" dataCellStyle="Comma">
      <calculatedColumnFormula>B5-F5</calculatedColumnFormula>
    </tableColumn>
    <tableColumn id="8" xr3:uid="{8DCBC308-9F63-4A5D-8FF0-61213FCB347B}" name="% Forecasted" dataDxfId="62" dataCellStyle="Percent">
      <calculatedColumnFormula>IFERROR(G5/F5, 0)</calculatedColumnFormula>
    </tableColumn>
    <tableColumn id="9" xr3:uid="{C2001F78-ABFF-4B6C-8E25-2CE0BC66BFFC}" name="Notes" dataDxfId="61" dataCellStyle="Percent"/>
    <tableColumn id="10" xr3:uid="{D26567F9-B1DB-4EE5-8529-6BEF1216E716}" name="Service Request" dataDxfId="60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7FE1C5-B015-427B-883E-F24CF4F1DBA9}" name="Data25" displayName="Data25" ref="A4:J16" totalsRowShown="0" headerRowDxfId="59" dataDxfId="57" headerRowBorderDxfId="58" tableBorderDxfId="56" dataCellStyle="Percent">
  <autoFilter ref="A4:J16" xr:uid="{007FE1C5-B015-427B-883E-F24CF4F1DBA9}"/>
  <tableColumns count="10">
    <tableColumn id="1" xr3:uid="{521F948C-0F95-44E5-A77E-F424D9C12A7A}" name="Month" dataDxfId="55"/>
    <tableColumn id="2" xr3:uid="{7C8A7829-E856-4371-9541-DCFE6D38C4DB}" name="Actual" dataDxfId="54"/>
    <tableColumn id="3" xr3:uid="{A24E752E-51C3-40C1-92DA-27B101E624A3}" name="Expected" dataDxfId="53"/>
    <tableColumn id="4" xr3:uid="{8B2A324D-371E-4F1D-A1E2-ED80B66B38A8}" name="Delta Expected" dataDxfId="52">
      <calculatedColumnFormula>B5-C5</calculatedColumnFormula>
    </tableColumn>
    <tableColumn id="5" xr3:uid="{259FDCE2-E72D-4461-BE77-3D4C26A6E52B}" name="% Expected" dataDxfId="51" dataCellStyle="Percent">
      <calculatedColumnFormula>IFERROR(D5/C5, 0)</calculatedColumnFormula>
    </tableColumn>
    <tableColumn id="6" xr3:uid="{531BBA27-7A7B-42DA-BF58-B87EE4A29781}" name="Forecasted" dataDxfId="50"/>
    <tableColumn id="7" xr3:uid="{B5E6EA64-86DF-4486-AB35-2E007D29EE14}" name="Delta Forecasted" dataDxfId="49" dataCellStyle="Comma">
      <calculatedColumnFormula>B5-F5</calculatedColumnFormula>
    </tableColumn>
    <tableColumn id="8" xr3:uid="{975DFB62-C53A-44E1-A349-0B046718DD75}" name="% Forecasted" dataDxfId="48" dataCellStyle="Percent">
      <calculatedColumnFormula>IFERROR(G5/F5, 0)</calculatedColumnFormula>
    </tableColumn>
    <tableColumn id="9" xr3:uid="{AF866562-A579-483E-AC90-D30321365513}" name="Notes" dataDxfId="47" dataCellStyle="Percent"/>
    <tableColumn id="10" xr3:uid="{6DCC3A89-38AE-4FA5-80CC-17A8B36A228F}" name="Service Request" dataDxfId="46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I10"/>
  <sheetViews>
    <sheetView workbookViewId="0">
      <pane ySplit="2" topLeftCell="A3" activePane="bottomLeft" state="frozen"/>
      <selection pane="bottomLeft" activeCell="C8" sqref="C8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</cols>
  <sheetData>
    <row r="1" spans="1:9" ht="19.5" customHeight="1" x14ac:dyDescent="0.35">
      <c r="A1" s="75" t="str" cm="1">
        <f t="array" ref="A1">portfolio</f>
        <v>American Polyfilm, Inc.</v>
      </c>
      <c r="B1" s="76"/>
      <c r="C1" s="77" t="str">
        <f>"Year to Date " &amp; 2024 &amp; " Actual v. Expected"</f>
        <v>Year to Date 2024 Actual v. Expected</v>
      </c>
      <c r="D1" s="78"/>
      <c r="E1" s="78"/>
      <c r="F1" s="79"/>
      <c r="G1" s="69" t="str">
        <f>"Year to Date " &amp; 2024 &amp; " Forecasted"</f>
        <v>Year to Date 2024 Forecasted</v>
      </c>
      <c r="H1" s="69"/>
      <c r="I1" s="70"/>
    </row>
    <row r="2" spans="1:9" ht="14.25" customHeight="1" x14ac:dyDescent="0.35">
      <c r="A2" s="57" t="s">
        <v>0</v>
      </c>
      <c r="B2" s="58" t="s">
        <v>1</v>
      </c>
      <c r="C2" s="5" t="s">
        <v>2</v>
      </c>
      <c r="D2" s="55" t="s">
        <v>3</v>
      </c>
      <c r="E2" s="5" t="s">
        <v>4</v>
      </c>
      <c r="F2" s="6" t="s">
        <v>5</v>
      </c>
      <c r="G2" s="56" t="s">
        <v>6</v>
      </c>
      <c r="H2" s="7" t="s">
        <v>4</v>
      </c>
      <c r="I2" s="9" t="s">
        <v>5</v>
      </c>
    </row>
    <row r="3" spans="1:9" ht="15.75" x14ac:dyDescent="0.5">
      <c r="A3" s="59" t="str" cm="1">
        <f t="array" ref="A3:A4">Sites[Site]</f>
        <v>15 Baldwin Dr</v>
      </c>
      <c r="B3" s="46" t="str" cm="1">
        <f t="array" ref="B3:B4">Sites[State]</f>
        <v>CT</v>
      </c>
      <c r="C3" s="47">
        <f ca="1">SUM('1st Qtr'!C3, '2nd Qtr'!C3, '3rd Qtr'!C3, '4th Qtr'!C3)</f>
        <v>2566</v>
      </c>
      <c r="D3" s="47">
        <f ca="1">SUM('1st Qtr'!D3, '2nd Qtr'!D3, '3rd Qtr'!D3, '4th Qtr'!D3)</f>
        <v>0</v>
      </c>
      <c r="E3" s="47">
        <f ca="1">C3-D3</f>
        <v>2566</v>
      </c>
      <c r="F3" s="48">
        <f ca="1">IFERROR(E3/D3, 0)</f>
        <v>0</v>
      </c>
      <c r="G3" s="49">
        <f ca="1">SUM('1st Qtr'!G3, '2nd Qtr'!G3, '3rd Qtr'!G3, '4th Qtr'!G3)</f>
        <v>0</v>
      </c>
      <c r="H3" s="49">
        <f ca="1">C3-G3</f>
        <v>2566</v>
      </c>
      <c r="I3" s="50">
        <f ca="1">IFERROR(H3/G3, 0)</f>
        <v>0</v>
      </c>
    </row>
    <row r="4" spans="1:9" ht="15.75" x14ac:dyDescent="0.5">
      <c r="A4" s="60" t="str">
        <v>8 Sycamore Way</v>
      </c>
      <c r="B4" s="22" t="str">
        <v>CT</v>
      </c>
      <c r="C4" s="47">
        <f ca="1">SUM('1st Qtr'!C4, '2nd Qtr'!C4, '3rd Qtr'!C4, '4th Qtr'!C4)</f>
        <v>4263</v>
      </c>
      <c r="D4" s="47">
        <f ca="1">SUM('1st Qtr'!D4, '2nd Qtr'!D4, '3rd Qtr'!D4, '4th Qtr'!D4)</f>
        <v>0</v>
      </c>
      <c r="E4" s="47">
        <f t="shared" ref="E4" ca="1" si="0">C4-D4</f>
        <v>4263</v>
      </c>
      <c r="F4" s="48">
        <f t="shared" ref="F4" ca="1" si="1">IFERROR(E4/D4, 0)</f>
        <v>0</v>
      </c>
      <c r="G4" s="49">
        <f ca="1">SUM('1st Qtr'!G4, '2nd Qtr'!G4, '3rd Qtr'!G4, '4th Qtr'!G4)</f>
        <v>7721</v>
      </c>
      <c r="H4" s="49">
        <f t="shared" ref="H4" ca="1" si="2">C4-G4</f>
        <v>-3458</v>
      </c>
      <c r="I4" s="50">
        <f t="shared" ref="I4" ca="1" si="3">IFERROR(H4/G4, 0)</f>
        <v>-0.44786944696282865</v>
      </c>
    </row>
    <row r="5" spans="1:9" ht="24.75" customHeight="1" x14ac:dyDescent="0.35">
      <c r="A5" s="71" t="s">
        <v>7</v>
      </c>
      <c r="B5" s="72"/>
      <c r="C5" s="61">
        <f ca="1">SUM(C3:C4)</f>
        <v>6829</v>
      </c>
      <c r="D5" s="61">
        <f ca="1">SUM(D3:D4)</f>
        <v>0</v>
      </c>
      <c r="E5" s="61">
        <f ca="1">C5-D5</f>
        <v>6829</v>
      </c>
      <c r="F5" s="53">
        <f ca="1">IFERROR(E5/D5, 0)</f>
        <v>0</v>
      </c>
      <c r="G5" s="61">
        <f ca="1">SUM(G3:G4)</f>
        <v>7721</v>
      </c>
      <c r="H5" s="62">
        <f ca="1">C5-G5</f>
        <v>-892</v>
      </c>
      <c r="I5" s="54">
        <f ca="1">IFERROR(H5/G5, 0)</f>
        <v>-0.11552907654448906</v>
      </c>
    </row>
    <row r="7" spans="1:9" ht="12.75" customHeight="1" x14ac:dyDescent="0.35">
      <c r="A7" s="73" t="s">
        <v>8</v>
      </c>
    </row>
    <row r="8" spans="1:9" x14ac:dyDescent="0.35">
      <c r="A8" s="73"/>
    </row>
    <row r="9" spans="1:9" x14ac:dyDescent="0.35">
      <c r="A9" s="74" t="s">
        <v>9</v>
      </c>
    </row>
    <row r="10" spans="1:9" ht="12.75" customHeight="1" x14ac:dyDescent="0.35">
      <c r="A10" s="74"/>
    </row>
  </sheetData>
  <autoFilter ref="A2:I2" xr:uid="{D5C25034-9971-4A61-864F-C938F31EB1B8}"/>
  <mergeCells count="6">
    <mergeCell ref="G1:I1"/>
    <mergeCell ref="A5:B5"/>
    <mergeCell ref="A7:A8"/>
    <mergeCell ref="A9:A10"/>
    <mergeCell ref="A1:B1"/>
    <mergeCell ref="C1:F1"/>
  </mergeCells>
  <conditionalFormatting sqref="F3:F5 I3:I5">
    <cfRule type="cellIs" dxfId="45" priority="1" operator="lessThanOrEqual">
      <formula>-0.1</formula>
    </cfRule>
    <cfRule type="cellIs" dxfId="44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10"/>
  <sheetViews>
    <sheetView workbookViewId="0">
      <pane ySplit="2" topLeftCell="A3" activePane="bottomLeft" state="frozen"/>
      <selection pane="bottomLeft" activeCell="H17" sqref="H17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</cols>
  <sheetData>
    <row r="1" spans="1:9" ht="19.5" customHeight="1" x14ac:dyDescent="0.35">
      <c r="A1" s="75" t="str" cm="1">
        <f t="array" ref="A1">portfolio</f>
        <v>American Polyfilm, Inc.</v>
      </c>
      <c r="B1" s="76"/>
      <c r="C1" s="77" t="str">
        <f>"1st Quarter " &amp; 2024 &amp; " Actual v. Expected"</f>
        <v>1st Quarter 2024 Actual v. Expected</v>
      </c>
      <c r="D1" s="78"/>
      <c r="E1" s="78"/>
      <c r="F1" s="79"/>
      <c r="G1" s="69" t="str">
        <f>"1st Quarter " &amp; 2024 &amp; " Forecasted"</f>
        <v>1st Quarter 2024 Forecasted</v>
      </c>
      <c r="H1" s="69"/>
      <c r="I1" s="70"/>
    </row>
    <row r="2" spans="1:9" ht="14.25" customHeight="1" x14ac:dyDescent="0.35">
      <c r="A2" s="57" t="s">
        <v>0</v>
      </c>
      <c r="B2" s="58" t="s">
        <v>1</v>
      </c>
      <c r="C2" s="5" t="s">
        <v>2</v>
      </c>
      <c r="D2" s="55" t="s">
        <v>3</v>
      </c>
      <c r="E2" s="5" t="s">
        <v>4</v>
      </c>
      <c r="F2" s="6" t="s">
        <v>5</v>
      </c>
      <c r="G2" s="56" t="s">
        <v>6</v>
      </c>
      <c r="H2" s="7" t="s">
        <v>4</v>
      </c>
      <c r="I2" s="9" t="s">
        <v>5</v>
      </c>
    </row>
    <row r="3" spans="1:9" ht="15.75" x14ac:dyDescent="0.5">
      <c r="A3" s="59" t="str" cm="1">
        <f t="array" ref="A3:A4">Sites[Site]</f>
        <v>15 Baldwin Dr</v>
      </c>
      <c r="B3" s="46" t="str" cm="1">
        <f t="array" ref="B3:B4">Sites[State]</f>
        <v>CT</v>
      </c>
      <c r="C3" s="47">
        <f ca="1">SUM(Jan!C3, Feb!C3, Mar!C3)</f>
        <v>2566</v>
      </c>
      <c r="D3" s="47">
        <f ca="1">SUM(Jan!D3, Feb!D3, Mar!D3)</f>
        <v>0</v>
      </c>
      <c r="E3" s="47">
        <f ca="1">C3-D3</f>
        <v>2566</v>
      </c>
      <c r="F3" s="48">
        <f ca="1">IFERROR(E3/D3, 0)</f>
        <v>0</v>
      </c>
      <c r="G3" s="49">
        <f ca="1">SUM(Jan!G3, Feb!G3, Mar!G3)</f>
        <v>0</v>
      </c>
      <c r="H3" s="49">
        <f ca="1">C3-G3</f>
        <v>2566</v>
      </c>
      <c r="I3" s="50">
        <f ca="1">IFERROR(H3/G3, 0)</f>
        <v>0</v>
      </c>
    </row>
    <row r="4" spans="1:9" ht="15.75" x14ac:dyDescent="0.5">
      <c r="A4" s="60" t="str">
        <v>8 Sycamore Way</v>
      </c>
      <c r="B4" s="22" t="str">
        <v>CT</v>
      </c>
      <c r="C4" s="47">
        <f ca="1">SUM(Jan!C4, Feb!C4, Mar!C4)</f>
        <v>4263</v>
      </c>
      <c r="D4" s="47">
        <f ca="1">SUM(Jan!D4, Feb!D4, Mar!D4)</f>
        <v>0</v>
      </c>
      <c r="E4" s="47">
        <f t="shared" ref="E4" ca="1" si="0">C4-D4</f>
        <v>4263</v>
      </c>
      <c r="F4" s="48">
        <f t="shared" ref="F4" ca="1" si="1">IFERROR(E4/D4, 0)</f>
        <v>0</v>
      </c>
      <c r="G4" s="49">
        <f ca="1">SUM(Jan!G4, Feb!G4, Mar!G4)</f>
        <v>7721</v>
      </c>
      <c r="H4" s="49">
        <f t="shared" ref="H4" ca="1" si="2">C4-G4</f>
        <v>-3458</v>
      </c>
      <c r="I4" s="50">
        <f t="shared" ref="I4" ca="1" si="3">IFERROR(H4/G4, 0)</f>
        <v>-0.44786944696282865</v>
      </c>
    </row>
    <row r="5" spans="1:9" ht="24.75" customHeight="1" x14ac:dyDescent="0.35">
      <c r="A5" s="71" t="s">
        <v>7</v>
      </c>
      <c r="B5" s="72"/>
      <c r="C5" s="61">
        <f ca="1">SUM(C3:C4)</f>
        <v>6829</v>
      </c>
      <c r="D5" s="61">
        <f ca="1">SUM(D3:D4)</f>
        <v>0</v>
      </c>
      <c r="E5" s="61">
        <f ca="1">C5-D5</f>
        <v>6829</v>
      </c>
      <c r="F5" s="53">
        <f ca="1">IFERROR(E5/D5, 0)</f>
        <v>0</v>
      </c>
      <c r="G5" s="61">
        <f ca="1">SUM(G3:G4)</f>
        <v>7721</v>
      </c>
      <c r="H5" s="62">
        <f ca="1">C5-G5</f>
        <v>-892</v>
      </c>
      <c r="I5" s="54">
        <f ca="1">IFERROR(H5/G5, 0)</f>
        <v>-0.11552907654448906</v>
      </c>
    </row>
    <row r="7" spans="1:9" ht="12.75" customHeight="1" x14ac:dyDescent="0.35">
      <c r="A7" s="73" t="s">
        <v>8</v>
      </c>
    </row>
    <row r="8" spans="1:9" x14ac:dyDescent="0.35">
      <c r="A8" s="73"/>
    </row>
    <row r="9" spans="1:9" x14ac:dyDescent="0.35">
      <c r="A9" s="74" t="s">
        <v>9</v>
      </c>
    </row>
    <row r="10" spans="1:9" ht="12.75" customHeight="1" x14ac:dyDescent="0.35">
      <c r="A10" s="74"/>
    </row>
  </sheetData>
  <autoFilter ref="A2:I2" xr:uid="{00000000-0001-0000-0000-000000000000}"/>
  <sortState xmlns:xlrd2="http://schemas.microsoft.com/office/spreadsheetml/2017/richdata2" ref="A3:I3">
    <sortCondition ref="A3"/>
  </sortState>
  <mergeCells count="6">
    <mergeCell ref="G1:I1"/>
    <mergeCell ref="A5:B5"/>
    <mergeCell ref="A7:A8"/>
    <mergeCell ref="A9:A10"/>
    <mergeCell ref="A1:B1"/>
    <mergeCell ref="C1:F1"/>
  </mergeCells>
  <conditionalFormatting sqref="F3:F5">
    <cfRule type="cellIs" dxfId="43" priority="1" operator="lessThanOrEqual">
      <formula>-0.1</formula>
    </cfRule>
    <cfRule type="cellIs" dxfId="42" priority="2" operator="greaterThanOrEqual">
      <formula>0.1</formula>
    </cfRule>
  </conditionalFormatting>
  <conditionalFormatting sqref="I3:I5">
    <cfRule type="cellIs" dxfId="41" priority="3" operator="lessThanOrEqual">
      <formula>-0.1</formula>
    </cfRule>
    <cfRule type="cellIs" dxfId="40" priority="4" operator="greaterThanOrEqual">
      <formula>0.1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10"/>
  <sheetViews>
    <sheetView workbookViewId="0">
      <pane ySplit="2" topLeftCell="A3" activePane="bottomLeft" state="frozen"/>
      <selection pane="bottomLeft" activeCell="H16" sqref="H16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</cols>
  <sheetData>
    <row r="1" spans="1:9" ht="19.5" customHeight="1" x14ac:dyDescent="0.35">
      <c r="A1" s="75" t="str" cm="1">
        <f t="array" ref="A1">portfolio</f>
        <v>American Polyfilm, Inc.</v>
      </c>
      <c r="B1" s="76"/>
      <c r="C1" s="77" t="str">
        <f>"2nd Quarter " &amp; 2024 &amp; " Actual v. Expected"</f>
        <v>2nd Quarter 2024 Actual v. Expected</v>
      </c>
      <c r="D1" s="78"/>
      <c r="E1" s="78"/>
      <c r="F1" s="79"/>
      <c r="G1" s="69" t="str">
        <f>"2nd Quarter " &amp; 2024 &amp; " Forecasted"</f>
        <v>2nd Quarter 2024 Forecasted</v>
      </c>
      <c r="H1" s="69"/>
      <c r="I1" s="70"/>
    </row>
    <row r="2" spans="1:9" ht="14.25" customHeight="1" x14ac:dyDescent="0.35">
      <c r="A2" s="57" t="s">
        <v>0</v>
      </c>
      <c r="B2" s="58" t="s">
        <v>1</v>
      </c>
      <c r="C2" s="5" t="s">
        <v>2</v>
      </c>
      <c r="D2" s="55" t="s">
        <v>3</v>
      </c>
      <c r="E2" s="5" t="s">
        <v>4</v>
      </c>
      <c r="F2" s="6" t="s">
        <v>5</v>
      </c>
      <c r="G2" s="56" t="s">
        <v>6</v>
      </c>
      <c r="H2" s="7" t="s">
        <v>4</v>
      </c>
      <c r="I2" s="9" t="s">
        <v>5</v>
      </c>
    </row>
    <row r="3" spans="1:9" ht="15.75" x14ac:dyDescent="0.5">
      <c r="A3" s="59" t="str" cm="1">
        <f t="array" ref="A3:A4">Sites[Site]</f>
        <v>15 Baldwin Dr</v>
      </c>
      <c r="B3" s="46" t="str" cm="1">
        <f t="array" ref="B3:B4">Sites[State]</f>
        <v>CT</v>
      </c>
      <c r="C3" s="47">
        <f ca="1">SUM(Apr!C3, May!C3, Jun!C3)</f>
        <v>0</v>
      </c>
      <c r="D3" s="47">
        <f ca="1">SUM(Apr!D3, May!D3, Jun!D3)</f>
        <v>0</v>
      </c>
      <c r="E3" s="47">
        <f ca="1">C3-D3</f>
        <v>0</v>
      </c>
      <c r="F3" s="48">
        <f ca="1">IFERROR(E3/D3, 0)</f>
        <v>0</v>
      </c>
      <c r="G3" s="49">
        <f ca="1">SUM(Apr!G3, May!G3, Jun!G3)</f>
        <v>0</v>
      </c>
      <c r="H3" s="49">
        <f ca="1">C3-G3</f>
        <v>0</v>
      </c>
      <c r="I3" s="50">
        <f ca="1">IFERROR(H3/G3, 0)</f>
        <v>0</v>
      </c>
    </row>
    <row r="4" spans="1:9" ht="15.75" x14ac:dyDescent="0.5">
      <c r="A4" s="60" t="str">
        <v>8 Sycamore Way</v>
      </c>
      <c r="B4" s="22" t="str">
        <v>CT</v>
      </c>
      <c r="C4" s="47">
        <f ca="1">SUM(Apr!C4, May!C4, Jun!C4)</f>
        <v>0</v>
      </c>
      <c r="D4" s="47">
        <f ca="1">SUM(Apr!D4, May!D4, Jun!D4)</f>
        <v>0</v>
      </c>
      <c r="E4" s="47">
        <f t="shared" ref="E4" ca="1" si="0">C4-D4</f>
        <v>0</v>
      </c>
      <c r="F4" s="48">
        <f t="shared" ref="F4" ca="1" si="1">IFERROR(E4/D4, 0)</f>
        <v>0</v>
      </c>
      <c r="G4" s="49">
        <f ca="1">SUM(Apr!G4, May!G4, Jun!G4)</f>
        <v>0</v>
      </c>
      <c r="H4" s="49">
        <f t="shared" ref="H4" ca="1" si="2">C4-G4</f>
        <v>0</v>
      </c>
      <c r="I4" s="50">
        <f t="shared" ref="I4" ca="1" si="3">IFERROR(H4/G4, 0)</f>
        <v>0</v>
      </c>
    </row>
    <row r="5" spans="1:9" ht="24.75" customHeight="1" x14ac:dyDescent="0.35">
      <c r="A5" s="71" t="s">
        <v>7</v>
      </c>
      <c r="B5" s="72"/>
      <c r="C5" s="61">
        <f ca="1">SUM(C3:C4)</f>
        <v>0</v>
      </c>
      <c r="D5" s="61">
        <f ca="1">SUM(D3:D4)</f>
        <v>0</v>
      </c>
      <c r="E5" s="61">
        <f ca="1">C5-D5</f>
        <v>0</v>
      </c>
      <c r="F5" s="53">
        <f ca="1">IFERROR(E5/D5, 0)</f>
        <v>0</v>
      </c>
      <c r="G5" s="61">
        <f ca="1">SUM(G3:G4)</f>
        <v>0</v>
      </c>
      <c r="H5" s="62">
        <f ca="1">C5-G5</f>
        <v>0</v>
      </c>
      <c r="I5" s="54">
        <f ca="1">IFERROR(H5/G5, 0)</f>
        <v>0</v>
      </c>
    </row>
    <row r="7" spans="1:9" ht="12.75" customHeight="1" x14ac:dyDescent="0.35">
      <c r="A7" s="73" t="s">
        <v>8</v>
      </c>
    </row>
    <row r="8" spans="1:9" x14ac:dyDescent="0.35">
      <c r="A8" s="73"/>
    </row>
    <row r="9" spans="1:9" x14ac:dyDescent="0.35">
      <c r="A9" s="74" t="s">
        <v>9</v>
      </c>
    </row>
    <row r="10" spans="1:9" ht="12.75" customHeight="1" x14ac:dyDescent="0.35">
      <c r="A10" s="74"/>
    </row>
  </sheetData>
  <autoFilter ref="A2:I2" xr:uid="{38E74E64-E3A4-43F8-9B1A-78F26543F23E}"/>
  <sortState xmlns:xlrd2="http://schemas.microsoft.com/office/spreadsheetml/2017/richdata2" ref="A3:I4">
    <sortCondition ref="A3:A4"/>
  </sortState>
  <mergeCells count="6">
    <mergeCell ref="G1:I1"/>
    <mergeCell ref="A5:B5"/>
    <mergeCell ref="A7:A8"/>
    <mergeCell ref="A9:A10"/>
    <mergeCell ref="A1:B1"/>
    <mergeCell ref="C1:F1"/>
  </mergeCells>
  <conditionalFormatting sqref="F3:F5">
    <cfRule type="cellIs" dxfId="39" priority="3" operator="lessThanOrEqual">
      <formula>-0.1</formula>
    </cfRule>
    <cfRule type="cellIs" dxfId="38" priority="4" operator="greaterThanOrEqual">
      <formula>0.1</formula>
    </cfRule>
  </conditionalFormatting>
  <conditionalFormatting sqref="I3:I5">
    <cfRule type="cellIs" dxfId="37" priority="1" operator="lessThanOrEqual">
      <formula>-0.1</formula>
    </cfRule>
    <cfRule type="cellIs" dxfId="36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10"/>
  <sheetViews>
    <sheetView workbookViewId="0">
      <pane ySplit="2" topLeftCell="A3" activePane="bottomLeft" state="frozen"/>
      <selection pane="bottomLeft" activeCell="H15" sqref="H15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</cols>
  <sheetData>
    <row r="1" spans="1:9" ht="19.5" customHeight="1" x14ac:dyDescent="0.35">
      <c r="A1" s="75" t="str" cm="1">
        <f t="array" ref="A1">portfolio</f>
        <v>American Polyfilm, Inc.</v>
      </c>
      <c r="B1" s="76"/>
      <c r="C1" s="77" t="str">
        <f>"3rd Quarter " &amp; 2024 &amp; " Actual v. Expected"</f>
        <v>3rd Quarter 2024 Actual v. Expected</v>
      </c>
      <c r="D1" s="78"/>
      <c r="E1" s="78"/>
      <c r="F1" s="79"/>
      <c r="G1" s="69" t="str">
        <f>"3rd Quarter " &amp; 2024 &amp; " Forecasted"</f>
        <v>3rd Quarter 2024 Forecasted</v>
      </c>
      <c r="H1" s="69"/>
      <c r="I1" s="70"/>
    </row>
    <row r="2" spans="1:9" ht="14.25" customHeight="1" x14ac:dyDescent="0.35">
      <c r="A2" s="57" t="s">
        <v>0</v>
      </c>
      <c r="B2" s="58" t="s">
        <v>1</v>
      </c>
      <c r="C2" s="5" t="s">
        <v>2</v>
      </c>
      <c r="D2" s="55" t="s">
        <v>3</v>
      </c>
      <c r="E2" s="5" t="s">
        <v>4</v>
      </c>
      <c r="F2" s="6" t="s">
        <v>5</v>
      </c>
      <c r="G2" s="56" t="s">
        <v>6</v>
      </c>
      <c r="H2" s="7" t="s">
        <v>4</v>
      </c>
      <c r="I2" s="9" t="s">
        <v>5</v>
      </c>
    </row>
    <row r="3" spans="1:9" ht="15.75" x14ac:dyDescent="0.5">
      <c r="A3" s="59" t="str" cm="1">
        <f t="array" ref="A3:A4">Sites[Site]</f>
        <v>15 Baldwin Dr</v>
      </c>
      <c r="B3" s="46" t="str" cm="1">
        <f t="array" ref="B3:B4">Sites[State]</f>
        <v>CT</v>
      </c>
      <c r="C3" s="47">
        <f ca="1">SUM(Jul!C3, Aug!C3, Sep!C3)</f>
        <v>0</v>
      </c>
      <c r="D3" s="47">
        <f ca="1">SUM(Jul!D3, Aug!D3, Sep!D3)</f>
        <v>0</v>
      </c>
      <c r="E3" s="47">
        <f ca="1">C3-D3</f>
        <v>0</v>
      </c>
      <c r="F3" s="48">
        <f ca="1">IFERROR(E3/D3, 0)</f>
        <v>0</v>
      </c>
      <c r="G3" s="49">
        <f ca="1">SUM(Jul!G3, Aug!G3, Sep!G3)</f>
        <v>0</v>
      </c>
      <c r="H3" s="49">
        <f ca="1">C3-G3</f>
        <v>0</v>
      </c>
      <c r="I3" s="50">
        <f ca="1">IFERROR(H3/G3, 0)</f>
        <v>0</v>
      </c>
    </row>
    <row r="4" spans="1:9" ht="15.75" x14ac:dyDescent="0.5">
      <c r="A4" s="60" t="str">
        <v>8 Sycamore Way</v>
      </c>
      <c r="B4" s="22" t="str">
        <v>CT</v>
      </c>
      <c r="C4" s="47">
        <f ca="1">SUM(Jul!C4, Aug!C4, Sep!C4)</f>
        <v>0</v>
      </c>
      <c r="D4" s="47">
        <f ca="1">SUM(Jul!D4, Aug!D4, Sep!D4)</f>
        <v>0</v>
      </c>
      <c r="E4" s="47">
        <f t="shared" ref="E4" ca="1" si="0">C4-D4</f>
        <v>0</v>
      </c>
      <c r="F4" s="48">
        <f t="shared" ref="F4" ca="1" si="1">IFERROR(E4/D4, 0)</f>
        <v>0</v>
      </c>
      <c r="G4" s="49">
        <f ca="1">SUM(Jul!G4, Aug!G4, Sep!G4)</f>
        <v>0</v>
      </c>
      <c r="H4" s="49">
        <f t="shared" ref="H4" ca="1" si="2">C4-G4</f>
        <v>0</v>
      </c>
      <c r="I4" s="50">
        <f t="shared" ref="I4" ca="1" si="3">IFERROR(H4/G4, 0)</f>
        <v>0</v>
      </c>
    </row>
    <row r="5" spans="1:9" ht="24.75" customHeight="1" x14ac:dyDescent="0.35">
      <c r="A5" s="71" t="s">
        <v>7</v>
      </c>
      <c r="B5" s="72"/>
      <c r="C5" s="61">
        <f ca="1">SUM(C3:C4)</f>
        <v>0</v>
      </c>
      <c r="D5" s="61">
        <f ca="1">SUM(D3:D4)</f>
        <v>0</v>
      </c>
      <c r="E5" s="61">
        <f ca="1">C5-D5</f>
        <v>0</v>
      </c>
      <c r="F5" s="53">
        <f ca="1">IFERROR(E5/D5, 0)</f>
        <v>0</v>
      </c>
      <c r="G5" s="61">
        <f ca="1">SUM(G3:G4)</f>
        <v>0</v>
      </c>
      <c r="H5" s="62">
        <f ca="1">C5-G5</f>
        <v>0</v>
      </c>
      <c r="I5" s="54">
        <f ca="1">IFERROR(H5/G5, 0)</f>
        <v>0</v>
      </c>
    </row>
    <row r="7" spans="1:9" ht="12.75" customHeight="1" x14ac:dyDescent="0.35">
      <c r="A7" s="73" t="s">
        <v>8</v>
      </c>
    </row>
    <row r="8" spans="1:9" x14ac:dyDescent="0.35">
      <c r="A8" s="73"/>
    </row>
    <row r="9" spans="1:9" ht="12.75" customHeight="1" x14ac:dyDescent="0.35">
      <c r="A9" s="74" t="s">
        <v>9</v>
      </c>
    </row>
    <row r="10" spans="1:9" x14ac:dyDescent="0.35">
      <c r="A10" s="74"/>
    </row>
  </sheetData>
  <autoFilter ref="A2:I2" xr:uid="{CACFAF7D-C0A7-49C0-9FFC-8D8BC8F00BC8}"/>
  <mergeCells count="6">
    <mergeCell ref="G1:I1"/>
    <mergeCell ref="A5:B5"/>
    <mergeCell ref="A7:A8"/>
    <mergeCell ref="A9:A10"/>
    <mergeCell ref="A1:B1"/>
    <mergeCell ref="C1:F1"/>
  </mergeCells>
  <conditionalFormatting sqref="F3:F5">
    <cfRule type="cellIs" dxfId="35" priority="3" operator="lessThanOrEqual">
      <formula>-0.1</formula>
    </cfRule>
    <cfRule type="cellIs" dxfId="34" priority="4" operator="greaterThanOrEqual">
      <formula>0.1</formula>
    </cfRule>
  </conditionalFormatting>
  <conditionalFormatting sqref="I3:I5">
    <cfRule type="cellIs" dxfId="33" priority="1" operator="lessThanOrEqual">
      <formula>-0.1</formula>
    </cfRule>
    <cfRule type="cellIs" dxfId="32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10"/>
  <sheetViews>
    <sheetView workbookViewId="0">
      <pane ySplit="2" topLeftCell="A3" activePane="bottomLeft" state="frozen"/>
      <selection pane="bottomLeft" activeCell="C3" sqref="C3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</cols>
  <sheetData>
    <row r="1" spans="1:9" ht="19.5" customHeight="1" x14ac:dyDescent="0.35">
      <c r="A1" s="75" t="str" cm="1">
        <f t="array" ref="A1">portfolio</f>
        <v>American Polyfilm, Inc.</v>
      </c>
      <c r="B1" s="76"/>
      <c r="C1" s="77" t="str">
        <f>"4th Quarter " &amp; 2024 &amp; " Actual v. Expected"</f>
        <v>4th Quarter 2024 Actual v. Expected</v>
      </c>
      <c r="D1" s="78"/>
      <c r="E1" s="78"/>
      <c r="F1" s="79"/>
      <c r="G1" s="69" t="str">
        <f>"4th Quarter " &amp; 2024 &amp; " Forecasted"</f>
        <v>4th Quarter 2024 Forecasted</v>
      </c>
      <c r="H1" s="69"/>
      <c r="I1" s="70"/>
    </row>
    <row r="2" spans="1:9" ht="14.25" customHeight="1" x14ac:dyDescent="0.35">
      <c r="A2" s="57" t="s">
        <v>0</v>
      </c>
      <c r="B2" s="58" t="s">
        <v>1</v>
      </c>
      <c r="C2" s="5" t="s">
        <v>2</v>
      </c>
      <c r="D2" s="55" t="s">
        <v>3</v>
      </c>
      <c r="E2" s="5" t="s">
        <v>4</v>
      </c>
      <c r="F2" s="6" t="s">
        <v>5</v>
      </c>
      <c r="G2" s="56" t="s">
        <v>6</v>
      </c>
      <c r="H2" s="7" t="s">
        <v>4</v>
      </c>
      <c r="I2" s="9" t="s">
        <v>5</v>
      </c>
    </row>
    <row r="3" spans="1:9" ht="15.75" x14ac:dyDescent="0.5">
      <c r="A3" s="59" t="str" cm="1">
        <f t="array" ref="A3:A4">Sites[Site]</f>
        <v>15 Baldwin Dr</v>
      </c>
      <c r="B3" s="46" t="str" cm="1">
        <f t="array" ref="B3:B4">Sites[State]</f>
        <v>CT</v>
      </c>
      <c r="C3" s="47">
        <f ca="1">SUM(Oct!C3, Nov!C3, Dec!C3)</f>
        <v>0</v>
      </c>
      <c r="D3" s="47">
        <f ca="1">SUM(Oct!D3, Nov!D3, Dec!D3)</f>
        <v>0</v>
      </c>
      <c r="E3" s="47">
        <f ca="1">C3-D3</f>
        <v>0</v>
      </c>
      <c r="F3" s="48">
        <f ca="1">IFERROR(E3/D3, 0)</f>
        <v>0</v>
      </c>
      <c r="G3" s="49">
        <f ca="1">SUM(Oct!G3, Nov!G3, Dec!G3)</f>
        <v>0</v>
      </c>
      <c r="H3" s="49">
        <f ca="1">C3-G3</f>
        <v>0</v>
      </c>
      <c r="I3" s="50">
        <f ca="1">IFERROR(H3/G3, 0)</f>
        <v>0</v>
      </c>
    </row>
    <row r="4" spans="1:9" ht="15.75" x14ac:dyDescent="0.5">
      <c r="A4" s="60" t="str">
        <v>8 Sycamore Way</v>
      </c>
      <c r="B4" s="22" t="str">
        <v>CT</v>
      </c>
      <c r="C4" s="47">
        <f ca="1">SUM(Oct!C4, Nov!C4, Dec!C4)</f>
        <v>0</v>
      </c>
      <c r="D4" s="47">
        <f ca="1">SUM(Oct!D4, Nov!D4, Dec!D4)</f>
        <v>0</v>
      </c>
      <c r="E4" s="47">
        <f t="shared" ref="E4" ca="1" si="0">C4-D4</f>
        <v>0</v>
      </c>
      <c r="F4" s="48">
        <f t="shared" ref="F4" ca="1" si="1">IFERROR(E4/D4, 0)</f>
        <v>0</v>
      </c>
      <c r="G4" s="49">
        <f ca="1">SUM(Oct!G4, Nov!G4, Dec!G4)</f>
        <v>0</v>
      </c>
      <c r="H4" s="49">
        <f t="shared" ref="H4" ca="1" si="2">C4-G4</f>
        <v>0</v>
      </c>
      <c r="I4" s="50">
        <f t="shared" ref="I4" ca="1" si="3">IFERROR(H4/G4, 0)</f>
        <v>0</v>
      </c>
    </row>
    <row r="5" spans="1:9" ht="24.75" customHeight="1" x14ac:dyDescent="0.35">
      <c r="A5" s="71" t="s">
        <v>7</v>
      </c>
      <c r="B5" s="72"/>
      <c r="C5" s="61">
        <f ca="1">SUM(C3:C4)</f>
        <v>0</v>
      </c>
      <c r="D5" s="61">
        <f ca="1">SUM(D3:D4)</f>
        <v>0</v>
      </c>
      <c r="E5" s="61">
        <f ca="1">C5-D5</f>
        <v>0</v>
      </c>
      <c r="F5" s="53">
        <f ca="1">IFERROR(E5/D5, 0)</f>
        <v>0</v>
      </c>
      <c r="G5" s="61">
        <f ca="1">SUM(G3:G4)</f>
        <v>0</v>
      </c>
      <c r="H5" s="62">
        <f ca="1">C5-G5</f>
        <v>0</v>
      </c>
      <c r="I5" s="54">
        <f ca="1">IFERROR(H5/G5, 0)</f>
        <v>0</v>
      </c>
    </row>
    <row r="7" spans="1:9" ht="12.75" customHeight="1" x14ac:dyDescent="0.35">
      <c r="A7" s="73" t="s">
        <v>8</v>
      </c>
    </row>
    <row r="8" spans="1:9" x14ac:dyDescent="0.35">
      <c r="A8" s="73"/>
    </row>
    <row r="9" spans="1:9" x14ac:dyDescent="0.35">
      <c r="A9" s="74" t="s">
        <v>9</v>
      </c>
    </row>
    <row r="10" spans="1:9" ht="12.75" customHeight="1" x14ac:dyDescent="0.35">
      <c r="A10" s="74"/>
    </row>
  </sheetData>
  <autoFilter ref="A2:I2" xr:uid="{CE62352A-0CAA-4862-87B6-A6A1C7531211}"/>
  <mergeCells count="6">
    <mergeCell ref="G1:I1"/>
    <mergeCell ref="A5:B5"/>
    <mergeCell ref="A7:A8"/>
    <mergeCell ref="A9:A10"/>
    <mergeCell ref="A1:B1"/>
    <mergeCell ref="C1:F1"/>
  </mergeCells>
  <conditionalFormatting sqref="F3:F5">
    <cfRule type="cellIs" dxfId="31" priority="3" operator="lessThanOrEqual">
      <formula>-0.1</formula>
    </cfRule>
    <cfRule type="cellIs" dxfId="30" priority="4" operator="greaterThanOrEqual">
      <formula>0.1</formula>
    </cfRule>
  </conditionalFormatting>
  <conditionalFormatting sqref="I3:I5">
    <cfRule type="cellIs" dxfId="29" priority="1" operator="lessThanOrEqual">
      <formula>-0.1</formula>
    </cfRule>
    <cfRule type="cellIs" dxfId="28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K11"/>
  <sheetViews>
    <sheetView workbookViewId="0">
      <pane ySplit="2" topLeftCell="A3" activePane="bottomLeft" state="frozen"/>
      <selection pane="bottomLeft" activeCell="G30" sqref="G30"/>
    </sheetView>
  </sheetViews>
  <sheetFormatPr defaultRowHeight="12.75" customHeight="1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75" t="str" cm="1">
        <f t="array" ref="A1">portfolio</f>
        <v>American Polyfilm, Inc.</v>
      </c>
      <c r="B1" s="76"/>
      <c r="C1" s="77" t="s">
        <v>10</v>
      </c>
      <c r="D1" s="78"/>
      <c r="E1" s="78"/>
      <c r="F1" s="79"/>
      <c r="G1" s="69" t="s">
        <v>11</v>
      </c>
      <c r="H1" s="69"/>
      <c r="I1" s="70"/>
      <c r="J1" s="80" t="s">
        <v>12</v>
      </c>
      <c r="K1" s="80" t="s">
        <v>13</v>
      </c>
    </row>
    <row r="2" spans="1:11" ht="14.25" customHeight="1" x14ac:dyDescent="0.35">
      <c r="A2" s="57" t="s">
        <v>0</v>
      </c>
      <c r="B2" s="58" t="s">
        <v>1</v>
      </c>
      <c r="C2" s="5" t="s">
        <v>2</v>
      </c>
      <c r="D2" s="55" t="s">
        <v>3</v>
      </c>
      <c r="E2" s="5" t="s">
        <v>4</v>
      </c>
      <c r="F2" s="6" t="s">
        <v>5</v>
      </c>
      <c r="G2" s="56" t="s">
        <v>6</v>
      </c>
      <c r="H2" s="7" t="s">
        <v>4</v>
      </c>
      <c r="I2" s="9" t="s">
        <v>5</v>
      </c>
      <c r="J2" s="81"/>
      <c r="K2" s="81"/>
    </row>
    <row r="3" spans="1:11" ht="15.75" x14ac:dyDescent="0.5">
      <c r="A3" s="59" t="str" cm="1">
        <f t="array" ref="A3:A4">Sites[Site]</f>
        <v>15 Baldwin Dr</v>
      </c>
      <c r="B3" s="46" t="str" cm="1">
        <f t="array" ref="B3:B4">Sites[State]</f>
        <v>CT</v>
      </c>
      <c r="C3" s="47" cm="1">
        <f t="array" aca="1" ref="C3:K3" ca="1">IF(INDIRECT("'" &amp; $A3 &amp; "'!B5:J5")="", "", INDIRECT("'" &amp; $A3 &amp; "'!B5:J5"))</f>
        <v>2566</v>
      </c>
      <c r="D3" s="47">
        <f ca="1"/>
        <v>0</v>
      </c>
      <c r="E3" s="47">
        <f ca="1"/>
        <v>2566</v>
      </c>
      <c r="F3" s="48">
        <f ca="1"/>
        <v>0</v>
      </c>
      <c r="G3" s="49">
        <f ca="1"/>
        <v>0</v>
      </c>
      <c r="H3" s="49">
        <f ca="1"/>
        <v>2566</v>
      </c>
      <c r="I3" s="50">
        <f ca="1"/>
        <v>0</v>
      </c>
      <c r="J3" s="21" t="str">
        <f ca="1"/>
        <v/>
      </c>
      <c r="K3" s="21" t="str">
        <f ca="1"/>
        <v xml:space="preserve"> </v>
      </c>
    </row>
    <row r="4" spans="1:11" ht="15.75" x14ac:dyDescent="0.5">
      <c r="A4" s="60" t="str">
        <v>8 Sycamore Way</v>
      </c>
      <c r="B4" s="22" t="str">
        <v>CT</v>
      </c>
      <c r="C4" s="47" cm="1">
        <f t="array" aca="1" ref="C4:K4" ca="1">IF(INDIRECT("'" &amp; $A4 &amp; "'!B5:J5")="", "", INDIRECT("'" &amp; $A4 &amp; "'!B5:J5"))</f>
        <v>4263</v>
      </c>
      <c r="D4" s="47">
        <f ca="1"/>
        <v>0</v>
      </c>
      <c r="E4" s="47">
        <f ca="1"/>
        <v>4263</v>
      </c>
      <c r="F4" s="48">
        <f ca="1"/>
        <v>0</v>
      </c>
      <c r="G4" s="49">
        <f ca="1"/>
        <v>7721</v>
      </c>
      <c r="H4" s="49">
        <f ca="1"/>
        <v>-3458</v>
      </c>
      <c r="I4" s="50">
        <f ca="1"/>
        <v>-0.44786944696282865</v>
      </c>
      <c r="J4" s="21" t="str">
        <f ca="1"/>
        <v/>
      </c>
      <c r="K4" s="21" t="str">
        <f ca="1"/>
        <v xml:space="preserve"> </v>
      </c>
    </row>
    <row r="5" spans="1:11" ht="24.75" customHeight="1" x14ac:dyDescent="0.35">
      <c r="A5" s="71" t="s">
        <v>7</v>
      </c>
      <c r="B5" s="72"/>
      <c r="C5" s="61">
        <f ca="1">SUM(C3:C4)</f>
        <v>6829</v>
      </c>
      <c r="D5" s="61">
        <f ca="1">SUM(D3:D4)</f>
        <v>0</v>
      </c>
      <c r="E5" s="61">
        <f ca="1">C5-D5</f>
        <v>6829</v>
      </c>
      <c r="F5" s="53">
        <f ca="1">IFERROR(E5/D5, 0)</f>
        <v>0</v>
      </c>
      <c r="G5" s="61">
        <f ca="1">SUM(G3:G4)</f>
        <v>7721</v>
      </c>
      <c r="H5" s="62">
        <f ca="1">C5-G5</f>
        <v>-892</v>
      </c>
      <c r="I5" s="54">
        <f ca="1">IFERROR(H5/G5, 0)</f>
        <v>-0.11552907654448906</v>
      </c>
      <c r="J5" s="8"/>
    </row>
    <row r="6" spans="1:11" x14ac:dyDescent="0.35">
      <c r="J6" s="8"/>
    </row>
    <row r="7" spans="1:11" ht="12.75" customHeight="1" x14ac:dyDescent="0.35">
      <c r="A7" s="73" t="s">
        <v>8</v>
      </c>
      <c r="J7" s="8"/>
    </row>
    <row r="8" spans="1:11" x14ac:dyDescent="0.35">
      <c r="A8" s="73"/>
      <c r="J8" s="8"/>
    </row>
    <row r="9" spans="1:11" x14ac:dyDescent="0.35">
      <c r="A9" s="74" t="s">
        <v>9</v>
      </c>
      <c r="J9" s="8"/>
    </row>
    <row r="10" spans="1:11" ht="12.75" customHeight="1" x14ac:dyDescent="0.35">
      <c r="A10" s="74"/>
      <c r="J10" s="8"/>
    </row>
    <row r="11" spans="1:11" x14ac:dyDescent="0.35">
      <c r="J11" s="8"/>
    </row>
  </sheetData>
  <autoFilter ref="A2:I2" xr:uid="{B0362DDA-D4B4-4F79-9A5D-D43AD85A6C79}"/>
  <mergeCells count="8">
    <mergeCell ref="A7:A8"/>
    <mergeCell ref="A9:A10"/>
    <mergeCell ref="A5:B5"/>
    <mergeCell ref="K1:K2"/>
    <mergeCell ref="C1:F1"/>
    <mergeCell ref="G1:I1"/>
    <mergeCell ref="A1:B1"/>
    <mergeCell ref="J1:J2"/>
  </mergeCells>
  <conditionalFormatting sqref="F3:F5 I3:I5">
    <cfRule type="cellIs" dxfId="27" priority="4" operator="lessThanOrEqual">
      <formula>-0.1</formula>
    </cfRule>
    <cfRule type="cellIs" dxfId="26" priority="5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75" t="str" cm="1">
        <f t="array" ref="A1">portfolio</f>
        <v>American Polyfilm, Inc.</v>
      </c>
      <c r="B1" s="76"/>
      <c r="C1" s="77" t="s">
        <v>14</v>
      </c>
      <c r="D1" s="78"/>
      <c r="E1" s="78"/>
      <c r="F1" s="79"/>
      <c r="G1" s="69" t="s">
        <v>15</v>
      </c>
      <c r="H1" s="69"/>
      <c r="I1" s="70"/>
      <c r="J1" s="80" t="s">
        <v>12</v>
      </c>
      <c r="K1" s="80" t="s">
        <v>13</v>
      </c>
    </row>
    <row r="2" spans="1:11" ht="14.25" customHeight="1" x14ac:dyDescent="0.35">
      <c r="A2" s="57" t="s">
        <v>0</v>
      </c>
      <c r="B2" s="58" t="s">
        <v>1</v>
      </c>
      <c r="C2" s="5" t="s">
        <v>2</v>
      </c>
      <c r="D2" s="55" t="s">
        <v>3</v>
      </c>
      <c r="E2" s="5" t="s">
        <v>4</v>
      </c>
      <c r="F2" s="6" t="s">
        <v>5</v>
      </c>
      <c r="G2" s="56" t="s">
        <v>6</v>
      </c>
      <c r="H2" s="7" t="s">
        <v>4</v>
      </c>
      <c r="I2" s="9" t="s">
        <v>5</v>
      </c>
      <c r="J2" s="81"/>
      <c r="K2" s="81"/>
    </row>
    <row r="3" spans="1:11" ht="15.75" x14ac:dyDescent="0.5">
      <c r="A3" s="59" t="str" cm="1">
        <f t="array" ref="A3:A4">Sites[Site]</f>
        <v>15 Baldwin Dr</v>
      </c>
      <c r="B3" s="46" t="str" cm="1">
        <f t="array" ref="B3:B4">Sites[State]</f>
        <v>CT</v>
      </c>
      <c r="C3" s="47" t="str" cm="1">
        <f t="array" aca="1" ref="C3:K3" ca="1">IF(INDIRECT("'" &amp; $A3 &amp; "'!B6:J6")="", "", INDIRECT("'" &amp; $A3 &amp; "'!B6:J6"))</f>
        <v/>
      </c>
      <c r="D3" s="47" t="str">
        <f ca="1"/>
        <v/>
      </c>
      <c r="E3" s="47">
        <f ca="1"/>
        <v>0</v>
      </c>
      <c r="F3" s="48">
        <f ca="1"/>
        <v>0</v>
      </c>
      <c r="G3" s="49" t="str">
        <f ca="1"/>
        <v/>
      </c>
      <c r="H3" s="49">
        <f ca="1"/>
        <v>0</v>
      </c>
      <c r="I3" s="50">
        <f ca="1"/>
        <v>0</v>
      </c>
      <c r="J3" s="21" t="str">
        <f ca="1"/>
        <v/>
      </c>
      <c r="K3" s="21" t="str">
        <f ca="1"/>
        <v xml:space="preserve"> </v>
      </c>
    </row>
    <row r="4" spans="1:11" ht="15.75" x14ac:dyDescent="0.5">
      <c r="A4" s="60" t="str">
        <v>8 Sycamore Way</v>
      </c>
      <c r="B4" s="22" t="str">
        <v>CT</v>
      </c>
      <c r="C4" s="47" t="str" cm="1">
        <f t="array" aca="1" ref="C4:K4" ca="1">IF(INDIRECT("'" &amp; $A4 &amp; "'!B6:J6")="", "", INDIRECT("'" &amp; $A4 &amp; "'!B6:J6"))</f>
        <v/>
      </c>
      <c r="D4" s="47" t="str">
        <f ca="1"/>
        <v/>
      </c>
      <c r="E4" s="47">
        <f ca="1"/>
        <v>0</v>
      </c>
      <c r="F4" s="51">
        <f ca="1"/>
        <v>0</v>
      </c>
      <c r="G4" s="49" t="str">
        <f ca="1"/>
        <v/>
      </c>
      <c r="H4" s="49">
        <f ca="1"/>
        <v>0</v>
      </c>
      <c r="I4" s="52">
        <f ca="1"/>
        <v>0</v>
      </c>
      <c r="J4" s="21" t="str">
        <f ca="1"/>
        <v/>
      </c>
      <c r="K4" s="21" t="str">
        <f ca="1"/>
        <v xml:space="preserve"> </v>
      </c>
    </row>
    <row r="5" spans="1:11" ht="24.75" customHeight="1" x14ac:dyDescent="0.35">
      <c r="A5" s="71" t="s">
        <v>7</v>
      </c>
      <c r="B5" s="72"/>
      <c r="C5" s="61">
        <f ca="1">SUM(C3:C4)</f>
        <v>0</v>
      </c>
      <c r="D5" s="61">
        <f ca="1">SUM(D3:D4)</f>
        <v>0</v>
      </c>
      <c r="E5" s="61">
        <f ca="1">C5-D5</f>
        <v>0</v>
      </c>
      <c r="F5" s="53">
        <f ca="1">IFERROR(E5/D5, 0)</f>
        <v>0</v>
      </c>
      <c r="G5" s="61">
        <f ca="1">SUM(G3:G4)</f>
        <v>0</v>
      </c>
      <c r="H5" s="62">
        <f ca="1">C5-G5</f>
        <v>0</v>
      </c>
      <c r="I5" s="54">
        <f ca="1">IFERROR(H5/G5, 0)</f>
        <v>0</v>
      </c>
      <c r="J5" s="8"/>
    </row>
    <row r="6" spans="1:11" x14ac:dyDescent="0.35">
      <c r="J6" s="8"/>
    </row>
    <row r="7" spans="1:11" ht="12.75" customHeight="1" x14ac:dyDescent="0.35">
      <c r="A7" s="73" t="s">
        <v>8</v>
      </c>
      <c r="J7" s="8"/>
    </row>
    <row r="8" spans="1:11" x14ac:dyDescent="0.35">
      <c r="A8" s="73"/>
      <c r="J8" s="8"/>
    </row>
    <row r="9" spans="1:11" x14ac:dyDescent="0.35">
      <c r="A9" s="74" t="s">
        <v>9</v>
      </c>
      <c r="J9" s="8"/>
    </row>
    <row r="10" spans="1:11" ht="12.75" customHeight="1" x14ac:dyDescent="0.35">
      <c r="A10" s="74"/>
      <c r="J10" s="8"/>
    </row>
    <row r="11" spans="1:11" x14ac:dyDescent="0.35">
      <c r="J11" s="8"/>
    </row>
  </sheetData>
  <autoFilter ref="A2:I2" xr:uid="{CAF24030-967D-40AB-9B78-5C3C0C46A55D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25" priority="1" operator="lessThanOrEqual">
      <formula>-0.1</formula>
    </cfRule>
    <cfRule type="cellIs" dxfId="24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14"/>
  <sheetViews>
    <sheetView workbookViewId="0">
      <pane ySplit="2" topLeftCell="A3" activePane="bottomLeft" state="frozen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75" t="str" cm="1">
        <f t="array" ref="A1">portfolio</f>
        <v>American Polyfilm, Inc.</v>
      </c>
      <c r="B1" s="76"/>
      <c r="C1" s="77" t="s">
        <v>16</v>
      </c>
      <c r="D1" s="78"/>
      <c r="E1" s="78"/>
      <c r="F1" s="79"/>
      <c r="G1" s="69" t="s">
        <v>17</v>
      </c>
      <c r="H1" s="69"/>
      <c r="I1" s="70"/>
      <c r="J1" s="80" t="s">
        <v>12</v>
      </c>
      <c r="K1" s="80" t="s">
        <v>13</v>
      </c>
    </row>
    <row r="2" spans="1:11" ht="14.25" customHeight="1" x14ac:dyDescent="0.35">
      <c r="A2" s="57" t="s">
        <v>0</v>
      </c>
      <c r="B2" s="58" t="s">
        <v>1</v>
      </c>
      <c r="C2" s="5" t="s">
        <v>2</v>
      </c>
      <c r="D2" s="55" t="s">
        <v>3</v>
      </c>
      <c r="E2" s="5" t="s">
        <v>4</v>
      </c>
      <c r="F2" s="6" t="s">
        <v>5</v>
      </c>
      <c r="G2" s="56" t="s">
        <v>6</v>
      </c>
      <c r="H2" s="7" t="s">
        <v>4</v>
      </c>
      <c r="I2" s="9" t="s">
        <v>5</v>
      </c>
      <c r="J2" s="81"/>
      <c r="K2" s="81"/>
    </row>
    <row r="3" spans="1:11" ht="15.75" x14ac:dyDescent="0.5">
      <c r="A3" s="59" t="str" cm="1">
        <f t="array" ref="A3:A4">Sites[Site]</f>
        <v>15 Baldwin Dr</v>
      </c>
      <c r="B3" s="46" t="str" cm="1">
        <f t="array" ref="B3:B4">Sites[State]</f>
        <v>CT</v>
      </c>
      <c r="C3" s="47" t="str" cm="1">
        <f t="array" aca="1" ref="C3:K3" ca="1">IF(INDIRECT("'" &amp; $A3 &amp; "'!B7:J7")="", "", INDIRECT("'" &amp; $A3 &amp; "'!B7:J7"))</f>
        <v/>
      </c>
      <c r="D3" s="47" t="str">
        <f ca="1"/>
        <v/>
      </c>
      <c r="E3" s="47">
        <f ca="1"/>
        <v>0</v>
      </c>
      <c r="F3" s="48">
        <f ca="1"/>
        <v>0</v>
      </c>
      <c r="G3" s="49" t="str">
        <f ca="1"/>
        <v/>
      </c>
      <c r="H3" s="49">
        <f ca="1"/>
        <v>0</v>
      </c>
      <c r="I3" s="50">
        <f ca="1"/>
        <v>0</v>
      </c>
      <c r="J3" s="21" t="str">
        <f ca="1"/>
        <v/>
      </c>
      <c r="K3" s="21" t="str">
        <f ca="1"/>
        <v/>
      </c>
    </row>
    <row r="4" spans="1:11" ht="15.75" x14ac:dyDescent="0.5">
      <c r="A4" s="60" t="str">
        <v>8 Sycamore Way</v>
      </c>
      <c r="B4" s="22" t="str">
        <v>CT</v>
      </c>
      <c r="C4" s="47" t="str" cm="1">
        <f t="array" aca="1" ref="C4:K4" ca="1">IF(INDIRECT("'" &amp; $A4 &amp; "'!B7:J7")="", "", INDIRECT("'" &amp; $A4 &amp; "'!B7:J7"))</f>
        <v/>
      </c>
      <c r="D4" s="47" t="str">
        <f ca="1"/>
        <v/>
      </c>
      <c r="E4" s="47">
        <f ca="1"/>
        <v>0</v>
      </c>
      <c r="F4" s="51">
        <f ca="1"/>
        <v>0</v>
      </c>
      <c r="G4" s="49" t="str">
        <f ca="1"/>
        <v/>
      </c>
      <c r="H4" s="49">
        <f ca="1"/>
        <v>0</v>
      </c>
      <c r="I4" s="52">
        <f ca="1"/>
        <v>0</v>
      </c>
      <c r="J4" s="21" t="str">
        <f ca="1"/>
        <v/>
      </c>
      <c r="K4" s="21" t="str">
        <f ca="1"/>
        <v/>
      </c>
    </row>
    <row r="5" spans="1:11" ht="13.5" x14ac:dyDescent="0.35">
      <c r="A5" s="71" t="s">
        <v>7</v>
      </c>
      <c r="B5" s="72"/>
      <c r="C5" s="61">
        <f ca="1">SUM(C3:C4)</f>
        <v>0</v>
      </c>
      <c r="D5" s="61">
        <f ca="1">SUM(D3:D4)</f>
        <v>0</v>
      </c>
      <c r="E5" s="61">
        <f ca="1">C5-D5</f>
        <v>0</v>
      </c>
      <c r="F5" s="53">
        <f ca="1">IFERROR(E5/D5, 0)</f>
        <v>0</v>
      </c>
      <c r="G5" s="61">
        <f ca="1">SUM(G3:G4)</f>
        <v>0</v>
      </c>
      <c r="H5" s="62">
        <f ca="1">C5-G5</f>
        <v>0</v>
      </c>
      <c r="I5" s="54">
        <f ca="1">IFERROR(H5/G5, 0)</f>
        <v>0</v>
      </c>
      <c r="J5" s="8"/>
    </row>
    <row r="6" spans="1:11" x14ac:dyDescent="0.35">
      <c r="J6" s="8"/>
    </row>
    <row r="7" spans="1:11" ht="12.75" customHeight="1" x14ac:dyDescent="0.35">
      <c r="A7" s="73" t="s">
        <v>8</v>
      </c>
      <c r="J7" s="8"/>
    </row>
    <row r="8" spans="1:11" x14ac:dyDescent="0.35">
      <c r="A8" s="73"/>
      <c r="J8" s="8"/>
    </row>
    <row r="9" spans="1:11" x14ac:dyDescent="0.35">
      <c r="A9" s="74" t="s">
        <v>9</v>
      </c>
      <c r="J9" s="8"/>
    </row>
    <row r="10" spans="1:11" ht="12.75" customHeight="1" x14ac:dyDescent="0.35">
      <c r="A10" s="74"/>
      <c r="J10" s="8"/>
    </row>
    <row r="11" spans="1:11" ht="12.75" customHeight="1" x14ac:dyDescent="0.35">
      <c r="J11" s="8"/>
    </row>
    <row r="13" spans="1:11" ht="12.75" customHeight="1" x14ac:dyDescent="0.35"/>
    <row r="14" spans="1:11" ht="12.75" customHeight="1" x14ac:dyDescent="0.35"/>
  </sheetData>
  <autoFilter ref="A2:I2" xr:uid="{E69961AB-A757-4049-8AB9-40F3BCB812B3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23" priority="1" operator="lessThanOrEqual">
      <formula>-0.1</formula>
    </cfRule>
    <cfRule type="cellIs" dxfId="22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14"/>
  <sheetViews>
    <sheetView workbookViewId="0">
      <pane ySplit="2" topLeftCell="A3" activePane="bottomLeft" state="frozen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75" t="str" cm="1">
        <f t="array" ref="A1">portfolio</f>
        <v>American Polyfilm, Inc.</v>
      </c>
      <c r="B1" s="76"/>
      <c r="C1" s="77" t="s">
        <v>18</v>
      </c>
      <c r="D1" s="78"/>
      <c r="E1" s="78"/>
      <c r="F1" s="79"/>
      <c r="G1" s="69" t="s">
        <v>19</v>
      </c>
      <c r="H1" s="69"/>
      <c r="I1" s="70"/>
      <c r="J1" s="80" t="s">
        <v>12</v>
      </c>
      <c r="K1" s="80" t="s">
        <v>13</v>
      </c>
    </row>
    <row r="2" spans="1:11" ht="14.25" customHeight="1" x14ac:dyDescent="0.35">
      <c r="A2" s="57" t="s">
        <v>0</v>
      </c>
      <c r="B2" s="58" t="s">
        <v>1</v>
      </c>
      <c r="C2" s="5" t="s">
        <v>2</v>
      </c>
      <c r="D2" s="55" t="s">
        <v>3</v>
      </c>
      <c r="E2" s="5" t="s">
        <v>4</v>
      </c>
      <c r="F2" s="6" t="s">
        <v>5</v>
      </c>
      <c r="G2" s="56" t="s">
        <v>6</v>
      </c>
      <c r="H2" s="7" t="s">
        <v>4</v>
      </c>
      <c r="I2" s="9" t="s">
        <v>5</v>
      </c>
      <c r="J2" s="81"/>
      <c r="K2" s="81"/>
    </row>
    <row r="3" spans="1:11" ht="15.75" x14ac:dyDescent="0.5">
      <c r="A3" s="59" t="str" cm="1">
        <f t="array" ref="A3:A4">Sites[Site]</f>
        <v>15 Baldwin Dr</v>
      </c>
      <c r="B3" s="46" t="str" cm="1">
        <f t="array" ref="B3:B4">Sites[State]</f>
        <v>CT</v>
      </c>
      <c r="C3" s="47" t="str" cm="1">
        <f t="array" aca="1" ref="C3:K3" ca="1">IF(INDIRECT("'" &amp; $A3 &amp; "'!B8:J8")="", "", INDIRECT("'" &amp; $A3 &amp; "'!B8:J8"))</f>
        <v/>
      </c>
      <c r="D3" s="47" t="str">
        <f ca="1"/>
        <v/>
      </c>
      <c r="E3" s="47">
        <f ca="1"/>
        <v>0</v>
      </c>
      <c r="F3" s="48">
        <f ca="1"/>
        <v>0</v>
      </c>
      <c r="G3" s="49" t="str">
        <f ca="1"/>
        <v/>
      </c>
      <c r="H3" s="49">
        <f ca="1"/>
        <v>0</v>
      </c>
      <c r="I3" s="50">
        <f ca="1"/>
        <v>0</v>
      </c>
      <c r="J3" s="21" t="str">
        <f ca="1"/>
        <v/>
      </c>
      <c r="K3" s="21" t="str">
        <f ca="1"/>
        <v/>
      </c>
    </row>
    <row r="4" spans="1:11" ht="15.75" x14ac:dyDescent="0.5">
      <c r="A4" s="60" t="str">
        <v>8 Sycamore Way</v>
      </c>
      <c r="B4" s="22" t="str">
        <v>CT</v>
      </c>
      <c r="C4" s="47" t="str" cm="1">
        <f t="array" aca="1" ref="C4:K4" ca="1">IF(INDIRECT("'" &amp; $A4 &amp; "'!B8:J8")="", "", INDIRECT("'" &amp; $A4 &amp; "'!B8:J8"))</f>
        <v/>
      </c>
      <c r="D4" s="47" t="str">
        <f ca="1"/>
        <v/>
      </c>
      <c r="E4" s="47">
        <f ca="1"/>
        <v>0</v>
      </c>
      <c r="F4" s="51">
        <f ca="1"/>
        <v>0</v>
      </c>
      <c r="G4" s="49" t="str">
        <f ca="1"/>
        <v/>
      </c>
      <c r="H4" s="49">
        <f ca="1"/>
        <v>0</v>
      </c>
      <c r="I4" s="52">
        <f ca="1"/>
        <v>0</v>
      </c>
      <c r="J4" s="21" t="str">
        <f ca="1"/>
        <v/>
      </c>
      <c r="K4" s="21" t="str">
        <f ca="1"/>
        <v/>
      </c>
    </row>
    <row r="5" spans="1:11" ht="13.5" x14ac:dyDescent="0.35">
      <c r="A5" s="71" t="s">
        <v>7</v>
      </c>
      <c r="B5" s="72"/>
      <c r="C5" s="61">
        <f ca="1">SUM(C3:C4)</f>
        <v>0</v>
      </c>
      <c r="D5" s="61">
        <f ca="1">SUM(D3:D4)</f>
        <v>0</v>
      </c>
      <c r="E5" s="61">
        <f ca="1">C5-D5</f>
        <v>0</v>
      </c>
      <c r="F5" s="53">
        <f ca="1">IFERROR(E5/D5, 0)</f>
        <v>0</v>
      </c>
      <c r="G5" s="61">
        <f ca="1">SUM(G3:G4)</f>
        <v>0</v>
      </c>
      <c r="H5" s="62">
        <f ca="1">C5-G5</f>
        <v>0</v>
      </c>
      <c r="I5" s="54">
        <f ca="1">IFERROR(H5/G5, 0)</f>
        <v>0</v>
      </c>
      <c r="J5" s="8"/>
    </row>
    <row r="6" spans="1:11" x14ac:dyDescent="0.35">
      <c r="J6" s="8"/>
    </row>
    <row r="7" spans="1:11" ht="12.75" customHeight="1" x14ac:dyDescent="0.35">
      <c r="A7" s="73" t="s">
        <v>8</v>
      </c>
      <c r="J7" s="8"/>
    </row>
    <row r="8" spans="1:11" x14ac:dyDescent="0.35">
      <c r="A8" s="73"/>
      <c r="J8" s="8"/>
    </row>
    <row r="9" spans="1:11" x14ac:dyDescent="0.35">
      <c r="A9" s="74" t="s">
        <v>9</v>
      </c>
      <c r="J9" s="8"/>
    </row>
    <row r="10" spans="1:11" ht="12.75" customHeight="1" x14ac:dyDescent="0.35">
      <c r="A10" s="74"/>
      <c r="J10" s="8"/>
    </row>
    <row r="11" spans="1:11" ht="12.75" customHeight="1" x14ac:dyDescent="0.35">
      <c r="J11" s="8"/>
    </row>
    <row r="13" spans="1:11" ht="12.75" customHeight="1" x14ac:dyDescent="0.35"/>
    <row r="14" spans="1:11" ht="12.75" customHeight="1" x14ac:dyDescent="0.35"/>
  </sheetData>
  <autoFilter ref="A2:I2" xr:uid="{9CEFA865-F03F-435F-98CB-83683B1083B8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21" priority="1" operator="lessThanOrEqual">
      <formula>-0.1</formula>
    </cfRule>
    <cfRule type="cellIs" dxfId="20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14"/>
  <sheetViews>
    <sheetView workbookViewId="0">
      <pane ySplit="2" topLeftCell="A3" activePane="bottomLeft" state="frozen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75" t="str" cm="1">
        <f t="array" ref="A1">portfolio</f>
        <v>American Polyfilm, Inc.</v>
      </c>
      <c r="B1" s="76"/>
      <c r="C1" s="77" t="s">
        <v>20</v>
      </c>
      <c r="D1" s="78"/>
      <c r="E1" s="78"/>
      <c r="F1" s="79"/>
      <c r="G1" s="69" t="s">
        <v>21</v>
      </c>
      <c r="H1" s="69"/>
      <c r="I1" s="70"/>
      <c r="J1" s="80" t="s">
        <v>12</v>
      </c>
      <c r="K1" s="80" t="s">
        <v>13</v>
      </c>
    </row>
    <row r="2" spans="1:11" ht="14.25" customHeight="1" x14ac:dyDescent="0.35">
      <c r="A2" s="57" t="s">
        <v>0</v>
      </c>
      <c r="B2" s="58" t="s">
        <v>1</v>
      </c>
      <c r="C2" s="5" t="s">
        <v>2</v>
      </c>
      <c r="D2" s="55" t="s">
        <v>3</v>
      </c>
      <c r="E2" s="5" t="s">
        <v>4</v>
      </c>
      <c r="F2" s="6" t="s">
        <v>5</v>
      </c>
      <c r="G2" s="56" t="s">
        <v>6</v>
      </c>
      <c r="H2" s="7" t="s">
        <v>4</v>
      </c>
      <c r="I2" s="9" t="s">
        <v>5</v>
      </c>
      <c r="J2" s="81"/>
      <c r="K2" s="81"/>
    </row>
    <row r="3" spans="1:11" ht="15.75" x14ac:dyDescent="0.5">
      <c r="A3" s="59" t="str" cm="1">
        <f t="array" ref="A3:A4">Sites[Site]</f>
        <v>15 Baldwin Dr</v>
      </c>
      <c r="B3" s="46" t="str" cm="1">
        <f t="array" ref="B3:B4">Sites[State]</f>
        <v>CT</v>
      </c>
      <c r="C3" s="47" t="str" cm="1">
        <f t="array" aca="1" ref="C3:K3" ca="1">IF(INDIRECT("'" &amp; $A3 &amp; "'!B9:J9")="", "", INDIRECT("'" &amp; $A3 &amp; "'!B9:J9"))</f>
        <v/>
      </c>
      <c r="D3" s="47" t="str">
        <f ca="1"/>
        <v/>
      </c>
      <c r="E3" s="47">
        <f ca="1"/>
        <v>0</v>
      </c>
      <c r="F3" s="48">
        <f ca="1"/>
        <v>0</v>
      </c>
      <c r="G3" s="49" t="str">
        <f ca="1"/>
        <v/>
      </c>
      <c r="H3" s="49">
        <f ca="1"/>
        <v>0</v>
      </c>
      <c r="I3" s="50">
        <f ca="1"/>
        <v>0</v>
      </c>
      <c r="J3" s="21" t="str">
        <f ca="1"/>
        <v/>
      </c>
      <c r="K3" s="21" t="str">
        <f ca="1"/>
        <v/>
      </c>
    </row>
    <row r="4" spans="1:11" ht="15.75" x14ac:dyDescent="0.5">
      <c r="A4" s="60" t="str">
        <v>8 Sycamore Way</v>
      </c>
      <c r="B4" s="22" t="str">
        <v>CT</v>
      </c>
      <c r="C4" s="47" t="str" cm="1">
        <f t="array" aca="1" ref="C4:K4" ca="1">IF(INDIRECT("'" &amp; $A4 &amp; "'!B9:J9")="", "", INDIRECT("'" &amp; $A4 &amp; "'!B9:J9"))</f>
        <v/>
      </c>
      <c r="D4" s="47" t="str">
        <f ca="1"/>
        <v/>
      </c>
      <c r="E4" s="47">
        <f ca="1"/>
        <v>0</v>
      </c>
      <c r="F4" s="51">
        <f ca="1"/>
        <v>0</v>
      </c>
      <c r="G4" s="49" t="str">
        <f ca="1"/>
        <v/>
      </c>
      <c r="H4" s="49">
        <f ca="1"/>
        <v>0</v>
      </c>
      <c r="I4" s="52">
        <f ca="1"/>
        <v>0</v>
      </c>
      <c r="J4" s="21" t="str">
        <f ca="1"/>
        <v/>
      </c>
      <c r="K4" s="21" t="str">
        <f ca="1"/>
        <v/>
      </c>
    </row>
    <row r="5" spans="1:11" ht="13.5" x14ac:dyDescent="0.35">
      <c r="A5" s="71" t="s">
        <v>7</v>
      </c>
      <c r="B5" s="72"/>
      <c r="C5" s="61">
        <f ca="1">SUM(C3:C4)</f>
        <v>0</v>
      </c>
      <c r="D5" s="61">
        <f ca="1">SUM(D3:D4)</f>
        <v>0</v>
      </c>
      <c r="E5" s="61">
        <f ca="1">C5-D5</f>
        <v>0</v>
      </c>
      <c r="F5" s="53">
        <f ca="1">IFERROR(E5/D5, 0)</f>
        <v>0</v>
      </c>
      <c r="G5" s="61">
        <f ca="1">SUM(G3:G4)</f>
        <v>0</v>
      </c>
      <c r="H5" s="62">
        <f ca="1">C5-G5</f>
        <v>0</v>
      </c>
      <c r="I5" s="54">
        <f ca="1">IFERROR(H5/G5, 0)</f>
        <v>0</v>
      </c>
      <c r="J5" s="8"/>
    </row>
    <row r="6" spans="1:11" x14ac:dyDescent="0.35">
      <c r="J6" s="8"/>
    </row>
    <row r="7" spans="1:11" x14ac:dyDescent="0.35">
      <c r="A7" s="73" t="s">
        <v>8</v>
      </c>
      <c r="J7" s="8"/>
    </row>
    <row r="8" spans="1:11" x14ac:dyDescent="0.35">
      <c r="A8" s="73"/>
      <c r="J8" s="8"/>
    </row>
    <row r="9" spans="1:11" ht="12.75" customHeight="1" x14ac:dyDescent="0.35">
      <c r="A9" s="74" t="s">
        <v>9</v>
      </c>
      <c r="J9" s="8"/>
    </row>
    <row r="10" spans="1:11" x14ac:dyDescent="0.35">
      <c r="A10" s="74"/>
      <c r="J10" s="8"/>
    </row>
    <row r="11" spans="1:11" ht="12.75" customHeight="1" x14ac:dyDescent="0.35">
      <c r="J11" s="8"/>
    </row>
    <row r="13" spans="1:11" ht="12.75" customHeight="1" x14ac:dyDescent="0.35"/>
    <row r="14" spans="1:11" ht="12.75" customHeight="1" x14ac:dyDescent="0.35"/>
  </sheetData>
  <autoFilter ref="A2:I2" xr:uid="{BC8A3C74-EDA3-4B8F-8C65-FD4243AE8FF6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19" priority="1" operator="lessThanOrEqual">
      <formula>-0.1</formula>
    </cfRule>
    <cfRule type="cellIs" dxfId="18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14"/>
  <sheetViews>
    <sheetView workbookViewId="0">
      <pane ySplit="2" topLeftCell="A3" activePane="bottomLeft" state="frozen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75" t="str" cm="1">
        <f t="array" ref="A1">portfolio</f>
        <v>American Polyfilm, Inc.</v>
      </c>
      <c r="B1" s="76"/>
      <c r="C1" s="77" t="s">
        <v>22</v>
      </c>
      <c r="D1" s="78"/>
      <c r="E1" s="78"/>
      <c r="F1" s="79"/>
      <c r="G1" s="69" t="s">
        <v>23</v>
      </c>
      <c r="H1" s="69"/>
      <c r="I1" s="70"/>
      <c r="J1" s="80" t="s">
        <v>12</v>
      </c>
      <c r="K1" s="80" t="s">
        <v>13</v>
      </c>
    </row>
    <row r="2" spans="1:11" ht="14.25" customHeight="1" x14ac:dyDescent="0.35">
      <c r="A2" s="57" t="s">
        <v>0</v>
      </c>
      <c r="B2" s="58" t="s">
        <v>1</v>
      </c>
      <c r="C2" s="5" t="s">
        <v>2</v>
      </c>
      <c r="D2" s="55" t="s">
        <v>3</v>
      </c>
      <c r="E2" s="5" t="s">
        <v>4</v>
      </c>
      <c r="F2" s="6" t="s">
        <v>5</v>
      </c>
      <c r="G2" s="56" t="s">
        <v>6</v>
      </c>
      <c r="H2" s="7" t="s">
        <v>4</v>
      </c>
      <c r="I2" s="9" t="s">
        <v>5</v>
      </c>
      <c r="J2" s="81"/>
      <c r="K2" s="81"/>
    </row>
    <row r="3" spans="1:11" ht="15.75" x14ac:dyDescent="0.5">
      <c r="A3" s="59" t="str" cm="1">
        <f t="array" ref="A3:A4">Sites[Site]</f>
        <v>15 Baldwin Dr</v>
      </c>
      <c r="B3" s="46" t="str" cm="1">
        <f t="array" ref="B3:B4">Sites[State]</f>
        <v>CT</v>
      </c>
      <c r="C3" s="47" t="str" cm="1">
        <f t="array" aca="1" ref="C3:K3" ca="1">IF(INDIRECT("'" &amp; $A3 &amp; "'!B10:J10")="", "", INDIRECT("'" &amp; $A3 &amp; "'!B10:J10"))</f>
        <v/>
      </c>
      <c r="D3" s="47" t="str">
        <f ca="1"/>
        <v/>
      </c>
      <c r="E3" s="47">
        <f ca="1"/>
        <v>0</v>
      </c>
      <c r="F3" s="48">
        <f ca="1"/>
        <v>0</v>
      </c>
      <c r="G3" s="49" t="str">
        <f ca="1"/>
        <v/>
      </c>
      <c r="H3" s="49">
        <f ca="1"/>
        <v>0</v>
      </c>
      <c r="I3" s="50">
        <f ca="1"/>
        <v>0</v>
      </c>
      <c r="J3" s="21" t="str">
        <f ca="1"/>
        <v/>
      </c>
      <c r="K3" s="21" t="str">
        <f ca="1"/>
        <v xml:space="preserve"> </v>
      </c>
    </row>
    <row r="4" spans="1:11" ht="15.75" x14ac:dyDescent="0.5">
      <c r="A4" s="60" t="str">
        <v>8 Sycamore Way</v>
      </c>
      <c r="B4" s="22" t="str">
        <v>CT</v>
      </c>
      <c r="C4" s="47" t="str" cm="1">
        <f t="array" aca="1" ref="C4:K4" ca="1">IF(INDIRECT("'" &amp; $A4 &amp; "'!B10:J10")="", "", INDIRECT("'" &amp; $A4 &amp; "'!B10:J10"))</f>
        <v/>
      </c>
      <c r="D4" s="47" t="str">
        <f ca="1"/>
        <v/>
      </c>
      <c r="E4" s="47">
        <f ca="1"/>
        <v>0</v>
      </c>
      <c r="F4" s="51">
        <f ca="1"/>
        <v>0</v>
      </c>
      <c r="G4" s="49" t="str">
        <f ca="1"/>
        <v/>
      </c>
      <c r="H4" s="49">
        <f ca="1"/>
        <v>0</v>
      </c>
      <c r="I4" s="52">
        <f ca="1"/>
        <v>0</v>
      </c>
      <c r="J4" s="21" t="str">
        <f ca="1"/>
        <v/>
      </c>
      <c r="K4" s="21" t="str">
        <f ca="1"/>
        <v xml:space="preserve"> </v>
      </c>
    </row>
    <row r="5" spans="1:11" ht="13.5" x14ac:dyDescent="0.35">
      <c r="A5" s="71" t="s">
        <v>7</v>
      </c>
      <c r="B5" s="72"/>
      <c r="C5" s="61">
        <f ca="1">SUM(C3:C4)</f>
        <v>0</v>
      </c>
      <c r="D5" s="61">
        <f ca="1">SUM(D3:D4)</f>
        <v>0</v>
      </c>
      <c r="E5" s="61">
        <f ca="1">C5-D5</f>
        <v>0</v>
      </c>
      <c r="F5" s="53">
        <f ca="1">IFERROR(E5/D5, 0)</f>
        <v>0</v>
      </c>
      <c r="G5" s="61">
        <f ca="1">SUM(G3:G4)</f>
        <v>0</v>
      </c>
      <c r="H5" s="62">
        <f ca="1">C5-G5</f>
        <v>0</v>
      </c>
      <c r="I5" s="54">
        <f ca="1">IFERROR(H5/G5, 0)</f>
        <v>0</v>
      </c>
      <c r="J5" s="8"/>
    </row>
    <row r="6" spans="1:11" x14ac:dyDescent="0.35">
      <c r="J6" s="8"/>
    </row>
    <row r="7" spans="1:11" ht="12.75" customHeight="1" x14ac:dyDescent="0.35">
      <c r="A7" s="73" t="s">
        <v>8</v>
      </c>
      <c r="J7" s="8"/>
    </row>
    <row r="8" spans="1:11" x14ac:dyDescent="0.35">
      <c r="A8" s="73"/>
      <c r="J8" s="8"/>
    </row>
    <row r="9" spans="1:11" x14ac:dyDescent="0.35">
      <c r="A9" s="74" t="s">
        <v>9</v>
      </c>
      <c r="J9" s="8"/>
    </row>
    <row r="10" spans="1:11" ht="12.75" customHeight="1" x14ac:dyDescent="0.35">
      <c r="A10" s="74"/>
      <c r="J10" s="8"/>
    </row>
    <row r="11" spans="1:11" ht="12.75" customHeight="1" x14ac:dyDescent="0.35">
      <c r="J11" s="8"/>
    </row>
    <row r="13" spans="1:11" ht="12.75" customHeight="1" x14ac:dyDescent="0.35"/>
    <row r="14" spans="1:11" ht="12.75" customHeight="1" x14ac:dyDescent="0.35"/>
  </sheetData>
  <autoFilter ref="A2:I2" xr:uid="{6C08AFFB-6AF8-48AC-9706-52E390C2AC4B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17" priority="1" operator="lessThanOrEqual">
      <formula>-0.1</formula>
    </cfRule>
    <cfRule type="cellIs" dxfId="16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14"/>
  <sheetViews>
    <sheetView workbookViewId="0">
      <pane ySplit="2" topLeftCell="A3" activePane="bottomLeft" state="frozen"/>
      <selection pane="bottomLeft" activeCell="G1" sqref="G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75" t="str" cm="1">
        <f t="array" ref="A1">portfolio</f>
        <v>American Polyfilm, Inc.</v>
      </c>
      <c r="B1" s="76"/>
      <c r="C1" s="77" t="s">
        <v>24</v>
      </c>
      <c r="D1" s="78"/>
      <c r="E1" s="78"/>
      <c r="F1" s="79"/>
      <c r="G1" s="69" t="s">
        <v>25</v>
      </c>
      <c r="H1" s="69"/>
      <c r="I1" s="70"/>
      <c r="J1" s="80" t="s">
        <v>12</v>
      </c>
      <c r="K1" s="80" t="s">
        <v>13</v>
      </c>
    </row>
    <row r="2" spans="1:11" ht="14.25" customHeight="1" x14ac:dyDescent="0.35">
      <c r="A2" s="57" t="s">
        <v>0</v>
      </c>
      <c r="B2" s="58" t="s">
        <v>1</v>
      </c>
      <c r="C2" s="5" t="s">
        <v>2</v>
      </c>
      <c r="D2" s="55" t="s">
        <v>3</v>
      </c>
      <c r="E2" s="5" t="s">
        <v>4</v>
      </c>
      <c r="F2" s="6" t="s">
        <v>5</v>
      </c>
      <c r="G2" s="56" t="s">
        <v>6</v>
      </c>
      <c r="H2" s="7" t="s">
        <v>4</v>
      </c>
      <c r="I2" s="9" t="s">
        <v>5</v>
      </c>
      <c r="J2" s="81"/>
      <c r="K2" s="81"/>
    </row>
    <row r="3" spans="1:11" ht="15.75" x14ac:dyDescent="0.5">
      <c r="A3" s="59" t="str" cm="1">
        <f t="array" ref="A3:A4">Sites[Site]</f>
        <v>15 Baldwin Dr</v>
      </c>
      <c r="B3" s="46" t="str" cm="1">
        <f t="array" ref="B3:B4">Sites[State]</f>
        <v>CT</v>
      </c>
      <c r="C3" s="47" t="str" cm="1">
        <f t="array" aca="1" ref="C3:K3" ca="1">IF(INDIRECT("'" &amp; $A3 &amp; "'!B11:J11")="", "", INDIRECT("'" &amp; $A3 &amp; "'!B11:J11"))</f>
        <v/>
      </c>
      <c r="D3" s="47" t="str">
        <f ca="1"/>
        <v/>
      </c>
      <c r="E3" s="47">
        <f ca="1"/>
        <v>0</v>
      </c>
      <c r="F3" s="48">
        <f ca="1"/>
        <v>0</v>
      </c>
      <c r="G3" s="49" t="str">
        <f ca="1"/>
        <v/>
      </c>
      <c r="H3" s="49">
        <f ca="1"/>
        <v>0</v>
      </c>
      <c r="I3" s="50">
        <f ca="1"/>
        <v>0</v>
      </c>
      <c r="J3" s="21" t="str">
        <f ca="1"/>
        <v/>
      </c>
      <c r="K3" s="21" t="str">
        <f ca="1"/>
        <v xml:space="preserve"> </v>
      </c>
    </row>
    <row r="4" spans="1:11" ht="15.75" x14ac:dyDescent="0.5">
      <c r="A4" s="60" t="str">
        <v>8 Sycamore Way</v>
      </c>
      <c r="B4" s="22" t="str">
        <v>CT</v>
      </c>
      <c r="C4" s="47" t="str" cm="1">
        <f t="array" aca="1" ref="C4:K4" ca="1">IF(INDIRECT("'" &amp; $A4 &amp; "'!B11:J11")="", "", INDIRECT("'" &amp; $A4 &amp; "'!B11:J11"))</f>
        <v/>
      </c>
      <c r="D4" s="47" t="str">
        <f ca="1"/>
        <v/>
      </c>
      <c r="E4" s="47">
        <f ca="1"/>
        <v>0</v>
      </c>
      <c r="F4" s="51">
        <f ca="1"/>
        <v>0</v>
      </c>
      <c r="G4" s="49" t="str">
        <f ca="1"/>
        <v/>
      </c>
      <c r="H4" s="49">
        <f ca="1"/>
        <v>0</v>
      </c>
      <c r="I4" s="52">
        <f ca="1"/>
        <v>0</v>
      </c>
      <c r="J4" s="21" t="str">
        <f ca="1"/>
        <v/>
      </c>
      <c r="K4" s="21" t="str">
        <f ca="1"/>
        <v xml:space="preserve"> </v>
      </c>
    </row>
    <row r="5" spans="1:11" ht="13.5" x14ac:dyDescent="0.35">
      <c r="A5" s="71" t="s">
        <v>7</v>
      </c>
      <c r="B5" s="72"/>
      <c r="C5" s="61">
        <f ca="1">SUM(C3:C4)</f>
        <v>0</v>
      </c>
      <c r="D5" s="61">
        <f ca="1">SUM(D3:D4)</f>
        <v>0</v>
      </c>
      <c r="E5" s="61">
        <f ca="1">C5-D5</f>
        <v>0</v>
      </c>
      <c r="F5" s="53">
        <f ca="1">IFERROR(E5/D5, 0)</f>
        <v>0</v>
      </c>
      <c r="G5" s="61">
        <f ca="1">SUM(G3:G4)</f>
        <v>0</v>
      </c>
      <c r="H5" s="62">
        <f ca="1">C5-G5</f>
        <v>0</v>
      </c>
      <c r="I5" s="54">
        <f ca="1">IFERROR(H5/G5, 0)</f>
        <v>0</v>
      </c>
      <c r="J5" s="8"/>
    </row>
    <row r="6" spans="1:11" x14ac:dyDescent="0.35">
      <c r="J6" s="8"/>
    </row>
    <row r="7" spans="1:11" ht="12.75" customHeight="1" x14ac:dyDescent="0.35">
      <c r="A7" s="73" t="s">
        <v>8</v>
      </c>
      <c r="J7" s="8"/>
    </row>
    <row r="8" spans="1:11" x14ac:dyDescent="0.35">
      <c r="A8" s="73"/>
      <c r="J8" s="8"/>
    </row>
    <row r="9" spans="1:11" x14ac:dyDescent="0.35">
      <c r="A9" s="74" t="s">
        <v>9</v>
      </c>
      <c r="J9" s="8"/>
    </row>
    <row r="10" spans="1:11" ht="12.75" customHeight="1" x14ac:dyDescent="0.35">
      <c r="A10" s="74"/>
      <c r="J10" s="8"/>
    </row>
    <row r="11" spans="1:11" ht="12.75" customHeight="1" x14ac:dyDescent="0.35">
      <c r="J11" s="8"/>
    </row>
    <row r="13" spans="1:11" ht="12.75" customHeight="1" x14ac:dyDescent="0.35"/>
    <row r="14" spans="1:11" ht="12.75" customHeight="1" x14ac:dyDescent="0.35"/>
  </sheetData>
  <autoFilter ref="A2:I2" xr:uid="{957CD936-B73F-469A-B0B5-B8EA155C9C51}"/>
  <sortState xmlns:xlrd2="http://schemas.microsoft.com/office/spreadsheetml/2017/richdata2" ref="A3:K8">
    <sortCondition ref="A3:A8"/>
  </sortState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15" priority="1" operator="lessThanOrEqual">
      <formula>-0.1</formula>
    </cfRule>
    <cfRule type="cellIs" dxfId="14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14"/>
  <sheetViews>
    <sheetView workbookViewId="0">
      <pane ySplit="2" topLeftCell="A3" activePane="bottomLeft" state="frozen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75" t="str" cm="1">
        <f t="array" ref="A1">portfolio</f>
        <v>American Polyfilm, Inc.</v>
      </c>
      <c r="B1" s="76"/>
      <c r="C1" s="77" t="s">
        <v>26</v>
      </c>
      <c r="D1" s="78"/>
      <c r="E1" s="78"/>
      <c r="F1" s="79"/>
      <c r="G1" s="69" t="s">
        <v>27</v>
      </c>
      <c r="H1" s="69"/>
      <c r="I1" s="70"/>
      <c r="J1" s="80" t="s">
        <v>12</v>
      </c>
      <c r="K1" s="80" t="s">
        <v>13</v>
      </c>
    </row>
    <row r="2" spans="1:11" ht="14.25" customHeight="1" x14ac:dyDescent="0.35">
      <c r="A2" s="57" t="s">
        <v>0</v>
      </c>
      <c r="B2" s="58" t="s">
        <v>1</v>
      </c>
      <c r="C2" s="5" t="s">
        <v>2</v>
      </c>
      <c r="D2" s="55" t="s">
        <v>3</v>
      </c>
      <c r="E2" s="5" t="s">
        <v>4</v>
      </c>
      <c r="F2" s="6" t="s">
        <v>5</v>
      </c>
      <c r="G2" s="56" t="s">
        <v>6</v>
      </c>
      <c r="H2" s="7" t="s">
        <v>4</v>
      </c>
      <c r="I2" s="9" t="s">
        <v>5</v>
      </c>
      <c r="J2" s="81"/>
      <c r="K2" s="81"/>
    </row>
    <row r="3" spans="1:11" ht="15.75" x14ac:dyDescent="0.5">
      <c r="A3" s="59" t="str" cm="1">
        <f t="array" ref="A3:A4">Sites[Site]</f>
        <v>15 Baldwin Dr</v>
      </c>
      <c r="B3" s="46" t="str" cm="1">
        <f t="array" ref="B3:B4">Sites[State]</f>
        <v>CT</v>
      </c>
      <c r="C3" s="47" t="str" cm="1">
        <f t="array" aca="1" ref="C3:K3" ca="1">IF(INDIRECT("'" &amp; $A3 &amp; "'!B12:J12")="", "", INDIRECT("'" &amp; $A3 &amp; "'!B12:J12"))</f>
        <v/>
      </c>
      <c r="D3" s="47" t="str">
        <f ca="1"/>
        <v/>
      </c>
      <c r="E3" s="47">
        <f ca="1"/>
        <v>0</v>
      </c>
      <c r="F3" s="48">
        <f ca="1"/>
        <v>0</v>
      </c>
      <c r="G3" s="49" t="str">
        <f ca="1"/>
        <v/>
      </c>
      <c r="H3" s="49">
        <f ca="1"/>
        <v>0</v>
      </c>
      <c r="I3" s="50">
        <f ca="1"/>
        <v>0</v>
      </c>
      <c r="J3" s="21" t="str">
        <f ca="1"/>
        <v/>
      </c>
      <c r="K3" s="21" t="str">
        <f ca="1"/>
        <v/>
      </c>
    </row>
    <row r="4" spans="1:11" ht="15.75" x14ac:dyDescent="0.5">
      <c r="A4" s="60" t="str">
        <v>8 Sycamore Way</v>
      </c>
      <c r="B4" s="22" t="str">
        <v>CT</v>
      </c>
      <c r="C4" s="47" t="str" cm="1">
        <f t="array" aca="1" ref="C4:K4" ca="1">IF(INDIRECT("'" &amp; $A4 &amp; "'!B12:J12")="", "", INDIRECT("'" &amp; $A4 &amp; "'!B12:J12"))</f>
        <v/>
      </c>
      <c r="D4" s="47" t="str">
        <f ca="1"/>
        <v/>
      </c>
      <c r="E4" s="47">
        <f ca="1"/>
        <v>0</v>
      </c>
      <c r="F4" s="51">
        <f ca="1"/>
        <v>0</v>
      </c>
      <c r="G4" s="49" t="str">
        <f ca="1"/>
        <v/>
      </c>
      <c r="H4" s="49">
        <f ca="1"/>
        <v>0</v>
      </c>
      <c r="I4" s="52">
        <f ca="1"/>
        <v>0</v>
      </c>
      <c r="J4" s="21" t="str">
        <f ca="1"/>
        <v/>
      </c>
      <c r="K4" s="21" t="str">
        <f ca="1"/>
        <v/>
      </c>
    </row>
    <row r="5" spans="1:11" ht="13.5" x14ac:dyDescent="0.35">
      <c r="A5" s="71" t="s">
        <v>7</v>
      </c>
      <c r="B5" s="72"/>
      <c r="C5" s="61">
        <f ca="1">SUM(C3:C4)</f>
        <v>0</v>
      </c>
      <c r="D5" s="61">
        <f ca="1">SUM(D3:D4)</f>
        <v>0</v>
      </c>
      <c r="E5" s="61">
        <f ca="1">C5-D5</f>
        <v>0</v>
      </c>
      <c r="F5" s="53">
        <f ca="1">IFERROR(E5/D5, 0)</f>
        <v>0</v>
      </c>
      <c r="G5" s="61">
        <f ca="1">SUM(G3:G4)</f>
        <v>0</v>
      </c>
      <c r="H5" s="62">
        <f ca="1">C5-G5</f>
        <v>0</v>
      </c>
      <c r="I5" s="54">
        <f ca="1">IFERROR(H5/G5, 0)</f>
        <v>0</v>
      </c>
      <c r="J5" s="8"/>
    </row>
    <row r="6" spans="1:11" x14ac:dyDescent="0.35">
      <c r="J6" s="8"/>
    </row>
    <row r="7" spans="1:11" ht="12.75" customHeight="1" x14ac:dyDescent="0.35">
      <c r="A7" s="73" t="s">
        <v>8</v>
      </c>
      <c r="J7" s="8"/>
    </row>
    <row r="8" spans="1:11" x14ac:dyDescent="0.35">
      <c r="A8" s="73"/>
      <c r="J8" s="8"/>
    </row>
    <row r="9" spans="1:11" x14ac:dyDescent="0.35">
      <c r="A9" s="74" t="s">
        <v>9</v>
      </c>
      <c r="J9" s="8"/>
    </row>
    <row r="10" spans="1:11" ht="12.75" customHeight="1" x14ac:dyDescent="0.35">
      <c r="A10" s="74"/>
      <c r="J10" s="8"/>
    </row>
    <row r="11" spans="1:11" ht="12.75" customHeight="1" x14ac:dyDescent="0.35">
      <c r="J11" s="8"/>
    </row>
    <row r="13" spans="1:11" ht="12.75" customHeight="1" x14ac:dyDescent="0.35"/>
    <row r="14" spans="1:11" ht="12.75" customHeight="1" x14ac:dyDescent="0.35"/>
  </sheetData>
  <autoFilter ref="A2:I2" xr:uid="{48D80AE8-42BF-4DAC-863F-113F77A3E00F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13" priority="1" operator="lessThanOrEqual">
      <formula>-0.1</formula>
    </cfRule>
    <cfRule type="cellIs" dxfId="12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14"/>
  <sheetViews>
    <sheetView workbookViewId="0">
      <pane ySplit="2" topLeftCell="A3" activePane="bottomLeft" state="frozen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75" t="str" cm="1">
        <f t="array" ref="A1">portfolio</f>
        <v>American Polyfilm, Inc.</v>
      </c>
      <c r="B1" s="76"/>
      <c r="C1" s="77" t="s">
        <v>28</v>
      </c>
      <c r="D1" s="78"/>
      <c r="E1" s="78"/>
      <c r="F1" s="79"/>
      <c r="G1" s="69" t="s">
        <v>29</v>
      </c>
      <c r="H1" s="69"/>
      <c r="I1" s="70"/>
      <c r="J1" s="80" t="s">
        <v>12</v>
      </c>
      <c r="K1" s="80" t="s">
        <v>13</v>
      </c>
    </row>
    <row r="2" spans="1:11" ht="14.25" customHeight="1" x14ac:dyDescent="0.35">
      <c r="A2" s="57" t="s">
        <v>0</v>
      </c>
      <c r="B2" s="58" t="s">
        <v>1</v>
      </c>
      <c r="C2" s="5" t="s">
        <v>2</v>
      </c>
      <c r="D2" s="55" t="s">
        <v>3</v>
      </c>
      <c r="E2" s="5" t="s">
        <v>4</v>
      </c>
      <c r="F2" s="6" t="s">
        <v>5</v>
      </c>
      <c r="G2" s="56" t="s">
        <v>6</v>
      </c>
      <c r="H2" s="7" t="s">
        <v>4</v>
      </c>
      <c r="I2" s="9" t="s">
        <v>5</v>
      </c>
      <c r="J2" s="81"/>
      <c r="K2" s="81"/>
    </row>
    <row r="3" spans="1:11" ht="15.75" x14ac:dyDescent="0.5">
      <c r="A3" s="59" t="str" cm="1">
        <f t="array" ref="A3:A4">Sites[Site]</f>
        <v>15 Baldwin Dr</v>
      </c>
      <c r="B3" s="46" t="str" cm="1">
        <f t="array" ref="B3:B4">Sites[State]</f>
        <v>CT</v>
      </c>
      <c r="C3" s="47" t="str" cm="1">
        <f t="array" aca="1" ref="C3:K3" ca="1">IF(INDIRECT("'" &amp; $A3 &amp; "'!B13:J13")="", "", INDIRECT("'" &amp; $A3 &amp; "'!B13:J13"))</f>
        <v/>
      </c>
      <c r="D3" s="47" t="str">
        <f ca="1"/>
        <v/>
      </c>
      <c r="E3" s="47">
        <f ca="1"/>
        <v>0</v>
      </c>
      <c r="F3" s="48">
        <f ca="1"/>
        <v>0</v>
      </c>
      <c r="G3" s="49" t="str">
        <f ca="1"/>
        <v/>
      </c>
      <c r="H3" s="49">
        <f ca="1"/>
        <v>0</v>
      </c>
      <c r="I3" s="50">
        <f ca="1"/>
        <v>0</v>
      </c>
      <c r="J3" s="21" t="str">
        <f ca="1"/>
        <v/>
      </c>
      <c r="K3" s="21" t="str">
        <f ca="1"/>
        <v/>
      </c>
    </row>
    <row r="4" spans="1:11" ht="15.75" x14ac:dyDescent="0.5">
      <c r="A4" s="60" t="str">
        <v>8 Sycamore Way</v>
      </c>
      <c r="B4" s="22" t="str">
        <v>CT</v>
      </c>
      <c r="C4" s="47" t="str" cm="1">
        <f t="array" aca="1" ref="C4:K4" ca="1">IF(INDIRECT("'" &amp; $A4 &amp; "'!B13:J13")="", "", INDIRECT("'" &amp; $A4 &amp; "'!B13:J13"))</f>
        <v/>
      </c>
      <c r="D4" s="47" t="str">
        <f ca="1"/>
        <v/>
      </c>
      <c r="E4" s="47">
        <f ca="1"/>
        <v>0</v>
      </c>
      <c r="F4" s="51">
        <f ca="1"/>
        <v>0</v>
      </c>
      <c r="G4" s="49" t="str">
        <f ca="1"/>
        <v/>
      </c>
      <c r="H4" s="49">
        <f ca="1"/>
        <v>0</v>
      </c>
      <c r="I4" s="52">
        <f ca="1"/>
        <v>0</v>
      </c>
      <c r="J4" s="21" t="str">
        <f ca="1"/>
        <v/>
      </c>
      <c r="K4" s="21" t="str">
        <f ca="1"/>
        <v/>
      </c>
    </row>
    <row r="5" spans="1:11" ht="13.5" x14ac:dyDescent="0.35">
      <c r="A5" s="71" t="s">
        <v>7</v>
      </c>
      <c r="B5" s="72"/>
      <c r="C5" s="61">
        <f ca="1">SUM(C3:C4)</f>
        <v>0</v>
      </c>
      <c r="D5" s="61">
        <f ca="1">SUM(D3:D4)</f>
        <v>0</v>
      </c>
      <c r="E5" s="61">
        <f ca="1">C5-D5</f>
        <v>0</v>
      </c>
      <c r="F5" s="53">
        <f ca="1">IFERROR(E5/D5, 0)</f>
        <v>0</v>
      </c>
      <c r="G5" s="61">
        <f ca="1">SUM(G3:G4)</f>
        <v>0</v>
      </c>
      <c r="H5" s="62">
        <f ca="1">C5-G5</f>
        <v>0</v>
      </c>
      <c r="I5" s="54">
        <f ca="1">IFERROR(H5/G5, 0)</f>
        <v>0</v>
      </c>
      <c r="J5" s="8"/>
    </row>
    <row r="6" spans="1:11" x14ac:dyDescent="0.35">
      <c r="J6" s="8"/>
    </row>
    <row r="7" spans="1:11" ht="12.75" customHeight="1" x14ac:dyDescent="0.35">
      <c r="A7" s="73" t="s">
        <v>8</v>
      </c>
      <c r="J7" s="8"/>
    </row>
    <row r="8" spans="1:11" x14ac:dyDescent="0.35">
      <c r="A8" s="73"/>
      <c r="J8" s="8"/>
    </row>
    <row r="9" spans="1:11" x14ac:dyDescent="0.35">
      <c r="A9" s="74" t="s">
        <v>9</v>
      </c>
      <c r="J9" s="8"/>
    </row>
    <row r="10" spans="1:11" ht="12.75" customHeight="1" x14ac:dyDescent="0.35">
      <c r="A10" s="74"/>
      <c r="J10" s="8"/>
    </row>
    <row r="11" spans="1:11" ht="12.75" customHeight="1" x14ac:dyDescent="0.35">
      <c r="J11" s="8"/>
    </row>
    <row r="13" spans="1:11" ht="12.75" customHeight="1" x14ac:dyDescent="0.35"/>
    <row r="14" spans="1:11" ht="12.75" customHeight="1" x14ac:dyDescent="0.35"/>
  </sheetData>
  <autoFilter ref="A2:I2" xr:uid="{534CA70E-2643-48AC-AA44-E3F75A2814BF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11" priority="1" operator="lessThanOrEqual">
      <formula>-0.1</formula>
    </cfRule>
    <cfRule type="cellIs" dxfId="10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14"/>
  <sheetViews>
    <sheetView workbookViewId="0">
      <pane ySplit="2" topLeftCell="A3" activePane="bottomLeft" state="frozen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75" t="str" cm="1">
        <f t="array" ref="A1">portfolio</f>
        <v>American Polyfilm, Inc.</v>
      </c>
      <c r="B1" s="76"/>
      <c r="C1" s="77" t="s">
        <v>30</v>
      </c>
      <c r="D1" s="78"/>
      <c r="E1" s="78"/>
      <c r="F1" s="79"/>
      <c r="G1" s="69" t="s">
        <v>31</v>
      </c>
      <c r="H1" s="69"/>
      <c r="I1" s="70"/>
      <c r="J1" s="80" t="s">
        <v>12</v>
      </c>
      <c r="K1" s="80" t="s">
        <v>13</v>
      </c>
    </row>
    <row r="2" spans="1:11" ht="14.25" customHeight="1" x14ac:dyDescent="0.35">
      <c r="A2" s="57" t="s">
        <v>0</v>
      </c>
      <c r="B2" s="58" t="s">
        <v>1</v>
      </c>
      <c r="C2" s="5" t="s">
        <v>2</v>
      </c>
      <c r="D2" s="55" t="s">
        <v>3</v>
      </c>
      <c r="E2" s="5" t="s">
        <v>4</v>
      </c>
      <c r="F2" s="6" t="s">
        <v>5</v>
      </c>
      <c r="G2" s="56" t="s">
        <v>6</v>
      </c>
      <c r="H2" s="7" t="s">
        <v>4</v>
      </c>
      <c r="I2" s="9" t="s">
        <v>5</v>
      </c>
      <c r="J2" s="81"/>
      <c r="K2" s="81"/>
    </row>
    <row r="3" spans="1:11" ht="15.75" x14ac:dyDescent="0.5">
      <c r="A3" s="59" t="str" cm="1">
        <f t="array" ref="A3:A4">Sites[Site]</f>
        <v>15 Baldwin Dr</v>
      </c>
      <c r="B3" s="46" t="str" cm="1">
        <f t="array" ref="B3:B4">Sites[State]</f>
        <v>CT</v>
      </c>
      <c r="C3" s="47" t="str" cm="1">
        <f t="array" aca="1" ref="C3:K3" ca="1">IF(INDIRECT("'" &amp; $A3 &amp; "'!B14:J14")="", "", INDIRECT("'" &amp; $A3 &amp; "'!B14:J14"))</f>
        <v/>
      </c>
      <c r="D3" s="47" t="str">
        <f ca="1"/>
        <v/>
      </c>
      <c r="E3" s="47">
        <f ca="1"/>
        <v>0</v>
      </c>
      <c r="F3" s="48">
        <f ca="1"/>
        <v>0</v>
      </c>
      <c r="G3" s="49" t="str">
        <f ca="1"/>
        <v/>
      </c>
      <c r="H3" s="49">
        <f ca="1"/>
        <v>0</v>
      </c>
      <c r="I3" s="50">
        <f ca="1"/>
        <v>0</v>
      </c>
      <c r="J3" s="21" t="str">
        <f ca="1"/>
        <v/>
      </c>
      <c r="K3" s="21" t="str">
        <f ca="1"/>
        <v/>
      </c>
    </row>
    <row r="4" spans="1:11" ht="15.75" x14ac:dyDescent="0.5">
      <c r="A4" s="60" t="str">
        <v>8 Sycamore Way</v>
      </c>
      <c r="B4" s="22" t="str">
        <v>CT</v>
      </c>
      <c r="C4" s="47" t="str" cm="1">
        <f t="array" aca="1" ref="C4:K4" ca="1">IF(INDIRECT("'" &amp; $A4 &amp; "'!B14:J14")="", "", INDIRECT("'" &amp; $A4 &amp; "'!B14:J14"))</f>
        <v/>
      </c>
      <c r="D4" s="47" t="str">
        <f ca="1"/>
        <v/>
      </c>
      <c r="E4" s="47">
        <f ca="1"/>
        <v>0</v>
      </c>
      <c r="F4" s="51">
        <f ca="1"/>
        <v>0</v>
      </c>
      <c r="G4" s="49" t="str">
        <f ca="1"/>
        <v/>
      </c>
      <c r="H4" s="49">
        <f ca="1"/>
        <v>0</v>
      </c>
      <c r="I4" s="52">
        <f ca="1"/>
        <v>0</v>
      </c>
      <c r="J4" s="21" t="str">
        <f ca="1"/>
        <v/>
      </c>
      <c r="K4" s="21" t="str">
        <f ca="1"/>
        <v/>
      </c>
    </row>
    <row r="5" spans="1:11" ht="13.5" x14ac:dyDescent="0.35">
      <c r="A5" s="71" t="s">
        <v>7</v>
      </c>
      <c r="B5" s="72"/>
      <c r="C5" s="61">
        <f ca="1">SUM(C3:C4)</f>
        <v>0</v>
      </c>
      <c r="D5" s="61">
        <f ca="1">SUM(D3:D4)</f>
        <v>0</v>
      </c>
      <c r="E5" s="61">
        <f ca="1">C5-D5</f>
        <v>0</v>
      </c>
      <c r="F5" s="53">
        <f ca="1">IFERROR(E5/D5, 0)</f>
        <v>0</v>
      </c>
      <c r="G5" s="61">
        <f ca="1">SUM(G3:G4)</f>
        <v>0</v>
      </c>
      <c r="H5" s="62">
        <f ca="1">C5-G5</f>
        <v>0</v>
      </c>
      <c r="I5" s="54">
        <f ca="1">IFERROR(H5/G5, 0)</f>
        <v>0</v>
      </c>
      <c r="J5" s="8"/>
    </row>
    <row r="6" spans="1:11" x14ac:dyDescent="0.35">
      <c r="J6" s="8"/>
    </row>
    <row r="7" spans="1:11" ht="12.75" customHeight="1" x14ac:dyDescent="0.35">
      <c r="A7" s="73" t="s">
        <v>8</v>
      </c>
      <c r="J7" s="8"/>
    </row>
    <row r="8" spans="1:11" x14ac:dyDescent="0.35">
      <c r="A8" s="73"/>
      <c r="J8" s="8"/>
    </row>
    <row r="9" spans="1:11" x14ac:dyDescent="0.35">
      <c r="A9" s="74" t="s">
        <v>9</v>
      </c>
      <c r="J9" s="8"/>
    </row>
    <row r="10" spans="1:11" ht="12.75" customHeight="1" x14ac:dyDescent="0.35">
      <c r="A10" s="74"/>
      <c r="J10" s="8"/>
    </row>
    <row r="11" spans="1:11" ht="12.75" customHeight="1" x14ac:dyDescent="0.35">
      <c r="J11" s="8"/>
    </row>
    <row r="13" spans="1:11" ht="12.75" customHeight="1" x14ac:dyDescent="0.35"/>
    <row r="14" spans="1:11" ht="12.75" customHeight="1" x14ac:dyDescent="0.35"/>
  </sheetData>
  <autoFilter ref="A2:I2" xr:uid="{B87DE706-15D9-4E58-ADBD-0129509DEFD6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9" priority="1" operator="lessThanOrEqual">
      <formula>-0.1</formula>
    </cfRule>
    <cfRule type="cellIs" dxfId="8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14"/>
  <sheetViews>
    <sheetView workbookViewId="0">
      <pane ySplit="2" topLeftCell="A3" activePane="bottomLeft" state="frozen"/>
      <selection pane="bottomLeft" activeCell="D27" sqref="D27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75" t="str" cm="1">
        <f t="array" ref="A1">portfolio</f>
        <v>American Polyfilm, Inc.</v>
      </c>
      <c r="B1" s="76"/>
      <c r="C1" s="77" t="s">
        <v>32</v>
      </c>
      <c r="D1" s="78"/>
      <c r="E1" s="78"/>
      <c r="F1" s="79"/>
      <c r="G1" s="69" t="s">
        <v>33</v>
      </c>
      <c r="H1" s="69"/>
      <c r="I1" s="70"/>
      <c r="J1" s="80" t="s">
        <v>12</v>
      </c>
      <c r="K1" s="80" t="s">
        <v>13</v>
      </c>
    </row>
    <row r="2" spans="1:11" ht="14.25" customHeight="1" x14ac:dyDescent="0.35">
      <c r="A2" s="57" t="s">
        <v>0</v>
      </c>
      <c r="B2" s="58" t="s">
        <v>1</v>
      </c>
      <c r="C2" s="5" t="s">
        <v>2</v>
      </c>
      <c r="D2" s="55" t="s">
        <v>3</v>
      </c>
      <c r="E2" s="5" t="s">
        <v>4</v>
      </c>
      <c r="F2" s="6" t="s">
        <v>5</v>
      </c>
      <c r="G2" s="56" t="s">
        <v>6</v>
      </c>
      <c r="H2" s="7" t="s">
        <v>4</v>
      </c>
      <c r="I2" s="9" t="s">
        <v>5</v>
      </c>
      <c r="J2" s="81"/>
      <c r="K2" s="81"/>
    </row>
    <row r="3" spans="1:11" ht="15.75" x14ac:dyDescent="0.5">
      <c r="A3" s="59" t="str" cm="1">
        <f t="array" ref="A3:A4">Sites[Site]</f>
        <v>15 Baldwin Dr</v>
      </c>
      <c r="B3" s="46" t="str" cm="1">
        <f t="array" ref="B3:B4">Sites[State]</f>
        <v>CT</v>
      </c>
      <c r="C3" s="47" t="str" cm="1">
        <f t="array" aca="1" ref="C3:K3" ca="1">IF(INDIRECT("'" &amp; $A3 &amp; "'!B15:J15")="", "", INDIRECT("'" &amp; $A3 &amp; "'!B15:J15"))</f>
        <v/>
      </c>
      <c r="D3" s="47" t="str">
        <f ca="1"/>
        <v/>
      </c>
      <c r="E3" s="47">
        <f ca="1"/>
        <v>0</v>
      </c>
      <c r="F3" s="48">
        <f ca="1"/>
        <v>0</v>
      </c>
      <c r="G3" s="49" t="str">
        <f ca="1"/>
        <v/>
      </c>
      <c r="H3" s="49">
        <f ca="1"/>
        <v>0</v>
      </c>
      <c r="I3" s="50">
        <f ca="1"/>
        <v>0</v>
      </c>
      <c r="J3" s="21" t="str">
        <f ca="1"/>
        <v/>
      </c>
      <c r="K3" s="21" t="str">
        <f ca="1"/>
        <v xml:space="preserve"> </v>
      </c>
    </row>
    <row r="4" spans="1:11" ht="15.75" x14ac:dyDescent="0.5">
      <c r="A4" s="60" t="str">
        <v>8 Sycamore Way</v>
      </c>
      <c r="B4" s="22" t="str">
        <v>CT</v>
      </c>
      <c r="C4" s="47" t="str" cm="1">
        <f t="array" aca="1" ref="C4:K4" ca="1">IF(INDIRECT("'" &amp; $A4 &amp; "'!B15:J15")="", "", INDIRECT("'" &amp; $A4 &amp; "'!B15:J15"))</f>
        <v/>
      </c>
      <c r="D4" s="47" t="str">
        <f ca="1"/>
        <v/>
      </c>
      <c r="E4" s="47">
        <f ca="1"/>
        <v>0</v>
      </c>
      <c r="F4" s="51">
        <f ca="1"/>
        <v>0</v>
      </c>
      <c r="G4" s="49" t="str">
        <f ca="1"/>
        <v/>
      </c>
      <c r="H4" s="49">
        <f ca="1"/>
        <v>0</v>
      </c>
      <c r="I4" s="52">
        <f ca="1"/>
        <v>0</v>
      </c>
      <c r="J4" s="21" t="str">
        <f ca="1"/>
        <v/>
      </c>
      <c r="K4" s="21" t="str">
        <f ca="1"/>
        <v xml:space="preserve"> </v>
      </c>
    </row>
    <row r="5" spans="1:11" ht="13.5" x14ac:dyDescent="0.35">
      <c r="A5" s="71" t="s">
        <v>7</v>
      </c>
      <c r="B5" s="72"/>
      <c r="C5" s="61">
        <f ca="1">SUM(C3:C4)</f>
        <v>0</v>
      </c>
      <c r="D5" s="61">
        <f ca="1">SUM(D3:D4)</f>
        <v>0</v>
      </c>
      <c r="E5" s="61">
        <f ca="1">C5-D5</f>
        <v>0</v>
      </c>
      <c r="F5" s="53">
        <f ca="1">IFERROR(E5/D5, 0)</f>
        <v>0</v>
      </c>
      <c r="G5" s="61">
        <f ca="1">SUM(G3:G4)</f>
        <v>0</v>
      </c>
      <c r="H5" s="62">
        <f ca="1">C5-G5</f>
        <v>0</v>
      </c>
      <c r="I5" s="54">
        <f ca="1">IFERROR(H5/G5, 0)</f>
        <v>0</v>
      </c>
      <c r="J5" s="8"/>
    </row>
    <row r="6" spans="1:11" x14ac:dyDescent="0.35">
      <c r="J6" s="8"/>
    </row>
    <row r="7" spans="1:11" ht="12.75" customHeight="1" x14ac:dyDescent="0.35">
      <c r="A7" s="73" t="s">
        <v>8</v>
      </c>
      <c r="J7" s="8"/>
    </row>
    <row r="8" spans="1:11" x14ac:dyDescent="0.35">
      <c r="A8" s="73"/>
      <c r="J8" s="8"/>
    </row>
    <row r="9" spans="1:11" x14ac:dyDescent="0.35">
      <c r="A9" s="74" t="s">
        <v>9</v>
      </c>
      <c r="J9" s="8"/>
    </row>
    <row r="10" spans="1:11" ht="12.75" customHeight="1" x14ac:dyDescent="0.35">
      <c r="A10" s="74"/>
      <c r="J10" s="8"/>
    </row>
    <row r="11" spans="1:11" ht="12.75" customHeight="1" x14ac:dyDescent="0.35">
      <c r="J11" s="8"/>
    </row>
    <row r="13" spans="1:11" ht="12.75" customHeight="1" x14ac:dyDescent="0.35"/>
    <row r="14" spans="1:11" ht="12.75" customHeight="1" x14ac:dyDescent="0.35"/>
  </sheetData>
  <autoFilter ref="A2:I2" xr:uid="{7397A98F-A32F-42EE-8114-2658DE422011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7" priority="1" operator="lessThanOrEqual">
      <formula>-0.1</formula>
    </cfRule>
    <cfRule type="cellIs" dxfId="6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14"/>
  <sheetViews>
    <sheetView workbookViewId="0">
      <pane ySplit="2" topLeftCell="A3" activePane="bottomLeft" state="frozen"/>
      <selection pane="bottomLeft" activeCell="D31" sqref="D3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75" t="str" cm="1">
        <f t="array" ref="A1">portfolio</f>
        <v>American Polyfilm, Inc.</v>
      </c>
      <c r="B1" s="76"/>
      <c r="C1" s="77" t="s">
        <v>34</v>
      </c>
      <c r="D1" s="78"/>
      <c r="E1" s="78"/>
      <c r="F1" s="79"/>
      <c r="G1" s="69" t="s">
        <v>35</v>
      </c>
      <c r="H1" s="69"/>
      <c r="I1" s="70"/>
      <c r="J1" s="80" t="s">
        <v>12</v>
      </c>
      <c r="K1" s="80" t="s">
        <v>13</v>
      </c>
    </row>
    <row r="2" spans="1:11" ht="14.25" customHeight="1" x14ac:dyDescent="0.35">
      <c r="A2" s="57" t="s">
        <v>0</v>
      </c>
      <c r="B2" s="58" t="s">
        <v>1</v>
      </c>
      <c r="C2" s="5" t="s">
        <v>2</v>
      </c>
      <c r="D2" s="55" t="s">
        <v>3</v>
      </c>
      <c r="E2" s="5" t="s">
        <v>4</v>
      </c>
      <c r="F2" s="6" t="s">
        <v>5</v>
      </c>
      <c r="G2" s="56" t="s">
        <v>6</v>
      </c>
      <c r="H2" s="7" t="s">
        <v>4</v>
      </c>
      <c r="I2" s="9" t="s">
        <v>5</v>
      </c>
      <c r="J2" s="81"/>
      <c r="K2" s="81"/>
    </row>
    <row r="3" spans="1:11" ht="15.75" x14ac:dyDescent="0.5">
      <c r="A3" s="59" t="str" cm="1">
        <f t="array" ref="A3:A4">Sites[Site]</f>
        <v>15 Baldwin Dr</v>
      </c>
      <c r="B3" s="46" t="str" cm="1">
        <f t="array" ref="B3:B4">Sites[State]</f>
        <v>CT</v>
      </c>
      <c r="C3" s="47" t="str" cm="1">
        <f t="array" aca="1" ref="C3:K3" ca="1">IF(INDIRECT("'" &amp; $A3 &amp; "'!B16:J16")="", "", INDIRECT("'" &amp; $A3 &amp; "'!B16:J16"))</f>
        <v/>
      </c>
      <c r="D3" s="47" t="str">
        <f ca="1"/>
        <v/>
      </c>
      <c r="E3" s="47">
        <f ca="1"/>
        <v>0</v>
      </c>
      <c r="F3" s="48">
        <f ca="1"/>
        <v>0</v>
      </c>
      <c r="G3" s="49" t="str">
        <f ca="1"/>
        <v/>
      </c>
      <c r="H3" s="49">
        <f ca="1"/>
        <v>0</v>
      </c>
      <c r="I3" s="50">
        <f ca="1"/>
        <v>0</v>
      </c>
      <c r="J3" s="21" t="str">
        <f ca="1"/>
        <v/>
      </c>
      <c r="K3" s="21" t="str">
        <f ca="1"/>
        <v xml:space="preserve"> </v>
      </c>
    </row>
    <row r="4" spans="1:11" ht="15.75" x14ac:dyDescent="0.5">
      <c r="A4" s="60" t="str">
        <v>8 Sycamore Way</v>
      </c>
      <c r="B4" s="22" t="str">
        <v>CT</v>
      </c>
      <c r="C4" s="47" t="str" cm="1">
        <f t="array" aca="1" ref="C4:K4" ca="1">IF(INDIRECT("'" &amp; $A4 &amp; "'!B16:J16")="", "", INDIRECT("'" &amp; $A4 &amp; "'!B16:J16"))</f>
        <v/>
      </c>
      <c r="D4" s="47" t="str">
        <f ca="1"/>
        <v/>
      </c>
      <c r="E4" s="47">
        <f ca="1"/>
        <v>0</v>
      </c>
      <c r="F4" s="51">
        <f ca="1"/>
        <v>0</v>
      </c>
      <c r="G4" s="49" t="str">
        <f ca="1"/>
        <v/>
      </c>
      <c r="H4" s="49">
        <f ca="1"/>
        <v>0</v>
      </c>
      <c r="I4" s="52">
        <f ca="1"/>
        <v>0</v>
      </c>
      <c r="J4" s="21" t="str">
        <f ca="1"/>
        <v/>
      </c>
      <c r="K4" s="21" t="str">
        <f ca="1"/>
        <v xml:space="preserve"> </v>
      </c>
    </row>
    <row r="5" spans="1:11" ht="13.5" x14ac:dyDescent="0.35">
      <c r="A5" s="71" t="s">
        <v>7</v>
      </c>
      <c r="B5" s="72"/>
      <c r="C5" s="61">
        <f ca="1">SUM(C3:C4)</f>
        <v>0</v>
      </c>
      <c r="D5" s="61">
        <f ca="1">SUM(D3:D4)</f>
        <v>0</v>
      </c>
      <c r="E5" s="61">
        <f ca="1">C5-D5</f>
        <v>0</v>
      </c>
      <c r="F5" s="53">
        <f ca="1">IFERROR(E5/D5, 0)</f>
        <v>0</v>
      </c>
      <c r="G5" s="61">
        <f ca="1">SUM(G3:G4)</f>
        <v>0</v>
      </c>
      <c r="H5" s="62">
        <f ca="1">C5-G5</f>
        <v>0</v>
      </c>
      <c r="I5" s="54">
        <f ca="1">IFERROR(H5/G5, 0)</f>
        <v>0</v>
      </c>
      <c r="J5" s="8"/>
    </row>
    <row r="6" spans="1:11" x14ac:dyDescent="0.35">
      <c r="J6" s="8"/>
    </row>
    <row r="7" spans="1:11" ht="12.75" customHeight="1" x14ac:dyDescent="0.35">
      <c r="A7" s="73" t="s">
        <v>8</v>
      </c>
      <c r="J7" s="8"/>
    </row>
    <row r="8" spans="1:11" x14ac:dyDescent="0.35">
      <c r="A8" s="73"/>
      <c r="J8" s="8"/>
    </row>
    <row r="9" spans="1:11" x14ac:dyDescent="0.35">
      <c r="A9" s="74" t="s">
        <v>9</v>
      </c>
      <c r="J9" s="8"/>
    </row>
    <row r="10" spans="1:11" ht="12.75" customHeight="1" x14ac:dyDescent="0.35">
      <c r="A10" s="74"/>
      <c r="J10" s="8"/>
    </row>
    <row r="11" spans="1:11" ht="12.75" customHeight="1" x14ac:dyDescent="0.35">
      <c r="J11" s="8"/>
    </row>
    <row r="13" spans="1:11" ht="12.75" customHeight="1" x14ac:dyDescent="0.35"/>
    <row r="14" spans="1:11" ht="12.75" customHeight="1" x14ac:dyDescent="0.35"/>
  </sheetData>
  <autoFilter ref="A2:I2" xr:uid="{7BFACBC8-3831-4E2B-BAD7-988F02FCC664}"/>
  <mergeCells count="8">
    <mergeCell ref="A9:A10"/>
    <mergeCell ref="G1:I1"/>
    <mergeCell ref="J1:J2"/>
    <mergeCell ref="K1:K2"/>
    <mergeCell ref="C1:F1"/>
    <mergeCell ref="A1:B1"/>
    <mergeCell ref="A5:B5"/>
    <mergeCell ref="A7:A8"/>
  </mergeCells>
  <conditionalFormatting sqref="F3:F5 I3:I5">
    <cfRule type="cellIs" dxfId="5" priority="1" operator="lessThanOrEqual">
      <formula>-0.1</formula>
    </cfRule>
    <cfRule type="cellIs" dxfId="4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A31" sqref="A31"/>
    </sheetView>
  </sheetViews>
  <sheetFormatPr defaultRowHeight="12.75" customHeight="1" x14ac:dyDescent="0.35"/>
  <cols>
    <col min="1" max="2" width="41.86328125" customWidth="1"/>
    <col min="4" max="4" width="9.1328125" customWidth="1"/>
    <col min="5" max="5" width="18.265625" customWidth="1"/>
    <col min="6" max="14" width="9.1328125" customWidth="1"/>
  </cols>
  <sheetData>
    <row r="1" spans="1:7" ht="12.75" customHeight="1" x14ac:dyDescent="0.35">
      <c r="A1" t="s">
        <v>36</v>
      </c>
      <c r="B1">
        <v>2023</v>
      </c>
    </row>
    <row r="2" spans="1:7" ht="12.75" customHeight="1" x14ac:dyDescent="0.35">
      <c r="A2" t="s">
        <v>37</v>
      </c>
      <c r="B2" t="s">
        <v>38</v>
      </c>
    </row>
    <row r="3" spans="1:7" x14ac:dyDescent="0.35">
      <c r="A3" t="s">
        <v>39</v>
      </c>
      <c r="B3" t="s">
        <v>0</v>
      </c>
      <c r="C3" t="s">
        <v>1</v>
      </c>
      <c r="D3" t="s">
        <v>40</v>
      </c>
      <c r="E3" s="2" t="s">
        <v>41</v>
      </c>
    </row>
    <row r="4" spans="1:7" ht="14.25" x14ac:dyDescent="0.45">
      <c r="A4" s="12" t="s">
        <v>42</v>
      </c>
      <c r="B4" s="12" t="s">
        <v>43</v>
      </c>
      <c r="C4" s="63" t="s">
        <v>44</v>
      </c>
      <c r="E4" t="s">
        <v>45</v>
      </c>
      <c r="G4" s="12"/>
    </row>
    <row r="5" spans="1:7" ht="14.25" x14ac:dyDescent="0.45">
      <c r="A5" s="12" t="s">
        <v>46</v>
      </c>
      <c r="B5" s="12" t="s">
        <v>46</v>
      </c>
      <c r="C5" s="63" t="s">
        <v>44</v>
      </c>
      <c r="E5" t="s">
        <v>45</v>
      </c>
      <c r="G5" s="1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rgb="FFFFFF00"/>
  </sheetPr>
  <dimension ref="A1:O20"/>
  <sheetViews>
    <sheetView tabSelected="1" workbookViewId="0">
      <selection activeCell="I36" sqref="I36"/>
    </sheetView>
  </sheetViews>
  <sheetFormatPr defaultRowHeight="12.75" x14ac:dyDescent="0.35"/>
  <cols>
    <col min="1" max="1" width="12.86328125" customWidth="1"/>
    <col min="2" max="2" width="12.86328125" style="2" customWidth="1"/>
    <col min="3" max="3" width="12.86328125" customWidth="1"/>
    <col min="4" max="4" width="15.1328125" bestFit="1" customWidth="1"/>
    <col min="5" max="5" width="13" bestFit="1" customWidth="1"/>
    <col min="6" max="6" width="12.59765625" bestFit="1" customWidth="1"/>
    <col min="7" max="7" width="17.3984375" bestFit="1" customWidth="1"/>
    <col min="8" max="8" width="14.59765625" bestFit="1" customWidth="1"/>
    <col min="9" max="9" width="77.1328125" customWidth="1"/>
    <col min="10" max="10" width="21.3984375" customWidth="1"/>
  </cols>
  <sheetData>
    <row r="1" spans="1:15" ht="24.6" customHeight="1" x14ac:dyDescent="0.7">
      <c r="A1" s="90" t="s">
        <v>43</v>
      </c>
      <c r="B1" s="90"/>
      <c r="C1" s="90"/>
      <c r="D1" s="90"/>
      <c r="E1" s="90"/>
      <c r="F1" s="90"/>
      <c r="G1" s="90"/>
      <c r="H1" s="90"/>
      <c r="I1" s="90"/>
      <c r="J1" s="90"/>
    </row>
    <row r="2" spans="1:15" ht="25.15" x14ac:dyDescent="0.7">
      <c r="A2" s="10"/>
      <c r="B2" s="10"/>
      <c r="C2" s="10"/>
      <c r="D2" s="10"/>
      <c r="E2" s="10"/>
    </row>
    <row r="3" spans="1:15" ht="16.5" customHeight="1" x14ac:dyDescent="0.4">
      <c r="A3" s="82" t="s">
        <v>47</v>
      </c>
      <c r="B3" s="83"/>
      <c r="C3" s="83"/>
      <c r="D3" s="83"/>
      <c r="E3" s="84"/>
      <c r="F3" s="85" t="s">
        <v>48</v>
      </c>
      <c r="G3" s="86"/>
      <c r="H3" s="87"/>
      <c r="I3" s="88" t="s">
        <v>49</v>
      </c>
      <c r="J3" s="89"/>
    </row>
    <row r="4" spans="1:15" ht="13.15" customHeight="1" x14ac:dyDescent="0.35">
      <c r="A4" s="13" t="s">
        <v>50</v>
      </c>
      <c r="B4" s="39" t="s">
        <v>2</v>
      </c>
      <c r="C4" s="39" t="s">
        <v>3</v>
      </c>
      <c r="D4" s="39" t="s">
        <v>51</v>
      </c>
      <c r="E4" s="40" t="s">
        <v>52</v>
      </c>
      <c r="F4" s="41" t="s">
        <v>6</v>
      </c>
      <c r="G4" s="42" t="s">
        <v>53</v>
      </c>
      <c r="H4" s="43" t="s">
        <v>54</v>
      </c>
      <c r="I4" s="44" t="s">
        <v>49</v>
      </c>
      <c r="J4" s="45" t="s">
        <v>55</v>
      </c>
    </row>
    <row r="5" spans="1:15" ht="13.15" customHeight="1" x14ac:dyDescent="0.45">
      <c r="A5" s="14" t="s">
        <v>56</v>
      </c>
      <c r="B5" s="15">
        <v>2566</v>
      </c>
      <c r="C5" s="15">
        <v>0</v>
      </c>
      <c r="D5" s="68">
        <f>B5-C5</f>
        <v>2566</v>
      </c>
      <c r="E5" s="17">
        <f t="shared" ref="E5:E16" si="0">IFERROR(D5/C5, 0)</f>
        <v>0</v>
      </c>
      <c r="F5" s="18">
        <v>0</v>
      </c>
      <c r="G5" s="19">
        <f>B5-F5</f>
        <v>2566</v>
      </c>
      <c r="H5" s="20">
        <f t="shared" ref="H5:H16" si="1">IFERROR(G5/F5, 0)</f>
        <v>0</v>
      </c>
      <c r="I5" s="64"/>
      <c r="J5" s="64" t="s">
        <v>57</v>
      </c>
      <c r="O5" s="4"/>
    </row>
    <row r="6" spans="1:15" ht="13.15" customHeight="1" x14ac:dyDescent="0.45">
      <c r="A6" s="22" t="s">
        <v>58</v>
      </c>
      <c r="B6" s="16"/>
      <c r="C6" s="16"/>
      <c r="D6" s="68">
        <f t="shared" ref="D6:D16" si="2">B6-C6</f>
        <v>0</v>
      </c>
      <c r="E6" s="23">
        <f t="shared" si="0"/>
        <v>0</v>
      </c>
      <c r="F6" s="24"/>
      <c r="G6" s="19">
        <f t="shared" ref="G6:G16" si="3">B6-F6</f>
        <v>0</v>
      </c>
      <c r="H6" s="20">
        <f t="shared" si="1"/>
        <v>0</v>
      </c>
      <c r="I6" s="64"/>
      <c r="J6" s="64" t="s">
        <v>57</v>
      </c>
    </row>
    <row r="7" spans="1:15" ht="13.15" customHeight="1" x14ac:dyDescent="0.45">
      <c r="A7" s="22" t="s">
        <v>59</v>
      </c>
      <c r="B7" s="16"/>
      <c r="C7" s="16"/>
      <c r="D7" s="68">
        <f t="shared" si="2"/>
        <v>0</v>
      </c>
      <c r="E7" s="23">
        <f t="shared" si="0"/>
        <v>0</v>
      </c>
      <c r="F7" s="25"/>
      <c r="G7" s="19">
        <f t="shared" si="3"/>
        <v>0</v>
      </c>
      <c r="H7" s="20">
        <f t="shared" si="1"/>
        <v>0</v>
      </c>
      <c r="I7" s="65"/>
      <c r="J7" s="65"/>
    </row>
    <row r="8" spans="1:15" ht="13.15" customHeight="1" x14ac:dyDescent="0.45">
      <c r="A8" s="22" t="s">
        <v>60</v>
      </c>
      <c r="B8" s="16"/>
      <c r="C8" s="16"/>
      <c r="D8" s="68">
        <f t="shared" si="2"/>
        <v>0</v>
      </c>
      <c r="E8" s="23">
        <f t="shared" si="0"/>
        <v>0</v>
      </c>
      <c r="F8" s="19"/>
      <c r="G8" s="19">
        <f t="shared" si="3"/>
        <v>0</v>
      </c>
      <c r="H8" s="20">
        <f t="shared" si="1"/>
        <v>0</v>
      </c>
      <c r="I8" s="64"/>
      <c r="J8" s="64"/>
    </row>
    <row r="9" spans="1:15" ht="13.15" customHeight="1" x14ac:dyDescent="0.45">
      <c r="A9" s="22" t="s">
        <v>61</v>
      </c>
      <c r="B9" s="16"/>
      <c r="C9" s="16"/>
      <c r="D9" s="68">
        <f t="shared" si="2"/>
        <v>0</v>
      </c>
      <c r="E9" s="23">
        <f t="shared" si="0"/>
        <v>0</v>
      </c>
      <c r="F9" s="19"/>
      <c r="G9" s="19">
        <f t="shared" si="3"/>
        <v>0</v>
      </c>
      <c r="H9" s="20">
        <f t="shared" si="1"/>
        <v>0</v>
      </c>
      <c r="I9" s="66"/>
      <c r="J9" s="66"/>
    </row>
    <row r="10" spans="1:15" ht="13.15" customHeight="1" x14ac:dyDescent="0.45">
      <c r="A10" s="22" t="s">
        <v>62</v>
      </c>
      <c r="B10" s="26"/>
      <c r="C10" s="26"/>
      <c r="D10" s="68">
        <f t="shared" si="2"/>
        <v>0</v>
      </c>
      <c r="E10" s="23">
        <f t="shared" si="0"/>
        <v>0</v>
      </c>
      <c r="F10" s="27"/>
      <c r="G10" s="19">
        <f t="shared" si="3"/>
        <v>0</v>
      </c>
      <c r="H10" s="20">
        <f t="shared" si="1"/>
        <v>0</v>
      </c>
      <c r="I10" s="64"/>
      <c r="J10" s="64" t="s">
        <v>57</v>
      </c>
    </row>
    <row r="11" spans="1:15" ht="13.15" customHeight="1" x14ac:dyDescent="0.45">
      <c r="A11" s="22" t="s">
        <v>63</v>
      </c>
      <c r="B11" s="16"/>
      <c r="C11" s="16"/>
      <c r="D11" s="68">
        <f t="shared" si="2"/>
        <v>0</v>
      </c>
      <c r="E11" s="23">
        <f t="shared" si="0"/>
        <v>0</v>
      </c>
      <c r="F11" s="24"/>
      <c r="G11" s="19">
        <f t="shared" si="3"/>
        <v>0</v>
      </c>
      <c r="H11" s="20">
        <f t="shared" si="1"/>
        <v>0</v>
      </c>
      <c r="I11" s="64"/>
      <c r="J11" s="64" t="s">
        <v>57</v>
      </c>
    </row>
    <row r="12" spans="1:15" ht="13.15" customHeight="1" x14ac:dyDescent="0.45">
      <c r="A12" s="22" t="s">
        <v>64</v>
      </c>
      <c r="B12" s="16"/>
      <c r="C12" s="16"/>
      <c r="D12" s="68">
        <f t="shared" si="2"/>
        <v>0</v>
      </c>
      <c r="E12" s="23">
        <f t="shared" si="0"/>
        <v>0</v>
      </c>
      <c r="F12" s="25"/>
      <c r="G12" s="19">
        <f t="shared" si="3"/>
        <v>0</v>
      </c>
      <c r="H12" s="20">
        <f t="shared" si="1"/>
        <v>0</v>
      </c>
      <c r="I12" s="65"/>
      <c r="J12" s="65"/>
    </row>
    <row r="13" spans="1:15" ht="13.15" customHeight="1" x14ac:dyDescent="0.45">
      <c r="A13" s="22" t="s">
        <v>65</v>
      </c>
      <c r="B13" s="16"/>
      <c r="C13" s="16"/>
      <c r="D13" s="68">
        <f t="shared" si="2"/>
        <v>0</v>
      </c>
      <c r="E13" s="23">
        <f t="shared" si="0"/>
        <v>0</v>
      </c>
      <c r="F13" s="19"/>
      <c r="G13" s="19">
        <f t="shared" si="3"/>
        <v>0</v>
      </c>
      <c r="H13" s="20">
        <f t="shared" si="1"/>
        <v>0</v>
      </c>
      <c r="I13" s="64"/>
      <c r="J13" s="64"/>
    </row>
    <row r="14" spans="1:15" ht="13.15" customHeight="1" x14ac:dyDescent="0.45">
      <c r="A14" s="22" t="s">
        <v>66</v>
      </c>
      <c r="B14" s="16"/>
      <c r="C14" s="16"/>
      <c r="D14" s="68">
        <f t="shared" si="2"/>
        <v>0</v>
      </c>
      <c r="E14" s="23">
        <f t="shared" si="0"/>
        <v>0</v>
      </c>
      <c r="F14" s="19"/>
      <c r="G14" s="19">
        <f t="shared" si="3"/>
        <v>0</v>
      </c>
      <c r="H14" s="20">
        <f t="shared" si="1"/>
        <v>0</v>
      </c>
      <c r="I14" s="66"/>
      <c r="J14" s="66"/>
    </row>
    <row r="15" spans="1:15" ht="13.15" customHeight="1" x14ac:dyDescent="0.45">
      <c r="A15" s="22" t="s">
        <v>67</v>
      </c>
      <c r="B15" s="26"/>
      <c r="C15" s="26"/>
      <c r="D15" s="68">
        <f t="shared" si="2"/>
        <v>0</v>
      </c>
      <c r="E15" s="23">
        <f t="shared" si="0"/>
        <v>0</v>
      </c>
      <c r="F15" s="27"/>
      <c r="G15" s="19">
        <f t="shared" si="3"/>
        <v>0</v>
      </c>
      <c r="H15" s="20">
        <f t="shared" si="1"/>
        <v>0</v>
      </c>
      <c r="I15" s="64"/>
      <c r="J15" s="64" t="s">
        <v>57</v>
      </c>
    </row>
    <row r="16" spans="1:15" ht="13.15" customHeight="1" x14ac:dyDescent="0.45">
      <c r="A16" s="28" t="s">
        <v>68</v>
      </c>
      <c r="B16" s="29"/>
      <c r="C16" s="29"/>
      <c r="D16" s="68">
        <f t="shared" si="2"/>
        <v>0</v>
      </c>
      <c r="E16" s="30">
        <f t="shared" si="0"/>
        <v>0</v>
      </c>
      <c r="F16" s="31"/>
      <c r="G16" s="32">
        <f t="shared" si="3"/>
        <v>0</v>
      </c>
      <c r="H16" s="33">
        <f t="shared" si="1"/>
        <v>0</v>
      </c>
      <c r="I16" s="67"/>
      <c r="J16" s="67" t="s">
        <v>57</v>
      </c>
    </row>
    <row r="17" spans="1:15" ht="13.15" customHeight="1" x14ac:dyDescent="0.45">
      <c r="A17" s="34" t="s">
        <v>69</v>
      </c>
      <c r="B17" s="35">
        <f>SUM(B5:B16)</f>
        <v>2566</v>
      </c>
      <c r="C17" s="35">
        <f t="shared" ref="C17:F17" si="4">SUM(C5:C16)</f>
        <v>0</v>
      </c>
      <c r="D17" s="35">
        <f>B17-C17</f>
        <v>2566</v>
      </c>
      <c r="E17" s="36">
        <f>IFERROR(D17/C17, 0)</f>
        <v>0</v>
      </c>
      <c r="F17" s="35">
        <f t="shared" si="4"/>
        <v>0</v>
      </c>
      <c r="G17" s="35">
        <f>B17-F17</f>
        <v>2566</v>
      </c>
      <c r="H17" s="37">
        <f>IFERROR(G17/F17, 0)</f>
        <v>0</v>
      </c>
      <c r="I17" s="38"/>
      <c r="J17" s="38"/>
    </row>
    <row r="18" spans="1:15" x14ac:dyDescent="0.35">
      <c r="F18" s="11"/>
    </row>
    <row r="20" spans="1:15" ht="13.5" customHeight="1" x14ac:dyDescent="0.3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8CD8-C5CA-429A-A1E4-4364FF1DA89E}">
  <sheetPr>
    <tabColor rgb="FFFFFF00"/>
  </sheetPr>
  <dimension ref="A1:O20"/>
  <sheetViews>
    <sheetView workbookViewId="0">
      <selection activeCell="G26" sqref="G26"/>
    </sheetView>
  </sheetViews>
  <sheetFormatPr defaultRowHeight="12.75" x14ac:dyDescent="0.35"/>
  <cols>
    <col min="1" max="1" width="12.86328125" customWidth="1"/>
    <col min="2" max="2" width="12.86328125" style="2" customWidth="1"/>
    <col min="3" max="3" width="12.86328125" customWidth="1"/>
    <col min="4" max="4" width="15.1328125" bestFit="1" customWidth="1"/>
    <col min="5" max="5" width="13" bestFit="1" customWidth="1"/>
    <col min="6" max="6" width="12.59765625" bestFit="1" customWidth="1"/>
    <col min="7" max="7" width="17.3984375" bestFit="1" customWidth="1"/>
    <col min="8" max="8" width="14.59765625" bestFit="1" customWidth="1"/>
    <col min="9" max="9" width="77.1328125" customWidth="1"/>
    <col min="10" max="10" width="21.3984375" customWidth="1"/>
  </cols>
  <sheetData>
    <row r="1" spans="1:15" ht="24.6" customHeight="1" x14ac:dyDescent="0.7">
      <c r="A1" s="90" t="s">
        <v>46</v>
      </c>
      <c r="B1" s="90"/>
      <c r="C1" s="90"/>
      <c r="D1" s="90"/>
      <c r="E1" s="90"/>
      <c r="F1" s="90"/>
      <c r="G1" s="90"/>
      <c r="H1" s="90"/>
      <c r="I1" s="90"/>
      <c r="J1" s="90"/>
    </row>
    <row r="2" spans="1:15" ht="25.15" x14ac:dyDescent="0.7">
      <c r="A2" s="10"/>
      <c r="B2" s="10"/>
      <c r="C2" s="10"/>
      <c r="D2" s="10"/>
      <c r="E2" s="10"/>
    </row>
    <row r="3" spans="1:15" ht="16.5" customHeight="1" x14ac:dyDescent="0.4">
      <c r="A3" s="82" t="s">
        <v>47</v>
      </c>
      <c r="B3" s="83"/>
      <c r="C3" s="83"/>
      <c r="D3" s="83"/>
      <c r="E3" s="84"/>
      <c r="F3" s="85" t="s">
        <v>48</v>
      </c>
      <c r="G3" s="86"/>
      <c r="H3" s="87"/>
      <c r="I3" s="88" t="s">
        <v>49</v>
      </c>
      <c r="J3" s="89"/>
    </row>
    <row r="4" spans="1:15" ht="13.15" customHeight="1" x14ac:dyDescent="0.35">
      <c r="A4" s="13" t="s">
        <v>50</v>
      </c>
      <c r="B4" s="39" t="s">
        <v>2</v>
      </c>
      <c r="C4" s="39" t="s">
        <v>3</v>
      </c>
      <c r="D4" s="39" t="s">
        <v>51</v>
      </c>
      <c r="E4" s="40" t="s">
        <v>52</v>
      </c>
      <c r="F4" s="41" t="s">
        <v>6</v>
      </c>
      <c r="G4" s="42" t="s">
        <v>53</v>
      </c>
      <c r="H4" s="43" t="s">
        <v>54</v>
      </c>
      <c r="I4" s="44" t="s">
        <v>49</v>
      </c>
      <c r="J4" s="45" t="s">
        <v>55</v>
      </c>
    </row>
    <row r="5" spans="1:15" ht="13.15" customHeight="1" x14ac:dyDescent="0.45">
      <c r="A5" s="14" t="s">
        <v>56</v>
      </c>
      <c r="B5" s="15">
        <v>4263</v>
      </c>
      <c r="C5" s="15">
        <v>0</v>
      </c>
      <c r="D5" s="68">
        <f>B5-C5</f>
        <v>4263</v>
      </c>
      <c r="E5" s="17">
        <f t="shared" ref="E5:E16" si="0">IFERROR(D5/C5, 0)</f>
        <v>0</v>
      </c>
      <c r="F5" s="18">
        <v>7721</v>
      </c>
      <c r="G5" s="19">
        <f>B5-F5</f>
        <v>-3458</v>
      </c>
      <c r="H5" s="20">
        <f t="shared" ref="H5:H16" si="1">IFERROR(G5/F5, 0)</f>
        <v>-0.44786944696282865</v>
      </c>
      <c r="I5" s="64"/>
      <c r="J5" s="64" t="s">
        <v>57</v>
      </c>
      <c r="O5" s="4"/>
    </row>
    <row r="6" spans="1:15" ht="13.15" customHeight="1" x14ac:dyDescent="0.45">
      <c r="A6" s="22" t="s">
        <v>58</v>
      </c>
      <c r="B6" s="16"/>
      <c r="C6" s="16"/>
      <c r="D6" s="68">
        <f t="shared" ref="D6:D16" si="2">B6-C6</f>
        <v>0</v>
      </c>
      <c r="E6" s="23">
        <f t="shared" si="0"/>
        <v>0</v>
      </c>
      <c r="F6" s="24"/>
      <c r="G6" s="19">
        <f t="shared" ref="G6:G16" si="3">B6-F6</f>
        <v>0</v>
      </c>
      <c r="H6" s="20">
        <f t="shared" si="1"/>
        <v>0</v>
      </c>
      <c r="I6" s="64"/>
      <c r="J6" s="64" t="s">
        <v>57</v>
      </c>
    </row>
    <row r="7" spans="1:15" ht="13.15" customHeight="1" x14ac:dyDescent="0.45">
      <c r="A7" s="22" t="s">
        <v>59</v>
      </c>
      <c r="B7" s="16"/>
      <c r="C7" s="16"/>
      <c r="D7" s="68">
        <f t="shared" si="2"/>
        <v>0</v>
      </c>
      <c r="E7" s="23">
        <f t="shared" si="0"/>
        <v>0</v>
      </c>
      <c r="F7" s="25"/>
      <c r="G7" s="19">
        <f t="shared" si="3"/>
        <v>0</v>
      </c>
      <c r="H7" s="20">
        <f t="shared" si="1"/>
        <v>0</v>
      </c>
      <c r="I7" s="65"/>
      <c r="J7" s="65"/>
    </row>
    <row r="8" spans="1:15" ht="13.15" customHeight="1" x14ac:dyDescent="0.45">
      <c r="A8" s="22" t="s">
        <v>60</v>
      </c>
      <c r="B8" s="16"/>
      <c r="C8" s="16"/>
      <c r="D8" s="68">
        <f t="shared" si="2"/>
        <v>0</v>
      </c>
      <c r="E8" s="23">
        <f t="shared" si="0"/>
        <v>0</v>
      </c>
      <c r="F8" s="19"/>
      <c r="G8" s="19">
        <f t="shared" si="3"/>
        <v>0</v>
      </c>
      <c r="H8" s="20">
        <f t="shared" si="1"/>
        <v>0</v>
      </c>
      <c r="I8" s="64"/>
      <c r="J8" s="64"/>
    </row>
    <row r="9" spans="1:15" ht="13.15" customHeight="1" x14ac:dyDescent="0.45">
      <c r="A9" s="22" t="s">
        <v>61</v>
      </c>
      <c r="B9" s="16"/>
      <c r="C9" s="16"/>
      <c r="D9" s="68">
        <f t="shared" si="2"/>
        <v>0</v>
      </c>
      <c r="E9" s="23">
        <f t="shared" si="0"/>
        <v>0</v>
      </c>
      <c r="F9" s="19"/>
      <c r="G9" s="19">
        <f t="shared" si="3"/>
        <v>0</v>
      </c>
      <c r="H9" s="20">
        <f t="shared" si="1"/>
        <v>0</v>
      </c>
      <c r="I9" s="66"/>
      <c r="J9" s="66"/>
    </row>
    <row r="10" spans="1:15" ht="13.15" customHeight="1" x14ac:dyDescent="0.45">
      <c r="A10" s="22" t="s">
        <v>62</v>
      </c>
      <c r="B10" s="26"/>
      <c r="C10" s="26"/>
      <c r="D10" s="68">
        <f t="shared" si="2"/>
        <v>0</v>
      </c>
      <c r="E10" s="23">
        <f t="shared" si="0"/>
        <v>0</v>
      </c>
      <c r="F10" s="27"/>
      <c r="G10" s="19">
        <f t="shared" si="3"/>
        <v>0</v>
      </c>
      <c r="H10" s="20">
        <f t="shared" si="1"/>
        <v>0</v>
      </c>
      <c r="I10" s="64"/>
      <c r="J10" s="64" t="s">
        <v>57</v>
      </c>
    </row>
    <row r="11" spans="1:15" ht="13.15" customHeight="1" x14ac:dyDescent="0.45">
      <c r="A11" s="22" t="s">
        <v>63</v>
      </c>
      <c r="B11" s="16"/>
      <c r="C11" s="16"/>
      <c r="D11" s="68">
        <f t="shared" si="2"/>
        <v>0</v>
      </c>
      <c r="E11" s="23">
        <f t="shared" si="0"/>
        <v>0</v>
      </c>
      <c r="F11" s="24"/>
      <c r="G11" s="19">
        <f t="shared" si="3"/>
        <v>0</v>
      </c>
      <c r="H11" s="20">
        <f t="shared" si="1"/>
        <v>0</v>
      </c>
      <c r="I11" s="64"/>
      <c r="J11" s="64" t="s">
        <v>57</v>
      </c>
    </row>
    <row r="12" spans="1:15" ht="13.15" customHeight="1" x14ac:dyDescent="0.45">
      <c r="A12" s="22" t="s">
        <v>64</v>
      </c>
      <c r="B12" s="16"/>
      <c r="C12" s="16"/>
      <c r="D12" s="68">
        <f t="shared" si="2"/>
        <v>0</v>
      </c>
      <c r="E12" s="23">
        <f t="shared" si="0"/>
        <v>0</v>
      </c>
      <c r="F12" s="25"/>
      <c r="G12" s="19">
        <f t="shared" si="3"/>
        <v>0</v>
      </c>
      <c r="H12" s="20">
        <f t="shared" si="1"/>
        <v>0</v>
      </c>
      <c r="I12" s="65"/>
      <c r="J12" s="65"/>
    </row>
    <row r="13" spans="1:15" ht="13.15" customHeight="1" x14ac:dyDescent="0.45">
      <c r="A13" s="22" t="s">
        <v>65</v>
      </c>
      <c r="B13" s="16"/>
      <c r="C13" s="16"/>
      <c r="D13" s="68">
        <f t="shared" si="2"/>
        <v>0</v>
      </c>
      <c r="E13" s="23">
        <f t="shared" si="0"/>
        <v>0</v>
      </c>
      <c r="F13" s="19"/>
      <c r="G13" s="19">
        <f t="shared" si="3"/>
        <v>0</v>
      </c>
      <c r="H13" s="20">
        <f t="shared" si="1"/>
        <v>0</v>
      </c>
      <c r="I13" s="64"/>
      <c r="J13" s="64"/>
    </row>
    <row r="14" spans="1:15" ht="13.15" customHeight="1" x14ac:dyDescent="0.45">
      <c r="A14" s="22" t="s">
        <v>66</v>
      </c>
      <c r="B14" s="16"/>
      <c r="C14" s="16"/>
      <c r="D14" s="68">
        <f t="shared" si="2"/>
        <v>0</v>
      </c>
      <c r="E14" s="23">
        <f t="shared" si="0"/>
        <v>0</v>
      </c>
      <c r="F14" s="19"/>
      <c r="G14" s="19">
        <f t="shared" si="3"/>
        <v>0</v>
      </c>
      <c r="H14" s="20">
        <f t="shared" si="1"/>
        <v>0</v>
      </c>
      <c r="I14" s="66"/>
      <c r="J14" s="66"/>
    </row>
    <row r="15" spans="1:15" ht="13.15" customHeight="1" x14ac:dyDescent="0.45">
      <c r="A15" s="22" t="s">
        <v>67</v>
      </c>
      <c r="B15" s="26"/>
      <c r="C15" s="26"/>
      <c r="D15" s="68">
        <f t="shared" si="2"/>
        <v>0</v>
      </c>
      <c r="E15" s="23">
        <f t="shared" si="0"/>
        <v>0</v>
      </c>
      <c r="F15" s="27"/>
      <c r="G15" s="19">
        <f t="shared" si="3"/>
        <v>0</v>
      </c>
      <c r="H15" s="20">
        <f t="shared" si="1"/>
        <v>0</v>
      </c>
      <c r="I15" s="64"/>
      <c r="J15" s="64" t="s">
        <v>57</v>
      </c>
    </row>
    <row r="16" spans="1:15" ht="13.15" customHeight="1" x14ac:dyDescent="0.45">
      <c r="A16" s="28" t="s">
        <v>68</v>
      </c>
      <c r="B16" s="29"/>
      <c r="C16" s="29"/>
      <c r="D16" s="68">
        <f t="shared" si="2"/>
        <v>0</v>
      </c>
      <c r="E16" s="30">
        <f t="shared" si="0"/>
        <v>0</v>
      </c>
      <c r="F16" s="31"/>
      <c r="G16" s="32">
        <f t="shared" si="3"/>
        <v>0</v>
      </c>
      <c r="H16" s="33">
        <f t="shared" si="1"/>
        <v>0</v>
      </c>
      <c r="I16" s="67"/>
      <c r="J16" s="67" t="s">
        <v>57</v>
      </c>
    </row>
    <row r="17" spans="1:15" ht="13.15" customHeight="1" x14ac:dyDescent="0.45">
      <c r="A17" s="34" t="s">
        <v>69</v>
      </c>
      <c r="B17" s="35">
        <f>SUM(B5:B16)</f>
        <v>4263</v>
      </c>
      <c r="C17" s="35">
        <f t="shared" ref="C17:F17" si="4">SUM(C5:C16)</f>
        <v>0</v>
      </c>
      <c r="D17" s="35">
        <f>B17-C17</f>
        <v>4263</v>
      </c>
      <c r="E17" s="36">
        <f>IFERROR(D17/C17, 0)</f>
        <v>0</v>
      </c>
      <c r="F17" s="35">
        <f t="shared" si="4"/>
        <v>7721</v>
      </c>
      <c r="G17" s="35">
        <f>B17-F17</f>
        <v>-3458</v>
      </c>
      <c r="H17" s="37">
        <f>IFERROR(G17/F17, 0)</f>
        <v>-0.44786944696282865</v>
      </c>
      <c r="I17" s="38"/>
      <c r="J17" s="38"/>
    </row>
    <row r="18" spans="1:15" x14ac:dyDescent="0.35">
      <c r="F18" s="11"/>
    </row>
    <row r="20" spans="1:15" ht="13.5" customHeight="1" x14ac:dyDescent="0.3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1" priority="1" operator="lessThanOrEqual">
      <formula>-0.1</formula>
    </cfRule>
    <cfRule type="cellIs" dxfId="0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448034E8-9814-45A5-BC03-9B60DCF5580E}"/>
</file>

<file path=customXml/itemProps2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732231-4216-4543-A665-18A2886B0EB7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sharepoint/v3"/>
    <ds:schemaRef ds:uri="http://schemas.microsoft.com/office/2006/metadata/properties"/>
    <ds:schemaRef ds:uri="http://purl.org/dc/dcmitype/"/>
    <ds:schemaRef ds:uri="http://schemas.openxmlformats.org/package/2006/metadata/core-properties"/>
    <ds:schemaRef ds:uri="7f39bfab-6331-41a1-b6d4-5b974a316951"/>
    <ds:schemaRef ds:uri="http://purl.org/dc/terms/"/>
    <ds:schemaRef ds:uri="ddcd8467-55ca-498e-a9f8-86795db5db7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10</vt:i4>
      </vt:variant>
    </vt:vector>
  </HeadingPairs>
  <TitlesOfParts>
    <vt:vector size="30" baseType="lpstr">
      <vt:lpstr>YTD Total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15 Baldwin Dr</vt:lpstr>
      <vt:lpstr>8 Sycamore Way</vt:lpstr>
      <vt:lpstr>JanActual</vt:lpstr>
      <vt:lpstr>JanExpected</vt:lpstr>
      <vt:lpstr>JanExpectedDelta</vt:lpstr>
      <vt:lpstr>JanExpectedPercent</vt:lpstr>
      <vt:lpstr>JanExpPercent</vt:lpstr>
      <vt:lpstr>JanForecasted</vt:lpstr>
      <vt:lpstr>JanForecastedDelta</vt:lpstr>
      <vt:lpstr>JanForecastedPercent</vt:lpstr>
      <vt:lpstr>portfolio</vt:lpstr>
      <vt:lpstr>Year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2024-02-10T22:31:15Z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