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E055DD24-2325-45FB-9662-429E1B6D4754}" xr6:coauthVersionLast="47" xr6:coauthVersionMax="47" xr10:uidLastSave="{0C1CF908-957C-46A9-AF0F-1F59A331D372}"/>
  <bookViews>
    <workbookView xWindow="28690" yWindow="-8520" windowWidth="34620" windowHeight="1390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4" l="1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E17" i="18" s="1"/>
  <c r="F17" i="18" s="1"/>
  <c r="D17" i="18"/>
  <c r="H17" i="18"/>
  <c r="I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E19" i="34" s="1"/>
  <c r="F19" i="34" s="1"/>
  <c r="D19" i="34"/>
  <c r="C20" i="34"/>
  <c r="D20" i="34"/>
  <c r="C21" i="34"/>
  <c r="D21" i="34"/>
  <c r="C22" i="34"/>
  <c r="E22" i="34" s="1"/>
  <c r="F22" i="34" s="1"/>
  <c r="D22" i="34"/>
  <c r="C23" i="34"/>
  <c r="E23" i="34" s="1"/>
  <c r="F23" i="34" s="1"/>
  <c r="D23" i="34"/>
  <c r="C24" i="34"/>
  <c r="D24" i="34"/>
  <c r="C25" i="34"/>
  <c r="D25" i="34"/>
  <c r="E23" i="29" l="1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E23" i="1" s="1"/>
  <c r="F23" i="1" s="1"/>
  <c r="D23" i="1"/>
  <c r="G23" i="1"/>
  <c r="C24" i="1"/>
  <c r="E24" i="1" s="1"/>
  <c r="F24" i="1" s="1"/>
  <c r="D24" i="1"/>
  <c r="G24" i="1"/>
  <c r="G24" i="34" s="1"/>
  <c r="C25" i="1"/>
  <c r="D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1" i="1" l="1"/>
  <c r="F21" i="1" s="1"/>
  <c r="I25" i="72"/>
  <c r="H25" i="34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19" i="72"/>
  <c r="H19" i="34"/>
  <c r="I25" i="34"/>
  <c r="I19" i="34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<sst xmlns="http://schemas.openxmlformats.org/spreadsheetml/2006/main" count="359" uniqueCount="114">
  <si>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</si>
  <si>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</si>
  <si>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</si>
  <si>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</si>
  <si>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</si>
  <si>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</si>
  <si>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</si>
  <si>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</si>
  <si>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</si>
  <si>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</si>
  <si>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</si>
  <si>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</si>
  <si>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</si>
  <si>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</si>
  <si>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</si>
  <si>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</si>
  <si>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</si>
  <si>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</si>
  <si>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</si>
  <si>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</si>
  <si>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</si>
  <si>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</si>
  <si>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</si>
  <si>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</si>
  <si>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</si>
  <si>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</si>
  <si>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</si>
  <si>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</si>
  <si>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</si>
  <si>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</si>
  <si>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</si>
  <si>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</si>
  <si>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</si>
  <si>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</si>
  <si>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</si>
  <si>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</si>
  <si>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</si>
  <si>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</si>
  <si>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</si>
  <si>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</si>
  <si>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</si>
  <si>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</si>
  <si>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</si>
  <si>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</si>
  <si>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</si>
  <si>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</si>
  <si>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</si>
  <si>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</si>
  <si>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</si>
  <si>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</si>
  <si>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</si>
  <si>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</si>
  <si>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</si>
  <si>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</si>
  <si>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</si>
  <si>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</si>
  <si>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</si>
  <si>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</si>
  <si>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</si>
  <si>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</si>
  <si>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</si>
  <si>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Update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</si>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</sst>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K15" sqref="K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SUM(C4:C100)</f>
        <v>205652.6</v>
      </c>
      <c r="D2" s="5">
        <f>SUM(D4:D100)</f>
        <v>0</v>
      </c>
      <c r="E2" s="5">
        <f>C2-D2</f>
        <v>205652.6</v>
      </c>
      <c r="F2" s="6">
        <f>IFERROR(E2/D2, 0)</f>
        <v>0</v>
      </c>
      <c r="G2" s="5">
        <f>SUM(G4:G100)</f>
        <v>444598.28000000014</v>
      </c>
      <c r="H2" s="7">
        <f>C2-G2</f>
        <v>-238945.68000000014</v>
      </c>
      <c r="I2" s="6">
        <f>IFERROR(H2/G2, 0)</f>
        <v>-0.53744175528524329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Iron Mountain - Windsor</v>
      </c>
      <c r="B4" s="9" t="str" cm="1">
        <f t="array" ref="B4:B25">Sites[State]</f>
        <v>CT</v>
      </c>
      <c r="C4" s="24">
        <f>SUM('1st Qtr'!C4, '2nd Qtr'!C4, '3rd Qtr'!C4, '4th Qtr'!C4)</f>
        <v>6324</v>
      </c>
      <c r="D4" s="13">
        <f>SUM('1st Qtr'!D4, '2nd Qtr'!D4, '3rd Qtr'!D4, '4th Qtr'!D4)</f>
        <v>0</v>
      </c>
      <c r="E4" s="13">
        <f>IF(AND(ISNUMBER(C4),ISNUMBER(D4)), C4-D4, "")</f>
        <v>6324</v>
      </c>
      <c r="F4" s="14" t="str">
        <f>IFERROR(E4/D4, "")</f>
        <v/>
      </c>
      <c r="G4" s="15">
        <f>SUM('1st Qtr'!G4, '2nd Qtr'!G4, '3rd Qtr'!G4, '4th Qtr'!G4)</f>
        <v>13022.34</v>
      </c>
      <c r="H4" s="15">
        <f>SUM('1st Qtr'!H4, '2nd Qtr'!H4, '3rd Qtr'!H4, '4th Qtr'!H4)</f>
        <v>-6698.34</v>
      </c>
      <c r="I4" s="16">
        <f>IFERROR(H4/G4, "")</f>
        <v>-0.5143729928722488</v>
      </c>
    </row>
    <row r="5" spans="1:9" ht="15.75">
      <c r="A5" s="17" t="str">
        <v>Kohls - Auburn</v>
      </c>
      <c r="B5" s="10" t="str">
        <v>NY</v>
      </c>
      <c r="C5" s="11">
        <f>SUM(Jan!C5, Feb!C5, Mar!C5)</f>
        <v>4362</v>
      </c>
      <c r="D5" s="18">
        <f>SUM(Jan!D5, Feb!D5, Mar!D5)</f>
        <v>0</v>
      </c>
      <c r="E5" s="18">
        <f t="shared" ref="E5:E15" si="0">IF(AND(ISNUMBER(C5),ISNUMBER(D5)), C5-D5, "")</f>
        <v>4362</v>
      </c>
      <c r="F5" s="19" t="str">
        <f>IFERROR(E5/D5, "")</f>
        <v/>
      </c>
      <c r="G5" s="20">
        <f>SUM('1st Qtr'!G5, '2nd Qtr'!G5, '3rd Qtr'!G5, '4th Qtr'!G5)</f>
        <v>4782</v>
      </c>
      <c r="H5" s="20">
        <f>SUM(Jan!H5, Feb!H5, Mar!H5)</f>
        <v>-420</v>
      </c>
      <c r="I5" s="19">
        <f>IFERROR(H5/G5, "")</f>
        <v>-8.7829360100376411E-2</v>
      </c>
    </row>
    <row r="6" spans="1:9" ht="15.75">
      <c r="A6" s="12" t="str">
        <v>Kohls - Bensalem</v>
      </c>
      <c r="B6" s="9" t="str">
        <v>PA</v>
      </c>
      <c r="C6" s="24">
        <f>SUM(Jan!C6, Feb!C6, Mar!C6)</f>
        <v>9630</v>
      </c>
      <c r="D6" s="13">
        <f>SUM(Jan!D6, Feb!D6, Mar!D6)</f>
        <v>0</v>
      </c>
      <c r="E6" s="13">
        <f t="shared" si="0"/>
        <v>9630</v>
      </c>
      <c r="F6" s="14" t="str">
        <f t="shared" ref="F6:F15" si="1">IFERROR(E6/D6, "")</f>
        <v/>
      </c>
      <c r="G6" s="15">
        <f>SUM('1st Qtr'!G6, '2nd Qtr'!G6, '3rd Qtr'!G6, '4th Qtr'!G6)</f>
        <v>15754.4</v>
      </c>
      <c r="H6" s="15">
        <f>SUM(Jan!H6, Feb!H6, Mar!H6)</f>
        <v>-6124.4</v>
      </c>
      <c r="I6" s="16">
        <f t="shared" ref="I6:I15" si="2">IFERROR(H6/G6, "")</f>
        <v>-0.38874219265728938</v>
      </c>
    </row>
    <row r="7" spans="1:9" ht="15.75">
      <c r="A7" s="17" t="str">
        <v>Kohls - Brick</v>
      </c>
      <c r="B7" s="10" t="str">
        <v>NJ</v>
      </c>
      <c r="C7" s="11">
        <f>SUM(Jan!C7, Feb!C7, Mar!C7)</f>
        <v>11393</v>
      </c>
      <c r="D7" s="18">
        <f>SUM(Jan!D7, Feb!D7, Mar!D7)</f>
        <v>0</v>
      </c>
      <c r="E7" s="18">
        <f t="shared" si="0"/>
        <v>11393</v>
      </c>
      <c r="F7" s="19" t="str">
        <f t="shared" si="1"/>
        <v/>
      </c>
      <c r="G7" s="20">
        <f>SUM('1st Qtr'!G7, '2nd Qtr'!G7, '3rd Qtr'!G7, '4th Qtr'!G7)</f>
        <v>16696.5</v>
      </c>
      <c r="H7" s="20">
        <f>SUM(Jan!H7, Feb!H7, Mar!H7)</f>
        <v>-5303.5</v>
      </c>
      <c r="I7" s="19">
        <f t="shared" si="2"/>
        <v>-0.31764142185487976</v>
      </c>
    </row>
    <row r="8" spans="1:9" ht="15.75">
      <c r="A8" s="12" t="str">
        <v>Kohls - Buffalo</v>
      </c>
      <c r="B8" s="9" t="str">
        <v>NY</v>
      </c>
      <c r="C8" s="24">
        <f>SUM(Jan!C8, Feb!C8, Mar!C8)</f>
        <v>3961</v>
      </c>
      <c r="D8" s="13">
        <f>SUM(Jan!D8, Feb!D8, Mar!D8)</f>
        <v>0</v>
      </c>
      <c r="E8" s="13">
        <f t="shared" si="0"/>
        <v>3961</v>
      </c>
      <c r="F8" s="14" t="str">
        <f t="shared" si="1"/>
        <v/>
      </c>
      <c r="G8" s="15">
        <f>SUM('1st Qtr'!G8, '2nd Qtr'!G8, '3rd Qtr'!G8, '4th Qtr'!G8)</f>
        <v>8044.58</v>
      </c>
      <c r="H8" s="15">
        <f>SUM(Jan!H8, Feb!H8, Mar!H8)</f>
        <v>-4083.58</v>
      </c>
      <c r="I8" s="16">
        <f t="shared" si="2"/>
        <v>-0.5076187942689363</v>
      </c>
    </row>
    <row r="9" spans="1:9" ht="15.75">
      <c r="A9" s="17" t="str">
        <v>Kohls - Canton</v>
      </c>
      <c r="B9" s="10" t="str">
        <v>CT</v>
      </c>
      <c r="C9" s="11">
        <f>SUM(Jan!C9, Feb!C9, Mar!C9)</f>
        <v>2979</v>
      </c>
      <c r="D9" s="18">
        <f>SUM(Jan!D9, Feb!D9, Mar!D9)</f>
        <v>0</v>
      </c>
      <c r="E9" s="18">
        <f t="shared" si="0"/>
        <v>2979</v>
      </c>
      <c r="F9" s="19" t="str">
        <f t="shared" si="1"/>
        <v/>
      </c>
      <c r="G9" s="20">
        <f>SUM('1st Qtr'!G9, '2nd Qtr'!G9, '3rd Qtr'!G9, '4th Qtr'!G9)</f>
        <v>5837.36</v>
      </c>
      <c r="H9" s="20">
        <f>SUM(Jan!H9, Feb!H9, Mar!H9)</f>
        <v>-2858.3599999999997</v>
      </c>
      <c r="I9" s="19">
        <f t="shared" si="2"/>
        <v>-0.48966656159633803</v>
      </c>
    </row>
    <row r="10" spans="1:9" ht="15.75">
      <c r="A10" s="12" t="str">
        <v>Kohls - East Amherst</v>
      </c>
      <c r="B10" s="9" t="str">
        <v>NY</v>
      </c>
      <c r="C10" s="24">
        <f>SUM(Jan!C10, Feb!C10, Mar!C10)</f>
        <v>2767</v>
      </c>
      <c r="D10" s="13">
        <f>SUM(Jan!D10, Feb!D10, Mar!D10)</f>
        <v>0</v>
      </c>
      <c r="E10" s="13">
        <f t="shared" si="0"/>
        <v>2767</v>
      </c>
      <c r="F10" s="14" t="str">
        <f t="shared" si="1"/>
        <v/>
      </c>
      <c r="G10" s="15">
        <f>SUM('1st Qtr'!G10, '2nd Qtr'!G10, '3rd Qtr'!G10, '4th Qtr'!G10)</f>
        <v>8482.7000000000007</v>
      </c>
      <c r="H10" s="15">
        <f>SUM(Jan!H10, Feb!H10, Mar!H10)</f>
        <v>-5715.7000000000007</v>
      </c>
      <c r="I10" s="16">
        <f t="shared" si="2"/>
        <v>-0.67380668890801276</v>
      </c>
    </row>
    <row r="11" spans="1:9" ht="15.75">
      <c r="A11" s="17" t="str">
        <v>Kohls - East Brunswick</v>
      </c>
      <c r="B11" s="10" t="str">
        <v>NJ</v>
      </c>
      <c r="C11" s="11">
        <f>SUM(Jan!C11, Feb!C11, Mar!C11)</f>
        <v>973</v>
      </c>
      <c r="D11" s="18">
        <f>SUM(Jan!D11, Feb!D11, Mar!D11)</f>
        <v>0</v>
      </c>
      <c r="E11" s="18">
        <f t="shared" si="0"/>
        <v>973</v>
      </c>
      <c r="F11" s="19" t="str">
        <f t="shared" si="1"/>
        <v/>
      </c>
      <c r="G11" s="20">
        <f>SUM('1st Qtr'!G11, '2nd Qtr'!G11, '3rd Qtr'!G11, '4th Qtr'!G11)</f>
        <v>23294.45</v>
      </c>
      <c r="H11" s="20">
        <f>SUM(Jan!H11, Feb!H11, Mar!H11)</f>
        <v>-22321.45</v>
      </c>
      <c r="I11" s="19">
        <f t="shared" si="2"/>
        <v>-0.95823039393503606</v>
      </c>
    </row>
    <row r="12" spans="1:9" ht="15.75">
      <c r="A12" s="12" t="str">
        <v>Kohls - Edgewood</v>
      </c>
      <c r="B12" s="9" t="str">
        <v>MD</v>
      </c>
      <c r="C12" s="24">
        <f>SUM(Jan!C12, Feb!C12, Mar!C12)</f>
        <v>71866</v>
      </c>
      <c r="D12" s="13">
        <f>SUM(Jan!D12, Feb!D12, Mar!D12)</f>
        <v>0</v>
      </c>
      <c r="E12" s="13">
        <f t="shared" si="0"/>
        <v>71866</v>
      </c>
      <c r="F12" s="14" t="str">
        <f t="shared" si="1"/>
        <v/>
      </c>
      <c r="G12" s="15">
        <f>SUM('1st Qtr'!G12, '2nd Qtr'!G12, '3rd Qtr'!G12, '4th Qtr'!G12)</f>
        <v>136238.63</v>
      </c>
      <c r="H12" s="15">
        <f>SUM(Jan!H12, Feb!H12, Mar!H12)</f>
        <v>-64372.630000000005</v>
      </c>
      <c r="I12" s="16">
        <f t="shared" si="2"/>
        <v>-0.47249909955788605</v>
      </c>
    </row>
    <row r="13" spans="1:9" ht="15.75">
      <c r="A13" s="17" t="str">
        <v>Kohls - Granite Run</v>
      </c>
      <c r="B13" s="10" t="str">
        <v>PA</v>
      </c>
      <c r="C13" s="11">
        <f>SUM(Jan!C13, Feb!C13, Mar!C13)</f>
        <v>9421</v>
      </c>
      <c r="D13" s="18">
        <f>SUM(Jan!D13, Feb!D13, Mar!D13)</f>
        <v>0</v>
      </c>
      <c r="E13" s="18">
        <f t="shared" si="0"/>
        <v>9421</v>
      </c>
      <c r="F13" s="19" t="str">
        <f t="shared" si="1"/>
        <v/>
      </c>
      <c r="G13" s="20">
        <f>SUM('1st Qtr'!G13, '2nd Qtr'!G13, '3rd Qtr'!G13, '4th Qtr'!G13)</f>
        <v>16020.95</v>
      </c>
      <c r="H13" s="20">
        <f>SUM(Jan!H13, Feb!H13, Mar!H13)</f>
        <v>-6599.9500000000007</v>
      </c>
      <c r="I13" s="19">
        <f t="shared" si="2"/>
        <v>-0.4119574681900886</v>
      </c>
    </row>
    <row r="14" spans="1:9" ht="15.75">
      <c r="A14" s="12" t="str">
        <v>Kohls - Greece</v>
      </c>
      <c r="B14" s="9" t="str">
        <v>NY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SUM('1st Qtr'!G14, '2nd Qtr'!G14, '3rd Qtr'!G14, '4th Qtr'!G14)</f>
        <v>9424.18</v>
      </c>
      <c r="H14" s="15">
        <f>SUM(Jan!H14, Feb!H14, Mar!H14)</f>
        <v>-9424.18</v>
      </c>
      <c r="I14" s="16">
        <f t="shared" si="2"/>
        <v>-1</v>
      </c>
    </row>
    <row r="15" spans="1:9" ht="15.75">
      <c r="A15" s="17" t="str">
        <v>Kohls - Hanover</v>
      </c>
      <c r="B15" s="10" t="str">
        <v>PA</v>
      </c>
      <c r="C15" s="11">
        <f>SUM(Jan!C15, Feb!C15, Mar!C15)</f>
        <v>11065</v>
      </c>
      <c r="D15" s="18">
        <f>SUM(Jan!D15, Feb!D15, Mar!D15)</f>
        <v>0</v>
      </c>
      <c r="E15" s="18">
        <f t="shared" si="0"/>
        <v>11065</v>
      </c>
      <c r="F15" s="19" t="str">
        <f t="shared" si="1"/>
        <v/>
      </c>
      <c r="G15" s="20">
        <f>SUM('1st Qtr'!G15, '2nd Qtr'!G15, '3rd Qtr'!G15, '4th Qtr'!G15)</f>
        <v>18878.62</v>
      </c>
      <c r="H15" s="20">
        <f>SUM(Jan!H15, Feb!H15, Mar!H15)</f>
        <v>-7813.619999999999</v>
      </c>
      <c r="I15" s="19">
        <f t="shared" si="2"/>
        <v>-0.41388724387693587</v>
      </c>
    </row>
    <row r="16" spans="1:9" ht="15.75">
      <c r="A16" s="12" t="str">
        <v>Kohls - Horsehead</v>
      </c>
      <c r="B16" s="9" t="str">
        <v>NY</v>
      </c>
      <c r="C16" s="24">
        <f>SUM(Jan!C16, Feb!C16, Mar!C16)</f>
        <v>2351</v>
      </c>
      <c r="D16" s="13">
        <f>SUM(Jan!D16, Feb!D16, Mar!D16)</f>
        <v>0</v>
      </c>
      <c r="E16" s="13">
        <f t="shared" ref="E16:E19" si="3">IF(AND(ISNUMBER(C16),ISNUMBER(D16)), C16-D16, "")</f>
        <v>2351</v>
      </c>
      <c r="F16" s="14" t="str">
        <f t="shared" ref="F16:F19" si="4">IFERROR(E16/D16, "")</f>
        <v/>
      </c>
      <c r="G16" s="15">
        <f>SUM('1st Qtr'!G16, '2nd Qtr'!G16, '3rd Qtr'!G16, '4th Qtr'!G16)</f>
        <v>12770.65</v>
      </c>
      <c r="H16" s="15">
        <f>SUM(Jan!H16, Feb!H16, Mar!H16)</f>
        <v>-10419.65</v>
      </c>
      <c r="I16" s="16">
        <f t="shared" ref="I16:I19" si="5">IFERROR(H16/G16, "")</f>
        <v>-0.81590600321831697</v>
      </c>
    </row>
    <row r="17" spans="1:9" ht="15.75">
      <c r="A17" s="17" t="str">
        <v>Kohls - Hudson</v>
      </c>
      <c r="B17" s="10" t="str">
        <v>NY</v>
      </c>
      <c r="C17" s="11">
        <f>SUM(Jan!C17, Feb!C17, Mar!C17)</f>
        <v>197</v>
      </c>
      <c r="D17" s="18">
        <f>SUM(Jan!D17, Feb!D17, Mar!D17)</f>
        <v>0</v>
      </c>
      <c r="E17" s="18">
        <f t="shared" si="3"/>
        <v>197</v>
      </c>
      <c r="F17" s="19" t="str">
        <f t="shared" si="4"/>
        <v/>
      </c>
      <c r="G17" s="20">
        <f>SUM('1st Qtr'!G17, '2nd Qtr'!G17, '3rd Qtr'!G17, '4th Qtr'!G17)</f>
        <v>12854.55</v>
      </c>
      <c r="H17" s="20">
        <f>SUM(Jan!H17, Feb!H17, Mar!H17)</f>
        <v>-12657.55</v>
      </c>
      <c r="I17" s="19">
        <f t="shared" si="5"/>
        <v>-0.98467468717302431</v>
      </c>
    </row>
    <row r="18" spans="1:9" ht="12.75" customHeight="1">
      <c r="A18" s="17" t="str">
        <v>Kohls - Ithaca</v>
      </c>
      <c r="B18" s="17" t="str">
        <v>NY</v>
      </c>
      <c r="C18" s="24">
        <f>SUM(Jan!C18, Feb!C18, Mar!C18)</f>
        <v>4385</v>
      </c>
      <c r="D18" s="13">
        <f>SUM(Jan!D18, Feb!D18, Mar!D18)</f>
        <v>0</v>
      </c>
      <c r="E18" s="13">
        <f t="shared" si="3"/>
        <v>4385</v>
      </c>
      <c r="F18" s="14" t="str">
        <f t="shared" si="4"/>
        <v/>
      </c>
      <c r="G18" s="15">
        <f>SUM('1st Qtr'!G18, '2nd Qtr'!G18, '3rd Qtr'!G18, '4th Qtr'!G18)</f>
        <v>11913.06</v>
      </c>
      <c r="H18" s="15">
        <f>SUM(Jan!H18, Feb!H18, Mar!H18)</f>
        <v>-7528.0599999999995</v>
      </c>
      <c r="I18" s="16">
        <f t="shared" si="5"/>
        <v>-0.6319165688748315</v>
      </c>
    </row>
    <row r="19" spans="1:9" ht="15.75">
      <c r="A19" s="17" t="str">
        <v>Kohls - Kingston</v>
      </c>
      <c r="B19" s="17" t="str">
        <v>NY</v>
      </c>
      <c r="C19" s="11">
        <f>SUM(Jan!C19, Feb!C19, Mar!C19)</f>
        <v>9244</v>
      </c>
      <c r="D19" s="18">
        <f>SUM(Jan!D19, Feb!D19, Mar!D19)</f>
        <v>0</v>
      </c>
      <c r="E19" s="18">
        <f t="shared" si="3"/>
        <v>9244</v>
      </c>
      <c r="F19" s="19" t="str">
        <f t="shared" si="4"/>
        <v/>
      </c>
      <c r="G19" s="20">
        <f>SUM('1st Qtr'!G19, '2nd Qtr'!G19, '3rd Qtr'!G19, '4th Qtr'!G19)</f>
        <v>22381.27</v>
      </c>
      <c r="H19" s="20">
        <f>SUM(Jan!H19, Feb!H19, Mar!H19)</f>
        <v>-13137.27</v>
      </c>
      <c r="I19" s="19">
        <f t="shared" si="5"/>
        <v>-0.58697607419060671</v>
      </c>
    </row>
    <row r="20" spans="1:9" ht="15.75">
      <c r="A20" s="17" t="str">
        <v>Kohls - Mechanicsburg</v>
      </c>
      <c r="B20" s="17" t="str">
        <v>PA</v>
      </c>
      <c r="C20" s="24">
        <f>SUM(Jan!C20, Feb!C20, Mar!C20)</f>
        <v>11788</v>
      </c>
      <c r="D20" s="13">
        <f>SUM(Jan!D20, Feb!D20, Mar!D20)</f>
        <v>0</v>
      </c>
      <c r="E20" s="13">
        <f t="shared" ref="E20:E25" si="6">IF(AND(ISNUMBER(C20),ISNUMBER(D20)), C20-D20, "")</f>
        <v>11788</v>
      </c>
      <c r="F20" s="14" t="str">
        <f t="shared" ref="F20:F25" si="7">IFERROR(E20/D20, "")</f>
        <v/>
      </c>
      <c r="G20" s="15">
        <f>SUM('1st Qtr'!G20, '2nd Qtr'!G20, '3rd Qtr'!G20, '4th Qtr'!G20)</f>
        <v>21618.639999999999</v>
      </c>
      <c r="H20" s="15">
        <f>SUM(Jan!H20, Feb!H20, Mar!H20)</f>
        <v>-9830.64</v>
      </c>
      <c r="I20" s="16">
        <f t="shared" ref="I20:I25" si="8">IFERROR(H20/G20, "")</f>
        <v>-0.45472980724041845</v>
      </c>
    </row>
    <row r="21" spans="1:9" ht="15.75">
      <c r="A21" s="17" t="str">
        <v>Kohls - Middletown</v>
      </c>
      <c r="B21" s="17" t="str">
        <v>NJ</v>
      </c>
      <c r="C21" s="11">
        <f>SUM(Jan!C21, Feb!C21, Mar!C21)</f>
        <v>15292</v>
      </c>
      <c r="D21" s="18">
        <f>SUM(Jan!D21, Feb!D21, Mar!D21)</f>
        <v>0</v>
      </c>
      <c r="E21" s="18">
        <f t="shared" si="6"/>
        <v>15292</v>
      </c>
      <c r="F21" s="19" t="str">
        <f t="shared" si="7"/>
        <v/>
      </c>
      <c r="G21" s="20">
        <f>SUM('1st Qtr'!G21, '2nd Qtr'!G21, '3rd Qtr'!G21, '4th Qtr'!G21)</f>
        <v>29635.82</v>
      </c>
      <c r="H21" s="20">
        <f>SUM(Jan!H21, Feb!H21, Mar!H21)</f>
        <v>-14343.82</v>
      </c>
      <c r="I21" s="19">
        <f t="shared" si="8"/>
        <v>-0.48400280471402513</v>
      </c>
    </row>
    <row r="22" spans="1:9" ht="15.75">
      <c r="A22" s="17" t="str">
        <v>Kohls - North Amherst</v>
      </c>
      <c r="B22" s="17" t="str">
        <v>NY</v>
      </c>
      <c r="C22" s="24">
        <f>SUM(Jan!C22, Feb!C22, Mar!C22)</f>
        <v>2846</v>
      </c>
      <c r="D22" s="13">
        <f>SUM(Jan!D22, Feb!D22, Mar!D22)</f>
        <v>0</v>
      </c>
      <c r="E22" s="13">
        <f t="shared" si="6"/>
        <v>2846</v>
      </c>
      <c r="F22" s="14" t="str">
        <f t="shared" si="7"/>
        <v/>
      </c>
      <c r="G22" s="15">
        <f>SUM('1st Qtr'!G22, '2nd Qtr'!G22, '3rd Qtr'!G22, '4th Qtr'!G22)</f>
        <v>6525.15</v>
      </c>
      <c r="H22" s="15">
        <f>SUM(Jan!H22, Feb!H22, Mar!H22)</f>
        <v>-3679.1499999999996</v>
      </c>
      <c r="I22" s="16">
        <f t="shared" si="8"/>
        <v>-0.56384144425798643</v>
      </c>
    </row>
    <row r="23" spans="1:9" ht="15.75">
      <c r="A23" s="17" t="str">
        <v>Kohls - Staten Island</v>
      </c>
      <c r="B23" s="17" t="str">
        <v>NY</v>
      </c>
      <c r="C23" s="11">
        <f>SUM(Jan!C23, Feb!C23, Mar!C23)</f>
        <v>8661.6</v>
      </c>
      <c r="D23" s="18">
        <f>SUM(Jan!D23, Feb!D23, Mar!D23)</f>
        <v>0</v>
      </c>
      <c r="E23" s="18">
        <f t="shared" si="6"/>
        <v>8661.6</v>
      </c>
      <c r="F23" s="19" t="str">
        <f t="shared" si="7"/>
        <v/>
      </c>
      <c r="G23" s="20">
        <f>SUM('1st Qtr'!G23, '2nd Qtr'!G23, '3rd Qtr'!G23, '4th Qtr'!G23)</f>
        <v>15476.69</v>
      </c>
      <c r="H23" s="20">
        <f>SUM(Jan!H23, Feb!H23, Mar!H23)</f>
        <v>-6815.09</v>
      </c>
      <c r="I23" s="19">
        <f t="shared" si="8"/>
        <v>-0.44034544854229168</v>
      </c>
    </row>
    <row r="24" spans="1:9" ht="15.75">
      <c r="A24" s="17" t="str">
        <v>Kohls - Warminster</v>
      </c>
      <c r="B24" s="17" t="str">
        <v>PA</v>
      </c>
      <c r="C24" s="24">
        <f>SUM(Jan!C24, Feb!C24, Mar!C24)</f>
        <v>7770</v>
      </c>
      <c r="D24" s="13">
        <f>SUM(Jan!D24, Feb!D24, Mar!D24)</f>
        <v>0</v>
      </c>
      <c r="E24" s="13">
        <f t="shared" si="6"/>
        <v>7770</v>
      </c>
      <c r="F24" s="14" t="str">
        <f t="shared" si="7"/>
        <v/>
      </c>
      <c r="G24" s="15">
        <f>SUM('1st Qtr'!G24, '2nd Qtr'!G24, '3rd Qtr'!G24, '4th Qtr'!G24)</f>
        <v>19541.34</v>
      </c>
      <c r="H24" s="15">
        <f>SUM(Jan!H24, Feb!H24, Mar!H24)</f>
        <v>-11771.34</v>
      </c>
      <c r="I24" s="16">
        <f t="shared" si="8"/>
        <v>-0.60238141294302239</v>
      </c>
    </row>
    <row r="25" spans="1:9" ht="15.75">
      <c r="A25" s="17" t="str">
        <v xml:space="preserve">Kohls - Waterbury </v>
      </c>
      <c r="B25" s="17" t="str">
        <v>CT</v>
      </c>
      <c r="C25" s="11">
        <f>SUM(Jan!C25, Feb!C25, Mar!C25)</f>
        <v>8377</v>
      </c>
      <c r="D25" s="18">
        <f>SUM(Jan!D25, Feb!D25, Mar!D25)</f>
        <v>0</v>
      </c>
      <c r="E25" s="18">
        <f t="shared" si="6"/>
        <v>8377</v>
      </c>
      <c r="F25" s="19" t="str">
        <f t="shared" si="7"/>
        <v/>
      </c>
      <c r="G25" s="20">
        <f>SUM('1st Qtr'!G25, '2nd Qtr'!G25, '3rd Qtr'!G25, '4th Qtr'!G25)</f>
        <v>15404.4</v>
      </c>
      <c r="H25" s="20">
        <f>SUM(Jan!H25, Feb!H25, Mar!H25)</f>
        <v>-7027.4</v>
      </c>
      <c r="I25" s="19">
        <f t="shared" si="8"/>
        <v>-0.45619433408636489</v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K25" sqref="K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SUM(C4:C100)</f>
        <v>205652.6</v>
      </c>
      <c r="D2" s="5">
        <f>SUM(D4:D100)</f>
        <v>0</v>
      </c>
      <c r="E2" s="5">
        <f>C2-D2</f>
        <v>205652.6</v>
      </c>
      <c r="F2" s="6">
        <f>IFERROR(E2/D2, 0)</f>
        <v>0</v>
      </c>
      <c r="G2" s="5">
        <f>SUM(G4:G100)</f>
        <v>444598.28000000014</v>
      </c>
      <c r="H2" s="7">
        <f>C2-G2</f>
        <v>-238945.68000000014</v>
      </c>
      <c r="I2" s="6">
        <f>IFERROR(H2/G2, 0)</f>
        <v>-0.53744175528524329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6324</v>
      </c>
      <c r="D4" s="13">
        <f>SUM(Jan!D4, Feb!D4, Mar!D4)</f>
        <v>0</v>
      </c>
      <c r="E4" s="13">
        <f>IF(AND(ISNUMBER(C4),ISNUMBER(D4)), C4-D4, "")</f>
        <v>6324</v>
      </c>
      <c r="F4" s="14" t="str">
        <f>IFERROR(E4/D4, "")</f>
        <v/>
      </c>
      <c r="G4" s="15">
        <f>SUM(Jan!G4, Feb!G4, Mar!G4)</f>
        <v>13022.34</v>
      </c>
      <c r="H4" s="15">
        <f>SUM(Jan!H4, Feb!H4, Mar!H4)</f>
        <v>-6698.34</v>
      </c>
      <c r="I4" s="16">
        <f>IFERROR(H4/G4, "")</f>
        <v>-0.5143729928722488</v>
      </c>
    </row>
    <row r="5" spans="1:9" ht="15.75">
      <c r="A5" s="52" t="str">
        <v>Kohls - Auburn</v>
      </c>
      <c r="B5" s="10" t="str">
        <v>NY</v>
      </c>
      <c r="C5" s="11">
        <f>SUM(Jan!C5, Feb!C5, Mar!C5)</f>
        <v>4362</v>
      </c>
      <c r="D5" s="18">
        <f>SUM(Jan!D5, Feb!D5, Mar!D5)</f>
        <v>0</v>
      </c>
      <c r="E5" s="18">
        <f t="shared" ref="E5:E15" si="0">IF(AND(ISNUMBER(C5),ISNUMBER(D5)), C5-D5, "")</f>
        <v>4362</v>
      </c>
      <c r="F5" s="19" t="str">
        <f>IFERROR(E5/D5, "")</f>
        <v/>
      </c>
      <c r="G5" s="20">
        <f>SUM(Jan!G5, Feb!G5, Mar!G5)</f>
        <v>4782</v>
      </c>
      <c r="H5" s="20">
        <f>SUM(Jan!H5, Feb!H5, Mar!H5)</f>
        <v>-420</v>
      </c>
      <c r="I5" s="19">
        <f>IFERROR(H5/G5, "")</f>
        <v>-8.7829360100376411E-2</v>
      </c>
    </row>
    <row r="6" spans="1:9" ht="15.75">
      <c r="A6" s="51" t="str">
        <v>Kohls - Bensalem</v>
      </c>
      <c r="B6" s="9" t="str">
        <v>PA</v>
      </c>
      <c r="C6" s="24">
        <f>SUM(Jan!C6, Feb!C6, Mar!C6)</f>
        <v>9630</v>
      </c>
      <c r="D6" s="13">
        <f>SUM(Jan!D6, Feb!D6, Mar!D6)</f>
        <v>0</v>
      </c>
      <c r="E6" s="13">
        <f t="shared" si="0"/>
        <v>9630</v>
      </c>
      <c r="F6" s="14" t="str">
        <f t="shared" ref="F6:F15" si="1">IFERROR(E6/D6, "")</f>
        <v/>
      </c>
      <c r="G6" s="15">
        <f>SUM(Jan!G6, Feb!G6, Mar!G6)</f>
        <v>15754.4</v>
      </c>
      <c r="H6" s="15">
        <f>SUM(Jan!H6, Feb!H6, Mar!H6)</f>
        <v>-6124.4</v>
      </c>
      <c r="I6" s="16">
        <f t="shared" ref="I6:I15" si="2">IFERROR(H6/G6, "")</f>
        <v>-0.38874219265728938</v>
      </c>
    </row>
    <row r="7" spans="1:9" ht="15.75">
      <c r="A7" s="52" t="str">
        <v>Kohls - Brick</v>
      </c>
      <c r="B7" s="10" t="str">
        <v>NJ</v>
      </c>
      <c r="C7" s="11">
        <f>SUM(Jan!C7, Feb!C7, Mar!C7)</f>
        <v>11393</v>
      </c>
      <c r="D7" s="18">
        <f>SUM(Jan!D7, Feb!D7, Mar!D7)</f>
        <v>0</v>
      </c>
      <c r="E7" s="18">
        <f t="shared" si="0"/>
        <v>11393</v>
      </c>
      <c r="F7" s="19" t="str">
        <f t="shared" si="1"/>
        <v/>
      </c>
      <c r="G7" s="20">
        <f>SUM(Jan!G7, Feb!G7, Mar!G7)</f>
        <v>16696.5</v>
      </c>
      <c r="H7" s="20">
        <f>SUM(Jan!H7, Feb!H7, Mar!H7)</f>
        <v>-5303.5</v>
      </c>
      <c r="I7" s="19">
        <f t="shared" si="2"/>
        <v>-0.31764142185487976</v>
      </c>
    </row>
    <row r="8" spans="1:9" ht="15.75">
      <c r="A8" s="51" t="str">
        <v>Kohls - Buffalo</v>
      </c>
      <c r="B8" s="9" t="str">
        <v>NY</v>
      </c>
      <c r="C8" s="24">
        <f>SUM(Jan!C8, Feb!C8, Mar!C8)</f>
        <v>3961</v>
      </c>
      <c r="D8" s="13">
        <f>SUM(Jan!D8, Feb!D8, Mar!D8)</f>
        <v>0</v>
      </c>
      <c r="E8" s="13">
        <f t="shared" si="0"/>
        <v>3961</v>
      </c>
      <c r="F8" s="14" t="str">
        <f t="shared" si="1"/>
        <v/>
      </c>
      <c r="G8" s="15">
        <f>SUM(Jan!G8, Feb!G8, Mar!G8)</f>
        <v>8044.58</v>
      </c>
      <c r="H8" s="15">
        <f>SUM(Jan!H8, Feb!H8, Mar!H8)</f>
        <v>-4083.58</v>
      </c>
      <c r="I8" s="16">
        <f t="shared" si="2"/>
        <v>-0.5076187942689363</v>
      </c>
    </row>
    <row r="9" spans="1:9" ht="15.75">
      <c r="A9" s="52" t="str">
        <v>Kohls - Canton</v>
      </c>
      <c r="B9" s="10" t="str">
        <v>CT</v>
      </c>
      <c r="C9" s="11">
        <f>SUM(Jan!C9, Feb!C9, Mar!C9)</f>
        <v>2979</v>
      </c>
      <c r="D9" s="18">
        <f>SUM(Jan!D9, Feb!D9, Mar!D9)</f>
        <v>0</v>
      </c>
      <c r="E9" s="18">
        <f t="shared" si="0"/>
        <v>2979</v>
      </c>
      <c r="F9" s="19" t="str">
        <f t="shared" si="1"/>
        <v/>
      </c>
      <c r="G9" s="20">
        <f>SUM(Jan!G9, Feb!G9, Mar!G9)</f>
        <v>5837.36</v>
      </c>
      <c r="H9" s="20">
        <f>SUM(Jan!H9, Feb!H9, Mar!H9)</f>
        <v>-2858.3599999999997</v>
      </c>
      <c r="I9" s="19">
        <f t="shared" si="2"/>
        <v>-0.48966656159633803</v>
      </c>
    </row>
    <row r="10" spans="1:9" ht="15.75">
      <c r="A10" s="51" t="str">
        <v>Kohls - East Amherst</v>
      </c>
      <c r="B10" s="9" t="str">
        <v>NY</v>
      </c>
      <c r="C10" s="24">
        <f>SUM(Jan!C10, Feb!C10, Mar!C10)</f>
        <v>2767</v>
      </c>
      <c r="D10" s="13">
        <f>SUM(Jan!D10, Feb!D10, Mar!D10)</f>
        <v>0</v>
      </c>
      <c r="E10" s="13">
        <f t="shared" si="0"/>
        <v>2767</v>
      </c>
      <c r="F10" s="14" t="str">
        <f t="shared" si="1"/>
        <v/>
      </c>
      <c r="G10" s="15">
        <f>SUM(Jan!G10, Feb!G10, Mar!G10)</f>
        <v>8482.7000000000007</v>
      </c>
      <c r="H10" s="15">
        <f>SUM(Jan!H10, Feb!H10, Mar!H10)</f>
        <v>-5715.7000000000007</v>
      </c>
      <c r="I10" s="16">
        <f t="shared" si="2"/>
        <v>-0.67380668890801276</v>
      </c>
    </row>
    <row r="11" spans="1:9" ht="15.75">
      <c r="A11" s="52" t="str">
        <v>Kohls - East Brunswick</v>
      </c>
      <c r="B11" s="10" t="str">
        <v>NJ</v>
      </c>
      <c r="C11" s="11">
        <f>SUM(Jan!C11, Feb!C11, Mar!C11)</f>
        <v>973</v>
      </c>
      <c r="D11" s="18">
        <f>SUM(Jan!D11, Feb!D11, Mar!D11)</f>
        <v>0</v>
      </c>
      <c r="E11" s="18">
        <f t="shared" si="0"/>
        <v>973</v>
      </c>
      <c r="F11" s="19" t="str">
        <f t="shared" si="1"/>
        <v/>
      </c>
      <c r="G11" s="20">
        <f>SUM(Jan!G11, Feb!G11, Mar!G11)</f>
        <v>23294.45</v>
      </c>
      <c r="H11" s="20">
        <f>SUM(Jan!H11, Feb!H11, Mar!H11)</f>
        <v>-22321.45</v>
      </c>
      <c r="I11" s="19">
        <f t="shared" si="2"/>
        <v>-0.95823039393503606</v>
      </c>
    </row>
    <row r="12" spans="1:9" ht="15.75">
      <c r="A12" s="51" t="str">
        <v>Kohls - Edgewood</v>
      </c>
      <c r="B12" s="9" t="str">
        <v>MD</v>
      </c>
      <c r="C12" s="24">
        <f>SUM(Jan!C12, Feb!C12, Mar!C12)</f>
        <v>71866</v>
      </c>
      <c r="D12" s="13">
        <f>SUM(Jan!D12, Feb!D12, Mar!D12)</f>
        <v>0</v>
      </c>
      <c r="E12" s="13">
        <f t="shared" si="0"/>
        <v>71866</v>
      </c>
      <c r="F12" s="14" t="str">
        <f t="shared" si="1"/>
        <v/>
      </c>
      <c r="G12" s="15">
        <f>SUM(Jan!G12, Feb!G12, Mar!G12)</f>
        <v>136238.63</v>
      </c>
      <c r="H12" s="15">
        <f>SUM(Jan!H12, Feb!H12, Mar!H12)</f>
        <v>-64372.630000000005</v>
      </c>
      <c r="I12" s="16">
        <f t="shared" si="2"/>
        <v>-0.47249909955788605</v>
      </c>
    </row>
    <row r="13" spans="1:9" ht="15.75">
      <c r="A13" s="52" t="str">
        <v>Kohls - Granite Run</v>
      </c>
      <c r="B13" s="10" t="str">
        <v>PA</v>
      </c>
      <c r="C13" s="11">
        <f>SUM(Jan!C13, Feb!C13, Mar!C13)</f>
        <v>9421</v>
      </c>
      <c r="D13" s="18">
        <f>SUM(Jan!D13, Feb!D13, Mar!D13)</f>
        <v>0</v>
      </c>
      <c r="E13" s="18">
        <f t="shared" si="0"/>
        <v>9421</v>
      </c>
      <c r="F13" s="19" t="str">
        <f t="shared" si="1"/>
        <v/>
      </c>
      <c r="G13" s="20">
        <f>SUM(Jan!G13, Feb!G13, Mar!G13)</f>
        <v>16020.95</v>
      </c>
      <c r="H13" s="20">
        <f>SUM(Jan!H13, Feb!H13, Mar!H13)</f>
        <v>-6599.9500000000007</v>
      </c>
      <c r="I13" s="19">
        <f t="shared" si="2"/>
        <v>-0.4119574681900886</v>
      </c>
    </row>
    <row r="14" spans="1:9" ht="15.75">
      <c r="A14" s="51" t="str">
        <v>Kohls - Greece</v>
      </c>
      <c r="B14" s="9" t="str">
        <v>NY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9424.18</v>
      </c>
      <c r="H14" s="15">
        <f>SUM(Jan!H14, Feb!H14, Mar!H14)</f>
        <v>-9424.18</v>
      </c>
      <c r="I14" s="16">
        <f t="shared" si="2"/>
        <v>-1</v>
      </c>
    </row>
    <row r="15" spans="1:9" ht="15.75">
      <c r="A15" s="52" t="str">
        <v>Kohls - Hanover</v>
      </c>
      <c r="B15" s="10" t="str">
        <v>PA</v>
      </c>
      <c r="C15" s="11">
        <f>SUM(Jan!C15, Feb!C15, Mar!C15)</f>
        <v>11065</v>
      </c>
      <c r="D15" s="18">
        <f>SUM(Jan!D15, Feb!D15, Mar!D15)</f>
        <v>0</v>
      </c>
      <c r="E15" s="18">
        <f t="shared" si="0"/>
        <v>11065</v>
      </c>
      <c r="F15" s="19" t="str">
        <f t="shared" si="1"/>
        <v/>
      </c>
      <c r="G15" s="20">
        <f>SUM(Jan!G15, Feb!G15, Mar!G15)</f>
        <v>18878.62</v>
      </c>
      <c r="H15" s="20">
        <f>SUM(Jan!H15, Feb!H15, Mar!H15)</f>
        <v>-7813.619999999999</v>
      </c>
      <c r="I15" s="19">
        <f t="shared" si="2"/>
        <v>-0.41388724387693587</v>
      </c>
    </row>
    <row r="16" spans="1:9" ht="15.75">
      <c r="A16" s="51" t="str">
        <v>Kohls - Horsehead</v>
      </c>
      <c r="B16" s="9" t="str">
        <v>NY</v>
      </c>
      <c r="C16" s="24">
        <f>SUM(Jan!C16, Feb!C16, Mar!C16)</f>
        <v>2351</v>
      </c>
      <c r="D16" s="13">
        <f>SUM(Jan!D16, Feb!D16, Mar!D16)</f>
        <v>0</v>
      </c>
      <c r="E16" s="13">
        <f t="shared" ref="E16:E18" si="3">IF(AND(ISNUMBER(C16),ISNUMBER(D16)), C16-D16, "")</f>
        <v>2351</v>
      </c>
      <c r="F16" s="14" t="str">
        <f t="shared" ref="F16:F18" si="4">IFERROR(E16/D16, "")</f>
        <v/>
      </c>
      <c r="G16" s="15">
        <f>SUM(Jan!G16, Feb!G16, Mar!G16)</f>
        <v>12770.65</v>
      </c>
      <c r="H16" s="15">
        <f>SUM(Jan!H16, Feb!H16, Mar!H16)</f>
        <v>-10419.65</v>
      </c>
      <c r="I16" s="16">
        <f t="shared" ref="I16:I18" si="5">IFERROR(H16/G16, "")</f>
        <v>-0.81590600321831697</v>
      </c>
    </row>
    <row r="17" spans="1:9" ht="15.75">
      <c r="A17" s="52" t="str">
        <v>Kohls - Hudson</v>
      </c>
      <c r="B17" s="10" t="str">
        <v>NY</v>
      </c>
      <c r="C17" s="11">
        <f>SUM(Jan!C17, Feb!C17, Mar!C17)</f>
        <v>197</v>
      </c>
      <c r="D17" s="18">
        <f>SUM(Jan!D17, Feb!D17, Mar!D17)</f>
        <v>0</v>
      </c>
      <c r="E17" s="18">
        <f t="shared" si="3"/>
        <v>197</v>
      </c>
      <c r="F17" s="19" t="str">
        <f t="shared" si="4"/>
        <v/>
      </c>
      <c r="G17" s="20">
        <f>SUM(Jan!G17, Feb!G17, Mar!G17)</f>
        <v>12854.55</v>
      </c>
      <c r="H17" s="20">
        <f>SUM(Jan!H17, Feb!H17, Mar!H17)</f>
        <v>-12657.55</v>
      </c>
      <c r="I17" s="19">
        <f t="shared" si="5"/>
        <v>-0.98467468717302431</v>
      </c>
    </row>
    <row r="18" spans="1:9" ht="12.75" customHeight="1">
      <c r="A18" s="51" t="str">
        <v>Kohls - Ithaca</v>
      </c>
      <c r="B18" s="9" t="str">
        <v>NY</v>
      </c>
      <c r="C18" s="24">
        <f>SUM(Jan!C18, Feb!C18, Mar!C18)</f>
        <v>4385</v>
      </c>
      <c r="D18" s="13">
        <f>SUM(Jan!D18, Feb!D18, Mar!D18)</f>
        <v>0</v>
      </c>
      <c r="E18" s="13">
        <f t="shared" si="3"/>
        <v>4385</v>
      </c>
      <c r="F18" s="14" t="str">
        <f t="shared" si="4"/>
        <v/>
      </c>
      <c r="G18" s="15">
        <f>SUM(Jan!G18, Feb!G18, Mar!G18)</f>
        <v>11913.06</v>
      </c>
      <c r="H18" s="15">
        <f>SUM(Jan!H18, Feb!H18, Mar!H18)</f>
        <v>-7528.0599999999995</v>
      </c>
      <c r="I18" s="19">
        <f t="shared" si="5"/>
        <v>-0.6319165688748315</v>
      </c>
    </row>
    <row r="19" spans="1:9" ht="15.75">
      <c r="A19" s="52" t="str">
        <v>Kohls - Kingston</v>
      </c>
      <c r="B19" s="10" t="str">
        <v>NY</v>
      </c>
      <c r="C19" s="11">
        <f>SUM(Jan!C19, Feb!C19, Mar!C19)</f>
        <v>9244</v>
      </c>
      <c r="D19" s="18">
        <f>SUM(Jan!D19, Feb!D19, Mar!D19)</f>
        <v>0</v>
      </c>
      <c r="E19" s="18">
        <f t="shared" ref="E19:E25" si="6">IF(AND(ISNUMBER(C19),ISNUMBER(D19)), C19-D19, "")</f>
        <v>9244</v>
      </c>
      <c r="F19" s="19" t="str">
        <f t="shared" ref="F19:F25" si="7">IFERROR(E19/D19, "")</f>
        <v/>
      </c>
      <c r="G19" s="20">
        <f>SUM(Jan!G19, Feb!G19, Mar!G19)</f>
        <v>22381.27</v>
      </c>
      <c r="H19" s="20">
        <f>SUM(Jan!H19, Feb!H19, Mar!H19)</f>
        <v>-13137.27</v>
      </c>
      <c r="I19" s="16">
        <f t="shared" ref="I19:I25" si="8">IFERROR(H19/G19, "")</f>
        <v>-0.58697607419060671</v>
      </c>
    </row>
    <row r="20" spans="1:9" ht="15.75">
      <c r="A20" s="51" t="str">
        <v>Kohls - Mechanicsburg</v>
      </c>
      <c r="B20" s="9" t="str">
        <v>PA</v>
      </c>
      <c r="C20" s="24">
        <f>SUM(Jan!C20, Feb!C20, Mar!C20)</f>
        <v>11788</v>
      </c>
      <c r="D20" s="13">
        <f>SUM(Jan!D20, Feb!D20, Mar!D20)</f>
        <v>0</v>
      </c>
      <c r="E20" s="13">
        <f t="shared" si="6"/>
        <v>11788</v>
      </c>
      <c r="F20" s="14" t="str">
        <f t="shared" si="7"/>
        <v/>
      </c>
      <c r="G20" s="15">
        <f>SUM(Jan!G20, Feb!G20, Mar!G20)</f>
        <v>21618.639999999999</v>
      </c>
      <c r="H20" s="15">
        <f>SUM(Jan!H20, Feb!H20, Mar!H20)</f>
        <v>-9830.64</v>
      </c>
      <c r="I20" s="19">
        <f t="shared" si="8"/>
        <v>-0.45472980724041845</v>
      </c>
    </row>
    <row r="21" spans="1:9" ht="15.75">
      <c r="A21" s="52" t="str">
        <v>Kohls - Middletown</v>
      </c>
      <c r="B21" s="10" t="str">
        <v>NJ</v>
      </c>
      <c r="C21" s="11">
        <f>SUM(Jan!C21, Feb!C21, Mar!C21)</f>
        <v>15292</v>
      </c>
      <c r="D21" s="18">
        <f>SUM(Jan!D21, Feb!D21, Mar!D21)</f>
        <v>0</v>
      </c>
      <c r="E21" s="18">
        <f t="shared" si="6"/>
        <v>15292</v>
      </c>
      <c r="F21" s="19" t="str">
        <f t="shared" si="7"/>
        <v/>
      </c>
      <c r="G21" s="20">
        <f>SUM(Jan!G21, Feb!G21, Mar!G21)</f>
        <v>29635.82</v>
      </c>
      <c r="H21" s="20">
        <f>SUM(Jan!H21, Feb!H21, Mar!H21)</f>
        <v>-14343.82</v>
      </c>
      <c r="I21" s="19">
        <f t="shared" si="8"/>
        <v>-0.48400280471402513</v>
      </c>
    </row>
    <row r="22" spans="1:9" ht="15.75">
      <c r="A22" s="51" t="str">
        <v>Kohls - North Amherst</v>
      </c>
      <c r="B22" s="9" t="str">
        <v>NY</v>
      </c>
      <c r="C22" s="24">
        <f>SUM(Jan!C22, Feb!C22, Mar!C22)</f>
        <v>2846</v>
      </c>
      <c r="D22" s="13">
        <f>SUM(Jan!D22, Feb!D22, Mar!D22)</f>
        <v>0</v>
      </c>
      <c r="E22" s="13">
        <f t="shared" si="6"/>
        <v>2846</v>
      </c>
      <c r="F22" s="14" t="str">
        <f t="shared" si="7"/>
        <v/>
      </c>
      <c r="G22" s="15">
        <f>SUM(Jan!G22, Feb!G22, Mar!G22)</f>
        <v>6525.15</v>
      </c>
      <c r="H22" s="15">
        <f>SUM(Jan!H22, Feb!H22, Mar!H22)</f>
        <v>-3679.1499999999996</v>
      </c>
      <c r="I22" s="16">
        <f t="shared" si="8"/>
        <v>-0.56384144425798643</v>
      </c>
    </row>
    <row r="23" spans="1:9" ht="15.75">
      <c r="A23" s="52" t="str">
        <v>Kohls - Staten Island</v>
      </c>
      <c r="B23" s="10" t="str">
        <v>NY</v>
      </c>
      <c r="C23" s="11">
        <f>SUM(Jan!C23, Feb!C23, Mar!C23)</f>
        <v>8661.6</v>
      </c>
      <c r="D23" s="18">
        <f>SUM(Jan!D23, Feb!D23, Mar!D23)</f>
        <v>0</v>
      </c>
      <c r="E23" s="18">
        <f t="shared" si="6"/>
        <v>8661.6</v>
      </c>
      <c r="F23" s="19" t="str">
        <f t="shared" si="7"/>
        <v/>
      </c>
      <c r="G23" s="20">
        <f>SUM(Jan!G23, Feb!G23, Mar!G23)</f>
        <v>15476.69</v>
      </c>
      <c r="H23" s="20">
        <f>SUM(Jan!H23, Feb!H23, Mar!H23)</f>
        <v>-6815.09</v>
      </c>
      <c r="I23" s="19">
        <f t="shared" si="8"/>
        <v>-0.44034544854229168</v>
      </c>
    </row>
    <row r="24" spans="1:9" ht="15.75">
      <c r="A24" s="51" t="str">
        <v>Kohls - Warminster</v>
      </c>
      <c r="B24" s="9" t="str">
        <v>PA</v>
      </c>
      <c r="C24" s="24">
        <f>SUM(Jan!C24, Feb!C24, Mar!C24)</f>
        <v>7770</v>
      </c>
      <c r="D24" s="13">
        <f>SUM(Jan!D24, Feb!D24, Mar!D24)</f>
        <v>0</v>
      </c>
      <c r="E24" s="13">
        <f t="shared" si="6"/>
        <v>7770</v>
      </c>
      <c r="F24" s="14" t="str">
        <f t="shared" si="7"/>
        <v/>
      </c>
      <c r="G24" s="15">
        <f>SUM(Jan!G24, Feb!G24, Mar!G24)</f>
        <v>19541.34</v>
      </c>
      <c r="H24" s="15">
        <f>SUM(Jan!H24, Feb!H24, Mar!H24)</f>
        <v>-11771.34</v>
      </c>
      <c r="I24" s="19">
        <f t="shared" si="8"/>
        <v>-0.60238141294302239</v>
      </c>
    </row>
    <row r="25" spans="1:9" ht="15.75">
      <c r="A25" s="52" t="str">
        <v xml:space="preserve">Kohls - Waterbury </v>
      </c>
      <c r="B25" s="10" t="str">
        <v>CT</v>
      </c>
      <c r="C25" s="11">
        <f>SUM(Jan!C25, Feb!C25, Mar!C25)</f>
        <v>8377</v>
      </c>
      <c r="D25" s="18">
        <f>SUM(Jan!D25, Feb!D25, Mar!D25)</f>
        <v>0</v>
      </c>
      <c r="E25" s="18">
        <f t="shared" si="6"/>
        <v>8377</v>
      </c>
      <c r="F25" s="19" t="str">
        <f t="shared" si="7"/>
        <v/>
      </c>
      <c r="G25" s="20">
        <f>SUM(Jan!G25, Feb!G25, Mar!G25)</f>
        <v>15404.4</v>
      </c>
      <c r="H25" s="20">
        <f>SUM(Jan!H25, Feb!H25, Mar!H25)</f>
        <v>-7027.4</v>
      </c>
      <c r="I25" s="16">
        <f t="shared" si="8"/>
        <v>-0.45619433408636489</v>
      </c>
    </row>
    <row r="26" spans="1:9" ht="14.45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I4:I100 F4:F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3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52" t="str">
        <v>Kohls - Hudson</v>
      </c>
      <c r="B17" s="10" t="str">
        <v>NY</v>
      </c>
      <c r="C17" s="24">
        <f>SUM(Apr!C17, May!C17, Jun!C17)</f>
        <v>0</v>
      </c>
      <c r="D17" s="13">
        <f>SUM(Apr!D17, May!D17, Jun!D17)</f>
        <v>0</v>
      </c>
      <c r="E17" s="13">
        <f t="shared" si="3"/>
        <v>0</v>
      </c>
      <c r="F17" s="14" t="str">
        <f t="shared" si="4"/>
        <v/>
      </c>
      <c r="G17" s="15"/>
      <c r="H17" s="15">
        <f>SUM(Apr!H17, May!H17, Jun!H17)</f>
        <v>0</v>
      </c>
      <c r="I17" s="16" t="str">
        <f t="shared" si="5"/>
        <v/>
      </c>
    </row>
    <row r="18" spans="1:9" ht="12.75" customHeight="1">
      <c r="A18" s="51" t="str">
        <v>Kohls - Ithaca</v>
      </c>
      <c r="B18" s="9" t="str">
        <v>NY</v>
      </c>
      <c r="C18" s="11">
        <f>SUM(Apr!C18, May!C18, Jun!C18)</f>
        <v>0</v>
      </c>
      <c r="D18" s="18">
        <f>SUM(Apr!D18, May!D18, Jun!D18)</f>
        <v>0</v>
      </c>
      <c r="E18" s="18">
        <f t="shared" si="3"/>
        <v>0</v>
      </c>
      <c r="F18" s="19" t="str">
        <f t="shared" si="4"/>
        <v/>
      </c>
      <c r="G18" s="20"/>
      <c r="H18" s="20">
        <f>SUM(Apr!H18, May!H18, Jun!H18)</f>
        <v>0</v>
      </c>
      <c r="I18" s="19" t="str">
        <f t="shared" si="5"/>
        <v/>
      </c>
    </row>
    <row r="19" spans="1:9" ht="15.75">
      <c r="A19" s="52" t="str">
        <v>Kohls - Kingston</v>
      </c>
      <c r="B19" s="10" t="str">
        <v>NY</v>
      </c>
      <c r="C19" s="24">
        <f>SUM(Apr!C19, May!C19, Jun!C19)</f>
        <v>0</v>
      </c>
      <c r="D19" s="13">
        <f>SUM(Apr!D19, May!D19, Jun!D19)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SUM(Apr!H19, May!H19, Jun!H19)</f>
        <v>0</v>
      </c>
      <c r="I19" s="16" t="str">
        <f t="shared" ref="I19:I25" si="8">IFERROR(H19/G19, "")</f>
        <v/>
      </c>
    </row>
    <row r="20" spans="1:9" ht="15.75">
      <c r="A20" s="51" t="str">
        <v>Kohls - Mechanicsburg</v>
      </c>
      <c r="B20" s="9" t="str">
        <v>PA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/>
      <c r="H20" s="15">
        <f>SUM(Apr!H20, May!H20, Jun!H20)</f>
        <v>0</v>
      </c>
      <c r="I20" s="16" t="str">
        <f t="shared" si="8"/>
        <v/>
      </c>
    </row>
    <row r="21" spans="1:9" ht="15.75">
      <c r="A21" s="52" t="str">
        <v>Kohls - Middletown</v>
      </c>
      <c r="B21" s="10" t="str">
        <v>NJ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51" t="str">
        <v>Kohls - North Amherst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52" t="str">
        <v>Kohls - Staten Island</v>
      </c>
      <c r="B23" s="10" t="str">
        <v>NY</v>
      </c>
      <c r="C23" s="24">
        <f>SUM(Apr!C23, May!C23, Jun!C23)</f>
        <v>0</v>
      </c>
      <c r="D23" s="13">
        <f>SUM(Apr!D23, May!D23, Jun!D23)</f>
        <v>0</v>
      </c>
      <c r="E23" s="13">
        <f t="shared" si="6"/>
        <v>0</v>
      </c>
      <c r="F23" s="14" t="str">
        <f t="shared" si="7"/>
        <v/>
      </c>
      <c r="G23" s="15"/>
      <c r="H23" s="15">
        <f>SUM(Apr!H23, May!H23, Jun!H23)</f>
        <v>0</v>
      </c>
      <c r="I23" s="16" t="str">
        <f t="shared" si="8"/>
        <v/>
      </c>
    </row>
    <row r="24" spans="1:9" ht="15.75">
      <c r="A24" s="51" t="str">
        <v>Kohls - Warminster</v>
      </c>
      <c r="B24" s="9" t="str">
        <v>PA</v>
      </c>
      <c r="C24" s="11">
        <f>SUM(Apr!C24, May!C24, Jun!C24)</f>
        <v>0</v>
      </c>
      <c r="D24" s="18">
        <f>SUM(Apr!D24, May!D24, Jun!D24)</f>
        <v>0</v>
      </c>
      <c r="E24" s="18">
        <f t="shared" si="6"/>
        <v>0</v>
      </c>
      <c r="F24" s="19" t="str">
        <f t="shared" si="7"/>
        <v/>
      </c>
      <c r="G24" s="20"/>
      <c r="H24" s="20">
        <f>SUM(Apr!H24, May!H24, Jun!H24)</f>
        <v>0</v>
      </c>
      <c r="I24" s="19" t="str">
        <f t="shared" si="8"/>
        <v/>
      </c>
    </row>
    <row r="25" spans="1:9" ht="15.75">
      <c r="A25" s="52" t="str">
        <v xml:space="preserve">Kohls - Waterbury </v>
      </c>
      <c r="B25" s="10" t="str">
        <v>CT</v>
      </c>
      <c r="C25" s="24">
        <f>SUM(Apr!C25, May!C25, Jun!C25)</f>
        <v>0</v>
      </c>
      <c r="D25" s="13">
        <f>SUM(Apr!D25, May!D25, Jun!D25)</f>
        <v>0</v>
      </c>
      <c r="E25" s="13">
        <f t="shared" si="6"/>
        <v>0</v>
      </c>
      <c r="F25" s="14" t="str">
        <f t="shared" si="7"/>
        <v/>
      </c>
      <c r="G25" s="15"/>
      <c r="H25" s="15">
        <f>SUM(Apr!H25, May!H25, Jun!H25)</f>
        <v>0</v>
      </c>
      <c r="I25" s="16" t="str">
        <f t="shared" si="8"/>
        <v/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52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51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52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51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52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51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52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51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52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2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1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2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1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2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1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2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1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2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8"/>
      <c r="D26" s="18"/>
      <c r="E26" s="18"/>
      <c r="F26" s="19"/>
      <c r="G26" s="20"/>
      <c r="H26" s="20"/>
      <c r="I26" s="19"/>
    </row>
    <row r="27" spans="1:9" ht="14.45">
      <c r="A27" s="21"/>
      <c r="B27" s="10"/>
      <c r="C27" s="48"/>
      <c r="D27" s="18"/>
      <c r="E27" s="18"/>
      <c r="F27" s="19"/>
      <c r="G27" s="20"/>
      <c r="H27" s="20"/>
      <c r="I27" s="19"/>
    </row>
    <row r="28" spans="1:9" ht="14.45">
      <c r="A28" s="21"/>
      <c r="B28" s="10"/>
      <c r="C28" s="48"/>
      <c r="D28" s="18"/>
      <c r="E28" s="18"/>
      <c r="F28" s="19"/>
      <c r="G28" s="20"/>
      <c r="H28" s="20"/>
      <c r="I28" s="19"/>
    </row>
    <row r="29" spans="1:9" ht="14.45">
      <c r="A29" s="21"/>
      <c r="B29" s="10"/>
      <c r="C29" s="48"/>
      <c r="D29" s="18"/>
      <c r="E29" s="18"/>
      <c r="F29" s="19"/>
      <c r="G29" s="20"/>
      <c r="H29" s="20"/>
      <c r="I29" s="19"/>
    </row>
    <row r="30" spans="1:9" ht="14.45">
      <c r="A30" s="21"/>
      <c r="B30" s="10"/>
      <c r="C30" s="48"/>
      <c r="D30" s="18"/>
      <c r="E30" s="18"/>
      <c r="F30" s="19"/>
      <c r="G30" s="20"/>
      <c r="H30" s="20"/>
      <c r="I30" s="19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workbookViewId="0">
      <pane xSplit="2" ySplit="3" topLeftCell="C4" activePane="bottomRight" state="frozen"/>
      <selection pane="bottomRight" activeCell="J16" sqref="A15:J16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4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47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7">
      <c r="A5" s="55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47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6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47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5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47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6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47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5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47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6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47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5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47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6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47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5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47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6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47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5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47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6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47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5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47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6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47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5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47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6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47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5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47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6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47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5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47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15.75">
      <c r="A24" s="56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47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5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47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4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H17" activePane="bottomRight" state="frozen"/>
      <selection pane="bottomRight" activeCell="J17" sqref="J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36</v>
      </c>
      <c r="E1" s="59"/>
      <c r="F1" s="59"/>
      <c r="G1" s="57" t="s">
        <v>37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4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55" t="str">
        <v>Kohls - Auburn</v>
      </c>
      <c r="B5" s="31" t="str">
        <v>NY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56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55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56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55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56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55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56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55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56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55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56" t="str">
        <v>Kohls - Horsehead</v>
      </c>
      <c r="B16" s="29" t="str">
        <v>NY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55" t="str">
        <v>Kohls - Hudson</v>
      </c>
      <c r="B17" s="31" t="str">
        <v>NY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54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55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56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55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56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55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56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55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XFD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38</v>
      </c>
      <c r="E1" s="59"/>
      <c r="F1" s="59"/>
      <c r="G1" s="57" t="s">
        <v>39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7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G30" sqref="G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7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:H32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4" sqref="C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53" t="s">
        <v>63</v>
      </c>
      <c r="B4" t="s">
        <v>64</v>
      </c>
      <c r="C4" s="50" t="s">
        <v>65</v>
      </c>
      <c r="D4" s="49" t="s">
        <v>66</v>
      </c>
      <c r="E4" t="s">
        <v>67</v>
      </c>
      <c r="G4" s="3"/>
    </row>
    <row r="5" spans="1:12" ht="14.45">
      <c r="A5" s="53" t="s">
        <v>68</v>
      </c>
      <c r="B5" t="s">
        <v>69</v>
      </c>
      <c r="C5" s="50" t="s">
        <v>70</v>
      </c>
      <c r="D5" s="49" t="s">
        <v>66</v>
      </c>
      <c r="E5" t="s">
        <v>67</v>
      </c>
      <c r="G5" s="3"/>
    </row>
    <row r="6" spans="1:12" ht="14.45">
      <c r="A6" s="53" t="s">
        <v>71</v>
      </c>
      <c r="B6" t="s">
        <v>72</v>
      </c>
      <c r="C6" s="50" t="s">
        <v>73</v>
      </c>
      <c r="D6" s="49" t="s">
        <v>66</v>
      </c>
      <c r="E6" t="s">
        <v>67</v>
      </c>
      <c r="G6" s="3"/>
    </row>
    <row r="7" spans="1:12" ht="12.75" customHeight="1">
      <c r="A7" s="53" t="s">
        <v>74</v>
      </c>
      <c r="B7" t="s">
        <v>75</v>
      </c>
      <c r="C7" s="50" t="s">
        <v>76</v>
      </c>
      <c r="D7" s="49" t="s">
        <v>66</v>
      </c>
      <c r="E7" t="s">
        <v>67</v>
      </c>
    </row>
    <row r="8" spans="1:12" ht="12.75" customHeight="1">
      <c r="A8" s="53" t="s">
        <v>77</v>
      </c>
      <c r="B8" t="s">
        <v>78</v>
      </c>
      <c r="C8" s="50" t="s">
        <v>70</v>
      </c>
      <c r="D8" s="49" t="s">
        <v>66</v>
      </c>
      <c r="E8" t="s">
        <v>67</v>
      </c>
    </row>
    <row r="9" spans="1:12" ht="12.75" customHeight="1">
      <c r="A9" s="53" t="s">
        <v>79</v>
      </c>
      <c r="B9" t="s">
        <v>80</v>
      </c>
      <c r="C9" s="50" t="s">
        <v>65</v>
      </c>
      <c r="D9" s="49" t="s">
        <v>66</v>
      </c>
      <c r="E9" t="s">
        <v>67</v>
      </c>
    </row>
    <row r="10" spans="1:12" ht="12.75" customHeight="1">
      <c r="A10" s="53" t="s">
        <v>81</v>
      </c>
      <c r="B10" t="s">
        <v>82</v>
      </c>
      <c r="C10" s="50" t="s">
        <v>70</v>
      </c>
      <c r="D10" s="49" t="s">
        <v>66</v>
      </c>
      <c r="E10" t="s">
        <v>67</v>
      </c>
      <c r="K10" s="44"/>
      <c r="L10" s="44"/>
    </row>
    <row r="11" spans="1:12" ht="12.75" customHeight="1">
      <c r="A11" s="53" t="s">
        <v>83</v>
      </c>
      <c r="B11" t="s">
        <v>84</v>
      </c>
      <c r="C11" s="50" t="s">
        <v>76</v>
      </c>
      <c r="D11" s="49" t="s">
        <v>66</v>
      </c>
      <c r="E11" t="s">
        <v>67</v>
      </c>
      <c r="K11" s="44"/>
      <c r="L11" s="44"/>
    </row>
    <row r="12" spans="1:12" ht="12.75" customHeight="1">
      <c r="A12" s="53" t="s">
        <v>85</v>
      </c>
      <c r="B12" t="s">
        <v>86</v>
      </c>
      <c r="C12" s="50" t="s">
        <v>87</v>
      </c>
      <c r="D12" s="49" t="s">
        <v>66</v>
      </c>
      <c r="E12" t="s">
        <v>67</v>
      </c>
      <c r="K12" s="44"/>
      <c r="L12" s="44"/>
    </row>
    <row r="13" spans="1:12" ht="12.75" customHeight="1">
      <c r="A13" s="53" t="s">
        <v>88</v>
      </c>
      <c r="B13" t="s">
        <v>89</v>
      </c>
      <c r="C13" s="50" t="s">
        <v>73</v>
      </c>
      <c r="D13" s="49" t="s">
        <v>66</v>
      </c>
      <c r="E13" t="s">
        <v>67</v>
      </c>
      <c r="K13" s="44"/>
      <c r="L13" s="44"/>
    </row>
    <row r="14" spans="1:12" ht="12.75" customHeight="1">
      <c r="A14" s="53" t="s">
        <v>90</v>
      </c>
      <c r="B14" t="s">
        <v>91</v>
      </c>
      <c r="C14" s="50" t="s">
        <v>70</v>
      </c>
      <c r="D14" s="49" t="s">
        <v>66</v>
      </c>
      <c r="E14" t="s">
        <v>67</v>
      </c>
      <c r="K14" s="44"/>
      <c r="L14" s="44"/>
    </row>
    <row r="15" spans="1:12" ht="12.75" customHeight="1">
      <c r="A15" s="53" t="s">
        <v>92</v>
      </c>
      <c r="B15" t="s">
        <v>93</v>
      </c>
      <c r="C15" s="50" t="s">
        <v>73</v>
      </c>
      <c r="D15" s="49" t="s">
        <v>66</v>
      </c>
      <c r="E15" t="s">
        <v>67</v>
      </c>
      <c r="K15" s="44"/>
      <c r="L15" s="44"/>
    </row>
    <row r="16" spans="1:12" ht="12.75" customHeight="1">
      <c r="A16" s="53" t="s">
        <v>94</v>
      </c>
      <c r="B16" t="s">
        <v>95</v>
      </c>
      <c r="C16" s="50" t="s">
        <v>70</v>
      </c>
      <c r="D16" s="49" t="s">
        <v>66</v>
      </c>
      <c r="E16" t="s">
        <v>67</v>
      </c>
      <c r="K16" s="44"/>
      <c r="L16" s="44"/>
    </row>
    <row r="17" spans="1:12" ht="12.75" customHeight="1">
      <c r="A17" s="53" t="s">
        <v>96</v>
      </c>
      <c r="B17" t="s">
        <v>97</v>
      </c>
      <c r="C17" s="50" t="s">
        <v>70</v>
      </c>
      <c r="D17" s="49" t="s">
        <v>66</v>
      </c>
      <c r="E17" t="s">
        <v>67</v>
      </c>
      <c r="K17" s="44"/>
      <c r="L17" s="44"/>
    </row>
    <row r="18" spans="1:12" ht="12.75" customHeight="1">
      <c r="A18" s="53" t="s">
        <v>98</v>
      </c>
      <c r="B18" t="s">
        <v>99</v>
      </c>
      <c r="C18" s="50" t="s">
        <v>70</v>
      </c>
      <c r="D18" s="49" t="s">
        <v>66</v>
      </c>
      <c r="E18" t="s">
        <v>67</v>
      </c>
      <c r="K18" s="44"/>
      <c r="L18" s="44"/>
    </row>
    <row r="19" spans="1:12" ht="12.75" customHeight="1">
      <c r="A19" s="53" t="s">
        <v>100</v>
      </c>
      <c r="B19" t="s">
        <v>101</v>
      </c>
      <c r="C19" s="50" t="s">
        <v>70</v>
      </c>
      <c r="D19" s="49" t="s">
        <v>66</v>
      </c>
      <c r="E19" t="s">
        <v>67</v>
      </c>
      <c r="K19" s="44"/>
      <c r="L19" s="44"/>
    </row>
    <row r="20" spans="1:12" ht="12.75" customHeight="1">
      <c r="A20" s="53" t="s">
        <v>102</v>
      </c>
      <c r="B20" t="s">
        <v>103</v>
      </c>
      <c r="C20" s="50" t="s">
        <v>73</v>
      </c>
      <c r="D20" s="49" t="s">
        <v>66</v>
      </c>
      <c r="E20" t="s">
        <v>67</v>
      </c>
      <c r="K20" s="44"/>
      <c r="L20" s="44"/>
    </row>
    <row r="21" spans="1:12" ht="12.75" customHeight="1">
      <c r="A21" s="53" t="s">
        <v>104</v>
      </c>
      <c r="B21" t="s">
        <v>105</v>
      </c>
      <c r="C21" s="50" t="s">
        <v>76</v>
      </c>
      <c r="D21" s="49" t="s">
        <v>66</v>
      </c>
      <c r="E21" t="s">
        <v>67</v>
      </c>
      <c r="K21" s="44"/>
      <c r="L21" s="44"/>
    </row>
    <row r="22" spans="1:12" ht="12.75" customHeight="1">
      <c r="A22" s="53" t="s">
        <v>106</v>
      </c>
      <c r="B22" t="s">
        <v>107</v>
      </c>
      <c r="C22" s="50" t="s">
        <v>70</v>
      </c>
      <c r="D22" s="49" t="s">
        <v>66</v>
      </c>
      <c r="E22" t="s">
        <v>67</v>
      </c>
      <c r="K22" s="44"/>
      <c r="L22" s="44"/>
    </row>
    <row r="23" spans="1:12" ht="12.75" customHeight="1">
      <c r="A23" s="53" t="s">
        <v>108</v>
      </c>
      <c r="B23" t="s">
        <v>109</v>
      </c>
      <c r="C23" s="50" t="s">
        <v>70</v>
      </c>
      <c r="D23" s="49" t="s">
        <v>66</v>
      </c>
      <c r="E23" t="s">
        <v>67</v>
      </c>
      <c r="K23" s="44"/>
      <c r="L23" s="44"/>
    </row>
    <row r="24" spans="1:12" ht="12.75" customHeight="1">
      <c r="A24" s="53" t="s">
        <v>110</v>
      </c>
      <c r="B24" t="s">
        <v>111</v>
      </c>
      <c r="C24" s="50" t="s">
        <v>73</v>
      </c>
      <c r="D24" s="49" t="s">
        <v>66</v>
      </c>
      <c r="E24" t="s">
        <v>67</v>
      </c>
      <c r="K24" s="44"/>
      <c r="L24" s="44"/>
    </row>
    <row r="25" spans="1:12" ht="12.75" customHeight="1">
      <c r="A25" s="53" t="s">
        <v>112</v>
      </c>
      <c r="B25" t="s">
        <v>113</v>
      </c>
      <c r="C25" s="50" t="s">
        <v>65</v>
      </c>
      <c r="D25" s="49" t="s">
        <v>66</v>
      </c>
      <c r="E25" t="s">
        <v>67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2025-04-07T15:26:10Z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2025-04-07T15:25:01Z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47439aa5-e202-4fd3-b36f-490737a2be9f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