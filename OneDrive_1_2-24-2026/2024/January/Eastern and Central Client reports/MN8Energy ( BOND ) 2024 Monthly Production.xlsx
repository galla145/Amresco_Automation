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27" documentId="13_ncr:1_{90B748B9-75C0-438E-A5AE-FADEBDC8FBA9}" xr6:coauthVersionLast="47" xr6:coauthVersionMax="47" xr10:uidLastSave="{A9113716-4379-4508-B75A-BADE02533959}"/>
  <bookViews>
    <workbookView xWindow="-28920" yWindow="7725" windowWidth="29040" windowHeight="15720" tabRatio="866" firstSheet="27" activeTab="5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Grafton II" sheetId="5" r:id="rId19"/>
    <sheet name="Clara Barton" sheetId="69" r:id="rId20"/>
    <sheet name="Fairhaven Solar" sheetId="79" r:id="rId21"/>
    <sheet name="Plympton-1" sheetId="78" r:id="rId22"/>
    <sheet name="French River 2" sheetId="77" r:id="rId23"/>
    <sheet name="French River 3" sheetId="76" r:id="rId24"/>
    <sheet name="French River 4" sheetId="75" r:id="rId25"/>
    <sheet name="French River 5" sheetId="74" r:id="rId26"/>
    <sheet name="French River 6" sheetId="73" r:id="rId27"/>
    <sheet name="Stillwater River 1A" sheetId="80" r:id="rId28"/>
    <sheet name="Stillwater River 2" sheetId="72" r:id="rId29"/>
    <sheet name="Stillwater River 3" sheetId="71" r:id="rId30"/>
    <sheet name="Stillwater River 4" sheetId="70" r:id="rId31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'01-2024'!$C$3:$C$15</definedName>
    <definedName name="JanActual2">'01-2024'!#REF!</definedName>
    <definedName name="JanExpected">'01-2024'!$D$3:$D$15</definedName>
    <definedName name="JanExpectedDelta">'01-2024'!$E$3:$E$15</definedName>
    <definedName name="JanExpectedPercent">'01-2024'!$F$3:$F$15</definedName>
    <definedName name="JanExpPercent">'01-2024'!$F$3:$F$15</definedName>
    <definedName name="JanForecasted">'01-2024'!$G$3:$G$15</definedName>
    <definedName name="JanForecastedDelta">'01-2024'!$H$3:$H$15</definedName>
    <definedName name="JanForecastedPercent">'01-2024'!$I$3:$I$15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4" l="1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80"/>
  <c r="C17" i="80"/>
  <c r="B17" i="80"/>
  <c r="G16" i="80"/>
  <c r="H16" i="80" s="1"/>
  <c r="D16" i="80"/>
  <c r="E16" i="80" s="1"/>
  <c r="G15" i="80"/>
  <c r="H15" i="80" s="1"/>
  <c r="D15" i="80"/>
  <c r="E15" i="80" s="1"/>
  <c r="G14" i="80"/>
  <c r="H14" i="80" s="1"/>
  <c r="D14" i="80"/>
  <c r="E14" i="80" s="1"/>
  <c r="G13" i="80"/>
  <c r="H13" i="80" s="1"/>
  <c r="D13" i="80"/>
  <c r="E13" i="80" s="1"/>
  <c r="G12" i="80"/>
  <c r="H12" i="80" s="1"/>
  <c r="D12" i="80"/>
  <c r="E12" i="80" s="1"/>
  <c r="G11" i="80"/>
  <c r="H11" i="80" s="1"/>
  <c r="D11" i="80"/>
  <c r="E11" i="80" s="1"/>
  <c r="G10" i="80"/>
  <c r="H10" i="80" s="1"/>
  <c r="D10" i="80"/>
  <c r="G9" i="80"/>
  <c r="H9" i="80" s="1"/>
  <c r="D9" i="80"/>
  <c r="E9" i="80" s="1"/>
  <c r="G8" i="80"/>
  <c r="H8" i="80" s="1"/>
  <c r="D8" i="80"/>
  <c r="E8" i="80" s="1"/>
  <c r="G7" i="80"/>
  <c r="H7" i="80" s="1"/>
  <c r="D7" i="80"/>
  <c r="G6" i="80"/>
  <c r="H6" i="80" s="1"/>
  <c r="D6" i="80"/>
  <c r="E6" i="80" s="1"/>
  <c r="G5" i="80"/>
  <c r="H5" i="80" s="1"/>
  <c r="D5" i="80"/>
  <c r="F17" i="79"/>
  <c r="C17" i="79"/>
  <c r="B17" i="79"/>
  <c r="G16" i="79"/>
  <c r="H16" i="79" s="1"/>
  <c r="D16" i="79"/>
  <c r="E16" i="79" s="1"/>
  <c r="G15" i="79"/>
  <c r="H15" i="79" s="1"/>
  <c r="D15" i="79"/>
  <c r="E15" i="79" s="1"/>
  <c r="G14" i="79"/>
  <c r="H14" i="79" s="1"/>
  <c r="D14" i="79"/>
  <c r="E14" i="79" s="1"/>
  <c r="G13" i="79"/>
  <c r="H13" i="79" s="1"/>
  <c r="D13" i="79"/>
  <c r="E13" i="79" s="1"/>
  <c r="G12" i="79"/>
  <c r="H12" i="79" s="1"/>
  <c r="D12" i="79"/>
  <c r="E12" i="79" s="1"/>
  <c r="G11" i="79"/>
  <c r="H11" i="79" s="1"/>
  <c r="D11" i="79"/>
  <c r="E11" i="79" s="1"/>
  <c r="G10" i="79"/>
  <c r="H10" i="79" s="1"/>
  <c r="D10" i="79"/>
  <c r="G9" i="79"/>
  <c r="H9" i="79" s="1"/>
  <c r="D9" i="79"/>
  <c r="E9" i="79" s="1"/>
  <c r="G8" i="79"/>
  <c r="H8" i="79" s="1"/>
  <c r="D8" i="79"/>
  <c r="E8" i="79" s="1"/>
  <c r="G7" i="79"/>
  <c r="H7" i="79" s="1"/>
  <c r="D7" i="79"/>
  <c r="E7" i="79" s="1"/>
  <c r="G6" i="79"/>
  <c r="H6" i="79" s="1"/>
  <c r="D6" i="79"/>
  <c r="E6" i="79" s="1"/>
  <c r="G5" i="79"/>
  <c r="H5" i="79" s="1"/>
  <c r="D5" i="79"/>
  <c r="F17" i="78"/>
  <c r="C17" i="78"/>
  <c r="B17" i="78"/>
  <c r="G16" i="78"/>
  <c r="H16" i="78" s="1"/>
  <c r="D16" i="78"/>
  <c r="E16" i="78" s="1"/>
  <c r="G15" i="78"/>
  <c r="H15" i="78" s="1"/>
  <c r="D15" i="78"/>
  <c r="E15" i="78" s="1"/>
  <c r="G14" i="78"/>
  <c r="H14" i="78" s="1"/>
  <c r="D14" i="78"/>
  <c r="E14" i="78" s="1"/>
  <c r="G13" i="78"/>
  <c r="H13" i="78" s="1"/>
  <c r="D13" i="78"/>
  <c r="E13" i="78" s="1"/>
  <c r="G12" i="78"/>
  <c r="H12" i="78" s="1"/>
  <c r="D12" i="78"/>
  <c r="E12" i="78" s="1"/>
  <c r="G11" i="78"/>
  <c r="H11" i="78" s="1"/>
  <c r="D11" i="78"/>
  <c r="E11" i="78" s="1"/>
  <c r="G10" i="78"/>
  <c r="H10" i="78" s="1"/>
  <c r="D10" i="78"/>
  <c r="G9" i="78"/>
  <c r="H9" i="78" s="1"/>
  <c r="D9" i="78"/>
  <c r="E9" i="78" s="1"/>
  <c r="G8" i="78"/>
  <c r="H8" i="78" s="1"/>
  <c r="D8" i="78"/>
  <c r="E8" i="78" s="1"/>
  <c r="G7" i="78"/>
  <c r="H7" i="78" s="1"/>
  <c r="D7" i="78"/>
  <c r="E7" i="78" s="1"/>
  <c r="G6" i="78"/>
  <c r="H6" i="78" s="1"/>
  <c r="D6" i="78"/>
  <c r="E6" i="78" s="1"/>
  <c r="G5" i="78"/>
  <c r="H5" i="78" s="1"/>
  <c r="D5" i="78"/>
  <c r="F17" i="77"/>
  <c r="C17" i="77"/>
  <c r="B17" i="77"/>
  <c r="G16" i="77"/>
  <c r="H16" i="77" s="1"/>
  <c r="D16" i="77"/>
  <c r="E16" i="77" s="1"/>
  <c r="G15" i="77"/>
  <c r="H15" i="77" s="1"/>
  <c r="D15" i="77"/>
  <c r="E15" i="77" s="1"/>
  <c r="G14" i="77"/>
  <c r="H14" i="77" s="1"/>
  <c r="D14" i="77"/>
  <c r="E14" i="77" s="1"/>
  <c r="G13" i="77"/>
  <c r="H13" i="77" s="1"/>
  <c r="D13" i="77"/>
  <c r="E13" i="77" s="1"/>
  <c r="G12" i="77"/>
  <c r="H12" i="77" s="1"/>
  <c r="D12" i="77"/>
  <c r="E12" i="77" s="1"/>
  <c r="G11" i="77"/>
  <c r="H11" i="77" s="1"/>
  <c r="D11" i="77"/>
  <c r="E11" i="77" s="1"/>
  <c r="G10" i="77"/>
  <c r="H10" i="77" s="1"/>
  <c r="D10" i="77"/>
  <c r="G9" i="77"/>
  <c r="H9" i="77" s="1"/>
  <c r="D9" i="77"/>
  <c r="E9" i="77" s="1"/>
  <c r="G8" i="77"/>
  <c r="H8" i="77" s="1"/>
  <c r="D8" i="77"/>
  <c r="E8" i="77" s="1"/>
  <c r="G7" i="77"/>
  <c r="H7" i="77" s="1"/>
  <c r="D7" i="77"/>
  <c r="G6" i="77"/>
  <c r="H6" i="77" s="1"/>
  <c r="D6" i="77"/>
  <c r="E6" i="77" s="1"/>
  <c r="G5" i="77"/>
  <c r="H5" i="77" s="1"/>
  <c r="D5" i="77"/>
  <c r="F17" i="76"/>
  <c r="C17" i="76"/>
  <c r="B17" i="76"/>
  <c r="G16" i="76"/>
  <c r="H16" i="76" s="1"/>
  <c r="D16" i="76"/>
  <c r="E16" i="76" s="1"/>
  <c r="G15" i="76"/>
  <c r="H15" i="76" s="1"/>
  <c r="D15" i="76"/>
  <c r="E15" i="76" s="1"/>
  <c r="G14" i="76"/>
  <c r="H14" i="76" s="1"/>
  <c r="D14" i="76"/>
  <c r="E14" i="76" s="1"/>
  <c r="G13" i="76"/>
  <c r="H13" i="76" s="1"/>
  <c r="D13" i="76"/>
  <c r="E13" i="76" s="1"/>
  <c r="G12" i="76"/>
  <c r="H12" i="76" s="1"/>
  <c r="D12" i="76"/>
  <c r="E12" i="76" s="1"/>
  <c r="G11" i="76"/>
  <c r="H11" i="76" s="1"/>
  <c r="D11" i="76"/>
  <c r="E11" i="76" s="1"/>
  <c r="G10" i="76"/>
  <c r="H10" i="76" s="1"/>
  <c r="D10" i="76"/>
  <c r="G9" i="76"/>
  <c r="H9" i="76" s="1"/>
  <c r="D9" i="76"/>
  <c r="E9" i="76" s="1"/>
  <c r="G8" i="76"/>
  <c r="H8" i="76" s="1"/>
  <c r="D8" i="76"/>
  <c r="E8" i="76" s="1"/>
  <c r="G7" i="76"/>
  <c r="H7" i="76" s="1"/>
  <c r="D7" i="76"/>
  <c r="G6" i="76"/>
  <c r="H6" i="76" s="1"/>
  <c r="D6" i="76"/>
  <c r="E6" i="76" s="1"/>
  <c r="G5" i="76"/>
  <c r="H5" i="76" s="1"/>
  <c r="D5" i="76"/>
  <c r="F17" i="75"/>
  <c r="C17" i="75"/>
  <c r="B17" i="75"/>
  <c r="G16" i="75"/>
  <c r="H16" i="75" s="1"/>
  <c r="D16" i="75"/>
  <c r="E16" i="75" s="1"/>
  <c r="G15" i="75"/>
  <c r="H15" i="75" s="1"/>
  <c r="D15" i="75"/>
  <c r="E15" i="75" s="1"/>
  <c r="G14" i="75"/>
  <c r="H14" i="75" s="1"/>
  <c r="D14" i="75"/>
  <c r="E14" i="75" s="1"/>
  <c r="G13" i="75"/>
  <c r="H13" i="75" s="1"/>
  <c r="D13" i="75"/>
  <c r="E13" i="75" s="1"/>
  <c r="G12" i="75"/>
  <c r="H12" i="75" s="1"/>
  <c r="D12" i="75"/>
  <c r="E12" i="75" s="1"/>
  <c r="G11" i="75"/>
  <c r="H11" i="75" s="1"/>
  <c r="D11" i="75"/>
  <c r="E11" i="75" s="1"/>
  <c r="G10" i="75"/>
  <c r="H10" i="75" s="1"/>
  <c r="D10" i="75"/>
  <c r="G9" i="75"/>
  <c r="H9" i="75" s="1"/>
  <c r="D9" i="75"/>
  <c r="E9" i="75" s="1"/>
  <c r="G8" i="75"/>
  <c r="H8" i="75" s="1"/>
  <c r="D8" i="75"/>
  <c r="E8" i="75" s="1"/>
  <c r="G7" i="75"/>
  <c r="H7" i="75" s="1"/>
  <c r="D7" i="75"/>
  <c r="G6" i="75"/>
  <c r="H6" i="75" s="1"/>
  <c r="D6" i="75"/>
  <c r="E6" i="75" s="1"/>
  <c r="G5" i="75"/>
  <c r="H5" i="75" s="1"/>
  <c r="D5" i="75"/>
  <c r="F17" i="74"/>
  <c r="C17" i="74"/>
  <c r="B17" i="74"/>
  <c r="G16" i="74"/>
  <c r="H16" i="74" s="1"/>
  <c r="D16" i="74"/>
  <c r="E16" i="74" s="1"/>
  <c r="G15" i="74"/>
  <c r="H15" i="74" s="1"/>
  <c r="D15" i="74"/>
  <c r="E15" i="74" s="1"/>
  <c r="G14" i="74"/>
  <c r="H14" i="74" s="1"/>
  <c r="D14" i="74"/>
  <c r="E14" i="74" s="1"/>
  <c r="G13" i="74"/>
  <c r="H13" i="74" s="1"/>
  <c r="D13" i="74"/>
  <c r="E13" i="74" s="1"/>
  <c r="G12" i="74"/>
  <c r="H12" i="74" s="1"/>
  <c r="D12" i="74"/>
  <c r="E12" i="74" s="1"/>
  <c r="G11" i="74"/>
  <c r="H11" i="74" s="1"/>
  <c r="D11" i="74"/>
  <c r="E11" i="74" s="1"/>
  <c r="G10" i="74"/>
  <c r="H10" i="74" s="1"/>
  <c r="D10" i="74"/>
  <c r="G9" i="74"/>
  <c r="H9" i="74" s="1"/>
  <c r="D9" i="74"/>
  <c r="E9" i="74" s="1"/>
  <c r="G8" i="74"/>
  <c r="H8" i="74" s="1"/>
  <c r="D8" i="74"/>
  <c r="E8" i="74" s="1"/>
  <c r="G7" i="74"/>
  <c r="H7" i="74" s="1"/>
  <c r="D7" i="74"/>
  <c r="G6" i="74"/>
  <c r="H6" i="74" s="1"/>
  <c r="D6" i="74"/>
  <c r="E6" i="74" s="1"/>
  <c r="G5" i="74"/>
  <c r="H5" i="74" s="1"/>
  <c r="D5" i="74"/>
  <c r="F17" i="73"/>
  <c r="C17" i="73"/>
  <c r="B17" i="73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G9" i="73"/>
  <c r="H9" i="73" s="1"/>
  <c r="D9" i="73"/>
  <c r="E9" i="73" s="1"/>
  <c r="G8" i="73"/>
  <c r="H8" i="73" s="1"/>
  <c r="D8" i="73"/>
  <c r="E8" i="73" s="1"/>
  <c r="G7" i="73"/>
  <c r="H7" i="73" s="1"/>
  <c r="D7" i="73"/>
  <c r="G6" i="73"/>
  <c r="H6" i="73" s="1"/>
  <c r="D6" i="73"/>
  <c r="E6" i="73" s="1"/>
  <c r="G5" i="73"/>
  <c r="H5" i="73" s="1"/>
  <c r="D5" i="73"/>
  <c r="F17" i="72"/>
  <c r="C17" i="72"/>
  <c r="B17" i="72"/>
  <c r="G16" i="72"/>
  <c r="H16" i="72" s="1"/>
  <c r="D16" i="72"/>
  <c r="E16" i="72" s="1"/>
  <c r="G15" i="72"/>
  <c r="H15" i="72" s="1"/>
  <c r="D15" i="72"/>
  <c r="E15" i="72" s="1"/>
  <c r="G14" i="72"/>
  <c r="H14" i="72" s="1"/>
  <c r="D14" i="72"/>
  <c r="E14" i="72" s="1"/>
  <c r="G13" i="72"/>
  <c r="H13" i="72" s="1"/>
  <c r="D13" i="72"/>
  <c r="E13" i="72" s="1"/>
  <c r="G12" i="72"/>
  <c r="H12" i="72" s="1"/>
  <c r="D12" i="72"/>
  <c r="E12" i="72" s="1"/>
  <c r="G11" i="72"/>
  <c r="H11" i="72" s="1"/>
  <c r="D11" i="72"/>
  <c r="E11" i="72" s="1"/>
  <c r="G10" i="72"/>
  <c r="H10" i="72" s="1"/>
  <c r="D10" i="72"/>
  <c r="G9" i="72"/>
  <c r="H9" i="72" s="1"/>
  <c r="D9" i="72"/>
  <c r="E9" i="72" s="1"/>
  <c r="G8" i="72"/>
  <c r="H8" i="72" s="1"/>
  <c r="D8" i="72"/>
  <c r="E8" i="72" s="1"/>
  <c r="G7" i="72"/>
  <c r="H7" i="72" s="1"/>
  <c r="D7" i="72"/>
  <c r="G6" i="72"/>
  <c r="H6" i="72" s="1"/>
  <c r="D6" i="72"/>
  <c r="E6" i="72" s="1"/>
  <c r="G5" i="72"/>
  <c r="H5" i="72" s="1"/>
  <c r="D5" i="72"/>
  <c r="F17" i="71"/>
  <c r="C17" i="71"/>
  <c r="B17" i="71"/>
  <c r="G16" i="71"/>
  <c r="H16" i="71" s="1"/>
  <c r="D16" i="71"/>
  <c r="E16" i="71" s="1"/>
  <c r="G15" i="71"/>
  <c r="H15" i="71" s="1"/>
  <c r="D15" i="71"/>
  <c r="E15" i="71" s="1"/>
  <c r="G14" i="71"/>
  <c r="H14" i="71" s="1"/>
  <c r="D14" i="71"/>
  <c r="E14" i="71" s="1"/>
  <c r="G13" i="71"/>
  <c r="H13" i="71" s="1"/>
  <c r="D13" i="71"/>
  <c r="E13" i="71" s="1"/>
  <c r="G12" i="71"/>
  <c r="H12" i="71" s="1"/>
  <c r="D12" i="71"/>
  <c r="E12" i="71" s="1"/>
  <c r="G11" i="71"/>
  <c r="H11" i="71" s="1"/>
  <c r="D11" i="71"/>
  <c r="E11" i="71" s="1"/>
  <c r="G10" i="71"/>
  <c r="H10" i="71" s="1"/>
  <c r="D10" i="71"/>
  <c r="G9" i="71"/>
  <c r="H9" i="71" s="1"/>
  <c r="D9" i="71"/>
  <c r="E9" i="71" s="1"/>
  <c r="G8" i="71"/>
  <c r="H8" i="71" s="1"/>
  <c r="D8" i="71"/>
  <c r="E8" i="71" s="1"/>
  <c r="G7" i="71"/>
  <c r="H7" i="71" s="1"/>
  <c r="D7" i="71"/>
  <c r="G6" i="71"/>
  <c r="H6" i="71" s="1"/>
  <c r="D6" i="71"/>
  <c r="E6" i="71" s="1"/>
  <c r="G5" i="71"/>
  <c r="H5" i="71" s="1"/>
  <c r="D5" i="71"/>
  <c r="F17" i="70"/>
  <c r="C17" i="70"/>
  <c r="B17" i="70"/>
  <c r="G16" i="70"/>
  <c r="H16" i="70" s="1"/>
  <c r="D16" i="70"/>
  <c r="G15" i="70"/>
  <c r="H15" i="70" s="1"/>
  <c r="D15" i="70"/>
  <c r="G14" i="70"/>
  <c r="H14" i="70" s="1"/>
  <c r="D14" i="70"/>
  <c r="G13" i="70"/>
  <c r="H13" i="70" s="1"/>
  <c r="D13" i="70"/>
  <c r="G12" i="70"/>
  <c r="H12" i="70" s="1"/>
  <c r="D12" i="70"/>
  <c r="G11" i="70"/>
  <c r="H11" i="70" s="1"/>
  <c r="D11" i="70"/>
  <c r="G10" i="70"/>
  <c r="H10" i="70" s="1"/>
  <c r="D10" i="70"/>
  <c r="G9" i="70"/>
  <c r="H9" i="70" s="1"/>
  <c r="D9" i="70"/>
  <c r="G8" i="70"/>
  <c r="H8" i="70" s="1"/>
  <c r="D8" i="70"/>
  <c r="G7" i="70"/>
  <c r="H7" i="70" s="1"/>
  <c r="D7" i="70"/>
  <c r="G6" i="70"/>
  <c r="H6" i="70" s="1"/>
  <c r="D6" i="70"/>
  <c r="E6" i="70" s="1"/>
  <c r="G5" i="70"/>
  <c r="H5" i="70" s="1"/>
  <c r="D5" i="70"/>
  <c r="F17" i="69"/>
  <c r="C17" i="69"/>
  <c r="B17" i="69"/>
  <c r="G16" i="69"/>
  <c r="H16" i="69" s="1"/>
  <c r="D16" i="69"/>
  <c r="E16" i="69" s="1"/>
  <c r="G15" i="69"/>
  <c r="H15" i="69" s="1"/>
  <c r="D15" i="69"/>
  <c r="E15" i="69" s="1"/>
  <c r="G14" i="69"/>
  <c r="H14" i="69" s="1"/>
  <c r="D14" i="69"/>
  <c r="E14" i="69" s="1"/>
  <c r="G13" i="69"/>
  <c r="H13" i="69" s="1"/>
  <c r="D13" i="69"/>
  <c r="E13" i="69" s="1"/>
  <c r="G12" i="69"/>
  <c r="H12" i="69" s="1"/>
  <c r="D12" i="69"/>
  <c r="E12" i="69" s="1"/>
  <c r="G11" i="69"/>
  <c r="H11" i="69" s="1"/>
  <c r="D11" i="69"/>
  <c r="E11" i="69" s="1"/>
  <c r="G10" i="69"/>
  <c r="H10" i="69" s="1"/>
  <c r="D10" i="69"/>
  <c r="G9" i="69"/>
  <c r="H9" i="69" s="1"/>
  <c r="D9" i="69"/>
  <c r="E9" i="69" s="1"/>
  <c r="G8" i="69"/>
  <c r="H8" i="69" s="1"/>
  <c r="D8" i="69"/>
  <c r="E8" i="69" s="1"/>
  <c r="G7" i="69"/>
  <c r="H7" i="69" s="1"/>
  <c r="D7" i="69"/>
  <c r="E7" i="69" s="1"/>
  <c r="G6" i="69"/>
  <c r="H6" i="69" s="1"/>
  <c r="D6" i="69"/>
  <c r="E6" i="69" s="1"/>
  <c r="G5" i="69"/>
  <c r="H5" i="69" s="1"/>
  <c r="D5" i="69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A3" i="2" a="1"/>
  <c r="C4" i="27" a="1"/>
  <c r="C5" i="32" a="1"/>
  <c r="C13" i="33" a="1"/>
  <c r="C4" i="28" a="1"/>
  <c r="C13" i="31" a="1"/>
  <c r="C14" i="33" a="1"/>
  <c r="C12" i="21" a="1"/>
  <c r="C7" i="21" a="1"/>
  <c r="C4" i="20" a="1"/>
  <c r="C13" i="20" a="1"/>
  <c r="C7" i="28" a="1"/>
  <c r="C7" i="20" a="1"/>
  <c r="C12" i="27" a="1"/>
  <c r="C13" i="27" a="1"/>
  <c r="C9" i="32" a="1"/>
  <c r="C11" i="26" a="1"/>
  <c r="C4" i="33" a="1"/>
  <c r="C5" i="26" a="1"/>
  <c r="C11" i="32" a="1"/>
  <c r="C5" i="28" a="1"/>
  <c r="C6" i="21" a="1"/>
  <c r="C9" i="33" a="1"/>
  <c r="C12" i="20" a="1"/>
  <c r="C5" i="33" a="1"/>
  <c r="C11" i="31" a="1"/>
  <c r="C13" i="28" a="1"/>
  <c r="C6" i="20" a="1"/>
  <c r="C6" i="33" a="1"/>
  <c r="C14" i="28" a="1"/>
  <c r="C4" i="21" a="1"/>
  <c r="C5" i="21" a="1"/>
  <c r="C6" i="32" a="1"/>
  <c r="C12" i="32" a="1"/>
  <c r="C8" i="26" a="1"/>
  <c r="C8" i="31" a="1"/>
  <c r="C4" i="4" a="1"/>
  <c r="C8" i="27" a="1"/>
  <c r="C10" i="27" a="1"/>
  <c r="C4" i="26" a="1"/>
  <c r="C6" i="28" a="1"/>
  <c r="C10" i="26" a="1"/>
  <c r="C12" i="28" a="1"/>
  <c r="C6" i="4" a="1"/>
  <c r="C5" i="4" a="1"/>
  <c r="C8" i="21" a="1"/>
  <c r="C8" i="28" a="1"/>
  <c r="C5" i="31" a="1"/>
  <c r="C12" i="31" a="1"/>
  <c r="C10" i="33" a="1"/>
  <c r="C14" i="27" a="1"/>
  <c r="C10" i="21" a="1"/>
  <c r="C14" i="26" a="1"/>
  <c r="C11" i="20" a="1"/>
  <c r="C13" i="21" a="1"/>
  <c r="C10" i="28" a="1"/>
  <c r="C14" i="32" a="1"/>
  <c r="C11" i="33" a="1"/>
  <c r="C11" i="28" a="1"/>
  <c r="C14" i="20" a="1"/>
  <c r="C6" i="27" a="1"/>
  <c r="C10" i="32" a="1"/>
  <c r="C14" i="21" a="1"/>
  <c r="C13" i="26" a="1"/>
  <c r="C5" i="20" a="1"/>
  <c r="C7" i="33" a="1"/>
  <c r="C12" i="33" a="1"/>
  <c r="C7" i="27" a="1"/>
  <c r="C9" i="28" a="1"/>
  <c r="C13" i="32" a="1"/>
  <c r="C6" i="31" a="1"/>
  <c r="C8" i="20" a="1"/>
  <c r="C7" i="32" a="1"/>
  <c r="C14" i="31" a="1"/>
  <c r="C10" i="31" a="1"/>
  <c r="C9" i="26" a="1"/>
  <c r="C7" i="31" a="1"/>
  <c r="C4" i="31" a="1"/>
  <c r="C7" i="26" a="1"/>
  <c r="C6" i="26" a="1"/>
  <c r="C9" i="21" a="1"/>
  <c r="C9" i="27" a="1"/>
  <c r="C10" i="20" a="1"/>
  <c r="C8" i="32" a="1"/>
  <c r="C9" i="31" a="1"/>
  <c r="C4" i="32" a="1"/>
  <c r="C11" i="21" a="1"/>
  <c r="C12" i="26" a="1"/>
  <c r="C11" i="27" a="1"/>
  <c r="C9" i="20" a="1"/>
  <c r="C8" i="33" a="1"/>
  <c r="C5" i="27" a="1"/>
  <c r="C6" i="31" l="1"/>
  <c r="C4" i="4"/>
  <c r="C4" i="20"/>
  <c r="C12" i="28"/>
  <c r="C12" i="32"/>
  <c r="C12" i="33"/>
  <c r="C11" i="21"/>
  <c r="C7" i="20"/>
  <c r="C11" i="26"/>
  <c r="C7" i="26"/>
  <c r="C11" i="27"/>
  <c r="C7" i="27"/>
  <c r="C11" i="28"/>
  <c r="C7" i="28"/>
  <c r="C11" i="31"/>
  <c r="C7" i="31"/>
  <c r="C11" i="32"/>
  <c r="C7" i="32"/>
  <c r="C11" i="33"/>
  <c r="C7" i="33"/>
  <c r="C12" i="20"/>
  <c r="C4" i="26"/>
  <c r="C8" i="28"/>
  <c r="C4" i="31"/>
  <c r="C8" i="33"/>
  <c r="C7" i="21"/>
  <c r="C11" i="20"/>
  <c r="C6" i="4"/>
  <c r="C14" i="21"/>
  <c r="C6" i="21"/>
  <c r="C10" i="20"/>
  <c r="C6" i="20"/>
  <c r="C14" i="26"/>
  <c r="C10" i="26"/>
  <c r="C14" i="27"/>
  <c r="C10" i="27"/>
  <c r="C6" i="27"/>
  <c r="C14" i="28"/>
  <c r="C10" i="28"/>
  <c r="C6" i="28"/>
  <c r="C14" i="31"/>
  <c r="C10" i="31"/>
  <c r="C14" i="32"/>
  <c r="C10" i="32"/>
  <c r="C6" i="32"/>
  <c r="C14" i="33"/>
  <c r="C10" i="33"/>
  <c r="C6" i="33"/>
  <c r="C4" i="21"/>
  <c r="C8" i="26"/>
  <c r="C8" i="27"/>
  <c r="C4" i="28"/>
  <c r="C4" i="32"/>
  <c r="C10" i="21"/>
  <c r="C14" i="20"/>
  <c r="C6" i="26"/>
  <c r="C12" i="21"/>
  <c r="C8" i="20"/>
  <c r="C12" i="27"/>
  <c r="C8" i="31"/>
  <c r="C13" i="21"/>
  <c r="C5" i="33"/>
  <c r="C8" i="21"/>
  <c r="C12" i="26"/>
  <c r="C4" i="27"/>
  <c r="C12" i="31"/>
  <c r="C8" i="32"/>
  <c r="C4" i="33"/>
  <c r="C5" i="4"/>
  <c r="C9" i="21"/>
  <c r="C5" i="21"/>
  <c r="C13" i="20"/>
  <c r="C9" i="20"/>
  <c r="C5" i="20"/>
  <c r="C13" i="26"/>
  <c r="C9" i="26"/>
  <c r="C5" i="26"/>
  <c r="C13" i="27"/>
  <c r="C9" i="27"/>
  <c r="C5" i="27"/>
  <c r="C13" i="28"/>
  <c r="C9" i="28"/>
  <c r="C5" i="28"/>
  <c r="C13" i="31"/>
  <c r="C9" i="31"/>
  <c r="C5" i="31"/>
  <c r="C13" i="32"/>
  <c r="C9" i="32"/>
  <c r="C5" i="32"/>
  <c r="C13" i="33"/>
  <c r="C9" i="33"/>
  <c r="E8" i="70"/>
  <c r="E9" i="70"/>
  <c r="E11" i="70"/>
  <c r="E12" i="70"/>
  <c r="E13" i="70"/>
  <c r="E14" i="70"/>
  <c r="E15" i="70"/>
  <c r="E16" i="70"/>
  <c r="E7" i="70"/>
  <c r="E7" i="71"/>
  <c r="E7" i="72"/>
  <c r="E7" i="80"/>
  <c r="E7" i="73"/>
  <c r="E7" i="74"/>
  <c r="E7" i="75"/>
  <c r="E7" i="77"/>
  <c r="E7" i="76"/>
  <c r="E5" i="70"/>
  <c r="E10" i="70"/>
  <c r="E5" i="71"/>
  <c r="E10" i="71"/>
  <c r="E5" i="72"/>
  <c r="E10" i="72"/>
  <c r="E5" i="80"/>
  <c r="E10" i="80"/>
  <c r="E5" i="73"/>
  <c r="E10" i="73"/>
  <c r="E5" i="74"/>
  <c r="E10" i="74"/>
  <c r="E5" i="75"/>
  <c r="E10" i="75"/>
  <c r="E5" i="76"/>
  <c r="E10" i="76"/>
  <c r="E5" i="77"/>
  <c r="E10" i="77"/>
  <c r="E5" i="78"/>
  <c r="E10" i="78"/>
  <c r="E5" i="79"/>
  <c r="E10" i="79"/>
  <c r="E5" i="69"/>
  <c r="E10" i="69"/>
  <c r="E5" i="5"/>
  <c r="E10" i="5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80"/>
  <c r="H17" i="80" s="1"/>
  <c r="D17" i="80"/>
  <c r="E17" i="80" s="1"/>
  <c r="G17" i="79"/>
  <c r="H17" i="79" s="1"/>
  <c r="D17" i="79"/>
  <c r="E17" i="79" s="1"/>
  <c r="G17" i="78"/>
  <c r="H17" i="78" s="1"/>
  <c r="D17" i="78"/>
  <c r="E17" i="78" s="1"/>
  <c r="G17" i="77"/>
  <c r="H17" i="77" s="1"/>
  <c r="D17" i="77"/>
  <c r="E17" i="77" s="1"/>
  <c r="G17" i="76"/>
  <c r="H17" i="76" s="1"/>
  <c r="D17" i="76"/>
  <c r="E17" i="76" s="1"/>
  <c r="G17" i="75"/>
  <c r="H17" i="75" s="1"/>
  <c r="D17" i="75"/>
  <c r="E17" i="75" s="1"/>
  <c r="G17" i="74"/>
  <c r="H17" i="74" s="1"/>
  <c r="D17" i="74"/>
  <c r="E17" i="74" s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69"/>
  <c r="H17" i="69" s="1"/>
  <c r="D17" i="69"/>
  <c r="E17" i="69" s="1"/>
  <c r="G17" i="5"/>
  <c r="H17" i="5" s="1"/>
  <c r="D17" i="5"/>
  <c r="E17" i="5" s="1"/>
  <c r="B3" i="2" a="1"/>
  <c r="B3" i="2" s="1"/>
  <c r="C7" i="4" a="1"/>
  <c r="C13" i="3" a="1"/>
  <c r="C15" i="27" a="1"/>
  <c r="C15" i="28" a="1"/>
  <c r="C3" i="3" a="1"/>
  <c r="C10" i="3" a="1"/>
  <c r="C13" i="2" a="1"/>
  <c r="C9" i="19" a="1"/>
  <c r="C15" i="31" a="1"/>
  <c r="C11" i="3" a="1"/>
  <c r="C3" i="27" a="1"/>
  <c r="C9" i="3" a="1"/>
  <c r="C5" i="2" a="1"/>
  <c r="C7" i="19" a="1"/>
  <c r="C11" i="4" a="1"/>
  <c r="C3" i="33" a="1"/>
  <c r="C6" i="2" a="1"/>
  <c r="C7" i="3" a="1"/>
  <c r="C10" i="19" a="1"/>
  <c r="C12" i="2" a="1"/>
  <c r="C3" i="21" a="1"/>
  <c r="C12" i="3" a="1"/>
  <c r="C14" i="3" a="1"/>
  <c r="C13" i="19" a="1"/>
  <c r="C14" i="2" a="1"/>
  <c r="C11" i="2" a="1"/>
  <c r="C14" i="4" a="1"/>
  <c r="C12" i="4" a="1"/>
  <c r="C8" i="3" a="1"/>
  <c r="C8" i="2" a="1"/>
  <c r="C5" i="19" a="1"/>
  <c r="C5" i="3" a="1"/>
  <c r="C4" i="3" a="1"/>
  <c r="C15" i="2" a="1"/>
  <c r="C4" i="2" a="1"/>
  <c r="C8" i="19" a="1"/>
  <c r="C3" i="2" a="1"/>
  <c r="C15" i="19" a="1"/>
  <c r="C15" i="26" a="1"/>
  <c r="C15" i="32" a="1"/>
  <c r="C11" i="19" a="1"/>
  <c r="C9" i="4" a="1"/>
  <c r="C13" i="4" a="1"/>
  <c r="C10" i="4" a="1"/>
  <c r="C15" i="3" a="1"/>
  <c r="C15" i="4" a="1"/>
  <c r="C3" i="26" a="1"/>
  <c r="C3" i="28" a="1"/>
  <c r="C6" i="3" a="1"/>
  <c r="C10" i="2" a="1"/>
  <c r="C3" i="20" a="1"/>
  <c r="C3" i="19" a="1"/>
  <c r="C3" i="32" a="1"/>
  <c r="C3" i="31" a="1"/>
  <c r="C15" i="33" a="1"/>
  <c r="C15" i="21" a="1"/>
  <c r="C4" i="19" a="1"/>
  <c r="C9" i="2" a="1"/>
  <c r="C12" i="19" a="1"/>
  <c r="C3" i="4" a="1"/>
  <c r="C15" i="20" a="1"/>
  <c r="C7" i="2" a="1"/>
  <c r="C14" i="19" a="1"/>
  <c r="C6" i="19" a="1"/>
  <c r="C8" i="4" a="1"/>
  <c r="C3" i="4" l="1"/>
  <c r="C3" i="31"/>
  <c r="C3" i="32"/>
  <c r="C3" i="20"/>
  <c r="C3" i="26"/>
  <c r="C3" i="27"/>
  <c r="C3" i="28"/>
  <c r="C3" i="21"/>
  <c r="C3" i="33"/>
  <c r="C11" i="19"/>
  <c r="C15" i="26"/>
  <c r="C5" i="2"/>
  <c r="C15" i="2"/>
  <c r="C15" i="20"/>
  <c r="C9" i="19"/>
  <c r="C15" i="32"/>
  <c r="C3" i="2"/>
  <c r="C11" i="2"/>
  <c r="C15" i="31"/>
  <c r="C4" i="19"/>
  <c r="C8" i="19"/>
  <c r="C12" i="19"/>
  <c r="C8" i="4"/>
  <c r="C11" i="4"/>
  <c r="C15" i="4"/>
  <c r="C15" i="28"/>
  <c r="C15" i="21"/>
  <c r="C13" i="19"/>
  <c r="C13" i="4"/>
  <c r="C9" i="2"/>
  <c r="C10" i="4"/>
  <c r="C6" i="19"/>
  <c r="C10" i="19"/>
  <c r="C14" i="19"/>
  <c r="C7" i="19"/>
  <c r="C15" i="19"/>
  <c r="C7" i="2"/>
  <c r="C14" i="4"/>
  <c r="C4" i="2"/>
  <c r="C6" i="2"/>
  <c r="C8" i="2"/>
  <c r="C10" i="2"/>
  <c r="C12" i="2"/>
  <c r="C14" i="2"/>
  <c r="C7" i="4"/>
  <c r="C12" i="4"/>
  <c r="C15" i="33"/>
  <c r="C15" i="27"/>
  <c r="C5" i="19"/>
  <c r="C9" i="4"/>
  <c r="C13" i="2"/>
  <c r="C3" i="19"/>
  <c r="G16" i="19"/>
  <c r="C11" i="3"/>
  <c r="C4" i="3"/>
  <c r="C12" i="3"/>
  <c r="C13" i="3"/>
  <c r="C6" i="3"/>
  <c r="C14" i="3"/>
  <c r="C7" i="3"/>
  <c r="C8" i="3"/>
  <c r="C5" i="3"/>
  <c r="C9" i="3"/>
  <c r="C15" i="3"/>
  <c r="C10" i="3"/>
  <c r="D3" i="18"/>
  <c r="G3" i="18"/>
  <c r="D4" i="18"/>
  <c r="G4" i="18"/>
  <c r="D5" i="18"/>
  <c r="G5" i="18"/>
  <c r="D6" i="18"/>
  <c r="G6" i="18"/>
  <c r="D7" i="18"/>
  <c r="G7" i="18"/>
  <c r="D8" i="18"/>
  <c r="G8" i="18"/>
  <c r="D9" i="18"/>
  <c r="G9" i="18"/>
  <c r="D10" i="18"/>
  <c r="G10" i="18"/>
  <c r="D11" i="18"/>
  <c r="G11" i="18"/>
  <c r="D12" i="18"/>
  <c r="G12" i="18"/>
  <c r="D13" i="18"/>
  <c r="G13" i="18"/>
  <c r="D14" i="18"/>
  <c r="G14" i="18"/>
  <c r="D15" i="18"/>
  <c r="G15" i="18"/>
  <c r="D3" i="29"/>
  <c r="G3" i="29"/>
  <c r="D4" i="29"/>
  <c r="G4" i="29"/>
  <c r="D5" i="29"/>
  <c r="G5" i="29"/>
  <c r="D6" i="29"/>
  <c r="G6" i="29"/>
  <c r="D7" i="29"/>
  <c r="G7" i="29"/>
  <c r="D8" i="29"/>
  <c r="G8" i="29"/>
  <c r="D9" i="29"/>
  <c r="G9" i="29"/>
  <c r="D10" i="29"/>
  <c r="G10" i="29"/>
  <c r="D11" i="29"/>
  <c r="G11" i="29"/>
  <c r="D12" i="29"/>
  <c r="G12" i="29"/>
  <c r="D13" i="29"/>
  <c r="G13" i="29"/>
  <c r="D14" i="29"/>
  <c r="G14" i="29"/>
  <c r="D15" i="29"/>
  <c r="G15" i="29"/>
  <c r="D3" i="30"/>
  <c r="G3" i="30"/>
  <c r="D4" i="30"/>
  <c r="G4" i="30"/>
  <c r="D5" i="30"/>
  <c r="G5" i="30"/>
  <c r="D6" i="30"/>
  <c r="G6" i="30"/>
  <c r="D7" i="30"/>
  <c r="G7" i="30"/>
  <c r="D8" i="30"/>
  <c r="G8" i="30"/>
  <c r="D9" i="30"/>
  <c r="G9" i="30"/>
  <c r="D10" i="30"/>
  <c r="G10" i="30"/>
  <c r="D11" i="30"/>
  <c r="G11" i="30"/>
  <c r="D12" i="30"/>
  <c r="G12" i="30"/>
  <c r="D13" i="30"/>
  <c r="G13" i="30"/>
  <c r="D14" i="30"/>
  <c r="G14" i="30"/>
  <c r="D15" i="30"/>
  <c r="G15" i="30"/>
  <c r="C12" i="29"/>
  <c r="G3" i="1"/>
  <c r="D15" i="1"/>
  <c r="G15" i="1"/>
  <c r="D14" i="1"/>
  <c r="G14" i="1"/>
  <c r="D13" i="1"/>
  <c r="G13" i="1"/>
  <c r="D12" i="1"/>
  <c r="G12" i="1"/>
  <c r="D11" i="1"/>
  <c r="G11" i="1"/>
  <c r="D10" i="1"/>
  <c r="G10" i="1"/>
  <c r="D9" i="1"/>
  <c r="G9" i="1"/>
  <c r="D8" i="1"/>
  <c r="G8" i="1"/>
  <c r="D7" i="1"/>
  <c r="G7" i="1"/>
  <c r="D6" i="1"/>
  <c r="G6" i="1"/>
  <c r="D5" i="1"/>
  <c r="G5" i="1"/>
  <c r="D4" i="1"/>
  <c r="G4" i="1"/>
  <c r="D3" i="1"/>
  <c r="G16" i="33"/>
  <c r="D16" i="33"/>
  <c r="G16" i="32"/>
  <c r="D16" i="32"/>
  <c r="G16" i="31"/>
  <c r="D16" i="31"/>
  <c r="G16" i="28"/>
  <c r="D16" i="28"/>
  <c r="G16" i="27"/>
  <c r="D16" i="27"/>
  <c r="G16" i="26"/>
  <c r="D16" i="26"/>
  <c r="D16" i="19"/>
  <c r="G16" i="20"/>
  <c r="D16" i="20"/>
  <c r="G16" i="21"/>
  <c r="D16" i="21"/>
  <c r="G16" i="4"/>
  <c r="D16" i="4"/>
  <c r="G16" i="3"/>
  <c r="D16" i="3"/>
  <c r="C3" i="3"/>
  <c r="H12" i="29" l="1"/>
  <c r="C14" i="18"/>
  <c r="C9" i="29"/>
  <c r="C7" i="29"/>
  <c r="C11" i="30"/>
  <c r="E11" i="30" s="1"/>
  <c r="F11" i="30" s="1"/>
  <c r="H11" i="30" s="1"/>
  <c r="I11" i="30" s="1"/>
  <c r="C10" i="18"/>
  <c r="C14" i="29"/>
  <c r="C13" i="29"/>
  <c r="C4" i="29"/>
  <c r="C10" i="30"/>
  <c r="E10" i="30" s="1"/>
  <c r="F10" i="30" s="1"/>
  <c r="H10" i="30" s="1"/>
  <c r="I10" i="30" s="1"/>
  <c r="C7" i="30"/>
  <c r="E7" i="30" s="1"/>
  <c r="F7" i="30" s="1"/>
  <c r="H7" i="30" s="1"/>
  <c r="I7" i="30" s="1"/>
  <c r="C8" i="18"/>
  <c r="C5" i="18"/>
  <c r="C16" i="27"/>
  <c r="E16" i="27" s="1"/>
  <c r="F16" i="27" s="1"/>
  <c r="D10" i="34"/>
  <c r="C9" i="18"/>
  <c r="C7" i="18"/>
  <c r="C11" i="29"/>
  <c r="C10" i="29"/>
  <c r="C14" i="30"/>
  <c r="E14" i="30" s="1"/>
  <c r="F14" i="30" s="1"/>
  <c r="H14" i="30" s="1"/>
  <c r="I14" i="30" s="1"/>
  <c r="C11" i="18"/>
  <c r="C16" i="28"/>
  <c r="E16" i="28" s="1"/>
  <c r="F16" i="28" s="1"/>
  <c r="C15" i="29"/>
  <c r="D16" i="29"/>
  <c r="G16" i="1"/>
  <c r="D16" i="18"/>
  <c r="C13" i="18"/>
  <c r="C13" i="30"/>
  <c r="E13" i="30" s="1"/>
  <c r="F13" i="30" s="1"/>
  <c r="H13" i="30" s="1"/>
  <c r="I13" i="30" s="1"/>
  <c r="C5" i="30"/>
  <c r="E5" i="30" s="1"/>
  <c r="F5" i="30" s="1"/>
  <c r="H5" i="30" s="1"/>
  <c r="I5" i="30" s="1"/>
  <c r="G16" i="18"/>
  <c r="D16" i="30"/>
  <c r="D8" i="34"/>
  <c r="G11" i="34"/>
  <c r="G16" i="30"/>
  <c r="G16" i="29"/>
  <c r="D6" i="34"/>
  <c r="G9" i="34"/>
  <c r="D14" i="34"/>
  <c r="C16" i="19"/>
  <c r="D9" i="34"/>
  <c r="C16" i="4"/>
  <c r="H16" i="4" s="1"/>
  <c r="I16" i="4" s="1"/>
  <c r="C16" i="32"/>
  <c r="E16" i="32" s="1"/>
  <c r="F16" i="32" s="1"/>
  <c r="D3" i="34"/>
  <c r="G6" i="34"/>
  <c r="D11" i="34"/>
  <c r="G14" i="34"/>
  <c r="C12" i="18"/>
  <c r="C4" i="18"/>
  <c r="C8" i="29"/>
  <c r="C12" i="30"/>
  <c r="E12" i="30" s="1"/>
  <c r="F12" i="30" s="1"/>
  <c r="H12" i="30" s="1"/>
  <c r="I12" i="30" s="1"/>
  <c r="C4" i="30"/>
  <c r="E4" i="30" s="1"/>
  <c r="F4" i="30" s="1"/>
  <c r="H4" i="30" s="1"/>
  <c r="I4" i="30" s="1"/>
  <c r="C3" i="18"/>
  <c r="H3" i="18" s="1"/>
  <c r="I3" i="18" s="1"/>
  <c r="C16" i="33"/>
  <c r="H16" i="33" s="1"/>
  <c r="I16" i="33" s="1"/>
  <c r="D4" i="34"/>
  <c r="G7" i="34"/>
  <c r="D12" i="34"/>
  <c r="G15" i="34"/>
  <c r="C5" i="29"/>
  <c r="C9" i="30"/>
  <c r="E9" i="30" s="1"/>
  <c r="F9" i="30" s="1"/>
  <c r="H9" i="30" s="1"/>
  <c r="I9" i="30" s="1"/>
  <c r="C6" i="29"/>
  <c r="C3" i="29"/>
  <c r="H3" i="29" s="1"/>
  <c r="I3" i="29" s="1"/>
  <c r="D7" i="34"/>
  <c r="G10" i="34"/>
  <c r="D15" i="34"/>
  <c r="C8" i="30"/>
  <c r="E8" i="30" s="1"/>
  <c r="F8" i="30" s="1"/>
  <c r="H8" i="30" s="1"/>
  <c r="I8" i="30" s="1"/>
  <c r="G4" i="34"/>
  <c r="C3" i="30"/>
  <c r="G5" i="34"/>
  <c r="G13" i="34"/>
  <c r="C15" i="18"/>
  <c r="C15" i="30"/>
  <c r="E15" i="30" s="1"/>
  <c r="F15" i="30" s="1"/>
  <c r="H15" i="30" s="1"/>
  <c r="I15" i="30" s="1"/>
  <c r="G12" i="34"/>
  <c r="C16" i="20"/>
  <c r="H16" i="20" s="1"/>
  <c r="I16" i="20" s="1"/>
  <c r="D16" i="1"/>
  <c r="D5" i="34"/>
  <c r="G8" i="34"/>
  <c r="D13" i="34"/>
  <c r="G3" i="34"/>
  <c r="C6" i="18"/>
  <c r="C6" i="30"/>
  <c r="E6" i="30" s="1"/>
  <c r="F6" i="30" s="1"/>
  <c r="H6" i="30" s="1"/>
  <c r="I6" i="30" s="1"/>
  <c r="C16" i="31"/>
  <c r="E16" i="31" s="1"/>
  <c r="F16" i="31" s="1"/>
  <c r="C16" i="26"/>
  <c r="H16" i="26" s="1"/>
  <c r="I16" i="26" s="1"/>
  <c r="C16" i="21"/>
  <c r="H16" i="21" s="1"/>
  <c r="I16" i="21" s="1"/>
  <c r="E12" i="29"/>
  <c r="C4" i="1"/>
  <c r="C5" i="1"/>
  <c r="C6" i="1"/>
  <c r="C7" i="1"/>
  <c r="H7" i="1" s="1"/>
  <c r="I7" i="1" s="1"/>
  <c r="C8" i="1"/>
  <c r="H8" i="1" s="1"/>
  <c r="I8" i="1" s="1"/>
  <c r="C9" i="1"/>
  <c r="H9" i="1" s="1"/>
  <c r="I9" i="1" s="1"/>
  <c r="C10" i="1"/>
  <c r="H10" i="1" s="1"/>
  <c r="I10" i="1" s="1"/>
  <c r="C11" i="1"/>
  <c r="H11" i="1" s="1"/>
  <c r="I11" i="1" s="1"/>
  <c r="C12" i="1"/>
  <c r="C13" i="1"/>
  <c r="C14" i="1"/>
  <c r="H14" i="1" s="1"/>
  <c r="I14" i="1" s="1"/>
  <c r="C15" i="1"/>
  <c r="C16" i="3"/>
  <c r="E16" i="3" s="1"/>
  <c r="F16" i="3" s="1"/>
  <c r="C3" i="1"/>
  <c r="H3" i="1" s="1"/>
  <c r="I3" i="1" s="1"/>
  <c r="E4" i="29" l="1"/>
  <c r="F4" i="29" s="1"/>
  <c r="H4" i="29"/>
  <c r="E13" i="29"/>
  <c r="F13" i="29" s="1"/>
  <c r="H13" i="29"/>
  <c r="E8" i="29"/>
  <c r="F8" i="29" s="1"/>
  <c r="H8" i="29"/>
  <c r="E14" i="29"/>
  <c r="F14" i="29" s="1"/>
  <c r="H14" i="29"/>
  <c r="E15" i="29"/>
  <c r="F15" i="29" s="1"/>
  <c r="H15" i="29"/>
  <c r="E6" i="29"/>
  <c r="F6" i="29" s="1"/>
  <c r="H6" i="29"/>
  <c r="E7" i="29"/>
  <c r="F7" i="29" s="1"/>
  <c r="H7" i="29"/>
  <c r="E10" i="29"/>
  <c r="F10" i="29" s="1"/>
  <c r="H10" i="29"/>
  <c r="E9" i="29"/>
  <c r="F9" i="29" s="1"/>
  <c r="H9" i="29"/>
  <c r="E5" i="29"/>
  <c r="F5" i="29" s="1"/>
  <c r="H5" i="29"/>
  <c r="E11" i="29"/>
  <c r="F11" i="29" s="1"/>
  <c r="H11" i="29"/>
  <c r="F12" i="29"/>
  <c r="I12" i="29" s="1"/>
  <c r="E16" i="19"/>
  <c r="F16" i="19" s="1"/>
  <c r="H16" i="19"/>
  <c r="I16" i="19" s="1"/>
  <c r="E6" i="18"/>
  <c r="F6" i="18" s="1"/>
  <c r="H6" i="18"/>
  <c r="I6" i="18" s="1"/>
  <c r="E15" i="18"/>
  <c r="F15" i="18" s="1"/>
  <c r="H15" i="18"/>
  <c r="I15" i="18" s="1"/>
  <c r="E4" i="18"/>
  <c r="F4" i="18" s="1"/>
  <c r="H4" i="18"/>
  <c r="I4" i="18" s="1"/>
  <c r="E12" i="18"/>
  <c r="F12" i="18" s="1"/>
  <c r="H12" i="18"/>
  <c r="I12" i="18" s="1"/>
  <c r="E13" i="18"/>
  <c r="F13" i="18" s="1"/>
  <c r="H13" i="18"/>
  <c r="I13" i="18" s="1"/>
  <c r="E11" i="18"/>
  <c r="F11" i="18" s="1"/>
  <c r="H11" i="18"/>
  <c r="I11" i="18" s="1"/>
  <c r="E7" i="18"/>
  <c r="F7" i="18" s="1"/>
  <c r="H7" i="18"/>
  <c r="I7" i="18" s="1"/>
  <c r="E9" i="18"/>
  <c r="F9" i="18" s="1"/>
  <c r="H9" i="18"/>
  <c r="I9" i="18" s="1"/>
  <c r="E5" i="18"/>
  <c r="F5" i="18" s="1"/>
  <c r="H5" i="18"/>
  <c r="I5" i="18" s="1"/>
  <c r="E8" i="18"/>
  <c r="F8" i="18" s="1"/>
  <c r="H8" i="18"/>
  <c r="I8" i="18" s="1"/>
  <c r="E10" i="18"/>
  <c r="F10" i="18" s="1"/>
  <c r="H10" i="18"/>
  <c r="I10" i="18" s="1"/>
  <c r="E14" i="18"/>
  <c r="F14" i="18" s="1"/>
  <c r="H14" i="18"/>
  <c r="I14" i="18" s="1"/>
  <c r="E15" i="1"/>
  <c r="F15" i="1" s="1"/>
  <c r="H15" i="1"/>
  <c r="I15" i="1" s="1"/>
  <c r="E13" i="1"/>
  <c r="F13" i="1" s="1"/>
  <c r="H13" i="1"/>
  <c r="I13" i="1" s="1"/>
  <c r="E12" i="1"/>
  <c r="F12" i="1" s="1"/>
  <c r="H12" i="1"/>
  <c r="I12" i="1" s="1"/>
  <c r="E6" i="1"/>
  <c r="F6" i="1" s="1"/>
  <c r="H6" i="1"/>
  <c r="I6" i="1" s="1"/>
  <c r="E5" i="1"/>
  <c r="F5" i="1" s="1"/>
  <c r="H5" i="1"/>
  <c r="I5" i="1" s="1"/>
  <c r="E4" i="1"/>
  <c r="F4" i="1" s="1"/>
  <c r="H4" i="1"/>
  <c r="I4" i="1" s="1"/>
  <c r="H16" i="28"/>
  <c r="I16" i="28" s="1"/>
  <c r="H16" i="27"/>
  <c r="I16" i="27" s="1"/>
  <c r="C14" i="34"/>
  <c r="E16" i="20"/>
  <c r="F16" i="20" s="1"/>
  <c r="C7" i="34"/>
  <c r="E16" i="4"/>
  <c r="F16" i="4" s="1"/>
  <c r="C8" i="34"/>
  <c r="C10" i="34"/>
  <c r="C11" i="34"/>
  <c r="C9" i="34"/>
  <c r="H16" i="31"/>
  <c r="I16" i="31" s="1"/>
  <c r="C13" i="34"/>
  <c r="H16" i="32"/>
  <c r="I16" i="32" s="1"/>
  <c r="E14" i="1"/>
  <c r="H16" i="3"/>
  <c r="I16" i="3" s="1"/>
  <c r="E7" i="1"/>
  <c r="G16" i="34"/>
  <c r="C5" i="34"/>
  <c r="C15" i="34"/>
  <c r="E16" i="21"/>
  <c r="F16" i="21" s="1"/>
  <c r="E16" i="33"/>
  <c r="F16" i="33" s="1"/>
  <c r="E10" i="1"/>
  <c r="C6" i="34"/>
  <c r="D16" i="34"/>
  <c r="E16" i="26"/>
  <c r="F16" i="26" s="1"/>
  <c r="E11" i="1"/>
  <c r="C3" i="34"/>
  <c r="E9" i="1"/>
  <c r="E8" i="1"/>
  <c r="C12" i="34"/>
  <c r="C4" i="34"/>
  <c r="C16" i="30"/>
  <c r="E3" i="30"/>
  <c r="F3" i="30" s="1"/>
  <c r="H3" i="30" s="1"/>
  <c r="I3" i="30" s="1"/>
  <c r="C16" i="29"/>
  <c r="E3" i="29"/>
  <c r="C16" i="18"/>
  <c r="E3" i="18"/>
  <c r="C16" i="1"/>
  <c r="E3" i="1"/>
  <c r="I15" i="29" l="1"/>
  <c r="I4" i="29"/>
  <c r="I9" i="29"/>
  <c r="I14" i="29"/>
  <c r="I7" i="29"/>
  <c r="I13" i="29"/>
  <c r="I8" i="29"/>
  <c r="I5" i="29"/>
  <c r="I11" i="29"/>
  <c r="I10" i="29"/>
  <c r="I6" i="29"/>
  <c r="F3" i="29"/>
  <c r="F3" i="18"/>
  <c r="E4" i="34"/>
  <c r="F4" i="34" s="1"/>
  <c r="H4" i="34"/>
  <c r="I4" i="34" s="1"/>
  <c r="E12" i="34"/>
  <c r="F12" i="34" s="1"/>
  <c r="H12" i="34"/>
  <c r="I12" i="34" s="1"/>
  <c r="E6" i="34"/>
  <c r="F6" i="34" s="1"/>
  <c r="H6" i="34"/>
  <c r="I6" i="34" s="1"/>
  <c r="E15" i="34"/>
  <c r="F15" i="34" s="1"/>
  <c r="H15" i="34"/>
  <c r="I15" i="34" s="1"/>
  <c r="E5" i="34"/>
  <c r="F5" i="34" s="1"/>
  <c r="H5" i="34"/>
  <c r="I5" i="34" s="1"/>
  <c r="E13" i="34"/>
  <c r="F13" i="34" s="1"/>
  <c r="H13" i="34"/>
  <c r="I13" i="34" s="1"/>
  <c r="E9" i="34"/>
  <c r="F9" i="34" s="1"/>
  <c r="H9" i="34"/>
  <c r="I9" i="34" s="1"/>
  <c r="E11" i="34"/>
  <c r="F11" i="34" s="1"/>
  <c r="H11" i="34"/>
  <c r="I11" i="34" s="1"/>
  <c r="E10" i="34"/>
  <c r="F10" i="34" s="1"/>
  <c r="H10" i="34"/>
  <c r="I10" i="34" s="1"/>
  <c r="E8" i="34"/>
  <c r="F8" i="34" s="1"/>
  <c r="H8" i="34"/>
  <c r="I8" i="34" s="1"/>
  <c r="E7" i="34"/>
  <c r="F7" i="34" s="1"/>
  <c r="H7" i="34"/>
  <c r="I7" i="34" s="1"/>
  <c r="E14" i="34"/>
  <c r="F14" i="34" s="1"/>
  <c r="H14" i="34"/>
  <c r="I14" i="34" s="1"/>
  <c r="E3" i="34"/>
  <c r="F3" i="34" s="1"/>
  <c r="H3" i="34"/>
  <c r="I3" i="34" s="1"/>
  <c r="F8" i="1"/>
  <c r="F9" i="1"/>
  <c r="F11" i="1"/>
  <c r="F10" i="1"/>
  <c r="F7" i="1"/>
  <c r="F14" i="1"/>
  <c r="F3" i="1"/>
  <c r="C16" i="34"/>
  <c r="H16" i="34" s="1"/>
  <c r="I16" i="34" s="1"/>
  <c r="H16" i="30"/>
  <c r="I16" i="30" s="1"/>
  <c r="E16" i="30"/>
  <c r="F16" i="30" s="1"/>
  <c r="H16" i="29"/>
  <c r="I16" i="29" s="1"/>
  <c r="E16" i="29"/>
  <c r="F16" i="29" s="1"/>
  <c r="H16" i="18"/>
  <c r="I16" i="18" s="1"/>
  <c r="E16" i="18"/>
  <c r="F16" i="18" s="1"/>
  <c r="H16" i="1"/>
  <c r="I16" i="1" s="1"/>
  <c r="E16" i="1"/>
  <c r="F16" i="1" s="1"/>
  <c r="G16" i="2"/>
  <c r="D16" i="2"/>
  <c r="E16" i="34" l="1"/>
  <c r="F16" i="34" s="1"/>
  <c r="C16" i="2"/>
  <c r="H16" i="2" l="1"/>
  <c r="I16" i="2" s="1"/>
  <c r="E16" i="2"/>
  <c r="F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<sst xmlns="http://schemas.openxmlformats.org/spreadsheetml/2006/main" count="705" uniqueCount="112">
  <si>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</si>
  <si>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</si>
  <si>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</si>
  <si>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</si>
  <si>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</si>
  <si>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</si>
  <si>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</si>
  <si>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</si>
  <si>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</si>
  <si>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</si>
  <si>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</si>
  <si>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</si>
  <si>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</si>
  <si>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</si>
  <si>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</si>
  <si>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</si>
  <si>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</si>
  <si>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</si>
  <si>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</si>
  <si>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</si>
  <si>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</si>
  <si>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</si>
  <si>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</si>
  <si>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</si>
  <si>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</si>
  <si>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</si>
  <si>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</si>
  <si>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</si>
  <si>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</si>
  <si>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</si>
  <si>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</si>
  <si>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</si>
  <si>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</si>
  <si>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</si>
  <si>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</si>
  <si>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</si>
  <si>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</si>
  <si>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</si>
  <si>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</si>
  <si>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</si>
  <si>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</si>
  <si>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</si>
  <si>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</si>
  <si>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</si>
  <si>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</si>
  <si>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</si>
  <si>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</si>
  <si>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MN8 Bond</t>
  </si>
  <si>
    <t>Site DAS Name</t>
  </si>
  <si>
    <t>Column1</t>
  </si>
  <si>
    <t>MA-02-001 - Grafton II</t>
  </si>
  <si>
    <t>Grafton II</t>
  </si>
  <si>
    <t>MA</t>
  </si>
  <si>
    <t>AEF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</si>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</sst>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11" applyNumberFormat="0" applyFont="0" applyAlignment="0" applyProtection="0"/>
  </cellStyleXfs>
  <cellXfs count="202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26" fillId="0" borderId="14" xfId="43" applyFont="1" applyBorder="1"/>
    <xf numFmtId="9" fontId="0" fillId="0" borderId="0" xfId="0" applyNumberFormat="1"/>
    <xf numFmtId="0" fontId="4" fillId="3" borderId="16" xfId="0" applyFont="1" applyFill="1" applyBorder="1" applyAlignment="1">
      <alignment horizontal="center" vertical="center" wrapText="1"/>
    </xf>
    <xf numFmtId="9" fontId="6" fillId="3" borderId="1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49" fontId="0" fillId="0" borderId="0" xfId="0" applyNumberFormat="1"/>
    <xf numFmtId="9" fontId="6" fillId="40" borderId="16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0" fillId="0" borderId="14" xfId="0" applyBorder="1"/>
    <xf numFmtId="0" fontId="29" fillId="0" borderId="15" xfId="0" applyFont="1" applyBorder="1" applyAlignment="1">
      <alignment horizontal="left"/>
    </xf>
    <xf numFmtId="0" fontId="0" fillId="0" borderId="31" xfId="0" applyBorder="1"/>
    <xf numFmtId="0" fontId="26" fillId="0" borderId="32" xfId="43" applyFont="1" applyBorder="1"/>
    <xf numFmtId="0" fontId="0" fillId="0" borderId="17" xfId="0" applyBorder="1"/>
    <xf numFmtId="0" fontId="29" fillId="0" borderId="19" xfId="0" applyFont="1" applyBorder="1" applyAlignment="1">
      <alignment horizontal="left"/>
    </xf>
    <xf numFmtId="0" fontId="9" fillId="0" borderId="38" xfId="0" applyFont="1" applyBorder="1" applyAlignment="1">
      <alignment horizontal="left" vertical="center"/>
    </xf>
    <xf numFmtId="9" fontId="31" fillId="43" borderId="2" xfId="2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9" fontId="31" fillId="43" borderId="2" xfId="2" applyFont="1" applyFill="1" applyBorder="1" applyAlignment="1">
      <alignment horizontal="center" vertical="center"/>
    </xf>
    <xf numFmtId="9" fontId="31" fillId="43" borderId="2" xfId="2" applyFont="1" applyFill="1" applyBorder="1" applyAlignment="1">
      <alignment horizontal="left" vertical="top" wrapText="1"/>
    </xf>
    <xf numFmtId="9" fontId="31" fillId="43" borderId="2" xfId="2" applyFont="1" applyFill="1" applyBorder="1" applyAlignment="1">
      <alignment horizontal="left" vertical="top"/>
    </xf>
    <xf numFmtId="0" fontId="30" fillId="5" borderId="1" xfId="0" applyFont="1" applyFill="1" applyBorder="1" applyAlignment="1">
      <alignment horizontal="center"/>
    </xf>
    <xf numFmtId="3" fontId="30" fillId="5" borderId="1" xfId="0" applyNumberFormat="1" applyFont="1" applyFill="1" applyBorder="1" applyAlignment="1">
      <alignment horizontal="center"/>
    </xf>
    <xf numFmtId="9" fontId="30" fillId="5" borderId="1" xfId="2" applyFont="1" applyFill="1" applyBorder="1" applyAlignment="1">
      <alignment horizontal="center"/>
    </xf>
    <xf numFmtId="9" fontId="30" fillId="5" borderId="1" xfId="0" applyNumberFormat="1" applyFont="1" applyFill="1" applyBorder="1" applyAlignment="1">
      <alignment horizontal="center"/>
    </xf>
    <xf numFmtId="0" fontId="30" fillId="0" borderId="0" xfId="0" applyFont="1"/>
    <xf numFmtId="0" fontId="32" fillId="3" borderId="18" xfId="0" applyFont="1" applyFill="1" applyBorder="1" applyAlignment="1">
      <alignment horizontal="left" vertical="center" wrapText="1"/>
    </xf>
    <xf numFmtId="9" fontId="32" fillId="3" borderId="39" xfId="2" applyFont="1" applyFill="1" applyBorder="1" applyAlignment="1">
      <alignment horizontal="left" vertical="center" wrapText="1"/>
    </xf>
    <xf numFmtId="0" fontId="32" fillId="4" borderId="18" xfId="0" applyFont="1" applyFill="1" applyBorder="1" applyAlignment="1">
      <alignment horizontal="left" vertical="center"/>
    </xf>
    <xf numFmtId="0" fontId="32" fillId="4" borderId="18" xfId="0" applyFont="1" applyFill="1" applyBorder="1" applyAlignment="1">
      <alignment horizontal="left" vertical="center" wrapText="1"/>
    </xf>
    <xf numFmtId="9" fontId="32" fillId="4" borderId="39" xfId="2" applyFont="1" applyFill="1" applyBorder="1" applyAlignment="1">
      <alignment horizontal="left" vertical="center"/>
    </xf>
    <xf numFmtId="9" fontId="32" fillId="43" borderId="40" xfId="2" applyFont="1" applyFill="1" applyBorder="1" applyAlignment="1">
      <alignment horizontal="center" vertical="center"/>
    </xf>
    <xf numFmtId="9" fontId="32" fillId="43" borderId="41" xfId="2" applyFont="1" applyFill="1" applyBorder="1" applyAlignment="1">
      <alignment horizontal="center" vertical="center"/>
    </xf>
    <xf numFmtId="0" fontId="30" fillId="45" borderId="45" xfId="0" applyFont="1" applyFill="1" applyBorder="1" applyAlignment="1">
      <alignment horizontal="center"/>
    </xf>
    <xf numFmtId="0" fontId="30" fillId="45" borderId="1" xfId="0" applyFont="1" applyFill="1" applyBorder="1" applyAlignment="1">
      <alignment horizontal="center"/>
    </xf>
    <xf numFmtId="3" fontId="34" fillId="3" borderId="17" xfId="0" applyNumberFormat="1" applyFont="1" applyFill="1" applyBorder="1" applyAlignment="1">
      <alignment horizontal="right"/>
    </xf>
    <xf numFmtId="9" fontId="34" fillId="3" borderId="17" xfId="2" applyFont="1" applyFill="1" applyBorder="1" applyAlignment="1">
      <alignment horizontal="center"/>
    </xf>
    <xf numFmtId="3" fontId="34" fillId="4" borderId="17" xfId="1" applyNumberFormat="1" applyFont="1" applyFill="1" applyBorder="1"/>
    <xf numFmtId="9" fontId="34" fillId="40" borderId="17" xfId="2" applyFont="1" applyFill="1" applyBorder="1" applyAlignment="1">
      <alignment horizontal="center"/>
    </xf>
    <xf numFmtId="9" fontId="34" fillId="3" borderId="14" xfId="2" applyFont="1" applyFill="1" applyBorder="1" applyAlignment="1">
      <alignment horizontal="center"/>
    </xf>
    <xf numFmtId="9" fontId="34" fillId="40" borderId="14" xfId="2" applyFont="1" applyFill="1" applyBorder="1" applyAlignment="1">
      <alignment horizontal="center"/>
    </xf>
    <xf numFmtId="3" fontId="34" fillId="3" borderId="44" xfId="0" applyNumberFormat="1" applyFont="1" applyFill="1" applyBorder="1" applyAlignment="1">
      <alignment horizontal="right"/>
    </xf>
    <xf numFmtId="9" fontId="34" fillId="3" borderId="43" xfId="2" applyFont="1" applyFill="1" applyBorder="1" applyAlignment="1">
      <alignment horizontal="center"/>
    </xf>
    <xf numFmtId="3" fontId="34" fillId="4" borderId="44" xfId="1" applyNumberFormat="1" applyFont="1" applyFill="1" applyBorder="1"/>
    <xf numFmtId="9" fontId="34" fillId="40" borderId="43" xfId="2" applyFont="1" applyFill="1" applyBorder="1" applyAlignment="1">
      <alignment horizontal="center"/>
    </xf>
    <xf numFmtId="9" fontId="34" fillId="37" borderId="20" xfId="0" applyNumberFormat="1" applyFont="1" applyFill="1" applyBorder="1" applyAlignment="1">
      <alignment horizontal="center" vertical="center"/>
    </xf>
    <xf numFmtId="9" fontId="34" fillId="37" borderId="24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/>
    </xf>
    <xf numFmtId="0" fontId="35" fillId="2" borderId="16" xfId="0" applyFont="1" applyFill="1" applyBorder="1" applyAlignment="1">
      <alignment horizontal="center" vertical="center" wrapText="1"/>
    </xf>
    <xf numFmtId="0" fontId="35" fillId="2" borderId="16" xfId="0" applyFont="1" applyFill="1" applyBorder="1" applyAlignment="1">
      <alignment horizontal="left" vertical="center" wrapText="1"/>
    </xf>
    <xf numFmtId="0" fontId="37" fillId="45" borderId="45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45" borderId="1" xfId="0" applyFont="1" applyFill="1" applyBorder="1" applyAlignment="1">
      <alignment horizontal="center"/>
    </xf>
    <xf numFmtId="3" fontId="34" fillId="37" borderId="20" xfId="0" applyNumberFormat="1" applyFont="1" applyFill="1" applyBorder="1" applyAlignment="1">
      <alignment horizontal="center" vertical="center"/>
    </xf>
    <xf numFmtId="3" fontId="34" fillId="37" borderId="20" xfId="1" applyNumberFormat="1" applyFont="1" applyFill="1" applyBorder="1" applyAlignment="1">
      <alignment horizontal="center" vertical="center"/>
    </xf>
    <xf numFmtId="3" fontId="34" fillId="3" borderId="17" xfId="0" applyNumberFormat="1" applyFont="1" applyFill="1" applyBorder="1" applyAlignment="1">
      <alignment horizontal="right" vertical="center"/>
    </xf>
    <xf numFmtId="9" fontId="38" fillId="43" borderId="2" xfId="2" applyFont="1" applyFill="1" applyBorder="1" applyAlignment="1">
      <alignment horizontal="left" vertical="top"/>
    </xf>
    <xf numFmtId="9" fontId="38" fillId="43" borderId="2" xfId="2" applyFont="1" applyFill="1" applyBorder="1" applyAlignment="1">
      <alignment horizontal="left" vertical="top" wrapText="1"/>
    </xf>
    <xf numFmtId="3" fontId="38" fillId="3" borderId="2" xfId="0" applyNumberFormat="1" applyFont="1" applyFill="1" applyBorder="1" applyAlignment="1">
      <alignment horizontal="right"/>
    </xf>
    <xf numFmtId="3" fontId="38" fillId="4" borderId="2" xfId="1" applyNumberFormat="1" applyFont="1" applyFill="1" applyBorder="1"/>
    <xf numFmtId="9" fontId="38" fillId="4" borderId="2" xfId="2" applyFont="1" applyFill="1" applyBorder="1" applyAlignment="1">
      <alignment horizontal="center"/>
    </xf>
    <xf numFmtId="9" fontId="38" fillId="3" borderId="1" xfId="2" applyFont="1" applyFill="1" applyBorder="1" applyAlignment="1">
      <alignment horizontal="center"/>
    </xf>
    <xf numFmtId="3" fontId="38" fillId="4" borderId="2" xfId="1" applyNumberFormat="1" applyFont="1" applyFill="1" applyBorder="1" applyAlignment="1">
      <alignment vertical="center"/>
    </xf>
    <xf numFmtId="3" fontId="38" fillId="38" borderId="14" xfId="0" applyNumberFormat="1" applyFont="1" applyFill="1" applyBorder="1"/>
    <xf numFmtId="3" fontId="38" fillId="39" borderId="14" xfId="0" applyNumberFormat="1" applyFont="1" applyFill="1" applyBorder="1"/>
    <xf numFmtId="3" fontId="38" fillId="3" borderId="30" xfId="0" applyNumberFormat="1" applyFont="1" applyFill="1" applyBorder="1" applyAlignment="1">
      <alignment horizontal="right"/>
    </xf>
    <xf numFmtId="9" fontId="38" fillId="3" borderId="3" xfId="2" applyFont="1" applyFill="1" applyBorder="1" applyAlignment="1">
      <alignment horizontal="center"/>
    </xf>
    <xf numFmtId="3" fontId="38" fillId="4" borderId="42" xfId="1" applyNumberFormat="1" applyFont="1" applyFill="1" applyBorder="1"/>
    <xf numFmtId="3" fontId="38" fillId="4" borderId="30" xfId="1" applyNumberFormat="1" applyFont="1" applyFill="1" applyBorder="1"/>
    <xf numFmtId="9" fontId="38" fillId="4" borderId="30" xfId="2" applyFont="1" applyFill="1" applyBorder="1" applyAlignment="1">
      <alignment horizontal="center"/>
    </xf>
    <xf numFmtId="9" fontId="38" fillId="43" borderId="30" xfId="2" applyFont="1" applyFill="1" applyBorder="1" applyAlignment="1">
      <alignment horizontal="center"/>
    </xf>
    <xf numFmtId="9" fontId="38" fillId="43" borderId="30" xfId="2" applyFont="1" applyFill="1" applyBorder="1" applyAlignment="1">
      <alignment horizontal="left" vertical="top"/>
    </xf>
    <xf numFmtId="0" fontId="38" fillId="43" borderId="2" xfId="0" applyFont="1" applyFill="1" applyBorder="1" applyAlignment="1">
      <alignment horizontal="left" vertical="top"/>
    </xf>
    <xf numFmtId="0" fontId="38" fillId="43" borderId="2" xfId="0" applyFont="1" applyFill="1" applyBorder="1" applyAlignment="1">
      <alignment horizontal="left" vertical="top" wrapText="1"/>
    </xf>
    <xf numFmtId="49" fontId="38" fillId="43" borderId="2" xfId="2" applyNumberFormat="1" applyFont="1" applyFill="1" applyBorder="1" applyAlignment="1">
      <alignment horizontal="center"/>
    </xf>
    <xf numFmtId="49" fontId="38" fillId="43" borderId="2" xfId="2" applyNumberFormat="1" applyFont="1" applyFill="1" applyBorder="1" applyAlignment="1">
      <alignment horizontal="left" vertical="top" wrapText="1"/>
    </xf>
    <xf numFmtId="49" fontId="38" fillId="43" borderId="2" xfId="2" applyNumberFormat="1" applyFont="1" applyFill="1" applyBorder="1" applyAlignment="1">
      <alignment horizontal="left" vertical="top"/>
    </xf>
    <xf numFmtId="49" fontId="38" fillId="43" borderId="30" xfId="2" applyNumberFormat="1" applyFont="1" applyFill="1" applyBorder="1" applyAlignment="1">
      <alignment horizontal="center"/>
    </xf>
    <xf numFmtId="49" fontId="38" fillId="43" borderId="30" xfId="2" applyNumberFormat="1" applyFont="1" applyFill="1" applyBorder="1" applyAlignment="1">
      <alignment horizontal="left" vertical="top"/>
    </xf>
    <xf numFmtId="49" fontId="38" fillId="43" borderId="2" xfId="2" applyNumberFormat="1" applyFont="1" applyFill="1" applyBorder="1" applyAlignment="1">
      <alignment vertical="top" wrapText="1"/>
    </xf>
    <xf numFmtId="49" fontId="38" fillId="43" borderId="2" xfId="2" applyNumberFormat="1" applyFont="1" applyFill="1" applyBorder="1" applyAlignment="1">
      <alignment vertical="top"/>
    </xf>
    <xf numFmtId="49" fontId="31" fillId="43" borderId="2" xfId="2" applyNumberFormat="1" applyFont="1" applyFill="1" applyBorder="1" applyAlignment="1">
      <alignment horizontal="center" wrapText="1"/>
    </xf>
    <xf numFmtId="49" fontId="31" fillId="43" borderId="2" xfId="2" applyNumberFormat="1" applyFont="1" applyFill="1" applyBorder="1" applyAlignment="1">
      <alignment horizontal="center" vertical="center" wrapText="1"/>
    </xf>
    <xf numFmtId="49" fontId="31" fillId="43" borderId="2" xfId="2" applyNumberFormat="1" applyFont="1" applyFill="1" applyBorder="1" applyAlignment="1">
      <alignment horizontal="left" vertical="top" wrapText="1"/>
    </xf>
    <xf numFmtId="49" fontId="38" fillId="43" borderId="2" xfId="2" applyNumberFormat="1" applyFont="1" applyFill="1" applyBorder="1" applyAlignment="1">
      <alignment horizontal="left" vertical="center" wrapText="1"/>
    </xf>
    <xf numFmtId="0" fontId="38" fillId="43" borderId="1" xfId="0" applyFont="1" applyFill="1" applyBorder="1" applyAlignment="1">
      <alignment wrapText="1"/>
    </xf>
    <xf numFmtId="9" fontId="38" fillId="43" borderId="2" xfId="2" applyFont="1" applyFill="1" applyBorder="1" applyAlignment="1">
      <alignment horizontal="left"/>
    </xf>
    <xf numFmtId="49" fontId="31" fillId="43" borderId="2" xfId="2" applyNumberFormat="1" applyFont="1" applyFill="1" applyBorder="1" applyAlignment="1">
      <alignment horizontal="left" wrapText="1"/>
    </xf>
    <xf numFmtId="49" fontId="31" fillId="43" borderId="2" xfId="2" applyNumberFormat="1" applyFont="1" applyFill="1" applyBorder="1" applyAlignment="1">
      <alignment horizontal="left" vertical="center" wrapText="1"/>
    </xf>
    <xf numFmtId="0" fontId="37" fillId="45" borderId="45" xfId="0" applyFont="1" applyFill="1" applyBorder="1" applyAlignment="1">
      <alignment horizontal="center" vertical="center"/>
    </xf>
    <xf numFmtId="0" fontId="30" fillId="45" borderId="45" xfId="0" applyFont="1" applyFill="1" applyBorder="1" applyAlignment="1">
      <alignment horizontal="center" vertical="center"/>
    </xf>
    <xf numFmtId="9" fontId="34" fillId="3" borderId="17" xfId="2" applyFont="1" applyFill="1" applyBorder="1" applyAlignment="1">
      <alignment horizontal="center" vertical="center"/>
    </xf>
    <xf numFmtId="3" fontId="34" fillId="4" borderId="17" xfId="1" applyNumberFormat="1" applyFont="1" applyFill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9" fontId="34" fillId="3" borderId="14" xfId="2" applyFont="1" applyFill="1" applyBorder="1" applyAlignment="1">
      <alignment horizontal="center" vertical="center"/>
    </xf>
    <xf numFmtId="0" fontId="37" fillId="45" borderId="1" xfId="0" applyFont="1" applyFill="1" applyBorder="1" applyAlignment="1">
      <alignment horizontal="center" vertical="center"/>
    </xf>
    <xf numFmtId="0" fontId="30" fillId="45" borderId="1" xfId="0" applyFont="1" applyFill="1" applyBorder="1" applyAlignment="1">
      <alignment horizontal="center" vertical="center"/>
    </xf>
    <xf numFmtId="3" fontId="34" fillId="3" borderId="44" xfId="0" applyNumberFormat="1" applyFont="1" applyFill="1" applyBorder="1" applyAlignment="1">
      <alignment horizontal="right" vertical="center"/>
    </xf>
    <xf numFmtId="9" fontId="34" fillId="3" borderId="43" xfId="2" applyFont="1" applyFill="1" applyBorder="1" applyAlignment="1">
      <alignment horizontal="center" vertical="center"/>
    </xf>
    <xf numFmtId="3" fontId="34" fillId="4" borderId="44" xfId="1" applyNumberFormat="1" applyFont="1" applyFill="1" applyBorder="1" applyAlignment="1">
      <alignment vertical="center"/>
    </xf>
    <xf numFmtId="9" fontId="31" fillId="43" borderId="2" xfId="2" applyFont="1" applyFill="1" applyBorder="1" applyAlignment="1">
      <alignment vertical="top" wrapText="1"/>
    </xf>
    <xf numFmtId="3" fontId="1" fillId="5" borderId="1" xfId="0" applyNumberFormat="1" applyFont="1" applyFill="1" applyBorder="1" applyAlignment="1">
      <alignment horizontal="center"/>
    </xf>
    <xf numFmtId="9" fontId="1" fillId="5" borderId="1" xfId="2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49" fontId="38" fillId="43" borderId="2" xfId="2" applyNumberFormat="1" applyFont="1" applyFill="1" applyBorder="1" applyAlignment="1">
      <alignment horizontal="center" vertical="top" wrapText="1"/>
    </xf>
    <xf numFmtId="49" fontId="38" fillId="43" borderId="2" xfId="0" applyNumberFormat="1" applyFont="1" applyFill="1" applyBorder="1" applyAlignment="1">
      <alignment vertical="top" wrapText="1"/>
    </xf>
    <xf numFmtId="49" fontId="38" fillId="43" borderId="13" xfId="0" applyNumberFormat="1" applyFont="1" applyFill="1" applyBorder="1" applyAlignment="1">
      <alignment vertical="top" wrapText="1"/>
    </xf>
    <xf numFmtId="49" fontId="38" fillId="43" borderId="30" xfId="2" applyNumberFormat="1" applyFont="1" applyFill="1" applyBorder="1" applyAlignment="1">
      <alignment horizontal="center" vertical="top" wrapText="1"/>
    </xf>
    <xf numFmtId="9" fontId="31" fillId="43" borderId="2" xfId="2" applyFont="1" applyFill="1" applyBorder="1" applyAlignment="1">
      <alignment vertical="top"/>
    </xf>
    <xf numFmtId="49" fontId="39" fillId="43" borderId="2" xfId="2" applyNumberFormat="1" applyFont="1" applyFill="1" applyBorder="1" applyAlignment="1">
      <alignment horizontal="left" vertical="top" wrapText="1"/>
    </xf>
    <xf numFmtId="49" fontId="38" fillId="43" borderId="2" xfId="2" applyNumberFormat="1" applyFont="1" applyFill="1" applyBorder="1" applyAlignment="1">
      <alignment horizontal="center" vertical="top"/>
    </xf>
    <xf numFmtId="0" fontId="38" fillId="43" borderId="1" xfId="0" applyFont="1" applyFill="1" applyBorder="1" applyAlignment="1">
      <alignment vertical="top" wrapText="1"/>
    </xf>
    <xf numFmtId="0" fontId="38" fillId="43" borderId="47" xfId="0" applyFont="1" applyFill="1" applyBorder="1" applyAlignment="1">
      <alignment vertical="top" wrapText="1"/>
    </xf>
    <xf numFmtId="49" fontId="38" fillId="43" borderId="2" xfId="0" applyNumberFormat="1" applyFont="1" applyFill="1" applyBorder="1" applyAlignment="1">
      <alignment vertical="top"/>
    </xf>
    <xf numFmtId="49" fontId="38" fillId="43" borderId="13" xfId="0" applyNumberFormat="1" applyFont="1" applyFill="1" applyBorder="1" applyAlignment="1">
      <alignment vertical="top"/>
    </xf>
    <xf numFmtId="0" fontId="38" fillId="43" borderId="47" xfId="0" applyFont="1" applyFill="1" applyBorder="1" applyAlignment="1">
      <alignment vertical="top"/>
    </xf>
    <xf numFmtId="9" fontId="38" fillId="43" borderId="2" xfId="2" applyFont="1" applyFill="1" applyBorder="1" applyAlignment="1">
      <alignment horizontal="center" vertical="top"/>
    </xf>
    <xf numFmtId="49" fontId="38" fillId="43" borderId="1" xfId="2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9" fontId="34" fillId="40" borderId="17" xfId="2" applyFont="1" applyFill="1" applyBorder="1" applyAlignment="1">
      <alignment horizontal="center" vertical="center"/>
    </xf>
    <xf numFmtId="9" fontId="34" fillId="40" borderId="14" xfId="2" applyFont="1" applyFill="1" applyBorder="1" applyAlignment="1">
      <alignment horizontal="center" vertical="center"/>
    </xf>
    <xf numFmtId="9" fontId="34" fillId="40" borderId="43" xfId="2" applyFont="1" applyFill="1" applyBorder="1" applyAlignment="1">
      <alignment horizontal="center" vertical="center"/>
    </xf>
    <xf numFmtId="3" fontId="38" fillId="38" borderId="17" xfId="0" applyNumberFormat="1" applyFont="1" applyFill="1" applyBorder="1" applyAlignment="1">
      <alignment vertical="center"/>
    </xf>
    <xf numFmtId="3" fontId="38" fillId="38" borderId="46" xfId="0" applyNumberFormat="1" applyFont="1" applyFill="1" applyBorder="1" applyAlignment="1">
      <alignment vertical="center"/>
    </xf>
    <xf numFmtId="3" fontId="38" fillId="3" borderId="2" xfId="0" applyNumberFormat="1" applyFont="1" applyFill="1" applyBorder="1" applyAlignment="1">
      <alignment horizontal="right" vertical="center"/>
    </xf>
    <xf numFmtId="9" fontId="38" fillId="3" borderId="2" xfId="2" applyFont="1" applyFill="1" applyBorder="1" applyAlignment="1">
      <alignment horizontal="center" vertical="center"/>
    </xf>
    <xf numFmtId="3" fontId="38" fillId="39" borderId="17" xfId="0" applyNumberFormat="1" applyFont="1" applyFill="1" applyBorder="1" applyAlignment="1">
      <alignment vertical="center"/>
    </xf>
    <xf numFmtId="9" fontId="38" fillId="4" borderId="2" xfId="2" applyFont="1" applyFill="1" applyBorder="1" applyAlignment="1">
      <alignment horizontal="center" vertical="center"/>
    </xf>
    <xf numFmtId="3" fontId="38" fillId="38" borderId="2" xfId="0" applyNumberFormat="1" applyFont="1" applyFill="1" applyBorder="1" applyAlignment="1">
      <alignment vertical="center"/>
    </xf>
    <xf numFmtId="3" fontId="38" fillId="38" borderId="13" xfId="0" applyNumberFormat="1" applyFont="1" applyFill="1" applyBorder="1" applyAlignment="1">
      <alignment vertical="center"/>
    </xf>
    <xf numFmtId="9" fontId="38" fillId="3" borderId="1" xfId="2" applyFont="1" applyFill="1" applyBorder="1" applyAlignment="1">
      <alignment horizontal="center" vertical="center"/>
    </xf>
    <xf numFmtId="3" fontId="38" fillId="39" borderId="13" xfId="0" applyNumberFormat="1" applyFont="1" applyFill="1" applyBorder="1" applyAlignment="1">
      <alignment vertical="center"/>
    </xf>
    <xf numFmtId="3" fontId="38" fillId="39" borderId="2" xfId="0" applyNumberFormat="1" applyFont="1" applyFill="1" applyBorder="1" applyAlignment="1">
      <alignment vertical="center"/>
    </xf>
    <xf numFmtId="3" fontId="38" fillId="4" borderId="13" xfId="1" applyNumberFormat="1" applyFont="1" applyFill="1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3" fontId="38" fillId="38" borderId="14" xfId="0" applyNumberFormat="1" applyFont="1" applyFill="1" applyBorder="1" applyAlignment="1">
      <alignment vertical="center"/>
    </xf>
    <xf numFmtId="3" fontId="38" fillId="39" borderId="14" xfId="0" applyNumberFormat="1" applyFont="1" applyFill="1" applyBorder="1" applyAlignment="1">
      <alignment vertical="center"/>
    </xf>
    <xf numFmtId="3" fontId="38" fillId="3" borderId="30" xfId="0" applyNumberFormat="1" applyFont="1" applyFill="1" applyBorder="1" applyAlignment="1">
      <alignment horizontal="right" vertical="center"/>
    </xf>
    <xf numFmtId="9" fontId="38" fillId="3" borderId="3" xfId="2" applyFont="1" applyFill="1" applyBorder="1" applyAlignment="1">
      <alignment horizontal="center" vertical="center"/>
    </xf>
    <xf numFmtId="3" fontId="38" fillId="4" borderId="42" xfId="1" applyNumberFormat="1" applyFont="1" applyFill="1" applyBorder="1" applyAlignment="1">
      <alignment vertical="center"/>
    </xf>
    <xf numFmtId="3" fontId="38" fillId="4" borderId="30" xfId="1" applyNumberFormat="1" applyFont="1" applyFill="1" applyBorder="1" applyAlignment="1">
      <alignment vertical="center"/>
    </xf>
    <xf numFmtId="9" fontId="38" fillId="4" borderId="30" xfId="2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3" fontId="30" fillId="5" borderId="1" xfId="0" applyNumberFormat="1" applyFont="1" applyFill="1" applyBorder="1" applyAlignment="1">
      <alignment horizontal="center" vertical="center"/>
    </xf>
    <xf numFmtId="9" fontId="30" fillId="5" borderId="1" xfId="2" applyFont="1" applyFill="1" applyBorder="1" applyAlignment="1">
      <alignment horizontal="center" vertical="center"/>
    </xf>
    <xf numFmtId="9" fontId="30" fillId="5" borderId="1" xfId="0" applyNumberFormat="1" applyFont="1" applyFill="1" applyBorder="1" applyAlignment="1">
      <alignment horizontal="center" vertical="center"/>
    </xf>
    <xf numFmtId="0" fontId="38" fillId="38" borderId="46" xfId="0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horizontal="center" vertical="center"/>
    </xf>
    <xf numFmtId="9" fontId="1" fillId="5" borderId="1" xfId="2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164" fontId="38" fillId="38" borderId="17" xfId="0" applyNumberFormat="1" applyFont="1" applyFill="1" applyBorder="1" applyAlignment="1">
      <alignment vertical="center"/>
    </xf>
    <xf numFmtId="164" fontId="38" fillId="38" borderId="46" xfId="0" applyNumberFormat="1" applyFont="1" applyFill="1" applyBorder="1" applyAlignment="1">
      <alignment vertical="center"/>
    </xf>
    <xf numFmtId="164" fontId="38" fillId="38" borderId="2" xfId="0" applyNumberFormat="1" applyFont="1" applyFill="1" applyBorder="1" applyAlignment="1">
      <alignment vertical="center"/>
    </xf>
    <xf numFmtId="164" fontId="38" fillId="38" borderId="13" xfId="0" applyNumberFormat="1" applyFont="1" applyFill="1" applyBorder="1" applyAlignment="1">
      <alignment vertical="center"/>
    </xf>
    <xf numFmtId="164" fontId="38" fillId="3" borderId="2" xfId="0" applyNumberFormat="1" applyFont="1" applyFill="1" applyBorder="1" applyAlignment="1">
      <alignment horizontal="right" vertical="center"/>
    </xf>
    <xf numFmtId="164" fontId="38" fillId="38" borderId="14" xfId="0" applyNumberFormat="1" applyFont="1" applyFill="1" applyBorder="1" applyAlignment="1">
      <alignment vertical="center"/>
    </xf>
    <xf numFmtId="164" fontId="38" fillId="3" borderId="30" xfId="0" applyNumberFormat="1" applyFont="1" applyFill="1" applyBorder="1" applyAlignment="1">
      <alignment horizontal="right" vertical="center"/>
    </xf>
    <xf numFmtId="3" fontId="38" fillId="39" borderId="17" xfId="0" applyNumberFormat="1" applyFont="1" applyFill="1" applyBorder="1" applyAlignment="1">
      <alignment horizontal="right" vertical="center"/>
    </xf>
    <xf numFmtId="3" fontId="38" fillId="39" borderId="13" xfId="0" applyNumberFormat="1" applyFont="1" applyFill="1" applyBorder="1" applyAlignment="1">
      <alignment horizontal="right" vertical="center"/>
    </xf>
    <xf numFmtId="3" fontId="38" fillId="39" borderId="2" xfId="0" applyNumberFormat="1" applyFont="1" applyFill="1" applyBorder="1" applyAlignment="1">
      <alignment horizontal="right" vertical="center"/>
    </xf>
    <xf numFmtId="3" fontId="38" fillId="4" borderId="13" xfId="1" applyNumberFormat="1" applyFont="1" applyFill="1" applyBorder="1" applyAlignment="1">
      <alignment horizontal="right" vertical="center"/>
    </xf>
    <xf numFmtId="3" fontId="38" fillId="4" borderId="2" xfId="1" applyNumberFormat="1" applyFont="1" applyFill="1" applyBorder="1" applyAlignment="1">
      <alignment horizontal="right" vertical="center"/>
    </xf>
    <xf numFmtId="9" fontId="31" fillId="43" borderId="2" xfId="2" applyFont="1" applyFill="1" applyBorder="1" applyAlignment="1">
      <alignment horizontal="left"/>
    </xf>
    <xf numFmtId="9" fontId="31" fillId="43" borderId="2" xfId="2" applyFont="1" applyFill="1" applyBorder="1" applyAlignment="1">
      <alignment horizontal="left" vertical="center"/>
    </xf>
    <xf numFmtId="49" fontId="38" fillId="43" borderId="30" xfId="2" applyNumberFormat="1" applyFont="1" applyFill="1" applyBorder="1" applyAlignment="1">
      <alignment horizontal="left" vertical="top" wrapText="1"/>
    </xf>
    <xf numFmtId="49" fontId="38" fillId="43" borderId="30" xfId="2" applyNumberFormat="1" applyFont="1" applyFill="1" applyBorder="1" applyAlignment="1">
      <alignment horizontal="left"/>
    </xf>
    <xf numFmtId="9" fontId="38" fillId="43" borderId="30" xfId="2" applyFont="1" applyFill="1" applyBorder="1" applyAlignment="1">
      <alignment horizontal="left" vertical="top" wrapText="1"/>
    </xf>
    <xf numFmtId="49" fontId="38" fillId="43" borderId="2" xfId="2" applyNumberFormat="1" applyFont="1" applyFill="1" applyBorder="1" applyAlignment="1">
      <alignment horizontal="left" wrapText="1"/>
    </xf>
    <xf numFmtId="0" fontId="8" fillId="5" borderId="34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33" fillId="44" borderId="25" xfId="0" applyFont="1" applyFill="1" applyBorder="1" applyAlignment="1">
      <alignment horizontal="center" vertical="center"/>
    </xf>
    <xf numFmtId="0" fontId="33" fillId="44" borderId="26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 wrapText="1"/>
    </xf>
    <xf numFmtId="0" fontId="27" fillId="42" borderId="0" xfId="0" applyFont="1" applyFill="1" applyAlignment="1">
      <alignment horizontal="center" wrapText="1"/>
    </xf>
    <xf numFmtId="0" fontId="36" fillId="2" borderId="27" xfId="0" applyFont="1" applyFill="1" applyBorder="1" applyAlignment="1">
      <alignment horizontal="center" vertical="center" wrapText="1"/>
    </xf>
    <xf numFmtId="0" fontId="36" fillId="2" borderId="2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left" vertical="top" wrapText="1"/>
    </xf>
    <xf numFmtId="0" fontId="8" fillId="5" borderId="18" xfId="0" applyFont="1" applyFill="1" applyBorder="1" applyAlignment="1">
      <alignment horizontal="left" vertical="top" wrapText="1"/>
    </xf>
    <xf numFmtId="0" fontId="8" fillId="5" borderId="33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8" fillId="5" borderId="35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8" fillId="5" borderId="23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5" borderId="37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2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15" totalsRowShown="0" headerRowBorderDxfId="212">
  <autoFilter ref="A2:D15" xr:uid="{66A40F5E-D45A-46FE-9183-4A31296D93F1}"/>
  <sortState xmlns:xlrd2="http://schemas.microsoft.com/office/spreadsheetml/2017/richdata2" ref="A3:D15">
    <sortCondition ref="C2:C15"/>
  </sortState>
  <tableColumns count="4">
    <tableColumn id="3" xr3:uid="{BFC0214A-8820-4A19-81D0-852548EDA4BC}" name="Site DAS Name" dataDxfId="211" dataCellStyle="Normal 2"/>
    <tableColumn id="1" xr3:uid="{2ECEDF7A-47C1-4159-BC3D-6E76D6492D27}" name="Site" dataDxfId="210" dataCellStyle="Normal 2"/>
    <tableColumn id="2" xr3:uid="{2C9662E7-9933-4E8D-97A6-DB7E03BCDC09}" name="State" dataDxfId="209" dataCellStyle="Normal 2"/>
    <tableColumn id="5" xr3:uid="{F1D3BF47-C530-4653-922C-CDF1211AB5F9}" name="Column1" dataDxfId="2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05" dataDxfId="204" headerRowBorderDxfId="202" tableBorderDxfId="203">
  <autoFilter ref="A4:J16" xr:uid="{59A959C2-52B2-422A-A87A-BC08BBF40681}"/>
  <tableColumns count="10">
    <tableColumn id="1" xr3:uid="{5546520C-DCC9-49E9-9FB3-CE316D4944DA}" name="Month" dataDxfId="201"/>
    <tableColumn id="2" xr3:uid="{DDF452E8-4CE6-4DD7-83F1-6C18FAC64F53}" name="Actual" dataDxfId="200"/>
    <tableColumn id="3" xr3:uid="{854FA685-1E8D-434A-A191-70ED326137F6}" name="Expected" dataDxfId="199"/>
    <tableColumn id="4" xr3:uid="{5C3F4DED-9A03-4256-AB35-C17DABA79D2D}" name="Delta Expected" dataDxfId="198">
      <calculatedColumnFormula>B5-C5</calculatedColumnFormula>
    </tableColumn>
    <tableColumn id="5" xr3:uid="{41D24EBB-4EC4-4943-84C6-B4913606DB53}" name="% Expected" dataDxfId="197">
      <calculatedColumnFormula>IFERROR(D5/C5, 0)</calculatedColumnFormula>
    </tableColumn>
    <tableColumn id="6" xr3:uid="{BD395EF8-0433-4B53-BE3C-227C7BC36415}" name="Forecasted" dataDxfId="196"/>
    <tableColumn id="7" xr3:uid="{72B64D61-E6FB-4C48-8CEB-D343DF097E3E}" name="Delta Forecasted" dataDxfId="195" dataCellStyle="Comma">
      <calculatedColumnFormula>B5-F5</calculatedColumnFormula>
    </tableColumn>
    <tableColumn id="8" xr3:uid="{27F4C8CA-7E0A-46AD-8278-F15F669646B7}" name="% Forecasted" dataDxfId="194">
      <calculatedColumnFormula>IFERROR(G5/F5, 0)</calculatedColumnFormula>
    </tableColumn>
    <tableColumn id="9" xr3:uid="{623D8263-ADF2-4E83-A133-77A77ECF5573}" name="Notes" dataDxfId="193"/>
    <tableColumn id="10" xr3:uid="{D21843AC-EB45-41B5-BBF8-600127984792}" name="Service Request" dataDxfId="1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189" dataDxfId="188" headerRowBorderDxfId="186" tableBorderDxfId="187">
  <autoFilter ref="A4:J16" xr:uid="{59A959C2-52B2-422A-A87A-BC08BBF40681}"/>
  <tableColumns count="10">
    <tableColumn id="1" xr3:uid="{300F2B93-3E43-4029-9602-E5303206602D}" name="Month" dataDxfId="185"/>
    <tableColumn id="2" xr3:uid="{37FF0282-4483-4A16-B4CD-FA5C5D2AAB66}" name="Actual" dataDxfId="184"/>
    <tableColumn id="3" xr3:uid="{4B1572C6-48CA-4285-A895-59F55B5B6A3F}" name="Expected" dataDxfId="183"/>
    <tableColumn id="4" xr3:uid="{05CC6563-3045-40DE-A32C-A03045F46221}" name="Delta Expected" dataDxfId="182">
      <calculatedColumnFormula>B5-C5</calculatedColumnFormula>
    </tableColumn>
    <tableColumn id="5" xr3:uid="{0112F9D3-7673-407D-B2C0-617699B4EADA}" name="% Expected" dataDxfId="181">
      <calculatedColumnFormula>IFERROR(D5/C5, 0)</calculatedColumnFormula>
    </tableColumn>
    <tableColumn id="6" xr3:uid="{66AF3356-8A8A-4469-9904-982EE44943E2}" name="Forecasted" dataDxfId="180"/>
    <tableColumn id="7" xr3:uid="{C6527BC9-FA83-465E-9209-CCE13ABEDC9D}" name="Delta Forecasted" dataDxfId="179" dataCellStyle="Comma">
      <calculatedColumnFormula>B5-F5</calculatedColumnFormula>
    </tableColumn>
    <tableColumn id="8" xr3:uid="{FA6C6671-F650-4018-910D-2FFB550B3762}" name="% Forecasted" dataDxfId="178">
      <calculatedColumnFormula>IFERROR(G5/F5, 0)</calculatedColumnFormula>
    </tableColumn>
    <tableColumn id="9" xr3:uid="{2783C74E-2CBC-4809-B11D-46D4F8FBBA31}" name="Notes" dataDxfId="177"/>
    <tableColumn id="10" xr3:uid="{0D13FC05-4475-4C0F-ACFE-D5CA9083D091}" name="Service Request" dataDxfId="1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173" dataDxfId="172" headerRowBorderDxfId="170" tableBorderDxfId="171">
  <autoFilter ref="A4:J16" xr:uid="{59A959C2-52B2-422A-A87A-BC08BBF40681}"/>
  <tableColumns count="10">
    <tableColumn id="1" xr3:uid="{0C8C5D2C-22CD-4B1A-AA89-7DF9CC077053}" name="Month" dataDxfId="169"/>
    <tableColumn id="2" xr3:uid="{1504A410-2AFF-45D8-B05D-3003630C6253}" name="Actual" dataDxfId="168"/>
    <tableColumn id="3" xr3:uid="{E4620953-7DAB-4FED-A94B-5ED1A18BA51C}" name="Expected" dataDxfId="167"/>
    <tableColumn id="4" xr3:uid="{0E2D487F-5D52-4EF3-93FA-9263831DB0A2}" name="Delta Expected" dataDxfId="166">
      <calculatedColumnFormula>B5-C5</calculatedColumnFormula>
    </tableColumn>
    <tableColumn id="5" xr3:uid="{4E7B4ABC-A69B-400D-B5B2-832C6832F796}" name="% Expected" dataDxfId="165">
      <calculatedColumnFormula>IFERROR(D5/C5, 0)</calculatedColumnFormula>
    </tableColumn>
    <tableColumn id="6" xr3:uid="{01863DDF-3CCB-4609-8F75-0B0C278BB83F}" name="Forecasted" dataDxfId="164"/>
    <tableColumn id="7" xr3:uid="{8D07CC50-2E6D-421F-97CE-C028BAC10737}" name="Delta Forecasted" dataDxfId="163" dataCellStyle="Comma">
      <calculatedColumnFormula>B5-F5</calculatedColumnFormula>
    </tableColumn>
    <tableColumn id="8" xr3:uid="{4AC223A0-5E24-439A-AE0C-C81A96EC683F}" name="% Forecasted" dataDxfId="162">
      <calculatedColumnFormula>IFERROR(G5/F5, 0)</calculatedColumnFormula>
    </tableColumn>
    <tableColumn id="9" xr3:uid="{B21D21F1-1D16-4710-8885-CDF7B8E73B1F}" name="Notes" dataDxfId="161"/>
    <tableColumn id="10" xr3:uid="{7153195E-F3DA-438B-8DCB-CED54F61277D}" name="Service Request" dataDxfId="1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C07257C-BFB6-4805-8596-0866AA78AA5C}" name="Data18192021222324252627" displayName="Data18192021222324252627" ref="A4:J16" totalsRowShown="0" headerRowDxfId="157" dataDxfId="156" headerRowBorderDxfId="154" tableBorderDxfId="155">
  <autoFilter ref="A4:J16" xr:uid="{59A959C2-52B2-422A-A87A-BC08BBF40681}"/>
  <tableColumns count="10">
    <tableColumn id="1" xr3:uid="{838083B7-0287-4C21-9A6F-17E6A9A57D22}" name="Month" dataDxfId="153"/>
    <tableColumn id="2" xr3:uid="{247316F2-665B-4CB8-AE98-B160EDC17CD1}" name="Actual" dataDxfId="152"/>
    <tableColumn id="3" xr3:uid="{28F7712E-DE86-4EF2-A5CF-1CC2167EC41E}" name="Expected" dataDxfId="151"/>
    <tableColumn id="4" xr3:uid="{D3B59548-44B6-4CD4-9C83-00A146E8357F}" name="Delta Expected" dataDxfId="150">
      <calculatedColumnFormula>B5-C5</calculatedColumnFormula>
    </tableColumn>
    <tableColumn id="5" xr3:uid="{0F77CB24-DF7E-44EB-8F7A-EF266ED592AE}" name="% Expected" dataDxfId="149">
      <calculatedColumnFormula>IFERROR(D5/C5, 0)</calculatedColumnFormula>
    </tableColumn>
    <tableColumn id="6" xr3:uid="{8C639BB8-17D1-4724-86F9-E040B1E62A03}" name="Forecasted" dataDxfId="148"/>
    <tableColumn id="7" xr3:uid="{44F5CABC-A9BD-4E7B-9A00-6B48C98165F9}" name="Delta Forecasted" dataDxfId="147" dataCellStyle="Comma">
      <calculatedColumnFormula>B5-F5</calculatedColumnFormula>
    </tableColumn>
    <tableColumn id="8" xr3:uid="{2C2956C7-5C1E-43AF-BBA2-759C09FFD0D8}" name="% Forecasted" dataDxfId="146">
      <calculatedColumnFormula>IFERROR(G5/F5, 0)</calculatedColumnFormula>
    </tableColumn>
    <tableColumn id="9" xr3:uid="{482A0B3D-F68B-4980-A8D8-A77870F1CACE}" name="Notes" dataDxfId="145"/>
    <tableColumn id="10" xr3:uid="{8EDA506D-EE14-4152-8B4C-D3AEABA8ED99}" name="Service Request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7F7EA7-3DE4-4425-ADD4-2BDD7BFD814D}" name="Data181920212223242526" displayName="Data181920212223242526" ref="A4:J16" totalsRowShown="0" headerRowDxfId="141" dataDxfId="140" headerRowBorderDxfId="138" tableBorderDxfId="139">
  <autoFilter ref="A4:J16" xr:uid="{59A959C2-52B2-422A-A87A-BC08BBF40681}"/>
  <tableColumns count="10">
    <tableColumn id="1" xr3:uid="{118AA2FE-E7D2-4206-B16A-6CCC68775996}" name="Month" dataDxfId="137"/>
    <tableColumn id="2" xr3:uid="{8A368234-EDD7-4E42-B9AD-515668818627}" name="Actual" dataDxfId="136"/>
    <tableColumn id="3" xr3:uid="{73D95621-FBC9-4CA1-AC2E-D1C96DE36B70}" name="Expected" dataDxfId="135"/>
    <tableColumn id="4" xr3:uid="{48DCF5B7-C57B-4CF9-A49C-382C49997254}" name="Delta Expected" dataDxfId="134">
      <calculatedColumnFormula>B5-C5</calculatedColumnFormula>
    </tableColumn>
    <tableColumn id="5" xr3:uid="{5063409C-2F70-4B9F-84DC-2C5F3812BB27}" name="% Expected" dataDxfId="133">
      <calculatedColumnFormula>IFERROR(D5/C5, 0)</calculatedColumnFormula>
    </tableColumn>
    <tableColumn id="6" xr3:uid="{81C000AC-8AC1-4109-A3D9-07363868E241}" name="Forecasted" dataDxfId="132"/>
    <tableColumn id="7" xr3:uid="{FE7AC5F1-C3C2-4907-9BD3-BF7CE8EFF4D8}" name="Delta Forecasted" dataDxfId="131" dataCellStyle="Comma">
      <calculatedColumnFormula>B5-F5</calculatedColumnFormula>
    </tableColumn>
    <tableColumn id="8" xr3:uid="{504FC4D5-CE5F-4A3D-8704-2F10443078A7}" name="% Forecasted" dataDxfId="130">
      <calculatedColumnFormula>IFERROR(G5/F5, 0)</calculatedColumnFormula>
    </tableColumn>
    <tableColumn id="9" xr3:uid="{FBC18841-E5E5-4300-A44D-DAAA6A23EC2A}" name="Notes" dataDxfId="129"/>
    <tableColumn id="10" xr3:uid="{9FDCDDFC-003E-4741-A2BA-7A020C5F93E1}" name="Service Request" dataDxfId="1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9A3C44-577B-4C40-8F57-7207CDD719E6}" name="Data1819202122232425" displayName="Data1819202122232425" ref="A4:J16" totalsRowShown="0" headerRowDxfId="125" dataDxfId="124" headerRowBorderDxfId="122" tableBorderDxfId="123">
  <autoFilter ref="A4:J16" xr:uid="{59A959C2-52B2-422A-A87A-BC08BBF40681}"/>
  <tableColumns count="10">
    <tableColumn id="1" xr3:uid="{3A3EEF0D-D014-4E53-901F-CA7C928A30A1}" name="Month" dataDxfId="121"/>
    <tableColumn id="2" xr3:uid="{ACE88E48-6015-4F1C-B2B4-901B0FB7A72E}" name="Actual" dataDxfId="120"/>
    <tableColumn id="3" xr3:uid="{C450CF17-55EB-41DF-86BF-0F90B2B17116}" name="Expected" dataDxfId="119"/>
    <tableColumn id="4" xr3:uid="{D328879F-AF67-4769-A8A0-1C5A45E099F0}" name="Delta Expected" dataDxfId="118">
      <calculatedColumnFormula>B5-C5</calculatedColumnFormula>
    </tableColumn>
    <tableColumn id="5" xr3:uid="{5A328FC1-E240-4800-9AF2-110C4A4ECC65}" name="% Expected" dataDxfId="117">
      <calculatedColumnFormula>IFERROR(D5/C5, 0)</calculatedColumnFormula>
    </tableColumn>
    <tableColumn id="6" xr3:uid="{7C79FD01-0775-4035-A0D4-C688561910F6}" name="Forecasted" dataDxfId="116"/>
    <tableColumn id="7" xr3:uid="{9B11E4B3-2FEA-48ED-B46E-5AD64770E9EF}" name="Delta Forecasted" dataDxfId="115" dataCellStyle="Comma">
      <calculatedColumnFormula>B5-F5</calculatedColumnFormula>
    </tableColumn>
    <tableColumn id="8" xr3:uid="{E2E6FD63-076A-4431-AAB9-BC1A2E2B8105}" name="% Forecasted" dataDxfId="114">
      <calculatedColumnFormula>IFERROR(G5/F5, 0)</calculatedColumnFormula>
    </tableColumn>
    <tableColumn id="9" xr3:uid="{CCA03326-3B22-4649-B671-18B331CFCFC9}" name="Notes" dataDxfId="113"/>
    <tableColumn id="10" xr3:uid="{6C921FF4-9FBC-47A9-B98A-CB58C94F10C5}" name="Service Request" dataDxfId="1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40BF71-B37D-403C-8ED2-970FEFC4E1F8}" name="Data18192021222324" displayName="Data18192021222324" ref="A4:J16" totalsRowShown="0" headerRowDxfId="109" dataDxfId="108" headerRowBorderDxfId="106" tableBorderDxfId="107">
  <autoFilter ref="A4:J16" xr:uid="{59A959C2-52B2-422A-A87A-BC08BBF40681}"/>
  <tableColumns count="10">
    <tableColumn id="1" xr3:uid="{F9004329-C93B-4933-AB9F-534ED42FFD10}" name="Month" dataDxfId="105"/>
    <tableColumn id="2" xr3:uid="{432C2987-91D2-4E70-8181-8CD8A6D67978}" name="Actual" dataDxfId="104"/>
    <tableColumn id="3" xr3:uid="{BF6EC749-C28A-4B1B-9CA2-88C8EED0F545}" name="Expected" dataDxfId="103"/>
    <tableColumn id="4" xr3:uid="{8666E9BF-D657-45F6-BA3D-1E281BF0D8A2}" name="Delta Expected" dataDxfId="102">
      <calculatedColumnFormula>B5-C5</calculatedColumnFormula>
    </tableColumn>
    <tableColumn id="5" xr3:uid="{690EED91-B2CC-423E-A46D-0467A03087EB}" name="% Expected" dataDxfId="101">
      <calculatedColumnFormula>IFERROR(D5/C5, 0)</calculatedColumnFormula>
    </tableColumn>
    <tableColumn id="6" xr3:uid="{985AE196-ED6A-49D0-9CF5-38363D80BF1C}" name="Forecasted" dataDxfId="100"/>
    <tableColumn id="7" xr3:uid="{B3189039-676E-4B7F-B804-B61300C3AC2B}" name="Delta Forecasted" dataDxfId="99" dataCellStyle="Comma">
      <calculatedColumnFormula>B5-F5</calculatedColumnFormula>
    </tableColumn>
    <tableColumn id="8" xr3:uid="{3C865CF1-C516-404B-BD49-7AF88A316696}" name="% Forecasted" dataDxfId="98">
      <calculatedColumnFormula>IFERROR(G5/F5, 0)</calculatedColumnFormula>
    </tableColumn>
    <tableColumn id="9" xr3:uid="{A8E110DC-2AD0-4532-BAB3-F25A93C8FA14}" name="Notes" dataDxfId="97"/>
    <tableColumn id="10" xr3:uid="{6B03DC8E-AFEA-4605-83B2-335A63A6E612}" name="Service Request" dataDxfId="9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A82670-369B-4C3A-82B7-2FD5C4776195}" name="Data181920212223" displayName="Data181920212223" ref="A4:J16" totalsRowShown="0" headerRowDxfId="93" dataDxfId="92" headerRowBorderDxfId="90" tableBorderDxfId="91">
  <autoFilter ref="A4:J16" xr:uid="{59A959C2-52B2-422A-A87A-BC08BBF40681}"/>
  <tableColumns count="10">
    <tableColumn id="1" xr3:uid="{8D8CAC86-1F92-428A-978A-419573E60EDA}" name="Month" dataDxfId="89"/>
    <tableColumn id="2" xr3:uid="{223FDFFC-2B96-4B49-A3DA-3CE9110E23BA}" name="Actual" dataDxfId="88"/>
    <tableColumn id="3" xr3:uid="{697166FB-0846-4476-A3B9-F5E3CD1A5484}" name="Expected" dataDxfId="87"/>
    <tableColumn id="4" xr3:uid="{19183987-F433-4DF0-B9DB-E51E150F6A35}" name="Delta Expected" dataDxfId="86">
      <calculatedColumnFormula>B5-C5</calculatedColumnFormula>
    </tableColumn>
    <tableColumn id="5" xr3:uid="{E16DBE60-5B92-446F-8AB1-18813170F80A}" name="% Expected" dataDxfId="85">
      <calculatedColumnFormula>IFERROR(D5/C5, 0)</calculatedColumnFormula>
    </tableColumn>
    <tableColumn id="6" xr3:uid="{9C65936D-3A2D-49C0-A20F-C0BCB81436F3}" name="Forecasted" dataDxfId="84"/>
    <tableColumn id="7" xr3:uid="{CCF7E1D2-D7A4-481E-A184-00FF7C45982A}" name="Delta Forecasted" dataDxfId="83" dataCellStyle="Comma">
      <calculatedColumnFormula>B5-F5</calculatedColumnFormula>
    </tableColumn>
    <tableColumn id="8" xr3:uid="{00CEF032-E306-4FD4-BF8E-2BA66ADCE3C9}" name="% Forecasted" dataDxfId="82">
      <calculatedColumnFormula>IFERROR(G5/F5, 0)</calculatedColumnFormula>
    </tableColumn>
    <tableColumn id="9" xr3:uid="{317641D1-0E53-4EE1-8813-736213A5B2A2}" name="Notes" dataDxfId="81"/>
    <tableColumn id="10" xr3:uid="{23757325-21CC-4B19-856B-0A394E6508D4}" name="Service Request" dataDxfId="8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D6B4A-9416-4379-8BD6-AD0B1630A41D}" name="Data1819202122" displayName="Data1819202122" ref="A4:J16" totalsRowShown="0" headerRowDxfId="77" dataDxfId="76" headerRowBorderDxfId="74" tableBorderDxfId="75">
  <autoFilter ref="A4:J16" xr:uid="{59A959C2-52B2-422A-A87A-BC08BBF40681}"/>
  <tableColumns count="10">
    <tableColumn id="1" xr3:uid="{347C7D3C-FD82-46F9-BEBD-8735F2193CE9}" name="Month" dataDxfId="73"/>
    <tableColumn id="2" xr3:uid="{199C91A5-15D1-40E0-8621-51A592031F8A}" name="Actual" dataDxfId="72"/>
    <tableColumn id="3" xr3:uid="{7A6FD5D4-0F5A-4349-BB04-3685AC1C21F9}" name="Expected" dataDxfId="71"/>
    <tableColumn id="4" xr3:uid="{37A4EBAC-FCA0-45AD-A30B-96A8319A8E0C}" name="Delta Expected" dataDxfId="70">
      <calculatedColumnFormula>B5-C5</calculatedColumnFormula>
    </tableColumn>
    <tableColumn id="5" xr3:uid="{49F0FD00-E5C0-4904-AFDC-2209D8270C83}" name="% Expected" dataDxfId="69">
      <calculatedColumnFormula>IFERROR(D5/C5, 0)</calculatedColumnFormula>
    </tableColumn>
    <tableColumn id="6" xr3:uid="{435BBA7F-11D8-4DB8-88B6-3C87B3349883}" name="Forecasted" dataDxfId="68"/>
    <tableColumn id="7" xr3:uid="{57D2837A-D5C4-4D5B-A637-2DBB8F89E7B7}" name="Delta Forecasted" dataDxfId="67" dataCellStyle="Comma">
      <calculatedColumnFormula>B5-F5</calculatedColumnFormula>
    </tableColumn>
    <tableColumn id="8" xr3:uid="{D5D39AF6-24F2-48A2-B19B-F5FADCA2161A}" name="% Forecasted" dataDxfId="66">
      <calculatedColumnFormula>IFERROR(G5/F5, 0)</calculatedColumnFormula>
    </tableColumn>
    <tableColumn id="9" xr3:uid="{BDCD9932-214E-402F-BB90-9556552F7689}" name="Notes" dataDxfId="65"/>
    <tableColumn id="10" xr3:uid="{6961543E-6754-46C0-ABF0-4377D20747FD}" name="Service Request" dataDxfId="6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5F8F4CC-F9DF-4064-A109-D677019A6B4A}" name="Data1819202129" displayName="Data1819202129" ref="A4:J16" totalsRowShown="0" headerRowDxfId="61" dataDxfId="60" headerRowBorderDxfId="58" tableBorderDxfId="59">
  <autoFilter ref="A4:J16" xr:uid="{59A959C2-52B2-422A-A87A-BC08BBF40681}"/>
  <tableColumns count="10">
    <tableColumn id="1" xr3:uid="{5E6E1DF3-291C-4317-8B90-B38224AE85B4}" name="Month" dataDxfId="57"/>
    <tableColumn id="2" xr3:uid="{FD726984-5758-4C54-9CD2-641DEE206A55}" name="Actual" dataDxfId="56"/>
    <tableColumn id="3" xr3:uid="{0BF58DCD-6379-4A26-8254-BBFE2FFDB990}" name="Expected" dataDxfId="55"/>
    <tableColumn id="4" xr3:uid="{E6BD6D5A-EA9D-401B-8AA1-9430D80C0943}" name="Delta Expected" dataDxfId="54">
      <calculatedColumnFormula>B5-C5</calculatedColumnFormula>
    </tableColumn>
    <tableColumn id="5" xr3:uid="{CE84C08A-509D-448F-82D3-3F5FFB720A54}" name="% Expected" dataDxfId="53">
      <calculatedColumnFormula>IFERROR(D5/C5, 0)</calculatedColumnFormula>
    </tableColumn>
    <tableColumn id="6" xr3:uid="{5551BF92-6B60-4C37-A1AF-34332FF7E18F}" name="Forecasted" dataDxfId="52"/>
    <tableColumn id="7" xr3:uid="{090BB86A-DFAA-4458-8739-3FECCC845861}" name="Delta Forecasted" dataDxfId="51" dataCellStyle="Comma">
      <calculatedColumnFormula>B5-F5</calculatedColumnFormula>
    </tableColumn>
    <tableColumn id="8" xr3:uid="{A0F704B9-D9BC-4C25-9B01-EEF4CDBB244D}" name="% Forecasted" dataDxfId="50">
      <calculatedColumnFormula>IFERROR(G5/F5, 0)</calculatedColumnFormula>
    </tableColumn>
    <tableColumn id="9" xr3:uid="{013B8AF9-6C0E-4448-A9BE-F72AA4D66478}" name="Notes" dataDxfId="49"/>
    <tableColumn id="10" xr3:uid="{AF00D379-93D4-49A0-AA91-86B8B0653CB5}" name="Service Request" dataDxfId="4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2B0B743-DC6E-44E5-8EAA-B173BB52D67E}" name="Data18192021" displayName="Data18192021" ref="A4:J16" totalsRowShown="0" headerRowDxfId="45" dataDxfId="44" headerRowBorderDxfId="42" tableBorderDxfId="43">
  <autoFilter ref="A4:J16" xr:uid="{59A959C2-52B2-422A-A87A-BC08BBF40681}"/>
  <tableColumns count="10">
    <tableColumn id="1" xr3:uid="{02CBB29B-8FA5-4F92-8AF1-3ACF6DE0405A}" name="Month" dataDxfId="41"/>
    <tableColumn id="2" xr3:uid="{9F3DD7A4-1E93-48C9-865C-6884066E1FF6}" name="Actual" dataDxfId="40"/>
    <tableColumn id="3" xr3:uid="{19F29B76-B230-4627-9560-E871FAA1F939}" name="Expected" dataDxfId="39"/>
    <tableColumn id="4" xr3:uid="{816FC8AC-921F-4501-A77B-C19037E643D9}" name="Delta Expected" dataDxfId="38">
      <calculatedColumnFormula>B5-C5</calculatedColumnFormula>
    </tableColumn>
    <tableColumn id="5" xr3:uid="{D36857E3-4341-4AFF-A150-8993BE8FDE37}" name="% Expected" dataDxfId="37">
      <calculatedColumnFormula>IFERROR(D5/C5, 0)</calculatedColumnFormula>
    </tableColumn>
    <tableColumn id="6" xr3:uid="{AE4608B8-75F0-4E4F-91A6-C0556D119D4E}" name="Forecasted" dataDxfId="36"/>
    <tableColumn id="7" xr3:uid="{333D3E1E-F642-46CC-9C6B-93D4AA6809B4}" name="Delta Forecasted" dataDxfId="35" dataCellStyle="Comma">
      <calculatedColumnFormula>B5-F5</calculatedColumnFormula>
    </tableColumn>
    <tableColumn id="8" xr3:uid="{8761E2DE-58C9-41CE-A033-5FE829C1BA70}" name="% Forecasted" dataDxfId="34">
      <calculatedColumnFormula>IFERROR(G5/F5, 0)</calculatedColumnFormula>
    </tableColumn>
    <tableColumn id="9" xr3:uid="{DA86E462-D5CA-47CC-BB6F-E306D0C644A1}" name="Notes" dataDxfId="33"/>
    <tableColumn id="10" xr3:uid="{A116F92D-16FB-49E5-A53A-E4A92439DF62}" name="Service Request" dataDxfId="3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CD59E-9089-431D-9329-7C988049D2AF}" name="Data181920" displayName="Data181920" ref="A4:J16" totalsRowShown="0" headerRowDxfId="29" dataDxfId="28" headerRowBorderDxfId="26" tableBorderDxfId="27">
  <autoFilter ref="A4:J16" xr:uid="{59A959C2-52B2-422A-A87A-BC08BBF40681}"/>
  <tableColumns count="10">
    <tableColumn id="1" xr3:uid="{D53E7D57-D771-4FAF-BC06-C05F5D88D9D4}" name="Month" dataDxfId="25"/>
    <tableColumn id="2" xr3:uid="{5E323DE3-0FEC-4C47-AA50-FB5FE8C8C25A}" name="Actual" dataDxfId="24"/>
    <tableColumn id="3" xr3:uid="{5B1E3641-7C82-4E82-974B-559132EE9A5F}" name="Expected" dataDxfId="23"/>
    <tableColumn id="4" xr3:uid="{281D7FFF-2047-475F-9DC6-60F0A760A82D}" name="Delta Expected" dataDxfId="22">
      <calculatedColumnFormula>B5-C5</calculatedColumnFormula>
    </tableColumn>
    <tableColumn id="5" xr3:uid="{0D02AC61-E298-4329-95FE-FB778AE1B7E4}" name="% Expected" dataDxfId="21">
      <calculatedColumnFormula>IFERROR(D5/C5, 0)</calculatedColumnFormula>
    </tableColumn>
    <tableColumn id="6" xr3:uid="{D737330F-7883-4D93-A5BD-961AE8C37A29}" name="Forecasted" dataDxfId="20"/>
    <tableColumn id="7" xr3:uid="{0D60582B-2476-4C79-8EA5-5AF64BA55860}" name="Delta Forecasted" dataDxfId="19" dataCellStyle="Comma">
      <calculatedColumnFormula>B5-F5</calculatedColumnFormula>
    </tableColumn>
    <tableColumn id="8" xr3:uid="{905D0CB4-F479-4BE7-AB1C-C4EFE56D101C}" name="% Forecasted" dataDxfId="18">
      <calculatedColumnFormula>IFERROR(G5/F5, 0)</calculatedColumnFormula>
    </tableColumn>
    <tableColumn id="9" xr3:uid="{93950D5B-A4A4-4E97-BCFD-C55D117C244E}" name="Notes" dataDxfId="17"/>
    <tableColumn id="10" xr3:uid="{1722AA17-AA2C-45F0-AB0A-AA19B15E174C}" name="Service Request" dataDxfId="1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27315E-3D45-4F14-8850-6D6F6067DADF}" name="Data1819" displayName="Data1819" ref="A4:J16" totalsRowShown="0" headerRowDxfId="13" dataDxfId="12" headerRowBorderDxfId="10" tableBorderDxfId="11">
  <autoFilter ref="A4:J16" xr:uid="{59A959C2-52B2-422A-A87A-BC08BBF40681}"/>
  <tableColumns count="10">
    <tableColumn id="1" xr3:uid="{77E6FAAF-0999-49E3-99CA-07D98C9A302A}" name="Month" dataDxfId="9"/>
    <tableColumn id="2" xr3:uid="{59B2FACE-FD04-4B01-9769-1826A4BFD80D}" name="Actual" dataDxfId="8"/>
    <tableColumn id="3" xr3:uid="{DD87B9A3-2D37-45A6-9CDD-6537DF23AD7E}" name="Expected" dataDxfId="7"/>
    <tableColumn id="4" xr3:uid="{39BA3CEA-CBCA-4E6F-A0CA-4FA3B466A116}" name="Delta Expected" dataDxfId="6">
      <calculatedColumnFormula>B5-C5</calculatedColumnFormula>
    </tableColumn>
    <tableColumn id="5" xr3:uid="{DB5ACD05-6D0B-47C1-9519-E2B6FF709AD5}" name="% Expected" dataDxfId="5">
      <calculatedColumnFormula>IFERROR(D5/C5, 0)</calculatedColumnFormula>
    </tableColumn>
    <tableColumn id="6" xr3:uid="{B193E813-1C65-4930-8970-A32E7C27509E}" name="Forecasted" dataDxfId="4"/>
    <tableColumn id="7" xr3:uid="{C6C06131-4F24-45CB-BB1F-B32FA41C796F}" name="Delta Forecasted" dataDxfId="3" dataCellStyle="Comma">
      <calculatedColumnFormula>B5-F5</calculatedColumnFormula>
    </tableColumn>
    <tableColumn id="8" xr3:uid="{6E033078-CE54-4928-B0CD-8B04664AB929}" name="% Forecasted" dataDxfId="2">
      <calculatedColumnFormula>IFERROR(G5/F5, 0)</calculatedColumnFormula>
    </tableColumn>
    <tableColumn id="9" xr3:uid="{0859B2AD-AA89-4C25-A003-2FC4E3A6AFF9}" name="Notes" dataDxfId="1"/>
    <tableColumn id="10" xr3:uid="{F24B3FC5-F17E-42AE-B8E7-5C6B1CD32D85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22"/>
  <sheetViews>
    <sheetView workbookViewId="0">
      <pane ySplit="2" topLeftCell="A22" activePane="bottomLeft" state="frozen"/>
      <selection pane="bottomLeft" activeCell="C22" sqref="C22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17" style="1" bestFit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0</v>
      </c>
      <c r="D1" s="187"/>
      <c r="E1" s="187"/>
      <c r="F1" s="188"/>
      <c r="G1" s="189" t="s">
        <v>1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>
        <f ca="1">SUM('1st Quarter 2024'!C3, '2nd Quarter 2024'!C3, '3rd Quarter 2024'!C3, '4th Quarter 2024'!C3)</f>
        <v>108788.84079602</v>
      </c>
      <c r="D3" s="40">
        <f ca="1">SUM('1st Quarter 2024'!D3, '2nd Quarter 2024'!D3, '3rd Quarter 2024'!D3, '4th Quarter 2024'!D3)</f>
        <v>176557</v>
      </c>
      <c r="E3" s="40">
        <f ca="1">C3-D3</f>
        <v>-67768.159203980002</v>
      </c>
      <c r="F3" s="41">
        <f ca="1">IFERROR(E3/D3, 0)</f>
        <v>-0.38383161927298265</v>
      </c>
      <c r="G3" s="42">
        <f ca="1">SUM('1st Quarter 2024'!G3, '2nd Quarter 2024'!G3, '3rd Quarter 2024'!G3, '4th Quarter 2024'!G3)</f>
        <v>245116</v>
      </c>
      <c r="H3" s="42">
        <f ca="1">C3-G3</f>
        <v>-136327.15920398</v>
      </c>
      <c r="I3" s="43">
        <f ca="1">IFERROR(H3/G3, 0)</f>
        <v>-0.55617405311762591</v>
      </c>
      <c r="J3" s="21"/>
      <c r="K3" s="21"/>
    </row>
    <row r="4" spans="1:11" ht="15.75">
      <c r="A4" s="57" t="str">
        <v>Clara Barton</v>
      </c>
      <c r="B4" s="22" t="str">
        <v>MA</v>
      </c>
      <c r="C4" s="40">
        <f ca="1">SUM('1st Quarter 2024'!C4, '2nd Quarter 2024'!C4, '3rd Quarter 2024'!C4, '4th Quarter 2024'!C4)</f>
        <v>41686.144680853897</v>
      </c>
      <c r="D4" s="40">
        <f ca="1">SUM('1st Quarter 2024'!D4, '2nd Quarter 2024'!D4, '3rd Quarter 2024'!D4, '4th Quarter 2024'!D4)</f>
        <v>61398.720000000001</v>
      </c>
      <c r="E4" s="40">
        <f t="shared" ref="E4:E15" ca="1" si="0">C4-D4</f>
        <v>-19712.575319146104</v>
      </c>
      <c r="F4" s="41">
        <f t="shared" ref="F4:F15" ca="1" si="1">IFERROR(E4/D4, 0)</f>
        <v>-0.32105840836985045</v>
      </c>
      <c r="G4" s="42">
        <f ca="1">SUM('1st Quarter 2024'!G4, '2nd Quarter 2024'!G4, '3rd Quarter 2024'!G4, '4th Quarter 2024'!G4)</f>
        <v>84576.48</v>
      </c>
      <c r="H4" s="42">
        <f t="shared" ref="H4:H15" ca="1" si="2">C4-G4</f>
        <v>-42890.335319146099</v>
      </c>
      <c r="I4" s="43">
        <f t="shared" ref="I4:I15" ca="1" si="3">IFERROR(H4/G4, 0)</f>
        <v>-0.50711894511507338</v>
      </c>
      <c r="J4" s="21"/>
      <c r="K4" s="21"/>
    </row>
    <row r="5" spans="1:11" ht="15.75">
      <c r="A5" s="58" t="str">
        <v>Fairhaven Solar</v>
      </c>
      <c r="B5" s="39" t="str">
        <v>MA</v>
      </c>
      <c r="C5" s="40">
        <f ca="1">SUM('1st Quarter 2024'!C5, '2nd Quarter 2024'!C5, '3rd Quarter 2024'!C5, '4th Quarter 2024'!C5)</f>
        <v>55436</v>
      </c>
      <c r="D5" s="40">
        <f ca="1">SUM('1st Quarter 2024'!D5, '2nd Quarter 2024'!D5, '3rd Quarter 2024'!D5, '4th Quarter 2024'!D5)</f>
        <v>67352.87</v>
      </c>
      <c r="E5" s="40">
        <f t="shared" ca="1" si="0"/>
        <v>-11916.869999999995</v>
      </c>
      <c r="F5" s="41">
        <f t="shared" ca="1" si="1"/>
        <v>-0.17693188129919329</v>
      </c>
      <c r="G5" s="42">
        <f ca="1">SUM('1st Quarter 2024'!G5, '2nd Quarter 2024'!G5, '3rd Quarter 2024'!G5, '4th Quarter 2024'!G5)</f>
        <v>63727.01</v>
      </c>
      <c r="H5" s="42">
        <f t="shared" ca="1" si="2"/>
        <v>-8291.010000000002</v>
      </c>
      <c r="I5" s="43">
        <f t="shared" ca="1" si="3"/>
        <v>-0.13010197716792302</v>
      </c>
      <c r="J5" s="21"/>
      <c r="K5" s="21"/>
    </row>
    <row r="6" spans="1:11" ht="15.75">
      <c r="A6" s="57" t="str">
        <v>Plympton-1</v>
      </c>
      <c r="B6" s="22" t="str">
        <v>MA</v>
      </c>
      <c r="C6" s="40">
        <f ca="1">SUM('1st Quarter 2024'!C6, '2nd Quarter 2024'!C6, '3rd Quarter 2024'!C6, '4th Quarter 2024'!C6)</f>
        <v>67619</v>
      </c>
      <c r="D6" s="40">
        <f ca="1">SUM('1st Quarter 2024'!D6, '2nd Quarter 2024'!D6, '3rd Quarter 2024'!D6, '4th Quarter 2024'!D6)</f>
        <v>73871.03</v>
      </c>
      <c r="E6" s="40">
        <f t="shared" ca="1" si="0"/>
        <v>-6252.0299999999988</v>
      </c>
      <c r="F6" s="41">
        <f t="shared" ca="1" si="1"/>
        <v>-8.4634395919482894E-2</v>
      </c>
      <c r="G6" s="42">
        <f ca="1">SUM('1st Quarter 2024'!G6, '2nd Quarter 2024'!G6, '3rd Quarter 2024'!G6, '4th Quarter 2024'!G6)</f>
        <v>79420.95</v>
      </c>
      <c r="H6" s="42">
        <f t="shared" ca="1" si="2"/>
        <v>-11801.949999999997</v>
      </c>
      <c r="I6" s="43">
        <f t="shared" ca="1" si="3"/>
        <v>-0.14859996008609816</v>
      </c>
      <c r="J6" s="21"/>
      <c r="K6" s="21"/>
    </row>
    <row r="7" spans="1:11" ht="15.75">
      <c r="A7" s="58" t="str">
        <v>French River 2</v>
      </c>
      <c r="B7" s="39" t="str">
        <v>MA</v>
      </c>
      <c r="C7" s="40">
        <f ca="1">SUM('1st Quarter 2024'!C7, '2nd Quarter 2024'!C7, '3rd Quarter 2024'!C7, '4th Quarter 2024'!C7)</f>
        <v>41541.11</v>
      </c>
      <c r="D7" s="40">
        <f ca="1">SUM('1st Quarter 2024'!D7, '2nd Quarter 2024'!D7, '3rd Quarter 2024'!D7, '4th Quarter 2024'!D7)</f>
        <v>80016.27</v>
      </c>
      <c r="E7" s="40">
        <f t="shared" ca="1" si="0"/>
        <v>-38475.160000000003</v>
      </c>
      <c r="F7" s="41">
        <f t="shared" ca="1" si="1"/>
        <v>-0.48084170881746929</v>
      </c>
      <c r="G7" s="42">
        <f ca="1">SUM('1st Quarter 2024'!G7, '2nd Quarter 2024'!G7, '3rd Quarter 2024'!G7, '4th Quarter 2024'!G7)</f>
        <v>78833</v>
      </c>
      <c r="H7" s="42">
        <f t="shared" ca="1" si="2"/>
        <v>-37291.89</v>
      </c>
      <c r="I7" s="43">
        <f t="shared" ca="1" si="3"/>
        <v>-0.47304923065213805</v>
      </c>
      <c r="J7" s="23"/>
      <c r="K7" s="23"/>
    </row>
    <row r="8" spans="1:11" ht="15.75">
      <c r="A8" s="57" t="str">
        <v>French River 3</v>
      </c>
      <c r="B8" s="22" t="str">
        <v>MA</v>
      </c>
      <c r="C8" s="40">
        <f ca="1">SUM('1st Quarter 2024'!C8, '2nd Quarter 2024'!C8, '3rd Quarter 2024'!C8, '4th Quarter 2024'!C8)</f>
        <v>86149.119999999995</v>
      </c>
      <c r="D8" s="40">
        <f ca="1">SUM('1st Quarter 2024'!D8, '2nd Quarter 2024'!D8, '3rd Quarter 2024'!D8, '4th Quarter 2024'!D8)</f>
        <v>150506.79999999999</v>
      </c>
      <c r="E8" s="40">
        <f t="shared" ca="1" si="0"/>
        <v>-64357.679999999993</v>
      </c>
      <c r="F8" s="41">
        <f t="shared" ca="1" si="1"/>
        <v>-0.42760646030611238</v>
      </c>
      <c r="G8" s="42">
        <f ca="1">SUM('1st Quarter 2024'!G8, '2nd Quarter 2024'!G8, '3rd Quarter 2024'!G8, '4th Quarter 2024'!G8)</f>
        <v>151308.70000000001</v>
      </c>
      <c r="H8" s="42">
        <f t="shared" ca="1" si="2"/>
        <v>-65159.580000000016</v>
      </c>
      <c r="I8" s="43">
        <f t="shared" ca="1" si="3"/>
        <v>-0.43064000946409564</v>
      </c>
      <c r="J8" s="21"/>
      <c r="K8" s="21"/>
    </row>
    <row r="9" spans="1:11" ht="15.75">
      <c r="A9" s="58" t="str">
        <v>French River 4</v>
      </c>
      <c r="B9" s="39" t="str">
        <v>MA</v>
      </c>
      <c r="C9" s="40">
        <f ca="1">SUM('1st Quarter 2024'!C9, '2nd Quarter 2024'!C9, '3rd Quarter 2024'!C9, '4th Quarter 2024'!C9)</f>
        <v>85549.466400001198</v>
      </c>
      <c r="D9" s="40">
        <f ca="1">SUM('1st Quarter 2024'!D9, '2nd Quarter 2024'!D9, '3rd Quarter 2024'!D9, '4th Quarter 2024'!D9)</f>
        <v>154184.79999999999</v>
      </c>
      <c r="E9" s="40">
        <f t="shared" ca="1" si="0"/>
        <v>-68635.33359999879</v>
      </c>
      <c r="F9" s="41">
        <f t="shared" ca="1" si="1"/>
        <v>-0.44514980464999659</v>
      </c>
      <c r="G9" s="42">
        <f ca="1">SUM('1st Quarter 2024'!G9, '2nd Quarter 2024'!G9, '3rd Quarter 2024'!G9, '4th Quarter 2024'!G9)</f>
        <v>157760</v>
      </c>
      <c r="H9" s="42">
        <f t="shared" ca="1" si="2"/>
        <v>-72210.533599998802</v>
      </c>
      <c r="I9" s="43">
        <f t="shared" ca="1" si="3"/>
        <v>-0.45772397058822772</v>
      </c>
      <c r="J9" s="24"/>
      <c r="K9" s="25"/>
    </row>
    <row r="10" spans="1:11" ht="15.75">
      <c r="A10" s="57" t="str">
        <v>French River 5</v>
      </c>
      <c r="B10" s="22" t="str">
        <v>MA</v>
      </c>
      <c r="C10" s="40">
        <f ca="1">SUM('1st Quarter 2024'!C10, '2nd Quarter 2024'!C10, '3rd Quarter 2024'!C10, '4th Quarter 2024'!C10)</f>
        <v>83292.5</v>
      </c>
      <c r="D10" s="40">
        <f ca="1">SUM('1st Quarter 2024'!D10, '2nd Quarter 2024'!D10, '3rd Quarter 2024'!D10, '4th Quarter 2024'!D10)</f>
        <v>147678.6</v>
      </c>
      <c r="E10" s="40">
        <f t="shared" ca="1" si="0"/>
        <v>-64386.100000000006</v>
      </c>
      <c r="F10" s="41">
        <f t="shared" ca="1" si="1"/>
        <v>-0.43598801722118169</v>
      </c>
      <c r="G10" s="42">
        <f ca="1">SUM('1st Quarter 2024'!G10, '2nd Quarter 2024'!G10, '3rd Quarter 2024'!G10, '4th Quarter 2024'!G10)</f>
        <v>154754.9</v>
      </c>
      <c r="H10" s="42">
        <f t="shared" ca="1" si="2"/>
        <v>-71462.399999999994</v>
      </c>
      <c r="I10" s="43">
        <f t="shared" ca="1" si="3"/>
        <v>-0.46177794693415197</v>
      </c>
      <c r="J10" s="21"/>
      <c r="K10" s="21"/>
    </row>
    <row r="11" spans="1:11" ht="15.75">
      <c r="A11" s="58" t="str">
        <v>French River 6</v>
      </c>
      <c r="B11" s="39" t="str">
        <v>MA</v>
      </c>
      <c r="C11" s="40">
        <f ca="1">SUM('1st Quarter 2024'!C11, '2nd Quarter 2024'!C11, '3rd Quarter 2024'!C11, '4th Quarter 2024'!C11)</f>
        <v>78703</v>
      </c>
      <c r="D11" s="40">
        <f ca="1">SUM('1st Quarter 2024'!D11, '2nd Quarter 2024'!D11, '3rd Quarter 2024'!D11, '4th Quarter 2024'!D11)</f>
        <v>125159</v>
      </c>
      <c r="E11" s="40">
        <f t="shared" ca="1" si="0"/>
        <v>-46456</v>
      </c>
      <c r="F11" s="41">
        <f t="shared" ca="1" si="1"/>
        <v>-0.37117586430060961</v>
      </c>
      <c r="G11" s="42">
        <f ca="1">SUM('1st Quarter 2024'!G11, '2nd Quarter 2024'!G11, '3rd Quarter 2024'!G11, '4th Quarter 2024'!G11)</f>
        <v>148483.1</v>
      </c>
      <c r="H11" s="42">
        <f t="shared" ca="1" si="2"/>
        <v>-69780.100000000006</v>
      </c>
      <c r="I11" s="43">
        <f t="shared" ca="1" si="3"/>
        <v>-0.4699531461829663</v>
      </c>
      <c r="J11" s="21"/>
      <c r="K11" s="21"/>
    </row>
    <row r="12" spans="1:11" ht="15.75">
      <c r="A12" s="57" t="str">
        <v>Stillwater River 1A</v>
      </c>
      <c r="B12" s="22" t="str">
        <v>MA</v>
      </c>
      <c r="C12" s="40">
        <f ca="1">SUM('1st Quarter 2024'!C12, '2nd Quarter 2024'!C12, '3rd Quarter 2024'!C12, '4th Quarter 2024'!C12)</f>
        <v>21302</v>
      </c>
      <c r="D12" s="40">
        <f ca="1">SUM('1st Quarter 2024'!D12, '2nd Quarter 2024'!D12, '3rd Quarter 2024'!D12, '4th Quarter 2024'!D12)</f>
        <v>36938.76</v>
      </c>
      <c r="E12" s="40">
        <f t="shared" ca="1" si="0"/>
        <v>-15636.760000000002</v>
      </c>
      <c r="F12" s="41">
        <f t="shared" ca="1" si="1"/>
        <v>-0.42331577995579717</v>
      </c>
      <c r="G12" s="42">
        <f ca="1">SUM('1st Quarter 2024'!G12, '2nd Quarter 2024'!G12, '3rd Quarter 2024'!G12, '4th Quarter 2024'!G12)</f>
        <v>38086.07</v>
      </c>
      <c r="H12" s="42">
        <f t="shared" ca="1" si="2"/>
        <v>-16784.07</v>
      </c>
      <c r="I12" s="43">
        <f t="shared" ca="1" si="3"/>
        <v>-0.44068789455042223</v>
      </c>
      <c r="J12" s="23"/>
      <c r="K12" s="23"/>
    </row>
    <row r="13" spans="1:11" ht="15.75">
      <c r="A13" s="58" t="str">
        <v>Stillwater River 2</v>
      </c>
      <c r="B13" s="39" t="str">
        <v>MA</v>
      </c>
      <c r="C13" s="40">
        <f ca="1">SUM('1st Quarter 2024'!C13, '2nd Quarter 2024'!C13, '3rd Quarter 2024'!C13, '4th Quarter 2024'!C13)</f>
        <v>44604.120000000097</v>
      </c>
      <c r="D13" s="40">
        <f ca="1">SUM('1st Quarter 2024'!D13, '2nd Quarter 2024'!D13, '3rd Quarter 2024'!D13, '4th Quarter 2024'!D13)</f>
        <v>82849.679999999993</v>
      </c>
      <c r="E13" s="40">
        <f t="shared" ca="1" si="0"/>
        <v>-38245.559999999896</v>
      </c>
      <c r="F13" s="41">
        <f t="shared" ca="1" si="1"/>
        <v>-0.46162592299692529</v>
      </c>
      <c r="G13" s="42">
        <f ca="1">SUM('1st Quarter 2024'!G13, '2nd Quarter 2024'!G13, '3rd Quarter 2024'!G13, '4th Quarter 2024'!G13)</f>
        <v>79775.59</v>
      </c>
      <c r="H13" s="42">
        <f t="shared" ca="1" si="2"/>
        <v>-35171.469999999899</v>
      </c>
      <c r="I13" s="43">
        <f t="shared" ca="1" si="3"/>
        <v>-0.44088009878710893</v>
      </c>
      <c r="J13" s="21"/>
      <c r="K13" s="21"/>
    </row>
    <row r="14" spans="1:11" ht="15.75">
      <c r="A14" s="57" t="str">
        <v>Stillwater River 3</v>
      </c>
      <c r="B14" s="22" t="str">
        <v>MA</v>
      </c>
      <c r="C14" s="40">
        <f ca="1">SUM('1st Quarter 2024'!C14, '2nd Quarter 2024'!C14, '3rd Quarter 2024'!C14, '4th Quarter 2024'!C14)</f>
        <v>44552</v>
      </c>
      <c r="D14" s="40">
        <f ca="1">SUM('1st Quarter 2024'!D14, '2nd Quarter 2024'!D14, '3rd Quarter 2024'!D14, '4th Quarter 2024'!D14)</f>
        <v>81817.759999999995</v>
      </c>
      <c r="E14" s="40">
        <f t="shared" ca="1" si="0"/>
        <v>-37265.759999999995</v>
      </c>
      <c r="F14" s="41">
        <f t="shared" ca="1" si="1"/>
        <v>-0.45547274821505745</v>
      </c>
      <c r="G14" s="42">
        <f ca="1">SUM('1st Quarter 2024'!G14, '2nd Quarter 2024'!G14, '3rd Quarter 2024'!G14, '4th Quarter 2024'!G14)</f>
        <v>78530.19</v>
      </c>
      <c r="H14" s="42">
        <f t="shared" ca="1" si="2"/>
        <v>-33978.19</v>
      </c>
      <c r="I14" s="43">
        <f t="shared" ca="1" si="3"/>
        <v>-0.43267678328551096</v>
      </c>
      <c r="J14" s="24"/>
      <c r="K14" s="25"/>
    </row>
    <row r="15" spans="1:11" ht="15.75">
      <c r="A15" s="58" t="str">
        <v>Stillwater River 4</v>
      </c>
      <c r="B15" s="39" t="str">
        <v>MA</v>
      </c>
      <c r="C15" s="40">
        <f ca="1">SUM('1st Quarter 2024'!C15, '2nd Quarter 2024'!C15, '3rd Quarter 2024'!C15, '4th Quarter 2024'!C15)</f>
        <v>18009.3125</v>
      </c>
      <c r="D15" s="40">
        <f ca="1">SUM('1st Quarter 2024'!D15, '2nd Quarter 2024'!D15, '3rd Quarter 2024'!D15, '4th Quarter 2024'!D15)</f>
        <v>32813.839999999997</v>
      </c>
      <c r="E15" s="40">
        <f t="shared" ca="1" si="0"/>
        <v>-14804.527499999997</v>
      </c>
      <c r="F15" s="41">
        <f t="shared" ca="1" si="1"/>
        <v>-0.45116717519193117</v>
      </c>
      <c r="G15" s="42">
        <f ca="1">SUM('1st Quarter 2024'!G15, '2nd Quarter 2024'!G15, '3rd Quarter 2024'!G15, '4th Quarter 2024'!G15)</f>
        <v>35648.47</v>
      </c>
      <c r="H15" s="42">
        <f t="shared" ca="1" si="2"/>
        <v>-17639.157500000001</v>
      </c>
      <c r="I15" s="43">
        <f t="shared" ca="1" si="3"/>
        <v>-0.49480826245838883</v>
      </c>
      <c r="J15" s="21"/>
      <c r="K15" s="21"/>
    </row>
    <row r="16" spans="1:11" ht="24.75" customHeight="1">
      <c r="A16" s="180" t="s">
        <v>11</v>
      </c>
      <c r="B16" s="181"/>
      <c r="C16" s="59">
        <f ca="1">SUM(C3:C15)</f>
        <v>777232.61437687522</v>
      </c>
      <c r="D16" s="59">
        <f ca="1">SUM(D3:D15)</f>
        <v>1271145.1299999999</v>
      </c>
      <c r="E16" s="59">
        <f ca="1">C16-D16</f>
        <v>-493912.51562312467</v>
      </c>
      <c r="F16" s="50">
        <f ca="1">IFERROR(E16/D16, 0)</f>
        <v>-0.38855713951649623</v>
      </c>
      <c r="G16" s="59">
        <f ca="1">SUM(G3:G15)</f>
        <v>1396020.46</v>
      </c>
      <c r="H16" s="60">
        <f ca="1">C16-G16</f>
        <v>-618787.84562312474</v>
      </c>
      <c r="I16" s="51">
        <f ca="1">IFERROR(H16/G16, 0)</f>
        <v>-0.44325127270923004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D5C25034-9971-4A61-864F-C938F31EB1B8}"/>
  <mergeCells count="8">
    <mergeCell ref="K1:K2"/>
    <mergeCell ref="A16:B16"/>
    <mergeCell ref="A18:A19"/>
    <mergeCell ref="A20:A21"/>
    <mergeCell ref="A1:B1"/>
    <mergeCell ref="C1:F1"/>
    <mergeCell ref="G1:I1"/>
    <mergeCell ref="J1:J2"/>
  </mergeCells>
  <conditionalFormatting sqref="F3:F16 I3:I16">
    <cfRule type="cellIs" dxfId="246" priority="1" operator="lessThanOrEqual">
      <formula>-0.1</formula>
    </cfRule>
    <cfRule type="cellIs" dxfId="24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2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14</v>
      </c>
      <c r="D1" s="187"/>
      <c r="E1" s="187"/>
      <c r="F1" s="188"/>
      <c r="G1" s="189" t="s">
        <v>15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>
        <f ca="1">SUM('01-2024'!C3, '02-2024'!C3, '03-2024'!C3)</f>
        <v>108788.84079602</v>
      </c>
      <c r="D3" s="40">
        <f ca="1">SUM('01-2024'!D3, '02-2024'!D3, '03-2024'!D3)</f>
        <v>176557</v>
      </c>
      <c r="E3" s="40">
        <f ca="1">C3-D3</f>
        <v>-67768.159203980002</v>
      </c>
      <c r="F3" s="41">
        <f ca="1">IFERROR(E3/D3, 0)</f>
        <v>-0.38383161927298265</v>
      </c>
      <c r="G3" s="42">
        <f ca="1">SUM('01-2024'!G3, '02-2024'!G3, '03-2024'!G3)</f>
        <v>245116</v>
      </c>
      <c r="H3" s="42">
        <f ca="1">C3-G3</f>
        <v>-136327.15920398</v>
      </c>
      <c r="I3" s="43">
        <f ca="1">IFERROR(H3/G3, 0)</f>
        <v>-0.55617405311762591</v>
      </c>
      <c r="J3" s="21"/>
      <c r="K3" s="21"/>
    </row>
    <row r="4" spans="1:11" ht="15.75">
      <c r="A4" s="57" t="str">
        <v>Clara Barton</v>
      </c>
      <c r="B4" s="22" t="str">
        <v>MA</v>
      </c>
      <c r="C4" s="40">
        <f ca="1">SUM('01-2024'!C4, '02-2024'!C4, '03-2024'!C4)</f>
        <v>41686.144680853897</v>
      </c>
      <c r="D4" s="40">
        <f ca="1">SUM('01-2024'!D4, '02-2024'!D4, '03-2024'!D4)</f>
        <v>61398.720000000001</v>
      </c>
      <c r="E4" s="40">
        <f t="shared" ref="E4:E15" ca="1" si="0">C4-D4</f>
        <v>-19712.575319146104</v>
      </c>
      <c r="F4" s="41">
        <f t="shared" ref="F4:F15" ca="1" si="1">IFERROR(E4/D4, 0)</f>
        <v>-0.32105840836985045</v>
      </c>
      <c r="G4" s="42">
        <f ca="1">SUM('01-2024'!G4, '02-2024'!G4, '03-2024'!G4)</f>
        <v>84576.48</v>
      </c>
      <c r="H4" s="42">
        <f t="shared" ref="H4:H15" ca="1" si="2">C4-G4</f>
        <v>-42890.335319146099</v>
      </c>
      <c r="I4" s="43">
        <f t="shared" ref="I4:I15" ca="1" si="3">IFERROR(H4/G4, 0)</f>
        <v>-0.50711894511507338</v>
      </c>
      <c r="J4" s="21"/>
      <c r="K4" s="21"/>
    </row>
    <row r="5" spans="1:11" ht="15.75">
      <c r="A5" s="58" t="str">
        <v>Fairhaven Solar</v>
      </c>
      <c r="B5" s="39" t="str">
        <v>MA</v>
      </c>
      <c r="C5" s="40">
        <f ca="1">SUM('01-2024'!C5, '02-2024'!C5, '03-2024'!C5)</f>
        <v>55436</v>
      </c>
      <c r="D5" s="40">
        <f ca="1">SUM('01-2024'!D5, '02-2024'!D5, '03-2024'!D5)</f>
        <v>67352.87</v>
      </c>
      <c r="E5" s="40">
        <f t="shared" ca="1" si="0"/>
        <v>-11916.869999999995</v>
      </c>
      <c r="F5" s="41">
        <f t="shared" ca="1" si="1"/>
        <v>-0.17693188129919329</v>
      </c>
      <c r="G5" s="42">
        <f ca="1">SUM('01-2024'!G5, '02-2024'!G5, '03-2024'!G5)</f>
        <v>63727.01</v>
      </c>
      <c r="H5" s="42">
        <f t="shared" ca="1" si="2"/>
        <v>-8291.010000000002</v>
      </c>
      <c r="I5" s="43">
        <f t="shared" ca="1" si="3"/>
        <v>-0.13010197716792302</v>
      </c>
      <c r="J5" s="21"/>
      <c r="K5" s="21"/>
    </row>
    <row r="6" spans="1:11" ht="15.75">
      <c r="A6" s="57" t="str">
        <v>Plympton-1</v>
      </c>
      <c r="B6" s="22" t="str">
        <v>MA</v>
      </c>
      <c r="C6" s="40">
        <f ca="1">SUM('01-2024'!C6, '02-2024'!C6, '03-2024'!C6)</f>
        <v>67619</v>
      </c>
      <c r="D6" s="40">
        <f ca="1">SUM('01-2024'!D6, '02-2024'!D6, '03-2024'!D6)</f>
        <v>73871.03</v>
      </c>
      <c r="E6" s="40">
        <f t="shared" ca="1" si="0"/>
        <v>-6252.0299999999988</v>
      </c>
      <c r="F6" s="41">
        <f t="shared" ca="1" si="1"/>
        <v>-8.4634395919482894E-2</v>
      </c>
      <c r="G6" s="42">
        <f ca="1">SUM('01-2024'!G6, '02-2024'!G6, '03-2024'!G6)</f>
        <v>79420.95</v>
      </c>
      <c r="H6" s="42">
        <f t="shared" ca="1" si="2"/>
        <v>-11801.949999999997</v>
      </c>
      <c r="I6" s="43">
        <f t="shared" ca="1" si="3"/>
        <v>-0.14859996008609816</v>
      </c>
      <c r="J6" s="21"/>
      <c r="K6" s="21"/>
    </row>
    <row r="7" spans="1:11" ht="15.75">
      <c r="A7" s="58" t="str">
        <v>French River 2</v>
      </c>
      <c r="B7" s="39" t="str">
        <v>MA</v>
      </c>
      <c r="C7" s="40">
        <f ca="1">SUM('01-2024'!C7, '02-2024'!C7, '03-2024'!C7)</f>
        <v>41541.11</v>
      </c>
      <c r="D7" s="40">
        <f ca="1">SUM('01-2024'!D7, '02-2024'!D7, '03-2024'!D7)</f>
        <v>80016.27</v>
      </c>
      <c r="E7" s="40">
        <f t="shared" ca="1" si="0"/>
        <v>-38475.160000000003</v>
      </c>
      <c r="F7" s="41">
        <f t="shared" ca="1" si="1"/>
        <v>-0.48084170881746929</v>
      </c>
      <c r="G7" s="42">
        <f ca="1">SUM('01-2024'!G7, '02-2024'!G7, '03-2024'!G7)</f>
        <v>78833</v>
      </c>
      <c r="H7" s="42">
        <f t="shared" ca="1" si="2"/>
        <v>-37291.89</v>
      </c>
      <c r="I7" s="43">
        <f t="shared" ca="1" si="3"/>
        <v>-0.47304923065213805</v>
      </c>
      <c r="J7" s="23"/>
      <c r="K7" s="23"/>
    </row>
    <row r="8" spans="1:11" ht="15.75">
      <c r="A8" s="57" t="str">
        <v>French River 3</v>
      </c>
      <c r="B8" s="22" t="str">
        <v>MA</v>
      </c>
      <c r="C8" s="40">
        <f ca="1">SUM('01-2024'!C8, '02-2024'!C8, '03-2024'!C8)</f>
        <v>86149.119999999995</v>
      </c>
      <c r="D8" s="40">
        <f ca="1">SUM('01-2024'!D8, '02-2024'!D8, '03-2024'!D8)</f>
        <v>150506.79999999999</v>
      </c>
      <c r="E8" s="40">
        <f t="shared" ca="1" si="0"/>
        <v>-64357.679999999993</v>
      </c>
      <c r="F8" s="41">
        <f t="shared" ca="1" si="1"/>
        <v>-0.42760646030611238</v>
      </c>
      <c r="G8" s="42">
        <f ca="1">SUM('01-2024'!G8, '02-2024'!G8, '03-2024'!G8)</f>
        <v>151308.70000000001</v>
      </c>
      <c r="H8" s="42">
        <f t="shared" ca="1" si="2"/>
        <v>-65159.580000000016</v>
      </c>
      <c r="I8" s="43">
        <f t="shared" ca="1" si="3"/>
        <v>-0.43064000946409564</v>
      </c>
      <c r="J8" s="21"/>
      <c r="K8" s="21"/>
    </row>
    <row r="9" spans="1:11" ht="15.75">
      <c r="A9" s="58" t="str">
        <v>French River 4</v>
      </c>
      <c r="B9" s="39" t="str">
        <v>MA</v>
      </c>
      <c r="C9" s="40">
        <f ca="1">SUM('01-2024'!C9, '02-2024'!C9, '03-2024'!C9)</f>
        <v>85549.466400001198</v>
      </c>
      <c r="D9" s="40">
        <f ca="1">SUM('01-2024'!D9, '02-2024'!D9, '03-2024'!D9)</f>
        <v>154184.79999999999</v>
      </c>
      <c r="E9" s="40">
        <f t="shared" ca="1" si="0"/>
        <v>-68635.33359999879</v>
      </c>
      <c r="F9" s="41">
        <f t="shared" ca="1" si="1"/>
        <v>-0.44514980464999659</v>
      </c>
      <c r="G9" s="42">
        <f ca="1">SUM('01-2024'!G9, '02-2024'!G9, '03-2024'!G9)</f>
        <v>157760</v>
      </c>
      <c r="H9" s="42">
        <f t="shared" ca="1" si="2"/>
        <v>-72210.533599998802</v>
      </c>
      <c r="I9" s="43">
        <f t="shared" ca="1" si="3"/>
        <v>-0.45772397058822772</v>
      </c>
      <c r="J9" s="24"/>
      <c r="K9" s="25"/>
    </row>
    <row r="10" spans="1:11" ht="15.75">
      <c r="A10" s="57" t="str">
        <v>French River 5</v>
      </c>
      <c r="B10" s="22" t="str">
        <v>MA</v>
      </c>
      <c r="C10" s="40">
        <f ca="1">SUM('01-2024'!C10, '02-2024'!C10, '03-2024'!C10)</f>
        <v>83292.5</v>
      </c>
      <c r="D10" s="40">
        <f ca="1">SUM('01-2024'!D10, '02-2024'!D10, '03-2024'!D10)</f>
        <v>147678.6</v>
      </c>
      <c r="E10" s="40">
        <f t="shared" ca="1" si="0"/>
        <v>-64386.100000000006</v>
      </c>
      <c r="F10" s="41">
        <f t="shared" ca="1" si="1"/>
        <v>-0.43598801722118169</v>
      </c>
      <c r="G10" s="42">
        <f ca="1">SUM('01-2024'!G10, '02-2024'!G10, '03-2024'!G10)</f>
        <v>154754.9</v>
      </c>
      <c r="H10" s="42">
        <f t="shared" ca="1" si="2"/>
        <v>-71462.399999999994</v>
      </c>
      <c r="I10" s="43">
        <f t="shared" ca="1" si="3"/>
        <v>-0.46177794693415197</v>
      </c>
      <c r="J10" s="21"/>
      <c r="K10" s="21"/>
    </row>
    <row r="11" spans="1:11" ht="15.75">
      <c r="A11" s="58" t="str">
        <v>French River 6</v>
      </c>
      <c r="B11" s="39" t="str">
        <v>MA</v>
      </c>
      <c r="C11" s="40">
        <f ca="1">SUM('01-2024'!C11, '02-2024'!C11, '03-2024'!C11)</f>
        <v>78703</v>
      </c>
      <c r="D11" s="40">
        <f ca="1">SUM('01-2024'!D11, '02-2024'!D11, '03-2024'!D11)</f>
        <v>125159</v>
      </c>
      <c r="E11" s="40">
        <f t="shared" ca="1" si="0"/>
        <v>-46456</v>
      </c>
      <c r="F11" s="41">
        <f t="shared" ca="1" si="1"/>
        <v>-0.37117586430060961</v>
      </c>
      <c r="G11" s="42">
        <f ca="1">SUM('01-2024'!G11, '02-2024'!G11, '03-2024'!G11)</f>
        <v>148483.1</v>
      </c>
      <c r="H11" s="42">
        <f t="shared" ca="1" si="2"/>
        <v>-69780.100000000006</v>
      </c>
      <c r="I11" s="43">
        <f t="shared" ca="1" si="3"/>
        <v>-0.4699531461829663</v>
      </c>
      <c r="J11" s="21"/>
      <c r="K11" s="21"/>
    </row>
    <row r="12" spans="1:11" ht="15.75">
      <c r="A12" s="57" t="str">
        <v>Stillwater River 1A</v>
      </c>
      <c r="B12" s="22" t="str">
        <v>MA</v>
      </c>
      <c r="C12" s="40">
        <f ca="1">SUM('01-2024'!C12, '02-2024'!C12, '03-2024'!C12)</f>
        <v>21302</v>
      </c>
      <c r="D12" s="40">
        <f ca="1">SUM('01-2024'!D12, '02-2024'!D12, '03-2024'!D12)</f>
        <v>36938.76</v>
      </c>
      <c r="E12" s="40">
        <f t="shared" ca="1" si="0"/>
        <v>-15636.760000000002</v>
      </c>
      <c r="F12" s="41">
        <f t="shared" ca="1" si="1"/>
        <v>-0.42331577995579717</v>
      </c>
      <c r="G12" s="42">
        <f ca="1">SUM('01-2024'!G12, '02-2024'!G12, '03-2024'!G12)</f>
        <v>38086.07</v>
      </c>
      <c r="H12" s="42">
        <f t="shared" ca="1" si="2"/>
        <v>-16784.07</v>
      </c>
      <c r="I12" s="43">
        <f t="shared" ca="1" si="3"/>
        <v>-0.44068789455042223</v>
      </c>
      <c r="J12" s="23"/>
      <c r="K12" s="23"/>
    </row>
    <row r="13" spans="1:11" ht="15.75">
      <c r="A13" s="58" t="str">
        <v>Stillwater River 2</v>
      </c>
      <c r="B13" s="39" t="str">
        <v>MA</v>
      </c>
      <c r="C13" s="40">
        <f ca="1">SUM('01-2024'!C13, '02-2024'!C13, '03-2024'!C13)</f>
        <v>44604.120000000097</v>
      </c>
      <c r="D13" s="40">
        <f ca="1">SUM('01-2024'!D13, '02-2024'!D13, '03-2024'!D13)</f>
        <v>82849.679999999993</v>
      </c>
      <c r="E13" s="40">
        <f t="shared" ca="1" si="0"/>
        <v>-38245.559999999896</v>
      </c>
      <c r="F13" s="41">
        <f t="shared" ca="1" si="1"/>
        <v>-0.46162592299692529</v>
      </c>
      <c r="G13" s="42">
        <f ca="1">SUM('01-2024'!G13, '02-2024'!G13, '03-2024'!G13)</f>
        <v>79775.59</v>
      </c>
      <c r="H13" s="42">
        <f t="shared" ca="1" si="2"/>
        <v>-35171.469999999899</v>
      </c>
      <c r="I13" s="43">
        <f t="shared" ca="1" si="3"/>
        <v>-0.44088009878710893</v>
      </c>
      <c r="J13" s="21"/>
      <c r="K13" s="21"/>
    </row>
    <row r="14" spans="1:11" ht="15.75">
      <c r="A14" s="57" t="str">
        <v>Stillwater River 3</v>
      </c>
      <c r="B14" s="22" t="str">
        <v>MA</v>
      </c>
      <c r="C14" s="40">
        <f ca="1">SUM('01-2024'!C14, '02-2024'!C14, '03-2024'!C14)</f>
        <v>44552</v>
      </c>
      <c r="D14" s="40">
        <f ca="1">SUM('01-2024'!D14, '02-2024'!D14, '03-2024'!D14)</f>
        <v>81817.759999999995</v>
      </c>
      <c r="E14" s="40">
        <f t="shared" ca="1" si="0"/>
        <v>-37265.759999999995</v>
      </c>
      <c r="F14" s="41">
        <f t="shared" ca="1" si="1"/>
        <v>-0.45547274821505745</v>
      </c>
      <c r="G14" s="42">
        <f ca="1">SUM('01-2024'!G14, '02-2024'!G14, '03-2024'!G14)</f>
        <v>78530.19</v>
      </c>
      <c r="H14" s="42">
        <f t="shared" ca="1" si="2"/>
        <v>-33978.19</v>
      </c>
      <c r="I14" s="43">
        <f t="shared" ca="1" si="3"/>
        <v>-0.43267678328551096</v>
      </c>
      <c r="J14" s="24"/>
      <c r="K14" s="25"/>
    </row>
    <row r="15" spans="1:11" ht="15.75">
      <c r="A15" s="58" t="str">
        <v>Stillwater River 4</v>
      </c>
      <c r="B15" s="39" t="str">
        <v>MA</v>
      </c>
      <c r="C15" s="40">
        <f ca="1">SUM('01-2024'!C15, '02-2024'!C15, '03-2024'!C15)</f>
        <v>18009.3125</v>
      </c>
      <c r="D15" s="40">
        <f ca="1">SUM('01-2024'!D15, '02-2024'!D15, '03-2024'!D15)</f>
        <v>32813.839999999997</v>
      </c>
      <c r="E15" s="40">
        <f t="shared" ca="1" si="0"/>
        <v>-14804.527499999997</v>
      </c>
      <c r="F15" s="41">
        <f t="shared" ca="1" si="1"/>
        <v>-0.45116717519193117</v>
      </c>
      <c r="G15" s="42">
        <f ca="1">SUM('01-2024'!G15, '02-2024'!G15, '03-2024'!G15)</f>
        <v>35648.47</v>
      </c>
      <c r="H15" s="42">
        <f t="shared" ca="1" si="2"/>
        <v>-17639.157500000001</v>
      </c>
      <c r="I15" s="43">
        <f t="shared" ca="1" si="3"/>
        <v>-0.49480826245838883</v>
      </c>
      <c r="J15" s="21"/>
      <c r="K15" s="21"/>
    </row>
    <row r="16" spans="1:11" ht="24.75" customHeight="1">
      <c r="A16" s="180" t="s">
        <v>11</v>
      </c>
      <c r="B16" s="181"/>
      <c r="C16" s="59">
        <f ca="1">SUM(C3:C15)</f>
        <v>777232.61437687522</v>
      </c>
      <c r="D16" s="59">
        <f ca="1">SUM(D3:D15)</f>
        <v>1271145.1299999999</v>
      </c>
      <c r="E16" s="59">
        <f ca="1">C16-D16</f>
        <v>-493912.51562312467</v>
      </c>
      <c r="F16" s="50">
        <f ca="1">IFERROR(E16/D16, 0)</f>
        <v>-0.38855713951649623</v>
      </c>
      <c r="G16" s="59">
        <f ca="1">SUM(G3:G15)</f>
        <v>1396020.46</v>
      </c>
      <c r="H16" s="60">
        <f ca="1">C16-G16</f>
        <v>-618787.84562312474</v>
      </c>
      <c r="I16" s="51">
        <f ca="1">IFERROR(H16/G16, 0)</f>
        <v>-0.44325127270923004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16:B16"/>
    <mergeCell ref="A18:A19"/>
    <mergeCell ref="A20:A21"/>
    <mergeCell ref="A1:B1"/>
    <mergeCell ref="C1:F1"/>
    <mergeCell ref="G1:I1"/>
    <mergeCell ref="J1:J2"/>
  </mergeCells>
  <conditionalFormatting sqref="F3:F16 I3:I16">
    <cfRule type="cellIs" dxfId="244" priority="1" operator="lessThanOrEqual">
      <formula>-0.1</formula>
    </cfRule>
    <cfRule type="cellIs" dxfId="243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2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16</v>
      </c>
      <c r="D1" s="187"/>
      <c r="E1" s="187"/>
      <c r="F1" s="188"/>
      <c r="G1" s="189" t="s">
        <v>17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>
        <f ca="1">SUM('04-2024'!C3, '05-2024'!C3, '06-2024'!C3)</f>
        <v>0</v>
      </c>
      <c r="D3" s="40">
        <f ca="1">SUM('04-2024'!D3, '05-2024'!D3, '06-2024'!D3)</f>
        <v>0</v>
      </c>
      <c r="E3" s="40">
        <f ca="1">C3-D3</f>
        <v>0</v>
      </c>
      <c r="F3" s="41">
        <f ca="1">IFERROR(E3/D3, 0)</f>
        <v>0</v>
      </c>
      <c r="G3" s="42">
        <f ca="1">SUM('04-2024'!G3, '05-2024'!G3, '06-2024'!G3)</f>
        <v>0</v>
      </c>
      <c r="H3" s="42">
        <f ca="1">C3-G3</f>
        <v>0</v>
      </c>
      <c r="I3" s="43">
        <f ca="1">IFERROR(H3/G3, 0)</f>
        <v>0</v>
      </c>
      <c r="J3" s="21"/>
      <c r="K3" s="21"/>
    </row>
    <row r="4" spans="1:11" ht="15.75">
      <c r="A4" s="57" t="str">
        <v>Clara Barton</v>
      </c>
      <c r="B4" s="22" t="str">
        <v>MA</v>
      </c>
      <c r="C4" s="40">
        <f ca="1">SUM('04-2024'!C4, '05-2024'!C4, '06-2024'!C4)</f>
        <v>0</v>
      </c>
      <c r="D4" s="40">
        <f ca="1">SUM('04-2024'!D4, '05-2024'!D4, '06-2024'!D4)</f>
        <v>0</v>
      </c>
      <c r="E4" s="40">
        <f t="shared" ref="E4:E15" ca="1" si="0">C4-D4</f>
        <v>0</v>
      </c>
      <c r="F4" s="41">
        <f t="shared" ref="F4:F15" ca="1" si="1">IFERROR(E4/D4, 0)</f>
        <v>0</v>
      </c>
      <c r="G4" s="42">
        <f ca="1">SUM('04-2024'!G4, '05-2024'!G4, '06-2024'!G4)</f>
        <v>0</v>
      </c>
      <c r="H4" s="42">
        <f t="shared" ref="H4:H15" ca="1" si="2">C4-G4</f>
        <v>0</v>
      </c>
      <c r="I4" s="43">
        <f t="shared" ref="I4:I15" ca="1" si="3">IFERROR(H4/G4, 0)</f>
        <v>0</v>
      </c>
      <c r="J4" s="21"/>
      <c r="K4" s="21"/>
    </row>
    <row r="5" spans="1:11" ht="15.75">
      <c r="A5" s="58" t="str">
        <v>Fairhaven Solar</v>
      </c>
      <c r="B5" s="39" t="str">
        <v>MA</v>
      </c>
      <c r="C5" s="40">
        <f ca="1">SUM('04-2024'!C5, '05-2024'!C5, '06-2024'!C5)</f>
        <v>0</v>
      </c>
      <c r="D5" s="40">
        <f ca="1">SUM('04-2024'!D5, '05-2024'!D5, '06-2024'!D5)</f>
        <v>0</v>
      </c>
      <c r="E5" s="40">
        <f t="shared" ca="1" si="0"/>
        <v>0</v>
      </c>
      <c r="F5" s="41">
        <f t="shared" ca="1" si="1"/>
        <v>0</v>
      </c>
      <c r="G5" s="42">
        <f ca="1">SUM('04-2024'!G5, '05-2024'!G5, '06-2024'!G5)</f>
        <v>0</v>
      </c>
      <c r="H5" s="42">
        <f t="shared" ca="1" si="2"/>
        <v>0</v>
      </c>
      <c r="I5" s="43">
        <f t="shared" ca="1" si="3"/>
        <v>0</v>
      </c>
      <c r="J5" s="21"/>
      <c r="K5" s="21"/>
    </row>
    <row r="6" spans="1:11" ht="15.75">
      <c r="A6" s="57" t="str">
        <v>Plympton-1</v>
      </c>
      <c r="B6" s="22" t="str">
        <v>MA</v>
      </c>
      <c r="C6" s="40">
        <f ca="1">SUM('04-2024'!C6, '05-2024'!C6, '06-2024'!C6)</f>
        <v>0</v>
      </c>
      <c r="D6" s="40">
        <f ca="1">SUM('04-2024'!D6, '05-2024'!D6, '06-2024'!D6)</f>
        <v>0</v>
      </c>
      <c r="E6" s="40">
        <f t="shared" ca="1" si="0"/>
        <v>0</v>
      </c>
      <c r="F6" s="41">
        <f t="shared" ca="1" si="1"/>
        <v>0</v>
      </c>
      <c r="G6" s="42">
        <f ca="1">SUM('04-2024'!G6, '05-2024'!G6, '06-2024'!G6)</f>
        <v>0</v>
      </c>
      <c r="H6" s="42">
        <f t="shared" ca="1" si="2"/>
        <v>0</v>
      </c>
      <c r="I6" s="43">
        <f t="shared" ca="1" si="3"/>
        <v>0</v>
      </c>
      <c r="J6" s="21"/>
      <c r="K6" s="21"/>
    </row>
    <row r="7" spans="1:11" ht="15.75">
      <c r="A7" s="58" t="str">
        <v>French River 2</v>
      </c>
      <c r="B7" s="39" t="str">
        <v>MA</v>
      </c>
      <c r="C7" s="40">
        <f ca="1">SUM('04-2024'!C7, '05-2024'!C7, '06-2024'!C7)</f>
        <v>0</v>
      </c>
      <c r="D7" s="40">
        <f ca="1">SUM('04-2024'!D7, '05-2024'!D7, '06-2024'!D7)</f>
        <v>0</v>
      </c>
      <c r="E7" s="40">
        <f t="shared" ca="1" si="0"/>
        <v>0</v>
      </c>
      <c r="F7" s="41">
        <f t="shared" ca="1" si="1"/>
        <v>0</v>
      </c>
      <c r="G7" s="42">
        <f ca="1">SUM('04-2024'!G7, '05-2024'!G7, '06-2024'!G7)</f>
        <v>0</v>
      </c>
      <c r="H7" s="42">
        <f t="shared" ca="1" si="2"/>
        <v>0</v>
      </c>
      <c r="I7" s="43">
        <f t="shared" ca="1" si="3"/>
        <v>0</v>
      </c>
      <c r="J7" s="23"/>
      <c r="K7" s="23"/>
    </row>
    <row r="8" spans="1:11" ht="15.75">
      <c r="A8" s="57" t="str">
        <v>French River 3</v>
      </c>
      <c r="B8" s="22" t="str">
        <v>MA</v>
      </c>
      <c r="C8" s="40">
        <f ca="1">SUM('04-2024'!C8, '05-2024'!C8, '06-2024'!C8)</f>
        <v>0</v>
      </c>
      <c r="D8" s="40">
        <f ca="1">SUM('04-2024'!D8, '05-2024'!D8, '06-2024'!D8)</f>
        <v>0</v>
      </c>
      <c r="E8" s="40">
        <f t="shared" ca="1" si="0"/>
        <v>0</v>
      </c>
      <c r="F8" s="41">
        <f t="shared" ca="1" si="1"/>
        <v>0</v>
      </c>
      <c r="G8" s="42">
        <f ca="1">SUM('04-2024'!G8, '05-2024'!G8, '06-2024'!G8)</f>
        <v>0</v>
      </c>
      <c r="H8" s="42">
        <f t="shared" ca="1" si="2"/>
        <v>0</v>
      </c>
      <c r="I8" s="43">
        <f t="shared" ca="1" si="3"/>
        <v>0</v>
      </c>
      <c r="J8" s="21"/>
      <c r="K8" s="21"/>
    </row>
    <row r="9" spans="1:11" ht="15.75">
      <c r="A9" s="58" t="str">
        <v>French River 4</v>
      </c>
      <c r="B9" s="39" t="str">
        <v>MA</v>
      </c>
      <c r="C9" s="40">
        <f ca="1">SUM('04-2024'!C9, '05-2024'!C9, '06-2024'!C9)</f>
        <v>0</v>
      </c>
      <c r="D9" s="40">
        <f ca="1">SUM('04-2024'!D9, '05-2024'!D9, '06-2024'!D9)</f>
        <v>0</v>
      </c>
      <c r="E9" s="40">
        <f t="shared" ca="1" si="0"/>
        <v>0</v>
      </c>
      <c r="F9" s="41">
        <f t="shared" ca="1" si="1"/>
        <v>0</v>
      </c>
      <c r="G9" s="42">
        <f ca="1">SUM('04-2024'!G9, '05-2024'!G9, '06-2024'!G9)</f>
        <v>0</v>
      </c>
      <c r="H9" s="42">
        <f t="shared" ca="1" si="2"/>
        <v>0</v>
      </c>
      <c r="I9" s="43">
        <f t="shared" ca="1" si="3"/>
        <v>0</v>
      </c>
      <c r="J9" s="24"/>
      <c r="K9" s="25"/>
    </row>
    <row r="10" spans="1:11" ht="15.75">
      <c r="A10" s="57" t="str">
        <v>French River 5</v>
      </c>
      <c r="B10" s="22" t="str">
        <v>MA</v>
      </c>
      <c r="C10" s="40">
        <f ca="1">SUM('04-2024'!C10, '05-2024'!C10, '06-2024'!C10)</f>
        <v>0</v>
      </c>
      <c r="D10" s="40">
        <f ca="1">SUM('04-2024'!D10, '05-2024'!D10, '06-2024'!D10)</f>
        <v>0</v>
      </c>
      <c r="E10" s="40">
        <f t="shared" ca="1" si="0"/>
        <v>0</v>
      </c>
      <c r="F10" s="41">
        <f t="shared" ca="1" si="1"/>
        <v>0</v>
      </c>
      <c r="G10" s="42">
        <f ca="1">SUM('04-2024'!G10, '05-2024'!G10, '06-2024'!G10)</f>
        <v>0</v>
      </c>
      <c r="H10" s="42">
        <f t="shared" ca="1" si="2"/>
        <v>0</v>
      </c>
      <c r="I10" s="43">
        <f t="shared" ca="1" si="3"/>
        <v>0</v>
      </c>
      <c r="J10" s="21"/>
      <c r="K10" s="21"/>
    </row>
    <row r="11" spans="1:11" ht="15.75">
      <c r="A11" s="58" t="str">
        <v>French River 6</v>
      </c>
      <c r="B11" s="39" t="str">
        <v>MA</v>
      </c>
      <c r="C11" s="40">
        <f ca="1">SUM('04-2024'!C11, '05-2024'!C11, '06-2024'!C11)</f>
        <v>0</v>
      </c>
      <c r="D11" s="40">
        <f ca="1">SUM('04-2024'!D11, '05-2024'!D11, '06-2024'!D11)</f>
        <v>0</v>
      </c>
      <c r="E11" s="40">
        <f t="shared" ca="1" si="0"/>
        <v>0</v>
      </c>
      <c r="F11" s="41">
        <f t="shared" ca="1" si="1"/>
        <v>0</v>
      </c>
      <c r="G11" s="42">
        <f ca="1">SUM('04-2024'!G11, '05-2024'!G11, '06-2024'!G11)</f>
        <v>0</v>
      </c>
      <c r="H11" s="42">
        <f t="shared" ca="1" si="2"/>
        <v>0</v>
      </c>
      <c r="I11" s="43">
        <f t="shared" ca="1" si="3"/>
        <v>0</v>
      </c>
      <c r="J11" s="21"/>
      <c r="K11" s="21"/>
    </row>
    <row r="12" spans="1:11" ht="15.75">
      <c r="A12" s="57" t="str">
        <v>Stillwater River 1A</v>
      </c>
      <c r="B12" s="22" t="str">
        <v>MA</v>
      </c>
      <c r="C12" s="40">
        <f ca="1">SUM('04-2024'!C12, '05-2024'!C12, '06-2024'!C12)</f>
        <v>0</v>
      </c>
      <c r="D12" s="40">
        <f ca="1">SUM('04-2024'!D12, '05-2024'!D12, '06-2024'!D12)</f>
        <v>0</v>
      </c>
      <c r="E12" s="40">
        <f t="shared" ca="1" si="0"/>
        <v>0</v>
      </c>
      <c r="F12" s="41">
        <f t="shared" ca="1" si="1"/>
        <v>0</v>
      </c>
      <c r="G12" s="42">
        <f ca="1">SUM('04-2024'!G12, '05-2024'!G12, '06-2024'!G12)</f>
        <v>0</v>
      </c>
      <c r="H12" s="42">
        <f t="shared" ca="1" si="2"/>
        <v>0</v>
      </c>
      <c r="I12" s="43">
        <f t="shared" ca="1" si="3"/>
        <v>0</v>
      </c>
      <c r="J12" s="23"/>
      <c r="K12" s="23"/>
    </row>
    <row r="13" spans="1:11" ht="15.75">
      <c r="A13" s="58" t="str">
        <v>Stillwater River 2</v>
      </c>
      <c r="B13" s="39" t="str">
        <v>MA</v>
      </c>
      <c r="C13" s="40">
        <f ca="1">SUM('04-2024'!C13, '05-2024'!C13, '06-2024'!C13)</f>
        <v>0</v>
      </c>
      <c r="D13" s="40">
        <f ca="1">SUM('04-2024'!D13, '05-2024'!D13, '06-2024'!D13)</f>
        <v>0</v>
      </c>
      <c r="E13" s="40">
        <f t="shared" ca="1" si="0"/>
        <v>0</v>
      </c>
      <c r="F13" s="41">
        <f t="shared" ca="1" si="1"/>
        <v>0</v>
      </c>
      <c r="G13" s="42">
        <f ca="1">SUM('04-2024'!G13, '05-2024'!G13, '06-2024'!G13)</f>
        <v>0</v>
      </c>
      <c r="H13" s="42">
        <f t="shared" ca="1" si="2"/>
        <v>0</v>
      </c>
      <c r="I13" s="43">
        <f t="shared" ca="1" si="3"/>
        <v>0</v>
      </c>
      <c r="J13" s="21"/>
      <c r="K13" s="21"/>
    </row>
    <row r="14" spans="1:11" ht="15.75">
      <c r="A14" s="57" t="str">
        <v>Stillwater River 3</v>
      </c>
      <c r="B14" s="22" t="str">
        <v>MA</v>
      </c>
      <c r="C14" s="40">
        <f ca="1">SUM('04-2024'!C14, '05-2024'!C14, '06-2024'!C14)</f>
        <v>0</v>
      </c>
      <c r="D14" s="40">
        <f ca="1">SUM('04-2024'!D14, '05-2024'!D14, '06-2024'!D14)</f>
        <v>0</v>
      </c>
      <c r="E14" s="40">
        <f t="shared" ca="1" si="0"/>
        <v>0</v>
      </c>
      <c r="F14" s="41">
        <f t="shared" ca="1" si="1"/>
        <v>0</v>
      </c>
      <c r="G14" s="42">
        <f ca="1">SUM('04-2024'!G14, '05-2024'!G14, '06-2024'!G14)</f>
        <v>0</v>
      </c>
      <c r="H14" s="42">
        <f t="shared" ca="1" si="2"/>
        <v>0</v>
      </c>
      <c r="I14" s="43">
        <f t="shared" ca="1" si="3"/>
        <v>0</v>
      </c>
      <c r="J14" s="24"/>
      <c r="K14" s="25"/>
    </row>
    <row r="15" spans="1:11" ht="15.75">
      <c r="A15" s="58" t="str">
        <v>Stillwater River 4</v>
      </c>
      <c r="B15" s="39" t="str">
        <v>MA</v>
      </c>
      <c r="C15" s="40">
        <f ca="1">SUM('04-2024'!C15, '05-2024'!C15, '06-2024'!C15)</f>
        <v>0</v>
      </c>
      <c r="D15" s="40">
        <f ca="1">SUM('04-2024'!D15, '05-2024'!D15, '06-2024'!D15)</f>
        <v>0</v>
      </c>
      <c r="E15" s="40">
        <f t="shared" ca="1" si="0"/>
        <v>0</v>
      </c>
      <c r="F15" s="41">
        <f t="shared" ca="1" si="1"/>
        <v>0</v>
      </c>
      <c r="G15" s="42">
        <f ca="1">SUM('04-2024'!G15, '05-2024'!G15, '06-2024'!G15)</f>
        <v>0</v>
      </c>
      <c r="H15" s="42">
        <f t="shared" ca="1" si="2"/>
        <v>0</v>
      </c>
      <c r="I15" s="43">
        <f t="shared" ca="1" si="3"/>
        <v>0</v>
      </c>
      <c r="J15" s="21"/>
      <c r="K15" s="21"/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16:B16"/>
    <mergeCell ref="A18:A19"/>
    <mergeCell ref="A20:A21"/>
    <mergeCell ref="A1:B1"/>
    <mergeCell ref="C1:F1"/>
    <mergeCell ref="G1:I1"/>
    <mergeCell ref="J1:J2"/>
  </mergeCells>
  <conditionalFormatting sqref="F3:F16 I3:I16">
    <cfRule type="cellIs" dxfId="242" priority="1" operator="lessThanOrEqual">
      <formula>-0.1</formula>
    </cfRule>
    <cfRule type="cellIs" dxfId="2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2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13.85546875" style="1" bestFit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18</v>
      </c>
      <c r="D1" s="187"/>
      <c r="E1" s="187"/>
      <c r="F1" s="188"/>
      <c r="G1" s="189" t="s">
        <v>19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>
        <f ca="1">SUM('07-2024'!C3, '08-2024'!C3, '09-2024'!C3)</f>
        <v>0</v>
      </c>
      <c r="D3" s="40">
        <f ca="1">SUM('07-2024'!D3, '08-2024'!D3, '09-2024'!D3)</f>
        <v>0</v>
      </c>
      <c r="E3" s="40">
        <f ca="1">C3-D3</f>
        <v>0</v>
      </c>
      <c r="F3" s="41">
        <f ca="1">IFERROR(E3/D3, 0)</f>
        <v>0</v>
      </c>
      <c r="G3" s="42">
        <f ca="1">SUM('07-2024'!G3, '08-2024'!G3, '09-2024'!G3)</f>
        <v>0</v>
      </c>
      <c r="H3" s="42">
        <f ca="1">C3-G3</f>
        <v>0</v>
      </c>
      <c r="I3" s="43">
        <f ca="1">IFERROR(H3/G3, 0)</f>
        <v>0</v>
      </c>
      <c r="J3" s="21"/>
      <c r="K3" s="21"/>
    </row>
    <row r="4" spans="1:11" ht="15.75">
      <c r="A4" s="57" t="str">
        <v>Clara Barton</v>
      </c>
      <c r="B4" s="22" t="str">
        <v>MA</v>
      </c>
      <c r="C4" s="40">
        <f ca="1">SUM('07-2024'!C4, '08-2024'!C4, '09-2024'!C4)</f>
        <v>0</v>
      </c>
      <c r="D4" s="40">
        <f ca="1">SUM('07-2024'!D4, '08-2024'!D4, '09-2024'!D4)</f>
        <v>0</v>
      </c>
      <c r="E4" s="40">
        <f t="shared" ref="E4:E15" ca="1" si="0">C4-D4</f>
        <v>0</v>
      </c>
      <c r="F4" s="41">
        <f t="shared" ref="F4:F15" ca="1" si="1">IFERROR(E4/D4, 0)</f>
        <v>0</v>
      </c>
      <c r="G4" s="42">
        <f ca="1">SUM('07-2024'!G4, '08-2024'!G4, '09-2024'!G4)</f>
        <v>0</v>
      </c>
      <c r="H4" s="42">
        <f t="shared" ref="H4:H15" ca="1" si="2">C4-G4</f>
        <v>0</v>
      </c>
      <c r="I4" s="43">
        <f t="shared" ref="I4:I15" ca="1" si="3">IFERROR(H4/G4, 0)</f>
        <v>0</v>
      </c>
      <c r="J4" s="21"/>
      <c r="K4" s="21"/>
    </row>
    <row r="5" spans="1:11" ht="15.75">
      <c r="A5" s="58" t="str">
        <v>Fairhaven Solar</v>
      </c>
      <c r="B5" s="39" t="str">
        <v>MA</v>
      </c>
      <c r="C5" s="40">
        <f ca="1">SUM('07-2024'!C5, '08-2024'!C5, '09-2024'!C5)</f>
        <v>0</v>
      </c>
      <c r="D5" s="40">
        <f ca="1">SUM('07-2024'!D5, '08-2024'!D5, '09-2024'!D5)</f>
        <v>0</v>
      </c>
      <c r="E5" s="40">
        <f t="shared" ca="1" si="0"/>
        <v>0</v>
      </c>
      <c r="F5" s="41">
        <f t="shared" ca="1" si="1"/>
        <v>0</v>
      </c>
      <c r="G5" s="42">
        <f ca="1">SUM('07-2024'!G5, '08-2024'!G5, '09-2024'!G5)</f>
        <v>0</v>
      </c>
      <c r="H5" s="42">
        <f t="shared" ca="1" si="2"/>
        <v>0</v>
      </c>
      <c r="I5" s="43">
        <f t="shared" ca="1" si="3"/>
        <v>0</v>
      </c>
      <c r="J5" s="21"/>
      <c r="K5" s="21"/>
    </row>
    <row r="6" spans="1:11" ht="15.75">
      <c r="A6" s="57" t="str">
        <v>Plympton-1</v>
      </c>
      <c r="B6" s="22" t="str">
        <v>MA</v>
      </c>
      <c r="C6" s="40">
        <f ca="1">SUM('07-2024'!C6, '08-2024'!C6, '09-2024'!C6)</f>
        <v>0</v>
      </c>
      <c r="D6" s="40">
        <f ca="1">SUM('07-2024'!D6, '08-2024'!D6, '09-2024'!D6)</f>
        <v>0</v>
      </c>
      <c r="E6" s="40">
        <f t="shared" ca="1" si="0"/>
        <v>0</v>
      </c>
      <c r="F6" s="41">
        <f t="shared" ca="1" si="1"/>
        <v>0</v>
      </c>
      <c r="G6" s="42">
        <f ca="1">SUM('07-2024'!G6, '08-2024'!G6, '09-2024'!G6)</f>
        <v>0</v>
      </c>
      <c r="H6" s="42">
        <f t="shared" ca="1" si="2"/>
        <v>0</v>
      </c>
      <c r="I6" s="43">
        <f t="shared" ca="1" si="3"/>
        <v>0</v>
      </c>
      <c r="J6" s="21"/>
      <c r="K6" s="21"/>
    </row>
    <row r="7" spans="1:11" ht="15.75">
      <c r="A7" s="58" t="str">
        <v>French River 2</v>
      </c>
      <c r="B7" s="39" t="str">
        <v>MA</v>
      </c>
      <c r="C7" s="40">
        <f ca="1">SUM('07-2024'!C7, '08-2024'!C7, '09-2024'!C7)</f>
        <v>0</v>
      </c>
      <c r="D7" s="40">
        <f ca="1">SUM('07-2024'!D7, '08-2024'!D7, '09-2024'!D7)</f>
        <v>0</v>
      </c>
      <c r="E7" s="40">
        <f t="shared" ca="1" si="0"/>
        <v>0</v>
      </c>
      <c r="F7" s="41">
        <f t="shared" ca="1" si="1"/>
        <v>0</v>
      </c>
      <c r="G7" s="42">
        <f ca="1">SUM('07-2024'!G7, '08-2024'!G7, '09-2024'!G7)</f>
        <v>0</v>
      </c>
      <c r="H7" s="42">
        <f t="shared" ca="1" si="2"/>
        <v>0</v>
      </c>
      <c r="I7" s="43">
        <f t="shared" ca="1" si="3"/>
        <v>0</v>
      </c>
      <c r="J7" s="23"/>
      <c r="K7" s="23"/>
    </row>
    <row r="8" spans="1:11" ht="15.75">
      <c r="A8" s="57" t="str">
        <v>French River 3</v>
      </c>
      <c r="B8" s="22" t="str">
        <v>MA</v>
      </c>
      <c r="C8" s="40">
        <f ca="1">SUM('07-2024'!C8, '08-2024'!C8, '09-2024'!C8)</f>
        <v>0</v>
      </c>
      <c r="D8" s="40">
        <f ca="1">SUM('07-2024'!D8, '08-2024'!D8, '09-2024'!D8)</f>
        <v>0</v>
      </c>
      <c r="E8" s="40">
        <f t="shared" ca="1" si="0"/>
        <v>0</v>
      </c>
      <c r="F8" s="41">
        <f t="shared" ca="1" si="1"/>
        <v>0</v>
      </c>
      <c r="G8" s="42">
        <f ca="1">SUM('07-2024'!G8, '08-2024'!G8, '09-2024'!G8)</f>
        <v>0</v>
      </c>
      <c r="H8" s="42">
        <f t="shared" ca="1" si="2"/>
        <v>0</v>
      </c>
      <c r="I8" s="43">
        <f t="shared" ca="1" si="3"/>
        <v>0</v>
      </c>
      <c r="J8" s="21"/>
      <c r="K8" s="21"/>
    </row>
    <row r="9" spans="1:11" ht="15.75">
      <c r="A9" s="58" t="str">
        <v>French River 4</v>
      </c>
      <c r="B9" s="39" t="str">
        <v>MA</v>
      </c>
      <c r="C9" s="40">
        <f ca="1">SUM('07-2024'!C9, '08-2024'!C9, '09-2024'!C9)</f>
        <v>0</v>
      </c>
      <c r="D9" s="40">
        <f ca="1">SUM('07-2024'!D9, '08-2024'!D9, '09-2024'!D9)</f>
        <v>0</v>
      </c>
      <c r="E9" s="40">
        <f t="shared" ca="1" si="0"/>
        <v>0</v>
      </c>
      <c r="F9" s="41">
        <f t="shared" ca="1" si="1"/>
        <v>0</v>
      </c>
      <c r="G9" s="42">
        <f ca="1">SUM('07-2024'!G9, '08-2024'!G9, '09-2024'!G9)</f>
        <v>0</v>
      </c>
      <c r="H9" s="42">
        <f t="shared" ca="1" si="2"/>
        <v>0</v>
      </c>
      <c r="I9" s="43">
        <f t="shared" ca="1" si="3"/>
        <v>0</v>
      </c>
      <c r="J9" s="24"/>
      <c r="K9" s="25"/>
    </row>
    <row r="10" spans="1:11" ht="15.75">
      <c r="A10" s="57" t="str">
        <v>French River 5</v>
      </c>
      <c r="B10" s="22" t="str">
        <v>MA</v>
      </c>
      <c r="C10" s="40">
        <f ca="1">SUM('07-2024'!C10, '08-2024'!C10, '09-2024'!C10)</f>
        <v>0</v>
      </c>
      <c r="D10" s="40">
        <f ca="1">SUM('07-2024'!D10, '08-2024'!D10, '09-2024'!D10)</f>
        <v>0</v>
      </c>
      <c r="E10" s="40">
        <f t="shared" ca="1" si="0"/>
        <v>0</v>
      </c>
      <c r="F10" s="41">
        <f t="shared" ca="1" si="1"/>
        <v>0</v>
      </c>
      <c r="G10" s="42">
        <f ca="1">SUM('07-2024'!G10, '08-2024'!G10, '09-2024'!G10)</f>
        <v>0</v>
      </c>
      <c r="H10" s="42">
        <f t="shared" ca="1" si="2"/>
        <v>0</v>
      </c>
      <c r="I10" s="43">
        <f t="shared" ca="1" si="3"/>
        <v>0</v>
      </c>
      <c r="J10" s="21"/>
      <c r="K10" s="21"/>
    </row>
    <row r="11" spans="1:11" ht="15.75">
      <c r="A11" s="58" t="str">
        <v>French River 6</v>
      </c>
      <c r="B11" s="39" t="str">
        <v>MA</v>
      </c>
      <c r="C11" s="40">
        <f ca="1">SUM('07-2024'!C11, '08-2024'!C11, '09-2024'!C11)</f>
        <v>0</v>
      </c>
      <c r="D11" s="40">
        <f ca="1">SUM('07-2024'!D11, '08-2024'!D11, '09-2024'!D11)</f>
        <v>0</v>
      </c>
      <c r="E11" s="40">
        <f t="shared" ca="1" si="0"/>
        <v>0</v>
      </c>
      <c r="F11" s="41">
        <f t="shared" ca="1" si="1"/>
        <v>0</v>
      </c>
      <c r="G11" s="42">
        <f ca="1">SUM('07-2024'!G11, '08-2024'!G11, '09-2024'!G11)</f>
        <v>0</v>
      </c>
      <c r="H11" s="42">
        <f t="shared" ca="1" si="2"/>
        <v>0</v>
      </c>
      <c r="I11" s="43">
        <f t="shared" ca="1" si="3"/>
        <v>0</v>
      </c>
      <c r="J11" s="21"/>
      <c r="K11" s="21"/>
    </row>
    <row r="12" spans="1:11" ht="15.75">
      <c r="A12" s="57" t="str">
        <v>Stillwater River 1A</v>
      </c>
      <c r="B12" s="22" t="str">
        <v>MA</v>
      </c>
      <c r="C12" s="40">
        <f ca="1">SUM('07-2024'!C12, '08-2024'!C12, '09-2024'!C12)</f>
        <v>0</v>
      </c>
      <c r="D12" s="40">
        <f ca="1">SUM('07-2024'!D12, '08-2024'!D12, '09-2024'!D12)</f>
        <v>0</v>
      </c>
      <c r="E12" s="40">
        <f t="shared" ca="1" si="0"/>
        <v>0</v>
      </c>
      <c r="F12" s="41">
        <f t="shared" ca="1" si="1"/>
        <v>0</v>
      </c>
      <c r="G12" s="42">
        <f ca="1">SUM('07-2024'!G12, '08-2024'!G12, '09-2024'!G12)</f>
        <v>0</v>
      </c>
      <c r="H12" s="42">
        <f t="shared" ca="1" si="2"/>
        <v>0</v>
      </c>
      <c r="I12" s="43">
        <f t="shared" ca="1" si="3"/>
        <v>0</v>
      </c>
      <c r="J12" s="23"/>
      <c r="K12" s="23"/>
    </row>
    <row r="13" spans="1:11" ht="15.75">
      <c r="A13" s="58" t="str">
        <v>Stillwater River 2</v>
      </c>
      <c r="B13" s="39" t="str">
        <v>MA</v>
      </c>
      <c r="C13" s="40">
        <f ca="1">SUM('07-2024'!C13, '08-2024'!C13, '09-2024'!C13)</f>
        <v>0</v>
      </c>
      <c r="D13" s="40">
        <f ca="1">SUM('07-2024'!D13, '08-2024'!D13, '09-2024'!D13)</f>
        <v>0</v>
      </c>
      <c r="E13" s="40">
        <f t="shared" ca="1" si="0"/>
        <v>0</v>
      </c>
      <c r="F13" s="41">
        <f t="shared" ca="1" si="1"/>
        <v>0</v>
      </c>
      <c r="G13" s="42">
        <f ca="1">SUM('07-2024'!G13, '08-2024'!G13, '09-2024'!G13)</f>
        <v>0</v>
      </c>
      <c r="H13" s="42">
        <f t="shared" ca="1" si="2"/>
        <v>0</v>
      </c>
      <c r="I13" s="43">
        <f t="shared" ca="1" si="3"/>
        <v>0</v>
      </c>
      <c r="J13" s="21"/>
      <c r="K13" s="21"/>
    </row>
    <row r="14" spans="1:11" ht="15.75">
      <c r="A14" s="57" t="str">
        <v>Stillwater River 3</v>
      </c>
      <c r="B14" s="22" t="str">
        <v>MA</v>
      </c>
      <c r="C14" s="40">
        <f ca="1">SUM('07-2024'!C14, '08-2024'!C14, '09-2024'!C14)</f>
        <v>0</v>
      </c>
      <c r="D14" s="40">
        <f ca="1">SUM('07-2024'!D14, '08-2024'!D14, '09-2024'!D14)</f>
        <v>0</v>
      </c>
      <c r="E14" s="40">
        <f t="shared" ca="1" si="0"/>
        <v>0</v>
      </c>
      <c r="F14" s="41">
        <f t="shared" ca="1" si="1"/>
        <v>0</v>
      </c>
      <c r="G14" s="42">
        <f ca="1">SUM('07-2024'!G14, '08-2024'!G14, '09-2024'!G14)</f>
        <v>0</v>
      </c>
      <c r="H14" s="42">
        <f t="shared" ca="1" si="2"/>
        <v>0</v>
      </c>
      <c r="I14" s="43">
        <f t="shared" ca="1" si="3"/>
        <v>0</v>
      </c>
      <c r="J14" s="24"/>
      <c r="K14" s="25"/>
    </row>
    <row r="15" spans="1:11" ht="15.75">
      <c r="A15" s="58" t="str">
        <v>Stillwater River 4</v>
      </c>
      <c r="B15" s="39" t="str">
        <v>MA</v>
      </c>
      <c r="C15" s="40">
        <f ca="1">SUM('07-2024'!C15, '08-2024'!C15, '09-2024'!C15)</f>
        <v>0</v>
      </c>
      <c r="D15" s="40">
        <f ca="1">SUM('07-2024'!D15, '08-2024'!D15, '09-2024'!D15)</f>
        <v>0</v>
      </c>
      <c r="E15" s="40">
        <f t="shared" ca="1" si="0"/>
        <v>0</v>
      </c>
      <c r="F15" s="41">
        <f t="shared" ca="1" si="1"/>
        <v>0</v>
      </c>
      <c r="G15" s="42">
        <f ca="1">SUM('07-2024'!G15, '08-2024'!G15, '09-2024'!G15)</f>
        <v>0</v>
      </c>
      <c r="H15" s="42">
        <f t="shared" ca="1" si="2"/>
        <v>0</v>
      </c>
      <c r="I15" s="43">
        <f t="shared" ca="1" si="3"/>
        <v>0</v>
      </c>
      <c r="J15" s="21"/>
      <c r="K15" s="21"/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 ht="12.75" customHeight="1">
      <c r="A20" s="183" t="s">
        <v>13</v>
      </c>
      <c r="J20" s="9"/>
    </row>
    <row r="21" spans="1:10">
      <c r="A21" s="183"/>
      <c r="J21" s="9"/>
    </row>
  </sheetData>
  <autoFilter ref="A2:I2" xr:uid="{CACFAF7D-C0A7-49C0-9FFC-8D8BC8F00BC8}"/>
  <mergeCells count="8">
    <mergeCell ref="K1:K2"/>
    <mergeCell ref="A16:B16"/>
    <mergeCell ref="A18:A19"/>
    <mergeCell ref="A20:A21"/>
    <mergeCell ref="A1:B1"/>
    <mergeCell ref="C1:F1"/>
    <mergeCell ref="G1:I1"/>
    <mergeCell ref="J1:J2"/>
  </mergeCells>
  <conditionalFormatting sqref="F3:F16 I3:I16">
    <cfRule type="cellIs" dxfId="240" priority="1" operator="lessThanOrEqual">
      <formula>-0.1</formula>
    </cfRule>
    <cfRule type="cellIs" dxfId="23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2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16.14062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20</v>
      </c>
      <c r="D1" s="187"/>
      <c r="E1" s="187"/>
      <c r="F1" s="188"/>
      <c r="G1" s="189" t="s">
        <v>21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>
        <f ca="1">SUM('10-2024'!C3, '11-2024'!C3, '12-2024'!C3)</f>
        <v>0</v>
      </c>
      <c r="D3" s="40">
        <f ca="1">SUM('10-2024'!D3, '11-2024'!D3, '12-2024'!D3)</f>
        <v>0</v>
      </c>
      <c r="E3" s="40">
        <f ca="1">C3-D3</f>
        <v>0</v>
      </c>
      <c r="F3" s="41">
        <f ca="1">IFERROR(E3/C3, 0)</f>
        <v>0</v>
      </c>
      <c r="G3" s="42">
        <f ca="1">SUM('10-2024'!G3, '11-2024'!G3, '12-2024'!G3)</f>
        <v>0</v>
      </c>
      <c r="H3" s="42">
        <f ca="1">F3-G3</f>
        <v>0</v>
      </c>
      <c r="I3" s="43">
        <f ca="1">IFERROR(H3/F3, 0)</f>
        <v>0</v>
      </c>
      <c r="J3" s="21"/>
      <c r="K3" s="21"/>
    </row>
    <row r="4" spans="1:11" ht="15.75">
      <c r="A4" s="57" t="str">
        <v>Clara Barton</v>
      </c>
      <c r="B4" s="22" t="str">
        <v>MA</v>
      </c>
      <c r="C4" s="40">
        <f ca="1">SUM('10-2024'!C4, '11-2024'!C4, '12-2024'!C4)</f>
        <v>0</v>
      </c>
      <c r="D4" s="40">
        <f ca="1">SUM('10-2024'!D4, '11-2024'!D4, '12-2024'!D4)</f>
        <v>0</v>
      </c>
      <c r="E4" s="40">
        <f t="shared" ref="E4:E15" ca="1" si="0">C4-D4</f>
        <v>0</v>
      </c>
      <c r="F4" s="41">
        <f t="shared" ref="F4:F15" ca="1" si="1">IFERROR(E4/C4, 0)</f>
        <v>0</v>
      </c>
      <c r="G4" s="42">
        <f ca="1">SUM('10-2024'!G4, '11-2024'!G4, '12-2024'!G4)</f>
        <v>0</v>
      </c>
      <c r="H4" s="42">
        <f t="shared" ref="H4:H15" ca="1" si="2">F4-G4</f>
        <v>0</v>
      </c>
      <c r="I4" s="43">
        <f t="shared" ref="I4:I15" ca="1" si="3">IFERROR(H4/F4, 0)</f>
        <v>0</v>
      </c>
      <c r="J4" s="21"/>
      <c r="K4" s="21"/>
    </row>
    <row r="5" spans="1:11" ht="15.75">
      <c r="A5" s="58" t="str">
        <v>Fairhaven Solar</v>
      </c>
      <c r="B5" s="39" t="str">
        <v>MA</v>
      </c>
      <c r="C5" s="40">
        <f ca="1">SUM('10-2024'!C5, '11-2024'!C5, '12-2024'!C5)</f>
        <v>0</v>
      </c>
      <c r="D5" s="40">
        <f ca="1">SUM('10-2024'!D5, '11-2024'!D5, '12-2024'!D5)</f>
        <v>0</v>
      </c>
      <c r="E5" s="40">
        <f t="shared" ca="1" si="0"/>
        <v>0</v>
      </c>
      <c r="F5" s="41">
        <f t="shared" ca="1" si="1"/>
        <v>0</v>
      </c>
      <c r="G5" s="42">
        <f ca="1">SUM('10-2024'!G5, '11-2024'!G5, '12-2024'!G5)</f>
        <v>0</v>
      </c>
      <c r="H5" s="42">
        <f t="shared" ca="1" si="2"/>
        <v>0</v>
      </c>
      <c r="I5" s="43">
        <f t="shared" ca="1" si="3"/>
        <v>0</v>
      </c>
      <c r="J5" s="21"/>
      <c r="K5" s="21"/>
    </row>
    <row r="6" spans="1:11" ht="15.75">
      <c r="A6" s="57" t="str">
        <v>Plympton-1</v>
      </c>
      <c r="B6" s="22" t="str">
        <v>MA</v>
      </c>
      <c r="C6" s="40">
        <f ca="1">SUM('10-2024'!C6, '11-2024'!C6, '12-2024'!C6)</f>
        <v>0</v>
      </c>
      <c r="D6" s="40">
        <f ca="1">SUM('10-2024'!D6, '11-2024'!D6, '12-2024'!D6)</f>
        <v>0</v>
      </c>
      <c r="E6" s="40">
        <f t="shared" ca="1" si="0"/>
        <v>0</v>
      </c>
      <c r="F6" s="41">
        <f t="shared" ca="1" si="1"/>
        <v>0</v>
      </c>
      <c r="G6" s="42">
        <f ca="1">SUM('10-2024'!G6, '11-2024'!G6, '12-2024'!G6)</f>
        <v>0</v>
      </c>
      <c r="H6" s="42">
        <f t="shared" ca="1" si="2"/>
        <v>0</v>
      </c>
      <c r="I6" s="43">
        <f t="shared" ca="1" si="3"/>
        <v>0</v>
      </c>
      <c r="J6" s="21"/>
      <c r="K6" s="21"/>
    </row>
    <row r="7" spans="1:11" ht="15.75">
      <c r="A7" s="58" t="str">
        <v>French River 2</v>
      </c>
      <c r="B7" s="39" t="str">
        <v>MA</v>
      </c>
      <c r="C7" s="40">
        <f ca="1">SUM('10-2024'!C7, '11-2024'!C7, '12-2024'!C7)</f>
        <v>0</v>
      </c>
      <c r="D7" s="40">
        <f ca="1">SUM('10-2024'!D7, '11-2024'!D7, '12-2024'!D7)</f>
        <v>0</v>
      </c>
      <c r="E7" s="40">
        <f t="shared" ca="1" si="0"/>
        <v>0</v>
      </c>
      <c r="F7" s="41">
        <f t="shared" ca="1" si="1"/>
        <v>0</v>
      </c>
      <c r="G7" s="42">
        <f ca="1">SUM('10-2024'!G7, '11-2024'!G7, '12-2024'!G7)</f>
        <v>0</v>
      </c>
      <c r="H7" s="42">
        <f t="shared" ca="1" si="2"/>
        <v>0</v>
      </c>
      <c r="I7" s="43">
        <f t="shared" ca="1" si="3"/>
        <v>0</v>
      </c>
      <c r="J7" s="23"/>
      <c r="K7" s="23"/>
    </row>
    <row r="8" spans="1:11" ht="15.75">
      <c r="A8" s="57" t="str">
        <v>French River 3</v>
      </c>
      <c r="B8" s="22" t="str">
        <v>MA</v>
      </c>
      <c r="C8" s="40">
        <f ca="1">SUM('10-2024'!C8, '11-2024'!C8, '12-2024'!C8)</f>
        <v>0</v>
      </c>
      <c r="D8" s="40">
        <f ca="1">SUM('10-2024'!D8, '11-2024'!D8, '12-2024'!D8)</f>
        <v>0</v>
      </c>
      <c r="E8" s="40">
        <f t="shared" ca="1" si="0"/>
        <v>0</v>
      </c>
      <c r="F8" s="41">
        <f t="shared" ca="1" si="1"/>
        <v>0</v>
      </c>
      <c r="G8" s="42">
        <f ca="1">SUM('10-2024'!G8, '11-2024'!G8, '12-2024'!G8)</f>
        <v>0</v>
      </c>
      <c r="H8" s="42">
        <f t="shared" ca="1" si="2"/>
        <v>0</v>
      </c>
      <c r="I8" s="43">
        <f t="shared" ca="1" si="3"/>
        <v>0</v>
      </c>
      <c r="J8" s="21"/>
      <c r="K8" s="21"/>
    </row>
    <row r="9" spans="1:11" ht="15.75">
      <c r="A9" s="58" t="str">
        <v>French River 4</v>
      </c>
      <c r="B9" s="39" t="str">
        <v>MA</v>
      </c>
      <c r="C9" s="40">
        <f ca="1">SUM('10-2024'!C9, '11-2024'!C9, '12-2024'!C9)</f>
        <v>0</v>
      </c>
      <c r="D9" s="40">
        <f ca="1">SUM('10-2024'!D9, '11-2024'!D9, '12-2024'!D9)</f>
        <v>0</v>
      </c>
      <c r="E9" s="40">
        <f t="shared" ca="1" si="0"/>
        <v>0</v>
      </c>
      <c r="F9" s="41">
        <f t="shared" ca="1" si="1"/>
        <v>0</v>
      </c>
      <c r="G9" s="42">
        <f ca="1">SUM('10-2024'!G9, '11-2024'!G9, '12-2024'!G9)</f>
        <v>0</v>
      </c>
      <c r="H9" s="42">
        <f t="shared" ca="1" si="2"/>
        <v>0</v>
      </c>
      <c r="I9" s="43">
        <f t="shared" ca="1" si="3"/>
        <v>0</v>
      </c>
      <c r="J9" s="24"/>
      <c r="K9" s="25"/>
    </row>
    <row r="10" spans="1:11" ht="15.75">
      <c r="A10" s="57" t="str">
        <v>French River 5</v>
      </c>
      <c r="B10" s="22" t="str">
        <v>MA</v>
      </c>
      <c r="C10" s="40">
        <f ca="1">SUM('10-2024'!C10, '11-2024'!C10, '12-2024'!C10)</f>
        <v>0</v>
      </c>
      <c r="D10" s="40">
        <f ca="1">SUM('10-2024'!D10, '11-2024'!D10, '12-2024'!D10)</f>
        <v>0</v>
      </c>
      <c r="E10" s="40">
        <f t="shared" ca="1" si="0"/>
        <v>0</v>
      </c>
      <c r="F10" s="41">
        <f t="shared" ca="1" si="1"/>
        <v>0</v>
      </c>
      <c r="G10" s="42">
        <f ca="1">SUM('10-2024'!G10, '11-2024'!G10, '12-2024'!G10)</f>
        <v>0</v>
      </c>
      <c r="H10" s="42">
        <f t="shared" ca="1" si="2"/>
        <v>0</v>
      </c>
      <c r="I10" s="43">
        <f t="shared" ca="1" si="3"/>
        <v>0</v>
      </c>
      <c r="J10" s="21"/>
      <c r="K10" s="21"/>
    </row>
    <row r="11" spans="1:11" ht="15.75">
      <c r="A11" s="58" t="str">
        <v>French River 6</v>
      </c>
      <c r="B11" s="39" t="str">
        <v>MA</v>
      </c>
      <c r="C11" s="40">
        <f ca="1">SUM('10-2024'!C11, '11-2024'!C11, '12-2024'!C11)</f>
        <v>0</v>
      </c>
      <c r="D11" s="40">
        <f ca="1">SUM('10-2024'!D11, '11-2024'!D11, '12-2024'!D11)</f>
        <v>0</v>
      </c>
      <c r="E11" s="40">
        <f t="shared" ca="1" si="0"/>
        <v>0</v>
      </c>
      <c r="F11" s="41">
        <f t="shared" ca="1" si="1"/>
        <v>0</v>
      </c>
      <c r="G11" s="42">
        <f ca="1">SUM('10-2024'!G11, '11-2024'!G11, '12-2024'!G11)</f>
        <v>0</v>
      </c>
      <c r="H11" s="42">
        <f t="shared" ca="1" si="2"/>
        <v>0</v>
      </c>
      <c r="I11" s="43">
        <f t="shared" ca="1" si="3"/>
        <v>0</v>
      </c>
      <c r="J11" s="21"/>
      <c r="K11" s="21"/>
    </row>
    <row r="12" spans="1:11" ht="15.75">
      <c r="A12" s="57" t="str">
        <v>Stillwater River 1A</v>
      </c>
      <c r="B12" s="22" t="str">
        <v>MA</v>
      </c>
      <c r="C12" s="40">
        <f ca="1">SUM('10-2024'!C12, '11-2024'!C12, '12-2024'!C12)</f>
        <v>0</v>
      </c>
      <c r="D12" s="40">
        <f ca="1">SUM('10-2024'!D12, '11-2024'!D12, '12-2024'!D12)</f>
        <v>0</v>
      </c>
      <c r="E12" s="40">
        <f t="shared" ca="1" si="0"/>
        <v>0</v>
      </c>
      <c r="F12" s="41">
        <f t="shared" ca="1" si="1"/>
        <v>0</v>
      </c>
      <c r="G12" s="42">
        <f ca="1">SUM('10-2024'!G12, '11-2024'!G12, '12-2024'!G12)</f>
        <v>0</v>
      </c>
      <c r="H12" s="42">
        <f t="shared" ca="1" si="2"/>
        <v>0</v>
      </c>
      <c r="I12" s="43">
        <f t="shared" ca="1" si="3"/>
        <v>0</v>
      </c>
      <c r="J12" s="23"/>
      <c r="K12" s="23"/>
    </row>
    <row r="13" spans="1:11" ht="15.75">
      <c r="A13" s="58" t="str">
        <v>Stillwater River 2</v>
      </c>
      <c r="B13" s="39" t="str">
        <v>MA</v>
      </c>
      <c r="C13" s="40">
        <f ca="1">SUM('10-2024'!C13, '11-2024'!C13, '12-2024'!C13)</f>
        <v>0</v>
      </c>
      <c r="D13" s="40">
        <f ca="1">SUM('10-2024'!D13, '11-2024'!D13, '12-2024'!D13)</f>
        <v>0</v>
      </c>
      <c r="E13" s="40">
        <f t="shared" ca="1" si="0"/>
        <v>0</v>
      </c>
      <c r="F13" s="41">
        <f t="shared" ca="1" si="1"/>
        <v>0</v>
      </c>
      <c r="G13" s="42">
        <f ca="1">SUM('10-2024'!G13, '11-2024'!G13, '12-2024'!G13)</f>
        <v>0</v>
      </c>
      <c r="H13" s="42">
        <f t="shared" ca="1" si="2"/>
        <v>0</v>
      </c>
      <c r="I13" s="43">
        <f t="shared" ca="1" si="3"/>
        <v>0</v>
      </c>
      <c r="J13" s="21"/>
      <c r="K13" s="21"/>
    </row>
    <row r="14" spans="1:11" ht="15.75">
      <c r="A14" s="57" t="str">
        <v>Stillwater River 3</v>
      </c>
      <c r="B14" s="22" t="str">
        <v>MA</v>
      </c>
      <c r="C14" s="40">
        <f ca="1">SUM('10-2024'!C14, '11-2024'!C14, '12-2024'!C14)</f>
        <v>0</v>
      </c>
      <c r="D14" s="40">
        <f ca="1">SUM('10-2024'!D14, '11-2024'!D14, '12-2024'!D14)</f>
        <v>0</v>
      </c>
      <c r="E14" s="40">
        <f t="shared" ca="1" si="0"/>
        <v>0</v>
      </c>
      <c r="F14" s="41">
        <f t="shared" ca="1" si="1"/>
        <v>0</v>
      </c>
      <c r="G14" s="42">
        <f ca="1">SUM('10-2024'!G14, '11-2024'!G14, '12-2024'!G14)</f>
        <v>0</v>
      </c>
      <c r="H14" s="42">
        <f t="shared" ca="1" si="2"/>
        <v>0</v>
      </c>
      <c r="I14" s="43">
        <f t="shared" ca="1" si="3"/>
        <v>0</v>
      </c>
      <c r="J14" s="24"/>
      <c r="K14" s="25"/>
    </row>
    <row r="15" spans="1:11" ht="15.75">
      <c r="A15" s="58" t="str">
        <v>Stillwater River 4</v>
      </c>
      <c r="B15" s="39" t="str">
        <v>MA</v>
      </c>
      <c r="C15" s="40">
        <f ca="1">SUM('10-2024'!C15, '11-2024'!C15, '12-2024'!C15)</f>
        <v>0</v>
      </c>
      <c r="D15" s="40">
        <f ca="1">SUM('10-2024'!D15, '11-2024'!D15, '12-2024'!D15)</f>
        <v>0</v>
      </c>
      <c r="E15" s="40">
        <f t="shared" ca="1" si="0"/>
        <v>0</v>
      </c>
      <c r="F15" s="41">
        <f t="shared" ca="1" si="1"/>
        <v>0</v>
      </c>
      <c r="G15" s="42">
        <f ca="1">SUM('10-2024'!G15, '11-2024'!G15, '12-2024'!G15)</f>
        <v>0</v>
      </c>
      <c r="H15" s="42">
        <f t="shared" ca="1" si="2"/>
        <v>0</v>
      </c>
      <c r="I15" s="43">
        <f t="shared" ca="1" si="3"/>
        <v>0</v>
      </c>
      <c r="J15" s="21"/>
      <c r="K15" s="21"/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CE62352A-0CAA-4862-87B6-A6A1C7531211}"/>
  <mergeCells count="8">
    <mergeCell ref="K1:K2"/>
    <mergeCell ref="A16:B16"/>
    <mergeCell ref="A18:A19"/>
    <mergeCell ref="A20:A21"/>
    <mergeCell ref="A1:B1"/>
    <mergeCell ref="C1:F1"/>
    <mergeCell ref="G1:I1"/>
    <mergeCell ref="J1:J2"/>
  </mergeCells>
  <conditionalFormatting sqref="F3:F16 I3:I16">
    <cfRule type="cellIs" dxfId="238" priority="1" operator="lessThanOrEqual">
      <formula>-0.1</formula>
    </cfRule>
    <cfRule type="cellIs" dxfId="23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22"/>
  <sheetViews>
    <sheetView tabSelected="1" workbookViewId="0">
      <pane ySplit="2" topLeftCell="A3" activePane="bottomLeft" state="frozen"/>
      <selection pane="bottomLeft" activeCell="J22" sqref="J22"/>
      <selection activeCell="C1" sqref="C1:I1"/>
    </sheetView>
  </sheetViews>
  <sheetFormatPr defaultRowHeight="12.75" customHeight="1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99.710937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22</v>
      </c>
      <c r="D1" s="187"/>
      <c r="E1" s="187"/>
      <c r="F1" s="188"/>
      <c r="G1" s="189" t="s">
        <v>23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57">
      <c r="A3" s="56" t="str" cm="1">
        <f t="array" ref="A3:A15">Sites[Site]</f>
        <v>Grafton II</v>
      </c>
      <c r="B3" s="38" t="str" cm="1">
        <f t="array" ref="B3:B15">Sites[State]</f>
        <v>MA</v>
      </c>
      <c r="C3" s="40" cm="1">
        <f t="array" aca="1" ref="C3:K3" ca="1">IF(INDIRECT("'" &amp; $A3 &amp; "'!B5:J5")="", "", INDIRECT("'" &amp; $A3 &amp; "'!B5:J5"))</f>
        <v>108788.84079602</v>
      </c>
      <c r="D3" s="40">
        <f ca="1"/>
        <v>176557</v>
      </c>
      <c r="E3" s="40">
        <f ca="1"/>
        <v>-67768.159203980002</v>
      </c>
      <c r="F3" s="41">
        <f ca="1"/>
        <v>-0.38383161927298265</v>
      </c>
      <c r="G3" s="42">
        <f ca="1"/>
        <v>245116</v>
      </c>
      <c r="H3" s="42">
        <f ca="1"/>
        <v>-136327.15920398</v>
      </c>
      <c r="I3" s="43">
        <f ca="1"/>
        <v>-0.55617405311762591</v>
      </c>
      <c r="J3" s="89" t="str">
        <f ca="1"/>
        <v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v>
      </c>
      <c r="K3" s="89" t="str">
        <f ca="1"/>
        <v>1. SR080136
2. SR080158
3. SR080474</v>
      </c>
    </row>
    <row r="4" spans="1:11" ht="28.5">
      <c r="A4" s="57" t="str">
        <v>Clara Barton</v>
      </c>
      <c r="B4" s="22" t="str">
        <v>MA</v>
      </c>
      <c r="C4" s="40" cm="1">
        <f t="array" aca="1" ref="C4:K4" ca="1">IF(INDIRECT("'" &amp; $A4 &amp; "'!B5:J5")="", "", INDIRECT("'" &amp; $A4 &amp; "'!B5:J5"))</f>
        <v>41686.144680853897</v>
      </c>
      <c r="D4" s="40">
        <f ca="1"/>
        <v>61398.720000000001</v>
      </c>
      <c r="E4" s="40">
        <f ca="1"/>
        <v>-19712.575319146104</v>
      </c>
      <c r="F4" s="44">
        <f ca="1"/>
        <v>-0.32105840836985045</v>
      </c>
      <c r="G4" s="42">
        <f ca="1"/>
        <v>84576.48</v>
      </c>
      <c r="H4" s="42">
        <f ca="1"/>
        <v>-42890.335319146099</v>
      </c>
      <c r="I4" s="45">
        <f ca="1"/>
        <v>-0.50711894511507338</v>
      </c>
      <c r="J4" s="89" t="str">
        <f ca="1"/>
        <v>1. Inverter 5.8 has tripped offline on 01/17 at 12:00 and back oline on 01/17 at 15:00.
2. Site tripped offline on 01/26 at 18:45 and back online on 01/27 at 10:45AM</v>
      </c>
      <c r="K4" s="89" t="str">
        <f ca="1"/>
        <v>1. SR080289
2. SR080520</v>
      </c>
    </row>
    <row r="5" spans="1:11" ht="57">
      <c r="A5" s="58" t="str">
        <v>Fairhaven Solar</v>
      </c>
      <c r="B5" s="39" t="str">
        <v>MA</v>
      </c>
      <c r="C5" s="40" cm="1">
        <f t="array" aca="1" ref="C5:K5" ca="1">IF(INDIRECT("'" &amp; $A5 &amp; "'!B5:J5")="", "", INDIRECT("'" &amp; $A5 &amp; "'!B5:J5"))</f>
        <v>55436</v>
      </c>
      <c r="D5" s="40">
        <f ca="1"/>
        <v>67352.87</v>
      </c>
      <c r="E5" s="40">
        <f ca="1"/>
        <v>-11916.869999999995</v>
      </c>
      <c r="F5" s="44">
        <f ca="1"/>
        <v>-0.17693188129919329</v>
      </c>
      <c r="G5" s="42">
        <f ca="1"/>
        <v>63727.01</v>
      </c>
      <c r="H5" s="42">
        <f ca="1"/>
        <v>-8291.010000000002</v>
      </c>
      <c r="I5" s="45">
        <f ca="1"/>
        <v>-0.13010197716792302</v>
      </c>
      <c r="J5" s="89" t="str">
        <f ca="1"/>
        <v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v>
      </c>
      <c r="K5" s="89" t="str">
        <f ca="1"/>
        <v>1. SR080159
2. SR080243
1. SR080152</v>
      </c>
    </row>
    <row r="6" spans="1:11" ht="15.75">
      <c r="A6" s="57" t="str">
        <v>Plympton-1</v>
      </c>
      <c r="B6" s="22" t="str">
        <v>MA</v>
      </c>
      <c r="C6" s="40" cm="1">
        <f t="array" aca="1" ref="C6:K6" ca="1">IF(INDIRECT("'" &amp; $A6 &amp; "'!B5:J5")="", "", INDIRECT("'" &amp; $A6 &amp; "'!B5:J5"))</f>
        <v>67619</v>
      </c>
      <c r="D6" s="40">
        <f ca="1"/>
        <v>73871.03</v>
      </c>
      <c r="E6" s="40">
        <f ca="1"/>
        <v>-6252.0299999999988</v>
      </c>
      <c r="F6" s="44">
        <f ca="1"/>
        <v>-8.4634395919482894E-2</v>
      </c>
      <c r="G6" s="42">
        <f ca="1"/>
        <v>79420.95</v>
      </c>
      <c r="H6" s="42">
        <f ca="1"/>
        <v>-11801.949999999997</v>
      </c>
      <c r="I6" s="45">
        <f ca="1"/>
        <v>-0.14859996008609816</v>
      </c>
      <c r="J6" s="89" t="str">
        <f ca="1"/>
        <v/>
      </c>
      <c r="K6" s="89" t="str">
        <f ca="1"/>
        <v/>
      </c>
    </row>
    <row r="7" spans="1:11" ht="15.75">
      <c r="A7" s="58" t="str">
        <v>French River 2</v>
      </c>
      <c r="B7" s="39" t="str">
        <v>MA</v>
      </c>
      <c r="C7" s="40" cm="1">
        <f t="array" aca="1" ref="C7:K7" ca="1">IF(INDIRECT("'" &amp; $A7 &amp; "'!B5:J5")="", "", INDIRECT("'" &amp; $A7 &amp; "'!B5:J5"))</f>
        <v>41541.11</v>
      </c>
      <c r="D7" s="40">
        <f ca="1"/>
        <v>80016.27</v>
      </c>
      <c r="E7" s="40">
        <f ca="1"/>
        <v>-38475.160000000003</v>
      </c>
      <c r="F7" s="44">
        <f ca="1"/>
        <v>-0.48084170881746929</v>
      </c>
      <c r="G7" s="42">
        <f ca="1"/>
        <v>78833</v>
      </c>
      <c r="H7" s="42">
        <f ca="1"/>
        <v>-37291.89</v>
      </c>
      <c r="I7" s="45">
        <f ca="1"/>
        <v>-0.47304923065213805</v>
      </c>
      <c r="J7" s="89" t="str">
        <f ca="1"/>
        <v>01. Site was tripped offline on 01/26 at 18:00 and back online at 01/27 at 8:00 AM.</v>
      </c>
      <c r="K7" s="89" t="str">
        <f ca="1"/>
        <v>1. SR080519</v>
      </c>
    </row>
    <row r="8" spans="1:11" ht="15.75">
      <c r="A8" s="57" t="str">
        <v>French River 3</v>
      </c>
      <c r="B8" s="22" t="str">
        <v>MA</v>
      </c>
      <c r="C8" s="40" cm="1">
        <f t="array" aca="1" ref="C8:K8" ca="1">IF(INDIRECT("'" &amp; $A8 &amp; "'!B5:J5")="", "", INDIRECT("'" &amp; $A8 &amp; "'!B5:J5"))</f>
        <v>86149.119999999995</v>
      </c>
      <c r="D8" s="40">
        <f ca="1"/>
        <v>150506.79999999999</v>
      </c>
      <c r="E8" s="40">
        <f ca="1"/>
        <v>-64357.679999999993</v>
      </c>
      <c r="F8" s="44">
        <f ca="1"/>
        <v>-0.42760646030611238</v>
      </c>
      <c r="G8" s="42">
        <f ca="1"/>
        <v>151308.70000000001</v>
      </c>
      <c r="H8" s="42">
        <f ca="1"/>
        <v>-65159.580000000016</v>
      </c>
      <c r="I8" s="45">
        <f ca="1"/>
        <v>-0.43064000946409564</v>
      </c>
      <c r="J8" s="89" t="str">
        <f ca="1"/>
        <v>01. Site was tripped offline on 01/26 at 18:00 and back online at 01/27 at 8:00 AM.</v>
      </c>
      <c r="K8" s="89" t="str">
        <f ca="1"/>
        <v>1. SR080519</v>
      </c>
    </row>
    <row r="9" spans="1:11" ht="15.75">
      <c r="A9" s="58" t="str">
        <v>French River 4</v>
      </c>
      <c r="B9" s="39" t="str">
        <v>MA</v>
      </c>
      <c r="C9" s="40" cm="1">
        <f t="array" aca="1" ref="C9:K9" ca="1">IF(INDIRECT("'" &amp; $A9 &amp; "'!B5:J5")="", "", INDIRECT("'" &amp; $A9 &amp; "'!B5:J5"))</f>
        <v>85549.466400001198</v>
      </c>
      <c r="D9" s="40">
        <f ca="1"/>
        <v>154184.79999999999</v>
      </c>
      <c r="E9" s="40">
        <f ca="1"/>
        <v>-68635.33359999879</v>
      </c>
      <c r="F9" s="44">
        <f ca="1"/>
        <v>-0.44514980464999659</v>
      </c>
      <c r="G9" s="42">
        <f ca="1"/>
        <v>157760</v>
      </c>
      <c r="H9" s="42">
        <f ca="1"/>
        <v>-72210.533599998802</v>
      </c>
      <c r="I9" s="45">
        <f ca="1"/>
        <v>-0.45772397058822772</v>
      </c>
      <c r="J9" s="89" t="str">
        <f ca="1"/>
        <v>01. Site was tripped offline on 01/26 at 18:00 and back online at 01/27 at 8:00 AM.</v>
      </c>
      <c r="K9" s="89" t="str">
        <f ca="1"/>
        <v>1. SR080519</v>
      </c>
    </row>
    <row r="10" spans="1:11" ht="30.75">
      <c r="A10" s="57" t="str">
        <v>French River 5</v>
      </c>
      <c r="B10" s="22" t="str">
        <v>MA</v>
      </c>
      <c r="C10" s="40" cm="1">
        <f t="array" aca="1" ref="C10:K10" ca="1">IF(INDIRECT("'" &amp; $A10 &amp; "'!B5:J5")="", "", INDIRECT("'" &amp; $A10 &amp; "'!B5:J5"))</f>
        <v>83292.5</v>
      </c>
      <c r="D10" s="40">
        <f ca="1"/>
        <v>147678.6</v>
      </c>
      <c r="E10" s="40">
        <f ca="1"/>
        <v>-64386.100000000006</v>
      </c>
      <c r="F10" s="44">
        <f ca="1"/>
        <v>-0.43598801722118169</v>
      </c>
      <c r="G10" s="42">
        <f ca="1"/>
        <v>154754.9</v>
      </c>
      <c r="H10" s="42">
        <f ca="1"/>
        <v>-71462.399999999994</v>
      </c>
      <c r="I10" s="45">
        <f ca="1"/>
        <v>-0.46177794693415197</v>
      </c>
      <c r="J10" s="89" t="str">
        <f ca="1"/>
        <v>1. Inverter 62 is offline on 01/14 and later back online on 01/15
2. Site was tripped offline on 01/26 at 18:00 and back online at 01/27 at 8:00 AM.</v>
      </c>
      <c r="K10" s="89" t="str">
        <f ca="1"/>
        <v>1. SR080199
2. SR080519</v>
      </c>
    </row>
    <row r="11" spans="1:11" ht="76.5">
      <c r="A11" s="58" t="str">
        <v>French River 6</v>
      </c>
      <c r="B11" s="39" t="str">
        <v>MA</v>
      </c>
      <c r="C11" s="40" cm="1">
        <f t="array" aca="1" ref="C11:K11" ca="1">IF(INDIRECT("'" &amp; $A11 &amp; "'!B5:J5")="", "", INDIRECT("'" &amp; $A11 &amp; "'!B5:J5"))</f>
        <v>78703</v>
      </c>
      <c r="D11" s="40">
        <f ca="1"/>
        <v>125159</v>
      </c>
      <c r="E11" s="40">
        <f ca="1"/>
        <v>-46456</v>
      </c>
      <c r="F11" s="44">
        <f ca="1"/>
        <v>-0.37117586430060961</v>
      </c>
      <c r="G11" s="42">
        <f ca="1"/>
        <v>148483.1</v>
      </c>
      <c r="H11" s="42">
        <f ca="1"/>
        <v>-69780.100000000006</v>
      </c>
      <c r="I11" s="45">
        <f ca="1"/>
        <v>-0.4699531461829663</v>
      </c>
      <c r="J11" s="89" t="str">
        <f ca="1"/>
        <v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v>
      </c>
      <c r="K11" s="89" t="str">
        <f ca="1"/>
        <v>1. SR080195
2. SR080198
3. SR080402
4. SR080519</v>
      </c>
    </row>
    <row r="12" spans="1:11" ht="15.75">
      <c r="A12" s="57" t="str">
        <v>Stillwater River 1A</v>
      </c>
      <c r="B12" s="22" t="str">
        <v>MA</v>
      </c>
      <c r="C12" s="40" cm="1">
        <f t="array" aca="1" ref="C12:K12" ca="1">IF(INDIRECT("'" &amp; $A12 &amp; "'!B5:J5")="", "", INDIRECT("'" &amp; $A12 &amp; "'!B5:J5"))</f>
        <v>21302</v>
      </c>
      <c r="D12" s="40">
        <f ca="1"/>
        <v>36938.76</v>
      </c>
      <c r="E12" s="40">
        <f ca="1"/>
        <v>-15636.760000000002</v>
      </c>
      <c r="F12" s="44">
        <f ca="1"/>
        <v>-0.42331577995579717</v>
      </c>
      <c r="G12" s="42">
        <f ca="1"/>
        <v>38086.07</v>
      </c>
      <c r="H12" s="42">
        <f ca="1"/>
        <v>-16784.07</v>
      </c>
      <c r="I12" s="45">
        <f ca="1"/>
        <v>-0.44068789455042223</v>
      </c>
      <c r="J12" s="89" t="str">
        <f ca="1"/>
        <v>01. Site was tripped offline on 01/26 at 18:00 and back online at 01/27 at 8:00 AM.</v>
      </c>
      <c r="K12" s="89" t="str">
        <f ca="1"/>
        <v>1. SR080519</v>
      </c>
    </row>
    <row r="13" spans="1:11" ht="15.75">
      <c r="A13" s="58" t="str">
        <v>Stillwater River 2</v>
      </c>
      <c r="B13" s="39" t="str">
        <v>MA</v>
      </c>
      <c r="C13" s="40" cm="1">
        <f t="array" aca="1" ref="C13:K13" ca="1">IF(INDIRECT("'" &amp; $A13 &amp; "'!B5:J5")="", "", INDIRECT("'" &amp; $A13 &amp; "'!B5:J5"))</f>
        <v>44604.120000000097</v>
      </c>
      <c r="D13" s="40">
        <f ca="1"/>
        <v>82849.679999999993</v>
      </c>
      <c r="E13" s="40">
        <f ca="1"/>
        <v>-38245.559999999896</v>
      </c>
      <c r="F13" s="44">
        <f ca="1"/>
        <v>-0.46162592299692529</v>
      </c>
      <c r="G13" s="42">
        <f ca="1"/>
        <v>79775.59</v>
      </c>
      <c r="H13" s="42">
        <f ca="1"/>
        <v>-35171.469999999899</v>
      </c>
      <c r="I13" s="45">
        <f ca="1"/>
        <v>-0.44088009878710893</v>
      </c>
      <c r="J13" s="89" t="str">
        <f ca="1"/>
        <v>01. Site was tripped offline on 01/26 at 18:00 and back online at 01/27 at 8:00 AM.</v>
      </c>
      <c r="K13" s="89" t="str">
        <f ca="1"/>
        <v>1. SR080519</v>
      </c>
    </row>
    <row r="14" spans="1:11" ht="15.75">
      <c r="A14" s="57" t="str">
        <v>Stillwater River 3</v>
      </c>
      <c r="B14" s="22" t="str">
        <v>MA</v>
      </c>
      <c r="C14" s="40" cm="1">
        <f t="array" aca="1" ref="C14:K14" ca="1">IF(INDIRECT("'" &amp; $A14 &amp; "'!B5:J5")="", "", INDIRECT("'" &amp; $A14 &amp; "'!B5:J5"))</f>
        <v>44552</v>
      </c>
      <c r="D14" s="40">
        <f ca="1"/>
        <v>81817.759999999995</v>
      </c>
      <c r="E14" s="40">
        <f ca="1"/>
        <v>-37265.759999999995</v>
      </c>
      <c r="F14" s="44">
        <f ca="1"/>
        <v>-0.45547274821505745</v>
      </c>
      <c r="G14" s="42">
        <f ca="1"/>
        <v>78530.19</v>
      </c>
      <c r="H14" s="42">
        <f ca="1"/>
        <v>-33978.19</v>
      </c>
      <c r="I14" s="45">
        <f ca="1"/>
        <v>-0.43267678328551096</v>
      </c>
      <c r="J14" s="89" t="str">
        <f ca="1"/>
        <v>01. Site was tripped offline on 01/26 at 18:00 and back online at 01/27 at 8:00 AM.</v>
      </c>
      <c r="K14" s="89" t="str">
        <f ca="1"/>
        <v>1. SR080519</v>
      </c>
    </row>
    <row r="15" spans="1:11" ht="15.75">
      <c r="A15" s="58" t="str">
        <v>Stillwater River 4</v>
      </c>
      <c r="B15" s="39" t="str">
        <v>MA</v>
      </c>
      <c r="C15" s="40" cm="1">
        <f t="array" aca="1" ref="C15:K15" ca="1">IF(INDIRECT("'" &amp; $A15 &amp; "'!B5:J5")="", "", INDIRECT("'" &amp; $A15 &amp; "'!B5:J5"))</f>
        <v>18009.3125</v>
      </c>
      <c r="D15" s="46">
        <f ca="1"/>
        <v>32813.839999999997</v>
      </c>
      <c r="E15" s="46">
        <f ca="1"/>
        <v>-14804.527499999997</v>
      </c>
      <c r="F15" s="47">
        <f ca="1"/>
        <v>-0.45116717519193117</v>
      </c>
      <c r="G15" s="48">
        <f ca="1"/>
        <v>35648.47</v>
      </c>
      <c r="H15" s="48">
        <f ca="1"/>
        <v>-17639.157500000001</v>
      </c>
      <c r="I15" s="49">
        <f ca="1"/>
        <v>-0.49480826245838883</v>
      </c>
      <c r="J15" s="89" t="str">
        <f ca="1"/>
        <v>01. Site was tripped offline on 01/26 at 18:00 and back online at 01/27 at 8:00 AM.</v>
      </c>
      <c r="K15" s="89" t="str">
        <f ca="1"/>
        <v>1. SR080519</v>
      </c>
    </row>
    <row r="16" spans="1:11" ht="24.75" customHeight="1">
      <c r="A16" s="180" t="s">
        <v>11</v>
      </c>
      <c r="B16" s="181"/>
      <c r="C16" s="59">
        <f ca="1">SUM(C3:C15)</f>
        <v>777232.61437687522</v>
      </c>
      <c r="D16" s="59">
        <f ca="1">SUM(D3:D15)</f>
        <v>1271145.1299999999</v>
      </c>
      <c r="E16" s="59">
        <f ca="1">C16-D16</f>
        <v>-493912.51562312467</v>
      </c>
      <c r="F16" s="50">
        <f ca="1">IFERROR(E16/D16, 0)</f>
        <v>-0.38855713951649623</v>
      </c>
      <c r="G16" s="59">
        <f ca="1">SUM(G3:G15)</f>
        <v>1396020.46</v>
      </c>
      <c r="H16" s="60">
        <f ca="1">C16-G16</f>
        <v>-618787.84562312474</v>
      </c>
      <c r="I16" s="51">
        <f ca="1">IFERROR(H16/G16, 0)</f>
        <v>-0.44325127270923004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B0362DDA-D4B4-4F79-9A5D-D43AD85A6C79}"/>
  <mergeCells count="8">
    <mergeCell ref="A18:A19"/>
    <mergeCell ref="A20:A21"/>
    <mergeCell ref="A16:B16"/>
    <mergeCell ref="K1:K2"/>
    <mergeCell ref="C1:F1"/>
    <mergeCell ref="G1:I1"/>
    <mergeCell ref="A1:B1"/>
    <mergeCell ref="J1:J2"/>
  </mergeCells>
  <conditionalFormatting sqref="F3:F16 I3:I16">
    <cfRule type="cellIs" dxfId="236" priority="4" operator="lessThanOrEqual">
      <formula>-0.1</formula>
    </cfRule>
    <cfRule type="cellIs" dxfId="235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2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24</v>
      </c>
      <c r="D1" s="187"/>
      <c r="E1" s="187"/>
      <c r="F1" s="188"/>
      <c r="G1" s="189" t="s">
        <v>25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"'!B6:J6")="", "", INDIRECT("'" &amp; $A3 &amp; "'!B6:J6"))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93" t="str">
        <f ca="1"/>
        <v/>
      </c>
      <c r="K3" s="89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"'!B6:J6")="", "", INDIRECT("'" &amp; $A4 &amp; "'!B6:J6"))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93" t="str">
        <f ca="1"/>
        <v/>
      </c>
      <c r="K4" s="89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"'!B6:J6")="", "", INDIRECT("'" &amp; $A5 &amp; "'!B6:J6"))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93" t="str">
        <f ca="1"/>
        <v/>
      </c>
      <c r="K5" s="89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"'!B6:J6")="", "", INDIRECT("'" &amp; $A6 &amp; "'!B6:J6"))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93" t="str">
        <f ca="1"/>
        <v/>
      </c>
      <c r="K6" s="89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"'!B6:J6")="", "", INDIRECT("'" &amp; $A7 &amp; "'!B6:J6"))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94" t="str">
        <f ca="1"/>
        <v/>
      </c>
      <c r="K7" s="89" t="str">
        <f ca="1"/>
        <v/>
      </c>
    </row>
    <row r="8" spans="1:11" ht="15.75">
      <c r="A8" s="57" t="str">
        <v>French River 3</v>
      </c>
      <c r="B8" s="22" t="str">
        <v>MA</v>
      </c>
      <c r="C8" s="40" t="str" cm="1">
        <f t="array" aca="1" ref="C8:K8" ca="1">IF(INDIRECT("'" &amp; $A8 &amp; "'!B6:J6")="", "", INDIRECT("'" &amp; $A8 &amp; "'!B6:J6"))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93" t="str">
        <f ca="1"/>
        <v/>
      </c>
      <c r="K8" s="87" t="str">
        <f ca="1"/>
        <v/>
      </c>
    </row>
    <row r="9" spans="1:11" ht="15.75">
      <c r="A9" s="58" t="str">
        <v>French River 4</v>
      </c>
      <c r="B9" s="39" t="str">
        <v>MA</v>
      </c>
      <c r="C9" s="40" t="str" cm="1">
        <f t="array" aca="1" ref="C9:K9" ca="1">IF(INDIRECT("'" &amp; $A9 &amp; "'!B6:J6")="", "", INDIRECT("'" &amp; $A9 &amp; "'!B6:J6"))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89" t="str">
        <f ca="1"/>
        <v/>
      </c>
      <c r="K9" s="89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"'!B6:J6")="", "", INDIRECT("'" &amp; $A10 &amp; "'!B6:J6"))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93" t="str">
        <f ca="1"/>
        <v/>
      </c>
      <c r="K10" s="87" t="str">
        <f ca="1"/>
        <v/>
      </c>
    </row>
    <row r="11" spans="1:11" ht="15.75">
      <c r="A11" s="58" t="str">
        <v>French River 6</v>
      </c>
      <c r="B11" s="39" t="str">
        <v>MA</v>
      </c>
      <c r="C11" s="40" t="str" cm="1">
        <f t="array" aca="1" ref="C11:K11" ca="1">IF(INDIRECT("'" &amp; $A11 &amp; "'!B6:J6")="", "", INDIRECT("'" &amp; $A11 &amp; "'!B6:J6"))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93" t="str">
        <f ca="1"/>
        <v/>
      </c>
      <c r="K11" s="87" t="str">
        <f ca="1"/>
        <v/>
      </c>
    </row>
    <row r="12" spans="1:11" ht="15.75">
      <c r="A12" s="57" t="str">
        <v>Stillwater River 1A</v>
      </c>
      <c r="B12" s="22" t="str">
        <v>MA</v>
      </c>
      <c r="C12" s="40" t="str" cm="1">
        <f t="array" aca="1" ref="C12:K12" ca="1">IF(INDIRECT("'" &amp; $A12 &amp; "'!B6:J6")="", "", INDIRECT("'" &amp; $A12 &amp; "'!B6:J6"))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94" t="str">
        <f ca="1"/>
        <v/>
      </c>
      <c r="K12" s="88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"'!B6:J6")="", "", INDIRECT("'" &amp; $A13 &amp; "'!B6:J6"))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93" t="str">
        <f ca="1"/>
        <v/>
      </c>
      <c r="K13" s="87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"'!B6:J6")="", "", INDIRECT("'" &amp; $A14 &amp; "'!B6:J6"))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89" t="str">
        <f ca="1"/>
        <v/>
      </c>
      <c r="K14" s="89" t="str">
        <f ca="1"/>
        <v/>
      </c>
    </row>
    <row r="15" spans="1:11" ht="15.75">
      <c r="A15" s="58" t="str">
        <v>Stillwater River 4</v>
      </c>
      <c r="B15" s="39" t="str">
        <v>MA</v>
      </c>
      <c r="C15" s="40" t="str" cm="1">
        <f t="array" aca="1" ref="C15:K15" ca="1">IF(INDIRECT("'" &amp; $A15 &amp; "'!B6:J6")="", "", INDIRECT("'" &amp; $A15 &amp; "'!B6:J6"))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93" t="str">
        <f ca="1"/>
        <v/>
      </c>
      <c r="K15" s="87" t="str">
        <f ca="1"/>
        <v/>
      </c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CAF24030-967D-40AB-9B78-5C3C0C46A55D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34" priority="1" operator="lessThanOrEqual">
      <formula>-0.1</formula>
    </cfRule>
    <cfRule type="cellIs" dxfId="23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2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26</v>
      </c>
      <c r="D1" s="187"/>
      <c r="E1" s="187"/>
      <c r="F1" s="188"/>
      <c r="G1" s="189" t="s">
        <v>27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"'!B7:J7")="", "", INDIRECT("'" &amp; $A3 &amp; "'!B7:J7"))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89" t="str">
        <f ca="1"/>
        <v/>
      </c>
      <c r="K3" s="89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"'!B7:J7")="", "", INDIRECT("'" &amp; $A4 &amp; "'!B7:J7"))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89" t="str">
        <f ca="1"/>
        <v/>
      </c>
      <c r="K4" s="89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"'!B7:J7")="", "", INDIRECT("'" &amp; $A5 &amp; "'!B7:J7"))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89" t="str">
        <f ca="1"/>
        <v/>
      </c>
      <c r="K5" s="89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"'!B7:J7")="", "", INDIRECT("'" &amp; $A6 &amp; "'!B7:J7"))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89" t="str">
        <f ca="1"/>
        <v/>
      </c>
      <c r="K6" s="89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"'!B7:J7")="", "", INDIRECT("'" &amp; $A7 &amp; "'!B7:J7"))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89" t="str">
        <f ca="1"/>
        <v/>
      </c>
      <c r="K7" s="89" t="str">
        <f ca="1"/>
        <v/>
      </c>
    </row>
    <row r="8" spans="1:11" ht="15.75">
      <c r="A8" s="57" t="str">
        <v>French River 3</v>
      </c>
      <c r="B8" s="22" t="str">
        <v>MA</v>
      </c>
      <c r="C8" s="61" t="str" cm="1">
        <f t="array" aca="1" ref="C8:K8" ca="1">IF(INDIRECT("'" &amp; $A8 &amp; "'!B7:J7")="", "", INDIRECT("'" &amp; $A8 &amp; "'!B7:J7"))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89" t="str">
        <f ca="1"/>
        <v/>
      </c>
      <c r="K8" s="89" t="str">
        <f ca="1"/>
        <v/>
      </c>
    </row>
    <row r="9" spans="1:11" ht="15.75">
      <c r="A9" s="58" t="str">
        <v>French River 4</v>
      </c>
      <c r="B9" s="39" t="str">
        <v>MA</v>
      </c>
      <c r="C9" s="40" t="str" cm="1">
        <f t="array" aca="1" ref="C9:K9" ca="1">IF(INDIRECT("'" &amp; $A9 &amp; "'!B7:J7")="", "", INDIRECT("'" &amp; $A9 &amp; "'!B7:J7"))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89" t="str">
        <f ca="1"/>
        <v/>
      </c>
      <c r="K9" s="89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"'!B7:J7")="", "", INDIRECT("'" &amp; $A10 &amp; "'!B7:J7"))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89" t="str">
        <f ca="1"/>
        <v/>
      </c>
      <c r="K10" s="89" t="str">
        <f ca="1"/>
        <v/>
      </c>
    </row>
    <row r="11" spans="1:11" ht="15.75">
      <c r="A11" s="58" t="str">
        <v>French River 6</v>
      </c>
      <c r="B11" s="39" t="str">
        <v>MA</v>
      </c>
      <c r="C11" s="40" t="str" cm="1">
        <f t="array" aca="1" ref="C11:K11" ca="1">IF(INDIRECT("'" &amp; $A11 &amp; "'!B7:J7")="", "", INDIRECT("'" &amp; $A11 &amp; "'!B7:J7"))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89" t="str">
        <f ca="1"/>
        <v/>
      </c>
      <c r="K11" s="89" t="str">
        <f ca="1"/>
        <v/>
      </c>
    </row>
    <row r="12" spans="1:11" ht="15.75">
      <c r="A12" s="57" t="str">
        <v>Stillwater River 1A</v>
      </c>
      <c r="B12" s="22" t="str">
        <v>MA</v>
      </c>
      <c r="C12" s="40" t="str" cm="1">
        <f t="array" aca="1" ref="C12:K12" ca="1">IF(INDIRECT("'" &amp; $A12 &amp; "'!B7:J7")="", "", INDIRECT("'" &amp; $A12 &amp; "'!B7:J7"))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89" t="str">
        <f ca="1"/>
        <v/>
      </c>
      <c r="K12" s="89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"'!B7:J7")="", "", INDIRECT("'" &amp; $A13 &amp; "'!B7:J7"))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89" t="str">
        <f ca="1"/>
        <v/>
      </c>
      <c r="K13" s="89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"'!B7:J7")="", "", INDIRECT("'" &amp; $A14 &amp; "'!B7:J7"))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89" t="str">
        <f ca="1"/>
        <v/>
      </c>
      <c r="K14" s="89" t="str">
        <f ca="1"/>
        <v/>
      </c>
    </row>
    <row r="15" spans="1:11" ht="15.75">
      <c r="A15" s="58" t="str">
        <v>Stillwater River 4</v>
      </c>
      <c r="B15" s="39" t="str">
        <v>MA</v>
      </c>
      <c r="C15" s="40" t="str" cm="1">
        <f t="array" aca="1" ref="C15:K15" ca="1">IF(INDIRECT("'" &amp; $A15 &amp; "'!B7:J7")="", "", INDIRECT("'" &amp; $A15 &amp; "'!B7:J7"))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89" t="str">
        <f ca="1"/>
        <v/>
      </c>
      <c r="K15" s="89" t="str">
        <f ca="1"/>
        <v/>
      </c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E69961AB-A757-4049-8AB9-40F3BCB812B3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32" priority="1" operator="lessThanOrEqual">
      <formula>-0.1</formula>
    </cfRule>
    <cfRule type="cellIs" dxfId="23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2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28</v>
      </c>
      <c r="D1" s="187"/>
      <c r="E1" s="187"/>
      <c r="F1" s="188"/>
      <c r="G1" s="189" t="s">
        <v>29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"'!B8:J8")="", "", INDIRECT("'" &amp; $A3 &amp; "'!B8:J8"))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21" t="str">
        <f ca="1"/>
        <v/>
      </c>
      <c r="K3" s="21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"'!B8:J8")="", "", INDIRECT("'" &amp; $A4 &amp; "'!B8:J8"))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21" t="str">
        <f ca="1"/>
        <v/>
      </c>
      <c r="K4" s="21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"'!B8:J8")="", "", INDIRECT("'" &amp; $A5 &amp; "'!B8:J8"))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21" t="str">
        <f ca="1"/>
        <v/>
      </c>
      <c r="K5" s="21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"'!B8:J8")="", "", INDIRECT("'" &amp; $A6 &amp; "'!B8:J8"))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25" t="str">
        <f ca="1"/>
        <v/>
      </c>
      <c r="K6" s="25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"'!B8:J8")="", "", INDIRECT("'" &amp; $A7 &amp; "'!B8:J8"))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25" t="str">
        <f ca="1"/>
        <v/>
      </c>
      <c r="K7" s="25" t="str">
        <f ca="1"/>
        <v/>
      </c>
    </row>
    <row r="8" spans="1:11" ht="15.75">
      <c r="A8" s="57" t="str">
        <v>French River 3</v>
      </c>
      <c r="B8" s="22" t="str">
        <v>MA</v>
      </c>
      <c r="C8" s="40" t="str" cm="1">
        <f t="array" aca="1" ref="C8:K8" ca="1">IF(INDIRECT("'" &amp; $A8 &amp; "'!B8:J8")="", "", INDIRECT("'" &amp; $A8 &amp; "'!B8:J8"))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25" t="str">
        <f ca="1"/>
        <v/>
      </c>
      <c r="K8" s="25" t="str">
        <f ca="1"/>
        <v/>
      </c>
    </row>
    <row r="9" spans="1:11" ht="15.75">
      <c r="A9" s="58" t="str">
        <v>French River 4</v>
      </c>
      <c r="B9" s="39" t="str">
        <v>MA</v>
      </c>
      <c r="C9" s="40" t="str" cm="1">
        <f t="array" aca="1" ref="C9:K9" ca="1">IF(INDIRECT("'" &amp; $A9 &amp; "'!B8:J8")="", "", INDIRECT("'" &amp; $A9 &amp; "'!B8:J8"))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24" t="str">
        <f ca="1"/>
        <v/>
      </c>
      <c r="K9" s="25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"'!B8:J8")="", "", INDIRECT("'" &amp; $A10 &amp; "'!B8:J8"))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24" t="str">
        <f ca="1"/>
        <v/>
      </c>
      <c r="K10" s="24" t="str">
        <f ca="1"/>
        <v/>
      </c>
    </row>
    <row r="11" spans="1:11" ht="15.75">
      <c r="A11" s="58" t="str">
        <v>French River 6</v>
      </c>
      <c r="B11" s="39" t="str">
        <v>MA</v>
      </c>
      <c r="C11" s="40" t="str" cm="1">
        <f t="array" aca="1" ref="C11:K11" ca="1">IF(INDIRECT("'" &amp; $A11 &amp; "'!B8:J8")="", "", INDIRECT("'" &amp; $A11 &amp; "'!B8:J8"))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25" t="str">
        <f ca="1"/>
        <v/>
      </c>
      <c r="K11" s="25" t="str">
        <f ca="1"/>
        <v/>
      </c>
    </row>
    <row r="12" spans="1:11" ht="15.75">
      <c r="A12" s="57" t="str">
        <v>Stillwater River 1A</v>
      </c>
      <c r="B12" s="22" t="str">
        <v>MA</v>
      </c>
      <c r="C12" s="40" t="str" cm="1">
        <f t="array" aca="1" ref="C12:K12" ca="1">IF(INDIRECT("'" &amp; $A12 &amp; "'!B8:J8")="", "", INDIRECT("'" &amp; $A12 &amp; "'!B8:J8"))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25" t="str">
        <f ca="1"/>
        <v/>
      </c>
      <c r="K12" s="25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"'!B8:J8")="", "", INDIRECT("'" &amp; $A13 &amp; "'!B8:J8"))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24" t="str">
        <f ca="1"/>
        <v/>
      </c>
      <c r="K13" s="25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"'!B8:J8")="", "", INDIRECT("'" &amp; $A14 &amp; "'!B8:J8"))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24" t="str">
        <f ca="1"/>
        <v/>
      </c>
      <c r="K14" s="25" t="str">
        <f ca="1"/>
        <v/>
      </c>
    </row>
    <row r="15" spans="1:11" ht="15.75">
      <c r="A15" s="58" t="str">
        <v>Stillwater River 4</v>
      </c>
      <c r="B15" s="39" t="str">
        <v>MA</v>
      </c>
      <c r="C15" s="40" t="str" cm="1">
        <f t="array" aca="1" ref="C15:K15" ca="1">IF(INDIRECT("'" &amp; $A15 &amp; "'!B8:J8")="", "", INDIRECT("'" &amp; $A15 &amp; "'!B8:J8"))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25" t="str">
        <f ca="1"/>
        <v/>
      </c>
      <c r="K15" s="25" t="str">
        <f ca="1"/>
        <v/>
      </c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9CEFA865-F03F-435F-98CB-83683B1083B8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30" priority="1" operator="lessThanOrEqual">
      <formula>-0.1</formula>
    </cfRule>
    <cfRule type="cellIs" dxfId="22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2"/>
  <sheetViews>
    <sheetView workbookViewId="0">
      <pane ySplit="2" topLeftCell="A6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30</v>
      </c>
      <c r="D1" s="187"/>
      <c r="E1" s="187"/>
      <c r="F1" s="188"/>
      <c r="G1" s="189" t="s">
        <v>31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"'!B9:J9")="", "", INDIRECT("'" &amp; $A3 &amp; "'!B9:J9"))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63" t="str">
        <f ca="1"/>
        <v/>
      </c>
      <c r="K3" s="63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"'!B9:J9")="", "", INDIRECT("'" &amp; $A4 &amp; "'!B9:J9"))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63" t="str">
        <f ca="1"/>
        <v/>
      </c>
      <c r="K4" s="63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"'!B9:J9")="", "", INDIRECT("'" &amp; $A5 &amp; "'!B9:J9"))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63" t="str">
        <f ca="1"/>
        <v/>
      </c>
      <c r="K5" s="63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"'!B9:J9")="", "", INDIRECT("'" &amp; $A6 &amp; "'!B9:J9"))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63" t="str">
        <f ca="1"/>
        <v/>
      </c>
      <c r="K6" s="63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"'!B9:J9")="", "", INDIRECT("'" &amp; $A7 &amp; "'!B9:J9"))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63" t="str">
        <f ca="1"/>
        <v/>
      </c>
      <c r="K7" s="63" t="str">
        <f ca="1"/>
        <v/>
      </c>
    </row>
    <row r="8" spans="1:11" ht="15.75">
      <c r="A8" s="57" t="str">
        <v>French River 3</v>
      </c>
      <c r="B8" s="22" t="str">
        <v>MA</v>
      </c>
      <c r="C8" s="40" t="str" cm="1">
        <f t="array" aca="1" ref="C8:K8" ca="1">IF(INDIRECT("'" &amp; $A8 &amp; "'!B9:J9")="", "", INDIRECT("'" &amp; $A8 &amp; "'!B9:J9"))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63" t="str">
        <f ca="1"/>
        <v/>
      </c>
      <c r="K8" s="63" t="str">
        <f ca="1"/>
        <v/>
      </c>
    </row>
    <row r="9" spans="1:11" ht="15.75">
      <c r="A9" s="58" t="str">
        <v>French River 4</v>
      </c>
      <c r="B9" s="39" t="str">
        <v>MA</v>
      </c>
      <c r="C9" s="40" t="str" cm="1">
        <f t="array" aca="1" ref="C9:K9" ca="1">IF(INDIRECT("'" &amp; $A9 &amp; "'!B9:J9")="", "", INDIRECT("'" &amp; $A9 &amp; "'!B9:J9"))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63" t="str">
        <f ca="1"/>
        <v/>
      </c>
      <c r="K9" s="63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"'!B9:J9")="", "", INDIRECT("'" &amp; $A10 &amp; "'!B9:J9"))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63" t="str">
        <f ca="1"/>
        <v/>
      </c>
      <c r="K10" s="63" t="str">
        <f ca="1"/>
        <v/>
      </c>
    </row>
    <row r="11" spans="1:11" ht="15.75">
      <c r="A11" s="58" t="str">
        <v>French River 6</v>
      </c>
      <c r="B11" s="39" t="str">
        <v>MA</v>
      </c>
      <c r="C11" s="40" t="str" cm="1">
        <f t="array" aca="1" ref="C11:K11" ca="1">IF(INDIRECT("'" &amp; $A11 &amp; "'!B9:J9")="", "", INDIRECT("'" &amp; $A11 &amp; "'!B9:J9"))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63" t="str">
        <f ca="1"/>
        <v/>
      </c>
      <c r="K11" s="63" t="str">
        <f ca="1"/>
        <v/>
      </c>
    </row>
    <row r="12" spans="1:11" ht="15.75">
      <c r="A12" s="57" t="str">
        <v>Stillwater River 1A</v>
      </c>
      <c r="B12" s="22" t="str">
        <v>MA</v>
      </c>
      <c r="C12" s="40" t="str" cm="1">
        <f t="array" aca="1" ref="C12:K12" ca="1">IF(INDIRECT("'" &amp; $A12 &amp; "'!B9:J9")="", "", INDIRECT("'" &amp; $A12 &amp; "'!B9:J9"))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63" t="str">
        <f ca="1"/>
        <v/>
      </c>
      <c r="K12" s="63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"'!B9:J9")="", "", INDIRECT("'" &amp; $A13 &amp; "'!B9:J9"))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63" t="str">
        <f ca="1"/>
        <v/>
      </c>
      <c r="K13" s="63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"'!B9:J9")="", "", INDIRECT("'" &amp; $A14 &amp; "'!B9:J9"))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63" t="str">
        <f ca="1"/>
        <v/>
      </c>
      <c r="K14" s="63" t="str">
        <f ca="1"/>
        <v/>
      </c>
    </row>
    <row r="15" spans="1:11" ht="15.75">
      <c r="A15" s="58" t="str">
        <v>Stillwater River 4</v>
      </c>
      <c r="B15" s="39" t="str">
        <v>MA</v>
      </c>
      <c r="C15" s="40" t="str" cm="1">
        <f t="array" aca="1" ref="C15:K15" ca="1">IF(INDIRECT("'" &amp; $A15 &amp; "'!B9:J9")="", "", INDIRECT("'" &amp; $A15 &amp; "'!B9:J9"))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63" t="str">
        <f ca="1"/>
        <v/>
      </c>
      <c r="K15" s="63" t="str">
        <f ca="1"/>
        <v/>
      </c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BC8A3C74-EDA3-4B8F-8C65-FD4243AE8FF6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28" priority="1" operator="lessThanOrEqual">
      <formula>-0.1</formula>
    </cfRule>
    <cfRule type="cellIs" dxfId="22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2"/>
  <sheetViews>
    <sheetView workbookViewId="0">
      <pane ySplit="2" topLeftCell="A14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43.42578125" bestFit="1" customWidth="1"/>
  </cols>
  <sheetData>
    <row r="1" spans="1:11" ht="15">
      <c r="A1" s="184" t="str" cm="1">
        <f t="array" ref="A1">portfolio</f>
        <v>MN8 Bond</v>
      </c>
      <c r="B1" s="185"/>
      <c r="C1" s="186" t="s">
        <v>32</v>
      </c>
      <c r="D1" s="187"/>
      <c r="E1" s="187"/>
      <c r="F1" s="188"/>
      <c r="G1" s="189" t="s">
        <v>33</v>
      </c>
      <c r="H1" s="189"/>
      <c r="I1" s="190"/>
      <c r="J1" s="178" t="s">
        <v>2</v>
      </c>
      <c r="K1" s="178" t="s">
        <v>3</v>
      </c>
    </row>
    <row r="2" spans="1:11" ht="13.9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"'!B10:J10")="", "", INDIRECT("'" &amp; $A3 &amp; "'!B10:J10"))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25" t="str">
        <f ca="1"/>
        <v/>
      </c>
      <c r="K3" s="25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"'!B10:J10")="", "", INDIRECT("'" &amp; $A4 &amp; "'!B10:J10"))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24" t="str">
        <f ca="1"/>
        <v/>
      </c>
      <c r="K4" s="25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"'!B10:J10")="", "", INDIRECT("'" &amp; $A5 &amp; "'!B10:J10"))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24" t="str">
        <f ca="1"/>
        <v/>
      </c>
      <c r="K5" s="25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"'!B10:J10")="", "", INDIRECT("'" &amp; $A6 &amp; "'!B10:J10"))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24" t="str">
        <f ca="1"/>
        <v/>
      </c>
      <c r="K6" s="25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"'!B10:J10")="", "", INDIRECT("'" &amp; $A7 &amp; "'!B10:J10"))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24" t="str">
        <f ca="1"/>
        <v/>
      </c>
      <c r="K7" s="25" t="str">
        <f ca="1"/>
        <v/>
      </c>
    </row>
    <row r="8" spans="1:11" ht="15.75">
      <c r="A8" s="57" t="str">
        <v>French River 3</v>
      </c>
      <c r="B8" s="22" t="str">
        <v>MA</v>
      </c>
      <c r="C8" s="40" t="str" cm="1">
        <f t="array" aca="1" ref="C8:K8" ca="1">IF(INDIRECT("'" &amp; $A8 &amp; "'!B10:J10")="", "", INDIRECT("'" &amp; $A8 &amp; "'!B10:J10"))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24" t="str">
        <f ca="1"/>
        <v/>
      </c>
      <c r="K8" s="25" t="str">
        <f ca="1"/>
        <v/>
      </c>
    </row>
    <row r="9" spans="1:11" ht="63" customHeight="1">
      <c r="A9" s="58" t="str">
        <v>French River 4</v>
      </c>
      <c r="B9" s="39" t="str">
        <v>MA</v>
      </c>
      <c r="C9" s="40" t="str" cm="1">
        <f t="array" aca="1" ref="C9:K9" ca="1">IF(INDIRECT("'" &amp; $A9 &amp; "'!B10:J10")="", "", INDIRECT("'" &amp; $A9 &amp; "'!B10:J10"))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24" t="str">
        <f ca="1"/>
        <v/>
      </c>
      <c r="K9" s="25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"'!B10:J10")="", "", INDIRECT("'" &amp; $A10 &amp; "'!B10:J10"))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24" t="str">
        <f ca="1"/>
        <v/>
      </c>
      <c r="K10" s="25" t="str">
        <f ca="1"/>
        <v/>
      </c>
    </row>
    <row r="11" spans="1:11" ht="62.25" customHeight="1">
      <c r="A11" s="58" t="str">
        <v>French River 6</v>
      </c>
      <c r="B11" s="39" t="str">
        <v>MA</v>
      </c>
      <c r="C11" s="40" t="str" cm="1">
        <f t="array" aca="1" ref="C11:K11" ca="1">IF(INDIRECT("'" &amp; $A11 &amp; "'!B10:J10")="", "", INDIRECT("'" &amp; $A11 &amp; "'!B10:J10"))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24" t="str">
        <f ca="1"/>
        <v/>
      </c>
      <c r="K11" s="25" t="str">
        <f ca="1"/>
        <v/>
      </c>
    </row>
    <row r="12" spans="1:11" ht="31.5" customHeight="1">
      <c r="A12" s="57" t="str">
        <v>Stillwater River 1A</v>
      </c>
      <c r="B12" s="22" t="str">
        <v>MA</v>
      </c>
      <c r="C12" s="40" t="str" cm="1">
        <f t="array" aca="1" ref="C12:K12" ca="1">IF(INDIRECT("'" &amp; $A12 &amp; "'!B10:J10")="", "", INDIRECT("'" &amp; $A12 &amp; "'!B10:J10"))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24" t="str">
        <f ca="1"/>
        <v/>
      </c>
      <c r="K12" s="25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"'!B10:J10")="", "", INDIRECT("'" &amp; $A13 &amp; "'!B10:J10"))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24" t="str">
        <f ca="1"/>
        <v/>
      </c>
      <c r="K13" s="25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"'!B10:J10")="", "", INDIRECT("'" &amp; $A14 &amp; "'!B10:J10"))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24" t="str">
        <f ca="1"/>
        <v/>
      </c>
      <c r="K14" s="25" t="str">
        <f ca="1"/>
        <v/>
      </c>
    </row>
    <row r="15" spans="1:11" ht="15.75">
      <c r="A15" s="58" t="str">
        <v>Stillwater River 4</v>
      </c>
      <c r="B15" s="39" t="str">
        <v>MA</v>
      </c>
      <c r="C15" s="40" t="str" cm="1">
        <f t="array" aca="1" ref="C15:K15" ca="1">IF(INDIRECT("'" &amp; $A15 &amp; "'!B10:J10")="", "", INDIRECT("'" &amp; $A15 &amp; "'!B10:J10"))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24" t="str">
        <f ca="1"/>
        <v/>
      </c>
      <c r="K15" s="25" t="str">
        <f ca="1"/>
        <v/>
      </c>
    </row>
    <row r="16" spans="1:11" ht="13.5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>
      <c r="A21" s="183"/>
      <c r="J21" s="9"/>
    </row>
    <row r="22" spans="1:10">
      <c r="J22" s="9"/>
    </row>
  </sheetData>
  <autoFilter ref="A2:I2" xr:uid="{6C08AFFB-6AF8-48AC-9706-52E390C2AC4B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26" priority="1" operator="lessThanOrEqual">
      <formula>-0.1</formula>
    </cfRule>
    <cfRule type="cellIs" dxfId="22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2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32.140625" bestFit="1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34</v>
      </c>
      <c r="D1" s="187"/>
      <c r="E1" s="187"/>
      <c r="F1" s="188"/>
      <c r="G1" s="189" t="s">
        <v>35</v>
      </c>
      <c r="H1" s="189"/>
      <c r="I1" s="190"/>
      <c r="J1" s="178" t="s">
        <v>2</v>
      </c>
      <c r="K1" s="178" t="s">
        <v>3</v>
      </c>
    </row>
    <row r="2" spans="1:11" ht="14.25" customHeight="1" thickBo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95" t="str" cm="1">
        <f t="array" ref="A3:A15">Sites[Site]</f>
        <v>Grafton II</v>
      </c>
      <c r="B3" s="96" t="str" cm="1">
        <f t="array" ref="B3:B15">Sites[State]</f>
        <v>MA</v>
      </c>
      <c r="C3" s="61" t="str" cm="1">
        <f t="array" aca="1" ref="C3:K3" ca="1">IF(INDIRECT("'" &amp; $A3 &amp; "'!B11:J11")="", "", INDIRECT("'" &amp; $A3 &amp; "'!B11:J11"))</f>
        <v/>
      </c>
      <c r="D3" s="61" t="str">
        <f ca="1"/>
        <v/>
      </c>
      <c r="E3" s="61">
        <f ca="1"/>
        <v>0</v>
      </c>
      <c r="F3" s="97">
        <f ca="1"/>
        <v>0</v>
      </c>
      <c r="G3" s="98" t="str">
        <f ca="1"/>
        <v/>
      </c>
      <c r="H3" s="98">
        <f ca="1"/>
        <v>0</v>
      </c>
      <c r="I3" s="43">
        <f ca="1"/>
        <v>0</v>
      </c>
      <c r="J3" s="107" t="str">
        <f ca="1"/>
        <v/>
      </c>
      <c r="K3" s="116" t="str">
        <f ca="1"/>
        <v/>
      </c>
    </row>
    <row r="4" spans="1:11" ht="15.75">
      <c r="A4" s="99" t="str">
        <v>Clara Barton</v>
      </c>
      <c r="B4" s="100" t="str">
        <v>MA</v>
      </c>
      <c r="C4" s="61" t="str" cm="1">
        <f t="array" aca="1" ref="C4:K4" ca="1">IF(INDIRECT("'" &amp; $A4 &amp; "'!B11:J11")="", "", INDIRECT("'" &amp; $A4 &amp; "'!B11:J11"))</f>
        <v/>
      </c>
      <c r="D4" s="61" t="str">
        <f ca="1"/>
        <v/>
      </c>
      <c r="E4" s="61">
        <f ca="1"/>
        <v>0</v>
      </c>
      <c r="F4" s="101">
        <f ca="1"/>
        <v>0</v>
      </c>
      <c r="G4" s="98" t="str">
        <f ca="1"/>
        <v/>
      </c>
      <c r="H4" s="98">
        <f ca="1"/>
        <v>0</v>
      </c>
      <c r="I4" s="45">
        <f ca="1"/>
        <v>0</v>
      </c>
      <c r="J4" s="107" t="str">
        <f ca="1"/>
        <v/>
      </c>
      <c r="K4" s="116" t="str">
        <f ca="1"/>
        <v/>
      </c>
    </row>
    <row r="5" spans="1:11" ht="15.75">
      <c r="A5" s="102" t="str">
        <v>Fairhaven Solar</v>
      </c>
      <c r="B5" s="103" t="str">
        <v>MA</v>
      </c>
      <c r="C5" s="61" t="str" cm="1">
        <f t="array" aca="1" ref="C5:K5" ca="1">IF(INDIRECT("'" &amp; $A5 &amp; "'!B11:J11")="", "", INDIRECT("'" &amp; $A5 &amp; "'!B11:J11"))</f>
        <v/>
      </c>
      <c r="D5" s="61" t="str">
        <f ca="1"/>
        <v/>
      </c>
      <c r="E5" s="61">
        <f ca="1"/>
        <v>0</v>
      </c>
      <c r="F5" s="101">
        <f ca="1"/>
        <v>0</v>
      </c>
      <c r="G5" s="98" t="str">
        <f ca="1"/>
        <v/>
      </c>
      <c r="H5" s="98">
        <f ca="1"/>
        <v>0</v>
      </c>
      <c r="I5" s="45">
        <f ca="1"/>
        <v>0</v>
      </c>
      <c r="J5" s="107" t="str">
        <f ca="1"/>
        <v/>
      </c>
      <c r="K5" s="116" t="str">
        <f ca="1"/>
        <v/>
      </c>
    </row>
    <row r="6" spans="1:11" ht="15.75">
      <c r="A6" s="99" t="str">
        <v>Plympton-1</v>
      </c>
      <c r="B6" s="100" t="str">
        <v>MA</v>
      </c>
      <c r="C6" s="61" t="str" cm="1">
        <f t="array" aca="1" ref="C6:K6" ca="1">IF(INDIRECT("'" &amp; $A6 &amp; "'!B11:J11")="", "", INDIRECT("'" &amp; $A6 &amp; "'!B11:J11"))</f>
        <v/>
      </c>
      <c r="D6" s="61" t="str">
        <f ca="1"/>
        <v/>
      </c>
      <c r="E6" s="61">
        <f ca="1"/>
        <v>0</v>
      </c>
      <c r="F6" s="101">
        <f ca="1"/>
        <v>0</v>
      </c>
      <c r="G6" s="98" t="str">
        <f ca="1"/>
        <v/>
      </c>
      <c r="H6" s="98">
        <f ca="1"/>
        <v>0</v>
      </c>
      <c r="I6" s="45">
        <f ca="1"/>
        <v>0</v>
      </c>
      <c r="J6" s="107" t="str">
        <f ca="1"/>
        <v/>
      </c>
      <c r="K6" s="116" t="str">
        <f ca="1"/>
        <v/>
      </c>
    </row>
    <row r="7" spans="1:11" ht="15.75">
      <c r="A7" s="102" t="str">
        <v>French River 2</v>
      </c>
      <c r="B7" s="103" t="str">
        <v>MA</v>
      </c>
      <c r="C7" s="61" t="str" cm="1">
        <f t="array" aca="1" ref="C7:K7" ca="1">IF(INDIRECT("'" &amp; $A7 &amp; "'!B11:J11")="", "", INDIRECT("'" &amp; $A7 &amp; "'!B11:J11"))</f>
        <v/>
      </c>
      <c r="D7" s="61" t="str">
        <f ca="1"/>
        <v/>
      </c>
      <c r="E7" s="61">
        <f ca="1"/>
        <v>0</v>
      </c>
      <c r="F7" s="101">
        <f ca="1"/>
        <v>0</v>
      </c>
      <c r="G7" s="98" t="str">
        <f ca="1"/>
        <v/>
      </c>
      <c r="H7" s="98">
        <f ca="1"/>
        <v>0</v>
      </c>
      <c r="I7" s="45">
        <f ca="1"/>
        <v>0</v>
      </c>
      <c r="J7" s="107" t="str">
        <f ca="1"/>
        <v/>
      </c>
      <c r="K7" s="116" t="str">
        <f ca="1"/>
        <v/>
      </c>
    </row>
    <row r="8" spans="1:11" ht="15.75">
      <c r="A8" s="99" t="str">
        <v>French River 3</v>
      </c>
      <c r="B8" s="100" t="str">
        <v>MA</v>
      </c>
      <c r="C8" s="61" t="str" cm="1">
        <f t="array" aca="1" ref="C8:K8" ca="1">IF(INDIRECT("'" &amp; $A8 &amp; "'!B11:J11")="", "", INDIRECT("'" &amp; $A8 &amp; "'!B11:J11"))</f>
        <v/>
      </c>
      <c r="D8" s="61" t="str">
        <f ca="1"/>
        <v/>
      </c>
      <c r="E8" s="61">
        <f ca="1"/>
        <v>0</v>
      </c>
      <c r="F8" s="101">
        <f ca="1"/>
        <v>0</v>
      </c>
      <c r="G8" s="98" t="str">
        <f ca="1"/>
        <v/>
      </c>
      <c r="H8" s="98">
        <f ca="1"/>
        <v>0</v>
      </c>
      <c r="I8" s="45">
        <f ca="1"/>
        <v>0</v>
      </c>
      <c r="J8" s="107" t="str">
        <f ca="1"/>
        <v/>
      </c>
      <c r="K8" s="116" t="str">
        <f ca="1"/>
        <v/>
      </c>
    </row>
    <row r="9" spans="1:11" ht="15.75">
      <c r="A9" s="102" t="str">
        <v>French River 4</v>
      </c>
      <c r="B9" s="103" t="str">
        <v>MA</v>
      </c>
      <c r="C9" s="61" t="str" cm="1">
        <f t="array" aca="1" ref="C9:K9" ca="1">IF(INDIRECT("'" &amp; $A9 &amp; "'!B11:J11")="", "", INDIRECT("'" &amp; $A9 &amp; "'!B11:J11"))</f>
        <v/>
      </c>
      <c r="D9" s="61" t="str">
        <f ca="1"/>
        <v/>
      </c>
      <c r="E9" s="61">
        <f ca="1"/>
        <v>0</v>
      </c>
      <c r="F9" s="101">
        <f ca="1"/>
        <v>0</v>
      </c>
      <c r="G9" s="98" t="str">
        <f ca="1"/>
        <v/>
      </c>
      <c r="H9" s="98">
        <f ca="1"/>
        <v>0</v>
      </c>
      <c r="I9" s="45">
        <f ca="1"/>
        <v>0</v>
      </c>
      <c r="J9" s="107" t="str">
        <f ca="1"/>
        <v/>
      </c>
      <c r="K9" s="116" t="str">
        <f ca="1"/>
        <v/>
      </c>
    </row>
    <row r="10" spans="1:11" ht="15.75">
      <c r="A10" s="99" t="str">
        <v>French River 5</v>
      </c>
      <c r="B10" s="100" t="str">
        <v>MA</v>
      </c>
      <c r="C10" s="61" t="str" cm="1">
        <f t="array" aca="1" ref="C10:K10" ca="1">IF(INDIRECT("'" &amp; $A10 &amp; "'!B11:J11")="", "", INDIRECT("'" &amp; $A10 &amp; "'!B11:J11"))</f>
        <v/>
      </c>
      <c r="D10" s="61" t="str">
        <f ca="1"/>
        <v/>
      </c>
      <c r="E10" s="61">
        <f ca="1"/>
        <v>0</v>
      </c>
      <c r="F10" s="101">
        <f ca="1"/>
        <v>0</v>
      </c>
      <c r="G10" s="98" t="str">
        <f ca="1"/>
        <v/>
      </c>
      <c r="H10" s="98">
        <f ca="1"/>
        <v>0</v>
      </c>
      <c r="I10" s="45">
        <f ca="1"/>
        <v>0</v>
      </c>
      <c r="J10" s="107" t="str">
        <f ca="1"/>
        <v/>
      </c>
      <c r="K10" s="116" t="str">
        <f ca="1"/>
        <v/>
      </c>
    </row>
    <row r="11" spans="1:11" ht="15.75">
      <c r="A11" s="102" t="str">
        <v>French River 6</v>
      </c>
      <c r="B11" s="103" t="str">
        <v>MA</v>
      </c>
      <c r="C11" s="61" t="str" cm="1">
        <f t="array" aca="1" ref="C11:K11" ca="1">IF(INDIRECT("'" &amp; $A11 &amp; "'!B11:J11")="", "", INDIRECT("'" &amp; $A11 &amp; "'!B11:J11"))</f>
        <v/>
      </c>
      <c r="D11" s="61" t="str">
        <f ca="1"/>
        <v/>
      </c>
      <c r="E11" s="61">
        <f ca="1"/>
        <v>0</v>
      </c>
      <c r="F11" s="101">
        <f ca="1"/>
        <v>0</v>
      </c>
      <c r="G11" s="98" t="str">
        <f ca="1"/>
        <v/>
      </c>
      <c r="H11" s="98">
        <f ca="1"/>
        <v>0</v>
      </c>
      <c r="I11" s="45">
        <f ca="1"/>
        <v>0</v>
      </c>
      <c r="J11" s="107" t="str">
        <f ca="1"/>
        <v/>
      </c>
      <c r="K11" s="116" t="str">
        <f ca="1"/>
        <v/>
      </c>
    </row>
    <row r="12" spans="1:11" ht="15.75">
      <c r="A12" s="99" t="str">
        <v>Stillwater River 1A</v>
      </c>
      <c r="B12" s="100" t="str">
        <v>MA</v>
      </c>
      <c r="C12" s="61" t="str" cm="1">
        <f t="array" aca="1" ref="C12:K12" ca="1">IF(INDIRECT("'" &amp; $A12 &amp; "'!B11:J11")="", "", INDIRECT("'" &amp; $A12 &amp; "'!B11:J11"))</f>
        <v/>
      </c>
      <c r="D12" s="61" t="str">
        <f ca="1"/>
        <v/>
      </c>
      <c r="E12" s="61">
        <f ca="1"/>
        <v>0</v>
      </c>
      <c r="F12" s="101">
        <f ca="1"/>
        <v>0</v>
      </c>
      <c r="G12" s="98" t="str">
        <f ca="1"/>
        <v/>
      </c>
      <c r="H12" s="98">
        <f ca="1"/>
        <v>0</v>
      </c>
      <c r="I12" s="45">
        <f ca="1"/>
        <v>0</v>
      </c>
      <c r="J12" s="107" t="str">
        <f ca="1"/>
        <v/>
      </c>
      <c r="K12" s="116" t="str">
        <f ca="1"/>
        <v/>
      </c>
    </row>
    <row r="13" spans="1:11" ht="15.75">
      <c r="A13" s="102" t="str">
        <v>Stillwater River 2</v>
      </c>
      <c r="B13" s="103" t="str">
        <v>MA</v>
      </c>
      <c r="C13" s="61" t="str" cm="1">
        <f t="array" aca="1" ref="C13:K13" ca="1">IF(INDIRECT("'" &amp; $A13 &amp; "'!B11:J11")="", "", INDIRECT("'" &amp; $A13 &amp; "'!B11:J11"))</f>
        <v/>
      </c>
      <c r="D13" s="61" t="str">
        <f ca="1"/>
        <v/>
      </c>
      <c r="E13" s="61">
        <f ca="1"/>
        <v>0</v>
      </c>
      <c r="F13" s="101">
        <f ca="1"/>
        <v>0</v>
      </c>
      <c r="G13" s="98" t="str">
        <f ca="1"/>
        <v/>
      </c>
      <c r="H13" s="98">
        <f ca="1"/>
        <v>0</v>
      </c>
      <c r="I13" s="45">
        <f ca="1"/>
        <v>0</v>
      </c>
      <c r="J13" s="107" t="str">
        <f ca="1"/>
        <v/>
      </c>
      <c r="K13" s="116" t="str">
        <f ca="1"/>
        <v/>
      </c>
    </row>
    <row r="14" spans="1:11" ht="15.75">
      <c r="A14" s="99" t="str">
        <v>Stillwater River 3</v>
      </c>
      <c r="B14" s="100" t="str">
        <v>MA</v>
      </c>
      <c r="C14" s="61" t="str" cm="1">
        <f t="array" aca="1" ref="C14:K14" ca="1">IF(INDIRECT("'" &amp; $A14 &amp; "'!B11:J11")="", "", INDIRECT("'" &amp; $A14 &amp; "'!B11:J11"))</f>
        <v/>
      </c>
      <c r="D14" s="61" t="str">
        <f ca="1"/>
        <v/>
      </c>
      <c r="E14" s="61">
        <f ca="1"/>
        <v>0</v>
      </c>
      <c r="F14" s="101">
        <f ca="1"/>
        <v>0</v>
      </c>
      <c r="G14" s="98" t="str">
        <f ca="1"/>
        <v/>
      </c>
      <c r="H14" s="98">
        <f ca="1"/>
        <v>0</v>
      </c>
      <c r="I14" s="45">
        <f ca="1"/>
        <v>0</v>
      </c>
      <c r="J14" s="107" t="str">
        <f ca="1"/>
        <v/>
      </c>
      <c r="K14" s="116" t="str">
        <f ca="1"/>
        <v/>
      </c>
    </row>
    <row r="15" spans="1:11" ht="16.149999999999999" thickBot="1">
      <c r="A15" s="102" t="str">
        <v>Stillwater River 4</v>
      </c>
      <c r="B15" s="103" t="str">
        <v>MA</v>
      </c>
      <c r="C15" s="61" t="str" cm="1">
        <f t="array" aca="1" ref="C15:K15" ca="1">IF(INDIRECT("'" &amp; $A15 &amp; "'!B11:J11")="", "", INDIRECT("'" &amp; $A15 &amp; "'!B11:J11"))</f>
        <v/>
      </c>
      <c r="D15" s="104" t="str">
        <f ca="1"/>
        <v/>
      </c>
      <c r="E15" s="104">
        <f ca="1"/>
        <v>0</v>
      </c>
      <c r="F15" s="105">
        <f ca="1"/>
        <v>0</v>
      </c>
      <c r="G15" s="106" t="str">
        <f ca="1"/>
        <v/>
      </c>
      <c r="H15" s="106">
        <f ca="1"/>
        <v>0</v>
      </c>
      <c r="I15" s="49">
        <f ca="1"/>
        <v>0</v>
      </c>
      <c r="J15" s="107" t="str">
        <f ca="1"/>
        <v/>
      </c>
      <c r="K15" s="116" t="str">
        <f ca="1"/>
        <v/>
      </c>
    </row>
    <row r="16" spans="1:11" ht="24.75" customHeight="1" thickBo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957CD936-B73F-469A-B0B5-B8EA155C9C51}"/>
  <sortState xmlns:xlrd2="http://schemas.microsoft.com/office/spreadsheetml/2017/richdata2" ref="A3:K15">
    <sortCondition ref="A3:A15"/>
  </sortState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24" priority="1" operator="lessThanOrEqual">
      <formula>-0.1</formula>
    </cfRule>
    <cfRule type="cellIs" dxfId="22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2"/>
  <sheetViews>
    <sheetView zoomScale="80" zoomScaleNormal="80"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36</v>
      </c>
      <c r="D1" s="187"/>
      <c r="E1" s="187"/>
      <c r="F1" s="188"/>
      <c r="G1" s="189" t="s">
        <v>37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"'!B12:J12")="", "", INDIRECT("'" &amp; $A3 &amp; "'!B12:J12"))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24" t="str">
        <f ca="1"/>
        <v/>
      </c>
      <c r="K3" s="24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"'!B12:J12")="", "", INDIRECT("'" &amp; $A4 &amp; "'!B12:J12"))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24" t="str">
        <f ca="1"/>
        <v/>
      </c>
      <c r="K4" s="24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"'!B12:J12")="", "", INDIRECT("'" &amp; $A5 &amp; "'!B12:J12"))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24" t="str">
        <f ca="1"/>
        <v/>
      </c>
      <c r="K5" s="24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"'!B12:J12")="", "", INDIRECT("'" &amp; $A6 &amp; "'!B12:J12"))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24" t="str">
        <f ca="1"/>
        <v/>
      </c>
      <c r="K6" s="24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"'!B12:J12")="", "", INDIRECT("'" &amp; $A7 &amp; "'!B12:J12"))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24" t="str">
        <f ca="1"/>
        <v/>
      </c>
      <c r="K7" s="24" t="str">
        <f ca="1"/>
        <v/>
      </c>
    </row>
    <row r="8" spans="1:11" ht="15.75">
      <c r="A8" s="57" t="str">
        <v>French River 3</v>
      </c>
      <c r="B8" s="22" t="str">
        <v>MA</v>
      </c>
      <c r="C8" s="40" t="str" cm="1">
        <f t="array" aca="1" ref="C8:K8" ca="1">IF(INDIRECT("'" &amp; $A8 &amp; "'!B12:J12")="", "", INDIRECT("'" &amp; $A8 &amp; "'!B12:J12"))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24" t="str">
        <f ca="1"/>
        <v/>
      </c>
      <c r="K8" s="24" t="str">
        <f ca="1"/>
        <v/>
      </c>
    </row>
    <row r="9" spans="1:11" ht="15.75">
      <c r="A9" s="58" t="str">
        <v>French River 4</v>
      </c>
      <c r="B9" s="39" t="str">
        <v>MA</v>
      </c>
      <c r="C9" s="40" t="str" cm="1">
        <f t="array" aca="1" ref="C9:K9" ca="1">IF(INDIRECT("'" &amp; $A9 &amp; "'!B12:J12")="", "", INDIRECT("'" &amp; $A9 &amp; "'!B12:J12"))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24" t="str">
        <f ca="1"/>
        <v/>
      </c>
      <c r="K9" s="24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"'!B12:J12")="", "", INDIRECT("'" &amp; $A10 &amp; "'!B12:J12"))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24" t="str">
        <f ca="1"/>
        <v/>
      </c>
      <c r="K10" s="24" t="str">
        <f ca="1"/>
        <v/>
      </c>
    </row>
    <row r="11" spans="1:11" ht="15.75">
      <c r="A11" s="58" t="str">
        <v>French River 6</v>
      </c>
      <c r="B11" s="39" t="str">
        <v>MA</v>
      </c>
      <c r="C11" s="40" t="str" cm="1">
        <f t="array" aca="1" ref="C11:K11" ca="1">IF(INDIRECT("'" &amp; $A11 &amp; "'!B12:J12")="", "", INDIRECT("'" &amp; $A11 &amp; "'!B12:J12"))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24" t="str">
        <f ca="1"/>
        <v/>
      </c>
      <c r="K11" s="24" t="str">
        <f ca="1"/>
        <v/>
      </c>
    </row>
    <row r="12" spans="1:11" ht="15.75">
      <c r="A12" s="57" t="str">
        <v>Stillwater River 1A</v>
      </c>
      <c r="B12" s="22" t="str">
        <v>MA</v>
      </c>
      <c r="C12" s="40" t="str" cm="1">
        <f t="array" aca="1" ref="C12:K12" ca="1">IF(INDIRECT("'" &amp; $A12 &amp; "'!B12:J12")="", "", INDIRECT("'" &amp; $A12 &amp; "'!B12:J12"))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24" t="str">
        <f ca="1"/>
        <v/>
      </c>
      <c r="K12" s="24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"'!B12:J12")="", "", INDIRECT("'" &amp; $A13 &amp; "'!B12:J12"))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24" t="str">
        <f ca="1"/>
        <v/>
      </c>
      <c r="K13" s="24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"'!B12:J12")="", "", INDIRECT("'" &amp; $A14 &amp; "'!B12:J12"))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24" t="str">
        <f ca="1"/>
        <v/>
      </c>
      <c r="K14" s="24" t="str">
        <f ca="1"/>
        <v/>
      </c>
    </row>
    <row r="15" spans="1:11" ht="15.75">
      <c r="A15" s="58" t="str">
        <v>Stillwater River 4</v>
      </c>
      <c r="B15" s="39" t="str">
        <v>MA</v>
      </c>
      <c r="C15" s="40" t="str" cm="1">
        <f t="array" aca="1" ref="C15:K15" ca="1">IF(INDIRECT("'" &amp; $A15 &amp; "'!B12:J12")="", "", INDIRECT("'" &amp; $A15 &amp; "'!B12:J12"))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24" t="str">
        <f ca="1"/>
        <v/>
      </c>
      <c r="K15" s="24" t="str">
        <f ca="1"/>
        <v/>
      </c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48D80AE8-42BF-4DAC-863F-113F77A3E00F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22" priority="1" operator="lessThanOrEqual">
      <formula>-0.1</formula>
    </cfRule>
    <cfRule type="cellIs" dxfId="22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2"/>
  <sheetViews>
    <sheetView workbookViewId="0">
      <pane ySplit="2" topLeftCell="A3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style="127" customWidth="1"/>
    <col min="11" max="11" width="19.42578125" style="127" customWidth="1"/>
  </cols>
  <sheetData>
    <row r="1" spans="1:11" ht="15">
      <c r="A1" s="184" t="str" cm="1">
        <f t="array" ref="A1">portfolio</f>
        <v>MN8 Bond</v>
      </c>
      <c r="B1" s="185"/>
      <c r="C1" s="186" t="s">
        <v>38</v>
      </c>
      <c r="D1" s="187"/>
      <c r="E1" s="187"/>
      <c r="F1" s="188"/>
      <c r="G1" s="189" t="s">
        <v>39</v>
      </c>
      <c r="H1" s="189"/>
      <c r="I1" s="190"/>
      <c r="J1" s="191" t="s">
        <v>2</v>
      </c>
      <c r="K1" s="191" t="s">
        <v>3</v>
      </c>
    </row>
    <row r="2" spans="1:11" ht="13.9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92"/>
      <c r="K2" s="192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"'!B13:J13")="", "", INDIRECT("'" &amp; $A3 &amp; "'!B13:J13"))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24" t="str">
        <f ca="1"/>
        <v/>
      </c>
      <c r="K3" s="24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"'!B13:J13")="", "", INDIRECT("'" &amp; $A4 &amp; "'!B13:J13"))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24" t="str">
        <f ca="1"/>
        <v/>
      </c>
      <c r="K4" s="24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"'!B13:J13")="", "", INDIRECT("'" &amp; $A5 &amp; "'!B13:J13"))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24" t="str">
        <f ca="1"/>
        <v/>
      </c>
      <c r="K5" s="24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"'!B13:J13")="", "", INDIRECT("'" &amp; $A6 &amp; "'!B13:J13"))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24" t="str">
        <f ca="1"/>
        <v/>
      </c>
      <c r="K6" s="24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"'!B13:J13")="", "", INDIRECT("'" &amp; $A7 &amp; "'!B13:J13"))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24" t="str">
        <f ca="1"/>
        <v/>
      </c>
      <c r="K7" s="24" t="str">
        <f ca="1"/>
        <v/>
      </c>
    </row>
    <row r="8" spans="1:11" ht="18" customHeight="1">
      <c r="A8" s="57" t="str">
        <v>French River 3</v>
      </c>
      <c r="B8" s="22" t="str">
        <v>MA</v>
      </c>
      <c r="C8" s="40" t="str" cm="1">
        <f t="array" aca="1" ref="C8:K8" ca="1">IF(INDIRECT("'" &amp; $A8 &amp; "'!B13:J13")="", "", INDIRECT("'" &amp; $A8 &amp; "'!B13:J13"))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24" t="str">
        <f ca="1"/>
        <v/>
      </c>
      <c r="K8" s="24" t="str">
        <f ca="1"/>
        <v/>
      </c>
    </row>
    <row r="9" spans="1:11" ht="15.75">
      <c r="A9" s="58" t="str">
        <v>French River 4</v>
      </c>
      <c r="B9" s="39" t="str">
        <v>MA</v>
      </c>
      <c r="C9" s="40" t="str" cm="1">
        <f t="array" aca="1" ref="C9:K9" ca="1">IF(INDIRECT("'" &amp; $A9 &amp; "'!B13:J13")="", "", INDIRECT("'" &amp; $A9 &amp; "'!B13:J13"))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24" t="str">
        <f ca="1"/>
        <v/>
      </c>
      <c r="K9" s="24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"'!B13:J13")="", "", INDIRECT("'" &amp; $A10 &amp; "'!B13:J13"))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24" t="str">
        <f ca="1"/>
        <v/>
      </c>
      <c r="K10" s="24" t="str">
        <f ca="1"/>
        <v/>
      </c>
    </row>
    <row r="11" spans="1:11" ht="15.75">
      <c r="A11" s="58" t="str">
        <v>French River 6</v>
      </c>
      <c r="B11" s="39" t="str">
        <v>MA</v>
      </c>
      <c r="C11" s="40" t="str" cm="1">
        <f t="array" aca="1" ref="C11:K11" ca="1">IF(INDIRECT("'" &amp; $A11 &amp; "'!B13:J13")="", "", INDIRECT("'" &amp; $A11 &amp; "'!B13:J13"))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24" t="str">
        <f ca="1"/>
        <v/>
      </c>
      <c r="K11" s="24" t="str">
        <f ca="1"/>
        <v/>
      </c>
    </row>
    <row r="12" spans="1:11" ht="15.75">
      <c r="A12" s="57" t="str">
        <v>Stillwater River 1A</v>
      </c>
      <c r="B12" s="22" t="str">
        <v>MA</v>
      </c>
      <c r="C12" s="40" t="str" cm="1">
        <f t="array" aca="1" ref="C12:K12" ca="1">IF(INDIRECT("'" &amp; $A12 &amp; "'!B13:J13")="", "", INDIRECT("'" &amp; $A12 &amp; "'!B13:J13"))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24" t="str">
        <f ca="1"/>
        <v/>
      </c>
      <c r="K12" s="24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"'!B13:J13")="", "", INDIRECT("'" &amp; $A13 &amp; "'!B13:J13"))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24" t="str">
        <f ca="1"/>
        <v/>
      </c>
      <c r="K13" s="24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"'!B13:J13")="", "", INDIRECT("'" &amp; $A14 &amp; "'!B13:J13"))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24" t="str">
        <f ca="1"/>
        <v/>
      </c>
      <c r="K14" s="24" t="str">
        <f ca="1"/>
        <v/>
      </c>
    </row>
    <row r="15" spans="1:11" ht="27.75" customHeight="1">
      <c r="A15" s="58" t="str">
        <v>Stillwater River 4</v>
      </c>
      <c r="B15" s="39" t="str">
        <v>MA</v>
      </c>
      <c r="C15" s="40" t="str" cm="1">
        <f t="array" aca="1" ref="C15:K15" ca="1">IF(INDIRECT("'" &amp; $A15 &amp; "'!B13:J13")="", "", INDIRECT("'" &amp; $A15 &amp; "'!B13:J13"))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24" t="str">
        <f ca="1"/>
        <v/>
      </c>
      <c r="K15" s="24" t="str">
        <f ca="1"/>
        <v/>
      </c>
    </row>
    <row r="16" spans="1:11" ht="13.5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126"/>
    </row>
    <row r="17" spans="1:10">
      <c r="J17" s="126"/>
    </row>
    <row r="18" spans="1:10">
      <c r="A18" s="182" t="s">
        <v>12</v>
      </c>
      <c r="J18" s="126"/>
    </row>
    <row r="19" spans="1:10">
      <c r="A19" s="182"/>
      <c r="J19" s="126"/>
    </row>
    <row r="20" spans="1:10">
      <c r="A20" s="183" t="s">
        <v>13</v>
      </c>
      <c r="J20" s="126"/>
    </row>
    <row r="21" spans="1:10">
      <c r="A21" s="183"/>
      <c r="J21" s="126"/>
    </row>
    <row r="22" spans="1:10">
      <c r="J22" s="126"/>
    </row>
  </sheetData>
  <autoFilter ref="A2:I2" xr:uid="{534CA70E-2643-48AC-AA44-E3F75A2814BF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20" priority="1" operator="lessThanOrEqual">
      <formula>-0.1</formula>
    </cfRule>
    <cfRule type="cellIs" dxfId="21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2"/>
  <sheetViews>
    <sheetView workbookViewId="0">
      <pane ySplit="2" topLeftCell="A5" activePane="bottomLeft" state="frozen"/>
      <selection pane="bottomLeft" activeCell="C1" sqref="C1:I1"/>
      <selection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40</v>
      </c>
      <c r="D1" s="187"/>
      <c r="E1" s="187"/>
      <c r="F1" s="188"/>
      <c r="G1" s="189" t="s">
        <v>41</v>
      </c>
      <c r="H1" s="189"/>
      <c r="I1" s="190"/>
      <c r="J1" s="178" t="s">
        <v>2</v>
      </c>
      <c r="K1" s="178" t="s">
        <v>3</v>
      </c>
    </row>
    <row r="2" spans="1:11" ht="14.25" customHeight="1" thickBo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95" t="str" cm="1">
        <f t="array" ref="A3:A15">Sites[Site]</f>
        <v>Grafton II</v>
      </c>
      <c r="B3" s="96" t="str" cm="1">
        <f t="array" ref="B3:B15">Sites[State]</f>
        <v>MA</v>
      </c>
      <c r="C3" s="61" t="str" cm="1">
        <f t="array" aca="1" ref="C3:K3" ca="1">IF(INDIRECT("'" &amp; $A3 &amp; "'!B14:J14")="", "", INDIRECT("'" &amp; $A3 &amp; "'!B14:J14"))</f>
        <v/>
      </c>
      <c r="D3" s="61" t="str">
        <f ca="1"/>
        <v/>
      </c>
      <c r="E3" s="61">
        <f ca="1"/>
        <v>0</v>
      </c>
      <c r="F3" s="97">
        <f ca="1"/>
        <v>0</v>
      </c>
      <c r="G3" s="98" t="str">
        <f ca="1"/>
        <v/>
      </c>
      <c r="H3" s="98">
        <f ca="1"/>
        <v>0</v>
      </c>
      <c r="I3" s="128">
        <f ca="1"/>
        <v>0</v>
      </c>
      <c r="J3" s="24" t="str">
        <f ca="1"/>
        <v/>
      </c>
      <c r="K3" s="24" t="str">
        <f ca="1"/>
        <v/>
      </c>
    </row>
    <row r="4" spans="1:11" ht="15.75">
      <c r="A4" s="99" t="str">
        <v>Clara Barton</v>
      </c>
      <c r="B4" s="100" t="str">
        <v>MA</v>
      </c>
      <c r="C4" s="61" t="str" cm="1">
        <f t="array" aca="1" ref="C4:K4" ca="1">IF(INDIRECT("'" &amp; $A4 &amp; "'!B14:J14")="", "", INDIRECT("'" &amp; $A4 &amp; "'!B14:J14"))</f>
        <v/>
      </c>
      <c r="D4" s="61" t="str">
        <f ca="1"/>
        <v/>
      </c>
      <c r="E4" s="61">
        <f ca="1"/>
        <v>0</v>
      </c>
      <c r="F4" s="101">
        <f ca="1"/>
        <v>0</v>
      </c>
      <c r="G4" s="98" t="str">
        <f ca="1"/>
        <v/>
      </c>
      <c r="H4" s="98">
        <f ca="1"/>
        <v>0</v>
      </c>
      <c r="I4" s="129">
        <f ca="1"/>
        <v>0</v>
      </c>
      <c r="J4" s="24" t="str">
        <f ca="1"/>
        <v/>
      </c>
      <c r="K4" s="24" t="str">
        <f ca="1"/>
        <v/>
      </c>
    </row>
    <row r="5" spans="1:11" ht="15.75">
      <c r="A5" s="102" t="str">
        <v>Fairhaven Solar</v>
      </c>
      <c r="B5" s="103" t="str">
        <v>MA</v>
      </c>
      <c r="C5" s="61" t="str" cm="1">
        <f t="array" aca="1" ref="C5:K5" ca="1">IF(INDIRECT("'" &amp; $A5 &amp; "'!B14:J14")="", "", INDIRECT("'" &amp; $A5 &amp; "'!B14:J14"))</f>
        <v/>
      </c>
      <c r="D5" s="61" t="str">
        <f ca="1"/>
        <v/>
      </c>
      <c r="E5" s="61">
        <f ca="1"/>
        <v>0</v>
      </c>
      <c r="F5" s="101">
        <f ca="1"/>
        <v>0</v>
      </c>
      <c r="G5" s="98" t="str">
        <f ca="1"/>
        <v/>
      </c>
      <c r="H5" s="98">
        <f ca="1"/>
        <v>0</v>
      </c>
      <c r="I5" s="129">
        <f ca="1"/>
        <v>0</v>
      </c>
      <c r="J5" s="24" t="str">
        <f ca="1"/>
        <v/>
      </c>
      <c r="K5" s="24" t="str">
        <f ca="1"/>
        <v/>
      </c>
    </row>
    <row r="6" spans="1:11" ht="15.75">
      <c r="A6" s="99" t="str">
        <v>Plympton-1</v>
      </c>
      <c r="B6" s="100" t="str">
        <v>MA</v>
      </c>
      <c r="C6" s="61" t="str" cm="1">
        <f t="array" aca="1" ref="C6:K6" ca="1">IF(INDIRECT("'" &amp; $A6 &amp; "'!B14:J14")="", "", INDIRECT("'" &amp; $A6 &amp; "'!B14:J14"))</f>
        <v/>
      </c>
      <c r="D6" s="61" t="str">
        <f ca="1"/>
        <v/>
      </c>
      <c r="E6" s="61">
        <f ca="1"/>
        <v>0</v>
      </c>
      <c r="F6" s="101">
        <f ca="1"/>
        <v>0</v>
      </c>
      <c r="G6" s="98" t="str">
        <f ca="1"/>
        <v/>
      </c>
      <c r="H6" s="98">
        <f ca="1"/>
        <v>0</v>
      </c>
      <c r="I6" s="129">
        <f ca="1"/>
        <v>0</v>
      </c>
      <c r="J6" s="24" t="str">
        <f ca="1"/>
        <v/>
      </c>
      <c r="K6" s="24" t="str">
        <f ca="1"/>
        <v/>
      </c>
    </row>
    <row r="7" spans="1:11" ht="15.75">
      <c r="A7" s="102" t="str">
        <v>French River 2</v>
      </c>
      <c r="B7" s="103" t="str">
        <v>MA</v>
      </c>
      <c r="C7" s="61" t="str" cm="1">
        <f t="array" aca="1" ref="C7:K7" ca="1">IF(INDIRECT("'" &amp; $A7 &amp; "'!B14:J14")="", "", INDIRECT("'" &amp; $A7 &amp; "'!B14:J14"))</f>
        <v/>
      </c>
      <c r="D7" s="61" t="str">
        <f ca="1"/>
        <v/>
      </c>
      <c r="E7" s="61">
        <f ca="1"/>
        <v>0</v>
      </c>
      <c r="F7" s="101">
        <f ca="1"/>
        <v>0</v>
      </c>
      <c r="G7" s="98" t="str">
        <f ca="1"/>
        <v/>
      </c>
      <c r="H7" s="98">
        <f ca="1"/>
        <v>0</v>
      </c>
      <c r="I7" s="129">
        <f ca="1"/>
        <v>0</v>
      </c>
      <c r="J7" s="24" t="str">
        <f ca="1"/>
        <v/>
      </c>
      <c r="K7" s="24" t="str">
        <f ca="1"/>
        <v/>
      </c>
    </row>
    <row r="8" spans="1:11" ht="15.75">
      <c r="A8" s="99" t="str">
        <v>French River 3</v>
      </c>
      <c r="B8" s="100" t="str">
        <v>MA</v>
      </c>
      <c r="C8" s="61" t="str" cm="1">
        <f t="array" aca="1" ref="C8:K8" ca="1">IF(INDIRECT("'" &amp; $A8 &amp; "'!B14:J14")="", "", INDIRECT("'" &amp; $A8 &amp; "'!B14:J14"))</f>
        <v/>
      </c>
      <c r="D8" s="61" t="str">
        <f ca="1"/>
        <v/>
      </c>
      <c r="E8" s="61">
        <f ca="1"/>
        <v>0</v>
      </c>
      <c r="F8" s="101">
        <f ca="1"/>
        <v>0</v>
      </c>
      <c r="G8" s="98" t="str">
        <f ca="1"/>
        <v/>
      </c>
      <c r="H8" s="98">
        <f ca="1"/>
        <v>0</v>
      </c>
      <c r="I8" s="129">
        <f ca="1"/>
        <v>0</v>
      </c>
      <c r="J8" s="24" t="str">
        <f ca="1"/>
        <v/>
      </c>
      <c r="K8" s="24" t="str">
        <f ca="1"/>
        <v/>
      </c>
    </row>
    <row r="9" spans="1:11" ht="15.75">
      <c r="A9" s="102" t="str">
        <v>French River 4</v>
      </c>
      <c r="B9" s="103" t="str">
        <v>MA</v>
      </c>
      <c r="C9" s="61" t="str" cm="1">
        <f t="array" aca="1" ref="C9:K9" ca="1">IF(INDIRECT("'" &amp; $A9 &amp; "'!B14:J14")="", "", INDIRECT("'" &amp; $A9 &amp; "'!B14:J14"))</f>
        <v/>
      </c>
      <c r="D9" s="61" t="str">
        <f ca="1"/>
        <v/>
      </c>
      <c r="E9" s="61">
        <f ca="1"/>
        <v>0</v>
      </c>
      <c r="F9" s="101">
        <f ca="1"/>
        <v>0</v>
      </c>
      <c r="G9" s="98" t="str">
        <f ca="1"/>
        <v/>
      </c>
      <c r="H9" s="98">
        <f ca="1"/>
        <v>0</v>
      </c>
      <c r="I9" s="129">
        <f ca="1"/>
        <v>0</v>
      </c>
      <c r="J9" s="24" t="str">
        <f ca="1"/>
        <v/>
      </c>
      <c r="K9" s="24" t="str">
        <f ca="1"/>
        <v/>
      </c>
    </row>
    <row r="10" spans="1:11" ht="15.75">
      <c r="A10" s="99" t="str">
        <v>French River 5</v>
      </c>
      <c r="B10" s="100" t="str">
        <v>MA</v>
      </c>
      <c r="C10" s="61" t="str" cm="1">
        <f t="array" aca="1" ref="C10:K10" ca="1">IF(INDIRECT("'" &amp; $A10 &amp; "'!B14:J14")="", "", INDIRECT("'" &amp; $A10 &amp; "'!B14:J14"))</f>
        <v/>
      </c>
      <c r="D10" s="61" t="str">
        <f ca="1"/>
        <v/>
      </c>
      <c r="E10" s="61">
        <f ca="1"/>
        <v>0</v>
      </c>
      <c r="F10" s="101">
        <f ca="1"/>
        <v>0</v>
      </c>
      <c r="G10" s="98" t="str">
        <f ca="1"/>
        <v/>
      </c>
      <c r="H10" s="98">
        <f ca="1"/>
        <v>0</v>
      </c>
      <c r="I10" s="129">
        <f ca="1"/>
        <v>0</v>
      </c>
      <c r="J10" s="24" t="str">
        <f ca="1"/>
        <v/>
      </c>
      <c r="K10" s="24" t="str">
        <f ca="1"/>
        <v/>
      </c>
    </row>
    <row r="11" spans="1:11" ht="15.75">
      <c r="A11" s="102" t="str">
        <v>French River 6</v>
      </c>
      <c r="B11" s="103" t="str">
        <v>MA</v>
      </c>
      <c r="C11" s="61" t="str" cm="1">
        <f t="array" aca="1" ref="C11:K11" ca="1">IF(INDIRECT("'" &amp; $A11 &amp; "'!B14:J14")="", "", INDIRECT("'" &amp; $A11 &amp; "'!B14:J14"))</f>
        <v/>
      </c>
      <c r="D11" s="61" t="str">
        <f ca="1"/>
        <v/>
      </c>
      <c r="E11" s="61">
        <f ca="1"/>
        <v>0</v>
      </c>
      <c r="F11" s="101">
        <f ca="1"/>
        <v>0</v>
      </c>
      <c r="G11" s="98" t="str">
        <f ca="1"/>
        <v/>
      </c>
      <c r="H11" s="98">
        <f ca="1"/>
        <v>0</v>
      </c>
      <c r="I11" s="129">
        <f ca="1"/>
        <v>0</v>
      </c>
      <c r="J11" s="24" t="str">
        <f ca="1"/>
        <v/>
      </c>
      <c r="K11" s="24" t="str">
        <f ca="1"/>
        <v/>
      </c>
    </row>
    <row r="12" spans="1:11" ht="15.75">
      <c r="A12" s="99" t="str">
        <v>Stillwater River 1A</v>
      </c>
      <c r="B12" s="100" t="str">
        <v>MA</v>
      </c>
      <c r="C12" s="61" t="str" cm="1">
        <f t="array" aca="1" ref="C12:K12" ca="1">IF(INDIRECT("'" &amp; $A12 &amp; "'!B14:J14")="", "", INDIRECT("'" &amp; $A12 &amp; "'!B14:J14"))</f>
        <v/>
      </c>
      <c r="D12" s="61" t="str">
        <f ca="1"/>
        <v/>
      </c>
      <c r="E12" s="61">
        <f ca="1"/>
        <v>0</v>
      </c>
      <c r="F12" s="101">
        <f ca="1"/>
        <v>0</v>
      </c>
      <c r="G12" s="98" t="str">
        <f ca="1"/>
        <v/>
      </c>
      <c r="H12" s="98">
        <f ca="1"/>
        <v>0</v>
      </c>
      <c r="I12" s="129">
        <f ca="1"/>
        <v>0</v>
      </c>
      <c r="J12" s="24" t="str">
        <f ca="1"/>
        <v/>
      </c>
      <c r="K12" s="24" t="str">
        <f ca="1"/>
        <v/>
      </c>
    </row>
    <row r="13" spans="1:11" ht="15.75">
      <c r="A13" s="102" t="str">
        <v>Stillwater River 2</v>
      </c>
      <c r="B13" s="103" t="str">
        <v>MA</v>
      </c>
      <c r="C13" s="61" t="str" cm="1">
        <f t="array" aca="1" ref="C13:K13" ca="1">IF(INDIRECT("'" &amp; $A13 &amp; "'!B14:J14")="", "", INDIRECT("'" &amp; $A13 &amp; "'!B14:J14"))</f>
        <v/>
      </c>
      <c r="D13" s="61" t="str">
        <f ca="1"/>
        <v/>
      </c>
      <c r="E13" s="61">
        <f ca="1"/>
        <v>0</v>
      </c>
      <c r="F13" s="101">
        <f ca="1"/>
        <v>0</v>
      </c>
      <c r="G13" s="98" t="str">
        <f ca="1"/>
        <v/>
      </c>
      <c r="H13" s="98">
        <f ca="1"/>
        <v>0</v>
      </c>
      <c r="I13" s="129">
        <f ca="1"/>
        <v>0</v>
      </c>
      <c r="J13" s="24" t="str">
        <f ca="1"/>
        <v/>
      </c>
      <c r="K13" s="24" t="str">
        <f ca="1"/>
        <v/>
      </c>
    </row>
    <row r="14" spans="1:11" ht="15.75">
      <c r="A14" s="99" t="str">
        <v>Stillwater River 3</v>
      </c>
      <c r="B14" s="100" t="str">
        <v>MA</v>
      </c>
      <c r="C14" s="61" t="str" cm="1">
        <f t="array" aca="1" ref="C14:K14" ca="1">IF(INDIRECT("'" &amp; $A14 &amp; "'!B14:J14")="", "", INDIRECT("'" &amp; $A14 &amp; "'!B14:J14"))</f>
        <v/>
      </c>
      <c r="D14" s="61" t="str">
        <f ca="1"/>
        <v/>
      </c>
      <c r="E14" s="61">
        <f ca="1"/>
        <v>0</v>
      </c>
      <c r="F14" s="101">
        <f ca="1"/>
        <v>0</v>
      </c>
      <c r="G14" s="98" t="str">
        <f ca="1"/>
        <v/>
      </c>
      <c r="H14" s="98">
        <f ca="1"/>
        <v>0</v>
      </c>
      <c r="I14" s="129">
        <f ca="1"/>
        <v>0</v>
      </c>
      <c r="J14" s="24" t="str">
        <f ca="1"/>
        <v/>
      </c>
      <c r="K14" s="24" t="str">
        <f ca="1"/>
        <v/>
      </c>
    </row>
    <row r="15" spans="1:11" ht="16.149999999999999" thickBot="1">
      <c r="A15" s="102" t="str">
        <v>Stillwater River 4</v>
      </c>
      <c r="B15" s="103" t="str">
        <v>MA</v>
      </c>
      <c r="C15" s="61" t="str" cm="1">
        <f t="array" aca="1" ref="C15:K15" ca="1">IF(INDIRECT("'" &amp; $A15 &amp; "'!B14:J14")="", "", INDIRECT("'" &amp; $A15 &amp; "'!B14:J14"))</f>
        <v/>
      </c>
      <c r="D15" s="104" t="str">
        <f ca="1"/>
        <v/>
      </c>
      <c r="E15" s="104">
        <f ca="1"/>
        <v>0</v>
      </c>
      <c r="F15" s="105">
        <f ca="1"/>
        <v>0</v>
      </c>
      <c r="G15" s="106" t="str">
        <f ca="1"/>
        <v/>
      </c>
      <c r="H15" s="106">
        <f ca="1"/>
        <v>0</v>
      </c>
      <c r="I15" s="130">
        <f ca="1"/>
        <v>0</v>
      </c>
      <c r="J15" s="24" t="str">
        <f ca="1"/>
        <v/>
      </c>
      <c r="K15" s="24" t="str">
        <f ca="1"/>
        <v/>
      </c>
    </row>
    <row r="16" spans="1:11" ht="24.75" customHeight="1" thickBo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B87DE706-15D9-4E58-ADBD-0129509DEFD6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18" priority="1" operator="lessThanOrEqual">
      <formula>-0.1</formula>
    </cfRule>
    <cfRule type="cellIs" dxfId="21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82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42</v>
      </c>
      <c r="D1" s="187"/>
      <c r="E1" s="187"/>
      <c r="F1" s="188"/>
      <c r="G1" s="189" t="s">
        <v>43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95" t="str" cm="1">
        <f t="array" ref="A3:A15">Sites[Site]</f>
        <v>Grafton II</v>
      </c>
      <c r="B3" s="96" t="str" cm="1">
        <f t="array" ref="B3:B15">Sites[State]</f>
        <v>MA</v>
      </c>
      <c r="C3" s="61" t="str" cm="1">
        <f t="array" aca="1" ref="C3:K3" ca="1">IF(INDIRECT("'" &amp; $A3 &amp; "'!B15:J15")="", "", INDIRECT("'" &amp; $A3 &amp; "'!B15:J15"))</f>
        <v/>
      </c>
      <c r="D3" s="61" t="str">
        <f ca="1"/>
        <v/>
      </c>
      <c r="E3" s="61">
        <f ca="1"/>
        <v>0</v>
      </c>
      <c r="F3" s="97">
        <f ca="1"/>
        <v>0</v>
      </c>
      <c r="G3" s="98" t="str">
        <f ca="1"/>
        <v/>
      </c>
      <c r="H3" s="98">
        <f ca="1"/>
        <v>0</v>
      </c>
      <c r="I3" s="128">
        <f ca="1"/>
        <v>0</v>
      </c>
      <c r="J3" s="107" t="str">
        <f ca="1"/>
        <v/>
      </c>
      <c r="K3" s="107" t="str">
        <f ca="1"/>
        <v/>
      </c>
    </row>
    <row r="4" spans="1:11" ht="15.75">
      <c r="A4" s="99" t="str">
        <v>Clara Barton</v>
      </c>
      <c r="B4" s="100" t="str">
        <v>MA</v>
      </c>
      <c r="C4" s="61" t="str" cm="1">
        <f t="array" aca="1" ref="C4:K4" ca="1">IF(INDIRECT("'" &amp; $A4 &amp; "'!B15:J15")="", "", INDIRECT("'" &amp; $A4 &amp; "'!B15:J15"))</f>
        <v/>
      </c>
      <c r="D4" s="61" t="str">
        <f ca="1"/>
        <v/>
      </c>
      <c r="E4" s="61">
        <f ca="1"/>
        <v>0</v>
      </c>
      <c r="F4" s="101">
        <f ca="1"/>
        <v>0</v>
      </c>
      <c r="G4" s="98" t="str">
        <f ca="1"/>
        <v/>
      </c>
      <c r="H4" s="98">
        <f ca="1"/>
        <v>0</v>
      </c>
      <c r="I4" s="129">
        <f ca="1"/>
        <v>0</v>
      </c>
      <c r="J4" s="107" t="str">
        <f ca="1"/>
        <v/>
      </c>
      <c r="K4" s="107" t="str">
        <f ca="1"/>
        <v/>
      </c>
    </row>
    <row r="5" spans="1:11" ht="15.75">
      <c r="A5" s="102" t="str">
        <v>Fairhaven Solar</v>
      </c>
      <c r="B5" s="103" t="str">
        <v>MA</v>
      </c>
      <c r="C5" s="61" t="str" cm="1">
        <f t="array" aca="1" ref="C5:K5" ca="1">IF(INDIRECT("'" &amp; $A5 &amp; "'!B15:J15")="", "", INDIRECT("'" &amp; $A5 &amp; "'!B15:J15"))</f>
        <v/>
      </c>
      <c r="D5" s="61" t="str">
        <f ca="1"/>
        <v/>
      </c>
      <c r="E5" s="61">
        <f ca="1"/>
        <v>0</v>
      </c>
      <c r="F5" s="101">
        <f ca="1"/>
        <v>0</v>
      </c>
      <c r="G5" s="98" t="str">
        <f ca="1"/>
        <v/>
      </c>
      <c r="H5" s="98">
        <f ca="1"/>
        <v>0</v>
      </c>
      <c r="I5" s="129">
        <f ca="1"/>
        <v>0</v>
      </c>
      <c r="J5" s="107" t="str">
        <f ca="1"/>
        <v/>
      </c>
      <c r="K5" s="107" t="str">
        <f ca="1"/>
        <v/>
      </c>
    </row>
    <row r="6" spans="1:11" ht="15.75">
      <c r="A6" s="99" t="str">
        <v>Plympton-1</v>
      </c>
      <c r="B6" s="100" t="str">
        <v>MA</v>
      </c>
      <c r="C6" s="61" t="str" cm="1">
        <f t="array" aca="1" ref="C6:K6" ca="1">IF(INDIRECT("'" &amp; $A6 &amp; "'!B15:J15")="", "", INDIRECT("'" &amp; $A6 &amp; "'!B15:J15"))</f>
        <v/>
      </c>
      <c r="D6" s="61" t="str">
        <f ca="1"/>
        <v/>
      </c>
      <c r="E6" s="61">
        <f ca="1"/>
        <v>0</v>
      </c>
      <c r="F6" s="101">
        <f ca="1"/>
        <v>0</v>
      </c>
      <c r="G6" s="98" t="str">
        <f ca="1"/>
        <v/>
      </c>
      <c r="H6" s="98">
        <f ca="1"/>
        <v>0</v>
      </c>
      <c r="I6" s="129">
        <f ca="1"/>
        <v>0</v>
      </c>
      <c r="J6" s="107" t="str">
        <f ca="1"/>
        <v/>
      </c>
      <c r="K6" s="107" t="str">
        <f ca="1"/>
        <v/>
      </c>
    </row>
    <row r="7" spans="1:11" ht="15.75">
      <c r="A7" s="102" t="str">
        <v>French River 2</v>
      </c>
      <c r="B7" s="103" t="str">
        <v>MA</v>
      </c>
      <c r="C7" s="61" t="str" cm="1">
        <f t="array" aca="1" ref="C7:K7" ca="1">IF(INDIRECT("'" &amp; $A7 &amp; "'!B15:J15")="", "", INDIRECT("'" &amp; $A7 &amp; "'!B15:J15"))</f>
        <v/>
      </c>
      <c r="D7" s="61" t="str">
        <f ca="1"/>
        <v/>
      </c>
      <c r="E7" s="61">
        <f ca="1"/>
        <v>0</v>
      </c>
      <c r="F7" s="101">
        <f ca="1"/>
        <v>0</v>
      </c>
      <c r="G7" s="98" t="str">
        <f ca="1"/>
        <v/>
      </c>
      <c r="H7" s="98">
        <f ca="1"/>
        <v>0</v>
      </c>
      <c r="I7" s="129">
        <f ca="1"/>
        <v>0</v>
      </c>
      <c r="J7" s="107" t="str">
        <f ca="1"/>
        <v/>
      </c>
      <c r="K7" s="107" t="str">
        <f ca="1"/>
        <v/>
      </c>
    </row>
    <row r="8" spans="1:11" ht="15.75">
      <c r="A8" s="99" t="str">
        <v>French River 3</v>
      </c>
      <c r="B8" s="100" t="str">
        <v>MA</v>
      </c>
      <c r="C8" s="61" t="str" cm="1">
        <f t="array" aca="1" ref="C8:K8" ca="1">IF(INDIRECT("'" &amp; $A8 &amp; "'!B15:J15")="", "", INDIRECT("'" &amp; $A8 &amp; "'!B15:J15"))</f>
        <v/>
      </c>
      <c r="D8" s="61" t="str">
        <f ca="1"/>
        <v/>
      </c>
      <c r="E8" s="61">
        <f ca="1"/>
        <v>0</v>
      </c>
      <c r="F8" s="101">
        <f ca="1"/>
        <v>0</v>
      </c>
      <c r="G8" s="98" t="str">
        <f ca="1"/>
        <v/>
      </c>
      <c r="H8" s="98">
        <f ca="1"/>
        <v>0</v>
      </c>
      <c r="I8" s="129">
        <f ca="1"/>
        <v>0</v>
      </c>
      <c r="J8" s="107" t="str">
        <f ca="1"/>
        <v/>
      </c>
      <c r="K8" s="107" t="str">
        <f ca="1"/>
        <v/>
      </c>
    </row>
    <row r="9" spans="1:11" ht="15.75">
      <c r="A9" s="102" t="str">
        <v>French River 4</v>
      </c>
      <c r="B9" s="103" t="str">
        <v>MA</v>
      </c>
      <c r="C9" s="61" t="str" cm="1">
        <f t="array" aca="1" ref="C9:K9" ca="1">IF(INDIRECT("'" &amp; $A9 &amp; "'!B15:J15")="", "", INDIRECT("'" &amp; $A9 &amp; "'!B15:J15"))</f>
        <v/>
      </c>
      <c r="D9" s="61" t="str">
        <f ca="1"/>
        <v/>
      </c>
      <c r="E9" s="61">
        <f ca="1"/>
        <v>0</v>
      </c>
      <c r="F9" s="101">
        <f ca="1"/>
        <v>0</v>
      </c>
      <c r="G9" s="98" t="str">
        <f ca="1"/>
        <v/>
      </c>
      <c r="H9" s="98">
        <f ca="1"/>
        <v>0</v>
      </c>
      <c r="I9" s="129">
        <f ca="1"/>
        <v>0</v>
      </c>
      <c r="J9" s="107" t="str">
        <f ca="1"/>
        <v/>
      </c>
      <c r="K9" s="107" t="str">
        <f ca="1"/>
        <v/>
      </c>
    </row>
    <row r="10" spans="1:11" ht="15.75">
      <c r="A10" s="99" t="str">
        <v>French River 5</v>
      </c>
      <c r="B10" s="100" t="str">
        <v>MA</v>
      </c>
      <c r="C10" s="61" t="str" cm="1">
        <f t="array" aca="1" ref="C10:K10" ca="1">IF(INDIRECT("'" &amp; $A10 &amp; "'!B15:J15")="", "", INDIRECT("'" &amp; $A10 &amp; "'!B15:J15"))</f>
        <v/>
      </c>
      <c r="D10" s="61" t="str">
        <f ca="1"/>
        <v/>
      </c>
      <c r="E10" s="61">
        <f ca="1"/>
        <v>0</v>
      </c>
      <c r="F10" s="101">
        <f ca="1"/>
        <v>0</v>
      </c>
      <c r="G10" s="98" t="str">
        <f ca="1"/>
        <v/>
      </c>
      <c r="H10" s="98">
        <f ca="1"/>
        <v>0</v>
      </c>
      <c r="I10" s="129">
        <f ca="1"/>
        <v>0</v>
      </c>
      <c r="J10" s="107" t="str">
        <f ca="1"/>
        <v/>
      </c>
      <c r="K10" s="107" t="str">
        <f ca="1"/>
        <v/>
      </c>
    </row>
    <row r="11" spans="1:11" ht="15.75">
      <c r="A11" s="102" t="str">
        <v>French River 6</v>
      </c>
      <c r="B11" s="103" t="str">
        <v>MA</v>
      </c>
      <c r="C11" s="61" t="str" cm="1">
        <f t="array" aca="1" ref="C11:K11" ca="1">IF(INDIRECT("'" &amp; $A11 &amp; "'!B15:J15")="", "", INDIRECT("'" &amp; $A11 &amp; "'!B15:J15"))</f>
        <v/>
      </c>
      <c r="D11" s="61" t="str">
        <f ca="1"/>
        <v/>
      </c>
      <c r="E11" s="61">
        <f ca="1"/>
        <v>0</v>
      </c>
      <c r="F11" s="101">
        <f ca="1"/>
        <v>0</v>
      </c>
      <c r="G11" s="98" t="str">
        <f ca="1"/>
        <v/>
      </c>
      <c r="H11" s="98">
        <f ca="1"/>
        <v>0</v>
      </c>
      <c r="I11" s="129">
        <f ca="1"/>
        <v>0</v>
      </c>
      <c r="J11" s="107" t="str">
        <f ca="1"/>
        <v/>
      </c>
      <c r="K11" s="107" t="str">
        <f ca="1"/>
        <v/>
      </c>
    </row>
    <row r="12" spans="1:11" ht="15.75">
      <c r="A12" s="99" t="str">
        <v>Stillwater River 1A</v>
      </c>
      <c r="B12" s="100" t="str">
        <v>MA</v>
      </c>
      <c r="C12" s="61" t="str" cm="1">
        <f t="array" aca="1" ref="C12:K12" ca="1">IF(INDIRECT("'" &amp; $A12 &amp; "'!B15:J15")="", "", INDIRECT("'" &amp; $A12 &amp; "'!B15:J15"))</f>
        <v/>
      </c>
      <c r="D12" s="61" t="str">
        <f ca="1"/>
        <v/>
      </c>
      <c r="E12" s="61">
        <f ca="1"/>
        <v>0</v>
      </c>
      <c r="F12" s="101">
        <f ca="1"/>
        <v>0</v>
      </c>
      <c r="G12" s="98" t="str">
        <f ca="1"/>
        <v/>
      </c>
      <c r="H12" s="98">
        <f ca="1"/>
        <v>0</v>
      </c>
      <c r="I12" s="129">
        <f ca="1"/>
        <v>0</v>
      </c>
      <c r="J12" s="107" t="str">
        <f ca="1"/>
        <v/>
      </c>
      <c r="K12" s="107" t="str">
        <f ca="1"/>
        <v/>
      </c>
    </row>
    <row r="13" spans="1:11" ht="15.75">
      <c r="A13" s="102" t="str">
        <v>Stillwater River 2</v>
      </c>
      <c r="B13" s="103" t="str">
        <v>MA</v>
      </c>
      <c r="C13" s="61" t="str" cm="1">
        <f t="array" aca="1" ref="C13:K13" ca="1">IF(INDIRECT("'" &amp; $A13 &amp; "'!B15:J15")="", "", INDIRECT("'" &amp; $A13 &amp; "'!B15:J15"))</f>
        <v/>
      </c>
      <c r="D13" s="61" t="str">
        <f ca="1"/>
        <v/>
      </c>
      <c r="E13" s="61">
        <f ca="1"/>
        <v>0</v>
      </c>
      <c r="F13" s="101">
        <f ca="1"/>
        <v>0</v>
      </c>
      <c r="G13" s="98" t="str">
        <f ca="1"/>
        <v/>
      </c>
      <c r="H13" s="98">
        <f ca="1"/>
        <v>0</v>
      </c>
      <c r="I13" s="129">
        <f ca="1"/>
        <v>0</v>
      </c>
      <c r="J13" s="107" t="str">
        <f ca="1"/>
        <v/>
      </c>
      <c r="K13" s="107" t="str">
        <f ca="1"/>
        <v/>
      </c>
    </row>
    <row r="14" spans="1:11" ht="15.75">
      <c r="A14" s="99" t="str">
        <v>Stillwater River 3</v>
      </c>
      <c r="B14" s="100" t="str">
        <v>MA</v>
      </c>
      <c r="C14" s="61" t="str" cm="1">
        <f t="array" aca="1" ref="C14:K14" ca="1">IF(INDIRECT("'" &amp; $A14 &amp; "'!B15:J15")="", "", INDIRECT("'" &amp; $A14 &amp; "'!B15:J15"))</f>
        <v/>
      </c>
      <c r="D14" s="61" t="str">
        <f ca="1"/>
        <v/>
      </c>
      <c r="E14" s="61">
        <f ca="1"/>
        <v>0</v>
      </c>
      <c r="F14" s="101">
        <f ca="1"/>
        <v>0</v>
      </c>
      <c r="G14" s="98" t="str">
        <f ca="1"/>
        <v/>
      </c>
      <c r="H14" s="98">
        <f ca="1"/>
        <v>0</v>
      </c>
      <c r="I14" s="129">
        <f ca="1"/>
        <v>0</v>
      </c>
      <c r="J14" s="107" t="str">
        <f ca="1"/>
        <v/>
      </c>
      <c r="K14" s="107" t="str">
        <f ca="1"/>
        <v/>
      </c>
    </row>
    <row r="15" spans="1:11" ht="15.75">
      <c r="A15" s="102" t="str">
        <v>Stillwater River 4</v>
      </c>
      <c r="B15" s="103" t="str">
        <v>MA</v>
      </c>
      <c r="C15" s="61" t="str" cm="1">
        <f t="array" aca="1" ref="C15:K15" ca="1">IF(INDIRECT("'" &amp; $A15 &amp; "'!B15:J15")="", "", INDIRECT("'" &amp; $A15 &amp; "'!B15:J15"))</f>
        <v/>
      </c>
      <c r="D15" s="104" t="str">
        <f ca="1"/>
        <v/>
      </c>
      <c r="E15" s="104">
        <f ca="1"/>
        <v>0</v>
      </c>
      <c r="F15" s="105">
        <f ca="1"/>
        <v>0</v>
      </c>
      <c r="G15" s="106" t="str">
        <f ca="1"/>
        <v/>
      </c>
      <c r="H15" s="106">
        <f ca="1"/>
        <v>0</v>
      </c>
      <c r="I15" s="130">
        <f ca="1"/>
        <v>0</v>
      </c>
      <c r="J15" s="107" t="str">
        <f ca="1"/>
        <v/>
      </c>
      <c r="K15" s="107" t="str">
        <f ca="1"/>
        <v/>
      </c>
    </row>
    <row r="16" spans="1:11" ht="13.5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7397A98F-A32F-42EE-8114-2658DE422011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16" priority="1" operator="lessThanOrEqual">
      <formula>-0.1</formula>
    </cfRule>
    <cfRule type="cellIs" dxfId="215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2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3" width="9.85546875" customWidth="1"/>
    <col min="4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84" t="str" cm="1">
        <f t="array" ref="A1">portfolio</f>
        <v>MN8 Bond</v>
      </c>
      <c r="B1" s="185"/>
      <c r="C1" s="186" t="s">
        <v>44</v>
      </c>
      <c r="D1" s="187"/>
      <c r="E1" s="187"/>
      <c r="F1" s="188"/>
      <c r="G1" s="189" t="s">
        <v>45</v>
      </c>
      <c r="H1" s="189"/>
      <c r="I1" s="190"/>
      <c r="J1" s="178" t="s">
        <v>2</v>
      </c>
      <c r="K1" s="178" t="s">
        <v>3</v>
      </c>
    </row>
    <row r="2" spans="1:11" ht="14.25" customHeight="1">
      <c r="A2" s="54" t="s">
        <v>4</v>
      </c>
      <c r="B2" s="55" t="s">
        <v>5</v>
      </c>
      <c r="C2" s="6" t="s">
        <v>6</v>
      </c>
      <c r="D2" s="52" t="s">
        <v>7</v>
      </c>
      <c r="E2" s="6" t="s">
        <v>8</v>
      </c>
      <c r="F2" s="7" t="s">
        <v>9</v>
      </c>
      <c r="G2" s="53" t="s">
        <v>10</v>
      </c>
      <c r="H2" s="8" t="s">
        <v>8</v>
      </c>
      <c r="I2" s="10" t="s">
        <v>9</v>
      </c>
      <c r="J2" s="179"/>
      <c r="K2" s="179"/>
    </row>
    <row r="3" spans="1:11" ht="15.75">
      <c r="A3" s="56" t="str" cm="1">
        <f t="array" ref="A3:A15">Sites[Site]</f>
        <v>Grafton II</v>
      </c>
      <c r="B3" s="38" t="str" cm="1">
        <f t="array" ref="B3:B15">Sites[State]</f>
        <v>MA</v>
      </c>
      <c r="C3" s="40" t="str" cm="1">
        <f t="array" aca="1" ref="C3:K3" ca="1">IF(INDIRECT("'" &amp; $A3 &amp; "'!B16:J16")="", "", INDIRECT("'" &amp; $A3 &amp; "'!B16:J16"))</f>
        <v/>
      </c>
      <c r="D3" s="40" t="str">
        <f ca="1"/>
        <v/>
      </c>
      <c r="E3" s="40">
        <f ca="1"/>
        <v>0</v>
      </c>
      <c r="F3" s="41">
        <f ca="1"/>
        <v>0</v>
      </c>
      <c r="G3" s="42" t="str">
        <f ca="1"/>
        <v/>
      </c>
      <c r="H3" s="42">
        <f ca="1"/>
        <v>0</v>
      </c>
      <c r="I3" s="43">
        <f ca="1"/>
        <v>0</v>
      </c>
      <c r="J3" s="172" t="str">
        <f ca="1"/>
        <v/>
      </c>
      <c r="K3" s="172" t="str">
        <f ca="1"/>
        <v/>
      </c>
    </row>
    <row r="4" spans="1:11" ht="15.75">
      <c r="A4" s="57" t="str">
        <v>Clara Barton</v>
      </c>
      <c r="B4" s="22" t="str">
        <v>MA</v>
      </c>
      <c r="C4" s="40" t="str" cm="1">
        <f t="array" aca="1" ref="C4:K4" ca="1">IF(INDIRECT("'" &amp; $A4 &amp; "'!B16:J16")="", "", INDIRECT("'" &amp; $A4 &amp; "'!B16:J16"))</f>
        <v/>
      </c>
      <c r="D4" s="40" t="str">
        <f ca="1"/>
        <v/>
      </c>
      <c r="E4" s="40">
        <f ca="1"/>
        <v>0</v>
      </c>
      <c r="F4" s="44">
        <f ca="1"/>
        <v>0</v>
      </c>
      <c r="G4" s="42" t="str">
        <f ca="1"/>
        <v/>
      </c>
      <c r="H4" s="42">
        <f ca="1"/>
        <v>0</v>
      </c>
      <c r="I4" s="45">
        <f ca="1"/>
        <v>0</v>
      </c>
      <c r="J4" s="24" t="str">
        <f ca="1"/>
        <v/>
      </c>
      <c r="K4" s="24" t="str">
        <f ca="1"/>
        <v/>
      </c>
    </row>
    <row r="5" spans="1:11" ht="15.75">
      <c r="A5" s="58" t="str">
        <v>Fairhaven Solar</v>
      </c>
      <c r="B5" s="39" t="str">
        <v>MA</v>
      </c>
      <c r="C5" s="40" t="str" cm="1">
        <f t="array" aca="1" ref="C5:K5" ca="1">IF(INDIRECT("'" &amp; $A5 &amp; "'!B16:J16")="", "", INDIRECT("'" &amp; $A5 &amp; "'!B16:J16"))</f>
        <v/>
      </c>
      <c r="D5" s="40" t="str">
        <f ca="1"/>
        <v/>
      </c>
      <c r="E5" s="40">
        <f ca="1"/>
        <v>0</v>
      </c>
      <c r="F5" s="44">
        <f ca="1"/>
        <v>0</v>
      </c>
      <c r="G5" s="42" t="str">
        <f ca="1"/>
        <v/>
      </c>
      <c r="H5" s="42">
        <f ca="1"/>
        <v>0</v>
      </c>
      <c r="I5" s="45">
        <f ca="1"/>
        <v>0</v>
      </c>
      <c r="J5" s="172" t="str">
        <f ca="1"/>
        <v/>
      </c>
      <c r="K5" s="172" t="str">
        <f ca="1"/>
        <v/>
      </c>
    </row>
    <row r="6" spans="1:11" ht="15.75">
      <c r="A6" s="57" t="str">
        <v>Plympton-1</v>
      </c>
      <c r="B6" s="22" t="str">
        <v>MA</v>
      </c>
      <c r="C6" s="40" t="str" cm="1">
        <f t="array" aca="1" ref="C6:K6" ca="1">IF(INDIRECT("'" &amp; $A6 &amp; "'!B16:J16")="", "", INDIRECT("'" &amp; $A6 &amp; "'!B16:J16"))</f>
        <v/>
      </c>
      <c r="D6" s="40" t="str">
        <f ca="1"/>
        <v/>
      </c>
      <c r="E6" s="40">
        <f ca="1"/>
        <v>0</v>
      </c>
      <c r="F6" s="44">
        <f ca="1"/>
        <v>0</v>
      </c>
      <c r="G6" s="42" t="str">
        <f ca="1"/>
        <v/>
      </c>
      <c r="H6" s="42">
        <f ca="1"/>
        <v>0</v>
      </c>
      <c r="I6" s="45">
        <f ca="1"/>
        <v>0</v>
      </c>
      <c r="J6" s="172" t="str">
        <f ca="1"/>
        <v/>
      </c>
      <c r="K6" s="172" t="str">
        <f ca="1"/>
        <v/>
      </c>
    </row>
    <row r="7" spans="1:11" ht="15.75">
      <c r="A7" s="58" t="str">
        <v>French River 2</v>
      </c>
      <c r="B7" s="39" t="str">
        <v>MA</v>
      </c>
      <c r="C7" s="40" t="str" cm="1">
        <f t="array" aca="1" ref="C7:K7" ca="1">IF(INDIRECT("'" &amp; $A7 &amp; "'!B16:J16")="", "", INDIRECT("'" &amp; $A7 &amp; "'!B16:J16"))</f>
        <v/>
      </c>
      <c r="D7" s="40" t="str">
        <f ca="1"/>
        <v/>
      </c>
      <c r="E7" s="40">
        <f ca="1"/>
        <v>0</v>
      </c>
      <c r="F7" s="44">
        <f ca="1"/>
        <v>0</v>
      </c>
      <c r="G7" s="42" t="str">
        <f ca="1"/>
        <v/>
      </c>
      <c r="H7" s="42">
        <f ca="1"/>
        <v>0</v>
      </c>
      <c r="I7" s="45">
        <f ca="1"/>
        <v>0</v>
      </c>
      <c r="J7" s="173" t="str">
        <f ca="1"/>
        <v/>
      </c>
      <c r="K7" s="173" t="str">
        <f ca="1"/>
        <v/>
      </c>
    </row>
    <row r="8" spans="1:11" ht="15.75">
      <c r="A8" s="57" t="str">
        <v>French River 3</v>
      </c>
      <c r="B8" s="22" t="str">
        <v>MA</v>
      </c>
      <c r="C8" s="40" t="str" cm="1">
        <f t="array" aca="1" ref="C8:K8" ca="1">IF(INDIRECT("'" &amp; $A8 &amp; "'!B16:J16")="", "", INDIRECT("'" &amp; $A8 &amp; "'!B16:J16"))</f>
        <v/>
      </c>
      <c r="D8" s="40" t="str">
        <f ca="1"/>
        <v/>
      </c>
      <c r="E8" s="40">
        <f ca="1"/>
        <v>0</v>
      </c>
      <c r="F8" s="44">
        <f ca="1"/>
        <v>0</v>
      </c>
      <c r="G8" s="42" t="str">
        <f ca="1"/>
        <v/>
      </c>
      <c r="H8" s="42">
        <f ca="1"/>
        <v>0</v>
      </c>
      <c r="I8" s="45">
        <f ca="1"/>
        <v>0</v>
      </c>
      <c r="J8" s="172" t="str">
        <f ca="1"/>
        <v/>
      </c>
      <c r="K8" s="172" t="str">
        <f ca="1"/>
        <v/>
      </c>
    </row>
    <row r="9" spans="1:11" ht="15.75">
      <c r="A9" s="58" t="str">
        <v>French River 4</v>
      </c>
      <c r="B9" s="39" t="str">
        <v>MA</v>
      </c>
      <c r="C9" s="40" t="str" cm="1">
        <f t="array" aca="1" ref="C9:K9" ca="1">IF(INDIRECT("'" &amp; $A9 &amp; "'!B16:J16")="", "", INDIRECT("'" &amp; $A9 &amp; "'!B16:J16"))</f>
        <v/>
      </c>
      <c r="D9" s="40" t="str">
        <f ca="1"/>
        <v/>
      </c>
      <c r="E9" s="40">
        <f ca="1"/>
        <v>0</v>
      </c>
      <c r="F9" s="44">
        <f ca="1"/>
        <v>0</v>
      </c>
      <c r="G9" s="42" t="str">
        <f ca="1"/>
        <v/>
      </c>
      <c r="H9" s="42">
        <f ca="1"/>
        <v>0</v>
      </c>
      <c r="I9" s="45">
        <f ca="1"/>
        <v>0</v>
      </c>
      <c r="J9" s="24" t="str">
        <f ca="1"/>
        <v/>
      </c>
      <c r="K9" s="25" t="str">
        <f ca="1"/>
        <v/>
      </c>
    </row>
    <row r="10" spans="1:11" ht="15.75">
      <c r="A10" s="57" t="str">
        <v>French River 5</v>
      </c>
      <c r="B10" s="22" t="str">
        <v>MA</v>
      </c>
      <c r="C10" s="40" t="str" cm="1">
        <f t="array" aca="1" ref="C10:K10" ca="1">IF(INDIRECT("'" &amp; $A10 &amp; "'!B16:J16")="", "", INDIRECT("'" &amp; $A10 &amp; "'!B16:J16"))</f>
        <v/>
      </c>
      <c r="D10" s="40" t="str">
        <f ca="1"/>
        <v/>
      </c>
      <c r="E10" s="40">
        <f ca="1"/>
        <v>0</v>
      </c>
      <c r="F10" s="44">
        <f ca="1"/>
        <v>0</v>
      </c>
      <c r="G10" s="42" t="str">
        <f ca="1"/>
        <v/>
      </c>
      <c r="H10" s="42">
        <f ca="1"/>
        <v>0</v>
      </c>
      <c r="I10" s="45">
        <f ca="1"/>
        <v>0</v>
      </c>
      <c r="J10" s="24" t="str">
        <f ca="1"/>
        <v/>
      </c>
      <c r="K10" s="24" t="str">
        <f ca="1"/>
        <v/>
      </c>
    </row>
    <row r="11" spans="1:11" ht="15.75">
      <c r="A11" s="58" t="str">
        <v>French River 6</v>
      </c>
      <c r="B11" s="39" t="str">
        <v>MA</v>
      </c>
      <c r="C11" s="40" t="str" cm="1">
        <f t="array" aca="1" ref="C11:K11" ca="1">IF(INDIRECT("'" &amp; $A11 &amp; "'!B16:J16")="", "", INDIRECT("'" &amp; $A11 &amp; "'!B16:J16"))</f>
        <v/>
      </c>
      <c r="D11" s="40" t="str">
        <f ca="1"/>
        <v/>
      </c>
      <c r="E11" s="40">
        <f ca="1"/>
        <v>0</v>
      </c>
      <c r="F11" s="44">
        <f ca="1"/>
        <v>0</v>
      </c>
      <c r="G11" s="42" t="str">
        <f ca="1"/>
        <v/>
      </c>
      <c r="H11" s="42">
        <f ca="1"/>
        <v>0</v>
      </c>
      <c r="I11" s="45">
        <f ca="1"/>
        <v>0</v>
      </c>
      <c r="J11" s="25" t="str">
        <f ca="1"/>
        <v/>
      </c>
      <c r="K11" s="25" t="str">
        <f ca="1"/>
        <v/>
      </c>
    </row>
    <row r="12" spans="1:11" ht="15.75">
      <c r="A12" s="57" t="str">
        <v>Stillwater River 1A</v>
      </c>
      <c r="B12" s="22" t="str">
        <v>MA</v>
      </c>
      <c r="C12" s="40" t="str" cm="1">
        <f t="array" aca="1" ref="C12:K12" ca="1">IF(INDIRECT("'" &amp; $A12 &amp; "'!B16:J16")="", "", INDIRECT("'" &amp; $A12 &amp; "'!B16:J16"))</f>
        <v/>
      </c>
      <c r="D12" s="40" t="str">
        <f ca="1"/>
        <v/>
      </c>
      <c r="E12" s="40">
        <f ca="1"/>
        <v>0</v>
      </c>
      <c r="F12" s="44">
        <f ca="1"/>
        <v>0</v>
      </c>
      <c r="G12" s="42" t="str">
        <f ca="1"/>
        <v/>
      </c>
      <c r="H12" s="42">
        <f ca="1"/>
        <v>0</v>
      </c>
      <c r="I12" s="45">
        <f ca="1"/>
        <v>0</v>
      </c>
      <c r="J12" s="25" t="str">
        <f ca="1"/>
        <v/>
      </c>
      <c r="K12" s="25" t="str">
        <f ca="1"/>
        <v/>
      </c>
    </row>
    <row r="13" spans="1:11" ht="15.75">
      <c r="A13" s="58" t="str">
        <v>Stillwater River 2</v>
      </c>
      <c r="B13" s="39" t="str">
        <v>MA</v>
      </c>
      <c r="C13" s="40" t="str" cm="1">
        <f t="array" aca="1" ref="C13:K13" ca="1">IF(INDIRECT("'" &amp; $A13 &amp; "'!B16:J16")="", "", INDIRECT("'" &amp; $A13 &amp; "'!B16:J16"))</f>
        <v/>
      </c>
      <c r="D13" s="40" t="str">
        <f ca="1"/>
        <v/>
      </c>
      <c r="E13" s="40">
        <f ca="1"/>
        <v>0</v>
      </c>
      <c r="F13" s="44">
        <f ca="1"/>
        <v>0</v>
      </c>
      <c r="G13" s="42" t="str">
        <f ca="1"/>
        <v/>
      </c>
      <c r="H13" s="42">
        <f ca="1"/>
        <v>0</v>
      </c>
      <c r="I13" s="45">
        <f ca="1"/>
        <v>0</v>
      </c>
      <c r="J13" s="25" t="str">
        <f ca="1"/>
        <v/>
      </c>
      <c r="K13" s="25" t="str">
        <f ca="1"/>
        <v/>
      </c>
    </row>
    <row r="14" spans="1:11" ht="15.75">
      <c r="A14" s="57" t="str">
        <v>Stillwater River 3</v>
      </c>
      <c r="B14" s="22" t="str">
        <v>MA</v>
      </c>
      <c r="C14" s="40" t="str" cm="1">
        <f t="array" aca="1" ref="C14:K14" ca="1">IF(INDIRECT("'" &amp; $A14 &amp; "'!B16:J16")="", "", INDIRECT("'" &amp; $A14 &amp; "'!B16:J16"))</f>
        <v/>
      </c>
      <c r="D14" s="40" t="str">
        <f ca="1"/>
        <v/>
      </c>
      <c r="E14" s="40">
        <f ca="1"/>
        <v>0</v>
      </c>
      <c r="F14" s="44">
        <f ca="1"/>
        <v>0</v>
      </c>
      <c r="G14" s="42" t="str">
        <f ca="1"/>
        <v/>
      </c>
      <c r="H14" s="42">
        <f ca="1"/>
        <v>0</v>
      </c>
      <c r="I14" s="45">
        <f ca="1"/>
        <v>0</v>
      </c>
      <c r="J14" s="24" t="str">
        <f ca="1"/>
        <v/>
      </c>
      <c r="K14" s="25" t="str">
        <f ca="1"/>
        <v/>
      </c>
    </row>
    <row r="15" spans="1:11" ht="15.75">
      <c r="A15" s="58" t="str">
        <v>Stillwater River 4</v>
      </c>
      <c r="B15" s="39" t="str">
        <v>MA</v>
      </c>
      <c r="C15" s="40" t="str" cm="1">
        <f t="array" aca="1" ref="C15:K15" ca="1">IF(INDIRECT("'" &amp; $A15 &amp; "'!B16:J16")="", "", INDIRECT("'" &amp; $A15 &amp; "'!B16:J16"))</f>
        <v/>
      </c>
      <c r="D15" s="46" t="str">
        <f ca="1"/>
        <v/>
      </c>
      <c r="E15" s="46">
        <f ca="1"/>
        <v>0</v>
      </c>
      <c r="F15" s="47">
        <f ca="1"/>
        <v>0</v>
      </c>
      <c r="G15" s="48" t="str">
        <f ca="1"/>
        <v/>
      </c>
      <c r="H15" s="48">
        <f ca="1"/>
        <v>0</v>
      </c>
      <c r="I15" s="49">
        <f ca="1"/>
        <v>0</v>
      </c>
      <c r="J15" s="172" t="str">
        <f ca="1"/>
        <v/>
      </c>
      <c r="K15" s="172" t="str">
        <f ca="1"/>
        <v/>
      </c>
    </row>
    <row r="16" spans="1:11" ht="24.75" customHeight="1">
      <c r="A16" s="180" t="s">
        <v>11</v>
      </c>
      <c r="B16" s="181"/>
      <c r="C16" s="59">
        <f ca="1">SUM(C3:C15)</f>
        <v>0</v>
      </c>
      <c r="D16" s="59">
        <f ca="1">SUM(D3:D15)</f>
        <v>0</v>
      </c>
      <c r="E16" s="59">
        <f ca="1">C16-D16</f>
        <v>0</v>
      </c>
      <c r="F16" s="50">
        <f ca="1">IFERROR(E16/D16, 0)</f>
        <v>0</v>
      </c>
      <c r="G16" s="59">
        <f ca="1">SUM(G3:G15)</f>
        <v>0</v>
      </c>
      <c r="H16" s="60">
        <f ca="1">C16-G16</f>
        <v>0</v>
      </c>
      <c r="I16" s="51">
        <f ca="1">IFERROR(H16/G16, 0)</f>
        <v>0</v>
      </c>
      <c r="J16" s="9"/>
    </row>
    <row r="17" spans="1:10">
      <c r="J17" s="9"/>
    </row>
    <row r="18" spans="1:10" ht="12.75" customHeight="1">
      <c r="A18" s="182" t="s">
        <v>12</v>
      </c>
      <c r="J18" s="9"/>
    </row>
    <row r="19" spans="1:10">
      <c r="A19" s="182"/>
      <c r="J19" s="9"/>
    </row>
    <row r="20" spans="1:10">
      <c r="A20" s="183" t="s">
        <v>13</v>
      </c>
      <c r="J20" s="9"/>
    </row>
    <row r="21" spans="1:10" ht="12.75" customHeight="1">
      <c r="A21" s="183"/>
      <c r="J21" s="9"/>
    </row>
    <row r="22" spans="1:10">
      <c r="J22" s="9"/>
    </row>
  </sheetData>
  <autoFilter ref="A2:I2" xr:uid="{7BFACBC8-3831-4E2B-BAD7-988F02FCC664}"/>
  <mergeCells count="8">
    <mergeCell ref="G1:I1"/>
    <mergeCell ref="J1:J2"/>
    <mergeCell ref="K1:K2"/>
    <mergeCell ref="A18:A19"/>
    <mergeCell ref="A20:A21"/>
    <mergeCell ref="A16:B16"/>
    <mergeCell ref="C1:F1"/>
    <mergeCell ref="A1:B1"/>
  </mergeCells>
  <conditionalFormatting sqref="F3:F16 I3:I16">
    <cfRule type="cellIs" dxfId="214" priority="1" operator="lessThanOrEqual">
      <formula>-0.1</formula>
    </cfRule>
    <cfRule type="cellIs" dxfId="21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5"/>
  <sheetViews>
    <sheetView workbookViewId="0">
      <pane ySplit="2" topLeftCell="A3" activePane="bottomLeft" state="frozen"/>
      <selection pane="bottomLeft" activeCell="B24" sqref="B24"/>
    </sheetView>
  </sheetViews>
  <sheetFormatPr defaultRowHeight="12.75" customHeight="1"/>
  <cols>
    <col min="1" max="2" width="41.85546875" customWidth="1"/>
    <col min="4" max="14" width="9.140625" customWidth="1"/>
  </cols>
  <sheetData>
    <row r="1" spans="1:7" ht="12.75" customHeight="1">
      <c r="A1" t="s">
        <v>46</v>
      </c>
      <c r="B1" s="2" t="s">
        <v>47</v>
      </c>
    </row>
    <row r="2" spans="1:7">
      <c r="A2" t="s">
        <v>48</v>
      </c>
      <c r="B2" s="16" t="s">
        <v>4</v>
      </c>
      <c r="C2" s="16" t="s">
        <v>5</v>
      </c>
      <c r="D2" t="s">
        <v>49</v>
      </c>
    </row>
    <row r="3" spans="1:7" ht="14.25">
      <c r="A3" s="19" t="s">
        <v>50</v>
      </c>
      <c r="B3" s="14" t="s">
        <v>51</v>
      </c>
      <c r="C3" s="17" t="s">
        <v>52</v>
      </c>
      <c r="D3" s="14" t="s">
        <v>53</v>
      </c>
      <c r="G3" s="13"/>
    </row>
    <row r="4" spans="1:7" ht="14.25">
      <c r="A4" s="15" t="s">
        <v>54</v>
      </c>
      <c r="B4" s="18" t="s">
        <v>55</v>
      </c>
      <c r="C4" s="4" t="s">
        <v>52</v>
      </c>
      <c r="D4" s="14" t="s">
        <v>53</v>
      </c>
      <c r="G4" s="13"/>
    </row>
    <row r="5" spans="1:7" ht="14.25">
      <c r="A5" s="15" t="s">
        <v>56</v>
      </c>
      <c r="B5" s="14" t="s">
        <v>57</v>
      </c>
      <c r="C5" s="4" t="s">
        <v>52</v>
      </c>
      <c r="D5" s="14" t="s">
        <v>53</v>
      </c>
      <c r="G5" s="13"/>
    </row>
    <row r="6" spans="1:7" ht="14.25">
      <c r="A6" s="15" t="s">
        <v>58</v>
      </c>
      <c r="B6" s="14" t="s">
        <v>59</v>
      </c>
      <c r="C6" s="4" t="s">
        <v>52</v>
      </c>
      <c r="D6" s="14" t="s">
        <v>53</v>
      </c>
      <c r="G6" s="13"/>
    </row>
    <row r="7" spans="1:7" ht="14.25">
      <c r="A7" s="15" t="s">
        <v>60</v>
      </c>
      <c r="B7" s="14" t="s">
        <v>61</v>
      </c>
      <c r="C7" s="4" t="s">
        <v>52</v>
      </c>
      <c r="D7" s="14" t="s">
        <v>53</v>
      </c>
      <c r="G7" s="13"/>
    </row>
    <row r="8" spans="1:7" ht="14.25">
      <c r="A8" s="15" t="s">
        <v>62</v>
      </c>
      <c r="B8" s="14" t="s">
        <v>63</v>
      </c>
      <c r="C8" s="4" t="s">
        <v>52</v>
      </c>
      <c r="D8" s="14" t="s">
        <v>53</v>
      </c>
      <c r="G8" s="13"/>
    </row>
    <row r="9" spans="1:7" ht="14.25">
      <c r="A9" s="15" t="s">
        <v>64</v>
      </c>
      <c r="B9" s="14" t="s">
        <v>65</v>
      </c>
      <c r="C9" s="4" t="s">
        <v>52</v>
      </c>
      <c r="D9" s="14" t="s">
        <v>53</v>
      </c>
      <c r="G9" s="13"/>
    </row>
    <row r="10" spans="1:7" ht="14.25">
      <c r="A10" s="15" t="s">
        <v>66</v>
      </c>
      <c r="B10" s="14" t="s">
        <v>67</v>
      </c>
      <c r="C10" s="4" t="s">
        <v>52</v>
      </c>
      <c r="D10" s="14" t="s">
        <v>53</v>
      </c>
      <c r="G10" s="13"/>
    </row>
    <row r="11" spans="1:7" ht="14.25">
      <c r="A11" s="15" t="s">
        <v>68</v>
      </c>
      <c r="B11" s="14" t="s">
        <v>69</v>
      </c>
      <c r="C11" s="4" t="s">
        <v>52</v>
      </c>
      <c r="D11" s="14" t="s">
        <v>53</v>
      </c>
      <c r="G11" s="13"/>
    </row>
    <row r="12" spans="1:7" ht="14.25">
      <c r="A12" s="15" t="s">
        <v>70</v>
      </c>
      <c r="B12" s="14" t="s">
        <v>71</v>
      </c>
      <c r="C12" s="4" t="s">
        <v>52</v>
      </c>
      <c r="D12" s="14" t="s">
        <v>53</v>
      </c>
      <c r="G12" s="13"/>
    </row>
    <row r="13" spans="1:7" ht="14.25">
      <c r="A13" s="15" t="s">
        <v>72</v>
      </c>
      <c r="B13" s="14" t="s">
        <v>73</v>
      </c>
      <c r="C13" s="4" t="s">
        <v>52</v>
      </c>
      <c r="D13" s="14" t="s">
        <v>53</v>
      </c>
      <c r="G13" s="13"/>
    </row>
    <row r="14" spans="1:7" ht="14.25">
      <c r="A14" s="15" t="s">
        <v>74</v>
      </c>
      <c r="B14" s="14" t="s">
        <v>75</v>
      </c>
      <c r="C14" s="4" t="s">
        <v>52</v>
      </c>
      <c r="D14" s="14" t="s">
        <v>53</v>
      </c>
      <c r="G14" s="13"/>
    </row>
    <row r="15" spans="1:7" ht="14.25">
      <c r="A15" s="15" t="s">
        <v>76</v>
      </c>
      <c r="B15" s="14" t="s">
        <v>77</v>
      </c>
      <c r="C15" s="4" t="s">
        <v>52</v>
      </c>
      <c r="D15" s="14" t="s">
        <v>53</v>
      </c>
      <c r="G15" s="1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zoomScale="80" zoomScaleNormal="8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201" t="s">
        <v>51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74.25" customHeight="1">
      <c r="A5" s="143" t="s">
        <v>87</v>
      </c>
      <c r="B5" s="137">
        <v>108788.84079602</v>
      </c>
      <c r="C5" s="138">
        <v>176557</v>
      </c>
      <c r="D5" s="133">
        <f>B5-C5</f>
        <v>-67768.159203980002</v>
      </c>
      <c r="E5" s="134">
        <f t="shared" ref="E5:E16" si="0">IFERROR(D5/C5, 0)</f>
        <v>-0.38383161927298265</v>
      </c>
      <c r="F5" s="141">
        <v>245116</v>
      </c>
      <c r="G5" s="68">
        <f>B5-F5</f>
        <v>-136327.15920398</v>
      </c>
      <c r="H5" s="136">
        <f t="shared" ref="H5:H16" si="1">IFERROR(G5/F5, 0)</f>
        <v>-0.55617405311762591</v>
      </c>
      <c r="I5" s="81" t="s">
        <v>88</v>
      </c>
      <c r="J5" s="81" t="s">
        <v>89</v>
      </c>
      <c r="O5" s="5"/>
    </row>
    <row r="6" spans="1:15" ht="106.5" customHeight="1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81"/>
      <c r="J6" s="81"/>
    </row>
    <row r="7" spans="1:15" ht="32.2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81"/>
      <c r="J7" s="81"/>
    </row>
    <row r="8" spans="1:15" ht="13.35" customHeight="1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112"/>
      <c r="J8" s="112"/>
    </row>
    <row r="9" spans="1:15" ht="13.3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113"/>
      <c r="J9" s="114"/>
    </row>
    <row r="10" spans="1:15" ht="19.5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112"/>
      <c r="J10" s="112"/>
    </row>
    <row r="11" spans="1:15" ht="66" customHeight="1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113"/>
      <c r="J11" s="114"/>
    </row>
    <row r="12" spans="1:15" ht="15.75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1"/>
      <c r="J12" s="81"/>
    </row>
    <row r="13" spans="1:15" ht="77.2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1"/>
      <c r="J13" s="81"/>
    </row>
    <row r="14" spans="1:15" ht="13.3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1"/>
    </row>
    <row r="15" spans="1:15" ht="13.3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1"/>
      <c r="J15" s="81"/>
    </row>
    <row r="16" spans="1:15" ht="13.35" customHeight="1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115"/>
      <c r="J16" s="115"/>
    </row>
    <row r="17" spans="1:15" ht="13.35" customHeight="1">
      <c r="A17" s="26" t="s">
        <v>101</v>
      </c>
      <c r="B17" s="27">
        <f>SUM(B5:B16)</f>
        <v>108788.84079602</v>
      </c>
      <c r="C17" s="27">
        <f t="shared" ref="C17:F17" si="4">SUM(C5:C16)</f>
        <v>176557</v>
      </c>
      <c r="D17" s="27">
        <f>B17-C17</f>
        <v>-67768.159203980002</v>
      </c>
      <c r="E17" s="28">
        <f>IFERROR(D17/C17, 0)</f>
        <v>-0.38383161927298265</v>
      </c>
      <c r="F17" s="27">
        <f t="shared" si="4"/>
        <v>245116</v>
      </c>
      <c r="G17" s="27">
        <f>B17-F17</f>
        <v>-136327.15920398</v>
      </c>
      <c r="H17" s="29">
        <f>IFERROR(G17/F17, 0)</f>
        <v>-0.55617405311762591</v>
      </c>
      <c r="I17" s="30"/>
      <c r="J17" s="30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207" priority="1" operator="lessThanOrEqual">
      <formula>-0.1</formula>
    </cfRule>
    <cfRule type="cellIs" dxfId="206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zoomScale="90" zoomScaleNormal="90" workbookViewId="0">
      <selection activeCell="I9" sqref="I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55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33" customHeight="1">
      <c r="A5" s="143" t="s">
        <v>87</v>
      </c>
      <c r="B5" s="137">
        <v>41686.144680853897</v>
      </c>
      <c r="C5" s="138">
        <v>61398.720000000001</v>
      </c>
      <c r="D5" s="133">
        <f>B5-C5</f>
        <v>-19712.575319146104</v>
      </c>
      <c r="E5" s="134">
        <f t="shared" ref="E5:E16" si="0">IFERROR(D5/C5, 0)</f>
        <v>-0.32105840836985045</v>
      </c>
      <c r="F5" s="141">
        <v>84576.48</v>
      </c>
      <c r="G5" s="68">
        <f>B5-F5</f>
        <v>-42890.335319146099</v>
      </c>
      <c r="H5" s="136">
        <f t="shared" ref="H5:H16" si="1">IFERROR(G5/F5, 0)</f>
        <v>-0.50711894511507338</v>
      </c>
      <c r="I5" s="177" t="s">
        <v>102</v>
      </c>
      <c r="J5" s="81" t="s">
        <v>103</v>
      </c>
      <c r="O5" s="5"/>
    </row>
    <row r="6" spans="1:15" ht="13.35" customHeight="1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80"/>
      <c r="J6" s="80"/>
    </row>
    <row r="7" spans="1:15" ht="49.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81"/>
      <c r="J7" s="81"/>
    </row>
    <row r="8" spans="1:15" ht="13.35" customHeight="1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118"/>
      <c r="J8" s="118"/>
    </row>
    <row r="9" spans="1:15" ht="13.3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121"/>
      <c r="J9" s="122"/>
    </row>
    <row r="10" spans="1:15" ht="60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81"/>
      <c r="J10" s="81"/>
    </row>
    <row r="11" spans="1:15" ht="13.35" customHeight="1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82"/>
      <c r="J11" s="82"/>
    </row>
    <row r="12" spans="1:15" ht="33.75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1"/>
      <c r="J12" s="81"/>
    </row>
    <row r="13" spans="1:15" ht="48.7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1"/>
      <c r="J13" s="81"/>
    </row>
    <row r="14" spans="1:15" ht="13.3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2"/>
    </row>
    <row r="15" spans="1:15" ht="65.2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1"/>
      <c r="J15" s="81"/>
    </row>
    <row r="16" spans="1:15" ht="14.25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174"/>
      <c r="J16" s="174"/>
    </row>
    <row r="17" spans="1:15" ht="13.35" customHeight="1">
      <c r="A17" s="152" t="s">
        <v>101</v>
      </c>
      <c r="B17" s="153">
        <f>SUM(B5:B16)</f>
        <v>41686.144680853897</v>
      </c>
      <c r="C17" s="153">
        <f t="shared" ref="C17:F17" si="4">SUM(C5:C16)</f>
        <v>61398.720000000001</v>
      </c>
      <c r="D17" s="153">
        <f>B17-C17</f>
        <v>-19712.575319146104</v>
      </c>
      <c r="E17" s="154">
        <f>IFERROR(D17/C17, 0)</f>
        <v>-0.32105840836985045</v>
      </c>
      <c r="F17" s="153">
        <f t="shared" si="4"/>
        <v>84576.48</v>
      </c>
      <c r="G17" s="153">
        <f>B17-F17</f>
        <v>-42890.335319146099</v>
      </c>
      <c r="H17" s="155">
        <f>IFERROR(G17/F17, 0)</f>
        <v>-0.50711894511507338</v>
      </c>
      <c r="I17" s="30"/>
      <c r="J17" s="30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91" priority="1" operator="lessThanOrEqual">
      <formula>-0.1</formula>
    </cfRule>
    <cfRule type="cellIs" dxfId="19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0"/>
  <sheetViews>
    <sheetView topLeftCell="B1" zoomScale="90" zoomScaleNormal="90" workbookViewId="0">
      <selection activeCell="I12" sqref="I12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57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5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57">
      <c r="A5" s="143" t="s">
        <v>87</v>
      </c>
      <c r="B5" s="137">
        <v>55436</v>
      </c>
      <c r="C5" s="138">
        <v>67352.87</v>
      </c>
      <c r="D5" s="133">
        <f>B5-C5</f>
        <v>-11916.869999999995</v>
      </c>
      <c r="E5" s="134">
        <f t="shared" ref="E5:E16" si="0">IFERROR(D5/C5, 0)</f>
        <v>-0.17693188129919329</v>
      </c>
      <c r="F5" s="141">
        <v>63727.01</v>
      </c>
      <c r="G5" s="68">
        <f>B5-F5</f>
        <v>-8291.010000000002</v>
      </c>
      <c r="H5" s="136">
        <f t="shared" ref="H5:H16" si="1">IFERROR(G5/F5, 0)</f>
        <v>-0.13010197716792302</v>
      </c>
      <c r="I5" s="79" t="s">
        <v>104</v>
      </c>
      <c r="J5" s="63" t="s">
        <v>105</v>
      </c>
      <c r="O5" s="5"/>
    </row>
    <row r="6" spans="1:15" ht="14.25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79"/>
      <c r="J6" s="63"/>
    </row>
    <row r="7" spans="1:15" ht="14.25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79"/>
      <c r="J7" s="62"/>
    </row>
    <row r="8" spans="1:15" ht="14.25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78"/>
      <c r="J8" s="62"/>
    </row>
    <row r="9" spans="1:15" ht="63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79"/>
      <c r="J9" s="63"/>
    </row>
    <row r="10" spans="1:15" ht="66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79"/>
      <c r="J10" s="63"/>
    </row>
    <row r="11" spans="1:15" ht="14.25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63"/>
      <c r="J11" s="63"/>
    </row>
    <row r="12" spans="1:15" ht="14.25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63"/>
      <c r="J12" s="63"/>
    </row>
    <row r="13" spans="1:15" ht="14.25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63"/>
      <c r="J13" s="63"/>
    </row>
    <row r="14" spans="1:15" ht="14.25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63"/>
      <c r="J14" s="63"/>
    </row>
    <row r="15" spans="1:15" ht="78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63"/>
      <c r="J15" s="63"/>
    </row>
    <row r="16" spans="1:15" ht="14.25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76"/>
      <c r="J16" s="76"/>
    </row>
    <row r="17" spans="1:15" ht="14.25">
      <c r="A17" s="26" t="s">
        <v>101</v>
      </c>
      <c r="B17" s="108">
        <f>SUM(B5:B16)</f>
        <v>55436</v>
      </c>
      <c r="C17" s="108">
        <f t="shared" ref="C17:F17" si="4">SUM(C5:C16)</f>
        <v>67352.87</v>
      </c>
      <c r="D17" s="108">
        <f>B17-C17</f>
        <v>-11916.869999999995</v>
      </c>
      <c r="E17" s="109">
        <f>IFERROR(D17/C17, 0)</f>
        <v>-0.17693188129919329</v>
      </c>
      <c r="F17" s="108">
        <f t="shared" si="4"/>
        <v>63727.01</v>
      </c>
      <c r="G17" s="108">
        <f>B17-F17</f>
        <v>-8291.010000000002</v>
      </c>
      <c r="H17" s="110">
        <f>IFERROR(G17/F17, 0)</f>
        <v>-0.13010197716792302</v>
      </c>
      <c r="I17" s="111"/>
      <c r="J17" s="111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75" priority="1" operator="lessThanOrEqual">
      <formula>-0.1</formula>
    </cfRule>
    <cfRule type="cellIs" dxfId="17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E75-1EC8-4BDA-8175-FAF2B4D842B8}">
  <sheetPr codeName="Sheet22">
    <tabColor rgb="FFFFFF00"/>
  </sheetPr>
  <dimension ref="A1:O20"/>
  <sheetViews>
    <sheetView zoomScale="90" zoomScaleNormal="90" workbookViewId="0">
      <selection activeCell="I23" sqref="I23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59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3.35" customHeight="1">
      <c r="A5" s="143" t="s">
        <v>87</v>
      </c>
      <c r="B5" s="131">
        <v>67619</v>
      </c>
      <c r="C5" s="156">
        <v>73871.03</v>
      </c>
      <c r="D5" s="133">
        <f>B5-C5</f>
        <v>-6252.0299999999988</v>
      </c>
      <c r="E5" s="134">
        <f t="shared" ref="E5:E16" si="0">IFERROR(D5/C5, 0)</f>
        <v>-8.4634395919482894E-2</v>
      </c>
      <c r="F5" s="135">
        <v>79420.95</v>
      </c>
      <c r="G5" s="68">
        <f>B5-F5</f>
        <v>-11801.949999999997</v>
      </c>
      <c r="H5" s="136">
        <f t="shared" ref="H5:H16" si="1">IFERROR(G5/F5, 0)</f>
        <v>-0.14859996008609816</v>
      </c>
      <c r="I5" s="82"/>
      <c r="J5" s="82"/>
      <c r="O5" s="5"/>
    </row>
    <row r="6" spans="1:15" ht="32.25" customHeight="1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81"/>
      <c r="J6" s="81"/>
    </row>
    <row r="7" spans="1:15" ht="13.3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82"/>
      <c r="J7" s="82"/>
    </row>
    <row r="8" spans="1:15" ht="13.35" customHeight="1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91"/>
      <c r="J8" s="82"/>
    </row>
    <row r="9" spans="1:15" ht="13.3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81"/>
      <c r="J9" s="82"/>
    </row>
    <row r="10" spans="1:15" ht="15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81"/>
      <c r="J10" s="82"/>
    </row>
    <row r="11" spans="1:15" ht="13.35" customHeight="1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82"/>
      <c r="J11" s="82"/>
    </row>
    <row r="12" spans="1:15" ht="13.35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2"/>
      <c r="J12" s="82"/>
    </row>
    <row r="13" spans="1:15" ht="13.3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2"/>
      <c r="J13" s="82"/>
    </row>
    <row r="14" spans="1:15" ht="4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1"/>
    </row>
    <row r="15" spans="1:15" ht="27.7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2"/>
      <c r="J15" s="82"/>
    </row>
    <row r="16" spans="1:15" ht="13.35" customHeight="1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84"/>
      <c r="J16" s="84"/>
    </row>
    <row r="17" spans="1:15" ht="13.35" customHeight="1">
      <c r="A17" s="152" t="s">
        <v>101</v>
      </c>
      <c r="B17" s="157">
        <f>SUM(B5:B16)</f>
        <v>67619</v>
      </c>
      <c r="C17" s="157">
        <f t="shared" ref="C17:F17" si="4">SUM(C5:C16)</f>
        <v>73871.03</v>
      </c>
      <c r="D17" s="157">
        <f>B17-C17</f>
        <v>-6252.0299999999988</v>
      </c>
      <c r="E17" s="158">
        <f>IFERROR(D17/C17, 0)</f>
        <v>-8.4634395919482894E-2</v>
      </c>
      <c r="F17" s="157">
        <f t="shared" si="4"/>
        <v>79420.95</v>
      </c>
      <c r="G17" s="157">
        <f>B17-F17</f>
        <v>-11801.949999999997</v>
      </c>
      <c r="H17" s="159">
        <f>IFERROR(G17/F17, 0)</f>
        <v>-0.14859996008609816</v>
      </c>
      <c r="I17" s="111"/>
      <c r="J17" s="111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59" priority="1" operator="lessThanOrEqual">
      <formula>-0.1</formula>
    </cfRule>
    <cfRule type="cellIs" dxfId="15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948-5DBB-4934-87C3-6A89FE70D843}">
  <sheetPr codeName="Sheet23">
    <tabColor rgb="FFFFFF00"/>
  </sheetPr>
  <dimension ref="A1:O20"/>
  <sheetViews>
    <sheetView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61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3.35" customHeight="1">
      <c r="A5" s="143" t="s">
        <v>87</v>
      </c>
      <c r="B5" s="131">
        <v>41541.11</v>
      </c>
      <c r="C5" s="132">
        <v>80016.27</v>
      </c>
      <c r="D5" s="133">
        <f>B5-C5</f>
        <v>-38475.160000000003</v>
      </c>
      <c r="E5" s="134">
        <f t="shared" ref="E5:E16" si="0">IFERROR(D5/C5, 0)</f>
        <v>-0.48084170881746929</v>
      </c>
      <c r="F5" s="135">
        <v>78833</v>
      </c>
      <c r="G5" s="68">
        <f>B5-F5</f>
        <v>-37291.89</v>
      </c>
      <c r="H5" s="136">
        <f t="shared" ref="H5:H16" si="1">IFERROR(G5/F5, 0)</f>
        <v>-0.47304923065213805</v>
      </c>
      <c r="I5" s="62" t="s">
        <v>106</v>
      </c>
      <c r="J5" s="62" t="s">
        <v>107</v>
      </c>
      <c r="O5" s="5"/>
    </row>
    <row r="6" spans="1:15" ht="13.35" customHeight="1">
      <c r="A6" s="100" t="s">
        <v>90</v>
      </c>
      <c r="B6" s="131"/>
      <c r="C6" s="137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62"/>
      <c r="J6" s="62"/>
    </row>
    <row r="7" spans="1:15" ht="13.3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62"/>
      <c r="J7" s="62"/>
    </row>
    <row r="8" spans="1:15" ht="13.35" customHeight="1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62"/>
      <c r="J8" s="62"/>
    </row>
    <row r="9" spans="1:15" ht="13.3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63"/>
      <c r="J9" s="62"/>
    </row>
    <row r="10" spans="1:15" ht="13.35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63"/>
      <c r="J10" s="62"/>
    </row>
    <row r="11" spans="1:15" ht="13.35" customHeight="1">
      <c r="A11" s="100" t="s">
        <v>95</v>
      </c>
      <c r="B11" s="137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62"/>
      <c r="J11" s="62"/>
    </row>
    <row r="12" spans="1:15" ht="13.35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62"/>
      <c r="J12" s="62"/>
    </row>
    <row r="13" spans="1:15" ht="13.3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62"/>
      <c r="J13" s="62"/>
    </row>
    <row r="14" spans="1:15" ht="13.3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63"/>
      <c r="J14" s="62"/>
    </row>
    <row r="15" spans="1:15" ht="33.7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63"/>
      <c r="J15" s="63"/>
    </row>
    <row r="16" spans="1:15" ht="13.35" customHeight="1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77"/>
      <c r="J16" s="77"/>
    </row>
    <row r="17" spans="1:15" ht="13.35" customHeight="1">
      <c r="A17" s="26" t="s">
        <v>101</v>
      </c>
      <c r="B17" s="108">
        <f>SUM(B5:B16)</f>
        <v>41541.11</v>
      </c>
      <c r="C17" s="108">
        <f t="shared" ref="C17:F17" si="4">SUM(C5:C16)</f>
        <v>80016.27</v>
      </c>
      <c r="D17" s="108">
        <f>B17-C17</f>
        <v>-38475.160000000003</v>
      </c>
      <c r="E17" s="109">
        <f>IFERROR(D17/C17, 0)</f>
        <v>-0.48084170881746929</v>
      </c>
      <c r="F17" s="108">
        <f t="shared" si="4"/>
        <v>78833</v>
      </c>
      <c r="G17" s="108">
        <f>B17-F17</f>
        <v>-37291.89</v>
      </c>
      <c r="H17" s="110">
        <f>IFERROR(G17/F17, 0)</f>
        <v>-0.47304923065213805</v>
      </c>
      <c r="I17" s="111"/>
      <c r="J17" s="111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43" priority="1" operator="lessThanOrEqual">
      <formula>-0.1</formula>
    </cfRule>
    <cfRule type="cellIs" dxfId="14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91FA-534A-4F59-A9AE-A70764A2D848}">
  <sheetPr codeName="Sheet24">
    <tabColor rgb="FFFFFF00"/>
  </sheetPr>
  <dimension ref="A1:O20"/>
  <sheetViews>
    <sheetView zoomScale="80" zoomScaleNormal="80"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63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5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4.25">
      <c r="A5" s="143" t="s">
        <v>87</v>
      </c>
      <c r="B5" s="160">
        <v>86149.119999999995</v>
      </c>
      <c r="C5" s="161">
        <v>150506.79999999999</v>
      </c>
      <c r="D5" s="133">
        <f>B5-C5</f>
        <v>-64357.679999999993</v>
      </c>
      <c r="E5" s="134">
        <f t="shared" ref="E5:E16" si="0">IFERROR(D5/C5, 0)</f>
        <v>-0.42760646030611238</v>
      </c>
      <c r="F5" s="135">
        <v>151308.70000000001</v>
      </c>
      <c r="G5" s="68">
        <f>B5-F5</f>
        <v>-65159.580000000016</v>
      </c>
      <c r="H5" s="136">
        <f t="shared" ref="H5:H16" si="1">IFERROR(G5/F5, 0)</f>
        <v>-0.43064000946409564</v>
      </c>
      <c r="I5" s="62" t="s">
        <v>106</v>
      </c>
      <c r="J5" s="62" t="s">
        <v>107</v>
      </c>
      <c r="O5" s="5"/>
    </row>
    <row r="6" spans="1:15" ht="14.25">
      <c r="A6" s="100" t="s">
        <v>90</v>
      </c>
      <c r="B6" s="162"/>
      <c r="C6" s="163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62"/>
      <c r="J6" s="82"/>
    </row>
    <row r="7" spans="1:15" ht="14.25">
      <c r="A7" s="100" t="s">
        <v>91</v>
      </c>
      <c r="B7" s="162"/>
      <c r="C7" s="163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62"/>
      <c r="J7" s="82"/>
    </row>
    <row r="8" spans="1:15" ht="14.25">
      <c r="A8" s="100" t="s">
        <v>92</v>
      </c>
      <c r="B8" s="162"/>
      <c r="C8" s="163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119"/>
      <c r="J8" s="123"/>
    </row>
    <row r="9" spans="1:15" ht="14.25">
      <c r="A9" s="100" t="s">
        <v>93</v>
      </c>
      <c r="B9" s="162"/>
      <c r="C9" s="163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81"/>
      <c r="J9" s="82"/>
    </row>
    <row r="10" spans="1:15" ht="14.25">
      <c r="A10" s="100" t="s">
        <v>94</v>
      </c>
      <c r="B10" s="162"/>
      <c r="C10" s="163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125"/>
      <c r="J10" s="82"/>
    </row>
    <row r="11" spans="1:15" ht="14.25">
      <c r="A11" s="100" t="s">
        <v>95</v>
      </c>
      <c r="B11" s="164"/>
      <c r="C11" s="164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81"/>
      <c r="J11" s="82"/>
    </row>
    <row r="12" spans="1:15" ht="14.25">
      <c r="A12" s="100" t="s">
        <v>96</v>
      </c>
      <c r="B12" s="164"/>
      <c r="C12" s="164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1"/>
      <c r="J12" s="82"/>
    </row>
    <row r="13" spans="1:15" ht="14.25">
      <c r="A13" s="100" t="s">
        <v>97</v>
      </c>
      <c r="B13" s="164"/>
      <c r="C13" s="164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1"/>
      <c r="J13" s="82"/>
    </row>
    <row r="14" spans="1:15" ht="14.25">
      <c r="A14" s="100" t="s">
        <v>98</v>
      </c>
      <c r="B14" s="164"/>
      <c r="C14" s="164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2"/>
    </row>
    <row r="15" spans="1:15" ht="14.25">
      <c r="A15" s="100" t="s">
        <v>99</v>
      </c>
      <c r="B15" s="165"/>
      <c r="C15" s="16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1"/>
      <c r="J15" s="81"/>
    </row>
    <row r="16" spans="1:15" ht="14.25">
      <c r="A16" s="144" t="s">
        <v>100</v>
      </c>
      <c r="B16" s="166"/>
      <c r="C16" s="166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84"/>
      <c r="J16" s="84"/>
    </row>
    <row r="17" spans="1:15" ht="14.25">
      <c r="A17" s="26" t="s">
        <v>101</v>
      </c>
      <c r="B17" s="108">
        <f>SUM(B5:B16)</f>
        <v>86149.119999999995</v>
      </c>
      <c r="C17" s="108">
        <f t="shared" ref="C17:F17" si="4">SUM(C5:C16)</f>
        <v>150506.79999999999</v>
      </c>
      <c r="D17" s="108">
        <f>B17-C17</f>
        <v>-64357.679999999993</v>
      </c>
      <c r="E17" s="109">
        <f>IFERROR(D17/C17, 0)</f>
        <v>-0.42760646030611238</v>
      </c>
      <c r="F17" s="108">
        <f t="shared" si="4"/>
        <v>151308.70000000001</v>
      </c>
      <c r="G17" s="108">
        <f>B17-F17</f>
        <v>-65159.580000000016</v>
      </c>
      <c r="H17" s="110">
        <f>IFERROR(G17/F17, 0)</f>
        <v>-0.43064000946409564</v>
      </c>
      <c r="I17" s="111"/>
      <c r="J17" s="111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27" priority="1" operator="lessThanOrEqual">
      <formula>-0.1</formula>
    </cfRule>
    <cfRule type="cellIs" dxfId="12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A71-5E79-4031-8921-6A4F1831EF88}">
  <sheetPr codeName="Sheet25">
    <tabColor rgb="FFFFFF00"/>
  </sheetPr>
  <dimension ref="A1:O20"/>
  <sheetViews>
    <sheetView zoomScale="80" zoomScaleNormal="80"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7.42578125" customWidth="1"/>
    <col min="10" max="10" width="21.42578125" customWidth="1"/>
  </cols>
  <sheetData>
    <row r="1" spans="1:15" ht="25.15">
      <c r="A1" s="201" t="s">
        <v>65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3.35" customHeight="1">
      <c r="A5" s="143" t="s">
        <v>87</v>
      </c>
      <c r="B5" s="131">
        <v>85549.466400001198</v>
      </c>
      <c r="C5" s="132">
        <v>154184.79999999999</v>
      </c>
      <c r="D5" s="133">
        <f>B5-C5</f>
        <v>-68635.33359999879</v>
      </c>
      <c r="E5" s="134">
        <f t="shared" ref="E5:E16" si="0">IFERROR(D5/C5, 0)</f>
        <v>-0.44514980464999659</v>
      </c>
      <c r="F5" s="135">
        <v>157760</v>
      </c>
      <c r="G5" s="68">
        <f>B5-F5</f>
        <v>-72210.533599998802</v>
      </c>
      <c r="H5" s="136">
        <f t="shared" ref="H5:H16" si="1">IFERROR(G5/F5, 0)</f>
        <v>-0.45772397058822772</v>
      </c>
      <c r="I5" s="62" t="s">
        <v>106</v>
      </c>
      <c r="J5" s="62" t="s">
        <v>107</v>
      </c>
      <c r="O5" s="5"/>
    </row>
    <row r="6" spans="1:15" ht="13.35" customHeight="1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82"/>
      <c r="J6" s="82"/>
    </row>
    <row r="7" spans="1:15" ht="13.3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82"/>
      <c r="J7" s="82"/>
    </row>
    <row r="8" spans="1:15" ht="13.35" customHeight="1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82"/>
      <c r="J8" s="82"/>
    </row>
    <row r="9" spans="1:15" ht="13.3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81"/>
      <c r="J9" s="82"/>
    </row>
    <row r="10" spans="1:15" ht="33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81"/>
      <c r="J10" s="82"/>
    </row>
    <row r="11" spans="1:15" ht="32.450000000000003" customHeight="1">
      <c r="A11" s="100" t="s">
        <v>95</v>
      </c>
      <c r="B11" s="137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81"/>
      <c r="J11" s="82"/>
    </row>
    <row r="12" spans="1:15" ht="13.35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2"/>
      <c r="J12" s="82"/>
    </row>
    <row r="13" spans="1:15" ht="13.3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2"/>
      <c r="J13" s="82"/>
    </row>
    <row r="14" spans="1:15" ht="46.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2"/>
    </row>
    <row r="15" spans="1:15" ht="96.7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1"/>
      <c r="J15" s="81"/>
    </row>
    <row r="16" spans="1:15" ht="13.35" customHeight="1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175"/>
      <c r="J16" s="175"/>
    </row>
    <row r="17" spans="1:15" ht="13.35" customHeight="1">
      <c r="A17" s="26" t="s">
        <v>101</v>
      </c>
      <c r="B17" s="108">
        <f>SUM(B5:B16)</f>
        <v>85549.466400001198</v>
      </c>
      <c r="C17" s="108">
        <f t="shared" ref="C17:F17" si="4">SUM(C5:C16)</f>
        <v>154184.79999999999</v>
      </c>
      <c r="D17" s="108">
        <f>B17-C17</f>
        <v>-68635.33359999879</v>
      </c>
      <c r="E17" s="109">
        <f>IFERROR(D17/C17, 0)</f>
        <v>-0.44514980464999659</v>
      </c>
      <c r="F17" s="108">
        <f t="shared" si="4"/>
        <v>157760</v>
      </c>
      <c r="G17" s="108">
        <f>B17-F17</f>
        <v>-72210.533599998802</v>
      </c>
      <c r="H17" s="110">
        <f>IFERROR(G17/F17, 0)</f>
        <v>-0.45772397058822772</v>
      </c>
      <c r="I17" s="111"/>
      <c r="J17" s="111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11" priority="1" operator="lessThanOrEqual">
      <formula>-0.1</formula>
    </cfRule>
    <cfRule type="cellIs" dxfId="11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0CF4-28D7-4AC1-88AA-26AD70AD233C}">
  <sheetPr codeName="Sheet26">
    <tabColor rgb="FFFFFF00"/>
  </sheetPr>
  <dimension ref="A1:O20"/>
  <sheetViews>
    <sheetView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8.140625" customWidth="1"/>
    <col min="10" max="10" width="21.42578125" customWidth="1"/>
  </cols>
  <sheetData>
    <row r="1" spans="1:15" ht="25.15">
      <c r="A1" s="201" t="s">
        <v>67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28.5">
      <c r="A5" s="143" t="s">
        <v>87</v>
      </c>
      <c r="B5" s="131">
        <v>83292.5</v>
      </c>
      <c r="C5" s="132">
        <v>147678.6</v>
      </c>
      <c r="D5" s="133">
        <f>B5-C5</f>
        <v>-64386.100000000006</v>
      </c>
      <c r="E5" s="134">
        <f t="shared" ref="E5:E16" si="0">IFERROR(D5/C5, 0)</f>
        <v>-0.43598801722118169</v>
      </c>
      <c r="F5" s="135">
        <v>154754.9</v>
      </c>
      <c r="G5" s="68">
        <f>B5-F5</f>
        <v>-71462.399999999994</v>
      </c>
      <c r="H5" s="136">
        <f t="shared" ref="H5:H16" si="1">IFERROR(G5/F5, 0)</f>
        <v>-0.46177794693415197</v>
      </c>
      <c r="I5" s="81" t="s">
        <v>108</v>
      </c>
      <c r="J5" s="81" t="s">
        <v>109</v>
      </c>
      <c r="O5" s="5"/>
    </row>
    <row r="6" spans="1:15" ht="13.35" customHeight="1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82"/>
      <c r="J6" s="118"/>
    </row>
    <row r="7" spans="1:15" ht="13.3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82"/>
      <c r="J7" s="118"/>
    </row>
    <row r="8" spans="1:15" ht="14.25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119"/>
      <c r="J8" s="120"/>
    </row>
    <row r="9" spans="1:15" ht="29.2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85"/>
      <c r="J9" s="85"/>
    </row>
    <row r="10" spans="1:15" ht="20.25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85"/>
      <c r="J10" s="86"/>
    </row>
    <row r="11" spans="1:15" ht="44.25" customHeight="1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85"/>
      <c r="J11" s="86"/>
    </row>
    <row r="12" spans="1:15" ht="47.1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1"/>
      <c r="J12" s="81"/>
    </row>
    <row r="13" spans="1:15" ht="95.2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1"/>
      <c r="J13" s="81"/>
    </row>
    <row r="14" spans="1:15" ht="13.3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2"/>
    </row>
    <row r="15" spans="1:15" ht="116.4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1"/>
      <c r="J15" s="81"/>
    </row>
    <row r="16" spans="1:15" ht="28.9" customHeight="1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174"/>
      <c r="J16" s="174"/>
    </row>
    <row r="17" spans="1:15" ht="13.35" customHeight="1">
      <c r="A17" s="26" t="s">
        <v>101</v>
      </c>
      <c r="B17" s="108">
        <f>SUM(B5:B16)</f>
        <v>83292.5</v>
      </c>
      <c r="C17" s="108">
        <f t="shared" ref="C17:F17" si="4">SUM(C5:C16)</f>
        <v>147678.6</v>
      </c>
      <c r="D17" s="108">
        <f>B17-C17</f>
        <v>-64386.100000000006</v>
      </c>
      <c r="E17" s="109">
        <f>IFERROR(D17/C17, 0)</f>
        <v>-0.43598801722118169</v>
      </c>
      <c r="F17" s="108">
        <f t="shared" si="4"/>
        <v>154754.9</v>
      </c>
      <c r="G17" s="108">
        <f>B17-F17</f>
        <v>-71462.399999999994</v>
      </c>
      <c r="H17" s="110">
        <f>IFERROR(G17/F17, 0)</f>
        <v>-0.46177794693415197</v>
      </c>
      <c r="I17" s="111"/>
      <c r="J17" s="111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95" priority="1" operator="lessThanOrEqual">
      <formula>-0.1</formula>
    </cfRule>
    <cfRule type="cellIs" dxfId="9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EF1-12CA-4F2E-B504-1435118765CA}">
  <sheetPr codeName="Sheet27">
    <tabColor rgb="FFFFFF00"/>
  </sheetPr>
  <dimension ref="A1:O20"/>
  <sheetViews>
    <sheetView zoomScale="90" zoomScaleNormal="90" workbookViewId="0">
      <selection activeCell="J5" sqref="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1.28515625" customWidth="1"/>
    <col min="10" max="10" width="21.42578125" customWidth="1"/>
  </cols>
  <sheetData>
    <row r="1" spans="1:15" ht="25.15">
      <c r="A1" s="201" t="s">
        <v>69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5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71.25">
      <c r="A5" s="143" t="s">
        <v>87</v>
      </c>
      <c r="B5" s="131">
        <v>78703</v>
      </c>
      <c r="C5" s="132">
        <v>125159</v>
      </c>
      <c r="D5" s="133">
        <f>B5-C5</f>
        <v>-46456</v>
      </c>
      <c r="E5" s="134">
        <f t="shared" ref="E5:E16" si="0">IFERROR(D5/C5, 0)</f>
        <v>-0.37117586430060961</v>
      </c>
      <c r="F5" s="135">
        <v>148483.1</v>
      </c>
      <c r="G5" s="68">
        <f>B5-F5</f>
        <v>-69780.100000000006</v>
      </c>
      <c r="H5" s="136">
        <f t="shared" ref="H5:H16" si="1">IFERROR(G5/F5, 0)</f>
        <v>-0.4699531461829663</v>
      </c>
      <c r="I5" s="63" t="s">
        <v>110</v>
      </c>
      <c r="J5" s="63" t="s">
        <v>111</v>
      </c>
      <c r="O5" s="5"/>
    </row>
    <row r="6" spans="1:15" ht="14.25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62"/>
      <c r="J6" s="124"/>
    </row>
    <row r="7" spans="1:15" ht="14.25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62"/>
      <c r="J7" s="124"/>
    </row>
    <row r="8" spans="1:15" ht="14.25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124"/>
      <c r="J8" s="124"/>
    </row>
    <row r="9" spans="1:15" ht="75.7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63"/>
      <c r="J9" s="63"/>
    </row>
    <row r="10" spans="1:15" ht="65.25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63"/>
      <c r="J10" s="63"/>
    </row>
    <row r="11" spans="1:15" ht="14.25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63"/>
      <c r="J11" s="63"/>
    </row>
    <row r="12" spans="1:15" ht="14.25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63"/>
      <c r="J12" s="63"/>
    </row>
    <row r="13" spans="1:15" ht="14.25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63"/>
      <c r="J13" s="63"/>
    </row>
    <row r="14" spans="1:15" ht="14.25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63"/>
      <c r="J14" s="62"/>
    </row>
    <row r="15" spans="1:15" ht="90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63"/>
      <c r="J15" s="63"/>
    </row>
    <row r="16" spans="1:15" ht="14.25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176"/>
      <c r="J16" s="176"/>
    </row>
    <row r="17" spans="1:15" ht="14.25">
      <c r="A17" s="26" t="s">
        <v>101</v>
      </c>
      <c r="B17" s="108">
        <f>SUM(B5:B16)</f>
        <v>78703</v>
      </c>
      <c r="C17" s="108">
        <f t="shared" ref="C17:F17" si="4">SUM(C5:C16)</f>
        <v>125159</v>
      </c>
      <c r="D17" s="108">
        <f>B17-C17</f>
        <v>-46456</v>
      </c>
      <c r="E17" s="109">
        <f>IFERROR(D17/C17, 0)</f>
        <v>-0.37117586430060961</v>
      </c>
      <c r="F17" s="108">
        <f t="shared" si="4"/>
        <v>148483.1</v>
      </c>
      <c r="G17" s="108">
        <f>B17-F17</f>
        <v>-69780.100000000006</v>
      </c>
      <c r="H17" s="110">
        <f>IFERROR(G17/F17, 0)</f>
        <v>-0.4699531461829663</v>
      </c>
      <c r="I17" s="111"/>
      <c r="J17" s="111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79" priority="1" operator="lessThanOrEqual">
      <formula>-0.1</formula>
    </cfRule>
    <cfRule type="cellIs" dxfId="78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B0E-92E3-425E-9B70-A5D72654A3A5}">
  <sheetPr codeName="Sheet28">
    <tabColor rgb="FFFFFF00"/>
  </sheetPr>
  <dimension ref="A1:O20"/>
  <sheetViews>
    <sheetView zoomScale="90" zoomScaleNormal="90" workbookViewId="0">
      <selection activeCell="I35" sqref="I3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71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3.35" customHeight="1">
      <c r="A5" s="143" t="s">
        <v>87</v>
      </c>
      <c r="B5" s="131">
        <v>21302</v>
      </c>
      <c r="C5" s="132">
        <v>36938.76</v>
      </c>
      <c r="D5" s="133">
        <f>B5-C5</f>
        <v>-15636.760000000002</v>
      </c>
      <c r="E5" s="134">
        <f t="shared" ref="E5:E16" si="0">IFERROR(D5/C5, 0)</f>
        <v>-0.42331577995579717</v>
      </c>
      <c r="F5" s="135">
        <v>38086.07</v>
      </c>
      <c r="G5" s="68">
        <f>B5-F5</f>
        <v>-16784.07</v>
      </c>
      <c r="H5" s="136">
        <f t="shared" ref="H5:H16" si="1">IFERROR(G5/F5, 0)</f>
        <v>-0.44068789455042223</v>
      </c>
      <c r="I5" s="62" t="s">
        <v>106</v>
      </c>
      <c r="J5" s="62" t="s">
        <v>107</v>
      </c>
      <c r="O5" s="5"/>
    </row>
    <row r="6" spans="1:15" ht="13.35" customHeight="1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92"/>
      <c r="J6" s="82"/>
    </row>
    <row r="7" spans="1:15" ht="13.3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92"/>
      <c r="J7" s="82"/>
    </row>
    <row r="8" spans="1:15" ht="13.35" customHeight="1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82"/>
      <c r="J8" s="82"/>
    </row>
    <row r="9" spans="1:15" ht="13.3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81"/>
      <c r="J9" s="82"/>
    </row>
    <row r="10" spans="1:15" ht="13.35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81"/>
      <c r="J10" s="82"/>
    </row>
    <row r="11" spans="1:15" ht="14.25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117"/>
      <c r="J11" s="82"/>
    </row>
    <row r="12" spans="1:15" ht="13.35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2"/>
      <c r="J12" s="62"/>
    </row>
    <row r="13" spans="1:15" ht="13.3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2"/>
      <c r="J13" s="82"/>
    </row>
    <row r="14" spans="1:15" ht="13.3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2"/>
    </row>
    <row r="15" spans="1:15" ht="13.3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2"/>
      <c r="J15" s="82"/>
    </row>
    <row r="16" spans="1:15" ht="13.35" customHeight="1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84"/>
      <c r="J16" s="84"/>
    </row>
    <row r="17" spans="1:15" ht="13.35" customHeight="1">
      <c r="A17" s="26" t="s">
        <v>101</v>
      </c>
      <c r="B17" s="108">
        <f>SUM(B5:B16)</f>
        <v>21302</v>
      </c>
      <c r="C17" s="108">
        <f t="shared" ref="C17:F17" si="4">SUM(C5:C16)</f>
        <v>36938.76</v>
      </c>
      <c r="D17" s="108">
        <f>B17-C17</f>
        <v>-15636.760000000002</v>
      </c>
      <c r="E17" s="109">
        <f>IFERROR(D17/C17, 0)</f>
        <v>-0.42331577995579717</v>
      </c>
      <c r="F17" s="108">
        <f t="shared" si="4"/>
        <v>38086.07</v>
      </c>
      <c r="G17" s="108">
        <f>B17-F17</f>
        <v>-16784.07</v>
      </c>
      <c r="H17" s="110">
        <f>IFERROR(G17/F17, 0)</f>
        <v>-0.44068789455042223</v>
      </c>
      <c r="I17" s="111"/>
      <c r="J17" s="111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63" priority="1" operator="lessThanOrEqual">
      <formula>-0.1</formula>
    </cfRule>
    <cfRule type="cellIs" dxfId="62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6B16-D497-4605-A7F3-4374FFA66927}">
  <sheetPr codeName="Sheet29">
    <tabColor rgb="FFFFFF00"/>
  </sheetPr>
  <dimension ref="A1:O20"/>
  <sheetViews>
    <sheetView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73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3.35" customHeight="1">
      <c r="A5" s="143" t="s">
        <v>87</v>
      </c>
      <c r="B5" s="131">
        <v>44604.120000000097</v>
      </c>
      <c r="C5" s="132">
        <v>82849.679999999993</v>
      </c>
      <c r="D5" s="133">
        <f>B5-C5</f>
        <v>-38245.559999999896</v>
      </c>
      <c r="E5" s="134">
        <f t="shared" ref="E5:E16" si="0">IFERROR(D5/C5, 0)</f>
        <v>-0.46162592299692529</v>
      </c>
      <c r="F5" s="135">
        <v>79775.59</v>
      </c>
      <c r="G5" s="68">
        <f>B5-F5</f>
        <v>-35171.469999999899</v>
      </c>
      <c r="H5" s="136">
        <f t="shared" ref="H5:H16" si="1">IFERROR(G5/F5, 0)</f>
        <v>-0.44088009878710893</v>
      </c>
      <c r="I5" s="62" t="s">
        <v>106</v>
      </c>
      <c r="J5" s="62" t="s">
        <v>107</v>
      </c>
      <c r="O5" s="5"/>
    </row>
    <row r="6" spans="1:15" ht="13.35" customHeight="1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62"/>
      <c r="J6" s="82"/>
    </row>
    <row r="7" spans="1:15" ht="13.35" customHeight="1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62"/>
      <c r="J7" s="82"/>
    </row>
    <row r="8" spans="1:15" ht="13.35" customHeight="1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119"/>
      <c r="J8" s="123"/>
    </row>
    <row r="9" spans="1:15" ht="13.35" customHeight="1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81"/>
      <c r="J9" s="82"/>
    </row>
    <row r="10" spans="1:15" ht="13.35" customHeight="1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81"/>
      <c r="J10" s="82"/>
    </row>
    <row r="11" spans="1:15" ht="13.35" customHeight="1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82"/>
      <c r="J11" s="82"/>
    </row>
    <row r="12" spans="1:15" ht="13.35" customHeight="1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2"/>
      <c r="J12" s="82"/>
    </row>
    <row r="13" spans="1:15" ht="13.35" customHeight="1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2"/>
      <c r="J13" s="82"/>
    </row>
    <row r="14" spans="1:15" ht="13.35" customHeight="1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2"/>
    </row>
    <row r="15" spans="1:15" ht="13.3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2"/>
      <c r="J15" s="82"/>
    </row>
    <row r="16" spans="1:15" ht="13.35" customHeight="1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84"/>
      <c r="J16" s="84"/>
    </row>
    <row r="17" spans="1:15" ht="13.35" customHeight="1">
      <c r="A17" s="26" t="s">
        <v>101</v>
      </c>
      <c r="B17" s="27">
        <f>SUM(B5:B16)</f>
        <v>44604.120000000097</v>
      </c>
      <c r="C17" s="27">
        <f t="shared" ref="C17:F17" si="4">SUM(C5:C16)</f>
        <v>82849.679999999993</v>
      </c>
      <c r="D17" s="27">
        <f>B17-C17</f>
        <v>-38245.559999999896</v>
      </c>
      <c r="E17" s="28">
        <f>IFERROR(D17/C17, 0)</f>
        <v>-0.46162592299692529</v>
      </c>
      <c r="F17" s="27">
        <f t="shared" si="4"/>
        <v>79775.59</v>
      </c>
      <c r="G17" s="27">
        <f>B17-F17</f>
        <v>-35171.469999999899</v>
      </c>
      <c r="H17" s="29">
        <f>IFERROR(G17/F17, 0)</f>
        <v>-0.44088009878710893</v>
      </c>
      <c r="I17" s="30"/>
      <c r="J17" s="30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47" priority="1" operator="lessThanOrEqual">
      <formula>-0.1</formula>
    </cfRule>
    <cfRule type="cellIs" dxfId="46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D247-F01A-48EA-812F-62CB2CDB5B3C}">
  <sheetPr codeName="Sheet30">
    <tabColor rgb="FFFFFF00"/>
  </sheetPr>
  <dimension ref="A1:O20"/>
  <sheetViews>
    <sheetView zoomScale="90" zoomScaleNormal="90" workbookViewId="0">
      <selection activeCell="I5" sqref="I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69.140625" customWidth="1"/>
    <col min="10" max="10" width="18.85546875" customWidth="1"/>
  </cols>
  <sheetData>
    <row r="1" spans="1:15" ht="25.15">
      <c r="A1" s="201" t="s">
        <v>75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6.5" customHeight="1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 ht="13.35" customHeight="1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4.25">
      <c r="A5" s="143" t="s">
        <v>87</v>
      </c>
      <c r="B5" s="131">
        <v>44552</v>
      </c>
      <c r="C5" s="132">
        <v>81817.759999999995</v>
      </c>
      <c r="D5" s="133">
        <f>B5-C5</f>
        <v>-37265.759999999995</v>
      </c>
      <c r="E5" s="134">
        <f t="shared" ref="E5:E16" si="0">IFERROR(D5/C5, 0)</f>
        <v>-0.45547274821505745</v>
      </c>
      <c r="F5" s="167">
        <v>78530.19</v>
      </c>
      <c r="G5" s="68">
        <f>B5-F5</f>
        <v>-33978.19</v>
      </c>
      <c r="H5" s="136">
        <f t="shared" ref="H5:H16" si="1">IFERROR(G5/F5, 0)</f>
        <v>-0.43267678328551096</v>
      </c>
      <c r="I5" s="62" t="s">
        <v>106</v>
      </c>
      <c r="J5" s="62" t="s">
        <v>107</v>
      </c>
      <c r="O5" s="5"/>
    </row>
    <row r="6" spans="1:15" ht="14.25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68"/>
      <c r="G6" s="68">
        <f t="shared" ref="G6:G16" si="3">B6-F6</f>
        <v>0</v>
      </c>
      <c r="H6" s="136">
        <f t="shared" si="1"/>
        <v>0</v>
      </c>
      <c r="I6" s="62"/>
      <c r="J6" s="118"/>
    </row>
    <row r="7" spans="1:15" ht="14.25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69"/>
      <c r="G7" s="68">
        <f t="shared" si="3"/>
        <v>0</v>
      </c>
      <c r="H7" s="136">
        <f t="shared" si="1"/>
        <v>0</v>
      </c>
      <c r="I7" s="62"/>
      <c r="J7" s="118"/>
    </row>
    <row r="8" spans="1:15" ht="14.25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69"/>
      <c r="G8" s="68">
        <f t="shared" si="3"/>
        <v>0</v>
      </c>
      <c r="H8" s="136">
        <f t="shared" si="1"/>
        <v>0</v>
      </c>
      <c r="I8" s="118"/>
      <c r="J8" s="118"/>
    </row>
    <row r="9" spans="1:15" ht="14.25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69"/>
      <c r="G9" s="68">
        <f t="shared" si="3"/>
        <v>0</v>
      </c>
      <c r="H9" s="136">
        <f t="shared" si="1"/>
        <v>0</v>
      </c>
      <c r="I9" s="81"/>
      <c r="J9" s="81"/>
    </row>
    <row r="10" spans="1:15" ht="14.25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69"/>
      <c r="G10" s="68">
        <f t="shared" si="3"/>
        <v>0</v>
      </c>
      <c r="H10" s="136">
        <f t="shared" si="1"/>
        <v>0</v>
      </c>
      <c r="I10" s="85"/>
      <c r="J10" s="80"/>
    </row>
    <row r="11" spans="1:15" ht="14.25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70"/>
      <c r="G11" s="68">
        <f t="shared" si="3"/>
        <v>0</v>
      </c>
      <c r="H11" s="136">
        <f t="shared" si="1"/>
        <v>0</v>
      </c>
      <c r="I11" s="85"/>
      <c r="J11" s="80"/>
    </row>
    <row r="12" spans="1:15" ht="14.25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171"/>
      <c r="G12" s="68">
        <f t="shared" si="3"/>
        <v>0</v>
      </c>
      <c r="H12" s="136">
        <f t="shared" si="1"/>
        <v>0</v>
      </c>
      <c r="I12" s="90"/>
      <c r="J12" s="90"/>
    </row>
    <row r="13" spans="1:15" ht="14.25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1"/>
      <c r="J13" s="81"/>
    </row>
    <row r="14" spans="1:15" ht="14.25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1"/>
    </row>
    <row r="15" spans="1:15" ht="29.25" customHeight="1">
      <c r="A15" s="100" t="s">
        <v>99</v>
      </c>
      <c r="B15" s="145"/>
      <c r="C15" s="145"/>
      <c r="D15" s="133">
        <f t="shared" si="2"/>
        <v>0</v>
      </c>
      <c r="E15" s="139">
        <f t="shared" si="0"/>
        <v>0</v>
      </c>
      <c r="F15" s="146"/>
      <c r="G15" s="68">
        <f t="shared" si="3"/>
        <v>0</v>
      </c>
      <c r="H15" s="136">
        <f t="shared" si="1"/>
        <v>0</v>
      </c>
      <c r="I15" s="81"/>
      <c r="J15" s="81"/>
    </row>
    <row r="16" spans="1:15" ht="14.25">
      <c r="A16" s="144" t="s">
        <v>100</v>
      </c>
      <c r="B16" s="147"/>
      <c r="C16" s="147"/>
      <c r="D16" s="147">
        <f t="shared" si="2"/>
        <v>0</v>
      </c>
      <c r="E16" s="148">
        <f t="shared" si="0"/>
        <v>0</v>
      </c>
      <c r="F16" s="149"/>
      <c r="G16" s="150">
        <f t="shared" si="3"/>
        <v>0</v>
      </c>
      <c r="H16" s="151">
        <f t="shared" si="1"/>
        <v>0</v>
      </c>
      <c r="I16" s="83"/>
      <c r="J16" s="83"/>
    </row>
    <row r="17" spans="1:15" ht="13.35" customHeight="1">
      <c r="A17" s="26" t="s">
        <v>101</v>
      </c>
      <c r="B17" s="108">
        <f>SUM(B5:B16)</f>
        <v>44552</v>
      </c>
      <c r="C17" s="108">
        <f t="shared" ref="C17:F17" si="4">SUM(C5:C16)</f>
        <v>81817.759999999995</v>
      </c>
      <c r="D17" s="108">
        <f>B17-C17</f>
        <v>-37265.759999999995</v>
      </c>
      <c r="E17" s="109">
        <f>IFERROR(D17/C17, 0)</f>
        <v>-0.45547274821505745</v>
      </c>
      <c r="F17" s="108">
        <f t="shared" si="4"/>
        <v>78530.19</v>
      </c>
      <c r="G17" s="108">
        <f>B17-F17</f>
        <v>-33978.19</v>
      </c>
      <c r="H17" s="110">
        <f>IFERROR(G17/F17, 0)</f>
        <v>-0.43267678328551096</v>
      </c>
      <c r="I17" s="111"/>
      <c r="J17" s="111"/>
    </row>
    <row r="18" spans="1:15">
      <c r="F18" s="12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D96-6D4C-40E6-9F96-37CE715411C8}">
  <sheetPr codeName="Sheet31">
    <tabColor rgb="FFFFFF00"/>
  </sheetPr>
  <dimension ref="A1:O20"/>
  <sheetViews>
    <sheetView zoomScale="85" zoomScaleNormal="85" workbookViewId="0">
      <selection activeCell="J39" sqref="J39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201" t="s">
        <v>77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5" ht="25.15">
      <c r="A2" s="11"/>
      <c r="B2" s="11"/>
      <c r="C2" s="11"/>
      <c r="D2" s="11"/>
      <c r="E2" s="11"/>
    </row>
    <row r="3" spans="1:15" ht="15">
      <c r="A3" s="193" t="s">
        <v>78</v>
      </c>
      <c r="B3" s="194"/>
      <c r="C3" s="194"/>
      <c r="D3" s="194"/>
      <c r="E3" s="195"/>
      <c r="F3" s="196" t="s">
        <v>79</v>
      </c>
      <c r="G3" s="197"/>
      <c r="H3" s="198"/>
      <c r="I3" s="199" t="s">
        <v>80</v>
      </c>
      <c r="J3" s="200"/>
    </row>
    <row r="4" spans="1:15">
      <c r="A4" s="20" t="s">
        <v>81</v>
      </c>
      <c r="B4" s="31" t="s">
        <v>6</v>
      </c>
      <c r="C4" s="31" t="s">
        <v>7</v>
      </c>
      <c r="D4" s="31" t="s">
        <v>82</v>
      </c>
      <c r="E4" s="32" t="s">
        <v>83</v>
      </c>
      <c r="F4" s="33" t="s">
        <v>10</v>
      </c>
      <c r="G4" s="34" t="s">
        <v>84</v>
      </c>
      <c r="H4" s="35" t="s">
        <v>85</v>
      </c>
      <c r="I4" s="36" t="s">
        <v>80</v>
      </c>
      <c r="J4" s="37" t="s">
        <v>86</v>
      </c>
    </row>
    <row r="5" spans="1:15" ht="14.25">
      <c r="A5" s="143" t="s">
        <v>87</v>
      </c>
      <c r="B5" s="131">
        <v>18009.3125</v>
      </c>
      <c r="C5" s="132">
        <v>32813.839999999997</v>
      </c>
      <c r="D5" s="133">
        <f>B5-C5</f>
        <v>-14804.527499999997</v>
      </c>
      <c r="E5" s="134">
        <f t="shared" ref="E5:E16" si="0">IFERROR(D5/C5, 0)</f>
        <v>-0.45116717519193117</v>
      </c>
      <c r="F5" s="135">
        <v>35648.47</v>
      </c>
      <c r="G5" s="68">
        <f>B5-F5</f>
        <v>-17639.157500000001</v>
      </c>
      <c r="H5" s="136">
        <f t="shared" ref="H5:H16" si="1">IFERROR(G5/F5, 0)</f>
        <v>-0.49480826245838883</v>
      </c>
      <c r="I5" s="62" t="s">
        <v>106</v>
      </c>
      <c r="J5" s="62" t="s">
        <v>107</v>
      </c>
      <c r="O5" s="5"/>
    </row>
    <row r="6" spans="1:15" ht="14.25">
      <c r="A6" s="100" t="s">
        <v>90</v>
      </c>
      <c r="B6" s="137"/>
      <c r="C6" s="138"/>
      <c r="D6" s="133">
        <f t="shared" ref="D6:D16" si="2">B6-C6</f>
        <v>0</v>
      </c>
      <c r="E6" s="139">
        <f t="shared" si="0"/>
        <v>0</v>
      </c>
      <c r="F6" s="140"/>
      <c r="G6" s="68">
        <f t="shared" ref="G6:G16" si="3">B6-F6</f>
        <v>0</v>
      </c>
      <c r="H6" s="136">
        <f t="shared" si="1"/>
        <v>0</v>
      </c>
      <c r="I6" s="62"/>
      <c r="J6" s="82"/>
    </row>
    <row r="7" spans="1:15" ht="14.25">
      <c r="A7" s="100" t="s">
        <v>91</v>
      </c>
      <c r="B7" s="137"/>
      <c r="C7" s="138"/>
      <c r="D7" s="133">
        <f t="shared" si="2"/>
        <v>0</v>
      </c>
      <c r="E7" s="139">
        <f t="shared" si="0"/>
        <v>0</v>
      </c>
      <c r="F7" s="141"/>
      <c r="G7" s="68">
        <f t="shared" si="3"/>
        <v>0</v>
      </c>
      <c r="H7" s="136">
        <f t="shared" si="1"/>
        <v>0</v>
      </c>
      <c r="I7" s="62"/>
      <c r="J7" s="82"/>
    </row>
    <row r="8" spans="1:15" ht="14.25">
      <c r="A8" s="100" t="s">
        <v>92</v>
      </c>
      <c r="B8" s="137"/>
      <c r="C8" s="138"/>
      <c r="D8" s="133">
        <f t="shared" si="2"/>
        <v>0</v>
      </c>
      <c r="E8" s="139">
        <f t="shared" si="0"/>
        <v>0</v>
      </c>
      <c r="F8" s="141"/>
      <c r="G8" s="68">
        <f t="shared" si="3"/>
        <v>0</v>
      </c>
      <c r="H8" s="136">
        <f t="shared" si="1"/>
        <v>0</v>
      </c>
      <c r="I8" s="82"/>
      <c r="J8" s="82"/>
    </row>
    <row r="9" spans="1:15" ht="14.25">
      <c r="A9" s="100" t="s">
        <v>93</v>
      </c>
      <c r="B9" s="137"/>
      <c r="C9" s="138"/>
      <c r="D9" s="133">
        <f t="shared" si="2"/>
        <v>0</v>
      </c>
      <c r="E9" s="139">
        <f t="shared" si="0"/>
        <v>0</v>
      </c>
      <c r="F9" s="141"/>
      <c r="G9" s="68">
        <f t="shared" si="3"/>
        <v>0</v>
      </c>
      <c r="H9" s="136">
        <f t="shared" si="1"/>
        <v>0</v>
      </c>
      <c r="I9" s="81"/>
      <c r="J9" s="82"/>
    </row>
    <row r="10" spans="1:15" ht="14.25">
      <c r="A10" s="100" t="s">
        <v>94</v>
      </c>
      <c r="B10" s="137"/>
      <c r="C10" s="138"/>
      <c r="D10" s="133">
        <f t="shared" si="2"/>
        <v>0</v>
      </c>
      <c r="E10" s="139">
        <f t="shared" si="0"/>
        <v>0</v>
      </c>
      <c r="F10" s="141"/>
      <c r="G10" s="68">
        <f t="shared" si="3"/>
        <v>0</v>
      </c>
      <c r="H10" s="136">
        <f t="shared" si="1"/>
        <v>0</v>
      </c>
      <c r="I10" s="81"/>
      <c r="J10" s="82"/>
    </row>
    <row r="11" spans="1:15" ht="14.25">
      <c r="A11" s="100" t="s">
        <v>95</v>
      </c>
      <c r="B11" s="133"/>
      <c r="C11" s="133"/>
      <c r="D11" s="133">
        <f t="shared" si="2"/>
        <v>0</v>
      </c>
      <c r="E11" s="139">
        <f t="shared" si="0"/>
        <v>0</v>
      </c>
      <c r="F11" s="142"/>
      <c r="G11" s="68">
        <f t="shared" si="3"/>
        <v>0</v>
      </c>
      <c r="H11" s="136">
        <f t="shared" si="1"/>
        <v>0</v>
      </c>
      <c r="I11" s="81"/>
      <c r="J11" s="82"/>
    </row>
    <row r="12" spans="1:15" ht="14.25">
      <c r="A12" s="100" t="s">
        <v>96</v>
      </c>
      <c r="B12" s="133"/>
      <c r="C12" s="133"/>
      <c r="D12" s="133">
        <f t="shared" si="2"/>
        <v>0</v>
      </c>
      <c r="E12" s="139">
        <f t="shared" si="0"/>
        <v>0</v>
      </c>
      <c r="F12" s="68"/>
      <c r="G12" s="68">
        <f t="shared" si="3"/>
        <v>0</v>
      </c>
      <c r="H12" s="136">
        <f t="shared" si="1"/>
        <v>0</v>
      </c>
      <c r="I12" s="81"/>
      <c r="J12" s="81"/>
    </row>
    <row r="13" spans="1:15" ht="14.25">
      <c r="A13" s="100" t="s">
        <v>97</v>
      </c>
      <c r="B13" s="133"/>
      <c r="C13" s="133"/>
      <c r="D13" s="133">
        <f t="shared" si="2"/>
        <v>0</v>
      </c>
      <c r="E13" s="139">
        <f t="shared" si="0"/>
        <v>0</v>
      </c>
      <c r="F13" s="68"/>
      <c r="G13" s="68">
        <f t="shared" si="3"/>
        <v>0</v>
      </c>
      <c r="H13" s="136">
        <f t="shared" si="1"/>
        <v>0</v>
      </c>
      <c r="I13" s="81"/>
      <c r="J13" s="81"/>
    </row>
    <row r="14" spans="1:15" ht="14.25">
      <c r="A14" s="100" t="s">
        <v>98</v>
      </c>
      <c r="B14" s="133"/>
      <c r="C14" s="133"/>
      <c r="D14" s="133">
        <f t="shared" si="2"/>
        <v>0</v>
      </c>
      <c r="E14" s="139">
        <f t="shared" si="0"/>
        <v>0</v>
      </c>
      <c r="F14" s="68"/>
      <c r="G14" s="68">
        <f t="shared" si="3"/>
        <v>0</v>
      </c>
      <c r="H14" s="136">
        <f t="shared" si="1"/>
        <v>0</v>
      </c>
      <c r="I14" s="81"/>
      <c r="J14" s="81"/>
    </row>
    <row r="15" spans="1:15" ht="14.25">
      <c r="A15" s="100" t="s">
        <v>99</v>
      </c>
      <c r="B15" s="69"/>
      <c r="C15" s="69"/>
      <c r="D15" s="64">
        <f t="shared" si="2"/>
        <v>0</v>
      </c>
      <c r="E15" s="67">
        <f t="shared" si="0"/>
        <v>0</v>
      </c>
      <c r="F15" s="70"/>
      <c r="G15" s="65">
        <f t="shared" si="3"/>
        <v>0</v>
      </c>
      <c r="H15" s="66">
        <f t="shared" si="1"/>
        <v>0</v>
      </c>
      <c r="I15" s="82"/>
      <c r="J15" s="82"/>
    </row>
    <row r="16" spans="1:15" ht="14.25">
      <c r="A16" s="144" t="s">
        <v>100</v>
      </c>
      <c r="B16" s="71"/>
      <c r="C16" s="71"/>
      <c r="D16" s="71">
        <f t="shared" si="2"/>
        <v>0</v>
      </c>
      <c r="E16" s="72">
        <f t="shared" si="0"/>
        <v>0</v>
      </c>
      <c r="F16" s="73"/>
      <c r="G16" s="74">
        <f t="shared" si="3"/>
        <v>0</v>
      </c>
      <c r="H16" s="75">
        <f t="shared" si="1"/>
        <v>0</v>
      </c>
      <c r="I16" s="83"/>
      <c r="J16" s="83"/>
    </row>
    <row r="17" spans="1:15" ht="14.25">
      <c r="A17" s="26" t="s">
        <v>101</v>
      </c>
      <c r="B17" s="27">
        <f>SUM(B5:B16)</f>
        <v>18009.3125</v>
      </c>
      <c r="C17" s="27">
        <f t="shared" ref="C17:F17" si="4">SUM(C5:C16)</f>
        <v>32813.839999999997</v>
      </c>
      <c r="D17" s="27">
        <f>B17-C17</f>
        <v>-14804.527499999997</v>
      </c>
      <c r="E17" s="28">
        <f>IFERROR(D17/C17, 0)</f>
        <v>-0.45116717519193117</v>
      </c>
      <c r="F17" s="27">
        <f t="shared" si="4"/>
        <v>35648.47</v>
      </c>
      <c r="G17" s="27">
        <f>B17-F17</f>
        <v>-17639.157500000001</v>
      </c>
      <c r="H17" s="29">
        <f>IFERROR(G17/F17, 0)</f>
        <v>-0.49480826245838883</v>
      </c>
      <c r="I17" s="30"/>
      <c r="J17" s="30"/>
    </row>
    <row r="18" spans="1:15">
      <c r="F18" s="12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5A43E0EE-7A9E-4AD2-AB0C-031EE5439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2024-02-12T16:28:44Z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