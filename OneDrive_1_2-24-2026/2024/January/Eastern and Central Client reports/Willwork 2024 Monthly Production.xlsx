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DEB9C2E6-9E42-4814-A671-79D305E3D846}" xr6:coauthVersionLast="47" xr6:coauthVersionMax="47" xr10:uidLastSave="{00000000-0000-0000-0000-000000000000}"/>
  <bookViews>
    <workbookView xWindow="43080" yWindow="1335" windowWidth="29040" windowHeight="15720" xr2:uid="{00000000-000D-0000-FFFF-FFFF00000000}"/>
  </bookViews>
  <sheets>
    <sheet name="Quarterly" sheetId="2" r:id="rId1"/>
    <sheet name="Monthly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C8" i="2"/>
  <c r="B8" i="2"/>
  <c r="B7" i="2"/>
  <c r="B6" i="2"/>
  <c r="B5" i="2"/>
  <c r="D5" i="2" s="1"/>
  <c r="E5" i="2" s="1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8" i="2" l="1"/>
  <c r="E8" i="2" s="1"/>
  <c r="C9" i="2"/>
  <c r="G8" i="2"/>
  <c r="H8" i="2" s="1"/>
  <c r="G7" i="2"/>
  <c r="H7" i="2" s="1"/>
  <c r="F9" i="2"/>
  <c r="B9" i="2"/>
  <c r="D7" i="2"/>
  <c r="E7" i="2" s="1"/>
  <c r="G6" i="2"/>
  <c r="H6" i="2" s="1"/>
  <c r="G5" i="2"/>
  <c r="H5" i="2" s="1"/>
  <c r="D6" i="2"/>
  <c r="E6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<sst xmlns="http://schemas.openxmlformats.org/spreadsheetml/2006/main" count="49" uniqueCount="33">
  <si>
    <t>23 Norfolk Ave - Teamwork/Willwork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</si>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</sst>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2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5" fillId="5" borderId="1" xfId="2" applyFont="1" applyFill="1" applyBorder="1" applyAlignment="1">
      <alignment horizontal="center"/>
    </xf>
    <xf numFmtId="9" fontId="5" fillId="7" borderId="1" xfId="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5" fillId="7" borderId="1" xfId="2" applyFont="1" applyFill="1" applyBorder="1" applyAlignment="1">
      <alignment horizontal="center" vertical="center"/>
    </xf>
    <xf numFmtId="9" fontId="5" fillId="7" borderId="1" xfId="2" applyFont="1" applyFill="1" applyBorder="1" applyAlignment="1">
      <alignment horizontal="left" vertical="top" wrapText="1"/>
    </xf>
    <xf numFmtId="9" fontId="5" fillId="7" borderId="1" xfId="2" applyFont="1" applyFill="1" applyBorder="1" applyAlignment="1">
      <alignment horizontal="left" vertical="top"/>
    </xf>
    <xf numFmtId="0" fontId="4" fillId="0" borderId="17" xfId="0" applyFont="1" applyBorder="1" applyAlignment="1">
      <alignment horizontal="center"/>
    </xf>
    <xf numFmtId="3" fontId="5" fillId="3" borderId="18" xfId="0" applyNumberFormat="1" applyFont="1" applyFill="1" applyBorder="1" applyAlignment="1">
      <alignment horizontal="right"/>
    </xf>
    <xf numFmtId="9" fontId="5" fillId="3" borderId="17" xfId="2" applyFont="1" applyFill="1" applyBorder="1" applyAlignment="1">
      <alignment horizontal="center"/>
    </xf>
    <xf numFmtId="3" fontId="5" fillId="5" borderId="19" xfId="1" applyNumberFormat="1" applyFont="1" applyFill="1" applyBorder="1"/>
    <xf numFmtId="3" fontId="5" fillId="5" borderId="18" xfId="1" applyNumberFormat="1" applyFont="1" applyFill="1" applyBorder="1"/>
    <xf numFmtId="9" fontId="5" fillId="5" borderId="18" xfId="2" applyFont="1" applyFill="1" applyBorder="1" applyAlignment="1">
      <alignment horizontal="center"/>
    </xf>
    <xf numFmtId="9" fontId="5" fillId="7" borderId="18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9" fontId="3" fillId="3" borderId="24" xfId="2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 wrapText="1"/>
    </xf>
    <xf numFmtId="9" fontId="3" fillId="5" borderId="24" xfId="2" applyFont="1" applyFill="1" applyBorder="1" applyAlignment="1">
      <alignment horizontal="left" vertical="center"/>
    </xf>
    <xf numFmtId="9" fontId="3" fillId="7" borderId="25" xfId="2" applyFont="1" applyFill="1" applyBorder="1" applyAlignment="1">
      <alignment horizontal="center" vertical="center"/>
    </xf>
    <xf numFmtId="9" fontId="3" fillId="7" borderId="26" xfId="2" applyFont="1" applyFill="1" applyBorder="1" applyAlignment="1">
      <alignment horizontal="center" vertical="center"/>
    </xf>
    <xf numFmtId="3" fontId="10" fillId="4" borderId="13" xfId="0" applyNumberFormat="1" applyFont="1" applyFill="1" applyBorder="1" applyAlignment="1">
      <alignment horizontal="right"/>
    </xf>
    <xf numFmtId="0" fontId="10" fillId="4" borderId="13" xfId="0" applyFont="1" applyFill="1" applyBorder="1" applyAlignment="1">
      <alignment horizontal="right"/>
    </xf>
    <xf numFmtId="3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3" fontId="11" fillId="3" borderId="13" xfId="0" applyNumberFormat="1" applyFont="1" applyFill="1" applyBorder="1" applyAlignment="1">
      <alignment horizontal="right"/>
    </xf>
    <xf numFmtId="9" fontId="11" fillId="3" borderId="13" xfId="2" applyFont="1" applyFill="1" applyBorder="1" applyAlignment="1">
      <alignment horizontal="center"/>
    </xf>
    <xf numFmtId="3" fontId="11" fillId="5" borderId="4" xfId="1" applyNumberFormat="1" applyFont="1" applyFill="1" applyBorder="1"/>
    <xf numFmtId="3" fontId="11" fillId="3" borderId="2" xfId="0" applyNumberFormat="1" applyFont="1" applyFill="1" applyBorder="1" applyAlignment="1">
      <alignment horizontal="right"/>
    </xf>
    <xf numFmtId="9" fontId="11" fillId="3" borderId="2" xfId="2" applyFon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right"/>
    </xf>
    <xf numFmtId="9" fontId="11" fillId="3" borderId="1" xfId="2" applyFont="1" applyFill="1" applyBorder="1" applyAlignment="1">
      <alignment horizontal="center"/>
    </xf>
    <xf numFmtId="3" fontId="11" fillId="5" borderId="1" xfId="1" applyNumberFormat="1" applyFont="1" applyFill="1" applyBorder="1"/>
    <xf numFmtId="9" fontId="11" fillId="3" borderId="3" xfId="2" applyFont="1" applyFill="1" applyBorder="1" applyAlignment="1">
      <alignment horizontal="center"/>
    </xf>
    <xf numFmtId="3" fontId="11" fillId="5" borderId="1" xfId="1" applyNumberFormat="1" applyFont="1" applyFill="1" applyBorder="1" applyAlignment="1">
      <alignment vertical="center"/>
    </xf>
    <xf numFmtId="3" fontId="11" fillId="4" borderId="2" xfId="0" applyNumberFormat="1" applyFont="1" applyFill="1" applyBorder="1"/>
    <xf numFmtId="3" fontId="11" fillId="6" borderId="2" xfId="0" applyNumberFormat="1" applyFont="1" applyFill="1" applyBorder="1"/>
    <xf numFmtId="3" fontId="10" fillId="6" borderId="13" xfId="0" applyNumberFormat="1" applyFont="1" applyFill="1" applyBorder="1"/>
    <xf numFmtId="3" fontId="10" fillId="6" borderId="2" xfId="0" applyNumberFormat="1" applyFont="1" applyFill="1" applyBorder="1"/>
    <xf numFmtId="3" fontId="10" fillId="6" borderId="2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G30" sqref="G30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15" x14ac:dyDescent="0.7">
      <c r="A1" s="69" t="s">
        <v>0</v>
      </c>
      <c r="B1" s="69"/>
      <c r="C1" s="69"/>
      <c r="D1" s="69"/>
      <c r="E1" s="69"/>
      <c r="F1" s="69"/>
      <c r="G1" s="69"/>
      <c r="H1" s="69"/>
    </row>
    <row r="2" spans="1:8" ht="14.65" thickBot="1" x14ac:dyDescent="0.5"/>
    <row r="3" spans="1:8" ht="15.4" x14ac:dyDescent="0.45">
      <c r="A3" s="70" t="s">
        <v>1</v>
      </c>
      <c r="B3" s="71"/>
      <c r="C3" s="71"/>
      <c r="D3" s="71"/>
      <c r="E3" s="72"/>
      <c r="F3" s="73" t="s">
        <v>2</v>
      </c>
      <c r="G3" s="74"/>
      <c r="H3" s="75"/>
    </row>
    <row r="4" spans="1:8" x14ac:dyDescent="0.45">
      <c r="A4" s="19" t="s">
        <v>3</v>
      </c>
      <c r="B4" s="35" t="s">
        <v>4</v>
      </c>
      <c r="C4" s="35" t="s">
        <v>5</v>
      </c>
      <c r="D4" s="35" t="s">
        <v>6</v>
      </c>
      <c r="E4" s="36" t="s">
        <v>7</v>
      </c>
      <c r="F4" s="37" t="s">
        <v>8</v>
      </c>
      <c r="G4" s="38" t="s">
        <v>9</v>
      </c>
      <c r="H4" s="39" t="s">
        <v>10</v>
      </c>
    </row>
    <row r="5" spans="1:8" x14ac:dyDescent="0.45">
      <c r="A5" s="20" t="s">
        <v>11</v>
      </c>
      <c r="B5" s="21">
        <f>SUM(Monthly!B5:B7)</f>
        <v>2222.2675170898401</v>
      </c>
      <c r="C5" s="21">
        <f>SUM(Monthly!C5:C7)</f>
        <v>0</v>
      </c>
      <c r="D5" s="22">
        <f>B5-C5</f>
        <v>2222.2675170898401</v>
      </c>
      <c r="E5" s="23">
        <f t="shared" ref="E5:E8" si="0">IFERROR(D5/C5, 0)</f>
        <v>0</v>
      </c>
      <c r="F5" s="24">
        <f>SUM(Monthly!F5:F7)</f>
        <v>2327</v>
      </c>
      <c r="G5" s="25">
        <f>B5-F5</f>
        <v>-104.73248291015989</v>
      </c>
      <c r="H5" s="26">
        <f t="shared" ref="H5:H8" si="1">IFERROR(G5/F5, 0)</f>
        <v>-4.500751306839703E-2</v>
      </c>
    </row>
    <row r="6" spans="1:8" x14ac:dyDescent="0.45">
      <c r="A6" s="27" t="s">
        <v>12</v>
      </c>
      <c r="B6" s="21">
        <f>SUM(Monthly!B8:B10)</f>
        <v>0</v>
      </c>
      <c r="C6" s="21">
        <f>SUM(Monthly!C8:C10)</f>
        <v>0</v>
      </c>
      <c r="D6" s="22">
        <f t="shared" ref="D6:D8" si="2">B6-C6</f>
        <v>0</v>
      </c>
      <c r="E6" s="28">
        <f t="shared" si="0"/>
        <v>0</v>
      </c>
      <c r="F6" s="29">
        <f>SUM(Monthly!F8:F10)</f>
        <v>0</v>
      </c>
      <c r="G6" s="25">
        <f t="shared" ref="G6:G8" si="3">B6-F6</f>
        <v>0</v>
      </c>
      <c r="H6" s="26">
        <f t="shared" si="1"/>
        <v>0</v>
      </c>
    </row>
    <row r="7" spans="1:8" x14ac:dyDescent="0.45">
      <c r="A7" s="27" t="s">
        <v>13</v>
      </c>
      <c r="B7" s="22">
        <f>SUM(Monthly!B11:B13)</f>
        <v>0</v>
      </c>
      <c r="C7" s="22">
        <f>SUM(Monthly!C11:C13)</f>
        <v>0</v>
      </c>
      <c r="D7" s="22">
        <f t="shared" si="2"/>
        <v>0</v>
      </c>
      <c r="E7" s="28">
        <f t="shared" si="0"/>
        <v>0</v>
      </c>
      <c r="F7" s="30">
        <f>SUM(Monthly!F11:F13)</f>
        <v>0</v>
      </c>
      <c r="G7" s="25">
        <f t="shared" si="3"/>
        <v>0</v>
      </c>
      <c r="H7" s="26">
        <f t="shared" si="1"/>
        <v>0</v>
      </c>
    </row>
    <row r="8" spans="1:8" x14ac:dyDescent="0.45">
      <c r="A8" s="27" t="s">
        <v>14</v>
      </c>
      <c r="B8" s="22">
        <f>SUM(Monthly!B14:B16)</f>
        <v>0</v>
      </c>
      <c r="C8" s="22">
        <f>SUM(Monthly!C14:C16)</f>
        <v>0</v>
      </c>
      <c r="D8" s="22">
        <f t="shared" si="2"/>
        <v>0</v>
      </c>
      <c r="E8" s="28">
        <f t="shared" si="0"/>
        <v>0</v>
      </c>
      <c r="F8" s="25">
        <f>SUM(Monthly!F14:F16)</f>
        <v>0</v>
      </c>
      <c r="G8" s="25">
        <f t="shared" si="3"/>
        <v>0</v>
      </c>
      <c r="H8" s="26">
        <f t="shared" si="1"/>
        <v>0</v>
      </c>
    </row>
    <row r="9" spans="1:8" x14ac:dyDescent="0.45">
      <c r="A9" s="31" t="s">
        <v>15</v>
      </c>
      <c r="B9" s="32">
        <f>SUM(B5:B8)</f>
        <v>2222.2675170898401</v>
      </c>
      <c r="C9" s="32">
        <f>SUM(C5:C8)</f>
        <v>0</v>
      </c>
      <c r="D9" s="32">
        <f>B9-C9</f>
        <v>2222.2675170898401</v>
      </c>
      <c r="E9" s="33">
        <f>IFERROR(D9/C9, 0)</f>
        <v>0</v>
      </c>
      <c r="F9" s="32">
        <f>SUM(F5:F8)</f>
        <v>2327</v>
      </c>
      <c r="G9" s="32">
        <f>B9-F9</f>
        <v>-104.73248291015989</v>
      </c>
      <c r="H9" s="34">
        <f>IFERROR(G9/F9, 0)</f>
        <v>-4.500751306839703E-2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workbookViewId="0">
      <selection activeCell="E25" sqref="E25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78.73046875" customWidth="1"/>
    <col min="10" max="10" width="18.86328125" customWidth="1"/>
  </cols>
  <sheetData>
    <row r="1" spans="1:10" ht="30.75" customHeight="1" x14ac:dyDescent="0.7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14.65" thickBot="1" x14ac:dyDescent="0.5"/>
    <row r="3" spans="1:10" ht="15.4" x14ac:dyDescent="0.45">
      <c r="A3" s="70" t="s">
        <v>1</v>
      </c>
      <c r="B3" s="71"/>
      <c r="C3" s="71"/>
      <c r="D3" s="71"/>
      <c r="E3" s="72"/>
      <c r="F3" s="73" t="s">
        <v>2</v>
      </c>
      <c r="G3" s="74"/>
      <c r="H3" s="75"/>
      <c r="I3" s="76" t="s">
        <v>16</v>
      </c>
      <c r="J3" s="77"/>
    </row>
    <row r="4" spans="1:10" x14ac:dyDescent="0.45">
      <c r="A4" s="42" t="s">
        <v>17</v>
      </c>
      <c r="B4" s="43" t="s">
        <v>4</v>
      </c>
      <c r="C4" s="43" t="s">
        <v>5</v>
      </c>
      <c r="D4" s="43" t="s">
        <v>6</v>
      </c>
      <c r="E4" s="44" t="s">
        <v>7</v>
      </c>
      <c r="F4" s="45" t="s">
        <v>8</v>
      </c>
      <c r="G4" s="46" t="s">
        <v>9</v>
      </c>
      <c r="H4" s="47" t="s">
        <v>10</v>
      </c>
      <c r="I4" s="48" t="s">
        <v>16</v>
      </c>
      <c r="J4" s="49" t="s">
        <v>18</v>
      </c>
    </row>
    <row r="5" spans="1:10" x14ac:dyDescent="0.45">
      <c r="A5" s="40" t="s">
        <v>19</v>
      </c>
      <c r="B5" s="50">
        <v>2222.2675170898401</v>
      </c>
      <c r="C5" s="51">
        <v>0</v>
      </c>
      <c r="D5" s="54">
        <f>B5-C5</f>
        <v>2222.2675170898401</v>
      </c>
      <c r="E5" s="55">
        <f>IFERROR(D5/C5, 0)</f>
        <v>0</v>
      </c>
      <c r="F5" s="66">
        <v>2327</v>
      </c>
      <c r="G5" s="56">
        <f>B5-F5</f>
        <v>-104.73248291015989</v>
      </c>
      <c r="H5" s="1">
        <f t="shared" ref="H5:H16" si="0">IFERROR(G5/F5, 0)</f>
        <v>-4.500751306839703E-2</v>
      </c>
      <c r="I5" s="2"/>
      <c r="J5" s="2" t="s">
        <v>20</v>
      </c>
    </row>
    <row r="6" spans="1:10" x14ac:dyDescent="0.45">
      <c r="A6" s="41" t="s">
        <v>21</v>
      </c>
      <c r="B6" s="52"/>
      <c r="C6" s="53"/>
      <c r="D6" s="57">
        <f t="shared" ref="D6:D10" si="1">B6-C6</f>
        <v>0</v>
      </c>
      <c r="E6" s="58">
        <f t="shared" ref="E6:E16" si="2">IFERROR(D6/C6, 0)</f>
        <v>0</v>
      </c>
      <c r="F6" s="67"/>
      <c r="G6" s="56">
        <f t="shared" ref="G6:G16" si="3">B6-F6</f>
        <v>0</v>
      </c>
      <c r="H6" s="1">
        <f t="shared" si="0"/>
        <v>0</v>
      </c>
      <c r="I6" s="2"/>
      <c r="J6" s="2" t="s">
        <v>20</v>
      </c>
    </row>
    <row r="7" spans="1:10" x14ac:dyDescent="0.45">
      <c r="A7" s="41" t="s">
        <v>22</v>
      </c>
      <c r="B7" s="52"/>
      <c r="C7" s="53"/>
      <c r="D7" s="57">
        <f t="shared" si="1"/>
        <v>0</v>
      </c>
      <c r="E7" s="58">
        <f t="shared" si="2"/>
        <v>0</v>
      </c>
      <c r="F7" s="68"/>
      <c r="G7" s="56">
        <f t="shared" si="3"/>
        <v>0</v>
      </c>
      <c r="H7" s="1">
        <f t="shared" si="0"/>
        <v>0</v>
      </c>
      <c r="I7" s="4"/>
      <c r="J7" s="4"/>
    </row>
    <row r="8" spans="1:10" x14ac:dyDescent="0.45">
      <c r="A8" s="41" t="s">
        <v>23</v>
      </c>
      <c r="B8" s="52"/>
      <c r="C8" s="53"/>
      <c r="D8" s="57">
        <f t="shared" si="1"/>
        <v>0</v>
      </c>
      <c r="E8" s="58">
        <f t="shared" si="2"/>
        <v>0</v>
      </c>
      <c r="F8" s="67"/>
      <c r="G8" s="56">
        <f t="shared" si="3"/>
        <v>0</v>
      </c>
      <c r="H8" s="1">
        <f t="shared" si="0"/>
        <v>0</v>
      </c>
      <c r="I8" s="2"/>
      <c r="J8" s="2"/>
    </row>
    <row r="9" spans="1:10" x14ac:dyDescent="0.45">
      <c r="A9" s="41" t="s">
        <v>24</v>
      </c>
      <c r="B9" s="52"/>
      <c r="C9" s="53"/>
      <c r="D9" s="57">
        <f t="shared" si="1"/>
        <v>0</v>
      </c>
      <c r="E9" s="58">
        <f t="shared" si="2"/>
        <v>0</v>
      </c>
      <c r="F9" s="67"/>
      <c r="G9" s="56">
        <f t="shared" si="3"/>
        <v>0</v>
      </c>
      <c r="H9" s="1">
        <f t="shared" si="0"/>
        <v>0</v>
      </c>
      <c r="I9" s="5"/>
      <c r="J9" s="6"/>
    </row>
    <row r="10" spans="1:10" x14ac:dyDescent="0.45">
      <c r="A10" s="41" t="s">
        <v>25</v>
      </c>
      <c r="B10" s="52"/>
      <c r="C10" s="53"/>
      <c r="D10" s="57">
        <f t="shared" si="1"/>
        <v>0</v>
      </c>
      <c r="E10" s="58">
        <f t="shared" si="2"/>
        <v>0</v>
      </c>
      <c r="F10" s="67"/>
      <c r="G10" s="56">
        <f t="shared" si="3"/>
        <v>0</v>
      </c>
      <c r="H10" s="1">
        <f t="shared" si="0"/>
        <v>0</v>
      </c>
      <c r="I10" s="2"/>
      <c r="J10" s="2" t="s">
        <v>20</v>
      </c>
    </row>
    <row r="11" spans="1:10" x14ac:dyDescent="0.45">
      <c r="A11" s="3" t="s">
        <v>26</v>
      </c>
      <c r="B11" s="59"/>
      <c r="C11" s="53"/>
      <c r="D11" s="59">
        <f t="shared" ref="D11:D16" si="4">B11-C11</f>
        <v>0</v>
      </c>
      <c r="E11" s="60">
        <f t="shared" si="2"/>
        <v>0</v>
      </c>
      <c r="F11" s="56"/>
      <c r="G11" s="61">
        <f t="shared" si="3"/>
        <v>0</v>
      </c>
      <c r="H11" s="1">
        <f t="shared" si="0"/>
        <v>0</v>
      </c>
      <c r="I11" s="2"/>
      <c r="J11" s="2" t="s">
        <v>20</v>
      </c>
    </row>
    <row r="12" spans="1:10" x14ac:dyDescent="0.45">
      <c r="A12" s="3" t="s">
        <v>27</v>
      </c>
      <c r="B12" s="59"/>
      <c r="C12" s="59"/>
      <c r="D12" s="59">
        <f t="shared" si="4"/>
        <v>0</v>
      </c>
      <c r="E12" s="62">
        <f t="shared" si="2"/>
        <v>0</v>
      </c>
      <c r="F12" s="63"/>
      <c r="G12" s="61">
        <f t="shared" si="3"/>
        <v>0</v>
      </c>
      <c r="H12" s="1">
        <f t="shared" si="0"/>
        <v>0</v>
      </c>
      <c r="I12" s="4"/>
      <c r="J12" s="4"/>
    </row>
    <row r="13" spans="1:10" x14ac:dyDescent="0.45">
      <c r="A13" s="3" t="s">
        <v>28</v>
      </c>
      <c r="B13" s="59"/>
      <c r="C13" s="59"/>
      <c r="D13" s="59">
        <f t="shared" si="4"/>
        <v>0</v>
      </c>
      <c r="E13" s="62">
        <f t="shared" si="2"/>
        <v>0</v>
      </c>
      <c r="F13" s="61"/>
      <c r="G13" s="61">
        <f t="shared" si="3"/>
        <v>0</v>
      </c>
      <c r="H13" s="1">
        <f t="shared" si="0"/>
        <v>0</v>
      </c>
      <c r="I13" s="2"/>
      <c r="J13" s="2"/>
    </row>
    <row r="14" spans="1:10" x14ac:dyDescent="0.45">
      <c r="A14" s="3" t="s">
        <v>29</v>
      </c>
      <c r="B14" s="59"/>
      <c r="C14" s="59"/>
      <c r="D14" s="59">
        <f t="shared" si="4"/>
        <v>0</v>
      </c>
      <c r="E14" s="62">
        <f t="shared" si="2"/>
        <v>0</v>
      </c>
      <c r="F14" s="61"/>
      <c r="G14" s="61">
        <f t="shared" si="3"/>
        <v>0</v>
      </c>
      <c r="H14" s="1">
        <f t="shared" si="0"/>
        <v>0</v>
      </c>
      <c r="I14" s="5"/>
      <c r="J14" s="6"/>
    </row>
    <row r="15" spans="1:10" x14ac:dyDescent="0.45">
      <c r="A15" s="3" t="s">
        <v>30</v>
      </c>
      <c r="B15" s="64"/>
      <c r="C15" s="59"/>
      <c r="D15" s="59">
        <f t="shared" si="4"/>
        <v>0</v>
      </c>
      <c r="E15" s="62">
        <f t="shared" si="2"/>
        <v>0</v>
      </c>
      <c r="F15" s="65"/>
      <c r="G15" s="61">
        <f t="shared" si="3"/>
        <v>0</v>
      </c>
      <c r="H15" s="1">
        <f t="shared" si="0"/>
        <v>0</v>
      </c>
      <c r="I15" s="2"/>
      <c r="J15" s="2" t="s">
        <v>20</v>
      </c>
    </row>
    <row r="16" spans="1:10" x14ac:dyDescent="0.45">
      <c r="A16" s="7" t="s">
        <v>31</v>
      </c>
      <c r="B16" s="8"/>
      <c r="C16" s="59"/>
      <c r="D16" s="8">
        <f t="shared" si="4"/>
        <v>0</v>
      </c>
      <c r="E16" s="9">
        <f t="shared" si="2"/>
        <v>0</v>
      </c>
      <c r="F16" s="10"/>
      <c r="G16" s="11">
        <f t="shared" si="3"/>
        <v>0</v>
      </c>
      <c r="H16" s="12">
        <f t="shared" si="0"/>
        <v>0</v>
      </c>
      <c r="I16" s="13"/>
      <c r="J16" s="13" t="s">
        <v>20</v>
      </c>
    </row>
    <row r="17" spans="1:10" x14ac:dyDescent="0.45">
      <c r="A17" s="14" t="s">
        <v>32</v>
      </c>
      <c r="B17" s="15">
        <f>SUM(B5:B16)</f>
        <v>2222.2675170898401</v>
      </c>
      <c r="C17" s="15">
        <f t="shared" ref="C17:F17" si="5">SUM(C5:C16)</f>
        <v>0</v>
      </c>
      <c r="D17" s="15">
        <f>B17-C17</f>
        <v>2222.2675170898401</v>
      </c>
      <c r="E17" s="16">
        <f>IFERROR(D17/C17, 0)</f>
        <v>0</v>
      </c>
      <c r="F17" s="15">
        <f t="shared" si="5"/>
        <v>2327</v>
      </c>
      <c r="G17" s="15">
        <f>B17-F17</f>
        <v>-104.73248291015989</v>
      </c>
      <c r="H17" s="17">
        <f>IFERROR(G17/F17, 0)</f>
        <v>-4.500751306839703E-2</v>
      </c>
      <c r="I17" s="18"/>
      <c r="J17" s="18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0341B-2FAA-43C3-A916-A894D40FA5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2024-02-02T06:08:40Z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