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0" documentId="13_ncr:1_{03D31357-5CF4-4918-BEA2-6E3644B01E5A}" xr6:coauthVersionLast="47" xr6:coauthVersionMax="47" xr10:uidLastSave="{00000000-0000-0000-0000-000000000000}"/>
  <bookViews>
    <workbookView xWindow="-28920" yWindow="7725" windowWidth="29040" windowHeight="15720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7" i="2"/>
  <c r="F6" i="2"/>
  <c r="F5" i="2"/>
  <c r="C5" i="2"/>
  <c r="C6" i="2"/>
  <c r="D6" i="2" s="1"/>
  <c r="E6" i="2" s="1"/>
  <c r="C7" i="2"/>
  <c r="C8" i="2"/>
  <c r="B8" i="2"/>
  <c r="B7" i="2"/>
  <c r="G7" i="2" s="1"/>
  <c r="H7" i="2" s="1"/>
  <c r="B6" i="2"/>
  <c r="B5" i="2"/>
  <c r="G6" i="2"/>
  <c r="H6" i="2" s="1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B17" i="1"/>
  <c r="D9" i="1"/>
  <c r="E9" i="1" s="1"/>
  <c r="D8" i="1"/>
  <c r="E8" i="1" s="1"/>
  <c r="D7" i="1"/>
  <c r="E7" i="1" s="1"/>
  <c r="D6" i="1"/>
  <c r="E6" i="1" s="1"/>
  <c r="D5" i="1"/>
  <c r="E5" i="1" s="1"/>
  <c r="D5" i="2" l="1"/>
  <c r="E5" i="2" s="1"/>
  <c r="G5" i="2"/>
  <c r="H5" i="2" s="1"/>
  <c r="F9" i="2"/>
  <c r="G8" i="2"/>
  <c r="H8" i="2" s="1"/>
  <c r="D8" i="2"/>
  <c r="E8" i="2" s="1"/>
  <c r="C9" i="2"/>
  <c r="B9" i="2"/>
  <c r="D7" i="2"/>
  <c r="E7" i="2" s="1"/>
  <c r="G17" i="1"/>
  <c r="H17" i="1" s="1"/>
  <c r="D17" i="1"/>
  <c r="E17" i="1" s="1"/>
  <c r="G9" i="2" l="1"/>
  <c r="H9" i="2" s="1"/>
  <c r="D9" i="2"/>
  <c r="E9" i="2" s="1"/>
</calcChain>
</file>

<file path=xl/sharedStrings.xml><?xml version="1.0" encoding="utf-8"?>
<sst xmlns="http://schemas.openxmlformats.org/spreadsheetml/2006/main" count="43" uniqueCount="32">
  <si>
    <t>Creed Monarch - Roof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</si>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</sst>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</font>
    <font>
      <sz val="11"/>
      <name val="Calibri"/>
    </font>
    <font>
      <b/>
      <sz val="10"/>
      <name val="Calibri"/>
    </font>
    <font>
      <sz val="10"/>
      <color theme="1"/>
      <name val="Calibri"/>
    </font>
    <font>
      <sz val="10"/>
      <name val="Calibri"/>
    </font>
    <font>
      <sz val="9"/>
      <color rgb="FF000000"/>
      <name val="Arial"/>
      <family val="2"/>
    </font>
    <font>
      <sz val="9"/>
      <color rgb="FF000000"/>
      <name val="Arial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EA9DB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14" xfId="0" applyFont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 wrapText="1"/>
    </xf>
    <xf numFmtId="9" fontId="4" fillId="3" borderId="16" xfId="2" applyFont="1" applyFill="1" applyBorder="1" applyAlignment="1">
      <alignment horizontal="left" vertical="center" wrapText="1"/>
    </xf>
    <xf numFmtId="9" fontId="4" fillId="5" borderId="16" xfId="2" applyFont="1" applyFill="1" applyBorder="1" applyAlignment="1">
      <alignment horizontal="left" vertical="center"/>
    </xf>
    <xf numFmtId="9" fontId="4" fillId="7" borderId="17" xfId="2" applyFont="1" applyFill="1" applyBorder="1" applyAlignment="1">
      <alignment horizontal="center" vertical="center"/>
    </xf>
    <xf numFmtId="9" fontId="4" fillId="7" borderId="18" xfId="2" applyFont="1" applyFill="1" applyBorder="1" applyAlignment="1">
      <alignment horizontal="center" vertical="center"/>
    </xf>
    <xf numFmtId="9" fontId="6" fillId="7" borderId="1" xfId="2" applyFont="1" applyFill="1" applyBorder="1" applyAlignment="1">
      <alignment horizontal="center"/>
    </xf>
    <xf numFmtId="9" fontId="6" fillId="7" borderId="1" xfId="2" applyFont="1" applyFill="1" applyBorder="1" applyAlignment="1">
      <alignment horizontal="left" vertical="top" wrapText="1"/>
    </xf>
    <xf numFmtId="9" fontId="6" fillId="7" borderId="1" xfId="2" applyFont="1" applyFill="1" applyBorder="1" applyAlignment="1">
      <alignment horizontal="left" vertical="top"/>
    </xf>
    <xf numFmtId="0" fontId="5" fillId="0" borderId="19" xfId="0" applyFont="1" applyBorder="1" applyAlignment="1">
      <alignment horizontal="center"/>
    </xf>
    <xf numFmtId="3" fontId="6" fillId="3" borderId="20" xfId="0" applyNumberFormat="1" applyFont="1" applyFill="1" applyBorder="1" applyAlignment="1">
      <alignment horizontal="right"/>
    </xf>
    <xf numFmtId="9" fontId="6" fillId="3" borderId="19" xfId="2" applyFont="1" applyFill="1" applyBorder="1" applyAlignment="1">
      <alignment horizontal="center"/>
    </xf>
    <xf numFmtId="3" fontId="6" fillId="5" borderId="21" xfId="1" applyNumberFormat="1" applyFont="1" applyFill="1" applyBorder="1"/>
    <xf numFmtId="3" fontId="6" fillId="5" borderId="20" xfId="1" applyNumberFormat="1" applyFont="1" applyFill="1" applyBorder="1"/>
    <xf numFmtId="9" fontId="6" fillId="5" borderId="20" xfId="2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7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3" fontId="9" fillId="4" borderId="13" xfId="0" applyNumberFormat="1" applyFont="1" applyFill="1" applyBorder="1"/>
    <xf numFmtId="3" fontId="9" fillId="3" borderId="1" xfId="0" applyNumberFormat="1" applyFont="1" applyFill="1" applyBorder="1" applyAlignment="1">
      <alignment horizontal="right"/>
    </xf>
    <xf numFmtId="9" fontId="9" fillId="3" borderId="1" xfId="2" applyFont="1" applyFill="1" applyBorder="1" applyAlignment="1">
      <alignment horizontal="center"/>
    </xf>
    <xf numFmtId="3" fontId="9" fillId="6" borderId="13" xfId="0" applyNumberFormat="1" applyFont="1" applyFill="1" applyBorder="1"/>
    <xf numFmtId="3" fontId="9" fillId="5" borderId="1" xfId="1" applyNumberFormat="1" applyFont="1" applyFill="1" applyBorder="1"/>
    <xf numFmtId="9" fontId="9" fillId="5" borderId="1" xfId="2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9" fillId="3" borderId="3" xfId="2" applyFont="1" applyFill="1" applyBorder="1" applyAlignment="1">
      <alignment horizontal="center"/>
    </xf>
    <xf numFmtId="3" fontId="9" fillId="5" borderId="4" xfId="1" applyNumberFormat="1" applyFont="1" applyFill="1" applyBorder="1"/>
    <xf numFmtId="3" fontId="9" fillId="5" borderId="1" xfId="1" applyNumberFormat="1" applyFont="1" applyFill="1" applyBorder="1" applyAlignment="1">
      <alignment vertical="center"/>
    </xf>
    <xf numFmtId="0" fontId="8" fillId="2" borderId="3" xfId="0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9" fontId="8" fillId="2" borderId="3" xfId="2" applyFont="1" applyFill="1" applyBorder="1" applyAlignment="1">
      <alignment horizontal="center"/>
    </xf>
    <xf numFmtId="9" fontId="8" fillId="2" borderId="3" xfId="0" applyNumberFormat="1" applyFont="1" applyFill="1" applyBorder="1" applyAlignment="1">
      <alignment horizontal="center"/>
    </xf>
    <xf numFmtId="0" fontId="7" fillId="3" borderId="15" xfId="0" applyFont="1" applyFill="1" applyBorder="1" applyAlignment="1">
      <alignment horizontal="left" vertical="center" wrapText="1"/>
    </xf>
    <xf numFmtId="9" fontId="7" fillId="3" borderId="16" xfId="2" applyFont="1" applyFill="1" applyBorder="1" applyAlignment="1">
      <alignment horizontal="left" vertical="center" wrapText="1"/>
    </xf>
    <xf numFmtId="0" fontId="7" fillId="5" borderId="15" xfId="0" applyFont="1" applyFill="1" applyBorder="1" applyAlignment="1">
      <alignment horizontal="left" vertical="center"/>
    </xf>
    <xf numFmtId="0" fontId="7" fillId="5" borderId="15" xfId="0" applyFont="1" applyFill="1" applyBorder="1" applyAlignment="1">
      <alignment horizontal="left" vertical="center" wrapText="1"/>
    </xf>
    <xf numFmtId="9" fontId="7" fillId="5" borderId="16" xfId="2" applyFont="1" applyFill="1" applyBorder="1" applyAlignment="1">
      <alignment horizontal="left" vertical="center"/>
    </xf>
    <xf numFmtId="0" fontId="4" fillId="3" borderId="20" xfId="0" applyFont="1" applyFill="1" applyBorder="1" applyAlignment="1">
      <alignment horizontal="left" vertical="center" wrapText="1"/>
    </xf>
    <xf numFmtId="9" fontId="6" fillId="7" borderId="25" xfId="2" applyFont="1" applyFill="1" applyBorder="1" applyAlignment="1">
      <alignment horizontal="left" vertical="top" wrapText="1"/>
    </xf>
    <xf numFmtId="9" fontId="15" fillId="7" borderId="1" xfId="2" applyFont="1" applyFill="1" applyBorder="1" applyAlignment="1">
      <alignment horizontal="left" vertical="top"/>
    </xf>
    <xf numFmtId="0" fontId="11" fillId="8" borderId="3" xfId="0" applyFont="1" applyFill="1" applyBorder="1" applyAlignment="1">
      <alignment horizontal="left" vertical="top" wrapText="1"/>
    </xf>
    <xf numFmtId="9" fontId="6" fillId="7" borderId="3" xfId="2" applyFont="1" applyFill="1" applyBorder="1" applyAlignment="1">
      <alignment horizontal="left" vertical="top"/>
    </xf>
    <xf numFmtId="9" fontId="6" fillId="7" borderId="20" xfId="2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3" fontId="13" fillId="4" borderId="3" xfId="0" applyNumberFormat="1" applyFont="1" applyFill="1" applyBorder="1" applyAlignment="1">
      <alignment horizontal="right" vertical="center"/>
    </xf>
    <xf numFmtId="0" fontId="10" fillId="4" borderId="22" xfId="0" applyFont="1" applyFill="1" applyBorder="1" applyAlignment="1">
      <alignment horizontal="right" vertical="center"/>
    </xf>
    <xf numFmtId="3" fontId="14" fillId="4" borderId="3" xfId="0" applyNumberFormat="1" applyFont="1" applyFill="1" applyBorder="1" applyAlignment="1">
      <alignment horizontal="right" vertical="center"/>
    </xf>
    <xf numFmtId="9" fontId="6" fillId="3" borderId="1" xfId="2" applyFont="1" applyFill="1" applyBorder="1" applyAlignment="1">
      <alignment horizontal="center" vertical="center"/>
    </xf>
    <xf numFmtId="3" fontId="13" fillId="6" borderId="22" xfId="0" applyNumberFormat="1" applyFont="1" applyFill="1" applyBorder="1" applyAlignment="1">
      <alignment horizontal="right" vertical="center"/>
    </xf>
    <xf numFmtId="3" fontId="6" fillId="5" borderId="1" xfId="1" applyNumberFormat="1" applyFont="1" applyFill="1" applyBorder="1" applyAlignment="1">
      <alignment horizontal="right" vertical="center"/>
    </xf>
    <xf numFmtId="9" fontId="6" fillId="5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0" fillId="4" borderId="23" xfId="0" applyFont="1" applyFill="1" applyBorder="1" applyAlignment="1">
      <alignment horizontal="right" vertical="center"/>
    </xf>
    <xf numFmtId="9" fontId="6" fillId="3" borderId="3" xfId="2" applyFont="1" applyFill="1" applyBorder="1" applyAlignment="1">
      <alignment horizontal="center" vertical="center"/>
    </xf>
    <xf numFmtId="3" fontId="13" fillId="6" borderId="23" xfId="0" applyNumberFormat="1" applyFont="1" applyFill="1" applyBorder="1" applyAlignment="1">
      <alignment horizontal="right" vertical="center"/>
    </xf>
    <xf numFmtId="0" fontId="11" fillId="4" borderId="23" xfId="0" applyFont="1" applyFill="1" applyBorder="1" applyAlignment="1">
      <alignment horizontal="right" vertical="center"/>
    </xf>
    <xf numFmtId="3" fontId="12" fillId="3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3" fontId="12" fillId="5" borderId="24" xfId="1" applyNumberFormat="1" applyFont="1" applyFill="1" applyBorder="1" applyAlignment="1">
      <alignment horizontal="right" vertical="center"/>
    </xf>
    <xf numFmtId="3" fontId="12" fillId="5" borderId="1" xfId="1" applyNumberFormat="1" applyFont="1" applyFill="1" applyBorder="1" applyAlignment="1">
      <alignment horizontal="right" vertical="center"/>
    </xf>
    <xf numFmtId="3" fontId="6" fillId="5" borderId="1" xfId="1" applyNumberFormat="1" applyFont="1" applyFill="1" applyBorder="1" applyAlignment="1">
      <alignment vertical="center"/>
    </xf>
    <xf numFmtId="3" fontId="6" fillId="4" borderId="2" xfId="0" applyNumberFormat="1" applyFont="1" applyFill="1" applyBorder="1" applyAlignment="1">
      <alignment vertical="center"/>
    </xf>
    <xf numFmtId="3" fontId="6" fillId="6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6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15" dataDxfId="13" headerRowBorderDxfId="14" tableBorderDxfId="12">
  <autoFilter ref="A4:H8" xr:uid="{BF044CE3-EF2D-4D70-8313-90420726FB98}"/>
  <tableColumns count="8">
    <tableColumn id="1" xr3:uid="{4BC4C9B6-A03A-415C-BCE1-1E0A01FD2113}" name="Quarter" dataDxfId="11"/>
    <tableColumn id="2" xr3:uid="{14458B0A-F61F-4B46-BC0C-E9D0D13BA1D4}" name="Actual" dataDxfId="10"/>
    <tableColumn id="3" xr3:uid="{65AD0361-5994-4C6F-A094-4DCD8B32F876}" name="Expected" dataDxfId="9"/>
    <tableColumn id="4" xr3:uid="{40E851A8-F5F3-4887-9AA4-8ECBE3F17A08}" name="Delta Expected" dataDxfId="8">
      <calculatedColumnFormula>B5-C5</calculatedColumnFormula>
    </tableColumn>
    <tableColumn id="5" xr3:uid="{BDAB55DD-7845-48B4-8EF2-F0BA9E49A5BA}" name="% Expected" dataDxfId="7">
      <calculatedColumnFormula>IFERROR(D5/C5, 0)</calculatedColumnFormula>
    </tableColumn>
    <tableColumn id="6" xr3:uid="{4A96277B-65C9-410B-BF8F-A980698BC1F3}" name="Forecasted" dataDxfId="6"/>
    <tableColumn id="7" xr3:uid="{4A6547F1-DE47-4709-B2ED-1C0B676C0D28}" name="Delta Forecasted" dataDxfId="5" dataCellStyle="Comma">
      <calculatedColumnFormula>B5-F5</calculatedColumnFormula>
    </tableColumn>
    <tableColumn id="8" xr3:uid="{52485586-5CF7-4A7D-A2F9-AA276D4B30AA}" name="% Forecasted" dataDxfId="4">
      <calculatedColumnFormula>IFERROR(G5/F5,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tabSelected="1" workbookViewId="0">
      <selection activeCell="C32" sqref="C32"/>
    </sheetView>
  </sheetViews>
  <sheetFormatPr defaultRowHeight="14.25" x14ac:dyDescent="0.45"/>
  <cols>
    <col min="1" max="1" width="22" customWidth="1"/>
    <col min="2" max="2" width="11.46484375" customWidth="1"/>
    <col min="3" max="3" width="12.53125" customWidth="1"/>
    <col min="4" max="4" width="15.19921875" customWidth="1"/>
    <col min="5" max="5" width="13.796875" customWidth="1"/>
    <col min="6" max="6" width="12.53125" customWidth="1"/>
    <col min="7" max="7" width="17.19921875" customWidth="1"/>
    <col min="8" max="8" width="16" customWidth="1"/>
  </cols>
  <sheetData>
    <row r="1" spans="1:8" ht="25.5" x14ac:dyDescent="0.45">
      <c r="A1" s="71" t="s">
        <v>0</v>
      </c>
      <c r="B1" s="71"/>
      <c r="C1" s="71"/>
      <c r="D1" s="71"/>
      <c r="E1" s="71"/>
      <c r="F1" s="71"/>
      <c r="G1" s="71"/>
      <c r="H1" s="71"/>
    </row>
    <row r="3" spans="1:8" ht="15.4" x14ac:dyDescent="0.45">
      <c r="A3" s="72" t="s">
        <v>1</v>
      </c>
      <c r="B3" s="73"/>
      <c r="C3" s="73"/>
      <c r="D3" s="73"/>
      <c r="E3" s="74"/>
      <c r="F3" s="75" t="s">
        <v>2</v>
      </c>
      <c r="G3" s="76"/>
      <c r="H3" s="77"/>
    </row>
    <row r="4" spans="1:8" x14ac:dyDescent="0.45">
      <c r="A4" s="23" t="s">
        <v>3</v>
      </c>
      <c r="B4" s="39" t="s">
        <v>4</v>
      </c>
      <c r="C4" s="39" t="s">
        <v>5</v>
      </c>
      <c r="D4" s="39" t="s">
        <v>6</v>
      </c>
      <c r="E4" s="40" t="s">
        <v>7</v>
      </c>
      <c r="F4" s="41" t="s">
        <v>8</v>
      </c>
      <c r="G4" s="42" t="s">
        <v>9</v>
      </c>
      <c r="H4" s="43" t="s">
        <v>10</v>
      </c>
    </row>
    <row r="5" spans="1:8" x14ac:dyDescent="0.45">
      <c r="A5" s="24" t="s">
        <v>11</v>
      </c>
      <c r="B5" s="25">
        <f>SUM(Monthly!B5:B7)</f>
        <v>22388.470232435498</v>
      </c>
      <c r="C5" s="25">
        <f>SUM(Monthly!C5:C7)</f>
        <v>0</v>
      </c>
      <c r="D5" s="26">
        <f>B5-C5</f>
        <v>22388.470232435498</v>
      </c>
      <c r="E5" s="27">
        <f t="shared" ref="E5:E8" si="0">IFERROR(D5/C5, 0)</f>
        <v>0</v>
      </c>
      <c r="F5" s="28">
        <f>SUM(Monthly!F5:F7)</f>
        <v>57340</v>
      </c>
      <c r="G5" s="29">
        <f>B5-F5</f>
        <v>-34951.529767564498</v>
      </c>
      <c r="H5" s="30">
        <f t="shared" ref="H5:H8" si="1">IFERROR(G5/F5, 0)</f>
        <v>-0.6095488274775811</v>
      </c>
    </row>
    <row r="6" spans="1:8" x14ac:dyDescent="0.45">
      <c r="A6" s="31" t="s">
        <v>12</v>
      </c>
      <c r="B6" s="25">
        <f>SUM(Monthly!B8:B10)</f>
        <v>0</v>
      </c>
      <c r="C6" s="25">
        <f>SUM(Monthly!C8:C10)</f>
        <v>0</v>
      </c>
      <c r="D6" s="26">
        <f t="shared" ref="D6:D8" si="2">B6-C6</f>
        <v>0</v>
      </c>
      <c r="E6" s="32">
        <f t="shared" si="0"/>
        <v>0</v>
      </c>
      <c r="F6" s="33">
        <f>SUM(Monthly!F8:F10)</f>
        <v>0</v>
      </c>
      <c r="G6" s="29">
        <f t="shared" ref="G6:G8" si="3">B6-F6</f>
        <v>0</v>
      </c>
      <c r="H6" s="30">
        <f t="shared" si="1"/>
        <v>0</v>
      </c>
    </row>
    <row r="7" spans="1:8" x14ac:dyDescent="0.45">
      <c r="A7" s="31" t="s">
        <v>13</v>
      </c>
      <c r="B7" s="26">
        <f>SUM(Monthly!B11:B13)</f>
        <v>0</v>
      </c>
      <c r="C7" s="26">
        <f>SUM(Monthly!C11:C13)</f>
        <v>0</v>
      </c>
      <c r="D7" s="26">
        <f t="shared" si="2"/>
        <v>0</v>
      </c>
      <c r="E7" s="32">
        <f t="shared" si="0"/>
        <v>0</v>
      </c>
      <c r="F7" s="34">
        <f>SUM(Monthly!F11:F13)</f>
        <v>0</v>
      </c>
      <c r="G7" s="29">
        <f t="shared" si="3"/>
        <v>0</v>
      </c>
      <c r="H7" s="30">
        <f t="shared" si="1"/>
        <v>0</v>
      </c>
    </row>
    <row r="8" spans="1:8" x14ac:dyDescent="0.45">
      <c r="A8" s="31" t="s">
        <v>14</v>
      </c>
      <c r="B8" s="26">
        <f>SUM(Monthly!B14:B16)</f>
        <v>0</v>
      </c>
      <c r="C8" s="26">
        <f>SUM(Monthly!C14:C16)</f>
        <v>0</v>
      </c>
      <c r="D8" s="26">
        <f t="shared" si="2"/>
        <v>0</v>
      </c>
      <c r="E8" s="32">
        <f t="shared" si="0"/>
        <v>0</v>
      </c>
      <c r="F8" s="29">
        <f>SUM(Monthly!F14:F16)</f>
        <v>0</v>
      </c>
      <c r="G8" s="29">
        <f t="shared" si="3"/>
        <v>0</v>
      </c>
      <c r="H8" s="30">
        <f t="shared" si="1"/>
        <v>0</v>
      </c>
    </row>
    <row r="9" spans="1:8" x14ac:dyDescent="0.45">
      <c r="A9" s="35" t="s">
        <v>15</v>
      </c>
      <c r="B9" s="36">
        <f>SUM(B5:B8)</f>
        <v>22388.470232435498</v>
      </c>
      <c r="C9" s="36">
        <f>SUM(C5:C8)</f>
        <v>0</v>
      </c>
      <c r="D9" s="36">
        <f>B9-C9</f>
        <v>22388.470232435498</v>
      </c>
      <c r="E9" s="37">
        <f>IFERROR(D9/C9, 0)</f>
        <v>0</v>
      </c>
      <c r="F9" s="36">
        <f>SUM(F5:F8)</f>
        <v>57340</v>
      </c>
      <c r="G9" s="36">
        <f>B9-F9</f>
        <v>-34951.529767564498</v>
      </c>
      <c r="H9" s="38">
        <f>IFERROR(G9/F9, 0)</f>
        <v>-0.6095488274775811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17"/>
  <sheetViews>
    <sheetView workbookViewId="0">
      <selection activeCell="C6" sqref="C6"/>
    </sheetView>
  </sheetViews>
  <sheetFormatPr defaultRowHeight="13.9" customHeight="1" x14ac:dyDescent="0.45"/>
  <cols>
    <col min="1" max="1" width="10.46484375" customWidth="1"/>
    <col min="2" max="2" width="10.53125" customWidth="1"/>
    <col min="3" max="3" width="11" bestFit="1" customWidth="1"/>
    <col min="4" max="4" width="15" customWidth="1"/>
    <col min="5" max="5" width="13.19921875" customWidth="1"/>
    <col min="6" max="6" width="12.53125" customWidth="1"/>
    <col min="7" max="7" width="17.1328125" customWidth="1"/>
    <col min="8" max="8" width="15.19921875" customWidth="1"/>
    <col min="9" max="9" width="85" bestFit="1" customWidth="1"/>
    <col min="10" max="10" width="18.86328125" customWidth="1"/>
  </cols>
  <sheetData>
    <row r="1" spans="1:10" ht="13.9" customHeight="1" x14ac:dyDescent="0.4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</row>
    <row r="3" spans="1:10" ht="13.9" customHeight="1" x14ac:dyDescent="0.45">
      <c r="A3" s="72" t="s">
        <v>1</v>
      </c>
      <c r="B3" s="73"/>
      <c r="C3" s="73"/>
      <c r="D3" s="73"/>
      <c r="E3" s="74"/>
      <c r="F3" s="75" t="s">
        <v>2</v>
      </c>
      <c r="G3" s="76"/>
      <c r="H3" s="77"/>
      <c r="I3" s="78" t="s">
        <v>16</v>
      </c>
      <c r="J3" s="79"/>
    </row>
    <row r="4" spans="1:10" ht="13.9" customHeight="1" thickBot="1" x14ac:dyDescent="0.5">
      <c r="A4" s="1" t="s">
        <v>17</v>
      </c>
      <c r="B4" s="44" t="s">
        <v>4</v>
      </c>
      <c r="C4" s="2" t="s">
        <v>5</v>
      </c>
      <c r="D4" s="2" t="s">
        <v>6</v>
      </c>
      <c r="E4" s="5" t="s">
        <v>7</v>
      </c>
      <c r="F4" s="3" t="s">
        <v>8</v>
      </c>
      <c r="G4" s="4" t="s">
        <v>9</v>
      </c>
      <c r="H4" s="6" t="s">
        <v>10</v>
      </c>
      <c r="I4" s="7" t="s">
        <v>16</v>
      </c>
      <c r="J4" s="8" t="s">
        <v>18</v>
      </c>
    </row>
    <row r="5" spans="1:10" ht="13.9" customHeight="1" x14ac:dyDescent="0.45">
      <c r="A5" s="51" t="s">
        <v>19</v>
      </c>
      <c r="B5" s="52">
        <v>22388.470232435498</v>
      </c>
      <c r="C5" s="53">
        <v>0</v>
      </c>
      <c r="D5" s="54">
        <f>B5-C5</f>
        <v>22388.470232435498</v>
      </c>
      <c r="E5" s="55">
        <f t="shared" ref="E5:E16" si="0">IFERROR(D5/C5, 0)</f>
        <v>0</v>
      </c>
      <c r="F5" s="56">
        <v>57340</v>
      </c>
      <c r="G5" s="57">
        <f>B5-F5</f>
        <v>-34951.529767564498</v>
      </c>
      <c r="H5" s="58">
        <f t="shared" ref="H5:H16" si="1">IFERROR(G5/F5, 0)</f>
        <v>-0.6095488274775811</v>
      </c>
      <c r="I5" s="9"/>
      <c r="J5" s="9"/>
    </row>
    <row r="6" spans="1:10" ht="13.9" customHeight="1" x14ac:dyDescent="0.45">
      <c r="A6" s="59" t="s">
        <v>20</v>
      </c>
      <c r="B6" s="52"/>
      <c r="C6" s="60"/>
      <c r="D6" s="54">
        <f t="shared" ref="D6:D10" si="2">B6-C6</f>
        <v>0</v>
      </c>
      <c r="E6" s="61">
        <f t="shared" si="0"/>
        <v>0</v>
      </c>
      <c r="F6" s="62"/>
      <c r="G6" s="57">
        <f t="shared" ref="G6:G16" si="3">B6-F6</f>
        <v>0</v>
      </c>
      <c r="H6" s="58">
        <f t="shared" si="1"/>
        <v>0</v>
      </c>
      <c r="I6" s="11"/>
      <c r="J6" s="9"/>
    </row>
    <row r="7" spans="1:10" ht="13.9" customHeight="1" x14ac:dyDescent="0.45">
      <c r="A7" s="59" t="s">
        <v>21</v>
      </c>
      <c r="B7" s="52"/>
      <c r="C7" s="60"/>
      <c r="D7" s="54">
        <f t="shared" si="2"/>
        <v>0</v>
      </c>
      <c r="E7" s="61">
        <f t="shared" si="0"/>
        <v>0</v>
      </c>
      <c r="F7" s="62"/>
      <c r="G7" s="57">
        <f t="shared" si="3"/>
        <v>0</v>
      </c>
      <c r="H7" s="58">
        <f t="shared" si="1"/>
        <v>0</v>
      </c>
      <c r="I7" s="10"/>
      <c r="J7" s="11"/>
    </row>
    <row r="8" spans="1:10" ht="13.9" customHeight="1" x14ac:dyDescent="0.45">
      <c r="A8" s="59" t="s">
        <v>22</v>
      </c>
      <c r="B8" s="52"/>
      <c r="C8" s="60"/>
      <c r="D8" s="54">
        <f t="shared" si="2"/>
        <v>0</v>
      </c>
      <c r="E8" s="61">
        <f t="shared" si="0"/>
        <v>0</v>
      </c>
      <c r="F8" s="62"/>
      <c r="G8" s="57">
        <f t="shared" si="3"/>
        <v>0</v>
      </c>
      <c r="H8" s="58">
        <f t="shared" si="1"/>
        <v>0</v>
      </c>
      <c r="I8" s="11"/>
      <c r="J8" s="49"/>
    </row>
    <row r="9" spans="1:10" ht="13.9" customHeight="1" x14ac:dyDescent="0.45">
      <c r="A9" s="59" t="s">
        <v>23</v>
      </c>
      <c r="B9" s="52"/>
      <c r="C9" s="63"/>
      <c r="D9" s="54">
        <f t="shared" si="2"/>
        <v>0</v>
      </c>
      <c r="E9" s="61">
        <f t="shared" si="0"/>
        <v>0</v>
      </c>
      <c r="F9" s="62"/>
      <c r="G9" s="57">
        <f t="shared" si="3"/>
        <v>0</v>
      </c>
      <c r="H9" s="58">
        <f t="shared" si="1"/>
        <v>0</v>
      </c>
      <c r="I9" s="45"/>
      <c r="J9" s="11"/>
    </row>
    <row r="10" spans="1:10" ht="13.9" customHeight="1" x14ac:dyDescent="0.45">
      <c r="A10" s="59" t="s">
        <v>24</v>
      </c>
      <c r="B10" s="52"/>
      <c r="C10" s="63"/>
      <c r="D10" s="54">
        <f t="shared" si="2"/>
        <v>0</v>
      </c>
      <c r="E10" s="61">
        <f t="shared" si="0"/>
        <v>0</v>
      </c>
      <c r="F10" s="62"/>
      <c r="G10" s="57">
        <f t="shared" si="3"/>
        <v>0</v>
      </c>
      <c r="H10" s="58">
        <f t="shared" si="1"/>
        <v>0</v>
      </c>
      <c r="I10" s="47"/>
      <c r="J10" s="50"/>
    </row>
    <row r="11" spans="1:10" ht="13.9" customHeight="1" x14ac:dyDescent="0.45">
      <c r="A11" s="59" t="s">
        <v>25</v>
      </c>
      <c r="B11" s="64"/>
      <c r="C11" s="65"/>
      <c r="D11" s="54">
        <f t="shared" ref="D11:D16" si="4">B11-C11</f>
        <v>0</v>
      </c>
      <c r="E11" s="61">
        <f t="shared" si="0"/>
        <v>0</v>
      </c>
      <c r="F11" s="66"/>
      <c r="G11" s="57">
        <f t="shared" si="3"/>
        <v>0</v>
      </c>
      <c r="H11" s="58">
        <f t="shared" si="1"/>
        <v>0</v>
      </c>
      <c r="I11" s="48"/>
      <c r="J11" s="48"/>
    </row>
    <row r="12" spans="1:10" ht="13.9" customHeight="1" x14ac:dyDescent="0.45">
      <c r="A12" s="59" t="s">
        <v>26</v>
      </c>
      <c r="B12" s="64"/>
      <c r="C12" s="65"/>
      <c r="D12" s="54">
        <f t="shared" si="4"/>
        <v>0</v>
      </c>
      <c r="E12" s="61">
        <f t="shared" si="0"/>
        <v>0</v>
      </c>
      <c r="F12" s="67"/>
      <c r="G12" s="57">
        <f t="shared" si="3"/>
        <v>0</v>
      </c>
      <c r="H12" s="58">
        <f t="shared" si="1"/>
        <v>0</v>
      </c>
      <c r="I12" s="46"/>
      <c r="J12" s="11"/>
    </row>
    <row r="13" spans="1:10" ht="13.9" customHeight="1" x14ac:dyDescent="0.45">
      <c r="A13" s="59" t="s">
        <v>27</v>
      </c>
      <c r="B13" s="65"/>
      <c r="C13" s="65"/>
      <c r="D13" s="65">
        <f t="shared" si="4"/>
        <v>0</v>
      </c>
      <c r="E13" s="61">
        <f t="shared" si="0"/>
        <v>0</v>
      </c>
      <c r="F13" s="68"/>
      <c r="G13" s="68">
        <f t="shared" si="3"/>
        <v>0</v>
      </c>
      <c r="H13" s="58">
        <f t="shared" si="1"/>
        <v>0</v>
      </c>
      <c r="I13" s="10"/>
      <c r="J13" s="10"/>
    </row>
    <row r="14" spans="1:10" ht="13.9" customHeight="1" x14ac:dyDescent="0.45">
      <c r="A14" s="59" t="s">
        <v>28</v>
      </c>
      <c r="B14" s="65"/>
      <c r="C14" s="65"/>
      <c r="D14" s="65">
        <f t="shared" si="4"/>
        <v>0</v>
      </c>
      <c r="E14" s="61">
        <f t="shared" si="0"/>
        <v>0</v>
      </c>
      <c r="F14" s="68"/>
      <c r="G14" s="68">
        <f t="shared" si="3"/>
        <v>0</v>
      </c>
      <c r="H14" s="58">
        <f t="shared" si="1"/>
        <v>0</v>
      </c>
      <c r="I14" s="10"/>
      <c r="J14" s="11"/>
    </row>
    <row r="15" spans="1:10" ht="13.9" customHeight="1" x14ac:dyDescent="0.45">
      <c r="A15" s="59" t="s">
        <v>29</v>
      </c>
      <c r="B15" s="69"/>
      <c r="C15" s="65"/>
      <c r="D15" s="65">
        <f t="shared" si="4"/>
        <v>0</v>
      </c>
      <c r="E15" s="61">
        <f t="shared" si="0"/>
        <v>0</v>
      </c>
      <c r="F15" s="70"/>
      <c r="G15" s="68">
        <f t="shared" si="3"/>
        <v>0</v>
      </c>
      <c r="H15" s="58">
        <f t="shared" si="1"/>
        <v>0</v>
      </c>
      <c r="I15" s="11"/>
      <c r="J15" s="11"/>
    </row>
    <row r="16" spans="1:10" ht="13.9" customHeight="1" x14ac:dyDescent="0.45">
      <c r="A16" s="12" t="s">
        <v>30</v>
      </c>
      <c r="B16" s="13"/>
      <c r="C16" s="65"/>
      <c r="D16" s="13">
        <f t="shared" si="4"/>
        <v>0</v>
      </c>
      <c r="E16" s="14">
        <f t="shared" si="0"/>
        <v>0</v>
      </c>
      <c r="F16" s="15"/>
      <c r="G16" s="16">
        <f t="shared" si="3"/>
        <v>0</v>
      </c>
      <c r="H16" s="17">
        <f t="shared" si="1"/>
        <v>0</v>
      </c>
      <c r="I16" s="10"/>
      <c r="J16" s="11"/>
    </row>
    <row r="17" spans="1:10" ht="13.9" customHeight="1" x14ac:dyDescent="0.45">
      <c r="A17" s="18" t="s">
        <v>31</v>
      </c>
      <c r="B17" s="19">
        <f>SUM(B5:B16)</f>
        <v>22388.470232435498</v>
      </c>
      <c r="C17" s="19">
        <f t="shared" ref="C17:F17" si="5">SUM(C5:C16)</f>
        <v>0</v>
      </c>
      <c r="D17" s="19">
        <f>B17-C17</f>
        <v>22388.470232435498</v>
      </c>
      <c r="E17" s="20">
        <f>IFERROR(D17/C17, 0)</f>
        <v>0</v>
      </c>
      <c r="F17" s="19">
        <f t="shared" si="5"/>
        <v>57340</v>
      </c>
      <c r="G17" s="19">
        <f>B17-F17</f>
        <v>-34951.529767564498</v>
      </c>
      <c r="H17" s="21">
        <f>IFERROR(G17/F17, 0)</f>
        <v>-0.6095488274775811</v>
      </c>
      <c r="I17" s="22"/>
      <c r="J17" s="22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2D7E8F-C199-4131-A5D4-BE8D28CAED75}"/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ddcd8467-55ca-498e-a9f8-86795db5db7a"/>
    <ds:schemaRef ds:uri="7f39bfab-6331-41a1-b6d4-5b974a316951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2024-02-05T06:19:47Z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