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libsysinc_com/Documents/Desktop/Eastern Jan/"/>
    </mc:Choice>
  </mc:AlternateContent>
  <xr:revisionPtr revIDLastSave="10" documentId="13_ncr:1_{EDE6E1E9-5D17-43BC-85F3-D1216D403BBE}" xr6:coauthVersionLast="47" xr6:coauthVersionMax="47" xr10:uidLastSave="{CBE0E814-EEFC-4FF8-BDE0-510FF5C0E215}"/>
  <bookViews>
    <workbookView xWindow="-28920" yWindow="7725" windowWidth="29040" windowHeight="15720" tabRatio="866" firstSheet="6" activeTab="6" xr2:uid="{00000000-000D-0000-FFFF-FFFF00000000}"/>
  </bookViews>
  <sheets>
    <sheet name="YTD Total 2024" sheetId="34" r:id="rId1"/>
    <sheet name="1st Quarter 2024" sheetId="1" r:id="rId2"/>
    <sheet name="2nd Quarter 2024" sheetId="18" r:id="rId3"/>
    <sheet name="3rd Quarter 2024" sheetId="29" r:id="rId4"/>
    <sheet name="4th Quarter 2024" sheetId="30" r:id="rId5"/>
    <sheet name="01-2024" sheetId="2" r:id="rId6"/>
    <sheet name="02-2024" sheetId="3" r:id="rId7"/>
    <sheet name="03-2024" sheetId="4" r:id="rId8"/>
    <sheet name="04-2024" sheetId="21" r:id="rId9"/>
    <sheet name="05-2024" sheetId="20" r:id="rId10"/>
    <sheet name="06-2024" sheetId="19" r:id="rId11"/>
    <sheet name="07-2024" sheetId="26" r:id="rId12"/>
    <sheet name="08-2024" sheetId="27" r:id="rId13"/>
    <sheet name="09-2024" sheetId="28" r:id="rId14"/>
    <sheet name="10-2024" sheetId="31" r:id="rId15"/>
    <sheet name="11-2024" sheetId="32" r:id="rId16"/>
    <sheet name="12-2024" sheetId="33" r:id="rId17"/>
    <sheet name="Sites" sheetId="68" r:id="rId18"/>
    <sheet name="Westbrook - Lee Building 9" sheetId="5" r:id="rId19"/>
    <sheet name="Westbrook - Lee Building 82" sheetId="69" r:id="rId20"/>
  </sheets>
  <definedNames>
    <definedName name="_xlnm._FilterDatabase" localSheetId="5" hidden="1">'01-2024'!$A$2:$I$2</definedName>
    <definedName name="_xlnm._FilterDatabase" localSheetId="6" hidden="1">'02-2024'!$A$2:$I$2</definedName>
    <definedName name="_xlnm._FilterDatabase" localSheetId="7" hidden="1">'03-2024'!$A$2:$I$2</definedName>
    <definedName name="_xlnm._FilterDatabase" localSheetId="8" hidden="1">'04-2024'!$A$2:$I$2</definedName>
    <definedName name="_xlnm._FilterDatabase" localSheetId="9" hidden="1">'05-2024'!$A$2:$I$2</definedName>
    <definedName name="_xlnm._FilterDatabase" localSheetId="10" hidden="1">'06-2024'!$A$2:$I$2</definedName>
    <definedName name="_xlnm._FilterDatabase" localSheetId="11" hidden="1">'07-2024'!$A$2:$I$2</definedName>
    <definedName name="_xlnm._FilterDatabase" localSheetId="12" hidden="1">'08-2024'!$A$2:$I$2</definedName>
    <definedName name="_xlnm._FilterDatabase" localSheetId="13" hidden="1">'09-2024'!$A$2:$I$2</definedName>
    <definedName name="_xlnm._FilterDatabase" localSheetId="14" hidden="1">'10-2024'!$A$2:$I$2</definedName>
    <definedName name="_xlnm._FilterDatabase" localSheetId="15" hidden="1">'11-2024'!$A$2:$I$2</definedName>
    <definedName name="_xlnm._FilterDatabase" localSheetId="16" hidden="1">'12-2024'!$A$2:$I$2</definedName>
    <definedName name="_xlnm._FilterDatabase" localSheetId="1" hidden="1">'1st Quarter 2024'!$A$2:$I$2</definedName>
    <definedName name="_xlnm._FilterDatabase" localSheetId="2" hidden="1">'2nd Quarter 2024'!$A$2:$I$2</definedName>
    <definedName name="_xlnm._FilterDatabase" localSheetId="3" hidden="1">'3rd Quarter 2024'!$A$2:$I$2</definedName>
    <definedName name="_xlnm._FilterDatabase" localSheetId="4" hidden="1">'4th Quarter 2024'!$A$2:$I$2</definedName>
    <definedName name="_xlnm._FilterDatabase" localSheetId="0" hidden="1">'YTD Total 2024'!$A$2:$I$2</definedName>
    <definedName name="JanActual">'01-2024'!$C$3:$C$4</definedName>
    <definedName name="JanActual2">'01-2024'!#REF!</definedName>
    <definedName name="JanExpected">'01-2024'!$D$3:$D$4</definedName>
    <definedName name="JanExpectedDelta">'01-2024'!$E$3:$E$4</definedName>
    <definedName name="JanExpectedPercent">'01-2024'!$F$3:$F$4</definedName>
    <definedName name="JanExpPercent">'01-2024'!$F$3:$F$4</definedName>
    <definedName name="JanForecasted">'01-2024'!$G$3:$G$4</definedName>
    <definedName name="JanForecastedDelta">'01-2024'!$H$3:$H$4</definedName>
    <definedName name="JanForecastedPercent">'01-2024'!$I$3:$I$4</definedName>
    <definedName name="portfolio">Sites!$B$1:$B$1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69" l="1"/>
  <c r="H16" i="69" s="1"/>
  <c r="D16" i="69"/>
  <c r="E16" i="69" s="1"/>
  <c r="G16" i="5"/>
  <c r="H16" i="5" s="1"/>
  <c r="D16" i="5"/>
  <c r="E16" i="5" s="1"/>
  <c r="D15" i="69"/>
  <c r="E15" i="69"/>
  <c r="G15" i="69"/>
  <c r="H15" i="69" s="1"/>
  <c r="D15" i="5"/>
  <c r="E15" i="5" s="1"/>
  <c r="G15" i="5"/>
  <c r="H15" i="5" s="1"/>
  <c r="G14" i="69"/>
  <c r="H14" i="69" s="1"/>
  <c r="D14" i="69"/>
  <c r="E14" i="69" s="1"/>
  <c r="G14" i="5"/>
  <c r="H14" i="5" s="1"/>
  <c r="D14" i="5"/>
  <c r="E14" i="5" s="1"/>
  <c r="G13" i="69"/>
  <c r="H13" i="69" s="1"/>
  <c r="D13" i="69"/>
  <c r="E13" i="69" s="1"/>
  <c r="G13" i="5" l="1"/>
  <c r="H13" i="5" s="1"/>
  <c r="D13" i="5"/>
  <c r="E13" i="5" s="1"/>
  <c r="G12" i="69"/>
  <c r="H12" i="69" s="1"/>
  <c r="D12" i="69"/>
  <c r="E12" i="69" s="1"/>
  <c r="G12" i="5"/>
  <c r="H12" i="5" s="1"/>
  <c r="D12" i="5"/>
  <c r="E12" i="5" s="1"/>
  <c r="H6" i="69"/>
  <c r="H7" i="69"/>
  <c r="H8" i="69"/>
  <c r="H11" i="69"/>
  <c r="G6" i="69"/>
  <c r="G7" i="69"/>
  <c r="G8" i="69"/>
  <c r="G9" i="69"/>
  <c r="H9" i="69" s="1"/>
  <c r="G10" i="69"/>
  <c r="H10" i="69" s="1"/>
  <c r="G11" i="69"/>
  <c r="E7" i="69"/>
  <c r="E8" i="69"/>
  <c r="E9" i="69"/>
  <c r="E10" i="69"/>
  <c r="E11" i="69"/>
  <c r="D6" i="69"/>
  <c r="E6" i="69" s="1"/>
  <c r="D7" i="69"/>
  <c r="D8" i="69"/>
  <c r="D9" i="69"/>
  <c r="D10" i="69"/>
  <c r="D11" i="69"/>
  <c r="H6" i="5"/>
  <c r="H7" i="5"/>
  <c r="H8" i="5"/>
  <c r="H11" i="5"/>
  <c r="G6" i="5"/>
  <c r="G7" i="5"/>
  <c r="G8" i="5"/>
  <c r="G9" i="5"/>
  <c r="H9" i="5" s="1"/>
  <c r="G10" i="5"/>
  <c r="H10" i="5" s="1"/>
  <c r="G11" i="5"/>
  <c r="E7" i="5"/>
  <c r="E8" i="5"/>
  <c r="E9" i="5"/>
  <c r="E10" i="5"/>
  <c r="E11" i="5"/>
  <c r="D6" i="5"/>
  <c r="E6" i="5" s="1"/>
  <c r="D7" i="5"/>
  <c r="D8" i="5"/>
  <c r="D9" i="5"/>
  <c r="D10" i="5"/>
  <c r="D11" i="5"/>
  <c r="B3" i="34" a="1"/>
  <c r="B3" i="34" s="1"/>
  <c r="A3" i="34" a="1"/>
  <c r="A3" i="34" s="1"/>
  <c r="A1" i="34" a="1"/>
  <c r="A1" i="34" s="1"/>
  <c r="B3" i="30" a="1"/>
  <c r="B3" i="30" s="1"/>
  <c r="A3" i="30" a="1"/>
  <c r="A3" i="30" s="1"/>
  <c r="A1" i="30" a="1"/>
  <c r="A1" i="30" s="1"/>
  <c r="B3" i="29" a="1"/>
  <c r="B3" i="29" s="1"/>
  <c r="A3" i="29" a="1"/>
  <c r="A3" i="29" s="1"/>
  <c r="A1" i="29" a="1"/>
  <c r="A1" i="29" s="1"/>
  <c r="B3" i="18" a="1"/>
  <c r="B3" i="18" s="1"/>
  <c r="A3" i="18" a="1"/>
  <c r="A3" i="18" s="1"/>
  <c r="A1" i="18" a="1"/>
  <c r="A1" i="18" s="1"/>
  <c r="B3" i="1" a="1"/>
  <c r="B3" i="1" s="1"/>
  <c r="A3" i="1" a="1"/>
  <c r="A1" i="1" a="1"/>
  <c r="A1" i="1" s="1"/>
  <c r="B3" i="33" a="1"/>
  <c r="B3" i="33" s="1"/>
  <c r="A3" i="33" a="1"/>
  <c r="A1" i="33" a="1"/>
  <c r="A1" i="33" s="1"/>
  <c r="B3" i="32" a="1"/>
  <c r="B3" i="32" s="1"/>
  <c r="A3" i="32" a="1"/>
  <c r="A1" i="32" a="1"/>
  <c r="A1" i="32" s="1"/>
  <c r="B3" i="31" a="1"/>
  <c r="B3" i="31" s="1"/>
  <c r="A3" i="31" a="1"/>
  <c r="A1" i="31" a="1"/>
  <c r="A1" i="31" s="1"/>
  <c r="B3" i="28" a="1"/>
  <c r="B3" i="28" s="1"/>
  <c r="A3" i="28" a="1"/>
  <c r="A1" i="28" a="1"/>
  <c r="A1" i="28" s="1"/>
  <c r="B3" i="27" a="1"/>
  <c r="B3" i="27" s="1"/>
  <c r="A3" i="27" a="1"/>
  <c r="A1" i="27" a="1"/>
  <c r="A1" i="27" s="1"/>
  <c r="B3" i="26" a="1"/>
  <c r="B3" i="26" s="1"/>
  <c r="A3" i="26" a="1"/>
  <c r="A1" i="26" a="1"/>
  <c r="A1" i="26" s="1"/>
  <c r="B3" i="19" a="1"/>
  <c r="B3" i="19" s="1"/>
  <c r="A3" i="19" a="1"/>
  <c r="A1" i="19" a="1"/>
  <c r="A1" i="19" s="1"/>
  <c r="B3" i="20" a="1"/>
  <c r="B3" i="20" s="1"/>
  <c r="A3" i="20" a="1"/>
  <c r="A1" i="20" a="1"/>
  <c r="A1" i="20" s="1"/>
  <c r="B3" i="21" a="1"/>
  <c r="B3" i="21" s="1"/>
  <c r="A3" i="21" a="1"/>
  <c r="A1" i="21" a="1"/>
  <c r="A1" i="21" s="1"/>
  <c r="B3" i="4" a="1"/>
  <c r="B3" i="4" s="1"/>
  <c r="A3" i="4" a="1"/>
  <c r="A1" i="4" a="1"/>
  <c r="A1" i="4" s="1"/>
  <c r="B3" i="3" a="1"/>
  <c r="B3" i="3" s="1"/>
  <c r="A3" i="3" a="1"/>
  <c r="A1" i="3" a="1"/>
  <c r="A1" i="3" s="1"/>
  <c r="A1" i="2" a="1"/>
  <c r="A1" i="2" s="1"/>
  <c r="F17" i="69"/>
  <c r="C17" i="69"/>
  <c r="B17" i="69"/>
  <c r="G5" i="69"/>
  <c r="H5" i="69" s="1"/>
  <c r="D5" i="69"/>
  <c r="F17" i="5"/>
  <c r="C17" i="5"/>
  <c r="B17" i="5"/>
  <c r="G5" i="5"/>
  <c r="H5" i="5" s="1"/>
  <c r="D5" i="5"/>
  <c r="A3" i="2" a="1"/>
  <c r="C4" i="33" a="1"/>
  <c r="C4" i="31" a="1"/>
  <c r="C4" i="21" a="1"/>
  <c r="C4" i="27" a="1"/>
  <c r="C4" i="26" a="1"/>
  <c r="C4" i="32" a="1"/>
  <c r="C4" i="28" a="1"/>
  <c r="C4" i="20" a="1"/>
  <c r="C4" i="27" l="1"/>
  <c r="C4" i="33"/>
  <c r="C4" i="32"/>
  <c r="C4" i="20"/>
  <c r="C4" i="26"/>
  <c r="C4" i="31"/>
  <c r="C4" i="21"/>
  <c r="C4" i="28"/>
  <c r="E5" i="69"/>
  <c r="E5" i="5"/>
  <c r="A3" i="1"/>
  <c r="A3" i="33"/>
  <c r="A3" i="32"/>
  <c r="A3" i="31"/>
  <c r="A3" i="28"/>
  <c r="A3" i="27"/>
  <c r="A3" i="26"/>
  <c r="A3" i="19"/>
  <c r="A3" i="20"/>
  <c r="A3" i="21"/>
  <c r="A3" i="4"/>
  <c r="A3" i="3"/>
  <c r="A3" i="2"/>
  <c r="G17" i="69"/>
  <c r="H17" i="69" s="1"/>
  <c r="D17" i="69"/>
  <c r="E17" i="69" s="1"/>
  <c r="G17" i="5"/>
  <c r="H17" i="5" s="1"/>
  <c r="D17" i="5"/>
  <c r="E17" i="5" s="1"/>
  <c r="B3" i="2" a="1"/>
  <c r="B3" i="2" s="1"/>
  <c r="C3" i="27" a="1"/>
  <c r="C3" i="31" a="1"/>
  <c r="C4" i="2" a="1"/>
  <c r="C3" i="21" a="1"/>
  <c r="C3" i="32" a="1"/>
  <c r="C3" i="20" a="1"/>
  <c r="C4" i="4" a="1"/>
  <c r="C3" i="19" a="1"/>
  <c r="C4" i="19" a="1"/>
  <c r="C3" i="3" a="1"/>
  <c r="C3" i="26" a="1"/>
  <c r="C3" i="2" a="1"/>
  <c r="C3" i="33" a="1"/>
  <c r="C3" i="4" a="1"/>
  <c r="C4" i="3" a="1"/>
  <c r="C3" i="28" a="1"/>
  <c r="C3" i="4" l="1"/>
  <c r="C3" i="32"/>
  <c r="C3" i="21"/>
  <c r="C3" i="33"/>
  <c r="C3" i="20"/>
  <c r="C3" i="26"/>
  <c r="C3" i="27"/>
  <c r="C3" i="2"/>
  <c r="C3" i="28"/>
  <c r="C3" i="31"/>
  <c r="C3" i="19"/>
  <c r="C4" i="19"/>
  <c r="C4" i="2"/>
  <c r="C4" i="4"/>
  <c r="C4" i="3"/>
  <c r="D3" i="18"/>
  <c r="G3" i="18"/>
  <c r="D4" i="18"/>
  <c r="G4" i="18"/>
  <c r="D3" i="29"/>
  <c r="G3" i="29"/>
  <c r="D4" i="29"/>
  <c r="G4" i="29"/>
  <c r="D3" i="30"/>
  <c r="G3" i="30"/>
  <c r="D4" i="30"/>
  <c r="G4" i="30"/>
  <c r="G3" i="1"/>
  <c r="D4" i="1"/>
  <c r="G4" i="1"/>
  <c r="D3" i="1"/>
  <c r="G5" i="33"/>
  <c r="D5" i="33"/>
  <c r="G5" i="32"/>
  <c r="D5" i="32"/>
  <c r="G5" i="31"/>
  <c r="D5" i="31"/>
  <c r="G5" i="28"/>
  <c r="D5" i="28"/>
  <c r="G5" i="27"/>
  <c r="D5" i="27"/>
  <c r="G5" i="26"/>
  <c r="D5" i="26"/>
  <c r="G5" i="19"/>
  <c r="D5" i="19"/>
  <c r="G5" i="20"/>
  <c r="D5" i="20"/>
  <c r="G5" i="21"/>
  <c r="D5" i="21"/>
  <c r="G5" i="4"/>
  <c r="D5" i="4"/>
  <c r="G5" i="3"/>
  <c r="D5" i="3"/>
  <c r="C3" i="3"/>
  <c r="C4" i="18" l="1"/>
  <c r="C5" i="27"/>
  <c r="H5" i="27" s="1"/>
  <c r="I5" i="27" s="1"/>
  <c r="D5" i="18"/>
  <c r="G5" i="18"/>
  <c r="D5" i="30"/>
  <c r="D5" i="29"/>
  <c r="G5" i="1"/>
  <c r="C4" i="30"/>
  <c r="G5" i="30"/>
  <c r="D3" i="34"/>
  <c r="C5" i="32"/>
  <c r="E5" i="32" s="1"/>
  <c r="F5" i="32" s="1"/>
  <c r="C4" i="29"/>
  <c r="G5" i="29"/>
  <c r="D4" i="34"/>
  <c r="C5" i="4"/>
  <c r="H5" i="4" s="1"/>
  <c r="I5" i="4" s="1"/>
  <c r="C5" i="28"/>
  <c r="H5" i="28" s="1"/>
  <c r="I5" i="28" s="1"/>
  <c r="G4" i="34"/>
  <c r="C5" i="19"/>
  <c r="H5" i="19" s="1"/>
  <c r="I5" i="19" s="1"/>
  <c r="C3" i="18"/>
  <c r="H3" i="18" s="1"/>
  <c r="I3" i="18" s="1"/>
  <c r="C5" i="33"/>
  <c r="H5" i="33" s="1"/>
  <c r="I5" i="33" s="1"/>
  <c r="C3" i="29"/>
  <c r="H3" i="29" s="1"/>
  <c r="I3" i="29" s="1"/>
  <c r="C3" i="30"/>
  <c r="H3" i="30" s="1"/>
  <c r="I3" i="30" s="1"/>
  <c r="C5" i="20"/>
  <c r="E5" i="20" s="1"/>
  <c r="F5" i="20" s="1"/>
  <c r="D5" i="1"/>
  <c r="G3" i="34"/>
  <c r="C5" i="31"/>
  <c r="E5" i="31" s="1"/>
  <c r="F5" i="31" s="1"/>
  <c r="C5" i="26"/>
  <c r="H5" i="26" s="1"/>
  <c r="I5" i="26" s="1"/>
  <c r="C5" i="21"/>
  <c r="E5" i="21" s="1"/>
  <c r="F5" i="21" s="1"/>
  <c r="C4" i="1"/>
  <c r="C5" i="3"/>
  <c r="E5" i="3" s="1"/>
  <c r="F5" i="3" s="1"/>
  <c r="C3" i="1"/>
  <c r="E4" i="30" l="1"/>
  <c r="F4" i="30" s="1"/>
  <c r="H4" i="30"/>
  <c r="I4" i="30" s="1"/>
  <c r="E4" i="29"/>
  <c r="F4" i="29" s="1"/>
  <c r="H4" i="29"/>
  <c r="I4" i="29" s="1"/>
  <c r="E4" i="18"/>
  <c r="F4" i="18" s="1"/>
  <c r="H4" i="18"/>
  <c r="I4" i="18" s="1"/>
  <c r="E4" i="1"/>
  <c r="F4" i="1" s="1"/>
  <c r="H4" i="1"/>
  <c r="I4" i="1" s="1"/>
  <c r="E3" i="1"/>
  <c r="F3" i="1" s="1"/>
  <c r="H3" i="1"/>
  <c r="I3" i="1" s="1"/>
  <c r="E5" i="27"/>
  <c r="F5" i="27" s="1"/>
  <c r="H5" i="32"/>
  <c r="I5" i="32" s="1"/>
  <c r="E5" i="19"/>
  <c r="F5" i="19" s="1"/>
  <c r="E5" i="4"/>
  <c r="F5" i="4" s="1"/>
  <c r="H5" i="20"/>
  <c r="I5" i="20" s="1"/>
  <c r="C4" i="34"/>
  <c r="H5" i="3"/>
  <c r="I5" i="3" s="1"/>
  <c r="E5" i="33"/>
  <c r="F5" i="33" s="1"/>
  <c r="D5" i="34"/>
  <c r="E5" i="28"/>
  <c r="F5" i="28" s="1"/>
  <c r="G5" i="34"/>
  <c r="C3" i="34"/>
  <c r="H5" i="21"/>
  <c r="I5" i="21" s="1"/>
  <c r="H5" i="31"/>
  <c r="I5" i="31" s="1"/>
  <c r="E5" i="26"/>
  <c r="F5" i="26" s="1"/>
  <c r="C5" i="30"/>
  <c r="E3" i="30"/>
  <c r="C5" i="29"/>
  <c r="E3" i="29"/>
  <c r="C5" i="18"/>
  <c r="E3" i="18"/>
  <c r="C5" i="1"/>
  <c r="E4" i="34" l="1"/>
  <c r="F4" i="34" s="1"/>
  <c r="H4" i="34"/>
  <c r="I4" i="34" s="1"/>
  <c r="E3" i="34"/>
  <c r="F3" i="34" s="1"/>
  <c r="H3" i="34"/>
  <c r="I3" i="34" s="1"/>
  <c r="F3" i="30"/>
  <c r="F3" i="29"/>
  <c r="F3" i="18"/>
  <c r="C5" i="34"/>
  <c r="H5" i="34" s="1"/>
  <c r="I5" i="34" s="1"/>
  <c r="H5" i="30"/>
  <c r="I5" i="30" s="1"/>
  <c r="E5" i="30"/>
  <c r="F5" i="30" s="1"/>
  <c r="H5" i="29"/>
  <c r="I5" i="29" s="1"/>
  <c r="E5" i="29"/>
  <c r="F5" i="29" s="1"/>
  <c r="H5" i="18"/>
  <c r="I5" i="18" s="1"/>
  <c r="E5" i="18"/>
  <c r="F5" i="18" s="1"/>
  <c r="H5" i="1"/>
  <c r="I5" i="1" s="1"/>
  <c r="E5" i="1"/>
  <c r="F5" i="1" s="1"/>
  <c r="G5" i="2"/>
  <c r="D5" i="2"/>
  <c r="E5" i="34" l="1"/>
  <c r="F5" i="34" s="1"/>
  <c r="C5" i="2"/>
  <c r="H5" i="2" l="1"/>
  <c r="I5" i="2" s="1"/>
  <c r="E5" i="2"/>
  <c r="F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<sst xmlns="http://schemas.openxmlformats.org/spreadsheetml/2006/main" count="342" uniqueCount="80">
  <si>
    <t>Year to Date 2024 Actual v. Expected</t>
  </si>
  <si>
    <t xml:space="preserve"> Year to Date 2024 Forecasted</t>
  </si>
  <si>
    <t>NOTES</t>
  </si>
  <si>
    <t>SR</t>
  </si>
  <si>
    <t>Site</t>
  </si>
  <si>
    <t>State</t>
  </si>
  <si>
    <t>Actual</t>
  </si>
  <si>
    <t>Expected</t>
  </si>
  <si>
    <t>Delta</t>
  </si>
  <si>
    <t>%</t>
  </si>
  <si>
    <t>Forecasted</t>
  </si>
  <si>
    <t>Total</t>
  </si>
  <si>
    <t>Values in gold exceed expected or forecasted by 10% or more.</t>
  </si>
  <si>
    <t>Values in red are below expected or forecasted by 10% or more.</t>
  </si>
  <si>
    <t>1st Quarter 2024 Actual v. Expected</t>
  </si>
  <si>
    <t xml:space="preserve"> 1st Quarter 2024 Forecasted</t>
  </si>
  <si>
    <t>2nd Quarter 2024 Actual v. Expected</t>
  </si>
  <si>
    <t xml:space="preserve"> 2nd Quarter 2024 Forecasted</t>
  </si>
  <si>
    <t>3rd Quarter 2024 Actual v. Expected</t>
  </si>
  <si>
    <t xml:space="preserve"> 3rd Quarter 2024 Forecasted</t>
  </si>
  <si>
    <t>4th Quarter 2024 Actual v. Expected</t>
  </si>
  <si>
    <t xml:space="preserve"> 4th Quarter 2024 Forecasted</t>
  </si>
  <si>
    <t>01-2024 Actual v. Expected</t>
  </si>
  <si>
    <t>01-2024 Actual v. Forecasted</t>
  </si>
  <si>
    <t>02-2024 Actual v. Expected</t>
  </si>
  <si>
    <t>02-2024 Actual v. Forecasted</t>
  </si>
  <si>
    <t>03-2024 Actual v. Expected</t>
  </si>
  <si>
    <t>03-2024 Actual v. Forecasted</t>
  </si>
  <si>
    <t>04-2024 Actual v. Expected</t>
  </si>
  <si>
    <t>04-2024 Actual v. Forecasted</t>
  </si>
  <si>
    <t>05-2024 Actual v. Expected</t>
  </si>
  <si>
    <t>05-2024 Actual v. Forecasted</t>
  </si>
  <si>
    <t>06-2024 Actual v. Expected</t>
  </si>
  <si>
    <t>06-2024 Actual v. Forecasted</t>
  </si>
  <si>
    <t>07-2024 Actual v. Expected</t>
  </si>
  <si>
    <t>07-2024 Actual v. Forecasted</t>
  </si>
  <si>
    <t>08-2024 Actual v. Expected</t>
  </si>
  <si>
    <t>08-2024 Actual v. Forecasted</t>
  </si>
  <si>
    <t>09-2024 Actual v. Expected</t>
  </si>
  <si>
    <t>09-2024 Actual v. Forecasted</t>
  </si>
  <si>
    <t>10-2024 Actual v. Expected</t>
  </si>
  <si>
    <t>10-2024 Actual v. Forecasted</t>
  </si>
  <si>
    <t>11-2024 Actual v. Expected</t>
  </si>
  <si>
    <t>11-2024 Actual v. Forecasted</t>
  </si>
  <si>
    <t>12-2024 Actual v. Expected</t>
  </si>
  <si>
    <t>12-2024 Actual v. Forecasted</t>
  </si>
  <si>
    <t>Portfolio:</t>
  </si>
  <si>
    <t>Solar Income LLC</t>
  </si>
  <si>
    <t>Site DAS Name</t>
  </si>
  <si>
    <t>Column1</t>
  </si>
  <si>
    <t>Lee Company - B9</t>
  </si>
  <si>
    <t>Westbrook - Lee Building 9</t>
  </si>
  <si>
    <t>CT</t>
  </si>
  <si>
    <t>AEF</t>
  </si>
  <si>
    <t>The Lee Company B82</t>
  </si>
  <si>
    <t>Westbrook - Lee Building 82</t>
  </si>
  <si>
    <t>Actual vs. Expected</t>
  </si>
  <si>
    <t>Actual vs. Forecasted</t>
  </si>
  <si>
    <t>Notes</t>
  </si>
  <si>
    <t>Month</t>
  </si>
  <si>
    <t>Delta Expected</t>
  </si>
  <si>
    <t>% Expected</t>
  </si>
  <si>
    <t>Delta Forecasted</t>
  </si>
  <si>
    <t>% Forecasted</t>
  </si>
  <si>
    <t>Service Request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</si>
  <si>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</si>
  <si>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</si>
  <si>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</si>
  <si>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</si>
  <si>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</si>
  <si>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</si>
  <si>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</si>
  <si>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</si>
  <si>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</si>
  <si>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</si>
  <si>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</si>
  <si>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</si>
  <si>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</si>
  <si>
    <t>1. Inveter 12 producing 12kW less than its peers</t>
  </si>
  <si>
    <t>1. SR074964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</si>
</sst>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9C0006"/>
      <name val="Calibri"/>
      <family val="2"/>
    </font>
    <font>
      <sz val="8"/>
      <color rgb="FF9C57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D9E1F2"/>
        <bgColor indexed="64"/>
      </patternFill>
    </fill>
    <fill>
      <patternFill patternType="solid">
        <fgColor rgb="FFFFEB9C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E1F2"/>
        <bgColor rgb="FFD9E1F2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/>
      <right/>
      <top style="thin">
        <color rgb="FF8EA9DB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2" fillId="0" borderId="0" applyNumberFormat="0" applyFill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  <xf numFmtId="0" fontId="16" fillId="9" borderId="7" applyNumberFormat="0" applyAlignment="0" applyProtection="0"/>
    <xf numFmtId="0" fontId="17" fillId="10" borderId="8" applyNumberFormat="0" applyAlignment="0" applyProtection="0"/>
    <xf numFmtId="0" fontId="18" fillId="10" borderId="7" applyNumberFormat="0" applyAlignment="0" applyProtection="0"/>
    <xf numFmtId="0" fontId="19" fillId="0" borderId="9" applyNumberFormat="0" applyFill="0" applyAlignment="0" applyProtection="0"/>
    <xf numFmtId="0" fontId="20" fillId="11" borderId="10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2" applyNumberFormat="0" applyFill="0" applyAlignment="0" applyProtection="0"/>
    <xf numFmtId="0" fontId="24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4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4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4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4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2" borderId="11" applyNumberFormat="0" applyFont="0" applyAlignment="0" applyProtection="0"/>
  </cellStyleXfs>
  <cellXfs count="142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9" fontId="0" fillId="0" borderId="0" xfId="0" applyNumberFormat="1"/>
    <xf numFmtId="0" fontId="3" fillId="3" borderId="15" xfId="0" applyFont="1" applyFill="1" applyBorder="1" applyAlignment="1">
      <alignment horizontal="center" vertical="center" wrapText="1"/>
    </xf>
    <xf numFmtId="9" fontId="5" fillId="3" borderId="15" xfId="2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49" fontId="0" fillId="0" borderId="0" xfId="0" applyNumberFormat="1"/>
    <xf numFmtId="9" fontId="5" fillId="40" borderId="15" xfId="2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7" fillId="0" borderId="0" xfId="0" applyFont="1" applyAlignment="1">
      <alignment horizontal="left"/>
    </xf>
    <xf numFmtId="0" fontId="0" fillId="0" borderId="14" xfId="0" applyBorder="1"/>
    <xf numFmtId="0" fontId="0" fillId="0" borderId="29" xfId="0" applyBorder="1"/>
    <xf numFmtId="0" fontId="8" fillId="0" borderId="35" xfId="0" applyFont="1" applyBorder="1" applyAlignment="1">
      <alignment horizontal="left" vertical="center"/>
    </xf>
    <xf numFmtId="0" fontId="28" fillId="0" borderId="2" xfId="0" applyFont="1" applyBorder="1" applyAlignment="1">
      <alignment horizontal="center"/>
    </xf>
    <xf numFmtId="9" fontId="29" fillId="43" borderId="2" xfId="2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8" fillId="0" borderId="3" xfId="0" applyFont="1" applyBorder="1" applyAlignment="1">
      <alignment horizontal="center"/>
    </xf>
    <xf numFmtId="0" fontId="28" fillId="5" borderId="1" xfId="0" applyFont="1" applyFill="1" applyBorder="1" applyAlignment="1">
      <alignment horizontal="center"/>
    </xf>
    <xf numFmtId="3" fontId="28" fillId="5" borderId="1" xfId="0" applyNumberFormat="1" applyFont="1" applyFill="1" applyBorder="1" applyAlignment="1">
      <alignment horizontal="center"/>
    </xf>
    <xf numFmtId="9" fontId="28" fillId="5" borderId="1" xfId="2" applyFont="1" applyFill="1" applyBorder="1" applyAlignment="1">
      <alignment horizontal="center"/>
    </xf>
    <xf numFmtId="9" fontId="28" fillId="5" borderId="1" xfId="0" applyNumberFormat="1" applyFont="1" applyFill="1" applyBorder="1" applyAlignment="1">
      <alignment horizontal="center"/>
    </xf>
    <xf numFmtId="0" fontId="28" fillId="0" borderId="0" xfId="0" applyFont="1"/>
    <xf numFmtId="0" fontId="30" fillId="3" borderId="17" xfId="0" applyFont="1" applyFill="1" applyBorder="1" applyAlignment="1">
      <alignment horizontal="left" vertical="center" wrapText="1"/>
    </xf>
    <xf numFmtId="9" fontId="30" fillId="3" borderId="36" xfId="2" applyFont="1" applyFill="1" applyBorder="1" applyAlignment="1">
      <alignment horizontal="left" vertical="center" wrapText="1"/>
    </xf>
    <xf numFmtId="0" fontId="30" fillId="4" borderId="17" xfId="0" applyFont="1" applyFill="1" applyBorder="1" applyAlignment="1">
      <alignment horizontal="left" vertical="center"/>
    </xf>
    <xf numFmtId="0" fontId="30" fillId="4" borderId="17" xfId="0" applyFont="1" applyFill="1" applyBorder="1" applyAlignment="1">
      <alignment horizontal="left" vertical="center" wrapText="1"/>
    </xf>
    <xf numFmtId="9" fontId="30" fillId="4" borderId="36" xfId="2" applyFont="1" applyFill="1" applyBorder="1" applyAlignment="1">
      <alignment horizontal="left" vertical="center"/>
    </xf>
    <xf numFmtId="9" fontId="30" fillId="43" borderId="37" xfId="2" applyFont="1" applyFill="1" applyBorder="1" applyAlignment="1">
      <alignment horizontal="center" vertical="center"/>
    </xf>
    <xf numFmtId="9" fontId="30" fillId="43" borderId="38" xfId="2" applyFont="1" applyFill="1" applyBorder="1" applyAlignment="1">
      <alignment horizontal="center" vertical="center"/>
    </xf>
    <xf numFmtId="0" fontId="28" fillId="45" borderId="40" xfId="0" applyFont="1" applyFill="1" applyBorder="1" applyAlignment="1">
      <alignment horizontal="center"/>
    </xf>
    <xf numFmtId="3" fontId="32" fillId="3" borderId="16" xfId="0" applyNumberFormat="1" applyFont="1" applyFill="1" applyBorder="1" applyAlignment="1">
      <alignment horizontal="right"/>
    </xf>
    <xf numFmtId="9" fontId="32" fillId="3" borderId="16" xfId="2" applyFont="1" applyFill="1" applyBorder="1" applyAlignment="1">
      <alignment horizontal="center"/>
    </xf>
    <xf numFmtId="3" fontId="32" fillId="4" borderId="16" xfId="1" applyNumberFormat="1" applyFont="1" applyFill="1" applyBorder="1"/>
    <xf numFmtId="9" fontId="32" fillId="40" borderId="16" xfId="2" applyFont="1" applyFill="1" applyBorder="1" applyAlignment="1">
      <alignment horizontal="center"/>
    </xf>
    <xf numFmtId="9" fontId="32" fillId="3" borderId="14" xfId="2" applyFont="1" applyFill="1" applyBorder="1" applyAlignment="1">
      <alignment horizontal="center"/>
    </xf>
    <xf numFmtId="9" fontId="32" fillId="40" borderId="14" xfId="2" applyFont="1" applyFill="1" applyBorder="1" applyAlignment="1">
      <alignment horizontal="center"/>
    </xf>
    <xf numFmtId="9" fontId="32" fillId="37" borderId="18" xfId="0" applyNumberFormat="1" applyFont="1" applyFill="1" applyBorder="1" applyAlignment="1">
      <alignment horizontal="center" vertical="center"/>
    </xf>
    <xf numFmtId="9" fontId="32" fillId="37" borderId="22" xfId="0" applyNumberFormat="1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left" vertical="center" wrapText="1"/>
    </xf>
    <xf numFmtId="0" fontId="3" fillId="4" borderId="15" xfId="0" applyFont="1" applyFill="1" applyBorder="1" applyAlignment="1">
      <alignment horizontal="left"/>
    </xf>
    <xf numFmtId="0" fontId="33" fillId="2" borderId="15" xfId="0" applyFont="1" applyFill="1" applyBorder="1" applyAlignment="1">
      <alignment horizontal="center" vertical="center" wrapText="1"/>
    </xf>
    <xf numFmtId="0" fontId="33" fillId="2" borderId="15" xfId="0" applyFont="1" applyFill="1" applyBorder="1" applyAlignment="1">
      <alignment horizontal="left" vertical="center" wrapText="1"/>
    </xf>
    <xf numFmtId="0" fontId="35" fillId="45" borderId="40" xfId="0" applyFont="1" applyFill="1" applyBorder="1" applyAlignment="1">
      <alignment horizontal="center"/>
    </xf>
    <xf numFmtId="0" fontId="35" fillId="0" borderId="1" xfId="0" applyFont="1" applyBorder="1" applyAlignment="1">
      <alignment horizontal="center"/>
    </xf>
    <xf numFmtId="3" fontId="32" fillId="37" borderId="18" xfId="0" applyNumberFormat="1" applyFont="1" applyFill="1" applyBorder="1" applyAlignment="1">
      <alignment horizontal="center" vertical="center"/>
    </xf>
    <xf numFmtId="3" fontId="32" fillId="37" borderId="18" xfId="1" applyNumberFormat="1" applyFont="1" applyFill="1" applyBorder="1" applyAlignment="1">
      <alignment horizontal="center" vertical="center"/>
    </xf>
    <xf numFmtId="3" fontId="36" fillId="3" borderId="2" xfId="0" applyNumberFormat="1" applyFont="1" applyFill="1" applyBorder="1" applyAlignment="1">
      <alignment horizontal="right"/>
    </xf>
    <xf numFmtId="9" fontId="36" fillId="3" borderId="2" xfId="2" applyFont="1" applyFill="1" applyBorder="1" applyAlignment="1">
      <alignment horizontal="center"/>
    </xf>
    <xf numFmtId="3" fontId="36" fillId="4" borderId="2" xfId="1" applyNumberFormat="1" applyFont="1" applyFill="1" applyBorder="1"/>
    <xf numFmtId="9" fontId="36" fillId="4" borderId="2" xfId="2" applyFont="1" applyFill="1" applyBorder="1" applyAlignment="1">
      <alignment horizontal="center"/>
    </xf>
    <xf numFmtId="9" fontId="36" fillId="43" borderId="2" xfId="2" applyFont="1" applyFill="1" applyBorder="1" applyAlignment="1">
      <alignment horizontal="left" vertical="top"/>
    </xf>
    <xf numFmtId="9" fontId="36" fillId="43" borderId="2" xfId="2" applyFont="1" applyFill="1" applyBorder="1" applyAlignment="1">
      <alignment horizontal="left" vertical="top" wrapText="1"/>
    </xf>
    <xf numFmtId="3" fontId="36" fillId="38" borderId="14" xfId="0" applyNumberFormat="1" applyFont="1" applyFill="1" applyBorder="1"/>
    <xf numFmtId="3" fontId="36" fillId="4" borderId="13" xfId="1" applyNumberFormat="1" applyFont="1" applyFill="1" applyBorder="1"/>
    <xf numFmtId="3" fontId="36" fillId="4" borderId="2" xfId="1" applyNumberFormat="1" applyFont="1" applyFill="1" applyBorder="1" applyAlignment="1">
      <alignment vertical="center"/>
    </xf>
    <xf numFmtId="3" fontId="36" fillId="3" borderId="28" xfId="0" applyNumberFormat="1" applyFont="1" applyFill="1" applyBorder="1" applyAlignment="1">
      <alignment horizontal="right"/>
    </xf>
    <xf numFmtId="3" fontId="36" fillId="4" borderId="39" xfId="1" applyNumberFormat="1" applyFont="1" applyFill="1" applyBorder="1"/>
    <xf numFmtId="9" fontId="36" fillId="43" borderId="28" xfId="2" applyFont="1" applyFill="1" applyBorder="1" applyAlignment="1">
      <alignment horizontal="left" vertical="top"/>
    </xf>
    <xf numFmtId="9" fontId="36" fillId="43" borderId="2" xfId="2" applyFont="1" applyFill="1" applyBorder="1" applyAlignment="1">
      <alignment horizontal="center"/>
    </xf>
    <xf numFmtId="9" fontId="36" fillId="43" borderId="2" xfId="2" applyFont="1" applyFill="1" applyBorder="1" applyAlignment="1">
      <alignment horizontal="center" vertical="center"/>
    </xf>
    <xf numFmtId="3" fontId="36" fillId="37" borderId="18" xfId="0" applyNumberFormat="1" applyFont="1" applyFill="1" applyBorder="1" applyAlignment="1">
      <alignment horizontal="center" vertical="center"/>
    </xf>
    <xf numFmtId="9" fontId="36" fillId="37" borderId="18" xfId="0" applyNumberFormat="1" applyFont="1" applyFill="1" applyBorder="1" applyAlignment="1">
      <alignment horizontal="center" vertical="center"/>
    </xf>
    <xf numFmtId="3" fontId="36" fillId="37" borderId="18" xfId="1" applyNumberFormat="1" applyFont="1" applyFill="1" applyBorder="1" applyAlignment="1">
      <alignment horizontal="center" vertical="center"/>
    </xf>
    <xf numFmtId="9" fontId="36" fillId="37" borderId="22" xfId="0" applyNumberFormat="1" applyFont="1" applyFill="1" applyBorder="1" applyAlignment="1">
      <alignment horizontal="center" vertical="center"/>
    </xf>
    <xf numFmtId="49" fontId="36" fillId="0" borderId="0" xfId="0" applyNumberFormat="1" applyFont="1"/>
    <xf numFmtId="0" fontId="36" fillId="0" borderId="0" xfId="0" applyFont="1"/>
    <xf numFmtId="9" fontId="36" fillId="0" borderId="0" xfId="2" applyFont="1" applyAlignment="1">
      <alignment horizontal="center"/>
    </xf>
    <xf numFmtId="0" fontId="38" fillId="46" borderId="0" xfId="0" applyFont="1" applyFill="1" applyAlignment="1">
      <alignment horizontal="left" vertical="top"/>
    </xf>
    <xf numFmtId="0" fontId="38" fillId="46" borderId="41" xfId="0" applyFont="1" applyFill="1" applyBorder="1"/>
    <xf numFmtId="0" fontId="38" fillId="0" borderId="0" xfId="0" applyFont="1" applyAlignment="1">
      <alignment horizontal="left" vertical="top"/>
    </xf>
    <xf numFmtId="0" fontId="38" fillId="0" borderId="0" xfId="0" applyFont="1"/>
    <xf numFmtId="0" fontId="38" fillId="0" borderId="41" xfId="0" applyFont="1" applyBorder="1"/>
    <xf numFmtId="3" fontId="3" fillId="38" borderId="2" xfId="0" applyNumberFormat="1" applyFont="1" applyFill="1" applyBorder="1" applyAlignment="1">
      <alignment horizontal="right"/>
    </xf>
    <xf numFmtId="0" fontId="3" fillId="39" borderId="2" xfId="0" applyFont="1" applyFill="1" applyBorder="1"/>
    <xf numFmtId="0" fontId="3" fillId="39" borderId="13" xfId="0" applyFont="1" applyFill="1" applyBorder="1"/>
    <xf numFmtId="0" fontId="3" fillId="39" borderId="2" xfId="0" applyFont="1" applyFill="1" applyBorder="1" applyAlignment="1">
      <alignment horizontal="right" vertical="center"/>
    </xf>
    <xf numFmtId="3" fontId="3" fillId="39" borderId="2" xfId="0" applyNumberFormat="1" applyFont="1" applyFill="1" applyBorder="1"/>
    <xf numFmtId="3" fontId="3" fillId="39" borderId="13" xfId="0" applyNumberFormat="1" applyFont="1" applyFill="1" applyBorder="1"/>
    <xf numFmtId="0" fontId="2" fillId="0" borderId="0" xfId="0" applyFont="1"/>
    <xf numFmtId="0" fontId="0" fillId="0" borderId="0" xfId="0" applyAlignment="1">
      <alignment wrapText="1"/>
    </xf>
    <xf numFmtId="0" fontId="3" fillId="4" borderId="15" xfId="0" applyFont="1" applyFill="1" applyBorder="1" applyAlignment="1">
      <alignment horizontal="left" wrapText="1"/>
    </xf>
    <xf numFmtId="0" fontId="35" fillId="45" borderId="40" xfId="0" applyFont="1" applyFill="1" applyBorder="1" applyAlignment="1">
      <alignment horizontal="center" wrapText="1"/>
    </xf>
    <xf numFmtId="0" fontId="28" fillId="45" borderId="40" xfId="0" applyFont="1" applyFill="1" applyBorder="1" applyAlignment="1">
      <alignment horizontal="center" wrapText="1"/>
    </xf>
    <xf numFmtId="3" fontId="32" fillId="3" borderId="16" xfId="0" applyNumberFormat="1" applyFont="1" applyFill="1" applyBorder="1" applyAlignment="1">
      <alignment horizontal="right" wrapText="1"/>
    </xf>
    <xf numFmtId="9" fontId="32" fillId="3" borderId="16" xfId="2" applyFont="1" applyFill="1" applyBorder="1" applyAlignment="1">
      <alignment horizontal="center" wrapText="1"/>
    </xf>
    <xf numFmtId="3" fontId="32" fillId="4" borderId="16" xfId="1" applyNumberFormat="1" applyFont="1" applyFill="1" applyBorder="1" applyAlignment="1">
      <alignment wrapText="1"/>
    </xf>
    <xf numFmtId="9" fontId="32" fillId="40" borderId="16" xfId="2" applyFont="1" applyFill="1" applyBorder="1" applyAlignment="1">
      <alignment horizontal="center" wrapText="1"/>
    </xf>
    <xf numFmtId="9" fontId="29" fillId="43" borderId="2" xfId="2" applyFont="1" applyFill="1" applyBorder="1" applyAlignment="1">
      <alignment horizontal="center" wrapText="1"/>
    </xf>
    <xf numFmtId="0" fontId="35" fillId="0" borderId="1" xfId="0" applyFont="1" applyBorder="1" applyAlignment="1">
      <alignment horizontal="center" wrapText="1"/>
    </xf>
    <xf numFmtId="0" fontId="28" fillId="0" borderId="1" xfId="0" applyFont="1" applyBorder="1" applyAlignment="1">
      <alignment horizontal="center" wrapText="1"/>
    </xf>
    <xf numFmtId="9" fontId="32" fillId="3" borderId="14" xfId="2" applyFont="1" applyFill="1" applyBorder="1" applyAlignment="1">
      <alignment horizontal="center" wrapText="1"/>
    </xf>
    <xf numFmtId="9" fontId="32" fillId="40" borderId="14" xfId="2" applyFont="1" applyFill="1" applyBorder="1" applyAlignment="1">
      <alignment horizontal="center" wrapText="1"/>
    </xf>
    <xf numFmtId="3" fontId="32" fillId="37" borderId="18" xfId="0" applyNumberFormat="1" applyFont="1" applyFill="1" applyBorder="1" applyAlignment="1">
      <alignment horizontal="center" vertical="center" wrapText="1"/>
    </xf>
    <xf numFmtId="9" fontId="32" fillId="37" borderId="18" xfId="0" applyNumberFormat="1" applyFont="1" applyFill="1" applyBorder="1" applyAlignment="1">
      <alignment horizontal="center" vertical="center" wrapText="1"/>
    </xf>
    <xf numFmtId="3" fontId="32" fillId="37" borderId="18" xfId="1" applyNumberFormat="1" applyFont="1" applyFill="1" applyBorder="1" applyAlignment="1">
      <alignment horizontal="center" vertical="center" wrapText="1"/>
    </xf>
    <xf numFmtId="9" fontId="32" fillId="37" borderId="22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wrapText="1"/>
    </xf>
    <xf numFmtId="9" fontId="5" fillId="0" borderId="0" xfId="2" applyFont="1" applyAlignment="1">
      <alignment horizontal="center" wrapText="1"/>
    </xf>
    <xf numFmtId="9" fontId="29" fillId="43" borderId="2" xfId="2" applyFont="1" applyFill="1" applyBorder="1" applyAlignment="1">
      <alignment horizontal="left" wrapText="1"/>
    </xf>
    <xf numFmtId="0" fontId="0" fillId="0" borderId="0" xfId="0" applyAlignment="1">
      <alignment vertical="top" wrapText="1"/>
    </xf>
    <xf numFmtId="9" fontId="29" fillId="43" borderId="2" xfId="2" applyFont="1" applyFill="1" applyBorder="1" applyAlignment="1">
      <alignment horizontal="left" vertical="top" wrapText="1"/>
    </xf>
    <xf numFmtId="9" fontId="29" fillId="43" borderId="2" xfId="2" applyFont="1" applyFill="1" applyBorder="1" applyAlignment="1">
      <alignment horizontal="left" vertical="top"/>
    </xf>
    <xf numFmtId="9" fontId="36" fillId="43" borderId="2" xfId="2" applyFont="1" applyFill="1" applyBorder="1" applyAlignment="1">
      <alignment vertical="top"/>
    </xf>
    <xf numFmtId="9" fontId="29" fillId="43" borderId="2" xfId="2" applyFont="1" applyFill="1" applyBorder="1" applyAlignment="1">
      <alignment horizontal="left"/>
    </xf>
    <xf numFmtId="9" fontId="36" fillId="43" borderId="28" xfId="2" applyFont="1" applyFill="1" applyBorder="1" applyAlignment="1">
      <alignment horizontal="left"/>
    </xf>
    <xf numFmtId="3" fontId="36" fillId="4" borderId="2" xfId="1" applyNumberFormat="1" applyFont="1" applyFill="1" applyBorder="1" applyAlignment="1">
      <alignment horizontal="right"/>
    </xf>
    <xf numFmtId="9" fontId="36" fillId="43" borderId="2" xfId="2" applyFont="1" applyFill="1" applyBorder="1" applyAlignment="1">
      <alignment horizontal="left"/>
    </xf>
    <xf numFmtId="0" fontId="7" fillId="5" borderId="31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31" fillId="44" borderId="23" xfId="0" applyFont="1" applyFill="1" applyBorder="1" applyAlignment="1">
      <alignment horizontal="center" vertical="center"/>
    </xf>
    <xf numFmtId="0" fontId="31" fillId="44" borderId="24" xfId="0" applyFont="1" applyFill="1" applyBorder="1" applyAlignment="1">
      <alignment horizontal="center" vertical="center"/>
    </xf>
    <xf numFmtId="0" fontId="26" fillId="41" borderId="0" xfId="0" applyFont="1" applyFill="1" applyAlignment="1">
      <alignment horizontal="center" wrapText="1"/>
    </xf>
    <xf numFmtId="0" fontId="25" fillId="42" borderId="0" xfId="0" applyFont="1" applyFill="1" applyAlignment="1">
      <alignment horizontal="center" wrapText="1"/>
    </xf>
    <xf numFmtId="0" fontId="34" fillId="2" borderId="25" xfId="0" applyFont="1" applyFill="1" applyBorder="1" applyAlignment="1">
      <alignment horizontal="center" vertical="center" wrapText="1"/>
    </xf>
    <xf numFmtId="0" fontId="34" fillId="2" borderId="26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37" fillId="44" borderId="24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 wrapText="1"/>
    </xf>
    <xf numFmtId="0" fontId="7" fillId="5" borderId="31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31" fillId="44" borderId="23" xfId="0" applyFont="1" applyFill="1" applyBorder="1" applyAlignment="1">
      <alignment horizontal="center" vertical="center" wrapText="1"/>
    </xf>
    <xf numFmtId="0" fontId="31" fillId="44" borderId="24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7" fillId="5" borderId="30" xfId="0" applyFont="1" applyFill="1" applyBorder="1" applyAlignment="1">
      <alignment horizontal="center"/>
    </xf>
    <xf numFmtId="0" fontId="7" fillId="5" borderId="31" xfId="0" applyFont="1" applyFill="1" applyBorder="1" applyAlignment="1">
      <alignment horizontal="center"/>
    </xf>
    <xf numFmtId="0" fontId="7" fillId="5" borderId="32" xfId="0" applyFont="1" applyFill="1" applyBorder="1" applyAlignment="1">
      <alignment horizontal="center"/>
    </xf>
    <xf numFmtId="0" fontId="7" fillId="5" borderId="19" xfId="0" applyFont="1" applyFill="1" applyBorder="1" applyAlignment="1">
      <alignment horizontal="center"/>
    </xf>
    <xf numFmtId="0" fontId="7" fillId="5" borderId="20" xfId="0" applyFont="1" applyFill="1" applyBorder="1" applyAlignment="1">
      <alignment horizontal="center"/>
    </xf>
    <xf numFmtId="0" fontId="7" fillId="5" borderId="21" xfId="0" applyFont="1" applyFill="1" applyBorder="1" applyAlignment="1">
      <alignment horizontal="center"/>
    </xf>
    <xf numFmtId="0" fontId="7" fillId="5" borderId="33" xfId="0" applyFont="1" applyFill="1" applyBorder="1" applyAlignment="1">
      <alignment horizontal="center"/>
    </xf>
    <xf numFmtId="0" fontId="7" fillId="5" borderId="34" xfId="0" applyFont="1" applyFill="1" applyBorder="1" applyAlignment="1">
      <alignment horizontal="center"/>
    </xf>
    <xf numFmtId="0" fontId="6" fillId="0" borderId="0" xfId="0" applyFont="1" applyAlignment="1">
      <alignment horizont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6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medium">
          <color rgb="FF000000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A40F5E-D45A-46FE-9183-4A31296D93F1}" name="Sites" displayName="Sites" ref="A2:D4" totalsRowShown="0" headerRowBorderDxfId="33">
  <autoFilter ref="A2:D4" xr:uid="{66A40F5E-D45A-46FE-9183-4A31296D93F1}"/>
  <sortState xmlns:xlrd2="http://schemas.microsoft.com/office/spreadsheetml/2017/richdata2" ref="A3:D4">
    <sortCondition ref="C2:C4"/>
  </sortState>
  <tableColumns count="4">
    <tableColumn id="3" xr3:uid="{BFC0214A-8820-4A19-81D0-852548EDA4BC}" name="Site DAS Name"/>
    <tableColumn id="1" xr3:uid="{2ECEDF7A-47C1-4159-BC3D-6E76D6492D27}" name="Site"/>
    <tableColumn id="2" xr3:uid="{2C9662E7-9933-4E8D-97A6-DB7E03BCDC09}" name="State"/>
    <tableColumn id="5" xr3:uid="{F1D3BF47-C530-4653-922C-CDF1211AB5F9}" name="Column1" dataDxfId="3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A959C2-52B2-422A-A87A-BC08BBF40681}" name="Data" displayName="Data" ref="A4:J16" totalsRowShown="0" headerRowDxfId="29" dataDxfId="28" headerRowBorderDxfId="26" tableBorderDxfId="27">
  <autoFilter ref="A4:J16" xr:uid="{59A959C2-52B2-422A-A87A-BC08BBF40681}"/>
  <tableColumns count="10">
    <tableColumn id="1" xr3:uid="{5546520C-DCC9-49E9-9FB3-CE316D4944DA}" name="Month" dataDxfId="25"/>
    <tableColumn id="2" xr3:uid="{DDF452E8-4CE6-4DD7-83F1-6C18FAC64F53}" name="Actual" dataDxfId="24"/>
    <tableColumn id="3" xr3:uid="{854FA685-1E8D-434A-A191-70ED326137F6}" name="Expected" dataDxfId="23"/>
    <tableColumn id="4" xr3:uid="{5C3F4DED-9A03-4256-AB35-C17DABA79D2D}" name="Delta Expected" dataDxfId="22">
      <calculatedColumnFormula>B5-C5</calculatedColumnFormula>
    </tableColumn>
    <tableColumn id="5" xr3:uid="{41D24EBB-4EC4-4943-84C6-B4913606DB53}" name="% Expected" dataDxfId="21">
      <calculatedColumnFormula>IFERROR(D5/C5, 0)</calculatedColumnFormula>
    </tableColumn>
    <tableColumn id="6" xr3:uid="{BD395EF8-0433-4B53-BE3C-227C7BC36415}" name="Forecasted" dataDxfId="20"/>
    <tableColumn id="7" xr3:uid="{72B64D61-E6FB-4C48-8CEB-D343DF097E3E}" name="Delta Forecasted" dataDxfId="19" dataCellStyle="Comma">
      <calculatedColumnFormula>B5-F5</calculatedColumnFormula>
    </tableColumn>
    <tableColumn id="8" xr3:uid="{27F4C8CA-7E0A-46AD-8278-F15F669646B7}" name="% Forecasted" dataDxfId="18">
      <calculatedColumnFormula>IFERROR(G5/F5, 0)</calculatedColumnFormula>
    </tableColumn>
    <tableColumn id="9" xr3:uid="{623D8263-ADF2-4E83-A133-77A77ECF5573}" name="Notes" dataDxfId="17"/>
    <tableColumn id="10" xr3:uid="{D21843AC-EB45-41B5-BBF8-600127984792}" name="Service Request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CEE00CD-CFB6-4527-B7BB-68F63BD397FD}" name="Data18" displayName="Data18" ref="A4:J16" totalsRowShown="0" headerRowDxfId="13" dataDxfId="12" headerRowBorderDxfId="10" tableBorderDxfId="11">
  <autoFilter ref="A4:J16" xr:uid="{59A959C2-52B2-422A-A87A-BC08BBF40681}"/>
  <tableColumns count="10">
    <tableColumn id="1" xr3:uid="{300F2B93-3E43-4029-9602-E5303206602D}" name="Month" dataDxfId="9"/>
    <tableColumn id="2" xr3:uid="{37FF0282-4483-4A16-B4CD-FA5C5D2AAB66}" name="Actual" dataDxfId="8"/>
    <tableColumn id="3" xr3:uid="{4B1572C6-48CA-4285-A895-59F55B5B6A3F}" name="Expected" dataDxfId="7"/>
    <tableColumn id="4" xr3:uid="{05CC6563-3045-40DE-A32C-A03045F46221}" name="Delta Expected" dataDxfId="6">
      <calculatedColumnFormula>B5-C5</calculatedColumnFormula>
    </tableColumn>
    <tableColumn id="5" xr3:uid="{0112F9D3-7673-407D-B2C0-617699B4EADA}" name="% Expected" dataDxfId="5">
      <calculatedColumnFormula>IFERROR(D5/C5, 0)</calculatedColumnFormula>
    </tableColumn>
    <tableColumn id="6" xr3:uid="{66AF3356-8A8A-4469-9904-982EE44943E2}" name="Forecasted" dataDxfId="4"/>
    <tableColumn id="7" xr3:uid="{C6527BC9-FA83-465E-9209-CCE13ABEDC9D}" name="Delta Forecasted" dataDxfId="3" dataCellStyle="Comma">
      <calculatedColumnFormula>B5-F5</calculatedColumnFormula>
    </tableColumn>
    <tableColumn id="8" xr3:uid="{FA6C6671-F650-4018-910D-2FFB550B3762}" name="% Forecasted" dataDxfId="2">
      <calculatedColumnFormula>IFERROR(G5/F5, 0)</calculatedColumnFormula>
    </tableColumn>
    <tableColumn id="9" xr3:uid="{2783C74E-2CBC-4809-B11D-46D4F8FBBA31}" name="Notes" dataDxfId="1"/>
    <tableColumn id="10" xr3:uid="{0D13FC05-4475-4C0F-ACFE-D5CA9083D091}" name="Service Reque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pageSetUpPr fitToPage="1"/>
  </sheetPr>
  <dimension ref="A1:K11"/>
  <sheetViews>
    <sheetView workbookViewId="0">
      <pane ySplit="2" topLeftCell="A3" activePane="bottomLeft" state="frozen"/>
      <selection pane="bottomLeft" activeCell="E27" sqref="E27"/>
      <selection activeCell="G5" sqref="G5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16" t="str" cm="1">
        <f t="array" ref="A1">portfolio</f>
        <v>Solar Income LLC</v>
      </c>
      <c r="B1" s="117"/>
      <c r="C1" s="118" t="s">
        <v>0</v>
      </c>
      <c r="D1" s="119"/>
      <c r="E1" s="119"/>
      <c r="F1" s="120"/>
      <c r="G1" s="121" t="s">
        <v>1</v>
      </c>
      <c r="H1" s="121"/>
      <c r="I1" s="122"/>
      <c r="J1" s="110" t="s">
        <v>2</v>
      </c>
      <c r="K1" s="110" t="s">
        <v>3</v>
      </c>
    </row>
    <row r="2" spans="1:11" ht="14.25" customHeigh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42" t="s">
        <v>10</v>
      </c>
      <c r="H2" s="7" t="s">
        <v>8</v>
      </c>
      <c r="I2" s="9" t="s">
        <v>9</v>
      </c>
      <c r="J2" s="111"/>
      <c r="K2" s="111"/>
    </row>
    <row r="3" spans="1:11" ht="15.75">
      <c r="A3" s="45" t="str" cm="1">
        <f t="array" ref="A3:A4">Sites[Site]</f>
        <v>Westbrook - Lee Building 9</v>
      </c>
      <c r="B3" s="32" t="str" cm="1">
        <f t="array" ref="B3:B4">Sites[State]</f>
        <v>CT</v>
      </c>
      <c r="C3" s="33">
        <f ca="1">SUM('1st Quarter 2024'!C3, '2nd Quarter 2024'!C3, '3rd Quarter 2024'!C3, '4th Quarter 2024'!C3)</f>
        <v>11433.859864062601</v>
      </c>
      <c r="D3" s="33">
        <f ca="1">SUM('1st Quarter 2024'!D3, '2nd Quarter 2024'!D3, '3rd Quarter 2024'!D3, '4th Quarter 2024'!D3)</f>
        <v>15679.73</v>
      </c>
      <c r="E3" s="33">
        <f ca="1">C3-D3</f>
        <v>-4245.870135937399</v>
      </c>
      <c r="F3" s="34">
        <f ca="1">IFERROR(E3/D3, 0)</f>
        <v>-0.27078719696942483</v>
      </c>
      <c r="G3" s="35">
        <f ca="1">SUM('1st Quarter 2024'!G3, '2nd Quarter 2024'!G3, '3rd Quarter 2024'!G3, '4th Quarter 2024'!G3)</f>
        <v>0</v>
      </c>
      <c r="H3" s="35">
        <f ca="1">C3-G3</f>
        <v>11433.859864062601</v>
      </c>
      <c r="I3" s="36">
        <f ca="1">IFERROR(H3/G3, 0)</f>
        <v>0</v>
      </c>
      <c r="J3" s="17"/>
      <c r="K3" s="17"/>
    </row>
    <row r="4" spans="1:11" ht="15.75">
      <c r="A4" s="46" t="str">
        <v>Westbrook - Lee Building 82</v>
      </c>
      <c r="B4" s="18" t="str">
        <v>CT</v>
      </c>
      <c r="C4" s="33">
        <f ca="1">SUM('1st Quarter 2024'!C4, '2nd Quarter 2024'!C4, '3rd Quarter 2024'!C4, '4th Quarter 2024'!C4)</f>
        <v>11845.4795566024</v>
      </c>
      <c r="D4" s="33">
        <f ca="1">SUM('1st Quarter 2024'!D4, '2nd Quarter 2024'!D4, '3rd Quarter 2024'!D4, '4th Quarter 2024'!D4)</f>
        <v>16173.71</v>
      </c>
      <c r="E4" s="33">
        <f t="shared" ref="E4" ca="1" si="0">C4-D4</f>
        <v>-4328.2304433975987</v>
      </c>
      <c r="F4" s="34">
        <f t="shared" ref="F4" ca="1" si="1">IFERROR(E4/D4, 0)</f>
        <v>-0.26760900519408343</v>
      </c>
      <c r="G4" s="35">
        <f ca="1">SUM('1st Quarter 2024'!G4, '2nd Quarter 2024'!G4, '3rd Quarter 2024'!G4, '4th Quarter 2024'!G4)</f>
        <v>23363</v>
      </c>
      <c r="H4" s="35">
        <f t="shared" ref="H4" ca="1" si="2">C4-G4</f>
        <v>-11517.5204433976</v>
      </c>
      <c r="I4" s="36">
        <f t="shared" ref="I4" ca="1" si="3">IFERROR(H4/G4, 0)</f>
        <v>-0.4929812285835552</v>
      </c>
      <c r="J4" s="17"/>
      <c r="K4" s="17"/>
    </row>
    <row r="5" spans="1:11" ht="24.75" customHeight="1">
      <c r="A5" s="112" t="s">
        <v>11</v>
      </c>
      <c r="B5" s="113"/>
      <c r="C5" s="47">
        <f ca="1">SUM(C3:C4)</f>
        <v>23279.339420665001</v>
      </c>
      <c r="D5" s="47">
        <f ca="1">SUM(D3:D4)</f>
        <v>31853.439999999999</v>
      </c>
      <c r="E5" s="47">
        <f ca="1">C5-D5</f>
        <v>-8574.1005793349977</v>
      </c>
      <c r="F5" s="39">
        <f ca="1">IFERROR(E5/D5, 0)</f>
        <v>-0.26917345753975075</v>
      </c>
      <c r="G5" s="47">
        <f ca="1">SUM(G3:G4)</f>
        <v>23363</v>
      </c>
      <c r="H5" s="48">
        <f ca="1">C5-G5</f>
        <v>-83.660579334999056</v>
      </c>
      <c r="I5" s="40">
        <f ca="1">IFERROR(H5/G5, 0)</f>
        <v>-3.5809005408123551E-3</v>
      </c>
      <c r="J5" s="8"/>
    </row>
    <row r="6" spans="1:11">
      <c r="J6" s="8"/>
    </row>
    <row r="7" spans="1:11" ht="12.75" customHeight="1">
      <c r="A7" s="114" t="s">
        <v>12</v>
      </c>
      <c r="J7" s="8"/>
    </row>
    <row r="8" spans="1:11">
      <c r="A8" s="114"/>
      <c r="J8" s="8"/>
    </row>
    <row r="9" spans="1:11">
      <c r="A9" s="115" t="s">
        <v>13</v>
      </c>
      <c r="J9" s="8"/>
    </row>
    <row r="10" spans="1:11" ht="12.75" customHeight="1">
      <c r="A10" s="115"/>
      <c r="J10" s="8"/>
    </row>
    <row r="11" spans="1:11">
      <c r="J11" s="8"/>
    </row>
  </sheetData>
  <autoFilter ref="A2:I2" xr:uid="{D5C25034-9971-4A61-864F-C938F31EB1B8}"/>
  <mergeCells count="8">
    <mergeCell ref="K1:K2"/>
    <mergeCell ref="A5:B5"/>
    <mergeCell ref="A7:A8"/>
    <mergeCell ref="A9:A10"/>
    <mergeCell ref="A1:B1"/>
    <mergeCell ref="C1:F1"/>
    <mergeCell ref="G1:I1"/>
    <mergeCell ref="J1:J2"/>
  </mergeCells>
  <conditionalFormatting sqref="F3:F5 I3:I5">
    <cfRule type="cellIs" dxfId="67" priority="1" operator="lessThanOrEqual">
      <formula>-0.1</formula>
    </cfRule>
    <cfRule type="cellIs" dxfId="66" priority="2" operator="greaterThanOrEqual">
      <formula>0.1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K11"/>
  <sheetViews>
    <sheetView workbookViewId="0">
      <pane ySplit="2" topLeftCell="A3" activePane="bottomLeft" state="frozen"/>
      <selection pane="bottomLeft" activeCell="G31" sqref="G31"/>
      <selection activeCell="G5" sqref="G5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16" t="str" cm="1">
        <f t="array" ref="A1">portfolio</f>
        <v>Solar Income LLC</v>
      </c>
      <c r="B1" s="117"/>
      <c r="C1" s="118" t="s">
        <v>14</v>
      </c>
      <c r="D1" s="119"/>
      <c r="E1" s="119"/>
      <c r="F1" s="120"/>
      <c r="G1" s="121" t="s">
        <v>15</v>
      </c>
      <c r="H1" s="121"/>
      <c r="I1" s="122"/>
      <c r="J1" s="110" t="s">
        <v>2</v>
      </c>
      <c r="K1" s="110" t="s">
        <v>3</v>
      </c>
    </row>
    <row r="2" spans="1:11" ht="14.25" customHeigh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42" t="s">
        <v>10</v>
      </c>
      <c r="H2" s="7" t="s">
        <v>8</v>
      </c>
      <c r="I2" s="9" t="s">
        <v>9</v>
      </c>
      <c r="J2" s="111"/>
      <c r="K2" s="111"/>
    </row>
    <row r="3" spans="1:11" ht="15.75">
      <c r="A3" s="45" t="str" cm="1">
        <f t="array" ref="A3:A4">Sites[Site]</f>
        <v>Westbrook - Lee Building 9</v>
      </c>
      <c r="B3" s="32" t="str" cm="1">
        <f t="array" ref="B3:B4">Sites[State]</f>
        <v>CT</v>
      </c>
      <c r="C3" s="33">
        <f ca="1">SUM('01-2024'!C3, '02-2024'!C3, '03-2024'!C3)</f>
        <v>11433.859864062601</v>
      </c>
      <c r="D3" s="33">
        <f ca="1">SUM('01-2024'!D3, '02-2024'!D3, '03-2024'!D3)</f>
        <v>15679.73</v>
      </c>
      <c r="E3" s="33">
        <f ca="1">C3-D3</f>
        <v>-4245.870135937399</v>
      </c>
      <c r="F3" s="34">
        <f ca="1">IFERROR(E3/D3, 0)</f>
        <v>-0.27078719696942483</v>
      </c>
      <c r="G3" s="35">
        <f ca="1">SUM('01-2024'!G3, '02-2024'!G3, '03-2024'!G3)</f>
        <v>0</v>
      </c>
      <c r="H3" s="35">
        <f ca="1">C3-G3</f>
        <v>11433.859864062601</v>
      </c>
      <c r="I3" s="36">
        <f ca="1">IFERROR(H3/G3, 0)</f>
        <v>0</v>
      </c>
      <c r="J3" s="17"/>
      <c r="K3" s="17"/>
    </row>
    <row r="4" spans="1:11" ht="15.75">
      <c r="A4" s="46" t="str">
        <v>Westbrook - Lee Building 82</v>
      </c>
      <c r="B4" s="18" t="str">
        <v>CT</v>
      </c>
      <c r="C4" s="33">
        <f ca="1">SUM('01-2024'!C4, '02-2024'!C4, '03-2024'!C4)</f>
        <v>11845.4795566024</v>
      </c>
      <c r="D4" s="33">
        <f ca="1">SUM('01-2024'!D4, '02-2024'!D4, '03-2024'!D4)</f>
        <v>16173.71</v>
      </c>
      <c r="E4" s="33">
        <f t="shared" ref="E4" ca="1" si="0">C4-D4</f>
        <v>-4328.2304433975987</v>
      </c>
      <c r="F4" s="34">
        <f t="shared" ref="F4" ca="1" si="1">IFERROR(E4/D4, 0)</f>
        <v>-0.26760900519408343</v>
      </c>
      <c r="G4" s="35">
        <f ca="1">SUM('01-2024'!G4, '02-2024'!G4, '03-2024'!G4)</f>
        <v>23363</v>
      </c>
      <c r="H4" s="35">
        <f t="shared" ref="H4" ca="1" si="2">C4-G4</f>
        <v>-11517.5204433976</v>
      </c>
      <c r="I4" s="36">
        <f t="shared" ref="I4" ca="1" si="3">IFERROR(H4/G4, 0)</f>
        <v>-0.4929812285835552</v>
      </c>
      <c r="J4" s="17"/>
      <c r="K4" s="17"/>
    </row>
    <row r="5" spans="1:11" ht="24.75" customHeight="1">
      <c r="A5" s="112" t="s">
        <v>11</v>
      </c>
      <c r="B5" s="113"/>
      <c r="C5" s="47">
        <f ca="1">SUM(C3:C4)</f>
        <v>23279.339420665001</v>
      </c>
      <c r="D5" s="47">
        <f ca="1">SUM(D3:D4)</f>
        <v>31853.439999999999</v>
      </c>
      <c r="E5" s="47">
        <f ca="1">C5-D5</f>
        <v>-8574.1005793349977</v>
      </c>
      <c r="F5" s="39">
        <f ca="1">IFERROR(E5/D5, 0)</f>
        <v>-0.26917345753975075</v>
      </c>
      <c r="G5" s="47">
        <f ca="1">SUM(G3:G4)</f>
        <v>23363</v>
      </c>
      <c r="H5" s="48">
        <f ca="1">C5-G5</f>
        <v>-83.660579334999056</v>
      </c>
      <c r="I5" s="40">
        <f ca="1">IFERROR(H5/G5, 0)</f>
        <v>-3.5809005408123551E-3</v>
      </c>
      <c r="J5" s="8"/>
    </row>
    <row r="6" spans="1:11">
      <c r="J6" s="8"/>
    </row>
    <row r="7" spans="1:11" ht="12.75" customHeight="1">
      <c r="A7" s="114" t="s">
        <v>12</v>
      </c>
      <c r="J7" s="8"/>
    </row>
    <row r="8" spans="1:11">
      <c r="A8" s="114"/>
      <c r="J8" s="8"/>
    </row>
    <row r="9" spans="1:11">
      <c r="A9" s="115" t="s">
        <v>13</v>
      </c>
      <c r="J9" s="8"/>
    </row>
    <row r="10" spans="1:11" ht="12.75" customHeight="1">
      <c r="A10" s="115"/>
      <c r="J10" s="8"/>
    </row>
    <row r="11" spans="1:11">
      <c r="J11" s="8"/>
    </row>
  </sheetData>
  <autoFilter ref="A2:I2" xr:uid="{00000000-0001-0000-0000-000000000000}"/>
  <sortState xmlns:xlrd2="http://schemas.microsoft.com/office/spreadsheetml/2017/richdata2" ref="A3:J3">
    <sortCondition ref="A3"/>
  </sortState>
  <mergeCells count="8">
    <mergeCell ref="K1:K2"/>
    <mergeCell ref="A5:B5"/>
    <mergeCell ref="A7:A8"/>
    <mergeCell ref="A9:A10"/>
    <mergeCell ref="A1:B1"/>
    <mergeCell ref="C1:F1"/>
    <mergeCell ref="G1:I1"/>
    <mergeCell ref="J1:J2"/>
  </mergeCells>
  <conditionalFormatting sqref="F3:F5 I3:I5">
    <cfRule type="cellIs" dxfId="65" priority="1" operator="lessThanOrEqual">
      <formula>-0.1</formula>
    </cfRule>
    <cfRule type="cellIs" dxfId="64" priority="2" operator="greaterThanOrEqual">
      <formula>0.1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K11"/>
  <sheetViews>
    <sheetView workbookViewId="0">
      <pane ySplit="2" topLeftCell="A3" activePane="bottomLeft" state="frozen"/>
      <selection pane="bottomLeft" activeCell="J4" sqref="J4"/>
      <selection activeCell="G5" sqref="G5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16" t="str" cm="1">
        <f t="array" ref="A1">portfolio</f>
        <v>Solar Income LLC</v>
      </c>
      <c r="B1" s="117"/>
      <c r="C1" s="118" t="s">
        <v>16</v>
      </c>
      <c r="D1" s="119"/>
      <c r="E1" s="119"/>
      <c r="F1" s="120"/>
      <c r="G1" s="121" t="s">
        <v>17</v>
      </c>
      <c r="H1" s="121"/>
      <c r="I1" s="122"/>
      <c r="J1" s="110" t="s">
        <v>2</v>
      </c>
      <c r="K1" s="110" t="s">
        <v>3</v>
      </c>
    </row>
    <row r="2" spans="1:11" ht="14.25" customHeigh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42" t="s">
        <v>10</v>
      </c>
      <c r="H2" s="7" t="s">
        <v>8</v>
      </c>
      <c r="I2" s="9" t="s">
        <v>9</v>
      </c>
      <c r="J2" s="111"/>
      <c r="K2" s="111"/>
    </row>
    <row r="3" spans="1:11" ht="15.75">
      <c r="A3" s="45" t="str" cm="1">
        <f t="array" ref="A3:A4">Sites[Site]</f>
        <v>Westbrook - Lee Building 9</v>
      </c>
      <c r="B3" s="32" t="str" cm="1">
        <f t="array" ref="B3:B4">Sites[State]</f>
        <v>CT</v>
      </c>
      <c r="C3" s="33">
        <f ca="1">SUM('04-2024'!C3, '05-2024'!C3, '06-2024'!C3)</f>
        <v>0</v>
      </c>
      <c r="D3" s="33">
        <f ca="1">SUM('04-2024'!D3, '05-2024'!D3, '06-2024'!D3)</f>
        <v>0</v>
      </c>
      <c r="E3" s="33">
        <f ca="1">C3-D3</f>
        <v>0</v>
      </c>
      <c r="F3" s="34">
        <f ca="1">IFERROR(E3/D3, 0)</f>
        <v>0</v>
      </c>
      <c r="G3" s="35">
        <f ca="1">SUM('04-2024'!G3, '05-2024'!G3, '06-2024'!G3)</f>
        <v>0</v>
      </c>
      <c r="H3" s="35">
        <f ca="1">C3-G3</f>
        <v>0</v>
      </c>
      <c r="I3" s="36">
        <f ca="1">IFERROR(H3/G3, 0)</f>
        <v>0</v>
      </c>
      <c r="J3" s="17"/>
      <c r="K3" s="17"/>
    </row>
    <row r="4" spans="1:11" ht="15.75">
      <c r="A4" s="46" t="str">
        <v>Westbrook - Lee Building 82</v>
      </c>
      <c r="B4" s="18" t="str">
        <v>CT</v>
      </c>
      <c r="C4" s="33">
        <f ca="1">SUM('04-2024'!C4, '05-2024'!C4, '06-2024'!C4)</f>
        <v>0</v>
      </c>
      <c r="D4" s="33">
        <f ca="1">SUM('04-2024'!D4, '05-2024'!D4, '06-2024'!D4)</f>
        <v>0</v>
      </c>
      <c r="E4" s="33">
        <f t="shared" ref="E4" ca="1" si="0">C4-D4</f>
        <v>0</v>
      </c>
      <c r="F4" s="34">
        <f t="shared" ref="F4" ca="1" si="1">IFERROR(E4/D4, 0)</f>
        <v>0</v>
      </c>
      <c r="G4" s="35">
        <f ca="1">SUM('04-2024'!G4, '05-2024'!G4, '06-2024'!G4)</f>
        <v>0</v>
      </c>
      <c r="H4" s="35">
        <f t="shared" ref="H4" ca="1" si="2">C4-G4</f>
        <v>0</v>
      </c>
      <c r="I4" s="36">
        <f t="shared" ref="I4" ca="1" si="3">IFERROR(H4/G4, 0)</f>
        <v>0</v>
      </c>
      <c r="J4" s="17"/>
      <c r="K4" s="17"/>
    </row>
    <row r="5" spans="1:11" ht="24.75" customHeight="1">
      <c r="A5" s="112" t="s">
        <v>11</v>
      </c>
      <c r="B5" s="113"/>
      <c r="C5" s="47">
        <f ca="1">SUM(C3:C4)</f>
        <v>0</v>
      </c>
      <c r="D5" s="47">
        <f ca="1">SUM(D3:D4)</f>
        <v>0</v>
      </c>
      <c r="E5" s="47">
        <f ca="1">C5-D5</f>
        <v>0</v>
      </c>
      <c r="F5" s="39">
        <f ca="1">IFERROR(E5/D5, 0)</f>
        <v>0</v>
      </c>
      <c r="G5" s="47">
        <f ca="1">SUM(G3:G4)</f>
        <v>0</v>
      </c>
      <c r="H5" s="48">
        <f ca="1">C5-G5</f>
        <v>0</v>
      </c>
      <c r="I5" s="40">
        <f ca="1">IFERROR(H5/G5, 0)</f>
        <v>0</v>
      </c>
      <c r="J5" s="8"/>
    </row>
    <row r="6" spans="1:11">
      <c r="J6" s="8"/>
    </row>
    <row r="7" spans="1:11" ht="12.75" customHeight="1">
      <c r="A7" s="114" t="s">
        <v>12</v>
      </c>
      <c r="J7" s="8"/>
    </row>
    <row r="8" spans="1:11">
      <c r="A8" s="114"/>
      <c r="J8" s="8"/>
    </row>
    <row r="9" spans="1:11">
      <c r="A9" s="115" t="s">
        <v>13</v>
      </c>
      <c r="J9" s="8"/>
    </row>
    <row r="10" spans="1:11" ht="12.75" customHeight="1">
      <c r="A10" s="115"/>
      <c r="J10" s="8"/>
    </row>
    <row r="11" spans="1:11">
      <c r="J11" s="8"/>
    </row>
  </sheetData>
  <autoFilter ref="A2:I2" xr:uid="{38E74E64-E3A4-43F8-9B1A-78F26543F23E}"/>
  <sortState xmlns:xlrd2="http://schemas.microsoft.com/office/spreadsheetml/2017/richdata2" ref="A3:J4">
    <sortCondition ref="A3:A4"/>
  </sortState>
  <mergeCells count="8">
    <mergeCell ref="K1:K2"/>
    <mergeCell ref="A5:B5"/>
    <mergeCell ref="A7:A8"/>
    <mergeCell ref="A9:A10"/>
    <mergeCell ref="A1:B1"/>
    <mergeCell ref="C1:F1"/>
    <mergeCell ref="G1:I1"/>
    <mergeCell ref="J1:J2"/>
  </mergeCells>
  <conditionalFormatting sqref="F3:F5 I3:I5">
    <cfRule type="cellIs" dxfId="63" priority="1" operator="lessThanOrEqual">
      <formula>-0.1</formula>
    </cfRule>
    <cfRule type="cellIs" dxfId="62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K10"/>
  <sheetViews>
    <sheetView workbookViewId="0">
      <pane ySplit="2" topLeftCell="A3" activePane="bottomLeft" state="frozen"/>
      <selection pane="bottomLeft" activeCell="A5" sqref="A5:XFD5"/>
      <selection activeCell="G5" sqref="G5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16" t="str" cm="1">
        <f t="array" ref="A1">portfolio</f>
        <v>Solar Income LLC</v>
      </c>
      <c r="B1" s="117"/>
      <c r="C1" s="118" t="s">
        <v>18</v>
      </c>
      <c r="D1" s="119"/>
      <c r="E1" s="119"/>
      <c r="F1" s="120"/>
      <c r="G1" s="121" t="s">
        <v>19</v>
      </c>
      <c r="H1" s="121"/>
      <c r="I1" s="122"/>
      <c r="J1" s="110" t="s">
        <v>2</v>
      </c>
      <c r="K1" s="110" t="s">
        <v>3</v>
      </c>
    </row>
    <row r="2" spans="1:11" ht="14.25" customHeigh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42" t="s">
        <v>10</v>
      </c>
      <c r="H2" s="7" t="s">
        <v>8</v>
      </c>
      <c r="I2" s="9" t="s">
        <v>9</v>
      </c>
      <c r="J2" s="111"/>
      <c r="K2" s="111"/>
    </row>
    <row r="3" spans="1:11" ht="15.75">
      <c r="A3" s="45" t="str" cm="1">
        <f t="array" ref="A3:A4">Sites[Site]</f>
        <v>Westbrook - Lee Building 9</v>
      </c>
      <c r="B3" s="32" t="str" cm="1">
        <f t="array" ref="B3:B4">Sites[State]</f>
        <v>CT</v>
      </c>
      <c r="C3" s="33">
        <f ca="1">SUM('07-2024'!C3, '08-2024'!C3, '09-2024'!C3)</f>
        <v>0</v>
      </c>
      <c r="D3" s="33">
        <f ca="1">SUM('07-2024'!D3, '08-2024'!D3, '09-2024'!D3)</f>
        <v>0</v>
      </c>
      <c r="E3" s="33">
        <f ca="1">C3-D3</f>
        <v>0</v>
      </c>
      <c r="F3" s="34">
        <f ca="1">IFERROR(E3/D3, 0)</f>
        <v>0</v>
      </c>
      <c r="G3" s="35">
        <f ca="1">SUM('07-2024'!G3, '08-2024'!G3, '09-2024'!G3)</f>
        <v>0</v>
      </c>
      <c r="H3" s="35">
        <f ca="1">C3-G3</f>
        <v>0</v>
      </c>
      <c r="I3" s="36">
        <f ca="1">IFERROR(H3/G3, 0)</f>
        <v>0</v>
      </c>
      <c r="J3" s="17"/>
      <c r="K3" s="17"/>
    </row>
    <row r="4" spans="1:11" ht="15.75">
      <c r="A4" s="46" t="str">
        <v>Westbrook - Lee Building 82</v>
      </c>
      <c r="B4" s="18" t="str">
        <v>CT</v>
      </c>
      <c r="C4" s="33">
        <f ca="1">SUM('07-2024'!C4, '08-2024'!C4, '09-2024'!C4)</f>
        <v>0</v>
      </c>
      <c r="D4" s="33">
        <f ca="1">SUM('07-2024'!D4, '08-2024'!D4, '09-2024'!D4)</f>
        <v>0</v>
      </c>
      <c r="E4" s="33">
        <f t="shared" ref="E4" ca="1" si="0">C4-D4</f>
        <v>0</v>
      </c>
      <c r="F4" s="34">
        <f t="shared" ref="F4" ca="1" si="1">IFERROR(E4/D4, 0)</f>
        <v>0</v>
      </c>
      <c r="G4" s="35">
        <f ca="1">SUM('07-2024'!G4, '08-2024'!G4, '09-2024'!G4)</f>
        <v>0</v>
      </c>
      <c r="H4" s="35">
        <f t="shared" ref="H4" ca="1" si="2">C4-G4</f>
        <v>0</v>
      </c>
      <c r="I4" s="36">
        <f t="shared" ref="I4" ca="1" si="3">IFERROR(H4/G4, 0)</f>
        <v>0</v>
      </c>
      <c r="J4" s="17"/>
      <c r="K4" s="17"/>
    </row>
    <row r="5" spans="1:11" ht="24.75" customHeight="1">
      <c r="A5" s="112" t="s">
        <v>11</v>
      </c>
      <c r="B5" s="113"/>
      <c r="C5" s="47">
        <f ca="1">SUM(C3:C4)</f>
        <v>0</v>
      </c>
      <c r="D5" s="47">
        <f ca="1">SUM(D3:D4)</f>
        <v>0</v>
      </c>
      <c r="E5" s="47">
        <f ca="1">C5-D5</f>
        <v>0</v>
      </c>
      <c r="F5" s="39">
        <f ca="1">IFERROR(E5/D5, 0)</f>
        <v>0</v>
      </c>
      <c r="G5" s="47">
        <f ca="1">SUM(G3:G4)</f>
        <v>0</v>
      </c>
      <c r="H5" s="48">
        <f ca="1">C5-G5</f>
        <v>0</v>
      </c>
      <c r="I5" s="40">
        <f ca="1">IFERROR(H5/G5, 0)</f>
        <v>0</v>
      </c>
      <c r="J5" s="8"/>
    </row>
    <row r="6" spans="1:11">
      <c r="J6" s="8"/>
    </row>
    <row r="7" spans="1:11" ht="12.75" customHeight="1">
      <c r="A7" s="114" t="s">
        <v>12</v>
      </c>
      <c r="J7" s="8"/>
    </row>
    <row r="8" spans="1:11">
      <c r="A8" s="114"/>
      <c r="J8" s="8"/>
    </row>
    <row r="9" spans="1:11" ht="12.75" customHeight="1">
      <c r="A9" s="115" t="s">
        <v>13</v>
      </c>
      <c r="J9" s="8"/>
    </row>
    <row r="10" spans="1:11">
      <c r="A10" s="115"/>
      <c r="J10" s="8"/>
    </row>
  </sheetData>
  <autoFilter ref="A2:I2" xr:uid="{CACFAF7D-C0A7-49C0-9FFC-8D8BC8F00BC8}"/>
  <mergeCells count="8">
    <mergeCell ref="K1:K2"/>
    <mergeCell ref="A5:B5"/>
    <mergeCell ref="A7:A8"/>
    <mergeCell ref="A9:A10"/>
    <mergeCell ref="A1:B1"/>
    <mergeCell ref="C1:F1"/>
    <mergeCell ref="G1:I1"/>
    <mergeCell ref="J1:J2"/>
  </mergeCells>
  <conditionalFormatting sqref="F3:F5 I3:I5">
    <cfRule type="cellIs" dxfId="61" priority="1" operator="lessThanOrEqual">
      <formula>-0.1</formula>
    </cfRule>
    <cfRule type="cellIs" dxfId="60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K11"/>
  <sheetViews>
    <sheetView workbookViewId="0">
      <pane ySplit="2" topLeftCell="A3" activePane="bottomLeft" state="frozen"/>
      <selection pane="bottomLeft" activeCell="J13" sqref="J13"/>
      <selection activeCell="G5" sqref="G5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16" t="str" cm="1">
        <f t="array" ref="A1">portfolio</f>
        <v>Solar Income LLC</v>
      </c>
      <c r="B1" s="117"/>
      <c r="C1" s="118" t="s">
        <v>20</v>
      </c>
      <c r="D1" s="119"/>
      <c r="E1" s="119"/>
      <c r="F1" s="120"/>
      <c r="G1" s="121" t="s">
        <v>21</v>
      </c>
      <c r="H1" s="121"/>
      <c r="I1" s="122"/>
      <c r="J1" s="110" t="s">
        <v>2</v>
      </c>
      <c r="K1" s="110" t="s">
        <v>3</v>
      </c>
    </row>
    <row r="2" spans="1:11" ht="14.25" customHeigh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42" t="s">
        <v>10</v>
      </c>
      <c r="H2" s="7" t="s">
        <v>8</v>
      </c>
      <c r="I2" s="9" t="s">
        <v>9</v>
      </c>
      <c r="J2" s="111"/>
      <c r="K2" s="111"/>
    </row>
    <row r="3" spans="1:11" ht="15.75">
      <c r="A3" s="45" t="str" cm="1">
        <f t="array" ref="A3:A4">Sites[Site]</f>
        <v>Westbrook - Lee Building 9</v>
      </c>
      <c r="B3" s="32" t="str" cm="1">
        <f t="array" ref="B3:B4">Sites[State]</f>
        <v>CT</v>
      </c>
      <c r="C3" s="33">
        <f ca="1">SUM('10-2024'!C3, '11-2024'!C3, '12-2024'!C3)</f>
        <v>0</v>
      </c>
      <c r="D3" s="33">
        <f ca="1">SUM('10-2024'!D3, '11-2024'!D3, '12-2024'!D3)</f>
        <v>0</v>
      </c>
      <c r="E3" s="33">
        <f ca="1">C3-D3</f>
        <v>0</v>
      </c>
      <c r="F3" s="34">
        <f ca="1">IFERROR(E3/D3, 0)</f>
        <v>0</v>
      </c>
      <c r="G3" s="35">
        <f ca="1">SUM('10-2024'!G3, '11-2024'!G3, '12-2024'!G3)</f>
        <v>0</v>
      </c>
      <c r="H3" s="35">
        <f ca="1">C3-G3</f>
        <v>0</v>
      </c>
      <c r="I3" s="36">
        <f ca="1">IFERROR(H3/G3, 0)</f>
        <v>0</v>
      </c>
      <c r="J3" s="17"/>
      <c r="K3" s="17"/>
    </row>
    <row r="4" spans="1:11" ht="15.75">
      <c r="A4" s="46" t="str">
        <v>Westbrook - Lee Building 82</v>
      </c>
      <c r="B4" s="18" t="str">
        <v>CT</v>
      </c>
      <c r="C4" s="33">
        <f ca="1">SUM('10-2024'!C4, '11-2024'!C4, '12-2024'!C4)</f>
        <v>0</v>
      </c>
      <c r="D4" s="33">
        <f ca="1">SUM('10-2024'!D4, '11-2024'!D4, '12-2024'!D4)</f>
        <v>0</v>
      </c>
      <c r="E4" s="33">
        <f t="shared" ref="E4" ca="1" si="0">C4-D4</f>
        <v>0</v>
      </c>
      <c r="F4" s="34">
        <f t="shared" ref="F4" ca="1" si="1">IFERROR(E4/D4, 0)</f>
        <v>0</v>
      </c>
      <c r="G4" s="35">
        <f ca="1">SUM('10-2024'!G4, '11-2024'!G4, '12-2024'!G4)</f>
        <v>0</v>
      </c>
      <c r="H4" s="35">
        <f t="shared" ref="H4" ca="1" si="2">C4-G4</f>
        <v>0</v>
      </c>
      <c r="I4" s="36">
        <f t="shared" ref="I4" ca="1" si="3">IFERROR(H4/G4, 0)</f>
        <v>0</v>
      </c>
      <c r="J4" s="17"/>
      <c r="K4" s="17"/>
    </row>
    <row r="5" spans="1:11" ht="24.75" customHeight="1">
      <c r="A5" s="112" t="s">
        <v>11</v>
      </c>
      <c r="B5" s="113"/>
      <c r="C5" s="47">
        <f ca="1">SUM(C3:C4)</f>
        <v>0</v>
      </c>
      <c r="D5" s="47">
        <f ca="1">SUM(D3:D4)</f>
        <v>0</v>
      </c>
      <c r="E5" s="47">
        <f ca="1">C5-D5</f>
        <v>0</v>
      </c>
      <c r="F5" s="39">
        <f ca="1">IFERROR(E5/D5, 0)</f>
        <v>0</v>
      </c>
      <c r="G5" s="47">
        <f ca="1">SUM(G3:G4)</f>
        <v>0</v>
      </c>
      <c r="H5" s="48">
        <f ca="1">C5-G5</f>
        <v>0</v>
      </c>
      <c r="I5" s="40">
        <f ca="1">IFERROR(H5/G5, 0)</f>
        <v>0</v>
      </c>
      <c r="J5" s="8"/>
    </row>
    <row r="6" spans="1:11">
      <c r="J6" s="8"/>
    </row>
    <row r="7" spans="1:11" ht="12.75" customHeight="1">
      <c r="A7" s="114" t="s">
        <v>12</v>
      </c>
      <c r="J7" s="8"/>
    </row>
    <row r="8" spans="1:11">
      <c r="A8" s="114"/>
      <c r="J8" s="8"/>
    </row>
    <row r="9" spans="1:11">
      <c r="A9" s="115" t="s">
        <v>13</v>
      </c>
      <c r="J9" s="8"/>
    </row>
    <row r="10" spans="1:11" ht="12.75" customHeight="1">
      <c r="A10" s="115"/>
      <c r="J10" s="8"/>
    </row>
    <row r="11" spans="1:11">
      <c r="J11" s="8"/>
    </row>
  </sheetData>
  <autoFilter ref="A2:I2" xr:uid="{CE62352A-0CAA-4862-87B6-A6A1C7531211}"/>
  <mergeCells count="8">
    <mergeCell ref="K1:K2"/>
    <mergeCell ref="A5:B5"/>
    <mergeCell ref="A7:A8"/>
    <mergeCell ref="A9:A10"/>
    <mergeCell ref="A1:B1"/>
    <mergeCell ref="C1:F1"/>
    <mergeCell ref="G1:I1"/>
    <mergeCell ref="J1:J2"/>
  </mergeCells>
  <conditionalFormatting sqref="F3:F5 I3:I5">
    <cfRule type="cellIs" dxfId="59" priority="1" operator="lessThanOrEqual">
      <formula>-0.1</formula>
    </cfRule>
    <cfRule type="cellIs" dxfId="58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2DDA-D4B4-4F79-9A5D-D43AD85A6C79}">
  <sheetPr codeName="Sheet6">
    <pageSetUpPr fitToPage="1"/>
  </sheetPr>
  <dimension ref="A1:K11"/>
  <sheetViews>
    <sheetView workbookViewId="0">
      <pane ySplit="2" topLeftCell="A3" activePane="bottomLeft" state="frozen"/>
      <selection pane="bottomLeft" activeCell="H16" sqref="H15:H16"/>
      <selection activeCell="G5" sqref="G5"/>
    </sheetView>
  </sheetViews>
  <sheetFormatPr defaultRowHeight="12.75" customHeight="1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16" t="str" cm="1">
        <f t="array" ref="A1">portfolio</f>
        <v>Solar Income LLC</v>
      </c>
      <c r="B1" s="117"/>
      <c r="C1" s="118" t="s">
        <v>22</v>
      </c>
      <c r="D1" s="119"/>
      <c r="E1" s="119"/>
      <c r="F1" s="120"/>
      <c r="G1" s="121" t="s">
        <v>23</v>
      </c>
      <c r="H1" s="121"/>
      <c r="I1" s="122"/>
      <c r="J1" s="110" t="s">
        <v>2</v>
      </c>
      <c r="K1" s="110" t="s">
        <v>3</v>
      </c>
    </row>
    <row r="2" spans="1:11" ht="14.25" customHeigh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42" t="s">
        <v>10</v>
      </c>
      <c r="H2" s="7" t="s">
        <v>8</v>
      </c>
      <c r="I2" s="9" t="s">
        <v>9</v>
      </c>
      <c r="J2" s="111"/>
      <c r="K2" s="111"/>
    </row>
    <row r="3" spans="1:11" ht="15.75">
      <c r="A3" s="45" t="str" cm="1">
        <f t="array" ref="A3:A4">Sites[Site]</f>
        <v>Westbrook - Lee Building 9</v>
      </c>
      <c r="B3" s="32" t="str" cm="1">
        <f t="array" ref="B3:B4">Sites[State]</f>
        <v>CT</v>
      </c>
      <c r="C3" s="33" cm="1">
        <f t="array" aca="1" ref="C3:K3" ca="1">IF(INDIRECT("'" &amp; $A3 &amp; "'!B5:J5")="", "", INDIRECT("'" &amp; $A3 &amp; "'!B5:J5"))</f>
        <v>11433.859864062601</v>
      </c>
      <c r="D3" s="33">
        <f ca="1"/>
        <v>15679.73</v>
      </c>
      <c r="E3" s="33">
        <f ca="1"/>
        <v>-4245.870135937399</v>
      </c>
      <c r="F3" s="34">
        <f ca="1"/>
        <v>-0.27078719696942483</v>
      </c>
      <c r="G3" s="35">
        <f ca="1"/>
        <v>0</v>
      </c>
      <c r="H3" s="35">
        <f ca="1"/>
        <v>11433.859864062601</v>
      </c>
      <c r="I3" s="36">
        <f ca="1"/>
        <v>0</v>
      </c>
      <c r="J3" s="106" t="str">
        <f ca="1"/>
        <v/>
      </c>
      <c r="K3" s="106" t="str">
        <f ca="1"/>
        <v/>
      </c>
    </row>
    <row r="4" spans="1:11" ht="15.75">
      <c r="A4" s="46" t="str">
        <v>Westbrook - Lee Building 82</v>
      </c>
      <c r="B4" s="18" t="str">
        <v>CT</v>
      </c>
      <c r="C4" s="33" cm="1">
        <f t="array" aca="1" ref="C4:K4" ca="1">IF(INDIRECT("'" &amp; $A4 &amp; "'!B5:J5")="", "", INDIRECT("'" &amp; $A4 &amp; "'!B5:J5"))</f>
        <v>11845.4795566024</v>
      </c>
      <c r="D4" s="33">
        <f ca="1"/>
        <v>16173.71</v>
      </c>
      <c r="E4" s="33">
        <f ca="1"/>
        <v>-4328.2304433975987</v>
      </c>
      <c r="F4" s="37">
        <f ca="1"/>
        <v>-0.26760900519408343</v>
      </c>
      <c r="G4" s="35">
        <f ca="1"/>
        <v>23363</v>
      </c>
      <c r="H4" s="35">
        <f ca="1"/>
        <v>-11517.5204433976</v>
      </c>
      <c r="I4" s="38">
        <f ca="1"/>
        <v>-0.4929812285835552</v>
      </c>
      <c r="J4" s="106" t="str">
        <f ca="1"/>
        <v>1. Inveter 12 producing 12kW less than its peers</v>
      </c>
      <c r="K4" s="106" t="str">
        <f ca="1"/>
        <v>1. SR074964</v>
      </c>
    </row>
    <row r="5" spans="1:11" ht="24.75" customHeight="1">
      <c r="A5" s="112" t="s">
        <v>11</v>
      </c>
      <c r="B5" s="113"/>
      <c r="C5" s="47">
        <f ca="1">SUM(C3:C4)</f>
        <v>23279.339420665001</v>
      </c>
      <c r="D5" s="47">
        <f ca="1">SUM(D3:D4)</f>
        <v>31853.439999999999</v>
      </c>
      <c r="E5" s="47">
        <f ca="1">C5-D5</f>
        <v>-8574.1005793349977</v>
      </c>
      <c r="F5" s="39">
        <f ca="1">IFERROR(E5/D5, 0)</f>
        <v>-0.26917345753975075</v>
      </c>
      <c r="G5" s="47">
        <f ca="1">SUM(G3:G4)</f>
        <v>23363</v>
      </c>
      <c r="H5" s="48">
        <f ca="1">C5-G5</f>
        <v>-83.660579334999056</v>
      </c>
      <c r="I5" s="40">
        <f ca="1">IFERROR(H5/G5, 0)</f>
        <v>-3.5809005408123551E-3</v>
      </c>
      <c r="J5" s="8"/>
    </row>
    <row r="6" spans="1:11">
      <c r="J6" s="8"/>
    </row>
    <row r="7" spans="1:11" ht="12.75" customHeight="1">
      <c r="A7" s="114" t="s">
        <v>12</v>
      </c>
      <c r="J7" s="8"/>
    </row>
    <row r="8" spans="1:11">
      <c r="A8" s="114"/>
      <c r="J8" s="8"/>
    </row>
    <row r="9" spans="1:11">
      <c r="A9" s="115" t="s">
        <v>13</v>
      </c>
      <c r="J9" s="8"/>
    </row>
    <row r="10" spans="1:11" ht="12.75" customHeight="1">
      <c r="A10" s="115"/>
      <c r="J10" s="8"/>
    </row>
    <row r="11" spans="1:11">
      <c r="J11" s="8"/>
    </row>
  </sheetData>
  <autoFilter ref="A2:I2" xr:uid="{B0362DDA-D4B4-4F79-9A5D-D43AD85A6C79}"/>
  <mergeCells count="8">
    <mergeCell ref="A7:A8"/>
    <mergeCell ref="A9:A10"/>
    <mergeCell ref="A5:B5"/>
    <mergeCell ref="K1:K2"/>
    <mergeCell ref="C1:F1"/>
    <mergeCell ref="G1:I1"/>
    <mergeCell ref="A1:B1"/>
    <mergeCell ref="J1:J2"/>
  </mergeCells>
  <conditionalFormatting sqref="F3:F5 I3:I5">
    <cfRule type="cellIs" dxfId="57" priority="4" operator="lessThanOrEqual">
      <formula>-0.1</formula>
    </cfRule>
    <cfRule type="cellIs" dxfId="56" priority="5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11"/>
  <sheetViews>
    <sheetView tabSelected="1" workbookViewId="0">
      <pane ySplit="2" topLeftCell="A3" activePane="bottomLeft" state="frozen"/>
      <selection pane="bottomLeft" activeCell="A5" sqref="A5"/>
      <selection activeCell="G5" sqref="G5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16" t="str" cm="1">
        <f t="array" ref="A1">portfolio</f>
        <v>Solar Income LLC</v>
      </c>
      <c r="B1" s="117"/>
      <c r="C1" s="118" t="s">
        <v>24</v>
      </c>
      <c r="D1" s="119"/>
      <c r="E1" s="119"/>
      <c r="F1" s="120"/>
      <c r="G1" s="121" t="s">
        <v>25</v>
      </c>
      <c r="H1" s="121"/>
      <c r="I1" s="122"/>
      <c r="J1" s="110" t="s">
        <v>2</v>
      </c>
      <c r="K1" s="110" t="s">
        <v>3</v>
      </c>
    </row>
    <row r="2" spans="1:11" ht="14.25" customHeigh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42" t="s">
        <v>10</v>
      </c>
      <c r="H2" s="7" t="s">
        <v>8</v>
      </c>
      <c r="I2" s="9" t="s">
        <v>9</v>
      </c>
      <c r="J2" s="111"/>
      <c r="K2" s="111"/>
    </row>
    <row r="3" spans="1:11" ht="15.75">
      <c r="A3" s="45" t="str" cm="1">
        <f t="array" ref="A3:A4">Sites[Site]</f>
        <v>Westbrook - Lee Building 9</v>
      </c>
      <c r="B3" s="32" t="str" cm="1">
        <f t="array" ref="B3:B4">Sites[State]</f>
        <v>CT</v>
      </c>
      <c r="C3" s="33" t="str" cm="1">
        <f t="array" aca="1" ref="C3:K3" ca="1">IF(INDIRECT("'" &amp; $A3 &amp; "'!B6:J6")="", "", INDIRECT("'" &amp; $A3 &amp; "'!B6:J6"))</f>
        <v/>
      </c>
      <c r="D3" s="33" t="str">
        <f ca="1"/>
        <v/>
      </c>
      <c r="E3" s="33">
        <f ca="1"/>
        <v>0</v>
      </c>
      <c r="F3" s="34">
        <f ca="1"/>
        <v>0</v>
      </c>
      <c r="G3" s="35" t="str">
        <f ca="1"/>
        <v/>
      </c>
      <c r="H3" s="35">
        <f ca="1"/>
        <v>0</v>
      </c>
      <c r="I3" s="36">
        <f ca="1"/>
        <v>0</v>
      </c>
      <c r="J3" s="17" t="str">
        <f ca="1"/>
        <v/>
      </c>
      <c r="K3" s="17" t="str">
        <f ca="1"/>
        <v/>
      </c>
    </row>
    <row r="4" spans="1:11" ht="15.75">
      <c r="A4" s="46" t="str">
        <v>Westbrook - Lee Building 82</v>
      </c>
      <c r="B4" s="18" t="str">
        <v>CT</v>
      </c>
      <c r="C4" s="33" t="str" cm="1">
        <f t="array" aca="1" ref="C4:K4" ca="1">IF(INDIRECT("'" &amp; $A4 &amp; "'!B6:J6")="", "", INDIRECT("'" &amp; $A4 &amp; "'!B6:J6"))</f>
        <v/>
      </c>
      <c r="D4" s="33" t="str">
        <f ca="1"/>
        <v/>
      </c>
      <c r="E4" s="33">
        <f ca="1"/>
        <v>0</v>
      </c>
      <c r="F4" s="37">
        <f ca="1"/>
        <v>0</v>
      </c>
      <c r="G4" s="35" t="str">
        <f ca="1"/>
        <v/>
      </c>
      <c r="H4" s="35">
        <f ca="1"/>
        <v>0</v>
      </c>
      <c r="I4" s="38">
        <f ca="1"/>
        <v>0</v>
      </c>
      <c r="J4" s="17" t="str">
        <f ca="1"/>
        <v/>
      </c>
      <c r="K4" s="17" t="str">
        <f ca="1"/>
        <v/>
      </c>
    </row>
    <row r="5" spans="1:11" ht="24.75" customHeight="1">
      <c r="A5" s="112" t="s">
        <v>11</v>
      </c>
      <c r="B5" s="113"/>
      <c r="C5" s="47">
        <f ca="1">SUM(C3:C4)</f>
        <v>0</v>
      </c>
      <c r="D5" s="47">
        <f ca="1">SUM(D3:D4)</f>
        <v>0</v>
      </c>
      <c r="E5" s="47">
        <f ca="1">C5-D5</f>
        <v>0</v>
      </c>
      <c r="F5" s="39">
        <f ca="1">IFERROR(E5/D5, 0)</f>
        <v>0</v>
      </c>
      <c r="G5" s="47">
        <f ca="1">SUM(G3:G4)</f>
        <v>0</v>
      </c>
      <c r="H5" s="48">
        <f ca="1">C5-G5</f>
        <v>0</v>
      </c>
      <c r="I5" s="40">
        <f ca="1">IFERROR(H5/G5, 0)</f>
        <v>0</v>
      </c>
      <c r="J5" s="8"/>
    </row>
    <row r="6" spans="1:11">
      <c r="J6" s="8"/>
    </row>
    <row r="7" spans="1:11" ht="12.75" customHeight="1">
      <c r="A7" s="114" t="s">
        <v>12</v>
      </c>
      <c r="J7" s="8"/>
    </row>
    <row r="8" spans="1:11">
      <c r="A8" s="114"/>
      <c r="J8" s="8"/>
    </row>
    <row r="9" spans="1:11">
      <c r="A9" s="115" t="s">
        <v>13</v>
      </c>
      <c r="J9" s="8"/>
    </row>
    <row r="10" spans="1:11" ht="12.75" customHeight="1">
      <c r="A10" s="115"/>
      <c r="J10" s="8"/>
    </row>
    <row r="11" spans="1:11">
      <c r="J11" s="8"/>
    </row>
  </sheetData>
  <autoFilter ref="A2:I2" xr:uid="{CAF24030-967D-40AB-9B78-5C3C0C46A55D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55" priority="1" operator="lessThanOrEqual">
      <formula>-0.1</formula>
    </cfRule>
    <cfRule type="cellIs" dxfId="54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11"/>
  <sheetViews>
    <sheetView workbookViewId="0">
      <pane ySplit="2" topLeftCell="A3" activePane="bottomLeft" state="frozen"/>
      <selection pane="bottomLeft" activeCell="A5" sqref="A5"/>
      <selection activeCell="G5" sqref="G5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16" t="str" cm="1">
        <f t="array" ref="A1">portfolio</f>
        <v>Solar Income LLC</v>
      </c>
      <c r="B1" s="117"/>
      <c r="C1" s="118" t="s">
        <v>26</v>
      </c>
      <c r="D1" s="119"/>
      <c r="E1" s="119"/>
      <c r="F1" s="120"/>
      <c r="G1" s="121" t="s">
        <v>27</v>
      </c>
      <c r="H1" s="121"/>
      <c r="I1" s="122"/>
      <c r="J1" s="110" t="s">
        <v>2</v>
      </c>
      <c r="K1" s="110" t="s">
        <v>3</v>
      </c>
    </row>
    <row r="2" spans="1:11" ht="14.25" customHeigh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42" t="s">
        <v>10</v>
      </c>
      <c r="H2" s="7" t="s">
        <v>8</v>
      </c>
      <c r="I2" s="9" t="s">
        <v>9</v>
      </c>
      <c r="J2" s="111"/>
      <c r="K2" s="111"/>
    </row>
    <row r="3" spans="1:11" ht="15.75">
      <c r="A3" s="45" t="str" cm="1">
        <f t="array" ref="A3:A4">Sites[Site]</f>
        <v>Westbrook - Lee Building 9</v>
      </c>
      <c r="B3" s="32" t="str" cm="1">
        <f t="array" ref="B3:B4">Sites[State]</f>
        <v>CT</v>
      </c>
      <c r="C3" s="33" t="str" cm="1">
        <f t="array" aca="1" ref="C3:K3" ca="1">IF(INDIRECT("'" &amp; $A3 &amp; "'!B7:J7")="", "", INDIRECT("'" &amp; $A3 &amp; "'!B7:J7"))</f>
        <v/>
      </c>
      <c r="D3" s="33" t="str">
        <f ca="1"/>
        <v/>
      </c>
      <c r="E3" s="33">
        <f ca="1"/>
        <v>0</v>
      </c>
      <c r="F3" s="34">
        <f ca="1"/>
        <v>0</v>
      </c>
      <c r="G3" s="35" t="str">
        <f ca="1"/>
        <v/>
      </c>
      <c r="H3" s="35">
        <f ca="1"/>
        <v>0</v>
      </c>
      <c r="I3" s="36">
        <f ca="1"/>
        <v>0</v>
      </c>
      <c r="J3" s="17" t="str">
        <f ca="1"/>
        <v/>
      </c>
      <c r="K3" s="17" t="str">
        <f ca="1"/>
        <v/>
      </c>
    </row>
    <row r="4" spans="1:11" ht="15.75">
      <c r="A4" s="46" t="str">
        <v>Westbrook - Lee Building 82</v>
      </c>
      <c r="B4" s="18" t="str">
        <v>CT</v>
      </c>
      <c r="C4" s="33" t="str" cm="1">
        <f t="array" aca="1" ref="C4:K4" ca="1">IF(INDIRECT("'" &amp; $A4 &amp; "'!B7:J7")="", "", INDIRECT("'" &amp; $A4 &amp; "'!B7:J7"))</f>
        <v/>
      </c>
      <c r="D4" s="33" t="str">
        <f ca="1"/>
        <v/>
      </c>
      <c r="E4" s="33">
        <f ca="1"/>
        <v>0</v>
      </c>
      <c r="F4" s="34">
        <f ca="1"/>
        <v>0</v>
      </c>
      <c r="G4" s="35" t="str">
        <f ca="1"/>
        <v/>
      </c>
      <c r="H4" s="35">
        <f ca="1"/>
        <v>0</v>
      </c>
      <c r="I4" s="36">
        <f ca="1"/>
        <v>0</v>
      </c>
      <c r="J4" s="17" t="str">
        <f ca="1"/>
        <v/>
      </c>
      <c r="K4" s="17" t="str">
        <f ca="1"/>
        <v/>
      </c>
    </row>
    <row r="5" spans="1:11" ht="24.75" customHeight="1">
      <c r="A5" s="112" t="s">
        <v>11</v>
      </c>
      <c r="B5" s="113"/>
      <c r="C5" s="47">
        <f ca="1">SUM(C3:C4)</f>
        <v>0</v>
      </c>
      <c r="D5" s="47">
        <f ca="1">SUM(D3:D4)</f>
        <v>0</v>
      </c>
      <c r="E5" s="47">
        <f ca="1">C5-D5</f>
        <v>0</v>
      </c>
      <c r="F5" s="39">
        <f ca="1">IFERROR(E5/D5, 0)</f>
        <v>0</v>
      </c>
      <c r="G5" s="47">
        <f ca="1">SUM(G3:G4)</f>
        <v>0</v>
      </c>
      <c r="H5" s="48">
        <f ca="1">C5-G5</f>
        <v>0</v>
      </c>
      <c r="I5" s="40">
        <f ca="1">IFERROR(H5/G5, 0)</f>
        <v>0</v>
      </c>
      <c r="J5" s="8"/>
    </row>
    <row r="6" spans="1:11">
      <c r="J6" s="8"/>
    </row>
    <row r="7" spans="1:11" ht="12.75" customHeight="1">
      <c r="A7" s="114" t="s">
        <v>12</v>
      </c>
      <c r="J7" s="8"/>
    </row>
    <row r="8" spans="1:11">
      <c r="A8" s="114"/>
      <c r="J8" s="8"/>
    </row>
    <row r="9" spans="1:11">
      <c r="A9" s="115" t="s">
        <v>13</v>
      </c>
      <c r="J9" s="8"/>
    </row>
    <row r="10" spans="1:11" ht="12.75" customHeight="1">
      <c r="A10" s="115"/>
      <c r="J10" s="8"/>
    </row>
    <row r="11" spans="1:11">
      <c r="J11" s="8"/>
    </row>
  </sheetData>
  <autoFilter ref="A2:I2" xr:uid="{E69961AB-A757-4049-8AB9-40F3BCB812B3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53" priority="1" operator="lessThanOrEqual">
      <formula>-0.1</formula>
    </cfRule>
    <cfRule type="cellIs" dxfId="52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11"/>
  <sheetViews>
    <sheetView workbookViewId="0">
      <pane ySplit="2" topLeftCell="A3" activePane="bottomLeft" state="frozen"/>
      <selection pane="bottomLeft" activeCell="A5" sqref="A5:XFD5"/>
      <selection activeCell="G5" sqref="G5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16" t="str" cm="1">
        <f t="array" ref="A1">portfolio</f>
        <v>Solar Income LLC</v>
      </c>
      <c r="B1" s="117"/>
      <c r="C1" s="118" t="s">
        <v>28</v>
      </c>
      <c r="D1" s="119"/>
      <c r="E1" s="119"/>
      <c r="F1" s="120"/>
      <c r="G1" s="121" t="s">
        <v>29</v>
      </c>
      <c r="H1" s="121"/>
      <c r="I1" s="122"/>
      <c r="J1" s="110" t="s">
        <v>2</v>
      </c>
      <c r="K1" s="110" t="s">
        <v>3</v>
      </c>
    </row>
    <row r="2" spans="1:11" ht="14.25" customHeigh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42" t="s">
        <v>10</v>
      </c>
      <c r="H2" s="7" t="s">
        <v>8</v>
      </c>
      <c r="I2" s="9" t="s">
        <v>9</v>
      </c>
      <c r="J2" s="111"/>
      <c r="K2" s="111"/>
    </row>
    <row r="3" spans="1:11" ht="15.75">
      <c r="A3" s="45" t="str" cm="1">
        <f t="array" ref="A3:A4">Sites[Site]</f>
        <v>Westbrook - Lee Building 9</v>
      </c>
      <c r="B3" s="32" t="str" cm="1">
        <f t="array" ref="B3:B4">Sites[State]</f>
        <v>CT</v>
      </c>
      <c r="C3" s="33" t="str" cm="1">
        <f t="array" aca="1" ref="C3:K3" ca="1">IF(INDIRECT("'" &amp; $A3 &amp; "'!B8:J8")="", "", INDIRECT("'" &amp; $A3 &amp; "'!B8:J8"))</f>
        <v/>
      </c>
      <c r="D3" s="33" t="str">
        <f ca="1"/>
        <v/>
      </c>
      <c r="E3" s="33">
        <f ca="1"/>
        <v>0</v>
      </c>
      <c r="F3" s="34">
        <f ca="1"/>
        <v>0</v>
      </c>
      <c r="G3" s="35" t="str">
        <f ca="1"/>
        <v/>
      </c>
      <c r="H3" s="35">
        <f ca="1"/>
        <v>0</v>
      </c>
      <c r="I3" s="36">
        <f ca="1"/>
        <v>0</v>
      </c>
      <c r="J3" s="17" t="str">
        <f ca="1"/>
        <v/>
      </c>
      <c r="K3" s="17" t="str">
        <f ca="1"/>
        <v/>
      </c>
    </row>
    <row r="4" spans="1:11" ht="15.75">
      <c r="A4" s="46" t="str">
        <v>Westbrook - Lee Building 82</v>
      </c>
      <c r="B4" s="18" t="str">
        <v>CT</v>
      </c>
      <c r="C4" s="33" t="str" cm="1">
        <f t="array" aca="1" ref="C4:K4" ca="1">IF(INDIRECT("'" &amp; $A4 &amp; "'!B8:J8")="", "", INDIRECT("'" &amp; $A4 &amp; "'!B8:J8"))</f>
        <v/>
      </c>
      <c r="D4" s="33" t="str">
        <f ca="1"/>
        <v/>
      </c>
      <c r="E4" s="33">
        <f ca="1"/>
        <v>0</v>
      </c>
      <c r="F4" s="34">
        <f ca="1"/>
        <v>0</v>
      </c>
      <c r="G4" s="35" t="str">
        <f ca="1"/>
        <v/>
      </c>
      <c r="H4" s="35">
        <f ca="1"/>
        <v>0</v>
      </c>
      <c r="I4" s="36">
        <f ca="1"/>
        <v>0</v>
      </c>
      <c r="J4" s="17" t="str">
        <f ca="1"/>
        <v/>
      </c>
      <c r="K4" s="17" t="str">
        <f ca="1"/>
        <v/>
      </c>
    </row>
    <row r="5" spans="1:11" ht="24.75" customHeight="1">
      <c r="A5" s="112" t="s">
        <v>11</v>
      </c>
      <c r="B5" s="113"/>
      <c r="C5" s="47">
        <f ca="1">SUM(C3:C4)</f>
        <v>0</v>
      </c>
      <c r="D5" s="47">
        <f ca="1">SUM(D3:D4)</f>
        <v>0</v>
      </c>
      <c r="E5" s="47">
        <f ca="1">C5-D5</f>
        <v>0</v>
      </c>
      <c r="F5" s="39">
        <f ca="1">IFERROR(E5/D5, 0)</f>
        <v>0</v>
      </c>
      <c r="G5" s="47">
        <f ca="1">SUM(G3:G4)</f>
        <v>0</v>
      </c>
      <c r="H5" s="48">
        <f ca="1">C5-G5</f>
        <v>0</v>
      </c>
      <c r="I5" s="40">
        <f ca="1">IFERROR(H5/G5, 0)</f>
        <v>0</v>
      </c>
      <c r="J5" s="8"/>
    </row>
    <row r="6" spans="1:11">
      <c r="J6" s="8"/>
    </row>
    <row r="7" spans="1:11" ht="12.75" customHeight="1">
      <c r="A7" s="114" t="s">
        <v>12</v>
      </c>
      <c r="J7" s="8"/>
    </row>
    <row r="8" spans="1:11">
      <c r="A8" s="114"/>
      <c r="J8" s="8"/>
    </row>
    <row r="9" spans="1:11">
      <c r="A9" s="115" t="s">
        <v>13</v>
      </c>
      <c r="J9" s="8"/>
    </row>
    <row r="10" spans="1:11" ht="12.75" customHeight="1">
      <c r="A10" s="115"/>
      <c r="J10" s="8"/>
    </row>
    <row r="11" spans="1:11">
      <c r="J11" s="8"/>
    </row>
  </sheetData>
  <autoFilter ref="A2:I2" xr:uid="{9CEFA865-F03F-435F-98CB-83683B1083B8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51" priority="1" operator="lessThanOrEqual">
      <formula>-0.1</formula>
    </cfRule>
    <cfRule type="cellIs" dxfId="50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15"/>
  <sheetViews>
    <sheetView workbookViewId="0">
      <pane ySplit="2" topLeftCell="A3" activePane="bottomLeft" state="frozen"/>
      <selection pane="bottomLeft" activeCell="A5" sqref="A5:XFD5"/>
      <selection activeCell="G5" sqref="G5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16" t="str" cm="1">
        <f t="array" ref="A1">portfolio</f>
        <v>Solar Income LLC</v>
      </c>
      <c r="B1" s="117"/>
      <c r="C1" s="118" t="s">
        <v>30</v>
      </c>
      <c r="D1" s="119"/>
      <c r="E1" s="119"/>
      <c r="F1" s="120"/>
      <c r="G1" s="121" t="s">
        <v>31</v>
      </c>
      <c r="H1" s="121"/>
      <c r="I1" s="122"/>
      <c r="J1" s="110" t="s">
        <v>2</v>
      </c>
      <c r="K1" s="110" t="s">
        <v>3</v>
      </c>
    </row>
    <row r="2" spans="1:11" ht="14.25" customHeigh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42" t="s">
        <v>10</v>
      </c>
      <c r="H2" s="7" t="s">
        <v>8</v>
      </c>
      <c r="I2" s="9" t="s">
        <v>9</v>
      </c>
      <c r="J2" s="111"/>
      <c r="K2" s="111"/>
    </row>
    <row r="3" spans="1:11" ht="15.75">
      <c r="A3" s="45" t="str" cm="1">
        <f t="array" ref="A3:A4">Sites[Site]</f>
        <v>Westbrook - Lee Building 9</v>
      </c>
      <c r="B3" s="32" t="str" cm="1">
        <f t="array" ref="B3:B4">Sites[State]</f>
        <v>CT</v>
      </c>
      <c r="C3" s="33" t="str" cm="1">
        <f t="array" aca="1" ref="C3:K3" ca="1">IF(INDIRECT("'" &amp; $A3 &amp; "'!B9:J9")="", "", INDIRECT("'" &amp; $A3 &amp; "'!B9:J9"))</f>
        <v/>
      </c>
      <c r="D3" s="33" t="str">
        <f ca="1"/>
        <v/>
      </c>
      <c r="E3" s="33">
        <f ca="1"/>
        <v>0</v>
      </c>
      <c r="F3" s="34">
        <f ca="1"/>
        <v>0</v>
      </c>
      <c r="G3" s="35" t="str">
        <f ca="1"/>
        <v/>
      </c>
      <c r="H3" s="35">
        <f ca="1"/>
        <v>0</v>
      </c>
      <c r="I3" s="36">
        <f ca="1"/>
        <v>0</v>
      </c>
      <c r="J3" s="103" t="str">
        <f ca="1"/>
        <v/>
      </c>
      <c r="K3" s="103" t="str">
        <f ca="1"/>
        <v/>
      </c>
    </row>
    <row r="4" spans="1:11" ht="15.75">
      <c r="A4" s="46" t="str">
        <v>Westbrook - Lee Building 82</v>
      </c>
      <c r="B4" s="18" t="str">
        <v>CT</v>
      </c>
      <c r="C4" s="33" t="str" cm="1">
        <f t="array" aca="1" ref="C4:K4" ca="1">IF(INDIRECT("'" &amp; $A4 &amp; "'!B9:J9")="", "", INDIRECT("'" &amp; $A4 &amp; "'!B9:J9"))</f>
        <v/>
      </c>
      <c r="D4" s="33" t="str">
        <f ca="1"/>
        <v/>
      </c>
      <c r="E4" s="33">
        <f ca="1"/>
        <v>0</v>
      </c>
      <c r="F4" s="34">
        <f ca="1"/>
        <v>0</v>
      </c>
      <c r="G4" s="35" t="str">
        <f ca="1"/>
        <v/>
      </c>
      <c r="H4" s="35">
        <f ca="1"/>
        <v>0</v>
      </c>
      <c r="I4" s="36">
        <f ca="1"/>
        <v>0</v>
      </c>
      <c r="J4" s="17" t="str">
        <f ca="1"/>
        <v/>
      </c>
      <c r="K4" s="17" t="str">
        <f ca="1"/>
        <v/>
      </c>
    </row>
    <row r="5" spans="1:11" ht="24.75" customHeight="1">
      <c r="A5" s="112" t="s">
        <v>11</v>
      </c>
      <c r="B5" s="123"/>
      <c r="C5" s="63">
        <f ca="1">SUM(C3:C4)</f>
        <v>0</v>
      </c>
      <c r="D5" s="63">
        <f ca="1">SUM(D3:D4)</f>
        <v>0</v>
      </c>
      <c r="E5" s="63">
        <f ca="1">C5-D5</f>
        <v>0</v>
      </c>
      <c r="F5" s="64">
        <f ca="1">IFERROR(E5/D5, 0)</f>
        <v>0</v>
      </c>
      <c r="G5" s="63">
        <f ca="1">SUM(G3:G4)</f>
        <v>0</v>
      </c>
      <c r="H5" s="65">
        <f ca="1">C5-G5</f>
        <v>0</v>
      </c>
      <c r="I5" s="66">
        <f ca="1">IFERROR(H5/G5, 0)</f>
        <v>0</v>
      </c>
      <c r="J5" s="67"/>
    </row>
    <row r="6" spans="1:11" ht="14.25">
      <c r="B6" s="68"/>
      <c r="C6" s="68"/>
      <c r="D6" s="68"/>
      <c r="E6" s="68"/>
      <c r="F6" s="69"/>
      <c r="G6" s="68"/>
      <c r="H6" s="68"/>
      <c r="I6" s="69"/>
      <c r="J6" s="67"/>
    </row>
    <row r="7" spans="1:11" ht="12.75" customHeight="1">
      <c r="A7" s="114" t="s">
        <v>12</v>
      </c>
      <c r="B7" s="68"/>
      <c r="C7" s="68"/>
      <c r="D7" s="68"/>
      <c r="E7" s="68"/>
      <c r="F7" s="69"/>
      <c r="G7" s="68"/>
      <c r="H7" s="68"/>
      <c r="I7" s="69"/>
      <c r="J7" s="67"/>
    </row>
    <row r="8" spans="1:11" ht="14.25">
      <c r="A8" s="114"/>
      <c r="B8" s="68"/>
      <c r="C8" s="68"/>
      <c r="D8" s="68"/>
      <c r="E8" s="68"/>
      <c r="F8" s="69"/>
      <c r="G8" s="68"/>
      <c r="H8" s="68"/>
      <c r="I8" s="69"/>
      <c r="J8" s="67"/>
    </row>
    <row r="9" spans="1:11" ht="14.25">
      <c r="A9" s="115" t="s">
        <v>13</v>
      </c>
      <c r="B9" s="68"/>
      <c r="C9" s="68"/>
      <c r="D9" s="68"/>
      <c r="E9" s="68"/>
      <c r="F9" s="69"/>
      <c r="G9" s="68"/>
      <c r="H9" s="68"/>
      <c r="I9" s="69"/>
      <c r="J9" s="67"/>
    </row>
    <row r="10" spans="1:11" ht="12.75" customHeight="1">
      <c r="A10" s="115"/>
      <c r="B10" s="68"/>
      <c r="C10" s="68"/>
      <c r="D10" s="68"/>
      <c r="E10" s="68"/>
      <c r="F10" s="69"/>
      <c r="G10" s="68"/>
      <c r="H10" s="68"/>
      <c r="I10" s="69"/>
      <c r="J10" s="67"/>
    </row>
    <row r="11" spans="1:11" ht="14.25">
      <c r="B11" s="68"/>
      <c r="C11" s="68"/>
      <c r="D11" s="68"/>
      <c r="E11" s="68"/>
      <c r="F11" s="69"/>
      <c r="G11" s="68"/>
      <c r="H11" s="68"/>
      <c r="I11" s="69"/>
      <c r="J11" s="67"/>
    </row>
    <row r="12" spans="1:11" ht="14.25">
      <c r="B12" s="68"/>
      <c r="C12" s="68"/>
      <c r="D12" s="68"/>
      <c r="E12" s="68"/>
      <c r="F12" s="69"/>
      <c r="G12" s="68"/>
      <c r="H12" s="68"/>
      <c r="I12" s="69"/>
      <c r="J12" s="68"/>
    </row>
    <row r="13" spans="1:11" ht="14.25">
      <c r="B13" s="68"/>
      <c r="C13" s="68"/>
      <c r="D13" s="68"/>
      <c r="E13" s="68"/>
      <c r="F13" s="69"/>
      <c r="G13" s="68"/>
      <c r="H13" s="68"/>
      <c r="I13" s="69"/>
      <c r="J13" s="68"/>
    </row>
    <row r="14" spans="1:11" ht="14.25">
      <c r="B14" s="68"/>
      <c r="C14" s="68"/>
      <c r="D14" s="68"/>
      <c r="E14" s="68"/>
      <c r="F14" s="69"/>
      <c r="G14" s="68"/>
      <c r="H14" s="68"/>
      <c r="I14" s="69"/>
      <c r="J14" s="68"/>
    </row>
    <row r="15" spans="1:11" ht="14.25">
      <c r="B15" s="68"/>
      <c r="C15" s="68"/>
      <c r="D15" s="68"/>
      <c r="E15" s="68"/>
      <c r="F15" s="69"/>
      <c r="G15" s="68"/>
      <c r="H15" s="68"/>
      <c r="I15" s="69"/>
      <c r="J15" s="68"/>
    </row>
  </sheetData>
  <autoFilter ref="A2:I2" xr:uid="{BC8A3C74-EDA3-4B8F-8C65-FD4243AE8FF6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49" priority="1" operator="lessThanOrEqual">
      <formula>-0.1</formula>
    </cfRule>
    <cfRule type="cellIs" dxfId="48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16"/>
  <sheetViews>
    <sheetView workbookViewId="0">
      <pane ySplit="2" topLeftCell="A3" activePane="bottomLeft" state="frozen"/>
      <selection pane="bottomLeft" activeCell="A5" sqref="A5:XFD5"/>
      <selection activeCell="G5" sqref="G5"/>
    </sheetView>
  </sheetViews>
  <sheetFormatPr defaultColWidth="9.140625" defaultRowHeight="12.75"/>
  <cols>
    <col min="1" max="1" width="35.85546875" style="82" bestFit="1" customWidth="1"/>
    <col min="2" max="2" width="8.42578125" style="82" customWidth="1"/>
    <col min="3" max="5" width="11.7109375" style="82" customWidth="1"/>
    <col min="6" max="6" width="9.7109375" style="100" customWidth="1"/>
    <col min="7" max="8" width="11.7109375" style="82" customWidth="1"/>
    <col min="9" max="9" width="9.7109375" style="100" customWidth="1"/>
    <col min="10" max="10" width="71.5703125" style="82" customWidth="1"/>
    <col min="11" max="11" width="19.42578125" style="82" customWidth="1"/>
    <col min="12" max="16384" width="9.140625" style="82"/>
  </cols>
  <sheetData>
    <row r="1" spans="1:11" ht="19.5" customHeight="1">
      <c r="A1" s="116" t="str" cm="1">
        <f t="array" ref="A1">portfolio</f>
        <v>Solar Income LLC</v>
      </c>
      <c r="B1" s="117"/>
      <c r="C1" s="130" t="s">
        <v>32</v>
      </c>
      <c r="D1" s="131"/>
      <c r="E1" s="131"/>
      <c r="F1" s="132"/>
      <c r="G1" s="124" t="s">
        <v>33</v>
      </c>
      <c r="H1" s="124"/>
      <c r="I1" s="125"/>
      <c r="J1" s="126" t="s">
        <v>2</v>
      </c>
      <c r="K1" s="126" t="s">
        <v>3</v>
      </c>
    </row>
    <row r="2" spans="1:11" ht="14.25" customHeigh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83" t="s">
        <v>10</v>
      </c>
      <c r="H2" s="7" t="s">
        <v>8</v>
      </c>
      <c r="I2" s="9" t="s">
        <v>9</v>
      </c>
      <c r="J2" s="127"/>
      <c r="K2" s="127"/>
    </row>
    <row r="3" spans="1:11" ht="15.75">
      <c r="A3" s="84" t="str" cm="1">
        <f t="array" ref="A3:A4">Sites[Site]</f>
        <v>Westbrook - Lee Building 9</v>
      </c>
      <c r="B3" s="85" t="str" cm="1">
        <f t="array" ref="B3:B4">Sites[State]</f>
        <v>CT</v>
      </c>
      <c r="C3" s="86" t="str" cm="1">
        <f t="array" aca="1" ref="C3:K3" ca="1">IF(INDIRECT("'" &amp; $A3 &amp; "'!B10:J10")="", "", INDIRECT("'" &amp; $A3 &amp; "'!B10:J10"))</f>
        <v/>
      </c>
      <c r="D3" s="86" t="str">
        <f ca="1"/>
        <v/>
      </c>
      <c r="E3" s="86">
        <f ca="1"/>
        <v>0</v>
      </c>
      <c r="F3" s="87">
        <f ca="1"/>
        <v>0</v>
      </c>
      <c r="G3" s="88" t="str">
        <f ca="1"/>
        <v/>
      </c>
      <c r="H3" s="88">
        <f ca="1"/>
        <v>0</v>
      </c>
      <c r="I3" s="89">
        <f ca="1"/>
        <v>0</v>
      </c>
      <c r="J3" s="101" t="str">
        <f ca="1"/>
        <v/>
      </c>
      <c r="K3" s="101" t="str">
        <f ca="1"/>
        <v/>
      </c>
    </row>
    <row r="4" spans="1:11" ht="15.75">
      <c r="A4" s="91" t="str">
        <v>Westbrook - Lee Building 82</v>
      </c>
      <c r="B4" s="92" t="str">
        <v>CT</v>
      </c>
      <c r="C4" s="86" t="str" cm="1">
        <f t="array" aca="1" ref="C4:K4" ca="1">IF(INDIRECT("'" &amp; $A4 &amp; "'!B10:J10")="", "", INDIRECT("'" &amp; $A4 &amp; "'!B10:J10"))</f>
        <v/>
      </c>
      <c r="D4" s="86" t="str">
        <f ca="1"/>
        <v/>
      </c>
      <c r="E4" s="86">
        <f ca="1"/>
        <v>0</v>
      </c>
      <c r="F4" s="93">
        <f ca="1"/>
        <v>0</v>
      </c>
      <c r="G4" s="88" t="str">
        <f ca="1"/>
        <v/>
      </c>
      <c r="H4" s="88">
        <f ca="1"/>
        <v>0</v>
      </c>
      <c r="I4" s="94">
        <f ca="1"/>
        <v>0</v>
      </c>
      <c r="J4" s="90" t="str">
        <f ca="1"/>
        <v/>
      </c>
      <c r="K4" s="90" t="str">
        <f ca="1"/>
        <v/>
      </c>
    </row>
    <row r="5" spans="1:11" ht="24.75" customHeight="1">
      <c r="A5" s="128" t="s">
        <v>11</v>
      </c>
      <c r="B5" s="129"/>
      <c r="C5" s="95">
        <f ca="1">SUM(C3:C4)</f>
        <v>0</v>
      </c>
      <c r="D5" s="95">
        <f ca="1">SUM(D3:D4)</f>
        <v>0</v>
      </c>
      <c r="E5" s="95">
        <f ca="1">C5-D5</f>
        <v>0</v>
      </c>
      <c r="F5" s="96">
        <f ca="1">IFERROR(E5/D5, 0)</f>
        <v>0</v>
      </c>
      <c r="G5" s="95">
        <f ca="1">SUM(G3:G4)</f>
        <v>0</v>
      </c>
      <c r="H5" s="97">
        <f ca="1">C5-G5</f>
        <v>0</v>
      </c>
      <c r="I5" s="98">
        <f ca="1">IFERROR(H5/G5, 0)</f>
        <v>0</v>
      </c>
      <c r="J5" s="99"/>
    </row>
    <row r="6" spans="1:11">
      <c r="J6" s="99"/>
    </row>
    <row r="7" spans="1:11" ht="12.75" customHeight="1">
      <c r="A7" s="114" t="s">
        <v>12</v>
      </c>
      <c r="J7" s="99"/>
    </row>
    <row r="8" spans="1:11">
      <c r="A8" s="114"/>
      <c r="J8" s="99"/>
    </row>
    <row r="9" spans="1:11">
      <c r="A9" s="115" t="s">
        <v>13</v>
      </c>
      <c r="J9" s="99"/>
    </row>
    <row r="10" spans="1:11" ht="12.75" customHeight="1">
      <c r="A10" s="115"/>
      <c r="J10" s="99"/>
    </row>
    <row r="11" spans="1:11">
      <c r="J11" s="99"/>
    </row>
    <row r="16" spans="1:11">
      <c r="J16" s="102"/>
    </row>
  </sheetData>
  <autoFilter ref="A2:I2" xr:uid="{6C08AFFB-6AF8-48AC-9706-52E390C2AC4B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47" priority="1" operator="lessThanOrEqual">
      <formula>-0.1</formula>
    </cfRule>
    <cfRule type="cellIs" dxfId="46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11"/>
  <sheetViews>
    <sheetView workbookViewId="0">
      <pane ySplit="2" topLeftCell="A3" activePane="bottomLeft" state="frozen"/>
      <selection pane="bottomLeft" activeCell="D21" sqref="D21"/>
      <selection activeCell="G5" sqref="G5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16" t="str" cm="1">
        <f t="array" ref="A1">portfolio</f>
        <v>Solar Income LLC</v>
      </c>
      <c r="B1" s="117"/>
      <c r="C1" s="118" t="s">
        <v>34</v>
      </c>
      <c r="D1" s="119"/>
      <c r="E1" s="119"/>
      <c r="F1" s="120"/>
      <c r="G1" s="121" t="s">
        <v>35</v>
      </c>
      <c r="H1" s="121"/>
      <c r="I1" s="122"/>
      <c r="J1" s="110" t="s">
        <v>2</v>
      </c>
      <c r="K1" s="110" t="s">
        <v>3</v>
      </c>
    </row>
    <row r="2" spans="1:11" ht="14.25" customHeigh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42" t="s">
        <v>10</v>
      </c>
      <c r="H2" s="7" t="s">
        <v>8</v>
      </c>
      <c r="I2" s="9" t="s">
        <v>9</v>
      </c>
      <c r="J2" s="111"/>
      <c r="K2" s="111"/>
    </row>
    <row r="3" spans="1:11" ht="15.75">
      <c r="A3" s="45" t="str" cm="1">
        <f t="array" ref="A3:A4">Sites[Site]</f>
        <v>Westbrook - Lee Building 9</v>
      </c>
      <c r="B3" s="32" t="str" cm="1">
        <f t="array" ref="B3:B4">Sites[State]</f>
        <v>CT</v>
      </c>
      <c r="C3" s="33" t="str" cm="1">
        <f t="array" aca="1" ref="C3:K3" ca="1">IF(INDIRECT("'" &amp; $A3 &amp; "'!B11:J11")="", "", INDIRECT("'" &amp; $A3 &amp; "'!B11:J11"))</f>
        <v/>
      </c>
      <c r="D3" s="33" t="str">
        <f ca="1"/>
        <v/>
      </c>
      <c r="E3" s="33">
        <f ca="1"/>
        <v>0</v>
      </c>
      <c r="F3" s="34">
        <f ca="1"/>
        <v>0</v>
      </c>
      <c r="G3" s="35" t="str">
        <f ca="1"/>
        <v/>
      </c>
      <c r="H3" s="35">
        <f ca="1"/>
        <v>0</v>
      </c>
      <c r="I3" s="36">
        <f ca="1"/>
        <v>0</v>
      </c>
      <c r="J3" s="17" t="str">
        <f ca="1"/>
        <v/>
      </c>
      <c r="K3" s="17" t="str">
        <f ca="1"/>
        <v/>
      </c>
    </row>
    <row r="4" spans="1:11" ht="16.149999999999999" thickBot="1">
      <c r="A4" s="46" t="str">
        <v>Westbrook - Lee Building 82</v>
      </c>
      <c r="B4" s="18" t="str">
        <v>CT</v>
      </c>
      <c r="C4" s="33" t="str" cm="1">
        <f t="array" aca="1" ref="C4:K4" ca="1">IF(INDIRECT("'" &amp; $A4 &amp; "'!B11:J11")="", "", INDIRECT("'" &amp; $A4 &amp; "'!B11:J11"))</f>
        <v/>
      </c>
      <c r="D4" s="33" t="str">
        <f ca="1"/>
        <v/>
      </c>
      <c r="E4" s="33">
        <f ca="1"/>
        <v>0</v>
      </c>
      <c r="F4" s="34">
        <f ca="1"/>
        <v>0</v>
      </c>
      <c r="G4" s="35" t="str">
        <f ca="1"/>
        <v/>
      </c>
      <c r="H4" s="35">
        <f ca="1"/>
        <v>0</v>
      </c>
      <c r="I4" s="36">
        <f ca="1"/>
        <v>0</v>
      </c>
      <c r="J4" s="17" t="str">
        <f ca="1"/>
        <v/>
      </c>
      <c r="K4" s="17" t="str">
        <f ca="1"/>
        <v/>
      </c>
    </row>
    <row r="5" spans="1:11" ht="24.75" customHeight="1" thickBot="1">
      <c r="A5" s="112" t="s">
        <v>11</v>
      </c>
      <c r="B5" s="113"/>
      <c r="C5" s="47">
        <f ca="1">SUM(C3:C4)</f>
        <v>0</v>
      </c>
      <c r="D5" s="47">
        <f ca="1">SUM(D3:D4)</f>
        <v>0</v>
      </c>
      <c r="E5" s="47">
        <f ca="1">C5-D5</f>
        <v>0</v>
      </c>
      <c r="F5" s="39">
        <f ca="1">IFERROR(E5/D5, 0)</f>
        <v>0</v>
      </c>
      <c r="G5" s="47">
        <f ca="1">SUM(G3:G4)</f>
        <v>0</v>
      </c>
      <c r="H5" s="48">
        <f ca="1">C5-G5</f>
        <v>0</v>
      </c>
      <c r="I5" s="40">
        <f ca="1">IFERROR(H5/G5, 0)</f>
        <v>0</v>
      </c>
      <c r="J5" s="8"/>
    </row>
    <row r="6" spans="1:11">
      <c r="J6" s="8"/>
    </row>
    <row r="7" spans="1:11" ht="12.75" customHeight="1">
      <c r="A7" s="114" t="s">
        <v>12</v>
      </c>
      <c r="J7" s="8"/>
    </row>
    <row r="8" spans="1:11">
      <c r="A8" s="114"/>
      <c r="J8" s="8"/>
    </row>
    <row r="9" spans="1:11">
      <c r="A9" s="115" t="s">
        <v>13</v>
      </c>
      <c r="J9" s="8"/>
    </row>
    <row r="10" spans="1:11" ht="12.75" customHeight="1">
      <c r="A10" s="115"/>
      <c r="J10" s="8"/>
    </row>
    <row r="11" spans="1:11">
      <c r="J11" s="8"/>
    </row>
  </sheetData>
  <autoFilter ref="A2:I2" xr:uid="{957CD936-B73F-469A-B0B5-B8EA155C9C51}"/>
  <sortState xmlns:xlrd2="http://schemas.microsoft.com/office/spreadsheetml/2017/richdata2" ref="A3:K4">
    <sortCondition ref="A3:A4"/>
  </sortState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45" priority="1" operator="lessThanOrEqual">
      <formula>-0.1</formula>
    </cfRule>
    <cfRule type="cellIs" dxfId="44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11"/>
  <sheetViews>
    <sheetView workbookViewId="0">
      <pane ySplit="2" topLeftCell="A3" activePane="bottomLeft" state="frozen"/>
      <selection pane="bottomLeft" activeCell="E18" sqref="E18"/>
      <selection activeCell="G5" sqref="G5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16" t="str" cm="1">
        <f t="array" ref="A1">portfolio</f>
        <v>Solar Income LLC</v>
      </c>
      <c r="B1" s="117"/>
      <c r="C1" s="118" t="s">
        <v>36</v>
      </c>
      <c r="D1" s="119"/>
      <c r="E1" s="119"/>
      <c r="F1" s="120"/>
      <c r="G1" s="121" t="s">
        <v>37</v>
      </c>
      <c r="H1" s="121"/>
      <c r="I1" s="122"/>
      <c r="J1" s="110" t="s">
        <v>2</v>
      </c>
      <c r="K1" s="110" t="s">
        <v>3</v>
      </c>
    </row>
    <row r="2" spans="1:11" ht="14.25" customHeigh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42" t="s">
        <v>10</v>
      </c>
      <c r="H2" s="7" t="s">
        <v>8</v>
      </c>
      <c r="I2" s="9" t="s">
        <v>9</v>
      </c>
      <c r="J2" s="111"/>
      <c r="K2" s="111"/>
    </row>
    <row r="3" spans="1:11" ht="15.75">
      <c r="A3" s="45" t="str" cm="1">
        <f t="array" ref="A3:A4">Sites[Site]</f>
        <v>Westbrook - Lee Building 9</v>
      </c>
      <c r="B3" s="32" t="str" cm="1">
        <f t="array" ref="B3:B4">Sites[State]</f>
        <v>CT</v>
      </c>
      <c r="C3" s="33" t="str" cm="1">
        <f t="array" aca="1" ref="C3:K3" ca="1">IF(INDIRECT("'" &amp; $A3 &amp; "'!B12:J12")="", "", INDIRECT("'" &amp; $A3 &amp; "'!B12:J12"))</f>
        <v/>
      </c>
      <c r="D3" s="33" t="str">
        <f ca="1"/>
        <v/>
      </c>
      <c r="E3" s="33">
        <f ca="1"/>
        <v>0</v>
      </c>
      <c r="F3" s="34">
        <f ca="1"/>
        <v>0</v>
      </c>
      <c r="G3" s="35" t="str">
        <f ca="1"/>
        <v/>
      </c>
      <c r="H3" s="35">
        <f ca="1"/>
        <v>0</v>
      </c>
      <c r="I3" s="36">
        <f ca="1"/>
        <v>0</v>
      </c>
      <c r="J3" s="17" t="str">
        <f ca="1"/>
        <v/>
      </c>
      <c r="K3" s="17" t="str">
        <f ca="1"/>
        <v/>
      </c>
    </row>
    <row r="4" spans="1:11" ht="15.75">
      <c r="A4" s="46" t="str">
        <v>Westbrook - Lee Building 82</v>
      </c>
      <c r="B4" s="18" t="str">
        <v>CT</v>
      </c>
      <c r="C4" s="33" t="str" cm="1">
        <f t="array" aca="1" ref="C4:K4" ca="1">IF(INDIRECT("'" &amp; $A4 &amp; "'!B12:J12")="", "", INDIRECT("'" &amp; $A4 &amp; "'!B12:J12"))</f>
        <v/>
      </c>
      <c r="D4" s="33" t="str">
        <f ca="1"/>
        <v/>
      </c>
      <c r="E4" s="33">
        <f ca="1"/>
        <v>0</v>
      </c>
      <c r="F4" s="34">
        <f ca="1"/>
        <v>0</v>
      </c>
      <c r="G4" s="35" t="str">
        <f ca="1"/>
        <v/>
      </c>
      <c r="H4" s="35">
        <f ca="1"/>
        <v>0</v>
      </c>
      <c r="I4" s="36">
        <f ca="1"/>
        <v>0</v>
      </c>
      <c r="J4" s="104" t="str">
        <f ca="1"/>
        <v/>
      </c>
      <c r="K4" s="104" t="str">
        <f ca="1"/>
        <v/>
      </c>
    </row>
    <row r="5" spans="1:11" ht="24.75" customHeight="1">
      <c r="A5" s="112" t="s">
        <v>11</v>
      </c>
      <c r="B5" s="113"/>
      <c r="C5" s="47">
        <f ca="1">SUM(C3:C4)</f>
        <v>0</v>
      </c>
      <c r="D5" s="47">
        <f ca="1">SUM(D3:D4)</f>
        <v>0</v>
      </c>
      <c r="E5" s="47">
        <f ca="1">C5-D5</f>
        <v>0</v>
      </c>
      <c r="F5" s="39">
        <f ca="1">IFERROR(E5/D5, 0)</f>
        <v>0</v>
      </c>
      <c r="G5" s="47">
        <f ca="1">SUM(G3:G4)</f>
        <v>0</v>
      </c>
      <c r="H5" s="48">
        <f ca="1">C5-G5</f>
        <v>0</v>
      </c>
      <c r="I5" s="40">
        <f ca="1">IFERROR(H5/G5, 0)</f>
        <v>0</v>
      </c>
      <c r="J5" s="8"/>
    </row>
    <row r="6" spans="1:11">
      <c r="J6" s="8"/>
    </row>
    <row r="7" spans="1:11" ht="12.75" customHeight="1">
      <c r="A7" s="114" t="s">
        <v>12</v>
      </c>
      <c r="J7" s="8"/>
    </row>
    <row r="8" spans="1:11">
      <c r="A8" s="114"/>
      <c r="J8" s="8"/>
    </row>
    <row r="9" spans="1:11">
      <c r="A9" s="115" t="s">
        <v>13</v>
      </c>
      <c r="J9" s="8"/>
    </row>
    <row r="10" spans="1:11" ht="12.75" customHeight="1">
      <c r="A10" s="115"/>
      <c r="J10" s="8"/>
    </row>
    <row r="11" spans="1:11">
      <c r="J11" s="8"/>
    </row>
  </sheetData>
  <autoFilter ref="A2:I2" xr:uid="{48D80AE8-42BF-4DAC-863F-113F77A3E00F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43" priority="1" operator="lessThanOrEqual">
      <formula>-0.1</formula>
    </cfRule>
    <cfRule type="cellIs" dxfId="42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11"/>
  <sheetViews>
    <sheetView workbookViewId="0">
      <pane ySplit="2" topLeftCell="A3" activePane="bottomLeft" state="frozen"/>
      <selection pane="bottomLeft" activeCell="E24" sqref="E24"/>
      <selection activeCell="G5" sqref="G5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16" t="str" cm="1">
        <f t="array" ref="A1">portfolio</f>
        <v>Solar Income LLC</v>
      </c>
      <c r="B1" s="117"/>
      <c r="C1" s="118" t="s">
        <v>38</v>
      </c>
      <c r="D1" s="119"/>
      <c r="E1" s="119"/>
      <c r="F1" s="120"/>
      <c r="G1" s="121" t="s">
        <v>39</v>
      </c>
      <c r="H1" s="121"/>
      <c r="I1" s="122"/>
      <c r="J1" s="110" t="s">
        <v>2</v>
      </c>
      <c r="K1" s="110" t="s">
        <v>3</v>
      </c>
    </row>
    <row r="2" spans="1:11" ht="14.25" customHeigh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42" t="s">
        <v>10</v>
      </c>
      <c r="H2" s="7" t="s">
        <v>8</v>
      </c>
      <c r="I2" s="9" t="s">
        <v>9</v>
      </c>
      <c r="J2" s="111"/>
      <c r="K2" s="111"/>
    </row>
    <row r="3" spans="1:11" ht="15.75">
      <c r="A3" s="45" t="str" cm="1">
        <f t="array" ref="A3:A4">Sites[Site]</f>
        <v>Westbrook - Lee Building 9</v>
      </c>
      <c r="B3" s="32" t="str" cm="1">
        <f t="array" ref="B3:B4">Sites[State]</f>
        <v>CT</v>
      </c>
      <c r="C3" s="33" t="str" cm="1">
        <f t="array" aca="1" ref="C3:K3" ca="1">IF(INDIRECT("'" &amp; $A3 &amp; "'!B13:J13")="", "", INDIRECT("'" &amp; $A3 &amp; "'!B13:J13"))</f>
        <v/>
      </c>
      <c r="D3" s="33" t="str">
        <f ca="1"/>
        <v/>
      </c>
      <c r="E3" s="33">
        <f ca="1"/>
        <v>0</v>
      </c>
      <c r="F3" s="34">
        <f ca="1"/>
        <v>0</v>
      </c>
      <c r="G3" s="35" t="str">
        <f ca="1"/>
        <v/>
      </c>
      <c r="H3" s="35">
        <f ca="1"/>
        <v>0</v>
      </c>
      <c r="I3" s="36">
        <f ca="1"/>
        <v>0</v>
      </c>
      <c r="J3" s="17" t="str">
        <f ca="1"/>
        <v/>
      </c>
      <c r="K3" s="17" t="str">
        <f ca="1"/>
        <v/>
      </c>
    </row>
    <row r="4" spans="1:11" ht="15.75">
      <c r="A4" s="46" t="str">
        <v>Westbrook - Lee Building 82</v>
      </c>
      <c r="B4" s="18" t="str">
        <v>CT</v>
      </c>
      <c r="C4" s="33" t="str" cm="1">
        <f t="array" aca="1" ref="C4:K4" ca="1">IF(INDIRECT("'" &amp; $A4 &amp; "'!B13:J13")="", "", INDIRECT("'" &amp; $A4 &amp; "'!B13:J13"))</f>
        <v/>
      </c>
      <c r="D4" s="33" t="str">
        <f ca="1"/>
        <v/>
      </c>
      <c r="E4" s="33">
        <f ca="1"/>
        <v>0</v>
      </c>
      <c r="F4" s="34">
        <f ca="1"/>
        <v>0</v>
      </c>
      <c r="G4" s="35" t="str">
        <f ca="1"/>
        <v/>
      </c>
      <c r="H4" s="35">
        <f ca="1"/>
        <v>0</v>
      </c>
      <c r="I4" s="36">
        <f ca="1"/>
        <v>0</v>
      </c>
      <c r="J4" s="106" t="str">
        <f ca="1"/>
        <v/>
      </c>
      <c r="K4" s="106" t="str">
        <f ca="1"/>
        <v/>
      </c>
    </row>
    <row r="5" spans="1:11" ht="24.75" customHeight="1">
      <c r="A5" s="112" t="s">
        <v>11</v>
      </c>
      <c r="B5" s="113"/>
      <c r="C5" s="47">
        <f ca="1">SUM(C3:C4)</f>
        <v>0</v>
      </c>
      <c r="D5" s="47">
        <f ca="1">SUM(D3:D4)</f>
        <v>0</v>
      </c>
      <c r="E5" s="47">
        <f ca="1">C5-D5</f>
        <v>0</v>
      </c>
      <c r="F5" s="39">
        <f ca="1">IFERROR(E5/D5, 0)</f>
        <v>0</v>
      </c>
      <c r="G5" s="47">
        <f ca="1">SUM(G3:G4)</f>
        <v>0</v>
      </c>
      <c r="H5" s="48">
        <f ca="1">C5-G5</f>
        <v>0</v>
      </c>
      <c r="I5" s="40">
        <f ca="1">IFERROR(H5/G5, 0)</f>
        <v>0</v>
      </c>
      <c r="J5" s="8"/>
    </row>
    <row r="6" spans="1:11">
      <c r="J6" s="8"/>
    </row>
    <row r="7" spans="1:11" ht="12.75" customHeight="1">
      <c r="A7" s="114" t="s">
        <v>12</v>
      </c>
      <c r="J7" s="8"/>
    </row>
    <row r="8" spans="1:11">
      <c r="A8" s="114"/>
      <c r="J8" s="8"/>
    </row>
    <row r="9" spans="1:11">
      <c r="A9" s="115" t="s">
        <v>13</v>
      </c>
      <c r="J9" s="8"/>
    </row>
    <row r="10" spans="1:11" ht="12.75" customHeight="1">
      <c r="A10" s="115"/>
      <c r="J10" s="8"/>
    </row>
    <row r="11" spans="1:11">
      <c r="J11" s="8"/>
    </row>
  </sheetData>
  <autoFilter ref="A2:I2" xr:uid="{534CA70E-2643-48AC-AA44-E3F75A2814BF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41" priority="1" operator="lessThanOrEqual">
      <formula>-0.1</formula>
    </cfRule>
    <cfRule type="cellIs" dxfId="40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11"/>
  <sheetViews>
    <sheetView workbookViewId="0">
      <pane ySplit="2" topLeftCell="A3" activePane="bottomLeft" state="frozen"/>
      <selection pane="bottomLeft" activeCell="C22" sqref="C22"/>
      <selection activeCell="G5" sqref="G5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16" t="str" cm="1">
        <f t="array" ref="A1">portfolio</f>
        <v>Solar Income LLC</v>
      </c>
      <c r="B1" s="117"/>
      <c r="C1" s="118" t="s">
        <v>40</v>
      </c>
      <c r="D1" s="119"/>
      <c r="E1" s="119"/>
      <c r="F1" s="120"/>
      <c r="G1" s="121" t="s">
        <v>41</v>
      </c>
      <c r="H1" s="121"/>
      <c r="I1" s="122"/>
      <c r="J1" s="110" t="s">
        <v>2</v>
      </c>
      <c r="K1" s="110" t="s">
        <v>3</v>
      </c>
    </row>
    <row r="2" spans="1:11" ht="14.25" customHeigh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42" t="s">
        <v>10</v>
      </c>
      <c r="H2" s="7" t="s">
        <v>8</v>
      </c>
      <c r="I2" s="9" t="s">
        <v>9</v>
      </c>
      <c r="J2" s="111"/>
      <c r="K2" s="111"/>
    </row>
    <row r="3" spans="1:11" ht="15.75">
      <c r="A3" s="45" t="str" cm="1">
        <f t="array" ref="A3:A4">Sites[Site]</f>
        <v>Westbrook - Lee Building 9</v>
      </c>
      <c r="B3" s="32" t="str" cm="1">
        <f t="array" ref="B3:B4">Sites[State]</f>
        <v>CT</v>
      </c>
      <c r="C3" s="33" t="str" cm="1">
        <f t="array" aca="1" ref="C3:K3" ca="1">IF(INDIRECT("'" &amp; $A3 &amp; "'!B14:J14")="", "", INDIRECT("'" &amp; $A3 &amp; "'!B14:J14"))</f>
        <v/>
      </c>
      <c r="D3" s="33" t="str">
        <f ca="1"/>
        <v/>
      </c>
      <c r="E3" s="33">
        <f ca="1"/>
        <v>0</v>
      </c>
      <c r="F3" s="34">
        <f ca="1"/>
        <v>0</v>
      </c>
      <c r="G3" s="35" t="str">
        <f ca="1"/>
        <v/>
      </c>
      <c r="H3" s="35">
        <f ca="1"/>
        <v>0</v>
      </c>
      <c r="I3" s="36">
        <f ca="1"/>
        <v>0</v>
      </c>
      <c r="J3" s="106" t="str">
        <f ca="1"/>
        <v/>
      </c>
      <c r="K3" s="106" t="str">
        <f ca="1"/>
        <v/>
      </c>
    </row>
    <row r="4" spans="1:11" ht="15.75">
      <c r="A4" s="46" t="str">
        <v>Westbrook - Lee Building 82</v>
      </c>
      <c r="B4" s="18" t="str">
        <v>CT</v>
      </c>
      <c r="C4" s="33" t="str" cm="1">
        <f t="array" aca="1" ref="C4:K4" ca="1">IF(INDIRECT("'" &amp; $A4 &amp; "'!B14:J14")="", "", INDIRECT("'" &amp; $A4 &amp; "'!B14:J14"))</f>
        <v/>
      </c>
      <c r="D4" s="33" t="str">
        <f ca="1"/>
        <v/>
      </c>
      <c r="E4" s="33">
        <f ca="1"/>
        <v>0</v>
      </c>
      <c r="F4" s="34">
        <f ca="1"/>
        <v>0</v>
      </c>
      <c r="G4" s="35" t="str">
        <f ca="1"/>
        <v/>
      </c>
      <c r="H4" s="35">
        <f ca="1"/>
        <v>0</v>
      </c>
      <c r="I4" s="36">
        <f ca="1"/>
        <v>0</v>
      </c>
      <c r="J4" s="106" t="str">
        <f ca="1"/>
        <v/>
      </c>
      <c r="K4" s="106" t="str">
        <f ca="1"/>
        <v/>
      </c>
    </row>
    <row r="5" spans="1:11" ht="24.75" customHeight="1">
      <c r="A5" s="112" t="s">
        <v>11</v>
      </c>
      <c r="B5" s="113"/>
      <c r="C5" s="47">
        <f ca="1">SUM(C3:C4)</f>
        <v>0</v>
      </c>
      <c r="D5" s="47">
        <f ca="1">SUM(D3:D4)</f>
        <v>0</v>
      </c>
      <c r="E5" s="47">
        <f ca="1">C5-D5</f>
        <v>0</v>
      </c>
      <c r="F5" s="39">
        <f ca="1">IFERROR(E5/D5, 0)</f>
        <v>0</v>
      </c>
      <c r="G5" s="47">
        <f ca="1">SUM(G3:G4)</f>
        <v>0</v>
      </c>
      <c r="H5" s="48">
        <f ca="1">C5-G5</f>
        <v>0</v>
      </c>
      <c r="I5" s="40">
        <f ca="1">IFERROR(H5/G5, 0)</f>
        <v>0</v>
      </c>
      <c r="J5" s="8"/>
    </row>
    <row r="6" spans="1:11">
      <c r="J6" s="8"/>
    </row>
    <row r="7" spans="1:11" ht="12.75" customHeight="1">
      <c r="A7" s="114" t="s">
        <v>12</v>
      </c>
      <c r="J7" s="8"/>
    </row>
    <row r="8" spans="1:11">
      <c r="A8" s="114"/>
      <c r="J8" s="8"/>
    </row>
    <row r="9" spans="1:11">
      <c r="A9" s="115" t="s">
        <v>13</v>
      </c>
      <c r="J9" s="8"/>
    </row>
    <row r="10" spans="1:11" ht="12.75" customHeight="1">
      <c r="A10" s="115"/>
      <c r="J10" s="8"/>
    </row>
    <row r="11" spans="1:11">
      <c r="J11" s="8"/>
    </row>
  </sheetData>
  <autoFilter ref="A2:I2" xr:uid="{B87DE706-15D9-4E58-ADBD-0129509DEFD6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39" priority="1" operator="lessThanOrEqual">
      <formula>-0.1</formula>
    </cfRule>
    <cfRule type="cellIs" dxfId="38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11"/>
  <sheetViews>
    <sheetView workbookViewId="0">
      <pane ySplit="2" topLeftCell="A3" activePane="bottomLeft" state="frozen"/>
      <selection pane="bottomLeft" activeCell="A5" sqref="A5:XFD5"/>
      <selection activeCell="G5" sqref="G5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16" t="str" cm="1">
        <f t="array" ref="A1">portfolio</f>
        <v>Solar Income LLC</v>
      </c>
      <c r="B1" s="117"/>
      <c r="C1" s="118" t="s">
        <v>42</v>
      </c>
      <c r="D1" s="119"/>
      <c r="E1" s="119"/>
      <c r="F1" s="120"/>
      <c r="G1" s="121" t="s">
        <v>43</v>
      </c>
      <c r="H1" s="121"/>
      <c r="I1" s="122"/>
      <c r="J1" s="110" t="s">
        <v>2</v>
      </c>
      <c r="K1" s="110" t="s">
        <v>3</v>
      </c>
    </row>
    <row r="2" spans="1:11" ht="14.25" customHeigh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42" t="s">
        <v>10</v>
      </c>
      <c r="H2" s="7" t="s">
        <v>8</v>
      </c>
      <c r="I2" s="9" t="s">
        <v>9</v>
      </c>
      <c r="J2" s="111"/>
      <c r="K2" s="111"/>
    </row>
    <row r="3" spans="1:11" ht="15.75">
      <c r="A3" s="45" t="str" cm="1">
        <f t="array" ref="A3:A4">Sites[Site]</f>
        <v>Westbrook - Lee Building 9</v>
      </c>
      <c r="B3" s="32" t="str" cm="1">
        <f t="array" ref="B3:B4">Sites[State]</f>
        <v>CT</v>
      </c>
      <c r="C3" s="33" t="str" cm="1">
        <f t="array" aca="1" ref="C3:K3" ca="1">IF(INDIRECT("'" &amp; $A3 &amp; "'!B15:J15")="", "", INDIRECT("'" &amp; $A3 &amp; "'!B15:J15"))</f>
        <v/>
      </c>
      <c r="D3" s="33" t="str">
        <f ca="1"/>
        <v/>
      </c>
      <c r="E3" s="33">
        <f ca="1"/>
        <v>0</v>
      </c>
      <c r="F3" s="34">
        <f ca="1"/>
        <v>0</v>
      </c>
      <c r="G3" s="35" t="str">
        <f ca="1"/>
        <v/>
      </c>
      <c r="H3" s="35">
        <f ca="1"/>
        <v>0</v>
      </c>
      <c r="I3" s="36">
        <f ca="1"/>
        <v>0</v>
      </c>
      <c r="J3" s="17" t="str">
        <f ca="1"/>
        <v/>
      </c>
      <c r="K3" s="17" t="str">
        <f ca="1"/>
        <v/>
      </c>
    </row>
    <row r="4" spans="1:11" ht="15.75">
      <c r="A4" s="46" t="str">
        <v>Westbrook - Lee Building 82</v>
      </c>
      <c r="B4" s="18" t="str">
        <v>CT</v>
      </c>
      <c r="C4" s="33" t="str" cm="1">
        <f t="array" aca="1" ref="C4:K4" ca="1">IF(INDIRECT("'" &amp; $A4 &amp; "'!B15:J15")="", "", INDIRECT("'" &amp; $A4 &amp; "'!B15:J15"))</f>
        <v/>
      </c>
      <c r="D4" s="33" t="str">
        <f ca="1"/>
        <v/>
      </c>
      <c r="E4" s="33">
        <f ca="1"/>
        <v>0</v>
      </c>
      <c r="F4" s="34">
        <f ca="1"/>
        <v>0</v>
      </c>
      <c r="G4" s="35" t="str">
        <f ca="1"/>
        <v/>
      </c>
      <c r="H4" s="35">
        <f ca="1"/>
        <v>0</v>
      </c>
      <c r="I4" s="36">
        <f ca="1"/>
        <v>0</v>
      </c>
      <c r="J4" s="17" t="str">
        <f ca="1"/>
        <v/>
      </c>
      <c r="K4" s="17" t="str">
        <f ca="1"/>
        <v/>
      </c>
    </row>
    <row r="5" spans="1:11" ht="24.75" customHeight="1">
      <c r="A5" s="112" t="s">
        <v>11</v>
      </c>
      <c r="B5" s="113"/>
      <c r="C5" s="47">
        <f ca="1">SUM(C3:C4)</f>
        <v>0</v>
      </c>
      <c r="D5" s="47">
        <f ca="1">SUM(D3:D4)</f>
        <v>0</v>
      </c>
      <c r="E5" s="47">
        <f ca="1">C5-D5</f>
        <v>0</v>
      </c>
      <c r="F5" s="39">
        <f ca="1">IFERROR(E5/D5, 0)</f>
        <v>0</v>
      </c>
      <c r="G5" s="47">
        <f ca="1">SUM(G3:G4)</f>
        <v>0</v>
      </c>
      <c r="H5" s="48">
        <f ca="1">C5-G5</f>
        <v>0</v>
      </c>
      <c r="I5" s="40">
        <f ca="1">IFERROR(H5/G5, 0)</f>
        <v>0</v>
      </c>
      <c r="J5" s="8"/>
    </row>
    <row r="6" spans="1:11">
      <c r="J6" s="8"/>
    </row>
    <row r="7" spans="1:11" ht="12.75" customHeight="1">
      <c r="A7" s="114" t="s">
        <v>12</v>
      </c>
      <c r="J7" s="8"/>
    </row>
    <row r="8" spans="1:11">
      <c r="A8" s="114"/>
      <c r="J8" s="8"/>
    </row>
    <row r="9" spans="1:11">
      <c r="A9" s="115" t="s">
        <v>13</v>
      </c>
      <c r="J9" s="8"/>
    </row>
    <row r="10" spans="1:11" ht="12.75" customHeight="1">
      <c r="A10" s="115"/>
      <c r="J10" s="8"/>
    </row>
    <row r="11" spans="1:11">
      <c r="J11" s="8"/>
    </row>
  </sheetData>
  <autoFilter ref="A2:I2" xr:uid="{7397A98F-A32F-42EE-8114-2658DE422011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37" priority="1" operator="lessThanOrEqual">
      <formula>-0.1</formula>
    </cfRule>
    <cfRule type="cellIs" dxfId="36" priority="2" operator="greaterThanOrEqual">
      <formula>0.1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11"/>
  <sheetViews>
    <sheetView workbookViewId="0">
      <pane ySplit="2" topLeftCell="A3" activePane="bottomLeft" state="frozen"/>
      <selection pane="bottomLeft" activeCell="A5" sqref="A5:XFD5"/>
      <selection activeCell="G5" sqref="G5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16" t="str" cm="1">
        <f t="array" ref="A1">portfolio</f>
        <v>Solar Income LLC</v>
      </c>
      <c r="B1" s="117"/>
      <c r="C1" s="118" t="s">
        <v>44</v>
      </c>
      <c r="D1" s="119"/>
      <c r="E1" s="119"/>
      <c r="F1" s="120"/>
      <c r="G1" s="121" t="s">
        <v>45</v>
      </c>
      <c r="H1" s="121"/>
      <c r="I1" s="122"/>
      <c r="J1" s="110" t="s">
        <v>2</v>
      </c>
      <c r="K1" s="110" t="s">
        <v>3</v>
      </c>
    </row>
    <row r="2" spans="1:11" ht="14.25" customHeigh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42" t="s">
        <v>10</v>
      </c>
      <c r="H2" s="7" t="s">
        <v>8</v>
      </c>
      <c r="I2" s="9" t="s">
        <v>9</v>
      </c>
      <c r="J2" s="111"/>
      <c r="K2" s="111"/>
    </row>
    <row r="3" spans="1:11" ht="15.75">
      <c r="A3" s="45" t="str" cm="1">
        <f t="array" ref="A3:A4">Sites[Site]</f>
        <v>Westbrook - Lee Building 9</v>
      </c>
      <c r="B3" s="32" t="str" cm="1">
        <f t="array" ref="B3:B4">Sites[State]</f>
        <v>CT</v>
      </c>
      <c r="C3" s="33" t="str" cm="1">
        <f t="array" aca="1" ref="C3:K3" ca="1">IF(INDIRECT("'" &amp; $A3 &amp; "'!B16:J16")="", "", INDIRECT("'" &amp; $A3 &amp; "'!B16:J16"))</f>
        <v/>
      </c>
      <c r="D3" s="33" t="str">
        <f ca="1"/>
        <v/>
      </c>
      <c r="E3" s="33">
        <f ca="1"/>
        <v>0</v>
      </c>
      <c r="F3" s="34">
        <f ca="1"/>
        <v>0</v>
      </c>
      <c r="G3" s="35" t="str">
        <f ca="1"/>
        <v/>
      </c>
      <c r="H3" s="35">
        <f ca="1"/>
        <v>0</v>
      </c>
      <c r="I3" s="36">
        <f ca="1"/>
        <v>0</v>
      </c>
      <c r="J3" s="17" t="str">
        <f ca="1"/>
        <v/>
      </c>
      <c r="K3" s="17" t="str">
        <f ca="1"/>
        <v/>
      </c>
    </row>
    <row r="4" spans="1:11" ht="15.75">
      <c r="A4" s="46" t="str">
        <v>Westbrook - Lee Building 82</v>
      </c>
      <c r="B4" s="18" t="str">
        <v>CT</v>
      </c>
      <c r="C4" s="33" t="str" cm="1">
        <f t="array" aca="1" ref="C4:K4" ca="1">IF(INDIRECT("'" &amp; $A4 &amp; "'!B16:J16")="", "", INDIRECT("'" &amp; $A4 &amp; "'!B16:J16"))</f>
        <v/>
      </c>
      <c r="D4" s="33" t="str">
        <f ca="1"/>
        <v/>
      </c>
      <c r="E4" s="33">
        <f ca="1"/>
        <v>0</v>
      </c>
      <c r="F4" s="34">
        <f ca="1"/>
        <v>0</v>
      </c>
      <c r="G4" s="35" t="str">
        <f ca="1"/>
        <v/>
      </c>
      <c r="H4" s="35">
        <f ca="1"/>
        <v>0</v>
      </c>
      <c r="I4" s="36">
        <f ca="1"/>
        <v>0</v>
      </c>
      <c r="J4" s="17" t="str">
        <f ca="1"/>
        <v/>
      </c>
      <c r="K4" s="17" t="str">
        <f ca="1"/>
        <v/>
      </c>
    </row>
    <row r="5" spans="1:11" ht="24.75" customHeight="1">
      <c r="A5" s="112" t="s">
        <v>11</v>
      </c>
      <c r="B5" s="113"/>
      <c r="C5" s="47">
        <f ca="1">SUM(C3:C4)</f>
        <v>0</v>
      </c>
      <c r="D5" s="47">
        <f ca="1">SUM(D3:D4)</f>
        <v>0</v>
      </c>
      <c r="E5" s="47">
        <f ca="1">C5-D5</f>
        <v>0</v>
      </c>
      <c r="F5" s="39">
        <f ca="1">IFERROR(E5/D5, 0)</f>
        <v>0</v>
      </c>
      <c r="G5" s="47">
        <f ca="1">SUM(G3:G4)</f>
        <v>0</v>
      </c>
      <c r="H5" s="48">
        <f ca="1">C5-G5</f>
        <v>0</v>
      </c>
      <c r="I5" s="40">
        <f ca="1">IFERROR(H5/G5, 0)</f>
        <v>0</v>
      </c>
      <c r="J5" s="8"/>
    </row>
    <row r="6" spans="1:11">
      <c r="J6" s="8"/>
    </row>
    <row r="7" spans="1:11" ht="12.75" customHeight="1">
      <c r="A7" s="114" t="s">
        <v>12</v>
      </c>
      <c r="J7" s="8"/>
    </row>
    <row r="8" spans="1:11">
      <c r="A8" s="114"/>
      <c r="J8" s="8"/>
    </row>
    <row r="9" spans="1:11">
      <c r="A9" s="115" t="s">
        <v>13</v>
      </c>
      <c r="J9" s="8"/>
    </row>
    <row r="10" spans="1:11" ht="12.75" customHeight="1">
      <c r="A10" s="115"/>
      <c r="J10" s="8"/>
    </row>
    <row r="11" spans="1:11">
      <c r="J11" s="8"/>
    </row>
  </sheetData>
  <autoFilter ref="A2:I2" xr:uid="{7BFACBC8-3831-4E2B-BAD7-988F02FCC664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35" priority="1" operator="lessThanOrEqual">
      <formula>-0.1</formula>
    </cfRule>
    <cfRule type="cellIs" dxfId="34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2" topLeftCell="A3" activePane="bottomLeft" state="frozen"/>
      <selection pane="bottomLeft" activeCell="A5" sqref="A5:XFD5"/>
    </sheetView>
  </sheetViews>
  <sheetFormatPr defaultRowHeight="12.75" customHeight="1"/>
  <cols>
    <col min="1" max="2" width="41.85546875" customWidth="1"/>
    <col min="4" max="14" width="9.140625" customWidth="1"/>
  </cols>
  <sheetData>
    <row r="1" spans="1:7" ht="12.75" customHeight="1">
      <c r="A1" t="s">
        <v>46</v>
      </c>
      <c r="B1" s="81" t="s">
        <v>47</v>
      </c>
    </row>
    <row r="2" spans="1:7">
      <c r="A2" t="s">
        <v>48</v>
      </c>
      <c r="B2" s="14" t="s">
        <v>4</v>
      </c>
      <c r="C2" s="14" t="s">
        <v>5</v>
      </c>
      <c r="D2" t="s">
        <v>49</v>
      </c>
    </row>
    <row r="3" spans="1:7" ht="14.25">
      <c r="A3" s="70" t="s">
        <v>50</v>
      </c>
      <c r="B3" s="71" t="s">
        <v>51</v>
      </c>
      <c r="C3" s="71" t="s">
        <v>52</v>
      </c>
      <c r="D3" s="13" t="s">
        <v>53</v>
      </c>
      <c r="G3" s="12"/>
    </row>
    <row r="4" spans="1:7" ht="14.25">
      <c r="A4" s="72" t="s">
        <v>54</v>
      </c>
      <c r="B4" s="73" t="s">
        <v>55</v>
      </c>
      <c r="C4" s="74" t="s">
        <v>52</v>
      </c>
      <c r="D4" s="13" t="s">
        <v>53</v>
      </c>
      <c r="G4" s="1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1918-F854-4FD2-937D-F64BC6193E51}">
  <sheetPr codeName="Sheet19">
    <tabColor rgb="FFFFFF00"/>
  </sheetPr>
  <dimension ref="A1:O20"/>
  <sheetViews>
    <sheetView topLeftCell="E1" workbookViewId="0">
      <selection activeCell="K33" sqref="K33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41" t="s">
        <v>51</v>
      </c>
      <c r="B1" s="141"/>
      <c r="C1" s="141"/>
      <c r="D1" s="141"/>
      <c r="E1" s="141"/>
      <c r="F1" s="141"/>
      <c r="G1" s="141"/>
      <c r="H1" s="141"/>
      <c r="I1" s="141"/>
      <c r="J1" s="141"/>
    </row>
    <row r="2" spans="1:15" ht="25.15">
      <c r="A2" s="10"/>
      <c r="B2" s="10"/>
      <c r="C2" s="10"/>
      <c r="D2" s="10"/>
      <c r="E2" s="10"/>
    </row>
    <row r="3" spans="1:15" ht="15">
      <c r="A3" s="133" t="s">
        <v>56</v>
      </c>
      <c r="B3" s="134"/>
      <c r="C3" s="134"/>
      <c r="D3" s="134"/>
      <c r="E3" s="135"/>
      <c r="F3" s="136" t="s">
        <v>57</v>
      </c>
      <c r="G3" s="137"/>
      <c r="H3" s="138"/>
      <c r="I3" s="139" t="s">
        <v>58</v>
      </c>
      <c r="J3" s="140"/>
    </row>
    <row r="4" spans="1:15" ht="13.15" thickBot="1">
      <c r="A4" s="15" t="s">
        <v>59</v>
      </c>
      <c r="B4" s="25" t="s">
        <v>6</v>
      </c>
      <c r="C4" s="25" t="s">
        <v>7</v>
      </c>
      <c r="D4" s="25" t="s">
        <v>60</v>
      </c>
      <c r="E4" s="26" t="s">
        <v>61</v>
      </c>
      <c r="F4" s="27" t="s">
        <v>10</v>
      </c>
      <c r="G4" s="28" t="s">
        <v>62</v>
      </c>
      <c r="H4" s="29" t="s">
        <v>63</v>
      </c>
      <c r="I4" s="30" t="s">
        <v>58</v>
      </c>
      <c r="J4" s="31" t="s">
        <v>64</v>
      </c>
    </row>
    <row r="5" spans="1:15" ht="14.25">
      <c r="A5" s="16" t="s">
        <v>65</v>
      </c>
      <c r="B5" s="75">
        <v>11433.859864062601</v>
      </c>
      <c r="C5" s="75">
        <v>15679.73</v>
      </c>
      <c r="D5" s="49">
        <f>B5-C5</f>
        <v>-4245.870135937399</v>
      </c>
      <c r="E5" s="50">
        <f t="shared" ref="E5:E11" si="0">IFERROR(D5/C5, 0)</f>
        <v>-0.27078719696942483</v>
      </c>
      <c r="F5" s="76">
        <v>0</v>
      </c>
      <c r="G5" s="51">
        <f>B5-F5</f>
        <v>11433.859864062601</v>
      </c>
      <c r="H5" s="52">
        <f t="shared" ref="H5:H11" si="1">IFERROR(G5/F5, 0)</f>
        <v>0</v>
      </c>
      <c r="I5" s="53"/>
      <c r="J5" s="53"/>
      <c r="O5" s="4"/>
    </row>
    <row r="6" spans="1:15" ht="14.25">
      <c r="A6" s="18" t="s">
        <v>66</v>
      </c>
      <c r="B6" s="75"/>
      <c r="C6" s="75"/>
      <c r="D6" s="49">
        <f t="shared" ref="D6:D11" si="2">B6-C6</f>
        <v>0</v>
      </c>
      <c r="E6" s="50">
        <f t="shared" si="0"/>
        <v>0</v>
      </c>
      <c r="F6" s="77"/>
      <c r="G6" s="51">
        <f t="shared" ref="G6:G11" si="3">B6-F6</f>
        <v>0</v>
      </c>
      <c r="H6" s="52">
        <f t="shared" si="1"/>
        <v>0</v>
      </c>
      <c r="I6" s="53"/>
      <c r="J6" s="53"/>
    </row>
    <row r="7" spans="1:15" ht="14.25">
      <c r="A7" s="18" t="s">
        <v>67</v>
      </c>
      <c r="B7" s="75"/>
      <c r="C7" s="75"/>
      <c r="D7" s="49">
        <f t="shared" si="2"/>
        <v>0</v>
      </c>
      <c r="E7" s="50">
        <f t="shared" si="0"/>
        <v>0</v>
      </c>
      <c r="F7" s="78"/>
      <c r="G7" s="51">
        <f t="shared" si="3"/>
        <v>0</v>
      </c>
      <c r="H7" s="52">
        <f t="shared" si="1"/>
        <v>0</v>
      </c>
      <c r="I7" s="53"/>
      <c r="J7" s="53"/>
    </row>
    <row r="8" spans="1:15" ht="14.25">
      <c r="A8" s="18" t="s">
        <v>68</v>
      </c>
      <c r="B8" s="75"/>
      <c r="C8" s="75"/>
      <c r="D8" s="49">
        <f t="shared" si="2"/>
        <v>0</v>
      </c>
      <c r="E8" s="50">
        <f t="shared" si="0"/>
        <v>0</v>
      </c>
      <c r="F8" s="76"/>
      <c r="G8" s="51">
        <f t="shared" si="3"/>
        <v>0</v>
      </c>
      <c r="H8" s="52">
        <f t="shared" si="1"/>
        <v>0</v>
      </c>
      <c r="I8" s="53"/>
      <c r="J8" s="53"/>
    </row>
    <row r="9" spans="1:15" ht="14.25">
      <c r="A9" s="18" t="s">
        <v>69</v>
      </c>
      <c r="B9" s="75"/>
      <c r="C9" s="75"/>
      <c r="D9" s="49">
        <f t="shared" si="2"/>
        <v>0</v>
      </c>
      <c r="E9" s="50">
        <f t="shared" si="0"/>
        <v>0</v>
      </c>
      <c r="F9" s="76"/>
      <c r="G9" s="51">
        <f t="shared" si="3"/>
        <v>0</v>
      </c>
      <c r="H9" s="52">
        <f t="shared" si="1"/>
        <v>0</v>
      </c>
      <c r="I9" s="54"/>
      <c r="J9" s="54"/>
    </row>
    <row r="10" spans="1:15" ht="14.25">
      <c r="A10" s="18" t="s">
        <v>70</v>
      </c>
      <c r="B10" s="75"/>
      <c r="C10" s="75"/>
      <c r="D10" s="49">
        <f t="shared" si="2"/>
        <v>0</v>
      </c>
      <c r="E10" s="50">
        <f t="shared" si="0"/>
        <v>0</v>
      </c>
      <c r="F10" s="76"/>
      <c r="G10" s="51">
        <f t="shared" si="3"/>
        <v>0</v>
      </c>
      <c r="H10" s="52">
        <f t="shared" si="1"/>
        <v>0</v>
      </c>
      <c r="I10" s="54"/>
      <c r="J10" s="54"/>
    </row>
    <row r="11" spans="1:15" ht="14.25">
      <c r="A11" s="18" t="s">
        <v>71</v>
      </c>
      <c r="B11" s="49"/>
      <c r="C11" s="49"/>
      <c r="D11" s="49">
        <f t="shared" si="2"/>
        <v>0</v>
      </c>
      <c r="E11" s="50">
        <f t="shared" si="0"/>
        <v>0</v>
      </c>
      <c r="F11" s="56"/>
      <c r="G11" s="51">
        <f t="shared" si="3"/>
        <v>0</v>
      </c>
      <c r="H11" s="52">
        <f t="shared" si="1"/>
        <v>0</v>
      </c>
      <c r="I11" s="53"/>
      <c r="J11" s="53"/>
    </row>
    <row r="12" spans="1:15" ht="14.25">
      <c r="A12" s="18" t="s">
        <v>72</v>
      </c>
      <c r="B12" s="49"/>
      <c r="C12" s="49"/>
      <c r="D12" s="49">
        <f t="shared" ref="D12" si="4">B12-C12</f>
        <v>0</v>
      </c>
      <c r="E12" s="50">
        <f t="shared" ref="E12" si="5">IFERROR(D12/C12, 0)</f>
        <v>0</v>
      </c>
      <c r="F12" s="57"/>
      <c r="G12" s="51">
        <f t="shared" ref="G12" si="6">B12-F12</f>
        <v>0</v>
      </c>
      <c r="H12" s="52">
        <f t="shared" ref="H12" si="7">IFERROR(G12/F12, 0)</f>
        <v>0</v>
      </c>
      <c r="I12" s="53"/>
      <c r="J12" s="53"/>
    </row>
    <row r="13" spans="1:15" ht="14.25">
      <c r="A13" s="18" t="s">
        <v>73</v>
      </c>
      <c r="B13" s="49"/>
      <c r="C13" s="49"/>
      <c r="D13" s="49">
        <f t="shared" ref="D13:D14" si="8">B13-C13</f>
        <v>0</v>
      </c>
      <c r="E13" s="50">
        <f t="shared" ref="E13:E14" si="9">IFERROR(D13/C13, 0)</f>
        <v>0</v>
      </c>
      <c r="F13" s="51"/>
      <c r="G13" s="51">
        <f t="shared" ref="G13:G14" si="10">B13-F13</f>
        <v>0</v>
      </c>
      <c r="H13" s="52">
        <f t="shared" ref="H13:H14" si="11">IFERROR(G13/F13, 0)</f>
        <v>0</v>
      </c>
      <c r="I13" s="53"/>
      <c r="J13" s="53"/>
    </row>
    <row r="14" spans="1:15" ht="14.25">
      <c r="A14" s="18" t="s">
        <v>74</v>
      </c>
      <c r="B14" s="49"/>
      <c r="C14" s="49"/>
      <c r="D14" s="49">
        <f t="shared" si="8"/>
        <v>0</v>
      </c>
      <c r="E14" s="50">
        <f t="shared" si="9"/>
        <v>0</v>
      </c>
      <c r="F14" s="51"/>
      <c r="G14" s="51">
        <f t="shared" si="10"/>
        <v>0</v>
      </c>
      <c r="H14" s="52">
        <f t="shared" si="11"/>
        <v>0</v>
      </c>
      <c r="I14" s="53"/>
      <c r="J14" s="53"/>
    </row>
    <row r="15" spans="1:15" ht="14.25">
      <c r="A15" s="18" t="s">
        <v>75</v>
      </c>
      <c r="B15" s="55"/>
      <c r="C15" s="55"/>
      <c r="D15" s="49">
        <f t="shared" ref="D15:D16" si="12">B15-C15</f>
        <v>0</v>
      </c>
      <c r="E15" s="50">
        <f t="shared" ref="E15:E16" si="13">IFERROR(D15/C15, 0)</f>
        <v>0</v>
      </c>
      <c r="F15" s="51"/>
      <c r="G15" s="51">
        <f t="shared" ref="G15:G16" si="14">B15-F15</f>
        <v>0</v>
      </c>
      <c r="H15" s="52">
        <f t="shared" ref="H15:H16" si="15">IFERROR(G15/F15, 0)</f>
        <v>0</v>
      </c>
      <c r="I15" s="53"/>
      <c r="J15" s="53"/>
    </row>
    <row r="16" spans="1:15" ht="14.25">
      <c r="A16" s="19" t="s">
        <v>76</v>
      </c>
      <c r="B16" s="58"/>
      <c r="C16" s="58"/>
      <c r="D16" s="49">
        <f t="shared" si="12"/>
        <v>0</v>
      </c>
      <c r="E16" s="50">
        <f t="shared" si="13"/>
        <v>0</v>
      </c>
      <c r="F16" s="59"/>
      <c r="G16" s="51">
        <f t="shared" si="14"/>
        <v>0</v>
      </c>
      <c r="H16" s="52">
        <f t="shared" si="15"/>
        <v>0</v>
      </c>
      <c r="I16" s="60"/>
      <c r="J16" s="60"/>
    </row>
    <row r="17" spans="1:15" ht="14.25">
      <c r="A17" s="20" t="s">
        <v>77</v>
      </c>
      <c r="B17" s="21">
        <f>SUM(B5:B16)</f>
        <v>11433.859864062601</v>
      </c>
      <c r="C17" s="21">
        <f t="shared" ref="C17:F17" si="16">SUM(C5:C16)</f>
        <v>15679.73</v>
      </c>
      <c r="D17" s="21">
        <f>B17-C17</f>
        <v>-4245.870135937399</v>
      </c>
      <c r="E17" s="22">
        <f>IFERROR(D17/C17, 0)</f>
        <v>-0.27078719696942483</v>
      </c>
      <c r="F17" s="21">
        <f t="shared" si="16"/>
        <v>0</v>
      </c>
      <c r="G17" s="21">
        <f>B17-F17</f>
        <v>11433.859864062601</v>
      </c>
      <c r="H17" s="23">
        <f>IFERROR(G17/F17, 0)</f>
        <v>0</v>
      </c>
      <c r="I17" s="24"/>
      <c r="J17" s="24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31" priority="1" operator="lessThanOrEqual">
      <formula>-0.1</formula>
    </cfRule>
    <cfRule type="cellIs" dxfId="30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E36D7-94A0-4D51-90A7-AA747BD538E3}">
  <sheetPr codeName="Sheet20">
    <tabColor rgb="FFFFFF00"/>
  </sheetPr>
  <dimension ref="A1:O20"/>
  <sheetViews>
    <sheetView zoomScale="90" zoomScaleNormal="90" workbookViewId="0">
      <selection activeCell="H22" sqref="H22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41" t="s">
        <v>55</v>
      </c>
      <c r="B1" s="141"/>
      <c r="C1" s="141"/>
      <c r="D1" s="141"/>
      <c r="E1" s="141"/>
      <c r="F1" s="141"/>
      <c r="G1" s="141"/>
      <c r="H1" s="141"/>
      <c r="I1" s="141"/>
      <c r="J1" s="141"/>
    </row>
    <row r="2" spans="1:15" ht="25.15">
      <c r="A2" s="10"/>
      <c r="B2" s="10"/>
      <c r="C2" s="10"/>
      <c r="D2" s="10"/>
      <c r="E2" s="10"/>
    </row>
    <row r="3" spans="1:15" ht="15">
      <c r="A3" s="133" t="s">
        <v>56</v>
      </c>
      <c r="B3" s="134"/>
      <c r="C3" s="134"/>
      <c r="D3" s="134"/>
      <c r="E3" s="135"/>
      <c r="F3" s="136" t="s">
        <v>57</v>
      </c>
      <c r="G3" s="137"/>
      <c r="H3" s="138"/>
      <c r="I3" s="139" t="s">
        <v>58</v>
      </c>
      <c r="J3" s="140"/>
    </row>
    <row r="4" spans="1:15" ht="13.15" thickBot="1">
      <c r="A4" s="15" t="s">
        <v>59</v>
      </c>
      <c r="B4" s="25" t="s">
        <v>6</v>
      </c>
      <c r="C4" s="25" t="s">
        <v>7</v>
      </c>
      <c r="D4" s="25" t="s">
        <v>60</v>
      </c>
      <c r="E4" s="26" t="s">
        <v>61</v>
      </c>
      <c r="F4" s="27" t="s">
        <v>10</v>
      </c>
      <c r="G4" s="28" t="s">
        <v>62</v>
      </c>
      <c r="H4" s="29" t="s">
        <v>63</v>
      </c>
      <c r="I4" s="30" t="s">
        <v>58</v>
      </c>
      <c r="J4" s="31" t="s">
        <v>64</v>
      </c>
    </row>
    <row r="5" spans="1:15" ht="14.25">
      <c r="A5" s="16" t="s">
        <v>65</v>
      </c>
      <c r="B5" s="75">
        <v>11845.4795566024</v>
      </c>
      <c r="C5" s="75">
        <v>16173.71</v>
      </c>
      <c r="D5" s="49">
        <f>B5-C5</f>
        <v>-4328.2304433975987</v>
      </c>
      <c r="E5" s="50">
        <f t="shared" ref="E5:E12" si="0">IFERROR(D5/C5, 0)</f>
        <v>-0.26760900519408343</v>
      </c>
      <c r="F5" s="79">
        <v>23363</v>
      </c>
      <c r="G5" s="51">
        <f>B5-F5</f>
        <v>-11517.5204433976</v>
      </c>
      <c r="H5" s="52">
        <f t="shared" ref="H5:H11" si="1">IFERROR(G5/F5, 0)</f>
        <v>-0.4929812285835552</v>
      </c>
      <c r="I5" s="109" t="s">
        <v>78</v>
      </c>
      <c r="J5" s="109" t="s">
        <v>79</v>
      </c>
      <c r="O5" s="4"/>
    </row>
    <row r="6" spans="1:15" ht="14.25">
      <c r="A6" s="18" t="s">
        <v>66</v>
      </c>
      <c r="B6" s="75"/>
      <c r="C6" s="75"/>
      <c r="D6" s="49">
        <f t="shared" ref="D6:D12" si="2">B6-C6</f>
        <v>0</v>
      </c>
      <c r="E6" s="50">
        <f t="shared" si="0"/>
        <v>0</v>
      </c>
      <c r="F6" s="80"/>
      <c r="G6" s="51">
        <f t="shared" ref="G6:G11" si="3">B6-F6</f>
        <v>0</v>
      </c>
      <c r="H6" s="52">
        <f t="shared" si="1"/>
        <v>0</v>
      </c>
      <c r="I6" s="61"/>
      <c r="J6" s="61"/>
    </row>
    <row r="7" spans="1:15" ht="14.25">
      <c r="A7" s="18" t="s">
        <v>67</v>
      </c>
      <c r="B7" s="75"/>
      <c r="C7" s="75"/>
      <c r="D7" s="49">
        <f t="shared" si="2"/>
        <v>0</v>
      </c>
      <c r="E7" s="50">
        <f t="shared" si="0"/>
        <v>0</v>
      </c>
      <c r="F7" s="79"/>
      <c r="G7" s="51">
        <f t="shared" si="3"/>
        <v>0</v>
      </c>
      <c r="H7" s="52">
        <f t="shared" si="1"/>
        <v>0</v>
      </c>
      <c r="I7" s="62"/>
      <c r="J7" s="62"/>
    </row>
    <row r="8" spans="1:15" ht="14.25">
      <c r="A8" s="18" t="s">
        <v>68</v>
      </c>
      <c r="B8" s="75"/>
      <c r="C8" s="75"/>
      <c r="D8" s="49">
        <f t="shared" si="2"/>
        <v>0</v>
      </c>
      <c r="E8" s="50">
        <f t="shared" si="0"/>
        <v>0</v>
      </c>
      <c r="F8" s="79"/>
      <c r="G8" s="51">
        <f t="shared" si="3"/>
        <v>0</v>
      </c>
      <c r="H8" s="52">
        <f t="shared" si="1"/>
        <v>0</v>
      </c>
      <c r="I8" s="61"/>
      <c r="J8" s="61"/>
    </row>
    <row r="9" spans="1:15" ht="14.25">
      <c r="A9" s="18" t="s">
        <v>69</v>
      </c>
      <c r="B9" s="75"/>
      <c r="C9" s="75"/>
      <c r="D9" s="49">
        <f t="shared" si="2"/>
        <v>0</v>
      </c>
      <c r="E9" s="50">
        <f t="shared" si="0"/>
        <v>0</v>
      </c>
      <c r="F9" s="79"/>
      <c r="G9" s="51">
        <f t="shared" si="3"/>
        <v>0</v>
      </c>
      <c r="H9" s="52">
        <f t="shared" si="1"/>
        <v>0</v>
      </c>
      <c r="I9" s="54"/>
      <c r="J9" s="53"/>
    </row>
    <row r="10" spans="1:15" ht="14.25">
      <c r="A10" s="18" t="s">
        <v>70</v>
      </c>
      <c r="B10" s="75"/>
      <c r="C10" s="75"/>
      <c r="D10" s="49">
        <f t="shared" si="2"/>
        <v>0</v>
      </c>
      <c r="E10" s="50">
        <f t="shared" si="0"/>
        <v>0</v>
      </c>
      <c r="F10" s="79"/>
      <c r="G10" s="51">
        <f t="shared" si="3"/>
        <v>0</v>
      </c>
      <c r="H10" s="52">
        <f t="shared" si="1"/>
        <v>0</v>
      </c>
      <c r="I10" s="61"/>
      <c r="J10" s="61"/>
    </row>
    <row r="11" spans="1:15" ht="14.25">
      <c r="A11" s="18" t="s">
        <v>71</v>
      </c>
      <c r="B11" s="49"/>
      <c r="C11" s="49"/>
      <c r="D11" s="49">
        <f t="shared" si="2"/>
        <v>0</v>
      </c>
      <c r="E11" s="50">
        <f t="shared" si="0"/>
        <v>0</v>
      </c>
      <c r="F11" s="56"/>
      <c r="G11" s="51">
        <f t="shared" si="3"/>
        <v>0</v>
      </c>
      <c r="H11" s="52">
        <f t="shared" si="1"/>
        <v>0</v>
      </c>
      <c r="I11" s="61"/>
      <c r="J11" s="61"/>
    </row>
    <row r="12" spans="1:15" ht="14.25">
      <c r="A12" s="18" t="s">
        <v>72</v>
      </c>
      <c r="B12" s="49"/>
      <c r="C12" s="49"/>
      <c r="D12" s="49">
        <f t="shared" si="2"/>
        <v>0</v>
      </c>
      <c r="E12" s="50">
        <f t="shared" si="0"/>
        <v>0</v>
      </c>
      <c r="F12" s="108"/>
      <c r="G12" s="51">
        <f t="shared" ref="G12" si="4">B12-F12</f>
        <v>0</v>
      </c>
      <c r="H12" s="52">
        <f t="shared" ref="H12" si="5">IFERROR(G12/F12, 0)</f>
        <v>0</v>
      </c>
      <c r="I12" s="53"/>
      <c r="J12" s="53"/>
    </row>
    <row r="13" spans="1:15" ht="14.25">
      <c r="A13" s="18" t="s">
        <v>73</v>
      </c>
      <c r="B13" s="49"/>
      <c r="C13" s="49"/>
      <c r="D13" s="49">
        <f t="shared" ref="D13:D14" si="6">B13-C13</f>
        <v>0</v>
      </c>
      <c r="E13" s="50">
        <f t="shared" ref="E13:E14" si="7">IFERROR(D13/C13, 0)</f>
        <v>0</v>
      </c>
      <c r="F13" s="51"/>
      <c r="G13" s="51">
        <f t="shared" ref="G13:G14" si="8">B13-F13</f>
        <v>0</v>
      </c>
      <c r="H13" s="52">
        <f t="shared" ref="H13:H14" si="9">IFERROR(G13/F13, 0)</f>
        <v>0</v>
      </c>
      <c r="I13" s="105"/>
      <c r="J13" s="105"/>
    </row>
    <row r="14" spans="1:15" ht="14.25">
      <c r="A14" s="18" t="s">
        <v>74</v>
      </c>
      <c r="B14" s="49"/>
      <c r="C14" s="49"/>
      <c r="D14" s="49">
        <f t="shared" si="6"/>
        <v>0</v>
      </c>
      <c r="E14" s="50">
        <f t="shared" si="7"/>
        <v>0</v>
      </c>
      <c r="F14" s="51"/>
      <c r="G14" s="51">
        <f t="shared" si="8"/>
        <v>0</v>
      </c>
      <c r="H14" s="52">
        <f t="shared" si="9"/>
        <v>0</v>
      </c>
      <c r="I14" s="105"/>
      <c r="J14" s="105"/>
    </row>
    <row r="15" spans="1:15" ht="14.25">
      <c r="A15" s="18" t="s">
        <v>75</v>
      </c>
      <c r="B15" s="55"/>
      <c r="C15" s="55"/>
      <c r="D15" s="49">
        <f t="shared" ref="D15:D16" si="10">B15-C15</f>
        <v>0</v>
      </c>
      <c r="E15" s="50">
        <f t="shared" ref="E15:E16" si="11">IFERROR(D15/C15, 0)</f>
        <v>0</v>
      </c>
      <c r="F15" s="51"/>
      <c r="G15" s="51">
        <f t="shared" ref="G15:G16" si="12">B15-F15</f>
        <v>0</v>
      </c>
      <c r="H15" s="52">
        <f t="shared" ref="H15:H16" si="13">IFERROR(G15/F15, 0)</f>
        <v>0</v>
      </c>
      <c r="I15" s="105"/>
      <c r="J15" s="105"/>
    </row>
    <row r="16" spans="1:15" ht="14.25">
      <c r="A16" s="19" t="s">
        <v>76</v>
      </c>
      <c r="B16" s="58"/>
      <c r="C16" s="58"/>
      <c r="D16" s="49">
        <f t="shared" si="10"/>
        <v>0</v>
      </c>
      <c r="E16" s="50">
        <f t="shared" si="11"/>
        <v>0</v>
      </c>
      <c r="F16" s="59"/>
      <c r="G16" s="51">
        <f t="shared" si="12"/>
        <v>0</v>
      </c>
      <c r="H16" s="52">
        <f t="shared" si="13"/>
        <v>0</v>
      </c>
      <c r="I16" s="105"/>
      <c r="J16" s="107"/>
    </row>
    <row r="17" spans="1:15" ht="14.25">
      <c r="A17" s="20" t="s">
        <v>77</v>
      </c>
      <c r="B17" s="21">
        <f>SUM(B5:B16)</f>
        <v>11845.4795566024</v>
      </c>
      <c r="C17" s="21">
        <f t="shared" ref="C17:F17" si="14">SUM(C5:C16)</f>
        <v>16173.71</v>
      </c>
      <c r="D17" s="21">
        <f>B17-C17</f>
        <v>-4328.2304433975987</v>
      </c>
      <c r="E17" s="22">
        <f>IFERROR(D17/C17, 0)</f>
        <v>-0.26760900519408343</v>
      </c>
      <c r="F17" s="21">
        <f t="shared" si="14"/>
        <v>23363</v>
      </c>
      <c r="G17" s="21">
        <f>B17-F17</f>
        <v>-11517.5204433976</v>
      </c>
      <c r="H17" s="23">
        <f>IFERROR(G17/F17, 0)</f>
        <v>-0.4929812285835552</v>
      </c>
      <c r="I17" s="24"/>
      <c r="J17" s="24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15" priority="1" operator="lessThanOrEqual">
      <formula>-0.1</formula>
    </cfRule>
    <cfRule type="cellIs" dxfId="14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732231-4216-4543-A665-18A2886B0EB7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505BBCEE-8E1B-45F5-9EB9-E97D2C5F43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2024-10-18T14:15:13Z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