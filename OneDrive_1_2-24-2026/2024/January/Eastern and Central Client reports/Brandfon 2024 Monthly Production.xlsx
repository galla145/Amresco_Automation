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99C2A1F8-8541-4289-9E60-47AD352FDDB1}" xr6:coauthVersionLast="47" xr6:coauthVersionMax="47" xr10:uidLastSave="{00000000-0000-0000-0000-000000000000}"/>
  <bookViews>
    <workbookView xWindow="-28920" yWindow="7725" windowWidth="29040" windowHeight="15720" tabRatio="866" firstSheet="1" activeTab="19" xr2:uid="{00000000-000D-0000-FFFF-FFFF00000000}"/>
  </bookViews>
  <sheets>
    <sheet name="YTD Total 2023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Branford - Brandfon Honda" sheetId="5" r:id="rId19"/>
    <sheet name="New Haven - Brandfon Hyundai" sheetId="69" r:id="rId20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2023'!$A$2:$I$2</definedName>
    <definedName name="JanActual">'01-2024'!$C$3:$C$4</definedName>
    <definedName name="JanActual2">'01-2024'!#REF!</definedName>
    <definedName name="JanExpected">'01-2024'!$D$3:$D$4</definedName>
    <definedName name="JanExpectedDelta">'01-2024'!$E$3:$E$4</definedName>
    <definedName name="JanExpectedPercent">'01-2024'!$F$3:$F$4</definedName>
    <definedName name="JanExpPercent">'01-2024'!$F$3:$F$4</definedName>
    <definedName name="JanForecasted">'01-2024'!$G$3:$G$4</definedName>
    <definedName name="JanForecastedDelta">'01-2024'!$H$3:$H$4</definedName>
    <definedName name="JanForecastedPercent">'01-2024'!$I$3:$I$4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9" l="1"/>
  <c r="H16" i="69" s="1"/>
  <c r="D16" i="69"/>
  <c r="E16" i="69" s="1"/>
  <c r="G16" i="5"/>
  <c r="H16" i="5" s="1"/>
  <c r="D16" i="5"/>
  <c r="E16" i="5" s="1"/>
  <c r="D15" i="69"/>
  <c r="E15" i="69" s="1"/>
  <c r="G15" i="69"/>
  <c r="H15" i="69" s="1"/>
  <c r="G15" i="5"/>
  <c r="H15" i="5" s="1"/>
  <c r="D15" i="5"/>
  <c r="E15" i="5" s="1"/>
  <c r="G14" i="69"/>
  <c r="H14" i="69" s="1"/>
  <c r="D14" i="69"/>
  <c r="E14" i="69" s="1"/>
  <c r="G14" i="5"/>
  <c r="H14" i="5" s="1"/>
  <c r="D14" i="5"/>
  <c r="E14" i="5" s="1"/>
  <c r="G13" i="69"/>
  <c r="H13" i="69" s="1"/>
  <c r="D13" i="69"/>
  <c r="E13" i="69" s="1"/>
  <c r="G13" i="5"/>
  <c r="H13" i="5" s="1"/>
  <c r="D13" i="5"/>
  <c r="E13" i="5" s="1"/>
  <c r="G12" i="69"/>
  <c r="H12" i="69" s="1"/>
  <c r="D12" i="69"/>
  <c r="E12" i="69" s="1"/>
  <c r="G12" i="5" l="1"/>
  <c r="H12" i="5" s="1"/>
  <c r="D12" i="5"/>
  <c r="E12" i="5" s="1"/>
  <c r="H8" i="5"/>
  <c r="H9" i="5"/>
  <c r="E6" i="5"/>
  <c r="E7" i="5"/>
  <c r="E8" i="5"/>
  <c r="E9" i="5"/>
  <c r="E10" i="5"/>
  <c r="E11" i="5"/>
  <c r="D6" i="5"/>
  <c r="D7" i="5"/>
  <c r="D8" i="5"/>
  <c r="D9" i="5"/>
  <c r="D10" i="5"/>
  <c r="D11" i="5"/>
  <c r="G6" i="5"/>
  <c r="H6" i="5" s="1"/>
  <c r="G7" i="5"/>
  <c r="H7" i="5" s="1"/>
  <c r="G8" i="5"/>
  <c r="G9" i="5"/>
  <c r="G10" i="5"/>
  <c r="H10" i="5" s="1"/>
  <c r="G11" i="5"/>
  <c r="H11" i="5" s="1"/>
  <c r="H6" i="69"/>
  <c r="H7" i="69"/>
  <c r="H10" i="69"/>
  <c r="H11" i="69"/>
  <c r="G6" i="69"/>
  <c r="G7" i="69"/>
  <c r="G8" i="69"/>
  <c r="H8" i="69" s="1"/>
  <c r="G9" i="69"/>
  <c r="H9" i="69" s="1"/>
  <c r="G10" i="69"/>
  <c r="G11" i="69"/>
  <c r="E10" i="69"/>
  <c r="E11" i="69"/>
  <c r="D6" i="69"/>
  <c r="E6" i="69" s="1"/>
  <c r="D7" i="69"/>
  <c r="D8" i="69"/>
  <c r="D9" i="69"/>
  <c r="E9" i="69" s="1"/>
  <c r="D10" i="69"/>
  <c r="D11" i="69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69"/>
  <c r="C17" i="69"/>
  <c r="B17" i="69"/>
  <c r="E8" i="69"/>
  <c r="G5" i="69"/>
  <c r="H5" i="69" s="1"/>
  <c r="D5" i="69"/>
  <c r="F17" i="5"/>
  <c r="C17" i="5"/>
  <c r="B17" i="5"/>
  <c r="G5" i="5"/>
  <c r="H5" i="5" s="1"/>
  <c r="D5" i="5"/>
  <c r="A3" i="2" a="1"/>
  <c r="C4" i="28" a="1"/>
  <c r="C4" i="21" a="1"/>
  <c r="C4" i="33" a="1"/>
  <c r="C4" i="26" a="1"/>
  <c r="C4" i="32" a="1"/>
  <c r="C4" i="31" a="1"/>
  <c r="C4" i="27" a="1"/>
  <c r="C4" i="20" a="1"/>
  <c r="C4" i="27" l="1"/>
  <c r="C4" i="33"/>
  <c r="C4" i="32"/>
  <c r="C4" i="20"/>
  <c r="C4" i="26"/>
  <c r="C4" i="31"/>
  <c r="C4" i="21"/>
  <c r="C4" i="28"/>
  <c r="E5" i="69"/>
  <c r="E7" i="69"/>
  <c r="E5" i="5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69"/>
  <c r="H17" i="69" s="1"/>
  <c r="D17" i="69"/>
  <c r="E17" i="69" s="1"/>
  <c r="G17" i="5"/>
  <c r="H17" i="5" s="1"/>
  <c r="D17" i="5"/>
  <c r="E17" i="5" s="1"/>
  <c r="B3" i="2" a="1"/>
  <c r="B3" i="2" s="1"/>
  <c r="C4" i="2" a="1"/>
  <c r="C4" i="4" a="1"/>
  <c r="C3" i="26" a="1"/>
  <c r="C3" i="19" a="1"/>
  <c r="C3" i="32" a="1"/>
  <c r="C3" i="28" a="1"/>
  <c r="C3" i="20" a="1"/>
  <c r="C4" i="19" a="1"/>
  <c r="C3" i="33" a="1"/>
  <c r="C3" i="3" a="1"/>
  <c r="C3" i="27" a="1"/>
  <c r="C3" i="4" a="1"/>
  <c r="C4" i="3" a="1"/>
  <c r="C3" i="31" a="1"/>
  <c r="C3" i="2" a="1"/>
  <c r="C3" i="21" a="1"/>
  <c r="C3" i="20" l="1"/>
  <c r="C3" i="26"/>
  <c r="C3" i="27"/>
  <c r="C3" i="2"/>
  <c r="C3" i="28"/>
  <c r="C3" i="31"/>
  <c r="C3" i="4"/>
  <c r="C3" i="32"/>
  <c r="C3" i="21"/>
  <c r="C3" i="33"/>
  <c r="C3" i="19"/>
  <c r="C4" i="19"/>
  <c r="C4" i="2"/>
  <c r="C4" i="4"/>
  <c r="C4" i="3"/>
  <c r="D3" i="18"/>
  <c r="G3" i="18"/>
  <c r="D4" i="18"/>
  <c r="G4" i="18"/>
  <c r="D3" i="29"/>
  <c r="G3" i="29"/>
  <c r="D4" i="29"/>
  <c r="G4" i="29"/>
  <c r="D3" i="30"/>
  <c r="G3" i="30"/>
  <c r="D4" i="30"/>
  <c r="G4" i="30"/>
  <c r="G3" i="1"/>
  <c r="D4" i="1"/>
  <c r="G4" i="1"/>
  <c r="D3" i="1"/>
  <c r="G5" i="33"/>
  <c r="D5" i="33"/>
  <c r="G5" i="32"/>
  <c r="D5" i="32"/>
  <c r="G5" i="31"/>
  <c r="D5" i="31"/>
  <c r="G5" i="28"/>
  <c r="D5" i="28"/>
  <c r="G5" i="27"/>
  <c r="D5" i="27"/>
  <c r="G5" i="26"/>
  <c r="D5" i="26"/>
  <c r="G5" i="19"/>
  <c r="D5" i="19"/>
  <c r="G5" i="20"/>
  <c r="D5" i="20"/>
  <c r="G5" i="21"/>
  <c r="D5" i="21"/>
  <c r="G5" i="4"/>
  <c r="D5" i="4"/>
  <c r="G5" i="3"/>
  <c r="D5" i="3"/>
  <c r="C3" i="3"/>
  <c r="C4" i="18" l="1"/>
  <c r="C5" i="27"/>
  <c r="H5" i="27" s="1"/>
  <c r="I5" i="27" s="1"/>
  <c r="D5" i="18"/>
  <c r="G5" i="18"/>
  <c r="D5" i="30"/>
  <c r="D5" i="29"/>
  <c r="G5" i="1"/>
  <c r="C4" i="30"/>
  <c r="G5" i="30"/>
  <c r="D3" i="34"/>
  <c r="C5" i="32"/>
  <c r="E5" i="32" s="1"/>
  <c r="F5" i="32" s="1"/>
  <c r="C4" i="29"/>
  <c r="G5" i="29"/>
  <c r="D4" i="34"/>
  <c r="C5" i="4"/>
  <c r="H5" i="4" s="1"/>
  <c r="I5" i="4" s="1"/>
  <c r="C5" i="28"/>
  <c r="H5" i="28" s="1"/>
  <c r="I5" i="28" s="1"/>
  <c r="G4" i="34"/>
  <c r="C5" i="19"/>
  <c r="H5" i="19" s="1"/>
  <c r="I5" i="19" s="1"/>
  <c r="C3" i="18"/>
  <c r="H3" i="18" s="1"/>
  <c r="I3" i="18" s="1"/>
  <c r="C5" i="33"/>
  <c r="H5" i="33" s="1"/>
  <c r="I5" i="33" s="1"/>
  <c r="C3" i="29"/>
  <c r="H3" i="29" s="1"/>
  <c r="I3" i="29" s="1"/>
  <c r="C3" i="30"/>
  <c r="H3" i="30" s="1"/>
  <c r="I3" i="30" s="1"/>
  <c r="C5" i="20"/>
  <c r="E5" i="20" s="1"/>
  <c r="F5" i="20" s="1"/>
  <c r="D5" i="1"/>
  <c r="G3" i="34"/>
  <c r="C5" i="31"/>
  <c r="E5" i="31" s="1"/>
  <c r="F5" i="31" s="1"/>
  <c r="C5" i="26"/>
  <c r="H5" i="26" s="1"/>
  <c r="I5" i="26" s="1"/>
  <c r="C5" i="21"/>
  <c r="E5" i="21" s="1"/>
  <c r="F5" i="21" s="1"/>
  <c r="C4" i="1"/>
  <c r="C5" i="3"/>
  <c r="E5" i="3" s="1"/>
  <c r="F5" i="3" s="1"/>
  <c r="C3" i="1"/>
  <c r="E4" i="30" l="1"/>
  <c r="F4" i="30" s="1"/>
  <c r="H4" i="30"/>
  <c r="I4" i="30" s="1"/>
  <c r="E4" i="29"/>
  <c r="F4" i="29" s="1"/>
  <c r="H4" i="29"/>
  <c r="I4" i="29" s="1"/>
  <c r="E4" i="18"/>
  <c r="F4" i="18" s="1"/>
  <c r="H4" i="18"/>
  <c r="I4" i="18" s="1"/>
  <c r="E4" i="1"/>
  <c r="F4" i="1" s="1"/>
  <c r="H4" i="1"/>
  <c r="I4" i="1" s="1"/>
  <c r="E3" i="1"/>
  <c r="F3" i="1" s="1"/>
  <c r="H3" i="1"/>
  <c r="I3" i="1" s="1"/>
  <c r="E5" i="27"/>
  <c r="F5" i="27" s="1"/>
  <c r="H5" i="32"/>
  <c r="I5" i="32" s="1"/>
  <c r="E5" i="19"/>
  <c r="F5" i="19" s="1"/>
  <c r="E5" i="4"/>
  <c r="F5" i="4" s="1"/>
  <c r="H5" i="20"/>
  <c r="I5" i="20" s="1"/>
  <c r="C4" i="34"/>
  <c r="H5" i="3"/>
  <c r="I5" i="3" s="1"/>
  <c r="E5" i="33"/>
  <c r="F5" i="33" s="1"/>
  <c r="D5" i="34"/>
  <c r="E5" i="28"/>
  <c r="F5" i="28" s="1"/>
  <c r="G5" i="34"/>
  <c r="C3" i="34"/>
  <c r="H5" i="21"/>
  <c r="I5" i="21" s="1"/>
  <c r="H5" i="31"/>
  <c r="I5" i="31" s="1"/>
  <c r="E5" i="26"/>
  <c r="F5" i="26" s="1"/>
  <c r="C5" i="30"/>
  <c r="E3" i="30"/>
  <c r="C5" i="29"/>
  <c r="E3" i="29"/>
  <c r="C5" i="18"/>
  <c r="E3" i="18"/>
  <c r="C5" i="1"/>
  <c r="E4" i="34" l="1"/>
  <c r="F4" i="34" s="1"/>
  <c r="H4" i="34"/>
  <c r="I4" i="34" s="1"/>
  <c r="E3" i="34"/>
  <c r="F3" i="34" s="1"/>
  <c r="H3" i="34"/>
  <c r="I3" i="34" s="1"/>
  <c r="F3" i="30"/>
  <c r="F3" i="29"/>
  <c r="F3" i="18"/>
  <c r="C5" i="34"/>
  <c r="H5" i="34" s="1"/>
  <c r="I5" i="34" s="1"/>
  <c r="H5" i="30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G5" i="2"/>
  <c r="D5" i="2"/>
  <c r="E5" i="34" l="1"/>
  <c r="F5" i="34" s="1"/>
  <c r="C5" i="2"/>
  <c r="H5" i="2" l="1"/>
  <c r="I5" i="2" s="1"/>
  <c r="E5" i="2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<sst xmlns="http://schemas.openxmlformats.org/spreadsheetml/2006/main" count="341" uniqueCount="79">
  <si>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</si>
  <si>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</si>
  <si>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</si>
  <si>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</si>
  <si>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</si>
  <si>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</si>
  <si>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</si>
  <si>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</si>
  <si>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</si>
  <si>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</si>
  <si>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</si>
  <si>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</si>
  <si>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</si>
  <si>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</si>
  <si>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</si>
  <si>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</si>
  <si>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</si>
  <si>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</si>
  <si>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</si>
  <si>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</si>
  <si>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</si>
  <si>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</si>
  <si>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</si>
  <si>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</si>
  <si>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</si>
  <si>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</si>
  <si>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 xml:space="preserve"> 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</si>
  <si>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</si>
  <si>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</si>
  <si>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</si>
  <si>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</si>
  <si>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</si>
  <si>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</si>
  <si>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</si>
  <si>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</si>
  <si>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</si>
  <si>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</si>
  <si>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</si>
  <si>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</si>
  <si>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</si>
  <si>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</si>
  <si>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</si>
  <si>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</si>
  <si>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</si>
  <si>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</si>
  <si>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</si>
  <si>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</si>
  <si>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</si>
  <si>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BRANDFON</t>
  </si>
  <si>
    <t>Site DAS Name</t>
  </si>
  <si>
    <t>Column1</t>
  </si>
  <si>
    <t>Brandfon Honda</t>
  </si>
  <si>
    <t>Branford - Brandfon Honda</t>
  </si>
  <si>
    <t>CT</t>
  </si>
  <si>
    <t>AEF</t>
  </si>
  <si>
    <t>Brandfon Hyundai</t>
  </si>
  <si>
    <t>New Haven - Brandfon Hyundai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</si>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</sst>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/>
      <right style="thin">
        <color indexed="64"/>
      </right>
      <top style="thin">
        <color rgb="FF8EA9DB"/>
      </top>
      <bottom style="thin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1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0" fillId="0" borderId="14" xfId="0" applyBorder="1"/>
    <xf numFmtId="0" fontId="0" fillId="0" borderId="29" xfId="0" applyBorder="1"/>
    <xf numFmtId="0" fontId="8" fillId="0" borderId="35" xfId="0" applyFont="1" applyBorder="1" applyAlignment="1">
      <alignment horizontal="left" vertical="center"/>
    </xf>
    <xf numFmtId="0" fontId="28" fillId="0" borderId="2" xfId="0" applyFont="1" applyBorder="1" applyAlignment="1">
      <alignment horizontal="center"/>
    </xf>
    <xf numFmtId="9" fontId="29" fillId="43" borderId="2" xfId="2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3" fontId="28" fillId="5" borderId="1" xfId="0" applyNumberFormat="1" applyFont="1" applyFill="1" applyBorder="1" applyAlignment="1">
      <alignment horizontal="center"/>
    </xf>
    <xf numFmtId="9" fontId="28" fillId="5" borderId="1" xfId="2" applyFont="1" applyFill="1" applyBorder="1" applyAlignment="1">
      <alignment horizontal="center"/>
    </xf>
    <xf numFmtId="9" fontId="28" fillId="5" borderId="1" xfId="0" applyNumberFormat="1" applyFont="1" applyFill="1" applyBorder="1" applyAlignment="1">
      <alignment horizontal="center"/>
    </xf>
    <xf numFmtId="0" fontId="28" fillId="0" borderId="0" xfId="0" applyFont="1"/>
    <xf numFmtId="0" fontId="30" fillId="3" borderId="17" xfId="0" applyFont="1" applyFill="1" applyBorder="1" applyAlignment="1">
      <alignment horizontal="left" vertical="center" wrapText="1"/>
    </xf>
    <xf numFmtId="9" fontId="30" fillId="3" borderId="36" xfId="2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/>
    </xf>
    <xf numFmtId="0" fontId="30" fillId="4" borderId="17" xfId="0" applyFont="1" applyFill="1" applyBorder="1" applyAlignment="1">
      <alignment horizontal="left" vertical="center" wrapText="1"/>
    </xf>
    <xf numFmtId="9" fontId="30" fillId="4" borderId="36" xfId="2" applyFont="1" applyFill="1" applyBorder="1" applyAlignment="1">
      <alignment horizontal="left" vertical="center"/>
    </xf>
    <xf numFmtId="9" fontId="30" fillId="43" borderId="37" xfId="2" applyFont="1" applyFill="1" applyBorder="1" applyAlignment="1">
      <alignment horizontal="center" vertical="center"/>
    </xf>
    <xf numFmtId="9" fontId="30" fillId="43" borderId="38" xfId="2" applyFont="1" applyFill="1" applyBorder="1" applyAlignment="1">
      <alignment horizontal="center" vertical="center"/>
    </xf>
    <xf numFmtId="0" fontId="28" fillId="45" borderId="40" xfId="0" applyFont="1" applyFill="1" applyBorder="1" applyAlignment="1">
      <alignment horizontal="center"/>
    </xf>
    <xf numFmtId="3" fontId="32" fillId="3" borderId="16" xfId="0" applyNumberFormat="1" applyFont="1" applyFill="1" applyBorder="1" applyAlignment="1">
      <alignment horizontal="right"/>
    </xf>
    <xf numFmtId="9" fontId="32" fillId="3" borderId="16" xfId="2" applyFont="1" applyFill="1" applyBorder="1" applyAlignment="1">
      <alignment horizontal="center"/>
    </xf>
    <xf numFmtId="3" fontId="32" fillId="4" borderId="16" xfId="1" applyNumberFormat="1" applyFont="1" applyFill="1" applyBorder="1"/>
    <xf numFmtId="9" fontId="32" fillId="40" borderId="16" xfId="2" applyFont="1" applyFill="1" applyBorder="1" applyAlignment="1">
      <alignment horizontal="center"/>
    </xf>
    <xf numFmtId="9" fontId="32" fillId="3" borderId="14" xfId="2" applyFont="1" applyFill="1" applyBorder="1" applyAlignment="1">
      <alignment horizontal="center"/>
    </xf>
    <xf numFmtId="9" fontId="32" fillId="40" borderId="14" xfId="2" applyFont="1" applyFill="1" applyBorder="1" applyAlignment="1">
      <alignment horizontal="center"/>
    </xf>
    <xf numFmtId="9" fontId="32" fillId="37" borderId="18" xfId="0" applyNumberFormat="1" applyFont="1" applyFill="1" applyBorder="1" applyAlignment="1">
      <alignment horizontal="center" vertical="center"/>
    </xf>
    <xf numFmtId="9" fontId="32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left" vertical="center" wrapText="1"/>
    </xf>
    <xf numFmtId="0" fontId="35" fillId="45" borderId="40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3" fontId="32" fillId="37" borderId="18" xfId="0" applyNumberFormat="1" applyFont="1" applyFill="1" applyBorder="1" applyAlignment="1">
      <alignment horizontal="center" vertical="center"/>
    </xf>
    <xf numFmtId="3" fontId="32" fillId="37" borderId="18" xfId="1" applyNumberFormat="1" applyFont="1" applyFill="1" applyBorder="1" applyAlignment="1">
      <alignment horizontal="center" vertical="center"/>
    </xf>
    <xf numFmtId="3" fontId="36" fillId="3" borderId="2" xfId="0" applyNumberFormat="1" applyFont="1" applyFill="1" applyBorder="1" applyAlignment="1">
      <alignment horizontal="right"/>
    </xf>
    <xf numFmtId="9" fontId="36" fillId="3" borderId="2" xfId="2" applyFont="1" applyFill="1" applyBorder="1" applyAlignment="1">
      <alignment horizontal="center"/>
    </xf>
    <xf numFmtId="3" fontId="36" fillId="4" borderId="2" xfId="1" applyNumberFormat="1" applyFont="1" applyFill="1" applyBorder="1"/>
    <xf numFmtId="9" fontId="36" fillId="4" borderId="2" xfId="2" applyFont="1" applyFill="1" applyBorder="1" applyAlignment="1">
      <alignment horizontal="center"/>
    </xf>
    <xf numFmtId="9" fontId="36" fillId="43" borderId="2" xfId="2" applyFont="1" applyFill="1" applyBorder="1" applyAlignment="1">
      <alignment horizontal="left" vertical="top"/>
    </xf>
    <xf numFmtId="9" fontId="36" fillId="3" borderId="1" xfId="2" applyFont="1" applyFill="1" applyBorder="1" applyAlignment="1">
      <alignment horizontal="center"/>
    </xf>
    <xf numFmtId="9" fontId="36" fillId="43" borderId="2" xfId="2" applyFont="1" applyFill="1" applyBorder="1" applyAlignment="1">
      <alignment horizontal="left" vertical="top" wrapText="1"/>
    </xf>
    <xf numFmtId="3" fontId="36" fillId="38" borderId="14" xfId="0" applyNumberFormat="1" applyFont="1" applyFill="1" applyBorder="1"/>
    <xf numFmtId="3" fontId="36" fillId="4" borderId="13" xfId="1" applyNumberFormat="1" applyFont="1" applyFill="1" applyBorder="1"/>
    <xf numFmtId="3" fontId="36" fillId="4" borderId="2" xfId="1" applyNumberFormat="1" applyFont="1" applyFill="1" applyBorder="1" applyAlignment="1">
      <alignment vertical="center"/>
    </xf>
    <xf numFmtId="3" fontId="36" fillId="39" borderId="14" xfId="0" applyNumberFormat="1" applyFont="1" applyFill="1" applyBorder="1"/>
    <xf numFmtId="3" fontId="36" fillId="3" borderId="28" xfId="0" applyNumberFormat="1" applyFont="1" applyFill="1" applyBorder="1" applyAlignment="1">
      <alignment horizontal="right"/>
    </xf>
    <xf numFmtId="3" fontId="36" fillId="4" borderId="39" xfId="1" applyNumberFormat="1" applyFont="1" applyFill="1" applyBorder="1"/>
    <xf numFmtId="9" fontId="36" fillId="43" borderId="28" xfId="2" applyFont="1" applyFill="1" applyBorder="1" applyAlignment="1">
      <alignment horizontal="left" vertical="top"/>
    </xf>
    <xf numFmtId="9" fontId="36" fillId="43" borderId="2" xfId="2" applyFont="1" applyFill="1" applyBorder="1" applyAlignment="1">
      <alignment horizontal="center"/>
    </xf>
    <xf numFmtId="9" fontId="36" fillId="43" borderId="2" xfId="2" applyFont="1" applyFill="1" applyBorder="1" applyAlignment="1">
      <alignment horizontal="center" vertical="center"/>
    </xf>
    <xf numFmtId="9" fontId="36" fillId="43" borderId="28" xfId="2" applyFont="1" applyFill="1" applyBorder="1" applyAlignment="1">
      <alignment horizontal="center"/>
    </xf>
    <xf numFmtId="3" fontId="36" fillId="37" borderId="18" xfId="0" applyNumberFormat="1" applyFont="1" applyFill="1" applyBorder="1" applyAlignment="1">
      <alignment horizontal="center" vertical="center"/>
    </xf>
    <xf numFmtId="9" fontId="36" fillId="37" borderId="18" xfId="0" applyNumberFormat="1" applyFont="1" applyFill="1" applyBorder="1" applyAlignment="1">
      <alignment horizontal="center" vertical="center"/>
    </xf>
    <xf numFmtId="3" fontId="36" fillId="37" borderId="18" xfId="1" applyNumberFormat="1" applyFont="1" applyFill="1" applyBorder="1" applyAlignment="1">
      <alignment horizontal="center" vertical="center"/>
    </xf>
    <xf numFmtId="9" fontId="36" fillId="37" borderId="22" xfId="0" applyNumberFormat="1" applyFont="1" applyFill="1" applyBorder="1" applyAlignment="1">
      <alignment horizontal="center" vertical="center"/>
    </xf>
    <xf numFmtId="49" fontId="36" fillId="0" borderId="0" xfId="0" applyNumberFormat="1" applyFont="1"/>
    <xf numFmtId="0" fontId="36" fillId="0" borderId="0" xfId="0" applyFont="1"/>
    <xf numFmtId="9" fontId="36" fillId="0" borderId="0" xfId="2" applyFont="1" applyAlignment="1">
      <alignment horizontal="center"/>
    </xf>
    <xf numFmtId="0" fontId="38" fillId="46" borderId="0" xfId="0" applyFont="1" applyFill="1" applyAlignment="1">
      <alignment horizontal="left"/>
    </xf>
    <xf numFmtId="0" fontId="38" fillId="46" borderId="41" xfId="0" applyFont="1" applyFill="1" applyBorder="1"/>
    <xf numFmtId="0" fontId="38" fillId="0" borderId="0" xfId="0" applyFont="1" applyAlignment="1">
      <alignment horizontal="left"/>
    </xf>
    <xf numFmtId="0" fontId="38" fillId="0" borderId="0" xfId="0" applyFont="1"/>
    <xf numFmtId="0" fontId="38" fillId="0" borderId="41" xfId="0" applyFont="1" applyBorder="1"/>
    <xf numFmtId="0" fontId="3" fillId="38" borderId="2" xfId="0" applyFont="1" applyFill="1" applyBorder="1" applyAlignment="1">
      <alignment horizontal="right"/>
    </xf>
    <xf numFmtId="3" fontId="3" fillId="38" borderId="2" xfId="0" applyNumberFormat="1" applyFont="1" applyFill="1" applyBorder="1" applyAlignment="1">
      <alignment horizontal="right"/>
    </xf>
    <xf numFmtId="0" fontId="3" fillId="39" borderId="2" xfId="0" applyFont="1" applyFill="1" applyBorder="1"/>
    <xf numFmtId="0" fontId="3" fillId="39" borderId="13" xfId="0" applyFont="1" applyFill="1" applyBorder="1"/>
    <xf numFmtId="9" fontId="36" fillId="43" borderId="2" xfId="2" applyFont="1" applyFill="1" applyBorder="1" applyAlignment="1">
      <alignment horizontal="left"/>
    </xf>
    <xf numFmtId="9" fontId="36" fillId="43" borderId="2" xfId="2" applyFont="1" applyFill="1" applyBorder="1" applyAlignment="1">
      <alignment horizontal="left" wrapText="1"/>
    </xf>
    <xf numFmtId="9" fontId="29" fillId="43" borderId="2" xfId="2" applyFont="1" applyFill="1" applyBorder="1" applyAlignment="1">
      <alignment horizontal="left" vertical="top"/>
    </xf>
    <xf numFmtId="0" fontId="39" fillId="39" borderId="42" xfId="0" applyFont="1" applyFill="1" applyBorder="1"/>
    <xf numFmtId="0" fontId="39" fillId="39" borderId="43" xfId="0" applyFont="1" applyFill="1" applyBorder="1"/>
    <xf numFmtId="3" fontId="39" fillId="39" borderId="42" xfId="0" applyNumberFormat="1" applyFont="1" applyFill="1" applyBorder="1"/>
    <xf numFmtId="3" fontId="36" fillId="38" borderId="2" xfId="0" applyNumberFormat="1" applyFont="1" applyFill="1" applyBorder="1" applyAlignment="1">
      <alignment horizontal="right"/>
    </xf>
    <xf numFmtId="0" fontId="36" fillId="38" borderId="2" xfId="0" applyFont="1" applyFill="1" applyBorder="1" applyAlignment="1">
      <alignment horizontal="right"/>
    </xf>
    <xf numFmtId="9" fontId="29" fillId="43" borderId="2" xfId="2" applyFont="1" applyFill="1" applyBorder="1" applyAlignment="1">
      <alignment horizontal="left"/>
    </xf>
    <xf numFmtId="0" fontId="7" fillId="5" borderId="3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1" fillId="44" borderId="23" xfId="0" applyFont="1" applyFill="1" applyBorder="1" applyAlignment="1">
      <alignment horizontal="center" vertical="center"/>
    </xf>
    <xf numFmtId="0" fontId="31" fillId="44" borderId="24" xfId="0" applyFont="1" applyFill="1" applyBorder="1" applyAlignment="1">
      <alignment horizontal="center" vertical="center"/>
    </xf>
    <xf numFmtId="0" fontId="26" fillId="41" borderId="0" xfId="0" applyFont="1" applyFill="1" applyAlignment="1">
      <alignment horizontal="center" wrapText="1"/>
    </xf>
    <xf numFmtId="0" fontId="25" fillId="42" borderId="0" xfId="0" applyFont="1" applyFill="1" applyAlignment="1">
      <alignment horizontal="center" wrapText="1"/>
    </xf>
    <xf numFmtId="0" fontId="34" fillId="2" borderId="25" xfId="0" applyFont="1" applyFill="1" applyBorder="1" applyAlignment="1">
      <alignment horizontal="center" vertical="center" wrapText="1"/>
    </xf>
    <xf numFmtId="0" fontId="34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7" fillId="44" borderId="24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4" totalsRowShown="0" headerRowBorderDxfId="36">
  <autoFilter ref="A2:D4" xr:uid="{66A40F5E-D45A-46FE-9183-4A31296D93F1}"/>
  <sortState xmlns:xlrd2="http://schemas.microsoft.com/office/spreadsheetml/2017/richdata2" ref="A3:D4">
    <sortCondition ref="C2:C4"/>
  </sortState>
  <tableColumns count="4">
    <tableColumn id="3" xr3:uid="{BFC0214A-8820-4A19-81D0-852548EDA4BC}" name="Site DAS Name" dataDxfId="35" dataCellStyle="Normal 2"/>
    <tableColumn id="1" xr3:uid="{2ECEDF7A-47C1-4159-BC3D-6E76D6492D27}" name="Site" dataDxfId="34" dataCellStyle="Normal 2"/>
    <tableColumn id="2" xr3:uid="{2C9662E7-9933-4E8D-97A6-DB7E03BCDC09}" name="State" dataDxfId="33" dataCellStyle="Normal 2"/>
    <tableColumn id="5" xr3:uid="{F1D3BF47-C530-4653-922C-CDF1211AB5F9}" name="Column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9" dataDxfId="28" headerRowBorderDxfId="26" tableBorderDxfId="27">
  <autoFilter ref="A4:J16" xr:uid="{59A959C2-52B2-422A-A87A-BC08BBF40681}"/>
  <tableColumns count="10">
    <tableColumn id="1" xr3:uid="{5546520C-DCC9-49E9-9FB3-CE316D4944DA}" name="Month" dataDxfId="25"/>
    <tableColumn id="2" xr3:uid="{DDF452E8-4CE6-4DD7-83F1-6C18FAC64F53}" name="Actual" dataDxfId="24"/>
    <tableColumn id="3" xr3:uid="{854FA685-1E8D-434A-A191-70ED326137F6}" name="Expected" dataDxfId="23"/>
    <tableColumn id="4" xr3:uid="{5C3F4DED-9A03-4256-AB35-C17DABA79D2D}" name="Delta Expected" dataDxfId="22">
      <calculatedColumnFormula>B5-C5</calculatedColumnFormula>
    </tableColumn>
    <tableColumn id="5" xr3:uid="{41D24EBB-4EC4-4943-84C6-B4913606DB53}" name="% Expected" dataDxfId="21">
      <calculatedColumnFormula>IFERROR(D5/C5, 0)</calculatedColumnFormula>
    </tableColumn>
    <tableColumn id="6" xr3:uid="{BD395EF8-0433-4B53-BE3C-227C7BC36415}" name="Forecasted" dataDxfId="20"/>
    <tableColumn id="7" xr3:uid="{72B64D61-E6FB-4C48-8CEB-D343DF097E3E}" name="Delta Forecasted" dataDxfId="19" dataCellStyle="Comma">
      <calculatedColumnFormula>B5-F5</calculatedColumnFormula>
    </tableColumn>
    <tableColumn id="8" xr3:uid="{27F4C8CA-7E0A-46AD-8278-F15F669646B7}" name="% Forecasted" dataDxfId="18">
      <calculatedColumnFormula>IFERROR(G5/F5, 0)</calculatedColumnFormula>
    </tableColumn>
    <tableColumn id="9" xr3:uid="{623D8263-ADF2-4E83-A133-77A77ECF5573}" name="Notes" dataDxfId="17"/>
    <tableColumn id="10" xr3:uid="{D21843AC-EB45-41B5-BBF8-600127984792}" name="Service Reques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3" dataDxfId="12" headerRowBorderDxfId="10" tableBorderDxfId="11">
  <autoFilter ref="A4:J16" xr:uid="{59A959C2-52B2-422A-A87A-BC08BBF40681}"/>
  <tableColumns count="10">
    <tableColumn id="1" xr3:uid="{300F2B93-3E43-4029-9602-E5303206602D}" name="Month" dataDxfId="9"/>
    <tableColumn id="2" xr3:uid="{37FF0282-4483-4A16-B4CD-FA5C5D2AAB66}" name="Actual" dataDxfId="8"/>
    <tableColumn id="3" xr3:uid="{4B1572C6-48CA-4285-A895-59F55B5B6A3F}" name="Expected" dataDxfId="7"/>
    <tableColumn id="4" xr3:uid="{05CC6563-3045-40DE-A32C-A03045F46221}" name="Delta Expected" dataDxfId="6">
      <calculatedColumnFormula>B5-C5</calculatedColumnFormula>
    </tableColumn>
    <tableColumn id="5" xr3:uid="{0112F9D3-7673-407D-B2C0-617699B4EADA}" name="% Expected" dataDxfId="5">
      <calculatedColumnFormula>IFERROR(D5/C5, 0)</calculatedColumnFormula>
    </tableColumn>
    <tableColumn id="6" xr3:uid="{66AF3356-8A8A-4469-9904-982EE44943E2}" name="Forecasted" dataDxfId="4"/>
    <tableColumn id="7" xr3:uid="{C6527BC9-FA83-465E-9209-CCE13ABEDC9D}" name="Delta Forecasted" dataDxfId="3" dataCellStyle="Comma">
      <calculatedColumnFormula>B5-F5</calculatedColumnFormula>
    </tableColumn>
    <tableColumn id="8" xr3:uid="{FA6C6671-F650-4018-910D-2FFB550B3762}" name="% Forecasted" dataDxfId="2">
      <calculatedColumnFormula>IFERROR(G5/F5, 0)</calculatedColumnFormula>
    </tableColumn>
    <tableColumn id="9" xr3:uid="{2783C74E-2CBC-4809-B11D-46D4F8FBBA31}" name="Notes" dataDxfId="1"/>
    <tableColumn id="10" xr3:uid="{0D13FC05-4475-4C0F-ACFE-D5CA9083D091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1"/>
  <sheetViews>
    <sheetView workbookViewId="0">
      <pane ySplit="2" topLeftCell="A3" activePane="bottomLeft" state="frozen"/>
      <selection pane="bottomLeft" activeCell="C3" sqref="C3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0</v>
      </c>
      <c r="D1" s="100"/>
      <c r="E1" s="100"/>
      <c r="F1" s="101"/>
      <c r="G1" s="102" t="s">
        <v>1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>
        <f ca="1">SUM('1st Quarter 2024'!C3, '2nd Quarter 2024'!C3, '3rd Quarter 2024'!C3, '4th Quarter 2024'!C3)</f>
        <v>4409</v>
      </c>
      <c r="D3" s="33">
        <f ca="1">SUM('1st Quarter 2024'!D3, '2nd Quarter 2024'!D3, '3rd Quarter 2024'!D3, '4th Quarter 2024'!D3)</f>
        <v>0</v>
      </c>
      <c r="E3" s="33">
        <f ca="1">C3-D3</f>
        <v>4409</v>
      </c>
      <c r="F3" s="34">
        <f ca="1">IFERROR(E3/D3, 0)</f>
        <v>0</v>
      </c>
      <c r="G3" s="35">
        <f ca="1">SUM('1st Quarter 2024'!G3, '2nd Quarter 2024'!G3, '3rd Quarter 2024'!G3, '4th Quarter 2024'!G3)</f>
        <v>6863</v>
      </c>
      <c r="H3" s="35">
        <f ca="1">C3-G3</f>
        <v>-2454</v>
      </c>
      <c r="I3" s="36">
        <f ca="1">IFERROR(H3/G3, 0)</f>
        <v>-0.35756957598717765</v>
      </c>
      <c r="J3" s="17"/>
      <c r="K3" s="17"/>
    </row>
    <row r="4" spans="1:11" ht="15.75">
      <c r="A4" s="46" t="str">
        <v>New Haven - Brandfon Hyundai</v>
      </c>
      <c r="B4" s="18" t="str">
        <v>CT</v>
      </c>
      <c r="C4" s="33">
        <f ca="1">SUM('1st Quarter 2024'!C4, '2nd Quarter 2024'!C4, '3rd Quarter 2024'!C4, '4th Quarter 2024'!C4)</f>
        <v>4012</v>
      </c>
      <c r="D4" s="33">
        <f ca="1">SUM('1st Quarter 2024'!D4, '2nd Quarter 2024'!D4, '3rd Quarter 2024'!D4, '4th Quarter 2024'!D4)</f>
        <v>0</v>
      </c>
      <c r="E4" s="33">
        <f t="shared" ref="E4" ca="1" si="0">C4-D4</f>
        <v>4012</v>
      </c>
      <c r="F4" s="34">
        <f t="shared" ref="F4" ca="1" si="1">IFERROR(E4/D4, 0)</f>
        <v>0</v>
      </c>
      <c r="G4" s="35">
        <f ca="1">SUM('1st Quarter 2024'!G4, '2nd Quarter 2024'!G4, '3rd Quarter 2024'!G4, '4th Quarter 2024'!G4)</f>
        <v>0</v>
      </c>
      <c r="H4" s="35">
        <f t="shared" ref="H4" ca="1" si="2">C4-G4</f>
        <v>4012</v>
      </c>
      <c r="I4" s="36">
        <f t="shared" ref="I4" ca="1" si="3">IFERROR(H4/G4, 0)</f>
        <v>0</v>
      </c>
      <c r="J4" s="17"/>
      <c r="K4" s="17"/>
    </row>
    <row r="5" spans="1:11" ht="24.75" customHeight="1">
      <c r="A5" s="93" t="s">
        <v>11</v>
      </c>
      <c r="B5" s="94"/>
      <c r="C5" s="47">
        <f ca="1">SUM(C3:C4)</f>
        <v>8421</v>
      </c>
      <c r="D5" s="47">
        <f ca="1">SUM(D3:D4)</f>
        <v>0</v>
      </c>
      <c r="E5" s="47">
        <f ca="1">C5-D5</f>
        <v>8421</v>
      </c>
      <c r="F5" s="39">
        <f ca="1">IFERROR(E5/D5, 0)</f>
        <v>0</v>
      </c>
      <c r="G5" s="47">
        <f ca="1">SUM(G3:G4)</f>
        <v>6863</v>
      </c>
      <c r="H5" s="48">
        <f ca="1">C5-G5</f>
        <v>1558</v>
      </c>
      <c r="I5" s="40">
        <f ca="1">IFERROR(H5/G5, 0)</f>
        <v>0.22701442517849338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D5C25034-9971-4A61-864F-C938F31EB1B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70" priority="1" operator="lessThanOrEqual">
      <formula>-0.1</formula>
    </cfRule>
    <cfRule type="cellIs" dxfId="6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1"/>
  <sheetViews>
    <sheetView workbookViewId="0">
      <pane ySplit="2" topLeftCell="A3" activePane="bottomLeft" state="frozen"/>
      <selection pane="bottomLeft" activeCell="C12" sqref="C12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14</v>
      </c>
      <c r="D1" s="100"/>
      <c r="E1" s="100"/>
      <c r="F1" s="101"/>
      <c r="G1" s="102" t="s">
        <v>15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>
        <f ca="1">SUM('01-2024'!C3, '02-2024'!C3, '03-2024'!C3)</f>
        <v>4409</v>
      </c>
      <c r="D3" s="33">
        <f ca="1">SUM('01-2024'!D3, '02-2024'!D3, '03-2024'!D3)</f>
        <v>0</v>
      </c>
      <c r="E3" s="33">
        <f ca="1">C3-D3</f>
        <v>4409</v>
      </c>
      <c r="F3" s="34">
        <f ca="1">IFERROR(E3/D3, 0)</f>
        <v>0</v>
      </c>
      <c r="G3" s="35">
        <f ca="1">SUM('01-2024'!G3, '02-2024'!G3, '03-2024'!G3)</f>
        <v>6863</v>
      </c>
      <c r="H3" s="35">
        <f ca="1">C3-G3</f>
        <v>-2454</v>
      </c>
      <c r="I3" s="36">
        <f ca="1">IFERROR(H3/G3, 0)</f>
        <v>-0.35756957598717765</v>
      </c>
      <c r="J3" s="17"/>
      <c r="K3" s="17"/>
    </row>
    <row r="4" spans="1:11" ht="15.75">
      <c r="A4" s="46" t="str">
        <v>New Haven - Brandfon Hyundai</v>
      </c>
      <c r="B4" s="18" t="str">
        <v>CT</v>
      </c>
      <c r="C4" s="33">
        <f ca="1">SUM('01-2024'!C4, '02-2024'!C4, '03-2024'!C4)</f>
        <v>4012</v>
      </c>
      <c r="D4" s="33">
        <f ca="1">SUM('01-2024'!D4, '02-2024'!D4, '03-2024'!D4)</f>
        <v>0</v>
      </c>
      <c r="E4" s="33">
        <f t="shared" ref="E4" ca="1" si="0">C4-D4</f>
        <v>4012</v>
      </c>
      <c r="F4" s="34">
        <f t="shared" ref="F4" ca="1" si="1">IFERROR(E4/D4, 0)</f>
        <v>0</v>
      </c>
      <c r="G4" s="35">
        <f ca="1">SUM('01-2024'!G4, '02-2024'!G4, '03-2024'!G4)</f>
        <v>0</v>
      </c>
      <c r="H4" s="35">
        <f t="shared" ref="H4" ca="1" si="2">C4-G4</f>
        <v>4012</v>
      </c>
      <c r="I4" s="36">
        <f t="shared" ref="I4" ca="1" si="3">IFERROR(H4/G4, 0)</f>
        <v>0</v>
      </c>
      <c r="J4" s="17"/>
      <c r="K4" s="17"/>
    </row>
    <row r="5" spans="1:11" ht="24.75" customHeight="1">
      <c r="A5" s="93" t="s">
        <v>11</v>
      </c>
      <c r="B5" s="94"/>
      <c r="C5" s="47">
        <f ca="1">SUM(C3:C4)</f>
        <v>8421</v>
      </c>
      <c r="D5" s="47">
        <f ca="1">SUM(D3:D4)</f>
        <v>0</v>
      </c>
      <c r="E5" s="47">
        <f ca="1">C5-D5</f>
        <v>8421</v>
      </c>
      <c r="F5" s="39">
        <f ca="1">IFERROR(E5/D5, 0)</f>
        <v>0</v>
      </c>
      <c r="G5" s="47">
        <f ca="1">SUM(G3:G4)</f>
        <v>6863</v>
      </c>
      <c r="H5" s="48">
        <f ca="1">C5-G5</f>
        <v>1558</v>
      </c>
      <c r="I5" s="40">
        <f ca="1">IFERROR(H5/G5, 0)</f>
        <v>0.22701442517849338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16</v>
      </c>
      <c r="D1" s="100"/>
      <c r="E1" s="100"/>
      <c r="F1" s="101"/>
      <c r="G1" s="102" t="s">
        <v>17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>
        <f ca="1">SUM('04-2024'!C3, '05-2024'!C3, '06-2024'!C3)</f>
        <v>0</v>
      </c>
      <c r="D3" s="33">
        <f ca="1">SUM('04-2024'!D3, '05-2024'!D3, '06-2024'!D3)</f>
        <v>0</v>
      </c>
      <c r="E3" s="33">
        <f ca="1">C3-D3</f>
        <v>0</v>
      </c>
      <c r="F3" s="34">
        <f ca="1">IFERROR(E3/D3, 0)</f>
        <v>0</v>
      </c>
      <c r="G3" s="35">
        <f ca="1">SUM('04-2024'!G3, '05-2024'!G3, '06-2024'!G3)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New Haven - Brandfon Hyundai</v>
      </c>
      <c r="B4" s="18" t="str">
        <v>CT</v>
      </c>
      <c r="C4" s="33">
        <f ca="1">SUM('04-2024'!C4, '05-2024'!C4, '06-2024'!C4)</f>
        <v>0</v>
      </c>
      <c r="D4" s="33">
        <f ca="1">SUM('04-2024'!D4, '05-2024'!D4, '06-2024'!D4)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SUM('04-2024'!G4, '05-2024'!G4, '06-2024'!G4)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6" priority="1" operator="lessThanOrEqual">
      <formula>-0.1</formula>
    </cfRule>
    <cfRule type="cellIs" dxfId="6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0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18</v>
      </c>
      <c r="D1" s="100"/>
      <c r="E1" s="100"/>
      <c r="F1" s="101"/>
      <c r="G1" s="102" t="s">
        <v>19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>
        <f ca="1">SUM('07-2024'!C3, '08-2024'!C3, '09-2024'!C3)</f>
        <v>0</v>
      </c>
      <c r="D3" s="33">
        <f ca="1">SUM('07-2024'!D3, '08-2024'!D3, '09-2024'!D3)</f>
        <v>0</v>
      </c>
      <c r="E3" s="33">
        <f ca="1">C3-D3</f>
        <v>0</v>
      </c>
      <c r="F3" s="34">
        <f ca="1">IFERROR(E3/D3, 0)</f>
        <v>0</v>
      </c>
      <c r="G3" s="35">
        <f ca="1">SUM('07-2024'!G3, '08-2024'!G3, '09-2024'!G3)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New Haven - Brandfon Hyundai</v>
      </c>
      <c r="B4" s="18" t="str">
        <v>CT</v>
      </c>
      <c r="C4" s="33">
        <f ca="1">SUM('07-2024'!C4, '08-2024'!C4, '09-2024'!C4)</f>
        <v>0</v>
      </c>
      <c r="D4" s="33">
        <f ca="1">SUM('07-2024'!D4, '08-2024'!D4, '09-2024'!D4)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SUM('07-2024'!G4, '08-2024'!G4, '09-2024'!G4)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 ht="12.75" customHeight="1">
      <c r="A9" s="96" t="s">
        <v>13</v>
      </c>
      <c r="J9" s="8"/>
    </row>
    <row r="10" spans="1:11">
      <c r="A10" s="96"/>
      <c r="J10" s="8"/>
    </row>
  </sheetData>
  <autoFilter ref="A2:I2" xr:uid="{CACFAF7D-C0A7-49C0-9FFC-8D8BC8F00BC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4" priority="1" operator="lessThanOrEqual">
      <formula>-0.1</formula>
    </cfRule>
    <cfRule type="cellIs" dxfId="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20</v>
      </c>
      <c r="D1" s="100"/>
      <c r="E1" s="100"/>
      <c r="F1" s="101"/>
      <c r="G1" s="102" t="s">
        <v>21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>
        <f ca="1">SUM('10-2024'!C3, '11-2024'!C3, '12-2024'!C3)</f>
        <v>0</v>
      </c>
      <c r="D3" s="33">
        <f ca="1">SUM('10-2024'!D3, '11-2024'!D3, '12-2024'!D3)</f>
        <v>0</v>
      </c>
      <c r="E3" s="33">
        <f ca="1">C3-D3</f>
        <v>0</v>
      </c>
      <c r="F3" s="34">
        <f ca="1">IFERROR(E3/D3, 0)</f>
        <v>0</v>
      </c>
      <c r="G3" s="35">
        <f ca="1">SUM('10-2024'!G3, '11-2024'!G3, '12-2024'!G3)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New Haven - Brandfon Hyundai</v>
      </c>
      <c r="B4" s="18" t="str">
        <v>CT</v>
      </c>
      <c r="C4" s="33">
        <f ca="1">SUM('10-2024'!C4, '11-2024'!C4, '12-2024'!C4)</f>
        <v>0</v>
      </c>
      <c r="D4" s="33">
        <f ca="1">SUM('10-2024'!D4, '11-2024'!D4, '12-2024'!D4)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SUM('10-2024'!G4, '11-2024'!G4, '12-2024'!G4)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CE62352A-0CAA-4862-87B6-A6A1C7531211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2" priority="1" operator="lessThanOrEqual">
      <formula>-0.1</formula>
    </cfRule>
    <cfRule type="cellIs" dxfId="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22</v>
      </c>
      <c r="D1" s="100"/>
      <c r="E1" s="100"/>
      <c r="F1" s="101"/>
      <c r="G1" s="102" t="s">
        <v>23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cm="1">
        <f t="array" aca="1" ref="C3:K3" ca="1">IF(INDIRECT("'" &amp; $A3 &amp; "'!B5:J5")="", "", INDIRECT("'" &amp; $A3 &amp; "'!B5:J5"))</f>
        <v>4409</v>
      </c>
      <c r="D3" s="33">
        <f ca="1"/>
        <v>0</v>
      </c>
      <c r="E3" s="33">
        <f ca="1"/>
        <v>4409</v>
      </c>
      <c r="F3" s="34">
        <f ca="1"/>
        <v>0</v>
      </c>
      <c r="G3" s="35">
        <f ca="1"/>
        <v>6863</v>
      </c>
      <c r="H3" s="35">
        <f ca="1"/>
        <v>-2454</v>
      </c>
      <c r="I3" s="36">
        <f ca="1"/>
        <v>-0.35756957598717765</v>
      </c>
      <c r="J3" s="17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cm="1">
        <f t="array" aca="1" ref="C4:K4" ca="1">IF(INDIRECT("'" &amp; $A4 &amp; "'!B5:J5")="", "", INDIRECT("'" &amp; $A4 &amp; "'!B5:J5"))</f>
        <v>4012</v>
      </c>
      <c r="D4" s="33">
        <f ca="1"/>
        <v>0</v>
      </c>
      <c r="E4" s="33">
        <f ca="1"/>
        <v>4012</v>
      </c>
      <c r="F4" s="37">
        <f ca="1"/>
        <v>0</v>
      </c>
      <c r="G4" s="35">
        <f ca="1"/>
        <v>0</v>
      </c>
      <c r="H4" s="35">
        <f ca="1"/>
        <v>4012</v>
      </c>
      <c r="I4" s="38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93" t="s">
        <v>11</v>
      </c>
      <c r="B5" s="94"/>
      <c r="C5" s="47">
        <f ca="1">SUM(C3:C4)</f>
        <v>8421</v>
      </c>
      <c r="D5" s="47">
        <f ca="1">SUM(D3:D4)</f>
        <v>0</v>
      </c>
      <c r="E5" s="47">
        <f ca="1">C5-D5</f>
        <v>8421</v>
      </c>
      <c r="F5" s="39">
        <f ca="1">IFERROR(E5/D5, 0)</f>
        <v>0</v>
      </c>
      <c r="G5" s="47">
        <f ca="1">SUM(G3:G4)</f>
        <v>6863</v>
      </c>
      <c r="H5" s="48">
        <f ca="1">C5-G5</f>
        <v>1558</v>
      </c>
      <c r="I5" s="40">
        <f ca="1">IFERROR(H5/G5, 0)</f>
        <v>0.22701442517849338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60" priority="4" operator="lessThanOrEqual">
      <formula>-0.1</formula>
    </cfRule>
    <cfRule type="cellIs" dxfId="59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5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24</v>
      </c>
      <c r="D1" s="100"/>
      <c r="E1" s="100"/>
      <c r="F1" s="101"/>
      <c r="G1" s="102" t="s">
        <v>25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"'!B6:J6")="", "", INDIRECT("'" &amp; $A3 &amp; "'!B6:J6"))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"'!B6:J6")="", "", INDIRECT("'" &amp; $A4 &amp; "'!B6:J6"))</f>
        <v/>
      </c>
      <c r="D4" s="33" t="str">
        <f ca="1"/>
        <v/>
      </c>
      <c r="E4" s="33">
        <f ca="1"/>
        <v>0</v>
      </c>
      <c r="F4" s="37">
        <f ca="1"/>
        <v>0</v>
      </c>
      <c r="G4" s="35" t="str">
        <f ca="1"/>
        <v/>
      </c>
      <c r="H4" s="35">
        <f ca="1"/>
        <v>0</v>
      </c>
      <c r="I4" s="38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  <row r="15" spans="1:11">
      <c r="A15" t="s">
        <v>26</v>
      </c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8" priority="1" operator="lessThanOrEqual">
      <formula>-0.1</formula>
    </cfRule>
    <cfRule type="cellIs" dxfId="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27</v>
      </c>
      <c r="D1" s="100"/>
      <c r="E1" s="100"/>
      <c r="F1" s="101"/>
      <c r="G1" s="102" t="s">
        <v>28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"'!B7:J7")="", "", INDIRECT("'" &amp; $A3 &amp; "'!B7:J7"))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"'!B7:J7")="", "", INDIRECT("'" &amp; $A4 &amp; "'!B7:J7"))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E69961AB-A757-4049-8AB9-40F3BCB812B3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29</v>
      </c>
      <c r="D1" s="100"/>
      <c r="E1" s="100"/>
      <c r="F1" s="101"/>
      <c r="G1" s="102" t="s">
        <v>30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"'!B8:J8")="", "", INDIRECT("'" &amp; $A3 &amp; "'!B8:J8"))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"'!B8:J8")="", "", INDIRECT("'" &amp; $A4 &amp; "'!B8:J8"))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9CEFA865-F03F-435F-98CB-83683B1083B8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5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31</v>
      </c>
      <c r="D1" s="100"/>
      <c r="E1" s="100"/>
      <c r="F1" s="101"/>
      <c r="G1" s="102" t="s">
        <v>32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"'!B9:J9")="", "", INDIRECT("'" &amp; $A3 &amp; "'!B9:J9"))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"'!B9:J9")="", "", INDIRECT("'" &amp; $A4 &amp; "'!B9:J9"))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93" t="s">
        <v>11</v>
      </c>
      <c r="B5" s="104"/>
      <c r="C5" s="66">
        <f ca="1">SUM(C3:C4)</f>
        <v>0</v>
      </c>
      <c r="D5" s="66">
        <f ca="1">SUM(D3:D4)</f>
        <v>0</v>
      </c>
      <c r="E5" s="66">
        <f ca="1">C5-D5</f>
        <v>0</v>
      </c>
      <c r="F5" s="67">
        <f ca="1">IFERROR(E5/D5, 0)</f>
        <v>0</v>
      </c>
      <c r="G5" s="66">
        <f ca="1">SUM(G3:G4)</f>
        <v>0</v>
      </c>
      <c r="H5" s="68">
        <f ca="1">C5-G5</f>
        <v>0</v>
      </c>
      <c r="I5" s="69">
        <f ca="1">IFERROR(H5/G5, 0)</f>
        <v>0</v>
      </c>
      <c r="J5" s="70"/>
    </row>
    <row r="6" spans="1:11" ht="14.25">
      <c r="B6" s="71"/>
      <c r="C6" s="71"/>
      <c r="D6" s="71"/>
      <c r="E6" s="71"/>
      <c r="F6" s="72"/>
      <c r="G6" s="71"/>
      <c r="H6" s="71"/>
      <c r="I6" s="72"/>
      <c r="J6" s="70"/>
    </row>
    <row r="7" spans="1:11" ht="12.75" customHeight="1">
      <c r="A7" s="95" t="s">
        <v>12</v>
      </c>
      <c r="B7" s="71"/>
      <c r="C7" s="71"/>
      <c r="D7" s="71"/>
      <c r="E7" s="71"/>
      <c r="F7" s="72"/>
      <c r="G7" s="71"/>
      <c r="H7" s="71"/>
      <c r="I7" s="72"/>
      <c r="J7" s="70"/>
    </row>
    <row r="8" spans="1:11" ht="14.25">
      <c r="A8" s="95"/>
      <c r="B8" s="71"/>
      <c r="C8" s="71"/>
      <c r="D8" s="71"/>
      <c r="E8" s="71"/>
      <c r="F8" s="72"/>
      <c r="G8" s="71"/>
      <c r="H8" s="71"/>
      <c r="I8" s="72"/>
      <c r="J8" s="70"/>
    </row>
    <row r="9" spans="1:11" ht="14.25">
      <c r="A9" s="96" t="s">
        <v>13</v>
      </c>
      <c r="B9" s="71"/>
      <c r="C9" s="71"/>
      <c r="D9" s="71"/>
      <c r="E9" s="71"/>
      <c r="F9" s="72"/>
      <c r="G9" s="71"/>
      <c r="H9" s="71"/>
      <c r="I9" s="72"/>
      <c r="J9" s="70"/>
    </row>
    <row r="10" spans="1:11" ht="12.75" customHeight="1">
      <c r="A10" s="96"/>
      <c r="B10" s="71"/>
      <c r="C10" s="71"/>
      <c r="D10" s="71"/>
      <c r="E10" s="71"/>
      <c r="F10" s="72"/>
      <c r="G10" s="71"/>
      <c r="H10" s="71"/>
      <c r="I10" s="72"/>
      <c r="J10" s="70"/>
    </row>
    <row r="11" spans="1:11" ht="14.25">
      <c r="B11" s="71"/>
      <c r="C11" s="71"/>
      <c r="D11" s="71"/>
      <c r="E11" s="71"/>
      <c r="F11" s="72"/>
      <c r="G11" s="71"/>
      <c r="H11" s="71"/>
      <c r="I11" s="72"/>
      <c r="J11" s="70"/>
    </row>
    <row r="12" spans="1:11" ht="14.25">
      <c r="B12" s="71"/>
      <c r="C12" s="71"/>
      <c r="D12" s="71"/>
      <c r="E12" s="71"/>
      <c r="F12" s="72"/>
      <c r="G12" s="71"/>
      <c r="H12" s="71"/>
      <c r="I12" s="72"/>
      <c r="J12" s="71"/>
    </row>
    <row r="13" spans="1:11" ht="14.25">
      <c r="B13" s="71"/>
      <c r="C13" s="71"/>
      <c r="D13" s="71"/>
      <c r="E13" s="71"/>
      <c r="F13" s="72"/>
      <c r="G13" s="71"/>
      <c r="H13" s="71"/>
      <c r="I13" s="72"/>
      <c r="J13" s="71"/>
    </row>
    <row r="14" spans="1:11" ht="14.25">
      <c r="B14" s="71"/>
      <c r="C14" s="71"/>
      <c r="D14" s="71"/>
      <c r="E14" s="71"/>
      <c r="F14" s="72"/>
      <c r="G14" s="71"/>
      <c r="H14" s="71"/>
      <c r="I14" s="72"/>
      <c r="J14" s="71"/>
    </row>
    <row r="15" spans="1:11" ht="14.25">
      <c r="B15" s="71"/>
      <c r="C15" s="71"/>
      <c r="D15" s="71"/>
      <c r="E15" s="71"/>
      <c r="F15" s="72"/>
      <c r="G15" s="71"/>
      <c r="H15" s="71"/>
      <c r="I15" s="72"/>
      <c r="J15" s="71"/>
    </row>
  </sheetData>
  <autoFilter ref="A2:I2" xr:uid="{BC8A3C74-EDA3-4B8F-8C65-FD4243AE8FF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1"/>
  <sheetViews>
    <sheetView workbookViewId="0">
      <pane ySplit="2" topLeftCell="A27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33</v>
      </c>
      <c r="D1" s="100"/>
      <c r="E1" s="100"/>
      <c r="F1" s="101"/>
      <c r="G1" s="102" t="s">
        <v>34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"'!B10:J10")="", "", INDIRECT("'" &amp; $A3 &amp; "'!B10:J10"))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84" t="str">
        <f ca="1"/>
        <v/>
      </c>
      <c r="K3" s="84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"'!B10:J10")="", "", INDIRECT("'" &amp; $A4 &amp; "'!B10:J10"))</f>
        <v/>
      </c>
      <c r="D4" s="33" t="str">
        <f ca="1"/>
        <v/>
      </c>
      <c r="E4" s="33">
        <f ca="1"/>
        <v>0</v>
      </c>
      <c r="F4" s="37">
        <f ca="1"/>
        <v>0</v>
      </c>
      <c r="G4" s="35" t="str">
        <f ca="1"/>
        <v/>
      </c>
      <c r="H4" s="35">
        <f ca="1"/>
        <v>0</v>
      </c>
      <c r="I4" s="38">
        <f ca="1"/>
        <v>0</v>
      </c>
      <c r="J4" s="84" t="str">
        <f ca="1"/>
        <v/>
      </c>
      <c r="K4" s="84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6C08AFFB-6AF8-48AC-9706-52E390C2AC4B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0" priority="1" operator="lessThanOrEqual">
      <formula>-0.1</formula>
    </cfRule>
    <cfRule type="cellIs" dxfId="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1"/>
  <sheetViews>
    <sheetView workbookViewId="0">
      <pane ySplit="2" topLeftCell="A15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35</v>
      </c>
      <c r="D1" s="100"/>
      <c r="E1" s="100"/>
      <c r="F1" s="101"/>
      <c r="G1" s="102" t="s">
        <v>36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"'!B11:J11")="", "", INDIRECT("'" &amp; $A3 &amp; "'!B11:J11"))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6.149999999999999" thickBot="1">
      <c r="A4" s="46" t="str">
        <v>New Haven - Brandfon Hyundai</v>
      </c>
      <c r="B4" s="18" t="str">
        <v>CT</v>
      </c>
      <c r="C4" s="33" t="str" cm="1">
        <f t="array" aca="1" ref="C4:K4" ca="1">IF(INDIRECT("'" &amp; $A4 &amp; "'!B11:J11")="", "", INDIRECT("'" &amp; $A4 &amp; "'!B11:J11"))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 thickBo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957CD936-B73F-469A-B0B5-B8EA155C9C51}"/>
  <sortState xmlns:xlrd2="http://schemas.microsoft.com/office/spreadsheetml/2017/richdata2" ref="A3:K4">
    <sortCondition ref="A3:A4"/>
  </sortState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8" priority="1" operator="lessThanOrEqual">
      <formula>-0.1</formula>
    </cfRule>
    <cfRule type="cellIs" dxfId="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1"/>
  <sheetViews>
    <sheetView zoomScale="90" zoomScaleNormal="90"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37</v>
      </c>
      <c r="D1" s="100"/>
      <c r="E1" s="100"/>
      <c r="F1" s="101"/>
      <c r="G1" s="102" t="s">
        <v>38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"'!B12:J12")="", "", INDIRECT("'" &amp; $A3 &amp; "'!B12:J12"))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84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"'!B12:J12")="", "", INDIRECT("'" &amp; $A4 &amp; "'!B12:J12"))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84" t="str">
        <f ca="1"/>
        <v/>
      </c>
      <c r="K4" s="17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48D80AE8-42BF-4DAC-863F-113F77A3E00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6" priority="1" operator="lessThanOrEqual">
      <formula>-0.1</formula>
    </cfRule>
    <cfRule type="cellIs" dxfId="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39</v>
      </c>
      <c r="D1" s="100"/>
      <c r="E1" s="100"/>
      <c r="F1" s="101"/>
      <c r="G1" s="102" t="s">
        <v>40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"'!B13:J13")="", "", INDIRECT("'" &amp; $A3 &amp; "'!B13:J13"))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90" t="str">
        <f ca="1"/>
        <v/>
      </c>
      <c r="K3" s="90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"'!B13:J13")="", "", INDIRECT("'" &amp; $A4 &amp; "'!B13:J13"))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90" t="str">
        <f ca="1"/>
        <v/>
      </c>
      <c r="K4" s="90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534CA70E-2643-48AC-AA44-E3F75A2814B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4" priority="1" operator="lessThanOrEqual">
      <formula>-0.1</formula>
    </cfRule>
    <cfRule type="cellIs" dxfId="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41</v>
      </c>
      <c r="D1" s="100"/>
      <c r="E1" s="100"/>
      <c r="F1" s="101"/>
      <c r="G1" s="102" t="s">
        <v>42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"'!B14:J14")="", "", INDIRECT("'" &amp; $A3 &amp; "'!B14:J14"))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90" t="str">
        <f ca="1"/>
        <v/>
      </c>
      <c r="K3" s="90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"'!B14:J14")="", "", INDIRECT("'" &amp; $A4 &amp; "'!B14:J14"))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90" t="str">
        <f ca="1"/>
        <v/>
      </c>
      <c r="K4" s="90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B87DE706-15D9-4E58-ADBD-0129509DEFD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2" priority="1" operator="lessThanOrEqual">
      <formula>-0.1</formula>
    </cfRule>
    <cfRule type="cellIs" dxfId="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43</v>
      </c>
      <c r="D1" s="100"/>
      <c r="E1" s="100"/>
      <c r="F1" s="101"/>
      <c r="G1" s="102" t="s">
        <v>44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"'!B15:J15")="", "", INDIRECT("'" &amp; $A3 &amp; "'!B15:J15"))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90" t="str">
        <f ca="1"/>
        <v/>
      </c>
      <c r="K3" s="17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"'!B15:J15")="", "", INDIRECT("'" &amp; $A4 &amp; "'!B15:J15"))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90" t="str">
        <f ca="1"/>
        <v/>
      </c>
      <c r="K4" s="17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7397A98F-A32F-42EE-8114-2658DE422011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0" priority="1" operator="lessThanOrEqual">
      <formula>-0.1</formula>
    </cfRule>
    <cfRule type="cellIs" dxfId="3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1"/>
  <sheetViews>
    <sheetView workbookViewId="0">
      <pane ySplit="2" topLeftCell="A3" activePane="bottomLeft" state="frozen"/>
      <selection pane="bottomLeft" activeCell="I27" sqref="I27"/>
      <selection activeCell="A15" sqref="A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97" t="str" cm="1">
        <f t="array" ref="A1">portfolio</f>
        <v>BRANDFON</v>
      </c>
      <c r="B1" s="98"/>
      <c r="C1" s="99" t="s">
        <v>45</v>
      </c>
      <c r="D1" s="100"/>
      <c r="E1" s="100"/>
      <c r="F1" s="101"/>
      <c r="G1" s="102" t="s">
        <v>46</v>
      </c>
      <c r="H1" s="102"/>
      <c r="I1" s="103"/>
      <c r="J1" s="91" t="s">
        <v>2</v>
      </c>
      <c r="K1" s="91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92"/>
      <c r="K2" s="92"/>
    </row>
    <row r="3" spans="1:11" ht="15.75">
      <c r="A3" s="45" t="str" cm="1">
        <f t="array" ref="A3:A4">Sites[Site]</f>
        <v>Branford - Brandfon Honda</v>
      </c>
      <c r="B3" s="32" t="str" cm="1">
        <f t="array" ref="B3:B4">Sites[State]</f>
        <v>CT</v>
      </c>
      <c r="C3" s="33" t="str" cm="1">
        <f t="array" aca="1" ref="C3:K3" ca="1">IF(INDIRECT("'" &amp; $A3 &amp; "'!B16:J16")="", "", INDIRECT("'" &amp; $A3 &amp; "'!B16:J16"))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90" t="str">
        <f ca="1"/>
        <v/>
      </c>
      <c r="K3" s="90" t="str">
        <f ca="1"/>
        <v/>
      </c>
    </row>
    <row r="4" spans="1:11" ht="15.75">
      <c r="A4" s="46" t="str">
        <v>New Haven - Brandfon Hyundai</v>
      </c>
      <c r="B4" s="18" t="str">
        <v>CT</v>
      </c>
      <c r="C4" s="33" t="str" cm="1">
        <f t="array" aca="1" ref="C4:K4" ca="1">IF(INDIRECT("'" &amp; $A4 &amp; "'!B16:J16")="", "", INDIRECT("'" &amp; $A4 &amp; "'!B16:J16"))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90" t="str">
        <f ca="1"/>
        <v/>
      </c>
      <c r="K4" s="90" t="str">
        <f ca="1"/>
        <v/>
      </c>
    </row>
    <row r="5" spans="1:11" ht="24.75" customHeight="1">
      <c r="A5" s="93" t="s">
        <v>11</v>
      </c>
      <c r="B5" s="94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95" t="s">
        <v>12</v>
      </c>
      <c r="J7" s="8"/>
    </row>
    <row r="8" spans="1:11">
      <c r="A8" s="95"/>
      <c r="J8" s="8"/>
    </row>
    <row r="9" spans="1:11">
      <c r="A9" s="96" t="s">
        <v>13</v>
      </c>
      <c r="J9" s="8"/>
    </row>
    <row r="10" spans="1:11" ht="12.75" customHeight="1">
      <c r="A10" s="96"/>
      <c r="J10" s="8"/>
    </row>
    <row r="11" spans="1:11">
      <c r="J11" s="8"/>
    </row>
  </sheetData>
  <autoFilter ref="A2:I2" xr:uid="{7BFACBC8-3831-4E2B-BAD7-988F02FCC664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8" priority="1" operator="lessThanOrEqual">
      <formula>-0.1</formula>
    </cfRule>
    <cfRule type="cellIs" dxfId="3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D1" sqref="D1:D1048576"/>
    </sheetView>
  </sheetViews>
  <sheetFormatPr defaultRowHeight="12.75" customHeight="1"/>
  <cols>
    <col min="1" max="2" width="41.85546875" customWidth="1"/>
    <col min="4" max="4" width="9.140625" hidden="1" customWidth="1"/>
    <col min="5" max="14" width="9.140625" customWidth="1"/>
  </cols>
  <sheetData>
    <row r="1" spans="1:7" ht="12.75" customHeight="1">
      <c r="A1" t="s">
        <v>47</v>
      </c>
      <c r="B1" t="s">
        <v>48</v>
      </c>
    </row>
    <row r="2" spans="1:7">
      <c r="A2" t="s">
        <v>49</v>
      </c>
      <c r="B2" s="14" t="s">
        <v>4</v>
      </c>
      <c r="C2" s="14" t="s">
        <v>5</v>
      </c>
      <c r="D2" t="s">
        <v>50</v>
      </c>
    </row>
    <row r="3" spans="1:7" ht="14.25">
      <c r="A3" s="73" t="s">
        <v>51</v>
      </c>
      <c r="B3" s="74" t="s">
        <v>52</v>
      </c>
      <c r="C3" s="74" t="s">
        <v>53</v>
      </c>
      <c r="D3" s="13" t="s">
        <v>54</v>
      </c>
      <c r="G3" s="12"/>
    </row>
    <row r="4" spans="1:7" ht="14.25">
      <c r="A4" s="75" t="s">
        <v>55</v>
      </c>
      <c r="B4" s="76" t="s">
        <v>56</v>
      </c>
      <c r="C4" s="77" t="s">
        <v>53</v>
      </c>
      <c r="D4" s="13" t="s">
        <v>54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13" t="s">
        <v>52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5" ht="25.15">
      <c r="A2" s="10"/>
      <c r="B2" s="10"/>
      <c r="C2" s="10"/>
      <c r="D2" s="10"/>
      <c r="E2" s="10"/>
    </row>
    <row r="3" spans="1:15" ht="16.5" customHeight="1">
      <c r="A3" s="105" t="s">
        <v>57</v>
      </c>
      <c r="B3" s="106"/>
      <c r="C3" s="106"/>
      <c r="D3" s="106"/>
      <c r="E3" s="107"/>
      <c r="F3" s="108" t="s">
        <v>58</v>
      </c>
      <c r="G3" s="109"/>
      <c r="H3" s="110"/>
      <c r="I3" s="111" t="s">
        <v>59</v>
      </c>
      <c r="J3" s="112"/>
    </row>
    <row r="4" spans="1:15" ht="13.15" customHeight="1" thickBot="1">
      <c r="A4" s="15" t="s">
        <v>60</v>
      </c>
      <c r="B4" s="25" t="s">
        <v>6</v>
      </c>
      <c r="C4" s="25" t="s">
        <v>7</v>
      </c>
      <c r="D4" s="25" t="s">
        <v>61</v>
      </c>
      <c r="E4" s="26" t="s">
        <v>62</v>
      </c>
      <c r="F4" s="27" t="s">
        <v>10</v>
      </c>
      <c r="G4" s="28" t="s">
        <v>63</v>
      </c>
      <c r="H4" s="29" t="s">
        <v>64</v>
      </c>
      <c r="I4" s="30" t="s">
        <v>59</v>
      </c>
      <c r="J4" s="31" t="s">
        <v>65</v>
      </c>
    </row>
    <row r="5" spans="1:15" ht="13.15" customHeight="1">
      <c r="A5" s="16" t="s">
        <v>66</v>
      </c>
      <c r="B5" s="89">
        <v>4409</v>
      </c>
      <c r="C5" s="89">
        <v>0</v>
      </c>
      <c r="D5" s="49">
        <f>B5-C5</f>
        <v>4409</v>
      </c>
      <c r="E5" s="50">
        <f t="shared" ref="E5:E16" si="0">IFERROR(D5/C5, 0)</f>
        <v>0</v>
      </c>
      <c r="F5" s="85">
        <v>6863</v>
      </c>
      <c r="G5" s="51">
        <f>B5-F5</f>
        <v>-2454</v>
      </c>
      <c r="H5" s="52">
        <f t="shared" ref="H5:H16" si="1">IFERROR(G5/F5, 0)</f>
        <v>-0.35756957598717765</v>
      </c>
      <c r="I5" s="53"/>
      <c r="J5" s="53"/>
      <c r="O5" s="4"/>
    </row>
    <row r="6" spans="1:15" ht="13.15" customHeight="1">
      <c r="A6" s="18" t="s">
        <v>67</v>
      </c>
      <c r="B6" s="89"/>
      <c r="C6" s="89"/>
      <c r="D6" s="49">
        <f t="shared" ref="D6:D16" si="2">B6-C6</f>
        <v>0</v>
      </c>
      <c r="E6" s="50">
        <f t="shared" si="0"/>
        <v>0</v>
      </c>
      <c r="F6" s="86"/>
      <c r="G6" s="51">
        <f t="shared" ref="G6:G16" si="3">B6-F6</f>
        <v>0</v>
      </c>
      <c r="H6" s="52">
        <f t="shared" si="1"/>
        <v>0</v>
      </c>
      <c r="I6" s="53"/>
      <c r="J6" s="53"/>
    </row>
    <row r="7" spans="1:15" ht="13.15" customHeight="1">
      <c r="A7" s="18" t="s">
        <v>68</v>
      </c>
      <c r="B7" s="88"/>
      <c r="C7" s="89"/>
      <c r="D7" s="49">
        <f t="shared" si="2"/>
        <v>0</v>
      </c>
      <c r="E7" s="50">
        <f t="shared" si="0"/>
        <v>0</v>
      </c>
      <c r="F7" s="87"/>
      <c r="G7" s="51">
        <f t="shared" si="3"/>
        <v>0</v>
      </c>
      <c r="H7" s="52">
        <f t="shared" si="1"/>
        <v>0</v>
      </c>
      <c r="I7" s="53"/>
      <c r="J7" s="53"/>
    </row>
    <row r="8" spans="1:15" ht="13.15" customHeight="1">
      <c r="A8" s="18" t="s">
        <v>69</v>
      </c>
      <c r="B8" s="88"/>
      <c r="C8" s="89"/>
      <c r="D8" s="49">
        <f t="shared" si="2"/>
        <v>0</v>
      </c>
      <c r="E8" s="50">
        <f t="shared" si="0"/>
        <v>0</v>
      </c>
      <c r="F8" s="87"/>
      <c r="G8" s="51">
        <f t="shared" si="3"/>
        <v>0</v>
      </c>
      <c r="H8" s="52">
        <f t="shared" si="1"/>
        <v>0</v>
      </c>
      <c r="I8" s="53"/>
      <c r="J8" s="53"/>
    </row>
    <row r="9" spans="1:15" ht="13.15" customHeight="1">
      <c r="A9" s="18" t="s">
        <v>70</v>
      </c>
      <c r="B9" s="88"/>
      <c r="C9" s="89"/>
      <c r="D9" s="49">
        <f t="shared" si="2"/>
        <v>0</v>
      </c>
      <c r="E9" s="50">
        <f t="shared" si="0"/>
        <v>0</v>
      </c>
      <c r="F9" s="87"/>
      <c r="G9" s="51">
        <f t="shared" si="3"/>
        <v>0</v>
      </c>
      <c r="H9" s="52">
        <f t="shared" si="1"/>
        <v>0</v>
      </c>
      <c r="I9" s="53"/>
      <c r="J9" s="53"/>
    </row>
    <row r="10" spans="1:15" ht="14.25">
      <c r="A10" s="18" t="s">
        <v>71</v>
      </c>
      <c r="B10" s="88"/>
      <c r="C10" s="89"/>
      <c r="D10" s="49">
        <f t="shared" si="2"/>
        <v>0</v>
      </c>
      <c r="E10" s="50">
        <f t="shared" si="0"/>
        <v>0</v>
      </c>
      <c r="F10" s="87"/>
      <c r="G10" s="51">
        <f t="shared" si="3"/>
        <v>0</v>
      </c>
      <c r="H10" s="52">
        <f t="shared" si="1"/>
        <v>0</v>
      </c>
      <c r="I10" s="55"/>
      <c r="J10" s="53"/>
    </row>
    <row r="11" spans="1:15" ht="14.25">
      <c r="A11" s="18" t="s">
        <v>72</v>
      </c>
      <c r="B11" s="88"/>
      <c r="C11" s="49"/>
      <c r="D11" s="49">
        <f t="shared" si="2"/>
        <v>0</v>
      </c>
      <c r="E11" s="50">
        <f t="shared" si="0"/>
        <v>0</v>
      </c>
      <c r="F11" s="87"/>
      <c r="G11" s="51">
        <f t="shared" si="3"/>
        <v>0</v>
      </c>
      <c r="H11" s="52">
        <f t="shared" si="1"/>
        <v>0</v>
      </c>
      <c r="I11" s="55"/>
      <c r="J11" s="53"/>
    </row>
    <row r="12" spans="1:15" ht="13.15" customHeight="1">
      <c r="A12" s="18" t="s">
        <v>73</v>
      </c>
      <c r="B12" s="88"/>
      <c r="C12" s="49"/>
      <c r="D12" s="49">
        <f t="shared" si="2"/>
        <v>0</v>
      </c>
      <c r="E12" s="50">
        <f t="shared" si="0"/>
        <v>0</v>
      </c>
      <c r="F12" s="58"/>
      <c r="G12" s="51">
        <f t="shared" si="3"/>
        <v>0</v>
      </c>
      <c r="H12" s="52">
        <f t="shared" si="1"/>
        <v>0</v>
      </c>
      <c r="I12" s="55"/>
      <c r="J12" s="53"/>
    </row>
    <row r="13" spans="1:15" ht="13.15" customHeight="1">
      <c r="A13" s="18" t="s">
        <v>74</v>
      </c>
      <c r="B13" s="49"/>
      <c r="C13" s="49"/>
      <c r="D13" s="49">
        <f t="shared" si="2"/>
        <v>0</v>
      </c>
      <c r="E13" s="50">
        <f t="shared" si="0"/>
        <v>0</v>
      </c>
      <c r="F13" s="51"/>
      <c r="G13" s="51">
        <f t="shared" si="3"/>
        <v>0</v>
      </c>
      <c r="H13" s="52">
        <f t="shared" si="1"/>
        <v>0</v>
      </c>
      <c r="I13" s="55"/>
      <c r="J13" s="53"/>
    </row>
    <row r="14" spans="1:15" ht="13.15" customHeight="1">
      <c r="A14" s="18" t="s">
        <v>75</v>
      </c>
      <c r="B14" s="49"/>
      <c r="C14" s="49"/>
      <c r="D14" s="49">
        <f t="shared" si="2"/>
        <v>0</v>
      </c>
      <c r="E14" s="50">
        <f t="shared" si="0"/>
        <v>0</v>
      </c>
      <c r="F14" s="51"/>
      <c r="G14" s="51">
        <f t="shared" si="3"/>
        <v>0</v>
      </c>
      <c r="H14" s="52">
        <f t="shared" si="1"/>
        <v>0</v>
      </c>
      <c r="I14" s="55"/>
      <c r="J14" s="53"/>
    </row>
    <row r="15" spans="1:15" ht="13.15" customHeight="1">
      <c r="A15" s="18" t="s">
        <v>76</v>
      </c>
      <c r="B15" s="56"/>
      <c r="C15" s="56"/>
      <c r="D15" s="49">
        <f t="shared" si="2"/>
        <v>0</v>
      </c>
      <c r="E15" s="50">
        <f t="shared" si="0"/>
        <v>0</v>
      </c>
      <c r="F15" s="59"/>
      <c r="G15" s="51">
        <f t="shared" si="3"/>
        <v>0</v>
      </c>
      <c r="H15" s="52">
        <f t="shared" si="1"/>
        <v>0</v>
      </c>
      <c r="I15" s="55"/>
      <c r="J15" s="53"/>
    </row>
    <row r="16" spans="1:15" ht="14.25">
      <c r="A16" s="19" t="s">
        <v>77</v>
      </c>
      <c r="B16" s="60"/>
      <c r="C16" s="60"/>
      <c r="D16" s="49">
        <f t="shared" si="2"/>
        <v>0</v>
      </c>
      <c r="E16" s="50">
        <f t="shared" si="0"/>
        <v>0</v>
      </c>
      <c r="F16" s="61"/>
      <c r="G16" s="51">
        <f t="shared" si="3"/>
        <v>0</v>
      </c>
      <c r="H16" s="52">
        <f t="shared" si="1"/>
        <v>0</v>
      </c>
      <c r="I16" s="55"/>
      <c r="J16" s="62"/>
    </row>
    <row r="17" spans="1:15" ht="13.15" customHeight="1">
      <c r="A17" s="20" t="s">
        <v>78</v>
      </c>
      <c r="B17" s="21">
        <f>SUM(B5:B16)</f>
        <v>4409</v>
      </c>
      <c r="C17" s="21">
        <f t="shared" ref="C17:F17" si="4">SUM(C5:C16)</f>
        <v>0</v>
      </c>
      <c r="D17" s="21">
        <f>B17-C17</f>
        <v>4409</v>
      </c>
      <c r="E17" s="22">
        <f>IFERROR(D17/C17, 0)</f>
        <v>0</v>
      </c>
      <c r="F17" s="21">
        <f t="shared" si="4"/>
        <v>6863</v>
      </c>
      <c r="G17" s="21">
        <f>B17-F17</f>
        <v>-2454</v>
      </c>
      <c r="H17" s="23">
        <f>IFERROR(G17/F17, 0)</f>
        <v>-0.35756957598717765</v>
      </c>
      <c r="I17" s="24"/>
      <c r="J17" s="24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tabSelected="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9" customWidth="1"/>
    <col min="10" max="10" width="21.42578125" customWidth="1"/>
  </cols>
  <sheetData>
    <row r="1" spans="1:15" ht="25.15">
      <c r="A1" s="113" t="s">
        <v>56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5" ht="25.15">
      <c r="A2" s="10"/>
      <c r="B2" s="10"/>
      <c r="C2" s="10"/>
      <c r="D2" s="10"/>
      <c r="E2" s="10"/>
    </row>
    <row r="3" spans="1:15" ht="15">
      <c r="A3" s="105" t="s">
        <v>57</v>
      </c>
      <c r="B3" s="106"/>
      <c r="C3" s="106"/>
      <c r="D3" s="106"/>
      <c r="E3" s="107"/>
      <c r="F3" s="108" t="s">
        <v>58</v>
      </c>
      <c r="G3" s="109"/>
      <c r="H3" s="110"/>
      <c r="I3" s="111" t="s">
        <v>59</v>
      </c>
      <c r="J3" s="112"/>
    </row>
    <row r="4" spans="1:15" ht="13.15" thickBot="1">
      <c r="A4" s="15" t="s">
        <v>60</v>
      </c>
      <c r="B4" s="25" t="s">
        <v>6</v>
      </c>
      <c r="C4" s="25" t="s">
        <v>7</v>
      </c>
      <c r="D4" s="25" t="s">
        <v>61</v>
      </c>
      <c r="E4" s="26" t="s">
        <v>62</v>
      </c>
      <c r="F4" s="27" t="s">
        <v>10</v>
      </c>
      <c r="G4" s="28" t="s">
        <v>63</v>
      </c>
      <c r="H4" s="29" t="s">
        <v>64</v>
      </c>
      <c r="I4" s="30" t="s">
        <v>59</v>
      </c>
      <c r="J4" s="31" t="s">
        <v>65</v>
      </c>
    </row>
    <row r="5" spans="1:15" ht="14.25">
      <c r="A5" s="16" t="s">
        <v>66</v>
      </c>
      <c r="B5" s="88">
        <v>4012</v>
      </c>
      <c r="C5" s="89">
        <v>0</v>
      </c>
      <c r="D5" s="49">
        <f>B5-C5</f>
        <v>4012</v>
      </c>
      <c r="E5" s="50">
        <f t="shared" ref="E5:E16" si="0">IFERROR(D5/C5, 0)</f>
        <v>0</v>
      </c>
      <c r="F5" s="80">
        <v>0</v>
      </c>
      <c r="G5" s="51">
        <f>B5-F5</f>
        <v>4012</v>
      </c>
      <c r="H5" s="52">
        <f t="shared" ref="H5:H14" si="1">IFERROR(G5/F5, 0)</f>
        <v>0</v>
      </c>
      <c r="I5" s="83"/>
      <c r="J5" s="53"/>
      <c r="O5" s="4"/>
    </row>
    <row r="6" spans="1:15" ht="14.25">
      <c r="A6" s="18" t="s">
        <v>67</v>
      </c>
      <c r="B6" s="88"/>
      <c r="C6" s="89"/>
      <c r="D6" s="49">
        <f t="shared" ref="D6:D14" si="2">B6-C6</f>
        <v>0</v>
      </c>
      <c r="E6" s="54">
        <f>IFERROR(D6/C6, 0)</f>
        <v>0</v>
      </c>
      <c r="F6" s="81"/>
      <c r="G6" s="51">
        <f t="shared" ref="G6:G14" si="3">B6-F6</f>
        <v>0</v>
      </c>
      <c r="H6" s="52">
        <f t="shared" si="1"/>
        <v>0</v>
      </c>
      <c r="I6" s="83"/>
      <c r="J6" s="53"/>
    </row>
    <row r="7" spans="1:15" ht="14.25">
      <c r="A7" s="18" t="s">
        <v>68</v>
      </c>
      <c r="B7" s="88"/>
      <c r="C7" s="89"/>
      <c r="D7" s="49">
        <f t="shared" si="2"/>
        <v>0</v>
      </c>
      <c r="E7" s="54">
        <f t="shared" si="0"/>
        <v>0</v>
      </c>
      <c r="F7" s="80"/>
      <c r="G7" s="51">
        <f t="shared" si="3"/>
        <v>0</v>
      </c>
      <c r="H7" s="52">
        <f t="shared" si="1"/>
        <v>0</v>
      </c>
      <c r="I7" s="83"/>
      <c r="J7" s="53"/>
    </row>
    <row r="8" spans="1:15" ht="14.25">
      <c r="A8" s="18" t="s">
        <v>69</v>
      </c>
      <c r="B8" s="88"/>
      <c r="C8" s="89"/>
      <c r="D8" s="49">
        <f t="shared" si="2"/>
        <v>0</v>
      </c>
      <c r="E8" s="54">
        <f t="shared" si="0"/>
        <v>0</v>
      </c>
      <c r="F8" s="80"/>
      <c r="G8" s="51">
        <f t="shared" si="3"/>
        <v>0</v>
      </c>
      <c r="H8" s="52">
        <f t="shared" si="1"/>
        <v>0</v>
      </c>
      <c r="I8" s="83"/>
      <c r="J8" s="53"/>
    </row>
    <row r="9" spans="1:15" ht="14.25">
      <c r="A9" s="18" t="s">
        <v>70</v>
      </c>
      <c r="B9" s="88"/>
      <c r="C9" s="89"/>
      <c r="D9" s="49">
        <f t="shared" si="2"/>
        <v>0</v>
      </c>
      <c r="E9" s="54">
        <f t="shared" si="0"/>
        <v>0</v>
      </c>
      <c r="F9" s="80"/>
      <c r="G9" s="51">
        <f t="shared" si="3"/>
        <v>0</v>
      </c>
      <c r="H9" s="52">
        <f t="shared" si="1"/>
        <v>0</v>
      </c>
      <c r="I9" s="55"/>
      <c r="J9" s="53"/>
    </row>
    <row r="10" spans="1:15" ht="14.25">
      <c r="A10" s="18" t="s">
        <v>71</v>
      </c>
      <c r="B10" s="79"/>
      <c r="C10" s="78"/>
      <c r="D10" s="49">
        <f t="shared" si="2"/>
        <v>0</v>
      </c>
      <c r="E10" s="54">
        <f t="shared" si="0"/>
        <v>0</v>
      </c>
      <c r="F10" s="80"/>
      <c r="G10" s="51">
        <f t="shared" si="3"/>
        <v>0</v>
      </c>
      <c r="H10" s="52">
        <f t="shared" si="1"/>
        <v>0</v>
      </c>
      <c r="I10" s="82"/>
      <c r="J10" s="63"/>
    </row>
    <row r="11" spans="1:15" ht="14.25">
      <c r="A11" s="18" t="s">
        <v>72</v>
      </c>
      <c r="B11" s="49"/>
      <c r="C11" s="49"/>
      <c r="D11" s="49">
        <f t="shared" si="2"/>
        <v>0</v>
      </c>
      <c r="E11" s="54">
        <f t="shared" si="0"/>
        <v>0</v>
      </c>
      <c r="F11" s="57"/>
      <c r="G11" s="51">
        <f t="shared" si="3"/>
        <v>0</v>
      </c>
      <c r="H11" s="52">
        <f t="shared" si="1"/>
        <v>0</v>
      </c>
      <c r="I11" s="82"/>
      <c r="J11" s="63"/>
    </row>
    <row r="12" spans="1:15" ht="14.25">
      <c r="A12" s="18" t="s">
        <v>73</v>
      </c>
      <c r="B12" s="49"/>
      <c r="C12" s="49"/>
      <c r="D12" s="49">
        <f t="shared" si="2"/>
        <v>0</v>
      </c>
      <c r="E12" s="54">
        <f t="shared" si="0"/>
        <v>0</v>
      </c>
      <c r="F12" s="57"/>
      <c r="G12" s="51">
        <f t="shared" si="3"/>
        <v>0</v>
      </c>
      <c r="H12" s="52">
        <f t="shared" si="1"/>
        <v>0</v>
      </c>
      <c r="I12" s="82"/>
      <c r="J12" s="64"/>
    </row>
    <row r="13" spans="1:15" ht="14.25">
      <c r="A13" s="18" t="s">
        <v>74</v>
      </c>
      <c r="B13" s="49"/>
      <c r="C13" s="49"/>
      <c r="D13" s="49">
        <f t="shared" si="2"/>
        <v>0</v>
      </c>
      <c r="E13" s="54">
        <f t="shared" si="0"/>
        <v>0</v>
      </c>
      <c r="F13" s="51"/>
      <c r="G13" s="51">
        <f t="shared" si="3"/>
        <v>0</v>
      </c>
      <c r="H13" s="52">
        <f t="shared" si="1"/>
        <v>0</v>
      </c>
      <c r="I13" s="53"/>
      <c r="J13" s="53"/>
    </row>
    <row r="14" spans="1:15" ht="14.25">
      <c r="A14" s="18" t="s">
        <v>75</v>
      </c>
      <c r="B14" s="49"/>
      <c r="C14" s="49"/>
      <c r="D14" s="49">
        <f t="shared" si="2"/>
        <v>0</v>
      </c>
      <c r="E14" s="54">
        <f t="shared" si="0"/>
        <v>0</v>
      </c>
      <c r="F14" s="51"/>
      <c r="G14" s="51">
        <f t="shared" si="3"/>
        <v>0</v>
      </c>
      <c r="H14" s="52">
        <f t="shared" si="1"/>
        <v>0</v>
      </c>
      <c r="I14" s="82"/>
      <c r="J14" s="53"/>
    </row>
    <row r="15" spans="1:15" ht="14.25">
      <c r="A15" s="18" t="s">
        <v>76</v>
      </c>
      <c r="B15" s="56"/>
      <c r="C15" s="49"/>
      <c r="D15" s="49">
        <f t="shared" ref="D15:D16" si="4">B15-C15</f>
        <v>0</v>
      </c>
      <c r="E15" s="54">
        <f t="shared" si="0"/>
        <v>0</v>
      </c>
      <c r="F15" s="51"/>
      <c r="G15" s="51">
        <f t="shared" ref="G15:G16" si="5">B15-F15</f>
        <v>0</v>
      </c>
      <c r="H15" s="52">
        <f t="shared" ref="H15:H16" si="6">IFERROR(G15/F15, 0)</f>
        <v>0</v>
      </c>
      <c r="I15" s="82"/>
      <c r="J15" s="53"/>
    </row>
    <row r="16" spans="1:15" ht="14.25">
      <c r="A16" s="19" t="s">
        <v>77</v>
      </c>
      <c r="B16" s="60"/>
      <c r="C16" s="60"/>
      <c r="D16" s="49">
        <f t="shared" si="4"/>
        <v>0</v>
      </c>
      <c r="E16" s="54">
        <f t="shared" si="0"/>
        <v>0</v>
      </c>
      <c r="F16" s="51"/>
      <c r="G16" s="51">
        <f t="shared" si="5"/>
        <v>0</v>
      </c>
      <c r="H16" s="52">
        <f t="shared" si="6"/>
        <v>0</v>
      </c>
      <c r="I16" s="82"/>
      <c r="J16" s="65"/>
    </row>
    <row r="17" spans="1:15" ht="14.25">
      <c r="A17" s="20" t="s">
        <v>78</v>
      </c>
      <c r="B17" s="21">
        <f>SUM(B5:B16)</f>
        <v>4012</v>
      </c>
      <c r="C17" s="21">
        <f t="shared" ref="C17:F17" si="7">SUM(C5:C16)</f>
        <v>0</v>
      </c>
      <c r="D17" s="21">
        <f>B17-C17</f>
        <v>4012</v>
      </c>
      <c r="E17" s="22">
        <f>IFERROR(D17/C17, 0)</f>
        <v>0</v>
      </c>
      <c r="F17" s="21">
        <f t="shared" si="7"/>
        <v>0</v>
      </c>
      <c r="G17" s="21">
        <f>B17-F17</f>
        <v>4012</v>
      </c>
      <c r="H17" s="23">
        <f>IFERROR(G17/F17, 0)</f>
        <v>0</v>
      </c>
      <c r="I17" s="24"/>
      <c r="J17" s="24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F08880F1-35DE-4CC3-80B8-CD3B774B7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2024-02-05T06:06:04Z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