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19AF1679-6FA9-4A91-885F-42C49A908440}" xr6:coauthVersionLast="47" xr6:coauthVersionMax="47" xr10:uidLastSave="{00000000-0000-0000-0000-000000000000}"/>
  <bookViews>
    <workbookView xWindow="43080" yWindow="1335" windowWidth="29040" windowHeight="15720" activeTab="1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E16" i="1" s="1"/>
  <c r="G16" i="1"/>
  <c r="H16" i="1" s="1"/>
  <c r="F8" i="2"/>
  <c r="F7" i="2"/>
  <c r="F6" i="2"/>
  <c r="F5" i="2"/>
  <c r="C5" i="2"/>
  <c r="C6" i="2"/>
  <c r="C7" i="2"/>
  <c r="C8" i="2"/>
  <c r="B8" i="2"/>
  <c r="B7" i="2"/>
  <c r="B6" i="2"/>
  <c r="D6" i="2" s="1"/>
  <c r="E6" i="2" s="1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G8" i="2" l="1"/>
  <c r="H8" i="2" s="1"/>
  <c r="D8" i="2"/>
  <c r="E8" i="2" s="1"/>
  <c r="C9" i="2"/>
  <c r="F9" i="2"/>
  <c r="D7" i="2"/>
  <c r="E7" i="2" s="1"/>
  <c r="G7" i="2"/>
  <c r="H7" i="2" s="1"/>
  <c r="B9" i="2"/>
  <c r="G6" i="2"/>
  <c r="H6" i="2" s="1"/>
  <c r="D5" i="2"/>
  <c r="E5" i="2" s="1"/>
  <c r="G5" i="2"/>
  <c r="H5" i="2" s="1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<sst xmlns="http://schemas.openxmlformats.org/spreadsheetml/2006/main" count="43" uniqueCount="32">
  <si>
    <t>Will Canton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</si>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</sst>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sz val="11"/>
      <color rgb="FF555555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4" fillId="0" borderId="14" xfId="0" applyFont="1" applyBorder="1" applyAlignment="1">
      <alignment horizontal="left" vertical="center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/>
    </xf>
    <xf numFmtId="9" fontId="6" fillId="3" borderId="1" xfId="2" applyFont="1" applyFill="1" applyBorder="1" applyAlignment="1">
      <alignment horizontal="center"/>
    </xf>
    <xf numFmtId="3" fontId="6" fillId="5" borderId="1" xfId="1" applyNumberFormat="1" applyFont="1" applyFill="1" applyBorder="1"/>
    <xf numFmtId="9" fontId="6" fillId="5" borderId="1" xfId="2" applyFont="1" applyFill="1" applyBorder="1" applyAlignment="1">
      <alignment horizontal="center"/>
    </xf>
    <xf numFmtId="9" fontId="6" fillId="7" borderId="1" xfId="2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6" fillId="3" borderId="3" xfId="2" applyFont="1" applyFill="1" applyBorder="1" applyAlignment="1">
      <alignment horizontal="center"/>
    </xf>
    <xf numFmtId="3" fontId="6" fillId="5" borderId="4" xfId="1" applyNumberFormat="1" applyFont="1" applyFill="1" applyBorder="1"/>
    <xf numFmtId="3" fontId="6" fillId="5" borderId="1" xfId="1" applyNumberFormat="1" applyFont="1" applyFill="1" applyBorder="1" applyAlignment="1">
      <alignment vertical="center"/>
    </xf>
    <xf numFmtId="9" fontId="6" fillId="7" borderId="1" xfId="2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vertical="top"/>
    </xf>
    <xf numFmtId="3" fontId="6" fillId="4" borderId="2" xfId="0" applyNumberFormat="1" applyFont="1" applyFill="1" applyBorder="1"/>
    <xf numFmtId="0" fontId="5" fillId="0" borderId="19" xfId="0" applyFont="1" applyBorder="1" applyAlignment="1">
      <alignment horizontal="center"/>
    </xf>
    <xf numFmtId="3" fontId="6" fillId="3" borderId="20" xfId="0" applyNumberFormat="1" applyFont="1" applyFill="1" applyBorder="1" applyAlignment="1">
      <alignment horizontal="right"/>
    </xf>
    <xf numFmtId="9" fontId="6" fillId="3" borderId="19" xfId="2" applyFont="1" applyFill="1" applyBorder="1" applyAlignment="1">
      <alignment horizontal="center"/>
    </xf>
    <xf numFmtId="3" fontId="6" fillId="5" borderId="20" xfId="1" applyNumberFormat="1" applyFont="1" applyFill="1" applyBorder="1"/>
    <xf numFmtId="9" fontId="6" fillId="5" borderId="20" xfId="2" applyFont="1" applyFill="1" applyBorder="1" applyAlignment="1">
      <alignment horizontal="center"/>
    </xf>
    <xf numFmtId="9" fontId="6" fillId="7" borderId="20" xfId="2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3" fontId="10" fillId="4" borderId="2" xfId="0" applyNumberFormat="1" applyFont="1" applyFill="1" applyBorder="1"/>
    <xf numFmtId="0" fontId="10" fillId="4" borderId="2" xfId="0" applyFont="1" applyFill="1" applyBorder="1"/>
    <xf numFmtId="3" fontId="6" fillId="3" borderId="2" xfId="0" applyNumberFormat="1" applyFont="1" applyFill="1" applyBorder="1" applyAlignment="1">
      <alignment horizontal="right"/>
    </xf>
    <xf numFmtId="9" fontId="6" fillId="3" borderId="2" xfId="2" applyFont="1" applyFill="1" applyBorder="1" applyAlignment="1">
      <alignment horizontal="center"/>
    </xf>
    <xf numFmtId="3" fontId="10" fillId="6" borderId="2" xfId="0" applyNumberFormat="1" applyFont="1" applyFill="1" applyBorder="1"/>
    <xf numFmtId="3" fontId="6" fillId="5" borderId="2" xfId="1" applyNumberFormat="1" applyFont="1" applyFill="1" applyBorder="1"/>
    <xf numFmtId="3" fontId="10" fillId="4" borderId="2" xfId="0" applyNumberFormat="1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3" fontId="10" fillId="6" borderId="2" xfId="0" applyNumberFormat="1" applyFont="1" applyFill="1" applyBorder="1" applyAlignment="1">
      <alignment vertic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9" fontId="6" fillId="5" borderId="4" xfId="2" applyFont="1" applyFill="1" applyBorder="1" applyAlignment="1">
      <alignment horizontal="center"/>
    </xf>
    <xf numFmtId="0" fontId="4" fillId="3" borderId="20" xfId="0" applyFont="1" applyFill="1" applyBorder="1" applyAlignment="1">
      <alignment horizontal="left" vertical="center" wrapText="1"/>
    </xf>
    <xf numFmtId="9" fontId="4" fillId="3" borderId="23" xfId="2" applyFont="1" applyFill="1" applyBorder="1" applyAlignment="1">
      <alignment horizontal="left" vertical="center" wrapText="1"/>
    </xf>
    <xf numFmtId="0" fontId="4" fillId="5" borderId="20" xfId="0" applyFont="1" applyFill="1" applyBorder="1" applyAlignment="1">
      <alignment horizontal="left" vertical="center"/>
    </xf>
    <xf numFmtId="0" fontId="4" fillId="5" borderId="20" xfId="0" applyFont="1" applyFill="1" applyBorder="1" applyAlignment="1">
      <alignment horizontal="left" vertical="center" wrapText="1"/>
    </xf>
    <xf numFmtId="9" fontId="6" fillId="7" borderId="1" xfId="2" applyFont="1" applyFill="1" applyBorder="1" applyAlignment="1">
      <alignment horizontal="left" vertical="center"/>
    </xf>
    <xf numFmtId="0" fontId="11" fillId="0" borderId="0" xfId="0" applyFont="1"/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>
      <calculatedColumnFormula>IFERROR(G5/F5, 0)</calculatedColumnFormula>
    </tableColumn>
    <tableColumn id="9" xr3:uid="{91668AC9-A528-46F6-8BE5-EB036F59A18E}" name="Notes" dataDxfId="5"/>
    <tableColumn id="10" xr3:uid="{CD4FC54A-2343-4F00-AB7D-88E561824952}" name="Service Reques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workbookViewId="0">
      <selection activeCell="E24" sqref="E24"/>
    </sheetView>
  </sheetViews>
  <sheetFormatPr defaultRowHeight="14.25" x14ac:dyDescent="0.45"/>
  <cols>
    <col min="1" max="1" width="22" customWidth="1"/>
    <col min="2" max="2" width="11.3984375" customWidth="1"/>
    <col min="3" max="3" width="12.59765625" customWidth="1"/>
    <col min="4" max="4" width="15.1328125" customWidth="1"/>
    <col min="5" max="5" width="13.73046875" customWidth="1"/>
    <col min="6" max="6" width="12.59765625" customWidth="1"/>
    <col min="7" max="7" width="17.1328125" customWidth="1"/>
    <col min="8" max="8" width="16" customWidth="1"/>
  </cols>
  <sheetData>
    <row r="1" spans="1:8" ht="25.5" x14ac:dyDescent="0.45">
      <c r="A1" s="68" t="s">
        <v>0</v>
      </c>
      <c r="B1" s="68"/>
      <c r="C1" s="68"/>
      <c r="D1" s="68"/>
      <c r="E1" s="68"/>
      <c r="F1" s="68"/>
      <c r="G1" s="68"/>
      <c r="H1" s="68"/>
    </row>
    <row r="3" spans="1:8" ht="15.4" x14ac:dyDescent="0.45">
      <c r="A3" s="69" t="s">
        <v>1</v>
      </c>
      <c r="B3" s="70"/>
      <c r="C3" s="70"/>
      <c r="D3" s="70"/>
      <c r="E3" s="71"/>
      <c r="F3" s="72" t="s">
        <v>2</v>
      </c>
      <c r="G3" s="73"/>
      <c r="H3" s="74"/>
    </row>
    <row r="4" spans="1:8" x14ac:dyDescent="0.45">
      <c r="A4" s="29" t="s">
        <v>3</v>
      </c>
      <c r="B4" s="45" t="s">
        <v>4</v>
      </c>
      <c r="C4" s="45" t="s">
        <v>5</v>
      </c>
      <c r="D4" s="45" t="s">
        <v>6</v>
      </c>
      <c r="E4" s="46" t="s">
        <v>7</v>
      </c>
      <c r="F4" s="47" t="s">
        <v>8</v>
      </c>
      <c r="G4" s="48" t="s">
        <v>9</v>
      </c>
      <c r="H4" s="49" t="s">
        <v>10</v>
      </c>
    </row>
    <row r="5" spans="1:8" x14ac:dyDescent="0.45">
      <c r="A5" s="30" t="s">
        <v>11</v>
      </c>
      <c r="B5" s="31">
        <f>SUM(Monthly!B5:B7)</f>
        <v>3384.4375</v>
      </c>
      <c r="C5" s="31">
        <f>SUM(Monthly!C5:C7)</f>
        <v>0</v>
      </c>
      <c r="D5" s="32">
        <f>B5-C5</f>
        <v>3384.4375</v>
      </c>
      <c r="E5" s="33">
        <f t="shared" ref="E5:E8" si="0">IFERROR(D5/C5, 0)</f>
        <v>0</v>
      </c>
      <c r="F5" s="34">
        <f>SUM(Monthly!F5:F7)</f>
        <v>7169</v>
      </c>
      <c r="G5" s="35">
        <f>B5-F5</f>
        <v>-3784.5625</v>
      </c>
      <c r="H5" s="36">
        <f t="shared" ref="H5:H8" si="1">IFERROR(G5/F5, 0)</f>
        <v>-0.527906611800809</v>
      </c>
    </row>
    <row r="6" spans="1:8" x14ac:dyDescent="0.45">
      <c r="A6" s="37" t="s">
        <v>12</v>
      </c>
      <c r="B6" s="31">
        <f>SUM(Monthly!B8:B10)</f>
        <v>0</v>
      </c>
      <c r="C6" s="31">
        <f>SUM(Monthly!C8:C10)</f>
        <v>0</v>
      </c>
      <c r="D6" s="32">
        <f t="shared" ref="D6:D8" si="2">B6-C6</f>
        <v>0</v>
      </c>
      <c r="E6" s="38">
        <f t="shared" si="0"/>
        <v>0</v>
      </c>
      <c r="F6" s="39">
        <f>SUM(Monthly!F8:F10)</f>
        <v>0</v>
      </c>
      <c r="G6" s="35">
        <f t="shared" ref="G6:G8" si="3">B6-F6</f>
        <v>0</v>
      </c>
      <c r="H6" s="36">
        <f t="shared" si="1"/>
        <v>0</v>
      </c>
    </row>
    <row r="7" spans="1:8" x14ac:dyDescent="0.45">
      <c r="A7" s="37" t="s">
        <v>13</v>
      </c>
      <c r="B7" s="32">
        <f>SUM(Monthly!B11:B13)</f>
        <v>0</v>
      </c>
      <c r="C7" s="32">
        <f>SUM(Monthly!C11:C13)</f>
        <v>0</v>
      </c>
      <c r="D7" s="32">
        <f t="shared" si="2"/>
        <v>0</v>
      </c>
      <c r="E7" s="38">
        <f t="shared" si="0"/>
        <v>0</v>
      </c>
      <c r="F7" s="40">
        <f>SUM(Monthly!F11:F13)</f>
        <v>0</v>
      </c>
      <c r="G7" s="35">
        <f t="shared" si="3"/>
        <v>0</v>
      </c>
      <c r="H7" s="36">
        <f t="shared" si="1"/>
        <v>0</v>
      </c>
    </row>
    <row r="8" spans="1:8" x14ac:dyDescent="0.45">
      <c r="A8" s="37" t="s">
        <v>14</v>
      </c>
      <c r="B8" s="32">
        <f>SUM(Monthly!B14:B16)</f>
        <v>0</v>
      </c>
      <c r="C8" s="32">
        <f>SUM(Monthly!C14:C16)</f>
        <v>0</v>
      </c>
      <c r="D8" s="32">
        <f t="shared" si="2"/>
        <v>0</v>
      </c>
      <c r="E8" s="38">
        <f t="shared" si="0"/>
        <v>0</v>
      </c>
      <c r="F8" s="35">
        <f>SUM(Monthly!F14:F16)</f>
        <v>0</v>
      </c>
      <c r="G8" s="35">
        <f t="shared" si="3"/>
        <v>0</v>
      </c>
      <c r="H8" s="36">
        <f t="shared" si="1"/>
        <v>0</v>
      </c>
    </row>
    <row r="9" spans="1:8" x14ac:dyDescent="0.45">
      <c r="A9" s="41" t="s">
        <v>15</v>
      </c>
      <c r="B9" s="42">
        <f>SUM(B5:B8)</f>
        <v>3384.4375</v>
      </c>
      <c r="C9" s="42">
        <f>SUM(C5:C8)</f>
        <v>0</v>
      </c>
      <c r="D9" s="42">
        <f>B9-C9</f>
        <v>3384.4375</v>
      </c>
      <c r="E9" s="43">
        <f>IFERROR(D9/C9, 0)</f>
        <v>0</v>
      </c>
      <c r="F9" s="42">
        <f>SUM(F5:F8)</f>
        <v>7169</v>
      </c>
      <c r="G9" s="42">
        <f>B9-F9</f>
        <v>-3784.5625</v>
      </c>
      <c r="H9" s="44">
        <f>IFERROR(G9/F9, 0)</f>
        <v>-0.527906611800809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25"/>
  <sheetViews>
    <sheetView tabSelected="1" workbookViewId="0">
      <selection activeCell="G24" sqref="G24:G25"/>
    </sheetView>
  </sheetViews>
  <sheetFormatPr defaultRowHeight="14.25" x14ac:dyDescent="0.4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1328125" customWidth="1"/>
    <col min="6" max="6" width="12.59765625" customWidth="1"/>
    <col min="7" max="7" width="17.1328125" customWidth="1"/>
    <col min="8" max="8" width="15.1328125" customWidth="1"/>
    <col min="9" max="9" width="78.73046875" customWidth="1"/>
    <col min="10" max="10" width="18.86328125" customWidth="1"/>
  </cols>
  <sheetData>
    <row r="1" spans="1:10" ht="30.75" customHeight="1" x14ac:dyDescent="0.4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</row>
    <row r="3" spans="1:10" ht="15.4" x14ac:dyDescent="0.45">
      <c r="A3" s="69" t="s">
        <v>1</v>
      </c>
      <c r="B3" s="70"/>
      <c r="C3" s="70"/>
      <c r="D3" s="70"/>
      <c r="E3" s="71"/>
      <c r="F3" s="72" t="s">
        <v>2</v>
      </c>
      <c r="G3" s="73"/>
      <c r="H3" s="74"/>
      <c r="I3" s="75" t="s">
        <v>16</v>
      </c>
      <c r="J3" s="76"/>
    </row>
    <row r="4" spans="1:10" x14ac:dyDescent="0.45">
      <c r="A4" s="1" t="s">
        <v>17</v>
      </c>
      <c r="B4" s="62" t="s">
        <v>4</v>
      </c>
      <c r="C4" s="62" t="s">
        <v>5</v>
      </c>
      <c r="D4" s="62" t="s">
        <v>6</v>
      </c>
      <c r="E4" s="63" t="s">
        <v>7</v>
      </c>
      <c r="F4" s="64" t="s">
        <v>8</v>
      </c>
      <c r="G4" s="65" t="s">
        <v>9</v>
      </c>
      <c r="H4" s="2" t="s">
        <v>10</v>
      </c>
      <c r="I4" s="3" t="s">
        <v>16</v>
      </c>
      <c r="J4" s="4" t="s">
        <v>18</v>
      </c>
    </row>
    <row r="5" spans="1:10" x14ac:dyDescent="0.45">
      <c r="A5" s="59" t="s">
        <v>19</v>
      </c>
      <c r="B5" s="50">
        <v>3384.4375</v>
      </c>
      <c r="C5" s="51">
        <v>0</v>
      </c>
      <c r="D5" s="52">
        <f>B5-C5</f>
        <v>3384.4375</v>
      </c>
      <c r="E5" s="53">
        <f t="shared" ref="E5:E16" si="0">IFERROR(D5/C5, 0)</f>
        <v>0</v>
      </c>
      <c r="F5" s="54">
        <v>7169</v>
      </c>
      <c r="G5" s="55">
        <f>B5-F5</f>
        <v>-3784.5625</v>
      </c>
      <c r="H5" s="61">
        <f t="shared" ref="H5:H16" si="1">IFERROR(G5/F5, 0)</f>
        <v>-0.527906611800809</v>
      </c>
      <c r="I5" s="9"/>
      <c r="J5" s="9"/>
    </row>
    <row r="6" spans="1:10" x14ac:dyDescent="0.45">
      <c r="A6" s="60" t="s">
        <v>20</v>
      </c>
      <c r="B6" s="56"/>
      <c r="C6" s="57"/>
      <c r="D6" s="52">
        <f t="shared" ref="D6:D10" si="2">B6-C6</f>
        <v>0</v>
      </c>
      <c r="E6" s="53">
        <f t="shared" si="0"/>
        <v>0</v>
      </c>
      <c r="F6" s="54"/>
      <c r="G6" s="55">
        <f t="shared" ref="G6:G16" si="3">B6-F6</f>
        <v>0</v>
      </c>
      <c r="H6" s="61">
        <f t="shared" si="1"/>
        <v>0</v>
      </c>
      <c r="I6" s="9"/>
      <c r="J6" s="9"/>
    </row>
    <row r="7" spans="1:10" x14ac:dyDescent="0.45">
      <c r="A7" s="60" t="s">
        <v>21</v>
      </c>
      <c r="B7" s="56"/>
      <c r="C7" s="57"/>
      <c r="D7" s="52">
        <f t="shared" si="2"/>
        <v>0</v>
      </c>
      <c r="E7" s="53">
        <f t="shared" si="0"/>
        <v>0</v>
      </c>
      <c r="F7" s="58"/>
      <c r="G7" s="55">
        <f t="shared" si="3"/>
        <v>0</v>
      </c>
      <c r="H7" s="61">
        <f t="shared" si="1"/>
        <v>0</v>
      </c>
      <c r="I7" s="14"/>
      <c r="J7" s="14"/>
    </row>
    <row r="8" spans="1:10" x14ac:dyDescent="0.45">
      <c r="A8" s="60" t="s">
        <v>22</v>
      </c>
      <c r="B8" s="56"/>
      <c r="C8" s="57"/>
      <c r="D8" s="52">
        <f t="shared" si="2"/>
        <v>0</v>
      </c>
      <c r="E8" s="53">
        <f t="shared" si="0"/>
        <v>0</v>
      </c>
      <c r="F8" s="54"/>
      <c r="G8" s="55">
        <f t="shared" si="3"/>
        <v>0</v>
      </c>
      <c r="H8" s="61">
        <f t="shared" si="1"/>
        <v>0</v>
      </c>
      <c r="I8" s="9"/>
      <c r="J8" s="9"/>
    </row>
    <row r="9" spans="1:10" x14ac:dyDescent="0.45">
      <c r="A9" s="60" t="s">
        <v>23</v>
      </c>
      <c r="B9" s="56"/>
      <c r="C9" s="57"/>
      <c r="D9" s="52">
        <f t="shared" si="2"/>
        <v>0</v>
      </c>
      <c r="E9" s="53">
        <f t="shared" si="0"/>
        <v>0</v>
      </c>
      <c r="F9" s="54"/>
      <c r="G9" s="55">
        <f t="shared" si="3"/>
        <v>0</v>
      </c>
      <c r="H9" s="61">
        <f t="shared" si="1"/>
        <v>0</v>
      </c>
      <c r="I9" s="15"/>
      <c r="J9" s="16"/>
    </row>
    <row r="10" spans="1:10" x14ac:dyDescent="0.45">
      <c r="A10" s="60" t="s">
        <v>24</v>
      </c>
      <c r="B10" s="50"/>
      <c r="C10" s="51"/>
      <c r="D10" s="52">
        <f t="shared" si="2"/>
        <v>0</v>
      </c>
      <c r="E10" s="53">
        <f t="shared" si="0"/>
        <v>0</v>
      </c>
      <c r="F10" s="54"/>
      <c r="G10" s="55">
        <f t="shared" si="3"/>
        <v>0</v>
      </c>
      <c r="H10" s="61">
        <f t="shared" si="1"/>
        <v>0</v>
      </c>
      <c r="I10" s="9"/>
      <c r="J10" s="9"/>
    </row>
    <row r="11" spans="1:10" x14ac:dyDescent="0.45">
      <c r="A11" s="10" t="s">
        <v>25</v>
      </c>
      <c r="B11" s="5"/>
      <c r="C11" s="5"/>
      <c r="D11" s="5">
        <f t="shared" ref="D11:D16" si="4">B11-C11</f>
        <v>0</v>
      </c>
      <c r="E11" s="6">
        <f t="shared" si="0"/>
        <v>0</v>
      </c>
      <c r="F11" s="12"/>
      <c r="G11" s="7">
        <f t="shared" si="3"/>
        <v>0</v>
      </c>
      <c r="H11" s="8">
        <f t="shared" si="1"/>
        <v>0</v>
      </c>
      <c r="I11" s="9"/>
      <c r="J11" s="9"/>
    </row>
    <row r="12" spans="1:10" x14ac:dyDescent="0.45">
      <c r="A12" s="10" t="s">
        <v>26</v>
      </c>
      <c r="B12" s="5"/>
      <c r="C12" s="5"/>
      <c r="D12" s="5">
        <f t="shared" si="4"/>
        <v>0</v>
      </c>
      <c r="E12" s="11">
        <f t="shared" si="0"/>
        <v>0</v>
      </c>
      <c r="F12" s="13"/>
      <c r="G12" s="7">
        <f t="shared" si="3"/>
        <v>0</v>
      </c>
      <c r="H12" s="8">
        <f t="shared" si="1"/>
        <v>0</v>
      </c>
      <c r="I12" s="66"/>
      <c r="J12" s="66"/>
    </row>
    <row r="13" spans="1:10" x14ac:dyDescent="0.45">
      <c r="A13" s="10" t="s">
        <v>27</v>
      </c>
      <c r="B13" s="5"/>
      <c r="C13" s="5"/>
      <c r="D13" s="5">
        <f t="shared" si="4"/>
        <v>0</v>
      </c>
      <c r="E13" s="11">
        <f t="shared" si="0"/>
        <v>0</v>
      </c>
      <c r="F13" s="7"/>
      <c r="G13" s="7">
        <f t="shared" si="3"/>
        <v>0</v>
      </c>
      <c r="H13" s="8">
        <f t="shared" si="1"/>
        <v>0</v>
      </c>
      <c r="I13" s="9"/>
      <c r="J13" s="9"/>
    </row>
    <row r="14" spans="1:10" x14ac:dyDescent="0.45">
      <c r="A14" s="10" t="s">
        <v>28</v>
      </c>
      <c r="B14" s="5"/>
      <c r="C14" s="5"/>
      <c r="D14" s="5">
        <f t="shared" si="4"/>
        <v>0</v>
      </c>
      <c r="E14" s="11">
        <f t="shared" si="0"/>
        <v>0</v>
      </c>
      <c r="F14" s="7"/>
      <c r="G14" s="7">
        <f t="shared" si="3"/>
        <v>0</v>
      </c>
      <c r="H14" s="8">
        <f t="shared" si="1"/>
        <v>0</v>
      </c>
      <c r="I14" s="15"/>
      <c r="J14" s="16"/>
    </row>
    <row r="15" spans="1:10" x14ac:dyDescent="0.45">
      <c r="A15" s="10" t="s">
        <v>29</v>
      </c>
      <c r="B15" s="17"/>
      <c r="C15" s="5"/>
      <c r="D15" s="5">
        <f t="shared" si="4"/>
        <v>0</v>
      </c>
      <c r="E15" s="11">
        <f t="shared" si="0"/>
        <v>0</v>
      </c>
      <c r="F15" s="7"/>
      <c r="G15" s="7">
        <f t="shared" si="3"/>
        <v>0</v>
      </c>
      <c r="H15" s="8">
        <f t="shared" si="1"/>
        <v>0</v>
      </c>
      <c r="I15" s="9"/>
      <c r="J15" s="9"/>
    </row>
    <row r="16" spans="1:10" x14ac:dyDescent="0.45">
      <c r="A16" s="18" t="s">
        <v>30</v>
      </c>
      <c r="B16" s="19"/>
      <c r="C16" s="19"/>
      <c r="D16" s="19">
        <f t="shared" si="4"/>
        <v>0</v>
      </c>
      <c r="E16" s="20">
        <f t="shared" si="0"/>
        <v>0</v>
      </c>
      <c r="F16" s="7"/>
      <c r="G16" s="21">
        <f t="shared" si="3"/>
        <v>0</v>
      </c>
      <c r="H16" s="22">
        <f t="shared" si="1"/>
        <v>0</v>
      </c>
      <c r="I16" s="23"/>
      <c r="J16" s="23"/>
    </row>
    <row r="17" spans="1:10" x14ac:dyDescent="0.45">
      <c r="A17" s="24" t="s">
        <v>31</v>
      </c>
      <c r="B17" s="25">
        <f>SUM(B5:B16)</f>
        <v>3384.4375</v>
      </c>
      <c r="C17" s="25">
        <f t="shared" ref="C17:F17" si="5">SUM(C5:C16)</f>
        <v>0</v>
      </c>
      <c r="D17" s="25">
        <f>B17-C17</f>
        <v>3384.4375</v>
      </c>
      <c r="E17" s="26">
        <f>IFERROR(D17/C17, 0)</f>
        <v>0</v>
      </c>
      <c r="F17" s="25">
        <f t="shared" si="5"/>
        <v>7169</v>
      </c>
      <c r="G17" s="25">
        <f>B17-F17</f>
        <v>-3784.5625</v>
      </c>
      <c r="H17" s="27">
        <f>IFERROR(G17/F17, 0)</f>
        <v>-0.527906611800809</v>
      </c>
      <c r="I17" s="28"/>
      <c r="J17" s="28"/>
    </row>
    <row r="25" spans="1:10" ht="15.75" x14ac:dyDescent="0.55000000000000004">
      <c r="G25" s="67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purl.org/dc/elements/1.1/"/>
    <ds:schemaRef ds:uri="ddcd8467-55ca-498e-a9f8-86795db5db7a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7f39bfab-6331-41a1-b6d4-5b974a316951"/>
    <ds:schemaRef ds:uri="http://schemas.openxmlformats.org/package/2006/metadata/core-properties"/>
    <ds:schemaRef ds:uri="http://purl.org/dc/terms/"/>
    <ds:schemaRef ds:uri="http://purl.org/dc/dcmitype/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3BDFFF5-3057-495A-9B56-247CA2928B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2024-02-02T06:13:30Z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