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-my.sharepoint.com/personal/dbrown_ameresco_com/Documents/Downloads/"/>
    </mc:Choice>
  </mc:AlternateContent>
  <xr:revisionPtr revIDLastSave="7" documentId="8_{1A3F52BC-B3EC-4B36-ADC9-29B31AD4ED7D}" xr6:coauthVersionLast="47" xr6:coauthVersionMax="47" xr10:uidLastSave="{BAF65E0E-08D7-402D-B79B-308FA373416A}"/>
  <bookViews>
    <workbookView xWindow="-32148" yWindow="-10788" windowWidth="25980" windowHeight="21864" tabRatio="866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2"/>
  <c r="J2" i="31"/>
  <c r="J2" i="28"/>
  <c r="J2" i="27"/>
  <c r="J2" i="26"/>
  <c r="J2" i="19"/>
  <c r="J2" i="20"/>
  <c r="J2" i="21"/>
  <c r="J2" i="4"/>
  <c r="J2" i="3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E16" i="72"/>
  <c r="F16" i="72" s="1"/>
  <c r="H16" i="72"/>
  <c r="I16" i="72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D2" i="30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E2" i="28"/>
  <c r="F2" i="28" s="1"/>
  <c r="D2" i="28"/>
  <c r="C2" i="28"/>
  <c r="H2" i="28" s="1"/>
  <c r="I2" i="28" s="1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H2" i="27" s="1"/>
  <c r="I2" i="27" s="1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H2" i="20"/>
  <c r="I2" i="20" s="1"/>
  <c r="G2" i="20"/>
  <c r="D2" i="20"/>
  <c r="C2" i="20"/>
  <c r="E2" i="20" s="1"/>
  <c r="F2" i="20" s="1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33" l="1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<sst xmlns="http://schemas.openxmlformats.org/spreadsheetml/2006/main" count="242" uniqueCount="53">
  <si>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</si>
  <si>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</si>
  <si>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</si>
  <si>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</si>
  <si>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</si>
  <si>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</si>
  <si>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</si>
  <si>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</si>
  <si>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</si>
  <si>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</si>
  <si>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</si>
  <si>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</si>
  <si>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</si>
  <si>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</si>
  <si>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</si>
  <si>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</si>
  <si>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</si>
  <si>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</si>
  <si>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</si>
  <si>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</si>
  <si>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</si>
  <si>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</si>
  <si>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</si>
  <si>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</si>
  <si>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</si>
  <si>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</si>
  <si>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</si>
  <si>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</si>
  <si>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</si>
  <si>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</si>
  <si>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</si>
  <si>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</si>
  <si>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</si>
  <si>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</si>
  <si>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</si>
  <si>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</si>
  <si>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</si>
  <si>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</si>
  <si>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</si>
  <si>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</si>
  <si>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</si>
  <si>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</si>
  <si>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</si>
  <si>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</si>
  <si>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</si>
  <si>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Site DAS Name</t>
  </si>
  <si>
    <t>Update</t>
  </si>
  <si>
    <t>DAS</t>
  </si>
  <si>
    <t>AZ</t>
  </si>
  <si>
    <t xml:space="preserve"> </t>
  </si>
  <si>
    <t>Starbucks</t>
  </si>
  <si>
    <t>AZ: Superior High School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</si>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</sst>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b/>
      <sz val="10"/>
      <name val="Arial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32" fillId="41" borderId="1" xfId="0" applyFont="1" applyFill="1" applyBorder="1" applyAlignment="1">
      <alignment horizontal="center" vertical="center" wrapText="1"/>
    </xf>
    <xf numFmtId="9" fontId="32" fillId="41" borderId="1" xfId="2" applyFont="1" applyFill="1" applyBorder="1" applyAlignment="1">
      <alignment horizontal="center" vertical="center" wrapText="1"/>
    </xf>
    <xf numFmtId="0" fontId="32" fillId="42" borderId="1" xfId="0" applyFont="1" applyFill="1" applyBorder="1" applyAlignment="1">
      <alignment horizontal="center" vertical="center" wrapText="1"/>
    </xf>
    <xf numFmtId="9" fontId="32" fillId="42" borderId="1" xfId="2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1" fillId="0" borderId="0" xfId="2" applyFont="1" applyAlignment="1">
      <alignment horizontal="center"/>
    </xf>
    <xf numFmtId="0" fontId="32" fillId="42" borderId="1" xfId="0" applyFont="1" applyFill="1" applyBorder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42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D29" sqref="D29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5" t="str" cm="1">
        <f t="array" ref="A1">portfolio</f>
        <v>Starbucks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 x14ac:dyDescent="0.25">
      <c r="A2" s="47" t="s">
        <v>2</v>
      </c>
      <c r="B2" s="47"/>
      <c r="C2" s="6">
        <f>SUM(C4:C100)</f>
        <v>18248</v>
      </c>
      <c r="D2" s="6">
        <f>SUM(D4:D100)</f>
        <v>0</v>
      </c>
      <c r="E2" s="6">
        <f>C2-D2</f>
        <v>18248</v>
      </c>
      <c r="F2" s="7">
        <f>IFERROR(E2/D2, 0)</f>
        <v>0</v>
      </c>
      <c r="G2" s="6">
        <f>SUM(G4:G100)</f>
        <v>0</v>
      </c>
      <c r="H2" s="8">
        <f>C2-G2</f>
        <v>18248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Superior High School</v>
      </c>
      <c r="B4" s="14" t="str" cm="1">
        <f t="array" ref="B4:B24">Sites[State]</f>
        <v>AZ</v>
      </c>
      <c r="C4" s="31">
        <f>SUM('1st Qtr'!C4, '2nd Qtr'!C4, '3rd Qtr'!C4, '4th Qtr'!C4)</f>
        <v>18248</v>
      </c>
      <c r="D4" s="18">
        <f>SUM('1st Qtr'!D4, '2nd Qtr'!D4, '3rd Qtr'!D4, '4th Qtr'!D4)</f>
        <v>0</v>
      </c>
      <c r="E4" s="18">
        <f>IF(AND(ISNUMBER(C4),ISNUMBER(D4)), C4-D4, "")</f>
        <v>18248</v>
      </c>
      <c r="F4" s="19" t="str">
        <f>IFERROR(E4/D4, "")</f>
        <v/>
      </c>
      <c r="G4" s="20"/>
      <c r="H4" s="20">
        <f>SUM('1st Qtr'!H4, '2nd Qtr'!H4, '3rd Qtr'!H4, '4th Qtr'!H4)</f>
        <v>0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SUM(Jan!C5, Feb!C5, Mar!C5)</f>
        <v>0</v>
      </c>
      <c r="D5" s="24">
        <f>SUM(Jan!D5, Feb!D5, Mar!D5)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SUM(Jan!H5, Feb!H5, Mar!H5)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SUM(Jan!C6, Feb!C6, Mar!C6)</f>
        <v>0</v>
      </c>
      <c r="D6" s="18">
        <f>SUM(Jan!D6, Feb!D6, Mar!D6)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SUM(Jan!H6, Feb!H6, Mar!H6)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SUM(Jan!C7, Feb!C7, Mar!C7)</f>
        <v>0</v>
      </c>
      <c r="D7" s="24">
        <f>SUM(Jan!D7, Feb!D7, Mar!D7)</f>
        <v>0</v>
      </c>
      <c r="E7" s="24">
        <f t="shared" si="0"/>
        <v>0</v>
      </c>
      <c r="F7" s="25" t="str">
        <f t="shared" si="1"/>
        <v/>
      </c>
      <c r="G7" s="26"/>
      <c r="H7" s="26">
        <f>SUM(Jan!H7, Feb!H7, Mar!H7)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SUM(Jan!C8, Feb!C8, Mar!C8)</f>
        <v>0</v>
      </c>
      <c r="D8" s="18">
        <f>SUM(Jan!D8, Feb!D8, Mar!D8)</f>
        <v>0</v>
      </c>
      <c r="E8" s="18">
        <f t="shared" si="0"/>
        <v>0</v>
      </c>
      <c r="F8" s="19" t="str">
        <f t="shared" si="1"/>
        <v/>
      </c>
      <c r="G8" s="20"/>
      <c r="H8" s="20">
        <f>SUM(Jan!H8, Feb!H8, Mar!H8)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SUM(Jan!C9, Feb!C9, Mar!C9)</f>
        <v>0</v>
      </c>
      <c r="D9" s="24">
        <f>SUM(Jan!D9, Feb!D9, Mar!D9)</f>
        <v>0</v>
      </c>
      <c r="E9" s="24">
        <f t="shared" si="0"/>
        <v>0</v>
      </c>
      <c r="F9" s="25" t="str">
        <f t="shared" si="1"/>
        <v/>
      </c>
      <c r="G9" s="26"/>
      <c r="H9" s="26">
        <f>SUM(Jan!H9, Feb!H9, Mar!H9)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SUM(Jan!C10, Feb!C10, Mar!C10)</f>
        <v>0</v>
      </c>
      <c r="D10" s="18">
        <f>SUM(Jan!D10, Feb!D10, Mar!D10)</f>
        <v>0</v>
      </c>
      <c r="E10" s="18">
        <f t="shared" si="0"/>
        <v>0</v>
      </c>
      <c r="F10" s="19" t="str">
        <f t="shared" si="1"/>
        <v/>
      </c>
      <c r="G10" s="20"/>
      <c r="H10" s="20">
        <f>SUM(Jan!H10, Feb!H10, Mar!H10)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SUM(Jan!C11, Feb!C11, Mar!C11)</f>
        <v>0</v>
      </c>
      <c r="D11" s="24">
        <f>SUM(Jan!D11, Feb!D11, Mar!D11)</f>
        <v>0</v>
      </c>
      <c r="E11" s="24">
        <f t="shared" si="0"/>
        <v>0</v>
      </c>
      <c r="F11" s="25" t="str">
        <f t="shared" si="1"/>
        <v/>
      </c>
      <c r="G11" s="26"/>
      <c r="H11" s="26">
        <f>SUM(Jan!H11, Feb!H11, Mar!H11)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SUM(Jan!C12, Feb!C12, Mar!C12)</f>
        <v>0</v>
      </c>
      <c r="D12" s="18">
        <f>SUM(Jan!D12, Feb!D12, Mar!D12)</f>
        <v>0</v>
      </c>
      <c r="E12" s="18">
        <f t="shared" si="0"/>
        <v>0</v>
      </c>
      <c r="F12" s="19" t="str">
        <f t="shared" si="1"/>
        <v/>
      </c>
      <c r="G12" s="20"/>
      <c r="H12" s="20">
        <f>SUM(Jan!H12, Feb!H12, Mar!H12)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SUM(Jan!C13, Feb!C13, Mar!C13)</f>
        <v>0</v>
      </c>
      <c r="D13" s="24">
        <f>SUM(Jan!D13, Feb!D13, Mar!D13)</f>
        <v>0</v>
      </c>
      <c r="E13" s="24">
        <f t="shared" si="0"/>
        <v>0</v>
      </c>
      <c r="F13" s="25" t="str">
        <f t="shared" si="1"/>
        <v/>
      </c>
      <c r="G13" s="26"/>
      <c r="H13" s="26">
        <f>SUM(Jan!H13, Feb!H13, Mar!H13)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SUM(Jan!C14, Feb!C14, Mar!C14)</f>
        <v>0</v>
      </c>
      <c r="D14" s="18">
        <f>SUM(Jan!D14, Feb!D14, Mar!D14)</f>
        <v>0</v>
      </c>
      <c r="E14" s="18">
        <f t="shared" si="0"/>
        <v>0</v>
      </c>
      <c r="F14" s="19" t="str">
        <f t="shared" si="1"/>
        <v/>
      </c>
      <c r="G14" s="20"/>
      <c r="H14" s="20">
        <f>SUM(Jan!H14, Feb!H14, Mar!H14)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SUM(Jan!C15, Feb!C15, Mar!C15)</f>
        <v>0</v>
      </c>
      <c r="D15" s="24">
        <f>SUM(Jan!D15, Feb!D15, Mar!D15)</f>
        <v>0</v>
      </c>
      <c r="E15" s="24">
        <f t="shared" si="0"/>
        <v>0</v>
      </c>
      <c r="F15" s="25" t="str">
        <f t="shared" si="1"/>
        <v/>
      </c>
      <c r="G15" s="26"/>
      <c r="H15" s="26">
        <f>SUM(Jan!H15, Feb!H15, Mar!H15)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 t="str">
        <v xml:space="preserve"> 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 t="str">
        <v xml:space="preserve"> 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 t="str">
        <v xml:space="preserve"> 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activeCell="E22" sqref="E22"/>
      <selection pane="bottomLeft" activeCell="E22" sqref="E22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5" t="str" cm="1">
        <f t="array" ref="A1">portfolio</f>
        <v>Starbucks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 x14ac:dyDescent="0.25">
      <c r="A2" s="47" t="s">
        <v>2</v>
      </c>
      <c r="B2" s="47"/>
      <c r="C2" s="6">
        <f>SUM(C4:C100)</f>
        <v>18248</v>
      </c>
      <c r="D2" s="6">
        <f>SUM(D4:D100)</f>
        <v>0</v>
      </c>
      <c r="E2" s="6">
        <f>C2-D2</f>
        <v>18248</v>
      </c>
      <c r="F2" s="7">
        <f>IFERROR(E2/D2, 0)</f>
        <v>0</v>
      </c>
      <c r="G2" s="6">
        <f>SUM(G4:G100)</f>
        <v>0</v>
      </c>
      <c r="H2" s="8">
        <f>C2-G2</f>
        <v>18248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Superior High School</v>
      </c>
      <c r="B4" s="14" t="str" cm="1">
        <f t="array" ref="B4:B24">Sites[State]</f>
        <v>AZ</v>
      </c>
      <c r="C4" s="31">
        <f>SUM(Jan!C4, Feb!C4, Mar!C4)</f>
        <v>18248</v>
      </c>
      <c r="D4" s="18">
        <f>SUM(Jan!D4, Feb!D4, Mar!D4)</f>
        <v>0</v>
      </c>
      <c r="E4" s="18">
        <f>IF(AND(ISNUMBER(C4),ISNUMBER(D4)), C4-D4, "")</f>
        <v>18248</v>
      </c>
      <c r="F4" s="19" t="str">
        <f>IFERROR(E4/D4, "")</f>
        <v/>
      </c>
      <c r="G4" s="20">
        <f>SUM(Jan!G4, Feb!G4, Mar!G4)</f>
        <v>0</v>
      </c>
      <c r="H4" s="20">
        <f>SUM(Jan!H4, Feb!H4, Mar!H4)</f>
        <v>0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SUM(Jan!C5, Feb!C5, Mar!C5)</f>
        <v>0</v>
      </c>
      <c r="D5" s="24">
        <f>SUM(Jan!D5, Feb!D5, Mar!D5)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>
        <f>SUM(Jan!G5, Feb!G5, Mar!G5)</f>
        <v>0</v>
      </c>
      <c r="H5" s="26">
        <f>SUM(Jan!H5, Feb!H5, Mar!H5)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SUM(Jan!C6, Feb!C6, Mar!C6)</f>
        <v>0</v>
      </c>
      <c r="D6" s="18">
        <f>SUM(Jan!D6, Feb!D6, Mar!D6)</f>
        <v>0</v>
      </c>
      <c r="E6" s="18">
        <f t="shared" si="0"/>
        <v>0</v>
      </c>
      <c r="F6" s="19" t="str">
        <f t="shared" ref="F6:F15" si="1">IFERROR(E6/D6, "")</f>
        <v/>
      </c>
      <c r="G6" s="20">
        <f>SUM(Jan!G6, Feb!G6, Mar!G6)</f>
        <v>0</v>
      </c>
      <c r="H6" s="20">
        <f>SUM(Jan!H6, Feb!H6, Mar!H6)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SUM(Jan!C7, Feb!C7, Mar!C7)</f>
        <v>0</v>
      </c>
      <c r="D7" s="24">
        <f>SUM(Jan!D7, Feb!D7, Mar!D7)</f>
        <v>0</v>
      </c>
      <c r="E7" s="24">
        <f t="shared" si="0"/>
        <v>0</v>
      </c>
      <c r="F7" s="25" t="str">
        <f t="shared" si="1"/>
        <v/>
      </c>
      <c r="G7" s="26">
        <f>SUM(Jan!G7, Feb!G7, Mar!G7)</f>
        <v>0</v>
      </c>
      <c r="H7" s="26">
        <f>SUM(Jan!H7, Feb!H7, Mar!H7)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SUM(Jan!C8, Feb!C8, Mar!C8)</f>
        <v>0</v>
      </c>
      <c r="D8" s="18">
        <f>SUM(Jan!D8, Feb!D8, Mar!D8)</f>
        <v>0</v>
      </c>
      <c r="E8" s="18">
        <f t="shared" si="0"/>
        <v>0</v>
      </c>
      <c r="F8" s="19" t="str">
        <f t="shared" si="1"/>
        <v/>
      </c>
      <c r="G8" s="20">
        <f>SUM(Jan!G8, Feb!G8, Mar!G8)</f>
        <v>0</v>
      </c>
      <c r="H8" s="20">
        <f>SUM(Jan!H8, Feb!H8, Mar!H8)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SUM(Jan!C9, Feb!C9, Mar!C9)</f>
        <v>0</v>
      </c>
      <c r="D9" s="24">
        <f>SUM(Jan!D9, Feb!D9, Mar!D9)</f>
        <v>0</v>
      </c>
      <c r="E9" s="24">
        <f t="shared" si="0"/>
        <v>0</v>
      </c>
      <c r="F9" s="25" t="str">
        <f t="shared" si="1"/>
        <v/>
      </c>
      <c r="G9" s="26">
        <f>SUM(Jan!G9, Feb!G9, Mar!G9)</f>
        <v>0</v>
      </c>
      <c r="H9" s="26">
        <f>SUM(Jan!H9, Feb!H9, Mar!H9)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SUM(Jan!C10, Feb!C10, Mar!C10)</f>
        <v>0</v>
      </c>
      <c r="D10" s="18">
        <f>SUM(Jan!D10, Feb!D10, Mar!D10)</f>
        <v>0</v>
      </c>
      <c r="E10" s="18">
        <f t="shared" si="0"/>
        <v>0</v>
      </c>
      <c r="F10" s="19" t="str">
        <f t="shared" si="1"/>
        <v/>
      </c>
      <c r="G10" s="20">
        <f>SUM(Jan!G10, Feb!G10, Mar!G10)</f>
        <v>0</v>
      </c>
      <c r="H10" s="20">
        <f>SUM(Jan!H10, Feb!H10, Mar!H10)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SUM(Jan!C11, Feb!C11, Mar!C11)</f>
        <v>0</v>
      </c>
      <c r="D11" s="24">
        <f>SUM(Jan!D11, Feb!D11, Mar!D11)</f>
        <v>0</v>
      </c>
      <c r="E11" s="24">
        <f t="shared" si="0"/>
        <v>0</v>
      </c>
      <c r="F11" s="25" t="str">
        <f t="shared" si="1"/>
        <v/>
      </c>
      <c r="G11" s="26">
        <f>SUM(Jan!G11, Feb!G11, Mar!G11)</f>
        <v>0</v>
      </c>
      <c r="H11" s="26">
        <f>SUM(Jan!H11, Feb!H11, Mar!H11)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SUM(Jan!C12, Feb!C12, Mar!C12)</f>
        <v>0</v>
      </c>
      <c r="D12" s="18">
        <f>SUM(Jan!D12, Feb!D12, Mar!D12)</f>
        <v>0</v>
      </c>
      <c r="E12" s="18">
        <f t="shared" si="0"/>
        <v>0</v>
      </c>
      <c r="F12" s="19" t="str">
        <f t="shared" si="1"/>
        <v/>
      </c>
      <c r="G12" s="20">
        <f>SUM(Jan!G12, Feb!G12, Mar!G12)</f>
        <v>0</v>
      </c>
      <c r="H12" s="20">
        <f>SUM(Jan!H12, Feb!H12, Mar!H12)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SUM(Jan!C13, Feb!C13, Mar!C13)</f>
        <v>0</v>
      </c>
      <c r="D13" s="24">
        <f>SUM(Jan!D13, Feb!D13, Mar!D13)</f>
        <v>0</v>
      </c>
      <c r="E13" s="24">
        <f t="shared" si="0"/>
        <v>0</v>
      </c>
      <c r="F13" s="25" t="str">
        <f t="shared" si="1"/>
        <v/>
      </c>
      <c r="G13" s="26">
        <f>SUM(Jan!G13, Feb!G13, Mar!G13)</f>
        <v>0</v>
      </c>
      <c r="H13" s="26">
        <f>SUM(Jan!H13, Feb!H13, Mar!H13)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SUM(Jan!C14, Feb!C14, Mar!C14)</f>
        <v>0</v>
      </c>
      <c r="D14" s="18">
        <f>SUM(Jan!D14, Feb!D14, Mar!D14)</f>
        <v>0</v>
      </c>
      <c r="E14" s="18">
        <f t="shared" si="0"/>
        <v>0</v>
      </c>
      <c r="F14" s="19" t="str">
        <f t="shared" si="1"/>
        <v/>
      </c>
      <c r="G14" s="20">
        <f>SUM(Jan!G14, Feb!G14, Mar!G14)</f>
        <v>0</v>
      </c>
      <c r="H14" s="20">
        <f>SUM(Jan!H14, Feb!H14, Mar!H14)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SUM(Jan!C15, Feb!C15, Mar!C15)</f>
        <v>0</v>
      </c>
      <c r="D15" s="24">
        <f>SUM(Jan!D15, Feb!D15, Mar!D15)</f>
        <v>0</v>
      </c>
      <c r="E15" s="24">
        <f t="shared" si="0"/>
        <v>0</v>
      </c>
      <c r="F15" s="25" t="str">
        <f t="shared" si="1"/>
        <v/>
      </c>
      <c r="G15" s="26">
        <f>SUM(Jan!G15, Feb!G15, Mar!G15)</f>
        <v>0</v>
      </c>
      <c r="H15" s="26">
        <f>SUM(Jan!H15, Feb!H15, Mar!H15)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 t="str">
        <v xml:space="preserve"> 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 t="str">
        <v xml:space="preserve"> 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 t="str">
        <v xml:space="preserve"> 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5" t="str" cm="1">
        <f t="array" ref="A1">portfolio</f>
        <v>Starbucks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Superior High School</v>
      </c>
      <c r="B4" s="14" t="str" cm="1">
        <f t="array" ref="B4:B24">Sites[State]</f>
        <v>AZ</v>
      </c>
      <c r="C4" s="31">
        <f>SUM(Apr!C4, May!C4, Jun!C4)</f>
        <v>0</v>
      </c>
      <c r="D4" s="18">
        <f>SUM(Apr!D4, May!D4, Jun!D4)</f>
        <v>0</v>
      </c>
      <c r="E4" s="18">
        <f>IF(AND(ISNUMBER(C4),ISNUMBER(D4)), C4-D4, "")</f>
        <v>0</v>
      </c>
      <c r="F4" s="19" t="str">
        <f>IFERROR(E4/D4, "")</f>
        <v/>
      </c>
      <c r="G4" s="20"/>
      <c r="H4" s="20">
        <f>SUM(Apr!H4, May!H4, Jun!H4)</f>
        <v>0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SUM(Apr!C5, May!C5, Jun!C5)</f>
        <v>0</v>
      </c>
      <c r="D5" s="24">
        <f>SUM(Apr!D5, May!D5, Jun!D5)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SUM(Apr!H5, May!H5, Jun!H5)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SUM(Apr!C6, May!C6, Jun!C6)</f>
        <v>0</v>
      </c>
      <c r="D6" s="18">
        <f>SUM(Apr!D6, May!D6, Jun!D6)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SUM(Apr!H6, May!H6, Jun!H6)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SUM(Apr!C7, May!C7, Jun!C7)</f>
        <v>0</v>
      </c>
      <c r="D7" s="24">
        <f>SUM(Apr!D7, May!D7, Jun!D7)</f>
        <v>0</v>
      </c>
      <c r="E7" s="24">
        <f t="shared" si="0"/>
        <v>0</v>
      </c>
      <c r="F7" s="25" t="str">
        <f t="shared" si="1"/>
        <v/>
      </c>
      <c r="G7" s="26"/>
      <c r="H7" s="26">
        <f>SUM(Apr!H7, May!H7, Jun!H7)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SUM(Apr!C8, May!C8, Jun!C8)</f>
        <v>0</v>
      </c>
      <c r="D8" s="18">
        <f>SUM(Apr!D8, May!D8, Jun!D8)</f>
        <v>0</v>
      </c>
      <c r="E8" s="18">
        <f t="shared" si="0"/>
        <v>0</v>
      </c>
      <c r="F8" s="19" t="str">
        <f t="shared" si="1"/>
        <v/>
      </c>
      <c r="G8" s="20"/>
      <c r="H8" s="20">
        <f>SUM(Apr!H8, May!H8, Jun!H8)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SUM(Apr!C9, May!C9, Jun!C9)</f>
        <v>0</v>
      </c>
      <c r="D9" s="24">
        <f>SUM(Apr!D9, May!D9, Jun!D9)</f>
        <v>0</v>
      </c>
      <c r="E9" s="24">
        <f t="shared" si="0"/>
        <v>0</v>
      </c>
      <c r="F9" s="25" t="str">
        <f t="shared" si="1"/>
        <v/>
      </c>
      <c r="G9" s="26"/>
      <c r="H9" s="26">
        <f>SUM(Apr!H9, May!H9, Jun!H9)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SUM(Apr!C10, May!C10, Jun!C10)</f>
        <v>0</v>
      </c>
      <c r="D10" s="18">
        <f>SUM(Apr!D10, May!D10, Jun!D10)</f>
        <v>0</v>
      </c>
      <c r="E10" s="18">
        <f t="shared" si="0"/>
        <v>0</v>
      </c>
      <c r="F10" s="19" t="str">
        <f t="shared" si="1"/>
        <v/>
      </c>
      <c r="G10" s="20"/>
      <c r="H10" s="20">
        <f>SUM(Apr!H10, May!H10, Jun!H10)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SUM(Apr!C11, May!C11, Jun!C11)</f>
        <v>0</v>
      </c>
      <c r="D11" s="24">
        <f>SUM(Apr!D11, May!D11, Jun!D11)</f>
        <v>0</v>
      </c>
      <c r="E11" s="24">
        <f t="shared" si="0"/>
        <v>0</v>
      </c>
      <c r="F11" s="25" t="str">
        <f t="shared" si="1"/>
        <v/>
      </c>
      <c r="G11" s="26"/>
      <c r="H11" s="26">
        <f>SUM(Apr!H11, May!H11, Jun!H11)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SUM(Apr!C12, May!C12, Jun!C12)</f>
        <v>0</v>
      </c>
      <c r="D12" s="18">
        <f>SUM(Apr!D12, May!D12, Jun!D12)</f>
        <v>0</v>
      </c>
      <c r="E12" s="18">
        <f t="shared" si="0"/>
        <v>0</v>
      </c>
      <c r="F12" s="19" t="str">
        <f t="shared" si="1"/>
        <v/>
      </c>
      <c r="G12" s="20"/>
      <c r="H12" s="20">
        <f>SUM(Apr!H12, May!H12, Jun!H12)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SUM(Apr!C13, May!C13, Jun!C13)</f>
        <v>0</v>
      </c>
      <c r="D13" s="24">
        <f>SUM(Apr!D13, May!D13, Jun!D13)</f>
        <v>0</v>
      </c>
      <c r="E13" s="24">
        <f t="shared" si="0"/>
        <v>0</v>
      </c>
      <c r="F13" s="25" t="str">
        <f t="shared" si="1"/>
        <v/>
      </c>
      <c r="G13" s="26"/>
      <c r="H13" s="26">
        <f>SUM(Apr!H13, May!H13, Jun!H13)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SUM(Apr!C14, May!C14, Jun!C14)</f>
        <v>0</v>
      </c>
      <c r="D14" s="18">
        <f>SUM(Apr!D14, May!D14, Jun!D14)</f>
        <v>0</v>
      </c>
      <c r="E14" s="18">
        <f t="shared" si="0"/>
        <v>0</v>
      </c>
      <c r="F14" s="19" t="str">
        <f t="shared" si="1"/>
        <v/>
      </c>
      <c r="G14" s="20"/>
      <c r="H14" s="20">
        <f>SUM(Apr!H14, May!H14, Jun!H14)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SUM(Apr!C15, May!C15, Jun!C15)</f>
        <v>0</v>
      </c>
      <c r="D15" s="24">
        <f>SUM(Apr!D15, May!D15, Jun!D15)</f>
        <v>0</v>
      </c>
      <c r="E15" s="24">
        <f t="shared" si="0"/>
        <v>0</v>
      </c>
      <c r="F15" s="25" t="str">
        <f t="shared" si="1"/>
        <v/>
      </c>
      <c r="G15" s="26"/>
      <c r="H15" s="26">
        <f>SUM(Apr!H15, May!H15, Jun!H15)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 t="str">
        <v xml:space="preserve"> 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 t="str">
        <v xml:space="preserve"> 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 t="str">
        <v xml:space="preserve"> 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C14" sqref="C14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5" t="str" cm="1">
        <f t="array" ref="A1">portfolio</f>
        <v>Starbucks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Superior High School</v>
      </c>
      <c r="B4" s="14" t="str" cm="1">
        <f t="array" ref="B4:B24">Sites[State]</f>
        <v>AZ</v>
      </c>
      <c r="C4" s="31">
        <f>SUM(Jul!C4, Aug!C4, Sep!C4)</f>
        <v>0</v>
      </c>
      <c r="D4" s="18">
        <f>SUM(Jul!D4, Aug!D4, Sep!D4)</f>
        <v>0</v>
      </c>
      <c r="E4" s="18">
        <f>IF(AND(ISNUMBER(C4),ISNUMBER(D4)), C4-D4, "")</f>
        <v>0</v>
      </c>
      <c r="F4" s="19" t="str">
        <f>IFERROR(E4/D4, "")</f>
        <v/>
      </c>
      <c r="G4" s="20"/>
      <c r="H4" s="20">
        <f>SUM(Jul!H4, Aug!H4, Sep!H4)</f>
        <v>0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SUM(Jul!C5, Aug!C5, Sep!C5)</f>
        <v>0</v>
      </c>
      <c r="D5" s="24">
        <f>SUM(Jul!D5, Aug!D5, Sep!D5)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SUM(Jul!H5, Aug!H5, Sep!H5)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SUM(Jul!C6, Aug!C6, Sep!C6)</f>
        <v>0</v>
      </c>
      <c r="D6" s="18">
        <f>SUM(Jul!D6, Aug!D6, Sep!D6)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SUM(Jul!H6, Aug!H6, Sep!H6)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SUM(Jul!C7, Aug!C7, Sep!C7)</f>
        <v>0</v>
      </c>
      <c r="D7" s="24">
        <f>SUM(Jul!D7, Aug!D7, Sep!D7)</f>
        <v>0</v>
      </c>
      <c r="E7" s="24">
        <f t="shared" si="0"/>
        <v>0</v>
      </c>
      <c r="F7" s="25" t="str">
        <f t="shared" si="1"/>
        <v/>
      </c>
      <c r="G7" s="26"/>
      <c r="H7" s="26">
        <f>SUM(Jul!H7, Aug!H7, Sep!H7)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SUM(Jul!C8, Aug!C8, Sep!C8)</f>
        <v>0</v>
      </c>
      <c r="D8" s="18">
        <f>SUM(Jul!D8, Aug!D8, Sep!D8)</f>
        <v>0</v>
      </c>
      <c r="E8" s="18">
        <f t="shared" si="0"/>
        <v>0</v>
      </c>
      <c r="F8" s="19" t="str">
        <f t="shared" si="1"/>
        <v/>
      </c>
      <c r="G8" s="20"/>
      <c r="H8" s="20">
        <f>SUM(Jul!H8, Aug!H8, Sep!H8)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SUM(Jul!C9, Aug!C9, Sep!C9)</f>
        <v>0</v>
      </c>
      <c r="D9" s="24">
        <f>SUM(Jul!D9, Aug!D9, Sep!D9)</f>
        <v>0</v>
      </c>
      <c r="E9" s="24">
        <f t="shared" si="0"/>
        <v>0</v>
      </c>
      <c r="F9" s="25" t="str">
        <f t="shared" si="1"/>
        <v/>
      </c>
      <c r="G9" s="26"/>
      <c r="H9" s="26">
        <f>SUM(Jul!H9, Aug!H9, Sep!H9)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SUM(Jul!C10, Aug!C10, Sep!C10)</f>
        <v>0</v>
      </c>
      <c r="D10" s="18">
        <f>SUM(Jul!D10, Aug!D10, Sep!D10)</f>
        <v>0</v>
      </c>
      <c r="E10" s="18">
        <f t="shared" si="0"/>
        <v>0</v>
      </c>
      <c r="F10" s="19" t="str">
        <f t="shared" si="1"/>
        <v/>
      </c>
      <c r="G10" s="20"/>
      <c r="H10" s="20">
        <f>SUM(Jul!H10, Aug!H10, Sep!H10)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SUM(Jul!C11, Aug!C11, Sep!C11)</f>
        <v>0</v>
      </c>
      <c r="D11" s="24">
        <f>SUM(Jul!D11, Aug!D11, Sep!D11)</f>
        <v>0</v>
      </c>
      <c r="E11" s="24">
        <f t="shared" si="0"/>
        <v>0</v>
      </c>
      <c r="F11" s="25" t="str">
        <f t="shared" si="1"/>
        <v/>
      </c>
      <c r="G11" s="26"/>
      <c r="H11" s="26">
        <f>SUM(Jul!H11, Aug!H11, Sep!H11)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SUM(Jul!C12, Aug!C12, Sep!C12)</f>
        <v>0</v>
      </c>
      <c r="D12" s="18">
        <f>SUM(Jul!D12, Aug!D12, Sep!D12)</f>
        <v>0</v>
      </c>
      <c r="E12" s="18">
        <f t="shared" si="0"/>
        <v>0</v>
      </c>
      <c r="F12" s="19" t="str">
        <f t="shared" si="1"/>
        <v/>
      </c>
      <c r="G12" s="20"/>
      <c r="H12" s="20">
        <f>SUM(Jul!H12, Aug!H12, Sep!H12)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SUM(Jul!C13, Aug!C13, Sep!C13)</f>
        <v>0</v>
      </c>
      <c r="D13" s="24">
        <f>SUM(Jul!D13, Aug!D13, Sep!D13)</f>
        <v>0</v>
      </c>
      <c r="E13" s="24">
        <f t="shared" si="0"/>
        <v>0</v>
      </c>
      <c r="F13" s="25" t="str">
        <f t="shared" si="1"/>
        <v/>
      </c>
      <c r="G13" s="26"/>
      <c r="H13" s="26">
        <f>SUM(Jul!H13, Aug!H13, Sep!H13)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SUM(Jul!C14, Aug!C14, Sep!C14)</f>
        <v>0</v>
      </c>
      <c r="D14" s="18">
        <f>SUM(Jul!D14, Aug!D14, Sep!D14)</f>
        <v>0</v>
      </c>
      <c r="E14" s="18">
        <f t="shared" si="0"/>
        <v>0</v>
      </c>
      <c r="F14" s="19" t="str">
        <f t="shared" si="1"/>
        <v/>
      </c>
      <c r="G14" s="20"/>
      <c r="H14" s="20">
        <f>SUM(Jul!H14, Aug!H14, Sep!H14)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SUM(Jul!C15, Aug!C15, Sep!C15)</f>
        <v>0</v>
      </c>
      <c r="D15" s="24">
        <f>SUM(Jul!D15, Aug!D15, Sep!D15)</f>
        <v>0</v>
      </c>
      <c r="E15" s="24">
        <f t="shared" si="0"/>
        <v>0</v>
      </c>
      <c r="F15" s="25" t="str">
        <f t="shared" si="1"/>
        <v/>
      </c>
      <c r="G15" s="26"/>
      <c r="H15" s="26">
        <f>SUM(Jul!H15, Aug!H15, Sep!H15)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 t="str">
        <v xml:space="preserve"> 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 t="str">
        <v xml:space="preserve"> 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 t="str">
        <v xml:space="preserve"> 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mergeCells count="4">
    <mergeCell ref="G1:I1"/>
    <mergeCell ref="A1:C1"/>
    <mergeCell ref="D1:F1"/>
    <mergeCell ref="A2:B2"/>
  </mergeCells>
  <conditionalFormatting sqref="F2 I2 F4:F100 I4:I100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5" t="str" cm="1">
        <f t="array" ref="A1">portfolio</f>
        <v>Starbucks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Superior High School</v>
      </c>
      <c r="B4" s="14" t="str" cm="1">
        <f t="array" ref="B4:B24">Sites[State]</f>
        <v>AZ</v>
      </c>
      <c r="C4" s="31">
        <f>SUM(Oct!C4, Nov!C4, Dec!C4)</f>
        <v>0</v>
      </c>
      <c r="D4" s="18">
        <f>SUM(Oct!D4, Nov!D4, Dec!D4)</f>
        <v>0</v>
      </c>
      <c r="E4" s="18">
        <f>IF(AND(ISNUMBER(C4),ISNUMBER(D4)), C4-D4, "")</f>
        <v>0</v>
      </c>
      <c r="F4" s="19" t="str">
        <f>IFERROR(E4/D4, "")</f>
        <v/>
      </c>
      <c r="G4" s="20"/>
      <c r="H4" s="20">
        <f>SUM(Oct!H4, Nov!H4, Dec!H4)</f>
        <v>0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SUM(Oct!C5, Nov!C5, Dec!C5)</f>
        <v>0</v>
      </c>
      <c r="D5" s="24">
        <f>SUM(Oct!D5, Nov!D5, Dec!D5)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SUM(Oct!H5, Nov!H5, Dec!H5)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SUM(Oct!C6, Nov!C6, Dec!C6)</f>
        <v>0</v>
      </c>
      <c r="D6" s="18">
        <f>SUM(Oct!D6, Nov!D6, Dec!D6)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SUM(Oct!H6, Nov!H6, Dec!H6)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SUM(Oct!C7, Nov!C7, Dec!C7)</f>
        <v>0</v>
      </c>
      <c r="D7" s="24">
        <f>SUM(Oct!D7, Nov!D7, Dec!D7)</f>
        <v>0</v>
      </c>
      <c r="E7" s="24">
        <f t="shared" si="0"/>
        <v>0</v>
      </c>
      <c r="F7" s="25" t="str">
        <f t="shared" si="1"/>
        <v/>
      </c>
      <c r="G7" s="26"/>
      <c r="H7" s="26">
        <f>SUM(Oct!H7, Nov!H7, Dec!H7)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SUM(Oct!C8, Nov!C8, Dec!C8)</f>
        <v>0</v>
      </c>
      <c r="D8" s="18">
        <f>SUM(Oct!D8, Nov!D8, Dec!D8)</f>
        <v>0</v>
      </c>
      <c r="E8" s="18">
        <f t="shared" si="0"/>
        <v>0</v>
      </c>
      <c r="F8" s="19" t="str">
        <f t="shared" si="1"/>
        <v/>
      </c>
      <c r="G8" s="20"/>
      <c r="H8" s="20">
        <f>SUM(Oct!H8, Nov!H8, Dec!H8)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SUM(Oct!C9, Nov!C9, Dec!C9)</f>
        <v>0</v>
      </c>
      <c r="D9" s="24">
        <f>SUM(Oct!D9, Nov!D9, Dec!D9)</f>
        <v>0</v>
      </c>
      <c r="E9" s="24">
        <f t="shared" si="0"/>
        <v>0</v>
      </c>
      <c r="F9" s="25" t="str">
        <f t="shared" si="1"/>
        <v/>
      </c>
      <c r="G9" s="26"/>
      <c r="H9" s="26">
        <f>SUM(Oct!H9, Nov!H9, Dec!H9)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SUM(Oct!C10, Nov!C10, Dec!C10)</f>
        <v>0</v>
      </c>
      <c r="D10" s="18">
        <f>SUM(Oct!D10, Nov!D10, Dec!D10)</f>
        <v>0</v>
      </c>
      <c r="E10" s="18">
        <f t="shared" si="0"/>
        <v>0</v>
      </c>
      <c r="F10" s="19" t="str">
        <f t="shared" si="1"/>
        <v/>
      </c>
      <c r="G10" s="20"/>
      <c r="H10" s="20">
        <f>SUM(Oct!H10, Nov!H10, Dec!H10)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SUM(Oct!C11, Nov!C11, Dec!C11)</f>
        <v>0</v>
      </c>
      <c r="D11" s="24">
        <f>SUM(Oct!D11, Nov!D11, Dec!D11)</f>
        <v>0</v>
      </c>
      <c r="E11" s="24">
        <f t="shared" si="0"/>
        <v>0</v>
      </c>
      <c r="F11" s="25" t="str">
        <f t="shared" si="1"/>
        <v/>
      </c>
      <c r="G11" s="26"/>
      <c r="H11" s="26">
        <f>SUM(Oct!H11, Nov!H11, Dec!H11)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SUM(Oct!C12, Nov!C12, Dec!C12)</f>
        <v>0</v>
      </c>
      <c r="D12" s="18">
        <f>SUM(Oct!D12, Nov!D12, Dec!D12)</f>
        <v>0</v>
      </c>
      <c r="E12" s="18">
        <f t="shared" si="0"/>
        <v>0</v>
      </c>
      <c r="F12" s="19" t="str">
        <f t="shared" si="1"/>
        <v/>
      </c>
      <c r="G12" s="20"/>
      <c r="H12" s="20">
        <f>SUM(Oct!H12, Nov!H12, Dec!H12)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SUM(Oct!C13, Nov!C13, Dec!C13)</f>
        <v>0</v>
      </c>
      <c r="D13" s="24">
        <f>SUM(Oct!D13, Nov!D13, Dec!D13)</f>
        <v>0</v>
      </c>
      <c r="E13" s="24">
        <f t="shared" si="0"/>
        <v>0</v>
      </c>
      <c r="F13" s="25" t="str">
        <f t="shared" si="1"/>
        <v/>
      </c>
      <c r="G13" s="26"/>
      <c r="H13" s="26">
        <f>SUM(Oct!H13, Nov!H13, Dec!H13)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SUM(Oct!C14, Nov!C14, Dec!C14)</f>
        <v>0</v>
      </c>
      <c r="D14" s="18">
        <f>SUM(Oct!D14, Nov!D14, Dec!D14)</f>
        <v>0</v>
      </c>
      <c r="E14" s="18">
        <f t="shared" si="0"/>
        <v>0</v>
      </c>
      <c r="F14" s="19" t="str">
        <f t="shared" si="1"/>
        <v/>
      </c>
      <c r="G14" s="20"/>
      <c r="H14" s="20">
        <f>SUM(Oct!H14, Nov!H14, Dec!H14)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SUM(Oct!C15, Nov!C15, Dec!C15)</f>
        <v>0</v>
      </c>
      <c r="D15" s="24">
        <f>SUM(Oct!D15, Nov!D15, Dec!D15)</f>
        <v>0</v>
      </c>
      <c r="E15" s="24">
        <f t="shared" si="0"/>
        <v>0</v>
      </c>
      <c r="F15" s="25" t="str">
        <f t="shared" si="1"/>
        <v/>
      </c>
      <c r="G15" s="26"/>
      <c r="H15" s="26">
        <f>SUM(Oct!H15, Nov!H15, Dec!H15)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 t="str">
        <v xml:space="preserve"> 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 t="str">
        <v xml:space="preserve"> 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 t="str">
        <v xml:space="preserve"> 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mergeCells count="4">
    <mergeCell ref="G1:I1"/>
    <mergeCell ref="A1:C1"/>
    <mergeCell ref="D1:F1"/>
    <mergeCell ref="A2:B2"/>
  </mergeCells>
  <conditionalFormatting sqref="F2 I2 F4:F100 I4:I100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ySplit="3" topLeftCell="A4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SUM(C4:C99)</f>
        <v>18248</v>
      </c>
      <c r="D2" s="6">
        <f>SUM(D4:D99)</f>
        <v>0</v>
      </c>
      <c r="E2" s="6">
        <f>C2-D2</f>
        <v>18248</v>
      </c>
      <c r="F2" s="7">
        <f>IFERROR(E2/D2, 0)</f>
        <v>0</v>
      </c>
      <c r="G2" s="6">
        <f>SUM(G4:G99)</f>
        <v>0</v>
      </c>
      <c r="H2" s="8">
        <f>C2-G2</f>
        <v>18248</v>
      </c>
      <c r="I2" s="7">
        <f>IFERROR(H2/G2, 0)</f>
        <v>0</v>
      </c>
      <c r="J2" s="3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35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33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Superior High School</v>
      </c>
      <c r="B4" s="37" t="str" cm="1">
        <f t="array" ref="B4:B24">Sites[State]</f>
        <v>AZ</v>
      </c>
      <c r="C4" s="31">
        <v>18248</v>
      </c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6" si="0">IF(AND(ISNUMBER(C5),ISNUMBER(D5)), C5-D5, "")</f>
        <v/>
      </c>
      <c r="F5" s="25" t="str">
        <f>IFERROR(E5/D5, "")</f>
        <v/>
      </c>
      <c r="G5" s="26"/>
      <c r="H5" s="26" t="str">
        <f t="shared" ref="H5:H6" si="1">IF(AND(ISNUMBER(C5),ISNUMBER(G5)), C5-G5, "")</f>
        <v/>
      </c>
      <c r="I5" s="25" t="str">
        <f t="shared" ref="I5:I6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ref="E7:E15" si="4">IF(AND(ISNUMBER(C7),ISNUMBER(D7)), C7-D7, "")</f>
        <v/>
      </c>
      <c r="F7" s="25" t="str">
        <f t="shared" si="3"/>
        <v/>
      </c>
      <c r="G7" s="26"/>
      <c r="H7" s="26" t="str">
        <f t="shared" ref="H7:H15" si="5">IF(AND(ISNUMBER(C7),ISNUMBER(G7)), C7-G7, "")</f>
        <v/>
      </c>
      <c r="I7" s="25" t="str">
        <f t="shared" ref="I7:I15" si="6">IFERROR(H7/G7, "")</f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4"/>
        <v/>
      </c>
      <c r="F8" s="19" t="str">
        <f t="shared" si="3"/>
        <v/>
      </c>
      <c r="G8" s="20"/>
      <c r="H8" s="20" t="str">
        <f t="shared" si="5"/>
        <v/>
      </c>
      <c r="I8" s="21" t="str">
        <f t="shared" si="6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4"/>
        <v/>
      </c>
      <c r="F9" s="25" t="str">
        <f t="shared" si="3"/>
        <v/>
      </c>
      <c r="G9" s="26"/>
      <c r="H9" s="26" t="str">
        <f t="shared" si="5"/>
        <v/>
      </c>
      <c r="I9" s="25" t="str">
        <f t="shared" si="6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4"/>
        <v/>
      </c>
      <c r="F10" s="19" t="str">
        <f t="shared" si="3"/>
        <v/>
      </c>
      <c r="G10" s="20"/>
      <c r="H10" s="20" t="str">
        <f t="shared" si="5"/>
        <v/>
      </c>
      <c r="I10" s="21" t="str">
        <f t="shared" si="6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4"/>
        <v/>
      </c>
      <c r="F11" s="25" t="str">
        <f t="shared" si="3"/>
        <v/>
      </c>
      <c r="G11" s="26"/>
      <c r="H11" s="26" t="str">
        <f t="shared" si="5"/>
        <v/>
      </c>
      <c r="I11" s="25" t="str">
        <f t="shared" si="6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4"/>
        <v/>
      </c>
      <c r="F12" s="19" t="str">
        <f t="shared" si="3"/>
        <v/>
      </c>
      <c r="G12" s="20"/>
      <c r="H12" s="20" t="str">
        <f t="shared" si="5"/>
        <v/>
      </c>
      <c r="I12" s="21" t="str">
        <f t="shared" si="6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4"/>
        <v/>
      </c>
      <c r="F13" s="25" t="str">
        <f t="shared" si="3"/>
        <v/>
      </c>
      <c r="G13" s="26"/>
      <c r="H13" s="26" t="str">
        <f t="shared" si="5"/>
        <v/>
      </c>
      <c r="I13" s="25" t="str">
        <f t="shared" si="6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4"/>
        <v/>
      </c>
      <c r="F14" s="19" t="str">
        <f t="shared" si="3"/>
        <v/>
      </c>
      <c r="G14" s="20"/>
      <c r="H14" s="20" t="str">
        <f t="shared" si="5"/>
        <v/>
      </c>
      <c r="I14" s="21" t="str">
        <f t="shared" si="6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4"/>
        <v/>
      </c>
      <c r="F15" s="25" t="str">
        <f t="shared" si="3"/>
        <v/>
      </c>
      <c r="G15" s="26"/>
      <c r="H15" s="26" t="str">
        <f t="shared" si="5"/>
        <v/>
      </c>
      <c r="I15" s="25" t="str">
        <f t="shared" si="6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 t="str">
        <f t="shared" ref="E16" si="7">IF(AND(ISNUMBER(C16),ISNUMBER(D16)), C16-D16, "")</f>
        <v/>
      </c>
      <c r="F16" s="27" t="str">
        <f t="shared" ref="F16" si="8">IFERROR(E16/D16, "")</f>
        <v/>
      </c>
      <c r="G16" s="27"/>
      <c r="H16" s="27" t="str">
        <f t="shared" ref="H16" si="9">IF(AND(ISNUMBER(C16),ISNUMBER(G16)), C16-G16, "")</f>
        <v/>
      </c>
      <c r="I16" s="27" t="str">
        <f t="shared" ref="I16" si="10">IFERROR(H16/G16, "")</f>
        <v/>
      </c>
      <c r="J16" s="27"/>
      <c r="K16" s="27"/>
    </row>
    <row r="17" spans="1:11" ht="12.75" customHeight="1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4.5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8"/>
      <c r="G32" s="27"/>
      <c r="H32" s="27"/>
      <c r="I32" s="28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</sheetData>
  <mergeCells count="4">
    <mergeCell ref="D1:F1"/>
    <mergeCell ref="A1:C1"/>
    <mergeCell ref="G1:I1"/>
    <mergeCell ref="A2:B2"/>
  </mergeCells>
  <conditionalFormatting sqref="F2 I2 F4:F99 I4:I9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22</v>
      </c>
      <c r="E1" s="46"/>
      <c r="F1" s="46"/>
      <c r="G1" s="44" t="s">
        <v>23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Superior High School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2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Superior High School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Superior High School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28</v>
      </c>
      <c r="E1" s="46"/>
      <c r="F1" s="46"/>
      <c r="G1" s="44" t="s">
        <v>29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Superior High School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30</v>
      </c>
      <c r="E1" s="46"/>
      <c r="F1" s="46"/>
      <c r="G1" s="44" t="s">
        <v>31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Superior High School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32</v>
      </c>
      <c r="E1" s="46"/>
      <c r="F1" s="46"/>
      <c r="G1" s="44" t="s">
        <v>33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Superior High School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34</v>
      </c>
      <c r="E1" s="46"/>
      <c r="F1" s="46"/>
      <c r="G1" s="44" t="s">
        <v>35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Superior High School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36</v>
      </c>
      <c r="E1" s="46"/>
      <c r="F1" s="46"/>
      <c r="G1" s="44" t="s">
        <v>37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Superior High School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38</v>
      </c>
      <c r="E1" s="46"/>
      <c r="F1" s="46"/>
      <c r="G1" s="44" t="s">
        <v>39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Superior High School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40</v>
      </c>
      <c r="E1" s="46"/>
      <c r="F1" s="46"/>
      <c r="G1" s="44" t="s">
        <v>41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Superior High School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C4" sqref="C4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42</v>
      </c>
      <c r="E1" s="46"/>
      <c r="F1" s="46"/>
      <c r="G1" s="44" t="s">
        <v>43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Superior High School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4"/>
  <sheetViews>
    <sheetView tabSelected="1" workbookViewId="0">
      <pane ySplit="3" topLeftCell="A4" activePane="bottomLeft" state="frozen"/>
      <selection pane="bottomLeft" activeCell="A28" sqref="A28"/>
    </sheetView>
  </sheetViews>
  <sheetFormatPr defaultRowHeight="12.75" customHeight="1" x14ac:dyDescent="0.25"/>
  <cols>
    <col min="1" max="2" width="41.81640625" customWidth="1"/>
    <col min="4" max="4" width="9.1796875" customWidth="1"/>
    <col min="5" max="5" width="18.26953125" customWidth="1"/>
    <col min="6" max="14" width="9.1796875" customWidth="1"/>
  </cols>
  <sheetData>
    <row r="1" spans="1:7" ht="12.75" customHeight="1" x14ac:dyDescent="0.25">
      <c r="A1" t="s">
        <v>44</v>
      </c>
      <c r="B1" s="43" t="s">
        <v>50</v>
      </c>
    </row>
    <row r="3" spans="1:7" ht="12.5" x14ac:dyDescent="0.25">
      <c r="A3" t="s">
        <v>45</v>
      </c>
      <c r="B3" t="s">
        <v>3</v>
      </c>
      <c r="C3" t="s">
        <v>4</v>
      </c>
      <c r="D3" t="s">
        <v>46</v>
      </c>
      <c r="E3" s="2" t="s">
        <v>47</v>
      </c>
    </row>
    <row r="4" spans="1:7" ht="14.5" x14ac:dyDescent="0.35">
      <c r="A4" t="s">
        <v>51</v>
      </c>
      <c r="B4" t="s">
        <v>51</v>
      </c>
      <c r="C4" s="4" t="s">
        <v>48</v>
      </c>
      <c r="D4" t="s">
        <v>52</v>
      </c>
      <c r="G4" s="3"/>
    </row>
    <row r="5" spans="1:7" ht="14.5" x14ac:dyDescent="0.35">
      <c r="C5" s="4"/>
      <c r="G5" s="3"/>
    </row>
    <row r="6" spans="1:7" ht="14.5" x14ac:dyDescent="0.35">
      <c r="C6" s="4"/>
      <c r="G6" s="3"/>
    </row>
    <row r="7" spans="1:7" ht="12.75" customHeight="1" x14ac:dyDescent="0.25">
      <c r="C7" s="4"/>
    </row>
    <row r="8" spans="1:7" ht="12.75" customHeight="1" x14ac:dyDescent="0.25">
      <c r="C8" s="4"/>
    </row>
    <row r="9" spans="1:7" ht="12.75" customHeight="1" x14ac:dyDescent="0.25">
      <c r="C9" s="4"/>
    </row>
    <row r="10" spans="1:7" ht="12.75" customHeight="1" x14ac:dyDescent="0.25">
      <c r="C10" s="4"/>
    </row>
    <row r="11" spans="1:7" ht="12.75" customHeight="1" x14ac:dyDescent="0.25">
      <c r="C11" s="4"/>
    </row>
    <row r="12" spans="1:7" ht="12.75" customHeight="1" x14ac:dyDescent="0.25">
      <c r="C12" s="4"/>
    </row>
    <row r="13" spans="1:7" ht="12.75" customHeight="1" x14ac:dyDescent="0.25">
      <c r="C13" s="4"/>
    </row>
    <row r="14" spans="1:7" ht="12.75" customHeight="1" x14ac:dyDescent="0.25">
      <c r="C14" s="4"/>
    </row>
    <row r="15" spans="1:7" ht="12.75" customHeight="1" x14ac:dyDescent="0.25">
      <c r="C15" s="4"/>
    </row>
    <row r="16" spans="1:7" ht="12.75" customHeight="1" x14ac:dyDescent="0.25">
      <c r="C16" s="4"/>
    </row>
    <row r="17" spans="1:3" ht="12.75" customHeight="1" x14ac:dyDescent="0.25">
      <c r="C17" s="4"/>
    </row>
    <row r="18" spans="1:3" ht="12.75" customHeight="1" x14ac:dyDescent="0.25">
      <c r="A18" s="4"/>
      <c r="B18" s="43" t="s">
        <v>49</v>
      </c>
      <c r="C18" s="4"/>
    </row>
    <row r="19" spans="1:3" ht="12.75" customHeight="1" x14ac:dyDescent="0.25">
      <c r="A19" s="4"/>
      <c r="B19" s="43" t="s">
        <v>49</v>
      </c>
      <c r="C19" s="4"/>
    </row>
    <row r="20" spans="1:3" ht="12.75" customHeight="1" x14ac:dyDescent="0.25">
      <c r="A20" s="4"/>
      <c r="B20" s="43" t="s">
        <v>49</v>
      </c>
      <c r="C20" s="4"/>
    </row>
    <row r="21" spans="1:3" ht="12.75" customHeight="1" x14ac:dyDescent="0.25">
      <c r="A21" s="4"/>
      <c r="B21" s="4"/>
      <c r="C21" s="4"/>
    </row>
    <row r="22" spans="1:3" ht="12.75" customHeight="1" x14ac:dyDescent="0.25">
      <c r="A22" s="4"/>
      <c r="B22" s="4"/>
      <c r="C22" s="4"/>
    </row>
    <row r="23" spans="1:3" ht="12.75" customHeight="1" x14ac:dyDescent="0.25">
      <c r="A23" s="4"/>
      <c r="B23" s="4"/>
      <c r="C23" s="4"/>
    </row>
    <row r="24" spans="1:3" ht="12.75" customHeight="1" x14ac:dyDescent="0.25">
      <c r="A24" s="4"/>
      <c r="B24" s="4"/>
      <c r="C24" s="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2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3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4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6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7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8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9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0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1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2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3.xml><?xml version="1.0" encoding="utf-8"?>
<ds:datastoreItem xmlns:ds="http://schemas.openxmlformats.org/officeDocument/2006/customXml" ds:itemID="{8D732231-4216-4543-A665-18A2886B0EB7}">
  <ds:schemaRefs>
    <ds:schemaRef ds:uri="http://schemas.microsoft.com/sharepoint/v3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ddcd8467-55ca-498e-a9f8-86795db5db7a"/>
    <ds:schemaRef ds:uri="7f39bfab-6331-41a1-b6d4-5b974a316951"/>
  </ds:schemaRefs>
</ds:datastoreItem>
</file>

<file path=customXml/itemProps14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5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6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8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9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0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Brown, David</cp:lastModifiedBy>
  <cp:revision/>
  <dcterms:created xsi:type="dcterms:W3CDTF">2021-01-01T16:39:53Z</dcterms:created>
  <dcterms:modified xsi:type="dcterms:W3CDTF">2024-02-08T00:21:42Z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