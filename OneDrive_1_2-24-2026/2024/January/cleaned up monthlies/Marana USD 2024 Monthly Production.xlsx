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-my.sharepoint.com/personal/dbrown_ameresco_com/Documents/Downloads/"/>
    </mc:Choice>
  </mc:AlternateContent>
  <xr:revisionPtr revIDLastSave="162" documentId="8_{8E5D122B-595F-4D3F-B5B0-8D476848E6B6}" xr6:coauthVersionLast="47" xr6:coauthVersionMax="47" xr10:uidLastSave="{F6C2C86E-7287-41CB-B34A-D33E0FB97B1A}"/>
  <bookViews>
    <workbookView xWindow="-26688" yWindow="-9600" windowWidth="25980" windowHeight="21864" tabRatio="866" firstSheet="17" activeTab="1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72" l="1"/>
  <c r="I7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2"/>
  <c r="J2" i="31"/>
  <c r="J2" i="28"/>
  <c r="J2" i="27"/>
  <c r="J2" i="26"/>
  <c r="J2" i="19"/>
  <c r="J2" i="20"/>
  <c r="J2" i="21"/>
  <c r="J2" i="4"/>
  <c r="J2" i="3"/>
  <c r="E4" i="3"/>
  <c r="F4" i="3" s="1"/>
  <c r="H4" i="3"/>
  <c r="I4" i="3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/>
  <c r="E15" i="3"/>
  <c r="F15" i="3" s="1"/>
  <c r="H15" i="3"/>
  <c r="I15" i="3" s="1"/>
  <c r="E16" i="72"/>
  <c r="F16" i="72" s="1"/>
  <c r="H16" i="72"/>
  <c r="I16" i="72" s="1"/>
  <c r="G6" i="1"/>
  <c r="G7" i="1"/>
  <c r="G8" i="1"/>
  <c r="G9" i="1"/>
  <c r="G10" i="1"/>
  <c r="G11" i="1"/>
  <c r="G12" i="1"/>
  <c r="G13" i="1"/>
  <c r="G14" i="1"/>
  <c r="G15" i="1"/>
  <c r="G5" i="1"/>
  <c r="G4" i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G2" i="34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E11" i="30" s="1"/>
  <c r="F11" i="30" s="1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D6" i="30"/>
  <c r="C6" i="30"/>
  <c r="E6" i="30" s="1"/>
  <c r="F6" i="30" s="1"/>
  <c r="D5" i="30"/>
  <c r="C5" i="30"/>
  <c r="E5" i="30" s="1"/>
  <c r="F5" i="30" s="1"/>
  <c r="D4" i="30"/>
  <c r="C4" i="30"/>
  <c r="E4" i="30" s="1"/>
  <c r="F4" i="30" s="1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E15" i="18" s="1"/>
  <c r="F15" i="18" s="1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D2" i="30"/>
  <c r="E13" i="29"/>
  <c r="F13" i="29" s="1"/>
  <c r="D2" i="18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E2" i="28"/>
  <c r="F2" i="28" s="1"/>
  <c r="D2" i="28"/>
  <c r="C2" i="28"/>
  <c r="H2" i="28" s="1"/>
  <c r="I2" i="28" s="1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H10" i="29" s="1"/>
  <c r="I10" i="29" s="1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H2" i="27" s="1"/>
  <c r="I2" i="27" s="1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H2" i="20"/>
  <c r="I2" i="20" s="1"/>
  <c r="G2" i="20"/>
  <c r="D2" i="20"/>
  <c r="C2" i="20"/>
  <c r="E2" i="20" s="1"/>
  <c r="F2" i="20" s="1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15" i="4"/>
  <c r="I15" i="4" s="1"/>
  <c r="E15" i="4"/>
  <c r="F15" i="4" s="1"/>
  <c r="I14" i="4"/>
  <c r="H14" i="4"/>
  <c r="F14" i="4"/>
  <c r="E14" i="4"/>
  <c r="H13" i="4"/>
  <c r="I13" i="4" s="1"/>
  <c r="E13" i="4"/>
  <c r="F13" i="4" s="1"/>
  <c r="H12" i="4"/>
  <c r="I12" i="4" s="1"/>
  <c r="F12" i="4"/>
  <c r="E12" i="4"/>
  <c r="I11" i="4"/>
  <c r="H11" i="4"/>
  <c r="E11" i="4"/>
  <c r="F11" i="4" s="1"/>
  <c r="H10" i="4"/>
  <c r="I10" i="4" s="1"/>
  <c r="E10" i="4"/>
  <c r="F10" i="4" s="1"/>
  <c r="I9" i="4"/>
  <c r="H9" i="4"/>
  <c r="F9" i="4"/>
  <c r="E9" i="4"/>
  <c r="H8" i="4"/>
  <c r="I8" i="4" s="1"/>
  <c r="E8" i="4"/>
  <c r="F8" i="4" s="1"/>
  <c r="H7" i="4"/>
  <c r="I7" i="4" s="1"/>
  <c r="E7" i="4"/>
  <c r="F7" i="4" s="1"/>
  <c r="I6" i="4"/>
  <c r="H6" i="4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A1" i="3" a="1"/>
  <c r="A1" i="3" s="1"/>
  <c r="E5" i="72"/>
  <c r="F5" i="72" s="1"/>
  <c r="E6" i="72"/>
  <c r="F6" i="72" s="1"/>
  <c r="E8" i="72"/>
  <c r="F8" i="72" s="1"/>
  <c r="E9" i="72"/>
  <c r="F9" i="72" s="1"/>
  <c r="E10" i="72"/>
  <c r="F10" i="72" s="1"/>
  <c r="E11" i="72"/>
  <c r="F11" i="72" s="1"/>
  <c r="E12" i="72"/>
  <c r="F12" i="72" s="1"/>
  <c r="E13" i="72"/>
  <c r="F13" i="72" s="1"/>
  <c r="E14" i="72"/>
  <c r="F14" i="72" s="1"/>
  <c r="E15" i="72"/>
  <c r="F15" i="72" s="1"/>
  <c r="H6" i="72"/>
  <c r="I6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E4" i="72"/>
  <c r="F4" i="72" s="1"/>
  <c r="A1" i="72" a="1"/>
  <c r="A1" i="72" s="1"/>
  <c r="E7" i="72" l="1"/>
  <c r="F7" i="72" s="1"/>
  <c r="C7" i="1"/>
  <c r="C2" i="1" s="1"/>
  <c r="C2" i="72"/>
  <c r="J2" i="72" s="1"/>
  <c r="J2" i="33"/>
  <c r="H6" i="30"/>
  <c r="I6" i="30" s="1"/>
  <c r="H2" i="3"/>
  <c r="I2" i="3" s="1"/>
  <c r="E11" i="34"/>
  <c r="F11" i="34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 l="1"/>
  <c r="I2" i="72" s="1"/>
  <c r="E7" i="1"/>
  <c r="F7" i="1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<sst xmlns="http://schemas.openxmlformats.org/spreadsheetml/2006/main" count="271" uniqueCount="61">
  <si>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</si>
  <si>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</si>
  <si>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</si>
  <si>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</si>
  <si>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</si>
  <si>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</si>
  <si>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</si>
  <si>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</si>
  <si>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</si>
  <si>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</si>
  <si>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</si>
  <si>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</si>
  <si>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</si>
  <si>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</si>
  <si>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</si>
  <si>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</si>
  <si>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</si>
  <si>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</si>
  <si>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</si>
  <si>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</si>
  <si>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</si>
  <si>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</si>
  <si>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</si>
  <si>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</si>
  <si>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</si>
  <si>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</si>
  <si>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</si>
  <si>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</si>
  <si>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</si>
  <si>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</si>
  <si>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</si>
  <si>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</si>
  <si>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</si>
  <si>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</si>
  <si>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</si>
  <si>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</si>
  <si>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</si>
  <si>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</si>
  <si>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</si>
  <si>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</si>
  <si>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</si>
  <si>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</si>
  <si>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</si>
  <si>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</si>
  <si>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</si>
  <si>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Marana USD</t>
  </si>
  <si>
    <t>Site DAS Name</t>
  </si>
  <si>
    <t>Update</t>
  </si>
  <si>
    <t>DAS</t>
  </si>
  <si>
    <t>AZ: Marana - Degrazia ES</t>
  </si>
  <si>
    <t>AZ</t>
  </si>
  <si>
    <t>A</t>
  </si>
  <si>
    <t>AZ: Marana - Gladden Farms Ph 2</t>
  </si>
  <si>
    <t>AZ: Marana - Marana High School</t>
  </si>
  <si>
    <t>AZ: Marana - Mountain View HS Exp.</t>
  </si>
  <si>
    <t>AA</t>
  </si>
  <si>
    <t>AZ: Marana - Rattlesnake Ridge ES</t>
  </si>
  <si>
    <t>AZ: Marana - Roadrunner ES</t>
  </si>
  <si>
    <t>AZ: Marana - Thornydale Elementary</t>
  </si>
  <si>
    <t>AZ: Marana - Tortolita MS</t>
  </si>
  <si>
    <t>AZ: Marana - Picture Rocks Intermediat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</si>
</sst>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9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35" fillId="0" borderId="0" xfId="0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4" totalsRowShown="0">
  <autoFilter ref="A3:E2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ySplit="2" topLeftCell="A3" activePane="bottomLeft" state="frozen"/>
      <selection pane="bottomLeft" activeCell="D29" sqref="D29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0" t="str" cm="1">
        <f t="array" ref="A1">portfolio</f>
        <v>Marana USD</v>
      </c>
      <c r="B1" s="40"/>
      <c r="C1" s="40"/>
      <c r="D1" s="41" t="s">
        <v>0</v>
      </c>
      <c r="E1" s="41"/>
      <c r="F1" s="41"/>
      <c r="G1" s="39" t="s">
        <v>1</v>
      </c>
      <c r="H1" s="39"/>
      <c r="I1" s="39"/>
    </row>
    <row r="2" spans="1:9" ht="19.5" customHeight="1">
      <c r="A2" s="42" t="s">
        <v>2</v>
      </c>
      <c r="B2" s="42"/>
      <c r="C2" s="6">
        <f>SUM(C4:C100)</f>
        <v>240925</v>
      </c>
      <c r="D2" s="6">
        <f>SUM(D4:D100)</f>
        <v>0</v>
      </c>
      <c r="E2" s="6">
        <f>C2-D2</f>
        <v>240925</v>
      </c>
      <c r="F2" s="7">
        <f>IFERROR(E2/D2, 0)</f>
        <v>0</v>
      </c>
      <c r="G2" s="6">
        <f>SUM(G4:G100)</f>
        <v>0</v>
      </c>
      <c r="H2" s="8">
        <f>C2-G2</f>
        <v>240925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3" t="s">
        <v>6</v>
      </c>
      <c r="E3" s="43" t="s">
        <v>7</v>
      </c>
      <c r="F3" s="44" t="s">
        <v>8</v>
      </c>
      <c r="G3" s="45" t="s">
        <v>9</v>
      </c>
      <c r="H3" s="46" t="s">
        <v>7</v>
      </c>
      <c r="I3" s="47" t="s">
        <v>8</v>
      </c>
    </row>
    <row r="4" spans="1:9" ht="15.6">
      <c r="A4" s="13" t="str" cm="1">
        <f t="array" ref="A4:A24">Sites[Site]</f>
        <v>AZ: Marana - Degrazia ES</v>
      </c>
      <c r="B4" s="10" t="str" cm="1">
        <f t="array" ref="B4:B24">Sites[State]</f>
        <v>AZ</v>
      </c>
      <c r="C4" s="26">
        <f>SUM('1st Qtr'!C4, '2nd Qtr'!C4, '3rd Qtr'!C4, '4th Qtr'!C4)</f>
        <v>15252</v>
      </c>
      <c r="D4" s="14">
        <f>SUM('1st Qtr'!D4, '2nd Qtr'!D4, '3rd Qtr'!D4, '4th Qtr'!D4)</f>
        <v>0</v>
      </c>
      <c r="E4" s="14">
        <f>IF(AND(ISNUMBER(C4),ISNUMBER(D4)), C4-D4, "")</f>
        <v>15252</v>
      </c>
      <c r="F4" s="15" t="str">
        <f>IFERROR(E4/D4, "")</f>
        <v/>
      </c>
      <c r="G4" s="16"/>
      <c r="H4" s="16">
        <f>SUM('1st Qtr'!H4, '2nd Qtr'!H4, '3rd Qtr'!H4, '4th Qtr'!H4)</f>
        <v>0</v>
      </c>
      <c r="I4" s="17" t="str">
        <f>IFERROR(H4/G4, "")</f>
        <v/>
      </c>
    </row>
    <row r="5" spans="1:9" ht="15.6">
      <c r="A5" s="19" t="str">
        <v>AZ: Marana - Gladden Farms Ph 2</v>
      </c>
      <c r="B5" s="11" t="str">
        <v>AZ</v>
      </c>
      <c r="C5" s="12">
        <f>SUM(Jan!C5, Feb!C5, Mar!C5)</f>
        <v>12109</v>
      </c>
      <c r="D5" s="20">
        <f>SUM(Jan!D5, Feb!D5, Mar!D5)</f>
        <v>0</v>
      </c>
      <c r="E5" s="20">
        <f t="shared" ref="E5:E15" si="0">IF(AND(ISNUMBER(C5),ISNUMBER(D5)), C5-D5, "")</f>
        <v>12109</v>
      </c>
      <c r="F5" s="21" t="str">
        <f>IFERROR(E5/D5, "")</f>
        <v/>
      </c>
      <c r="G5" s="22"/>
      <c r="H5" s="22">
        <f>SUM(Jan!H5, Feb!H5, Mar!H5)</f>
        <v>0</v>
      </c>
      <c r="I5" s="21" t="str">
        <f>IFERROR(H5/G5, "")</f>
        <v/>
      </c>
    </row>
    <row r="6" spans="1:9" ht="15.6">
      <c r="A6" s="13" t="str">
        <v>AZ: Marana - Marana High School</v>
      </c>
      <c r="B6" s="10" t="str">
        <v>AZ</v>
      </c>
      <c r="C6" s="26">
        <f>SUM(Jan!C6, Feb!C6, Mar!C6)</f>
        <v>23382</v>
      </c>
      <c r="D6" s="14">
        <f>SUM(Jan!D6, Feb!D6, Mar!D6)</f>
        <v>0</v>
      </c>
      <c r="E6" s="14">
        <f t="shared" si="0"/>
        <v>23382</v>
      </c>
      <c r="F6" s="15" t="str">
        <f t="shared" ref="F6:F15" si="1">IFERROR(E6/D6, "")</f>
        <v/>
      </c>
      <c r="G6" s="16"/>
      <c r="H6" s="16">
        <f>SUM(Jan!H6, Feb!H6, Mar!H6)</f>
        <v>0</v>
      </c>
      <c r="I6" s="17" t="str">
        <f t="shared" ref="I6:I15" si="2">IFERROR(H6/G6, "")</f>
        <v/>
      </c>
    </row>
    <row r="7" spans="1:9" ht="15.6">
      <c r="A7" s="19" t="str">
        <v>AZ: Marana - Mountain View HS Exp.</v>
      </c>
      <c r="B7" s="11" t="str">
        <v>AZ</v>
      </c>
      <c r="C7" s="12">
        <f>SUM(Jan!C7, Feb!C7, Mar!C7)</f>
        <v>100460</v>
      </c>
      <c r="D7" s="20">
        <f>SUM(Jan!D7, Feb!D7, Mar!D7)</f>
        <v>0</v>
      </c>
      <c r="E7" s="20">
        <f t="shared" si="0"/>
        <v>100460</v>
      </c>
      <c r="F7" s="21" t="str">
        <f t="shared" si="1"/>
        <v/>
      </c>
      <c r="G7" s="22"/>
      <c r="H7" s="22">
        <f>SUM(Jan!H7, Feb!H7, Mar!H7)</f>
        <v>0</v>
      </c>
      <c r="I7" s="21" t="str">
        <f t="shared" si="2"/>
        <v/>
      </c>
    </row>
    <row r="8" spans="1:9" ht="15.6">
      <c r="A8" s="13" t="str">
        <v>AZ: Marana - Rattlesnake Ridge ES</v>
      </c>
      <c r="B8" s="10" t="str">
        <v>AZ</v>
      </c>
      <c r="C8" s="26">
        <f>SUM(Jan!C8, Feb!C8, Mar!C8)</f>
        <v>4897</v>
      </c>
      <c r="D8" s="14">
        <f>SUM(Jan!D8, Feb!D8, Mar!D8)</f>
        <v>0</v>
      </c>
      <c r="E8" s="14">
        <f t="shared" si="0"/>
        <v>4897</v>
      </c>
      <c r="F8" s="15" t="str">
        <f t="shared" si="1"/>
        <v/>
      </c>
      <c r="G8" s="16"/>
      <c r="H8" s="16">
        <f>SUM(Jan!H8, Feb!H8, Mar!H8)</f>
        <v>0</v>
      </c>
      <c r="I8" s="17" t="str">
        <f t="shared" si="2"/>
        <v/>
      </c>
    </row>
    <row r="9" spans="1:9" ht="15.6">
      <c r="A9" s="19" t="str">
        <v>AZ: Marana - Roadrunner ES</v>
      </c>
      <c r="B9" s="11" t="str">
        <v>AZ</v>
      </c>
      <c r="C9" s="12">
        <f>SUM(Jan!C9, Feb!C9, Mar!C9)</f>
        <v>21507</v>
      </c>
      <c r="D9" s="20">
        <f>SUM(Jan!D9, Feb!D9, Mar!D9)</f>
        <v>0</v>
      </c>
      <c r="E9" s="20">
        <f t="shared" si="0"/>
        <v>21507</v>
      </c>
      <c r="F9" s="21" t="str">
        <f t="shared" si="1"/>
        <v/>
      </c>
      <c r="G9" s="22"/>
      <c r="H9" s="22">
        <f>SUM(Jan!H9, Feb!H9, Mar!H9)</f>
        <v>0</v>
      </c>
      <c r="I9" s="21" t="str">
        <f t="shared" si="2"/>
        <v/>
      </c>
    </row>
    <row r="10" spans="1:9" ht="15.6">
      <c r="A10" s="13" t="str">
        <v>AZ: Marana - Thornydale Elementary</v>
      </c>
      <c r="B10" s="10" t="str">
        <v>AZ</v>
      </c>
      <c r="C10" s="26">
        <f>SUM(Jan!C10, Feb!C10, Mar!C10)</f>
        <v>10517</v>
      </c>
      <c r="D10" s="14">
        <f>SUM(Jan!D10, Feb!D10, Mar!D10)</f>
        <v>0</v>
      </c>
      <c r="E10" s="14">
        <f t="shared" si="0"/>
        <v>10517</v>
      </c>
      <c r="F10" s="15" t="str">
        <f t="shared" si="1"/>
        <v/>
      </c>
      <c r="G10" s="16"/>
      <c r="H10" s="16">
        <f>SUM(Jan!H10, Feb!H10, Mar!H10)</f>
        <v>0</v>
      </c>
      <c r="I10" s="17" t="str">
        <f t="shared" si="2"/>
        <v/>
      </c>
    </row>
    <row r="11" spans="1:9" ht="15.6">
      <c r="A11" s="19" t="str">
        <v>AZ: Marana - Tortolita MS</v>
      </c>
      <c r="B11" s="11" t="str">
        <v>AZ</v>
      </c>
      <c r="C11" s="12">
        <f>SUM(Jan!C11, Feb!C11, Mar!C11)</f>
        <v>28275</v>
      </c>
      <c r="D11" s="20">
        <f>SUM(Jan!D11, Feb!D11, Mar!D11)</f>
        <v>0</v>
      </c>
      <c r="E11" s="20">
        <f t="shared" si="0"/>
        <v>28275</v>
      </c>
      <c r="F11" s="21" t="str">
        <f t="shared" si="1"/>
        <v/>
      </c>
      <c r="G11" s="22"/>
      <c r="H11" s="22">
        <f>SUM(Jan!H11, Feb!H11, Mar!H11)</f>
        <v>0</v>
      </c>
      <c r="I11" s="21" t="str">
        <f t="shared" si="2"/>
        <v/>
      </c>
    </row>
    <row r="12" spans="1:9" ht="15.6">
      <c r="A12" s="13" t="str">
        <v>AZ: Marana - Picture Rocks Intermediat</v>
      </c>
      <c r="B12" s="10" t="str">
        <v>AZ</v>
      </c>
      <c r="C12" s="26">
        <f>SUM(Jan!C12, Feb!C12, Mar!C12)</f>
        <v>24526</v>
      </c>
      <c r="D12" s="14">
        <f>SUM(Jan!D12, Feb!D12, Mar!D12)</f>
        <v>0</v>
      </c>
      <c r="E12" s="14">
        <f t="shared" si="0"/>
        <v>24526</v>
      </c>
      <c r="F12" s="15" t="str">
        <f t="shared" si="1"/>
        <v/>
      </c>
      <c r="G12" s="16"/>
      <c r="H12" s="16">
        <f>SUM(Jan!H12, Feb!H12, Mar!H12)</f>
        <v>0</v>
      </c>
      <c r="I12" s="17" t="str">
        <f t="shared" si="2"/>
        <v/>
      </c>
    </row>
    <row r="13" spans="1:9" ht="15.6">
      <c r="A13" s="19">
        <v>0</v>
      </c>
      <c r="B13" s="11">
        <v>0</v>
      </c>
      <c r="C13" s="12">
        <f>SUM(Jan!C13, Feb!C13, Mar!C13)</f>
        <v>0</v>
      </c>
      <c r="D13" s="20">
        <f>SUM(Jan!D13, Feb!D13, Mar!D13)</f>
        <v>0</v>
      </c>
      <c r="E13" s="20">
        <f t="shared" si="0"/>
        <v>0</v>
      </c>
      <c r="F13" s="21" t="str">
        <f t="shared" si="1"/>
        <v/>
      </c>
      <c r="G13" s="22"/>
      <c r="H13" s="22">
        <f>SUM(Jan!H13, Feb!H13, Mar!H13)</f>
        <v>0</v>
      </c>
      <c r="I13" s="21" t="str">
        <f t="shared" si="2"/>
        <v/>
      </c>
    </row>
    <row r="14" spans="1:9" ht="15.6">
      <c r="A14" s="13">
        <v>0</v>
      </c>
      <c r="B14" s="10">
        <v>0</v>
      </c>
      <c r="C14" s="26">
        <f>SUM(Jan!C14, Feb!C14, Mar!C14)</f>
        <v>0</v>
      </c>
      <c r="D14" s="14">
        <f>SUM(Jan!D14, Feb!D14, Mar!D14)</f>
        <v>0</v>
      </c>
      <c r="E14" s="14">
        <f t="shared" si="0"/>
        <v>0</v>
      </c>
      <c r="F14" s="15" t="str">
        <f t="shared" si="1"/>
        <v/>
      </c>
      <c r="G14" s="16"/>
      <c r="H14" s="16">
        <f>SUM(Jan!H14, Feb!H14, Mar!H14)</f>
        <v>0</v>
      </c>
      <c r="I14" s="17" t="str">
        <f t="shared" si="2"/>
        <v/>
      </c>
    </row>
    <row r="15" spans="1:9" ht="15.6">
      <c r="A15" s="19">
        <v>0</v>
      </c>
      <c r="B15" s="11">
        <v>0</v>
      </c>
      <c r="C15" s="12">
        <f>SUM(Jan!C15, Feb!C15, Mar!C15)</f>
        <v>0</v>
      </c>
      <c r="D15" s="20">
        <f>SUM(Jan!D15, Feb!D15, Mar!D15)</f>
        <v>0</v>
      </c>
      <c r="E15" s="20">
        <f t="shared" si="0"/>
        <v>0</v>
      </c>
      <c r="F15" s="21" t="str">
        <f t="shared" si="1"/>
        <v/>
      </c>
      <c r="G15" s="22"/>
      <c r="H15" s="22">
        <f>SUM(Jan!H15, Feb!H15, Mar!H15)</f>
        <v>0</v>
      </c>
      <c r="I15" s="21" t="str">
        <f t="shared" si="2"/>
        <v/>
      </c>
    </row>
    <row r="16" spans="1:9" ht="12.95">
      <c r="A16" s="23">
        <v>0</v>
      </c>
      <c r="B16" s="23">
        <v>0</v>
      </c>
      <c r="C16" s="23"/>
      <c r="D16" s="23"/>
      <c r="E16" s="23"/>
      <c r="F16" s="23"/>
      <c r="G16" s="23"/>
      <c r="H16" s="23"/>
      <c r="I16" s="23"/>
    </row>
    <row r="17" spans="1:9" ht="12.95">
      <c r="A17" s="23">
        <v>0</v>
      </c>
      <c r="B17" s="23">
        <v>0</v>
      </c>
      <c r="C17" s="23"/>
      <c r="D17" s="23"/>
      <c r="E17" s="23"/>
      <c r="F17" s="23"/>
      <c r="G17" s="23"/>
      <c r="H17" s="23"/>
      <c r="I17" s="23"/>
    </row>
    <row r="18" spans="1:9" ht="12.75" customHeight="1">
      <c r="A18" s="23">
        <v>0</v>
      </c>
      <c r="B18" s="23">
        <v>0</v>
      </c>
      <c r="C18" s="23"/>
      <c r="D18" s="23"/>
      <c r="E18" s="23"/>
      <c r="F18" s="23"/>
      <c r="G18" s="23"/>
      <c r="H18" s="23"/>
      <c r="I18" s="23"/>
    </row>
    <row r="19" spans="1:9" ht="12.95">
      <c r="A19" s="23">
        <v>0</v>
      </c>
      <c r="B19" s="23">
        <v>0</v>
      </c>
      <c r="C19" s="23"/>
      <c r="D19" s="23"/>
      <c r="E19" s="23"/>
      <c r="F19" s="23"/>
      <c r="G19" s="23"/>
      <c r="H19" s="23"/>
      <c r="I19" s="23"/>
    </row>
    <row r="20" spans="1:9" ht="12.95">
      <c r="A20" s="23">
        <v>0</v>
      </c>
      <c r="B20" s="23">
        <v>0</v>
      </c>
      <c r="C20" s="23"/>
      <c r="D20" s="23"/>
      <c r="E20" s="23"/>
      <c r="F20" s="23"/>
      <c r="G20" s="23"/>
      <c r="H20" s="23"/>
      <c r="I20" s="23"/>
    </row>
    <row r="21" spans="1:9" ht="12.95">
      <c r="A21" s="23">
        <v>0</v>
      </c>
      <c r="B21" s="23">
        <v>0</v>
      </c>
      <c r="C21" s="23"/>
      <c r="D21" s="23"/>
      <c r="E21" s="23"/>
      <c r="F21" s="23"/>
      <c r="G21" s="23"/>
      <c r="H21" s="23"/>
      <c r="I21" s="23"/>
    </row>
    <row r="22" spans="1:9" ht="12.95">
      <c r="A22" s="23">
        <v>0</v>
      </c>
      <c r="B22" s="23">
        <v>0</v>
      </c>
      <c r="C22" s="23"/>
      <c r="D22" s="23"/>
      <c r="E22" s="23"/>
      <c r="F22" s="23"/>
      <c r="G22" s="23"/>
      <c r="H22" s="23"/>
      <c r="I22" s="23"/>
    </row>
    <row r="23" spans="1:9" ht="12.95">
      <c r="A23" s="23">
        <v>0</v>
      </c>
      <c r="B23" s="23">
        <v>0</v>
      </c>
      <c r="C23" s="23"/>
      <c r="D23" s="23"/>
      <c r="E23" s="23"/>
      <c r="F23" s="23"/>
      <c r="G23" s="23"/>
      <c r="H23" s="23"/>
      <c r="I23" s="23"/>
    </row>
    <row r="24" spans="1:9" ht="12.95">
      <c r="A24" s="23">
        <v>0</v>
      </c>
      <c r="B24" s="23">
        <v>0</v>
      </c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2.9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2.9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2.9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2.9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2.95">
      <c r="A342" s="23"/>
      <c r="B342" s="23"/>
      <c r="C342" s="23"/>
      <c r="D342" s="23"/>
      <c r="E342" s="23"/>
      <c r="F342" s="24"/>
      <c r="G342" s="23"/>
      <c r="H342" s="23"/>
      <c r="I34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ySplit="2" topLeftCell="A3" activePane="bottomLeft" state="frozen"/>
      <selection pane="bottomLeft" activeCell="E22" sqref="E22"/>
      <selection activeCell="E22" sqref="E22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0" t="str" cm="1">
        <f t="array" ref="A1">portfolio</f>
        <v>Marana USD</v>
      </c>
      <c r="B1" s="40"/>
      <c r="C1" s="40"/>
      <c r="D1" s="41" t="s">
        <v>10</v>
      </c>
      <c r="E1" s="41"/>
      <c r="F1" s="41"/>
      <c r="G1" s="39" t="s">
        <v>11</v>
      </c>
      <c r="H1" s="39"/>
      <c r="I1" s="39"/>
    </row>
    <row r="2" spans="1:9" ht="19.5" customHeight="1">
      <c r="A2" s="42" t="s">
        <v>2</v>
      </c>
      <c r="B2" s="42"/>
      <c r="C2" s="6">
        <f>SUM(C4:C100)</f>
        <v>240925</v>
      </c>
      <c r="D2" s="6">
        <f>SUM(D4:D100)</f>
        <v>0</v>
      </c>
      <c r="E2" s="6">
        <f>C2-D2</f>
        <v>240925</v>
      </c>
      <c r="F2" s="7">
        <f>IFERROR(E2/D2, 0)</f>
        <v>0</v>
      </c>
      <c r="G2" s="6">
        <f>SUM(G4:G100)</f>
        <v>0</v>
      </c>
      <c r="H2" s="8">
        <f>C2-G2</f>
        <v>240925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3" t="s">
        <v>6</v>
      </c>
      <c r="E3" s="43" t="s">
        <v>7</v>
      </c>
      <c r="F3" s="44" t="s">
        <v>8</v>
      </c>
      <c r="G3" s="45" t="s">
        <v>9</v>
      </c>
      <c r="H3" s="46" t="s">
        <v>7</v>
      </c>
      <c r="I3" s="47" t="s">
        <v>8</v>
      </c>
    </row>
    <row r="4" spans="1:9" ht="15.6">
      <c r="A4" s="13" t="str" cm="1">
        <f t="array" ref="A4:A24">Sites[Site]</f>
        <v>AZ: Marana - Degrazia ES</v>
      </c>
      <c r="B4" s="10" t="str" cm="1">
        <f t="array" ref="B4:B24">Sites[State]</f>
        <v>AZ</v>
      </c>
      <c r="C4" s="26">
        <f>SUM(Jan!C4, Feb!C4, Mar!C4)</f>
        <v>15252</v>
      </c>
      <c r="D4" s="14">
        <f>SUM(Jan!D4, Feb!D4, Mar!D4)</f>
        <v>0</v>
      </c>
      <c r="E4" s="14">
        <f>IF(AND(ISNUMBER(C4),ISNUMBER(D4)), C4-D4, "")</f>
        <v>15252</v>
      </c>
      <c r="F4" s="15" t="str">
        <f>IFERROR(E4/D4, "")</f>
        <v/>
      </c>
      <c r="G4" s="16">
        <f>SUM(Jan!G4, Feb!G4, Mar!G4)</f>
        <v>0</v>
      </c>
      <c r="H4" s="16">
        <f>SUM(Jan!H4, Feb!H4, Mar!H4)</f>
        <v>0</v>
      </c>
      <c r="I4" s="17" t="str">
        <f>IFERROR(H4/G4, "")</f>
        <v/>
      </c>
    </row>
    <row r="5" spans="1:9" ht="15.6">
      <c r="A5" s="19" t="str">
        <v>AZ: Marana - Gladden Farms Ph 2</v>
      </c>
      <c r="B5" s="11" t="str">
        <v>AZ</v>
      </c>
      <c r="C5" s="12">
        <f>SUM(Jan!C5, Feb!C5, Mar!C5)</f>
        <v>12109</v>
      </c>
      <c r="D5" s="20">
        <f>SUM(Jan!D5, Feb!D5, Mar!D5)</f>
        <v>0</v>
      </c>
      <c r="E5" s="20">
        <f t="shared" ref="E5:E15" si="0">IF(AND(ISNUMBER(C5),ISNUMBER(D5)), C5-D5, "")</f>
        <v>12109</v>
      </c>
      <c r="F5" s="21" t="str">
        <f>IFERROR(E5/D5, "")</f>
        <v/>
      </c>
      <c r="G5" s="22">
        <f>SUM(Jan!G5, Feb!G5, Mar!G5)</f>
        <v>0</v>
      </c>
      <c r="H5" s="22">
        <f>SUM(Jan!H5, Feb!H5, Mar!H5)</f>
        <v>0</v>
      </c>
      <c r="I5" s="21" t="str">
        <f>IFERROR(H5/G5, "")</f>
        <v/>
      </c>
    </row>
    <row r="6" spans="1:9" ht="15.6">
      <c r="A6" s="13" t="str">
        <v>AZ: Marana - Marana High School</v>
      </c>
      <c r="B6" s="10" t="str">
        <v>AZ</v>
      </c>
      <c r="C6" s="26">
        <f>SUM(Jan!C6, Feb!C6, Mar!C6)</f>
        <v>23382</v>
      </c>
      <c r="D6" s="14">
        <f>SUM(Jan!D6, Feb!D6, Mar!D6)</f>
        <v>0</v>
      </c>
      <c r="E6" s="14">
        <f t="shared" si="0"/>
        <v>23382</v>
      </c>
      <c r="F6" s="15" t="str">
        <f t="shared" ref="F6:F15" si="1">IFERROR(E6/D6, "")</f>
        <v/>
      </c>
      <c r="G6" s="16">
        <f>SUM(Jan!G6, Feb!G6, Mar!G6)</f>
        <v>0</v>
      </c>
      <c r="H6" s="16">
        <f>SUM(Jan!H6, Feb!H6, Mar!H6)</f>
        <v>0</v>
      </c>
      <c r="I6" s="17" t="str">
        <f t="shared" ref="I6:I15" si="2">IFERROR(H6/G6, "")</f>
        <v/>
      </c>
    </row>
    <row r="7" spans="1:9" ht="15.6">
      <c r="A7" s="19" t="str">
        <v>AZ: Marana - Mountain View HS Exp.</v>
      </c>
      <c r="B7" s="11" t="str">
        <v>AZ</v>
      </c>
      <c r="C7" s="12">
        <f>SUM(Jan!C7, Feb!C7, Mar!C7)</f>
        <v>100460</v>
      </c>
      <c r="D7" s="20">
        <f>SUM(Jan!D7, Feb!D7, Mar!D7)</f>
        <v>0</v>
      </c>
      <c r="E7" s="20">
        <f t="shared" si="0"/>
        <v>100460</v>
      </c>
      <c r="F7" s="21" t="str">
        <f t="shared" si="1"/>
        <v/>
      </c>
      <c r="G7" s="22">
        <f>SUM(Jan!G7, Feb!G7, Mar!G7)</f>
        <v>0</v>
      </c>
      <c r="H7" s="22">
        <f>SUM(Jan!H7, Feb!H7, Mar!H7)</f>
        <v>0</v>
      </c>
      <c r="I7" s="21" t="str">
        <f t="shared" si="2"/>
        <v/>
      </c>
    </row>
    <row r="8" spans="1:9" ht="15.6">
      <c r="A8" s="13" t="str">
        <v>AZ: Marana - Rattlesnake Ridge ES</v>
      </c>
      <c r="B8" s="10" t="str">
        <v>AZ</v>
      </c>
      <c r="C8" s="26">
        <f>SUM(Jan!C8, Feb!C8, Mar!C8)</f>
        <v>4897</v>
      </c>
      <c r="D8" s="14">
        <f>SUM(Jan!D8, Feb!D8, Mar!D8)</f>
        <v>0</v>
      </c>
      <c r="E8" s="14">
        <f t="shared" si="0"/>
        <v>4897</v>
      </c>
      <c r="F8" s="15" t="str">
        <f t="shared" si="1"/>
        <v/>
      </c>
      <c r="G8" s="16">
        <f>SUM(Jan!G8, Feb!G8, Mar!G8)</f>
        <v>0</v>
      </c>
      <c r="H8" s="16">
        <f>SUM(Jan!H8, Feb!H8, Mar!H8)</f>
        <v>0</v>
      </c>
      <c r="I8" s="17" t="str">
        <f t="shared" si="2"/>
        <v/>
      </c>
    </row>
    <row r="9" spans="1:9" ht="15.6">
      <c r="A9" s="19" t="str">
        <v>AZ: Marana - Roadrunner ES</v>
      </c>
      <c r="B9" s="11" t="str">
        <v>AZ</v>
      </c>
      <c r="C9" s="12">
        <f>SUM(Jan!C9, Feb!C9, Mar!C9)</f>
        <v>21507</v>
      </c>
      <c r="D9" s="20">
        <f>SUM(Jan!D9, Feb!D9, Mar!D9)</f>
        <v>0</v>
      </c>
      <c r="E9" s="20">
        <f t="shared" si="0"/>
        <v>21507</v>
      </c>
      <c r="F9" s="21" t="str">
        <f t="shared" si="1"/>
        <v/>
      </c>
      <c r="G9" s="22">
        <f>SUM(Jan!G9, Feb!G9, Mar!G9)</f>
        <v>0</v>
      </c>
      <c r="H9" s="22">
        <f>SUM(Jan!H9, Feb!H9, Mar!H9)</f>
        <v>0</v>
      </c>
      <c r="I9" s="21" t="str">
        <f t="shared" si="2"/>
        <v/>
      </c>
    </row>
    <row r="10" spans="1:9" ht="15.6">
      <c r="A10" s="13" t="str">
        <v>AZ: Marana - Thornydale Elementary</v>
      </c>
      <c r="B10" s="10" t="str">
        <v>AZ</v>
      </c>
      <c r="C10" s="26">
        <f>SUM(Jan!C10, Feb!C10, Mar!C10)</f>
        <v>10517</v>
      </c>
      <c r="D10" s="14">
        <f>SUM(Jan!D10, Feb!D10, Mar!D10)</f>
        <v>0</v>
      </c>
      <c r="E10" s="14">
        <f t="shared" si="0"/>
        <v>10517</v>
      </c>
      <c r="F10" s="15" t="str">
        <f t="shared" si="1"/>
        <v/>
      </c>
      <c r="G10" s="16">
        <f>SUM(Jan!G10, Feb!G10, Mar!G10)</f>
        <v>0</v>
      </c>
      <c r="H10" s="16">
        <f>SUM(Jan!H10, Feb!H10, Mar!H10)</f>
        <v>0</v>
      </c>
      <c r="I10" s="17" t="str">
        <f t="shared" si="2"/>
        <v/>
      </c>
    </row>
    <row r="11" spans="1:9" ht="15.6">
      <c r="A11" s="19" t="str">
        <v>AZ: Marana - Tortolita MS</v>
      </c>
      <c r="B11" s="11" t="str">
        <v>AZ</v>
      </c>
      <c r="C11" s="12">
        <f>SUM(Jan!C11, Feb!C11, Mar!C11)</f>
        <v>28275</v>
      </c>
      <c r="D11" s="20">
        <f>SUM(Jan!D11, Feb!D11, Mar!D11)</f>
        <v>0</v>
      </c>
      <c r="E11" s="20">
        <f t="shared" si="0"/>
        <v>28275</v>
      </c>
      <c r="F11" s="21" t="str">
        <f t="shared" si="1"/>
        <v/>
      </c>
      <c r="G11" s="22">
        <f>SUM(Jan!G11, Feb!G11, Mar!G11)</f>
        <v>0</v>
      </c>
      <c r="H11" s="22">
        <f>SUM(Jan!H11, Feb!H11, Mar!H11)</f>
        <v>0</v>
      </c>
      <c r="I11" s="21" t="str">
        <f t="shared" si="2"/>
        <v/>
      </c>
    </row>
    <row r="12" spans="1:9" ht="15.6">
      <c r="A12" s="13" t="str">
        <v>AZ: Marana - Picture Rocks Intermediat</v>
      </c>
      <c r="B12" s="10" t="str">
        <v>AZ</v>
      </c>
      <c r="C12" s="26">
        <f>SUM(Jan!C12, Feb!C12, Mar!C12)</f>
        <v>24526</v>
      </c>
      <c r="D12" s="14">
        <f>SUM(Jan!D12, Feb!D12, Mar!D12)</f>
        <v>0</v>
      </c>
      <c r="E12" s="14">
        <f t="shared" si="0"/>
        <v>24526</v>
      </c>
      <c r="F12" s="15" t="str">
        <f t="shared" si="1"/>
        <v/>
      </c>
      <c r="G12" s="16">
        <f>SUM(Jan!G12, Feb!G12, Mar!G12)</f>
        <v>0</v>
      </c>
      <c r="H12" s="16">
        <f>SUM(Jan!H12, Feb!H12, Mar!H12)</f>
        <v>0</v>
      </c>
      <c r="I12" s="17" t="str">
        <f t="shared" si="2"/>
        <v/>
      </c>
    </row>
    <row r="13" spans="1:9" ht="15.6">
      <c r="A13" s="19">
        <v>0</v>
      </c>
      <c r="B13" s="11">
        <v>0</v>
      </c>
      <c r="C13" s="12">
        <f>SUM(Jan!C13, Feb!C13, Mar!C13)</f>
        <v>0</v>
      </c>
      <c r="D13" s="20">
        <f>SUM(Jan!D13, Feb!D13, Mar!D13)</f>
        <v>0</v>
      </c>
      <c r="E13" s="20">
        <f t="shared" si="0"/>
        <v>0</v>
      </c>
      <c r="F13" s="21" t="str">
        <f t="shared" si="1"/>
        <v/>
      </c>
      <c r="G13" s="22">
        <f>SUM(Jan!G13, Feb!G13, Mar!G13)</f>
        <v>0</v>
      </c>
      <c r="H13" s="22">
        <f>SUM(Jan!H13, Feb!H13, Mar!H13)</f>
        <v>0</v>
      </c>
      <c r="I13" s="21" t="str">
        <f t="shared" si="2"/>
        <v/>
      </c>
    </row>
    <row r="14" spans="1:9" ht="15.6">
      <c r="A14" s="13">
        <v>0</v>
      </c>
      <c r="B14" s="10">
        <v>0</v>
      </c>
      <c r="C14" s="26">
        <f>SUM(Jan!C14, Feb!C14, Mar!C14)</f>
        <v>0</v>
      </c>
      <c r="D14" s="14">
        <f>SUM(Jan!D14, Feb!D14, Mar!D14)</f>
        <v>0</v>
      </c>
      <c r="E14" s="14">
        <f t="shared" si="0"/>
        <v>0</v>
      </c>
      <c r="F14" s="15" t="str">
        <f t="shared" si="1"/>
        <v/>
      </c>
      <c r="G14" s="16">
        <f>SUM(Jan!G14, Feb!G14, Mar!G14)</f>
        <v>0</v>
      </c>
      <c r="H14" s="16">
        <f>SUM(Jan!H14, Feb!H14, Mar!H14)</f>
        <v>0</v>
      </c>
      <c r="I14" s="17" t="str">
        <f t="shared" si="2"/>
        <v/>
      </c>
    </row>
    <row r="15" spans="1:9" ht="15.6">
      <c r="A15" s="19">
        <v>0</v>
      </c>
      <c r="B15" s="11">
        <v>0</v>
      </c>
      <c r="C15" s="12">
        <f>SUM(Jan!C15, Feb!C15, Mar!C15)</f>
        <v>0</v>
      </c>
      <c r="D15" s="20">
        <f>SUM(Jan!D15, Feb!D15, Mar!D15)</f>
        <v>0</v>
      </c>
      <c r="E15" s="20">
        <f t="shared" si="0"/>
        <v>0</v>
      </c>
      <c r="F15" s="21" t="str">
        <f t="shared" si="1"/>
        <v/>
      </c>
      <c r="G15" s="22">
        <f>SUM(Jan!G15, Feb!G15, Mar!G15)</f>
        <v>0</v>
      </c>
      <c r="H15" s="22">
        <f>SUM(Jan!H15, Feb!H15, Mar!H15)</f>
        <v>0</v>
      </c>
      <c r="I15" s="21" t="str">
        <f t="shared" si="2"/>
        <v/>
      </c>
    </row>
    <row r="16" spans="1:9" ht="12.95">
      <c r="A16" s="23">
        <v>0</v>
      </c>
      <c r="B16" s="23">
        <v>0</v>
      </c>
      <c r="C16" s="23"/>
      <c r="D16" s="23"/>
      <c r="E16" s="23"/>
      <c r="F16" s="23"/>
      <c r="G16" s="23"/>
      <c r="H16" s="23"/>
      <c r="I16" s="23"/>
    </row>
    <row r="17" spans="1:9" ht="12.95">
      <c r="A17" s="23">
        <v>0</v>
      </c>
      <c r="B17" s="23">
        <v>0</v>
      </c>
      <c r="C17" s="23"/>
      <c r="D17" s="23"/>
      <c r="E17" s="23"/>
      <c r="F17" s="23"/>
      <c r="G17" s="23"/>
      <c r="H17" s="23"/>
      <c r="I17" s="23"/>
    </row>
    <row r="18" spans="1:9" ht="12.75" customHeight="1">
      <c r="A18" s="23">
        <v>0</v>
      </c>
      <c r="B18" s="23">
        <v>0</v>
      </c>
      <c r="C18" s="23"/>
      <c r="D18" s="23"/>
      <c r="E18" s="23"/>
      <c r="F18" s="23"/>
      <c r="G18" s="23"/>
      <c r="H18" s="23"/>
      <c r="I18" s="23"/>
    </row>
    <row r="19" spans="1:9" ht="12.95">
      <c r="A19" s="23">
        <v>0</v>
      </c>
      <c r="B19" s="23">
        <v>0</v>
      </c>
      <c r="C19" s="23"/>
      <c r="D19" s="23"/>
      <c r="E19" s="23"/>
      <c r="F19" s="23"/>
      <c r="G19" s="23"/>
      <c r="H19" s="23"/>
      <c r="I19" s="23"/>
    </row>
    <row r="20" spans="1:9" ht="12.95">
      <c r="A20" s="23">
        <v>0</v>
      </c>
      <c r="B20" s="23">
        <v>0</v>
      </c>
      <c r="C20" s="23"/>
      <c r="D20" s="23"/>
      <c r="E20" s="23"/>
      <c r="F20" s="23"/>
      <c r="G20" s="23"/>
      <c r="H20" s="23"/>
      <c r="I20" s="23"/>
    </row>
    <row r="21" spans="1:9" ht="12.95">
      <c r="A21" s="23">
        <v>0</v>
      </c>
      <c r="B21" s="23">
        <v>0</v>
      </c>
      <c r="C21" s="23"/>
      <c r="D21" s="23"/>
      <c r="E21" s="23"/>
      <c r="F21" s="23"/>
      <c r="G21" s="23"/>
      <c r="H21" s="23"/>
      <c r="I21" s="23"/>
    </row>
    <row r="22" spans="1:9" ht="12.95">
      <c r="A22" s="23">
        <v>0</v>
      </c>
      <c r="B22" s="23">
        <v>0</v>
      </c>
      <c r="C22" s="23"/>
      <c r="D22" s="23"/>
      <c r="E22" s="23"/>
      <c r="F22" s="23"/>
      <c r="G22" s="23"/>
      <c r="H22" s="23"/>
      <c r="I22" s="23"/>
    </row>
    <row r="23" spans="1:9" ht="12.95">
      <c r="A23" s="23">
        <v>0</v>
      </c>
      <c r="B23" s="23">
        <v>0</v>
      </c>
      <c r="C23" s="23"/>
      <c r="D23" s="23"/>
      <c r="E23" s="23"/>
      <c r="F23" s="23"/>
      <c r="G23" s="23"/>
      <c r="H23" s="23"/>
      <c r="I23" s="23"/>
    </row>
    <row r="24" spans="1:9" ht="12.95">
      <c r="A24" s="23">
        <v>0</v>
      </c>
      <c r="B24" s="23">
        <v>0</v>
      </c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2.9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2.9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2.9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2.9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2.95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ySplit="2" topLeftCell="A3" activePane="bottomLeft" state="frozen"/>
      <selection pane="bottomLeft" activeCell="C3" sqref="C3:C15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0" t="str" cm="1">
        <f t="array" ref="A1">portfolio</f>
        <v>Marana USD</v>
      </c>
      <c r="B1" s="40"/>
      <c r="C1" s="40"/>
      <c r="D1" s="41" t="s">
        <v>12</v>
      </c>
      <c r="E1" s="41"/>
      <c r="F1" s="41"/>
      <c r="G1" s="39" t="s">
        <v>13</v>
      </c>
      <c r="H1" s="39"/>
      <c r="I1" s="39"/>
    </row>
    <row r="2" spans="1:9" ht="19.5" customHeight="1">
      <c r="A2" s="42" t="s">
        <v>2</v>
      </c>
      <c r="B2" s="42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3" t="s">
        <v>6</v>
      </c>
      <c r="E3" s="43" t="s">
        <v>7</v>
      </c>
      <c r="F3" s="44" t="s">
        <v>8</v>
      </c>
      <c r="G3" s="45" t="s">
        <v>9</v>
      </c>
      <c r="H3" s="46" t="s">
        <v>7</v>
      </c>
      <c r="I3" s="47" t="s">
        <v>8</v>
      </c>
    </row>
    <row r="4" spans="1:9" ht="15.6">
      <c r="A4" s="13" t="str" cm="1">
        <f t="array" ref="A4:A24">Sites[Site]</f>
        <v>AZ: Marana - Degrazia ES</v>
      </c>
      <c r="B4" s="10" t="str" cm="1">
        <f t="array" ref="B4:B24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6">
      <c r="A5" s="19" t="str">
        <v>AZ: Marana - Gladden Farms Ph 2</v>
      </c>
      <c r="B5" s="11" t="str">
        <v>AZ</v>
      </c>
      <c r="C5" s="12">
        <f>SUM(Apr!C5, May!C5, Jun!C5)</f>
        <v>0</v>
      </c>
      <c r="D5" s="20">
        <f>SUM(Apr!D5, May!D5, Jun!D5)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5.6">
      <c r="A6" s="13" t="str">
        <v>AZ: Marana - Marana High School</v>
      </c>
      <c r="B6" s="10" t="str">
        <v>AZ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SUM(Apr!H6, May!H6, Jun!H6)</f>
        <v>0</v>
      </c>
      <c r="I6" s="17" t="str">
        <f t="shared" ref="I6:I15" si="2">IFERROR(H6/G6, "")</f>
        <v/>
      </c>
    </row>
    <row r="7" spans="1:9" ht="15.6">
      <c r="A7" s="19" t="str">
        <v>AZ: Marana - Mountain View HS Exp.</v>
      </c>
      <c r="B7" s="11" t="str">
        <v>AZ</v>
      </c>
      <c r="C7" s="12">
        <f>SUM(Apr!C7, May!C7, Jun!C7)</f>
        <v>0</v>
      </c>
      <c r="D7" s="20">
        <f>SUM(Apr!D7, May!D7, Jun!D7)</f>
        <v>0</v>
      </c>
      <c r="E7" s="20">
        <f t="shared" si="0"/>
        <v>0</v>
      </c>
      <c r="F7" s="21" t="str">
        <f t="shared" si="1"/>
        <v/>
      </c>
      <c r="G7" s="22"/>
      <c r="H7" s="22">
        <f>SUM(Apr!H7, May!H7, Jun!H7)</f>
        <v>0</v>
      </c>
      <c r="I7" s="21" t="str">
        <f t="shared" si="2"/>
        <v/>
      </c>
    </row>
    <row r="8" spans="1:9" ht="15.6">
      <c r="A8" s="13" t="str">
        <v>AZ: Marana - Rattlesnake Ridge ES</v>
      </c>
      <c r="B8" s="10" t="str">
        <v>AZ</v>
      </c>
      <c r="C8" s="26">
        <f>SUM(Apr!C8, May!C8, Jun!C8)</f>
        <v>0</v>
      </c>
      <c r="D8" s="14">
        <f>SUM(Apr!D8, May!D8, Jun!D8)</f>
        <v>0</v>
      </c>
      <c r="E8" s="14">
        <f t="shared" si="0"/>
        <v>0</v>
      </c>
      <c r="F8" s="15" t="str">
        <f t="shared" si="1"/>
        <v/>
      </c>
      <c r="G8" s="16"/>
      <c r="H8" s="16">
        <f>SUM(Apr!H8, May!H8, Jun!H8)</f>
        <v>0</v>
      </c>
      <c r="I8" s="17" t="str">
        <f t="shared" si="2"/>
        <v/>
      </c>
    </row>
    <row r="9" spans="1:9" ht="15.6">
      <c r="A9" s="19" t="str">
        <v>AZ: Marana - Roadrunner ES</v>
      </c>
      <c r="B9" s="11" t="str">
        <v>AZ</v>
      </c>
      <c r="C9" s="12">
        <f>SUM(Apr!C9, May!C9, Jun!C9)</f>
        <v>0</v>
      </c>
      <c r="D9" s="20">
        <f>SUM(Apr!D9, May!D9, Jun!D9)</f>
        <v>0</v>
      </c>
      <c r="E9" s="20">
        <f t="shared" si="0"/>
        <v>0</v>
      </c>
      <c r="F9" s="21" t="str">
        <f t="shared" si="1"/>
        <v/>
      </c>
      <c r="G9" s="22"/>
      <c r="H9" s="22">
        <f>SUM(Apr!H9, May!H9, Jun!H9)</f>
        <v>0</v>
      </c>
      <c r="I9" s="21" t="str">
        <f t="shared" si="2"/>
        <v/>
      </c>
    </row>
    <row r="10" spans="1:9" ht="15.6">
      <c r="A10" s="13" t="str">
        <v>AZ: Marana - Thornydale Elementary</v>
      </c>
      <c r="B10" s="10" t="str">
        <v>AZ</v>
      </c>
      <c r="C10" s="26">
        <f>SUM(Apr!C10, May!C10, Jun!C10)</f>
        <v>0</v>
      </c>
      <c r="D10" s="14">
        <f>SUM(Apr!D10, May!D10, Jun!D10)</f>
        <v>0</v>
      </c>
      <c r="E10" s="14">
        <f t="shared" si="0"/>
        <v>0</v>
      </c>
      <c r="F10" s="15" t="str">
        <f t="shared" si="1"/>
        <v/>
      </c>
      <c r="G10" s="16"/>
      <c r="H10" s="16">
        <f>SUM(Apr!H10, May!H10, Jun!H10)</f>
        <v>0</v>
      </c>
      <c r="I10" s="17" t="str">
        <f t="shared" si="2"/>
        <v/>
      </c>
    </row>
    <row r="11" spans="1:9" ht="15.6">
      <c r="A11" s="19" t="str">
        <v>AZ: Marana - Tortolita MS</v>
      </c>
      <c r="B11" s="11" t="str">
        <v>AZ</v>
      </c>
      <c r="C11" s="12">
        <f>SUM(Apr!C11, May!C11, Jun!C11)</f>
        <v>0</v>
      </c>
      <c r="D11" s="20">
        <f>SUM(Apr!D11, May!D11, Jun!D11)</f>
        <v>0</v>
      </c>
      <c r="E11" s="20">
        <f t="shared" si="0"/>
        <v>0</v>
      </c>
      <c r="F11" s="21" t="str">
        <f t="shared" si="1"/>
        <v/>
      </c>
      <c r="G11" s="22"/>
      <c r="H11" s="22">
        <f>SUM(Apr!H11, May!H11, Jun!H11)</f>
        <v>0</v>
      </c>
      <c r="I11" s="21" t="str">
        <f t="shared" si="2"/>
        <v/>
      </c>
    </row>
    <row r="12" spans="1:9" ht="15.6">
      <c r="A12" s="13" t="str">
        <v>AZ: Marana - Picture Rocks Intermediat</v>
      </c>
      <c r="B12" s="10" t="str">
        <v>AZ</v>
      </c>
      <c r="C12" s="26">
        <f>SUM(Apr!C12, May!C12, Jun!C12)</f>
        <v>0</v>
      </c>
      <c r="D12" s="14">
        <f>SUM(Apr!D12, May!D12, Jun!D12)</f>
        <v>0</v>
      </c>
      <c r="E12" s="14">
        <f t="shared" si="0"/>
        <v>0</v>
      </c>
      <c r="F12" s="15" t="str">
        <f t="shared" si="1"/>
        <v/>
      </c>
      <c r="G12" s="16"/>
      <c r="H12" s="16">
        <f>SUM(Apr!H12, May!H12, Jun!H12)</f>
        <v>0</v>
      </c>
      <c r="I12" s="17" t="str">
        <f t="shared" si="2"/>
        <v/>
      </c>
    </row>
    <row r="13" spans="1:9" ht="15.6">
      <c r="A13" s="19">
        <v>0</v>
      </c>
      <c r="B13" s="11">
        <v>0</v>
      </c>
      <c r="C13" s="12">
        <f>SUM(Apr!C13, May!C13, Jun!C13)</f>
        <v>0</v>
      </c>
      <c r="D13" s="20">
        <f>SUM(Apr!D13, May!D13, Jun!D13)</f>
        <v>0</v>
      </c>
      <c r="E13" s="20">
        <f t="shared" si="0"/>
        <v>0</v>
      </c>
      <c r="F13" s="21" t="str">
        <f t="shared" si="1"/>
        <v/>
      </c>
      <c r="G13" s="22"/>
      <c r="H13" s="22">
        <f>SUM(Apr!H13, May!H13, Jun!H13)</f>
        <v>0</v>
      </c>
      <c r="I13" s="21" t="str">
        <f t="shared" si="2"/>
        <v/>
      </c>
    </row>
    <row r="14" spans="1:9" ht="15.6">
      <c r="A14" s="13">
        <v>0</v>
      </c>
      <c r="B14" s="10">
        <v>0</v>
      </c>
      <c r="C14" s="26">
        <f>SUM(Apr!C14, May!C14, Jun!C14)</f>
        <v>0</v>
      </c>
      <c r="D14" s="14">
        <f>SUM(Apr!D14, May!D14, Jun!D14)</f>
        <v>0</v>
      </c>
      <c r="E14" s="14">
        <f t="shared" si="0"/>
        <v>0</v>
      </c>
      <c r="F14" s="15" t="str">
        <f t="shared" si="1"/>
        <v/>
      </c>
      <c r="G14" s="16"/>
      <c r="H14" s="16">
        <f>SUM(Apr!H14, May!H14, Jun!H14)</f>
        <v>0</v>
      </c>
      <c r="I14" s="17" t="str">
        <f t="shared" si="2"/>
        <v/>
      </c>
    </row>
    <row r="15" spans="1:9" ht="15.6">
      <c r="A15" s="19">
        <v>0</v>
      </c>
      <c r="B15" s="11">
        <v>0</v>
      </c>
      <c r="C15" s="12">
        <f>SUM(Apr!C15, May!C15, Jun!C15)</f>
        <v>0</v>
      </c>
      <c r="D15" s="20">
        <f>SUM(Apr!D15, May!D15, Jun!D15)</f>
        <v>0</v>
      </c>
      <c r="E15" s="20">
        <f t="shared" si="0"/>
        <v>0</v>
      </c>
      <c r="F15" s="21" t="str">
        <f t="shared" si="1"/>
        <v/>
      </c>
      <c r="G15" s="22"/>
      <c r="H15" s="22">
        <f>SUM(Apr!H15, May!H15, Jun!H15)</f>
        <v>0</v>
      </c>
      <c r="I15" s="21" t="str">
        <f t="shared" si="2"/>
        <v/>
      </c>
    </row>
    <row r="16" spans="1:9" ht="12.95">
      <c r="A16" s="23">
        <v>0</v>
      </c>
      <c r="B16" s="23">
        <v>0</v>
      </c>
      <c r="C16" s="23"/>
      <c r="D16" s="23"/>
      <c r="E16" s="23"/>
      <c r="F16" s="23"/>
      <c r="G16" s="23"/>
      <c r="H16" s="23"/>
      <c r="I16" s="23"/>
    </row>
    <row r="17" spans="1:9" ht="12.95">
      <c r="A17" s="23">
        <v>0</v>
      </c>
      <c r="B17" s="23">
        <v>0</v>
      </c>
      <c r="C17" s="23"/>
      <c r="D17" s="23"/>
      <c r="E17" s="23"/>
      <c r="F17" s="23"/>
      <c r="G17" s="23"/>
      <c r="H17" s="23"/>
      <c r="I17" s="23"/>
    </row>
    <row r="18" spans="1:9" ht="12.75" customHeight="1">
      <c r="A18" s="23">
        <v>0</v>
      </c>
      <c r="B18" s="23">
        <v>0</v>
      </c>
      <c r="C18" s="23"/>
      <c r="D18" s="23"/>
      <c r="E18" s="23"/>
      <c r="F18" s="23"/>
      <c r="G18" s="23"/>
      <c r="H18" s="23"/>
      <c r="I18" s="23"/>
    </row>
    <row r="19" spans="1:9" ht="12.95">
      <c r="A19" s="23">
        <v>0</v>
      </c>
      <c r="B19" s="23">
        <v>0</v>
      </c>
      <c r="C19" s="23"/>
      <c r="D19" s="23"/>
      <c r="E19" s="23"/>
      <c r="F19" s="23"/>
      <c r="G19" s="23"/>
      <c r="H19" s="23"/>
      <c r="I19" s="23"/>
    </row>
    <row r="20" spans="1:9" ht="12.95">
      <c r="A20" s="23">
        <v>0</v>
      </c>
      <c r="B20" s="23">
        <v>0</v>
      </c>
      <c r="C20" s="23"/>
      <c r="D20" s="23"/>
      <c r="E20" s="23"/>
      <c r="F20" s="23"/>
      <c r="G20" s="23"/>
      <c r="H20" s="23"/>
      <c r="I20" s="23"/>
    </row>
    <row r="21" spans="1:9" ht="12.95">
      <c r="A21" s="23">
        <v>0</v>
      </c>
      <c r="B21" s="23">
        <v>0</v>
      </c>
      <c r="C21" s="23"/>
      <c r="D21" s="23"/>
      <c r="E21" s="23"/>
      <c r="F21" s="23"/>
      <c r="G21" s="23"/>
      <c r="H21" s="23"/>
      <c r="I21" s="23"/>
    </row>
    <row r="22" spans="1:9" ht="12.95">
      <c r="A22" s="23">
        <v>0</v>
      </c>
      <c r="B22" s="23">
        <v>0</v>
      </c>
      <c r="C22" s="23"/>
      <c r="D22" s="23"/>
      <c r="E22" s="23"/>
      <c r="F22" s="23"/>
      <c r="G22" s="23"/>
      <c r="H22" s="23"/>
      <c r="I22" s="23"/>
    </row>
    <row r="23" spans="1:9" ht="12.95">
      <c r="A23" s="23">
        <v>0</v>
      </c>
      <c r="B23" s="23">
        <v>0</v>
      </c>
      <c r="C23" s="23"/>
      <c r="D23" s="23"/>
      <c r="E23" s="23"/>
      <c r="F23" s="23"/>
      <c r="G23" s="23"/>
      <c r="H23" s="23"/>
      <c r="I23" s="23"/>
    </row>
    <row r="24" spans="1:9" ht="12.95">
      <c r="A24" s="23">
        <v>0</v>
      </c>
      <c r="B24" s="23">
        <v>0</v>
      </c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2.9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2.9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2.9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2.9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2.95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ySplit="2" topLeftCell="A3" activePane="bottomLeft" state="frozen"/>
      <selection pane="bottomLeft" activeCell="C3" sqref="C3:C15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0" t="str" cm="1">
        <f t="array" ref="A1">portfolio</f>
        <v>Marana USD</v>
      </c>
      <c r="B1" s="40"/>
      <c r="C1" s="40"/>
      <c r="D1" s="41" t="s">
        <v>14</v>
      </c>
      <c r="E1" s="41"/>
      <c r="F1" s="41"/>
      <c r="G1" s="39" t="s">
        <v>15</v>
      </c>
      <c r="H1" s="39"/>
      <c r="I1" s="39"/>
    </row>
    <row r="2" spans="1:9" ht="19.5" customHeight="1">
      <c r="A2" s="42" t="s">
        <v>2</v>
      </c>
      <c r="B2" s="42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3" t="s">
        <v>6</v>
      </c>
      <c r="E3" s="43" t="s">
        <v>7</v>
      </c>
      <c r="F3" s="44" t="s">
        <v>8</v>
      </c>
      <c r="G3" s="45" t="s">
        <v>9</v>
      </c>
      <c r="H3" s="46" t="s">
        <v>7</v>
      </c>
      <c r="I3" s="47" t="s">
        <v>8</v>
      </c>
    </row>
    <row r="4" spans="1:9" ht="15.6">
      <c r="A4" s="13" t="str" cm="1">
        <f t="array" ref="A4:A24">Sites[Site]</f>
        <v>AZ: Marana - Degrazia ES</v>
      </c>
      <c r="B4" s="10" t="str" cm="1">
        <f t="array" ref="B4:B24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6">
      <c r="A5" s="19" t="str">
        <v>AZ: Marana - Gladden Farms Ph 2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6">
      <c r="A6" s="13" t="str">
        <v>AZ: Marana - Marana High School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SUM(Jul!H6, Aug!H6, Sep!H6)</f>
        <v>0</v>
      </c>
      <c r="I6" s="17" t="str">
        <f t="shared" ref="I6:I15" si="2">IFERROR(H6/G6, "")</f>
        <v/>
      </c>
    </row>
    <row r="7" spans="1:9" ht="15.6">
      <c r="A7" s="19" t="str">
        <v>AZ: Marana - Mountain View HS Exp.</v>
      </c>
      <c r="B7" s="11" t="str">
        <v>AZ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/>
      <c r="H7" s="22">
        <f>SUM(Jul!H7, Aug!H7, Sep!H7)</f>
        <v>0</v>
      </c>
      <c r="I7" s="21" t="str">
        <f t="shared" si="2"/>
        <v/>
      </c>
    </row>
    <row r="8" spans="1:9" ht="15.6">
      <c r="A8" s="13" t="str">
        <v>AZ: Marana - Rattlesnake Ridge ES</v>
      </c>
      <c r="B8" s="10" t="str">
        <v>AZ</v>
      </c>
      <c r="C8" s="26">
        <f>SUM(Jul!C8, Aug!C8, Sep!C8)</f>
        <v>0</v>
      </c>
      <c r="D8" s="14">
        <f>SUM(Jul!D8, Aug!D8, Sep!D8)</f>
        <v>0</v>
      </c>
      <c r="E8" s="14">
        <f t="shared" si="0"/>
        <v>0</v>
      </c>
      <c r="F8" s="15" t="str">
        <f t="shared" si="1"/>
        <v/>
      </c>
      <c r="G8" s="16"/>
      <c r="H8" s="16">
        <f>SUM(Jul!H8, Aug!H8, Sep!H8)</f>
        <v>0</v>
      </c>
      <c r="I8" s="17" t="str">
        <f t="shared" si="2"/>
        <v/>
      </c>
    </row>
    <row r="9" spans="1:9" ht="15.6">
      <c r="A9" s="19" t="str">
        <v>AZ: Marana - Roadrunner ES</v>
      </c>
      <c r="B9" s="11" t="str">
        <v>AZ</v>
      </c>
      <c r="C9" s="12">
        <f>SUM(Jul!C9, Aug!C9, Sep!C9)</f>
        <v>0</v>
      </c>
      <c r="D9" s="20">
        <f>SUM(Jul!D9, Aug!D9, Sep!D9)</f>
        <v>0</v>
      </c>
      <c r="E9" s="20">
        <f t="shared" si="0"/>
        <v>0</v>
      </c>
      <c r="F9" s="21" t="str">
        <f t="shared" si="1"/>
        <v/>
      </c>
      <c r="G9" s="22"/>
      <c r="H9" s="22">
        <f>SUM(Jul!H9, Aug!H9, Sep!H9)</f>
        <v>0</v>
      </c>
      <c r="I9" s="21" t="str">
        <f t="shared" si="2"/>
        <v/>
      </c>
    </row>
    <row r="10" spans="1:9" ht="15.6">
      <c r="A10" s="13" t="str">
        <v>AZ: Marana - Thornydale Elementary</v>
      </c>
      <c r="B10" s="10" t="str">
        <v>AZ</v>
      </c>
      <c r="C10" s="26">
        <f>SUM(Jul!C10, Aug!C10, Sep!C10)</f>
        <v>0</v>
      </c>
      <c r="D10" s="14">
        <f>SUM(Jul!D10, Aug!D10, Sep!D10)</f>
        <v>0</v>
      </c>
      <c r="E10" s="14">
        <f t="shared" si="0"/>
        <v>0</v>
      </c>
      <c r="F10" s="15" t="str">
        <f t="shared" si="1"/>
        <v/>
      </c>
      <c r="G10" s="16"/>
      <c r="H10" s="16">
        <f>SUM(Jul!H10, Aug!H10, Sep!H10)</f>
        <v>0</v>
      </c>
      <c r="I10" s="17" t="str">
        <f t="shared" si="2"/>
        <v/>
      </c>
    </row>
    <row r="11" spans="1:9" ht="15.6">
      <c r="A11" s="19" t="str">
        <v>AZ: Marana - Tortolita MS</v>
      </c>
      <c r="B11" s="11" t="str">
        <v>AZ</v>
      </c>
      <c r="C11" s="12">
        <f>SUM(Jul!C11, Aug!C11, Sep!C11)</f>
        <v>0</v>
      </c>
      <c r="D11" s="20">
        <f>SUM(Jul!D11, Aug!D11, Sep!D11)</f>
        <v>0</v>
      </c>
      <c r="E11" s="20">
        <f t="shared" si="0"/>
        <v>0</v>
      </c>
      <c r="F11" s="21" t="str">
        <f t="shared" si="1"/>
        <v/>
      </c>
      <c r="G11" s="22"/>
      <c r="H11" s="22">
        <f>SUM(Jul!H11, Aug!H11, Sep!H11)</f>
        <v>0</v>
      </c>
      <c r="I11" s="21" t="str">
        <f t="shared" si="2"/>
        <v/>
      </c>
    </row>
    <row r="12" spans="1:9" ht="15.6">
      <c r="A12" s="13" t="str">
        <v>AZ: Marana - Picture Rocks Intermediat</v>
      </c>
      <c r="B12" s="10" t="str">
        <v>AZ</v>
      </c>
      <c r="C12" s="26">
        <f>SUM(Jul!C12, Aug!C12, Sep!C12)</f>
        <v>0</v>
      </c>
      <c r="D12" s="14">
        <f>SUM(Jul!D12, Aug!D12, Sep!D12)</f>
        <v>0</v>
      </c>
      <c r="E12" s="14">
        <f t="shared" si="0"/>
        <v>0</v>
      </c>
      <c r="F12" s="15" t="str">
        <f t="shared" si="1"/>
        <v/>
      </c>
      <c r="G12" s="16"/>
      <c r="H12" s="16">
        <f>SUM(Jul!H12, Aug!H12, Sep!H12)</f>
        <v>0</v>
      </c>
      <c r="I12" s="17" t="str">
        <f t="shared" si="2"/>
        <v/>
      </c>
    </row>
    <row r="13" spans="1:9" ht="15.6">
      <c r="A13" s="19">
        <v>0</v>
      </c>
      <c r="B13" s="11">
        <v>0</v>
      </c>
      <c r="C13" s="12">
        <f>SUM(Jul!C13, Aug!C13, Sep!C13)</f>
        <v>0</v>
      </c>
      <c r="D13" s="20">
        <f>SUM(Jul!D13, Aug!D13, Sep!D13)</f>
        <v>0</v>
      </c>
      <c r="E13" s="20">
        <f t="shared" si="0"/>
        <v>0</v>
      </c>
      <c r="F13" s="21" t="str">
        <f t="shared" si="1"/>
        <v/>
      </c>
      <c r="G13" s="22"/>
      <c r="H13" s="22">
        <f>SUM(Jul!H13, Aug!H13, Sep!H13)</f>
        <v>0</v>
      </c>
      <c r="I13" s="21" t="str">
        <f t="shared" si="2"/>
        <v/>
      </c>
    </row>
    <row r="14" spans="1:9" ht="15.6">
      <c r="A14" s="13">
        <v>0</v>
      </c>
      <c r="B14" s="10">
        <v>0</v>
      </c>
      <c r="C14" s="26">
        <f>SUM(Jul!C14, Aug!C14, Sep!C14)</f>
        <v>0</v>
      </c>
      <c r="D14" s="14">
        <f>SUM(Jul!D14, Aug!D14, Sep!D14)</f>
        <v>0</v>
      </c>
      <c r="E14" s="14">
        <f t="shared" si="0"/>
        <v>0</v>
      </c>
      <c r="F14" s="15" t="str">
        <f t="shared" si="1"/>
        <v/>
      </c>
      <c r="G14" s="16"/>
      <c r="H14" s="16">
        <f>SUM(Jul!H14, Aug!H14, Sep!H14)</f>
        <v>0</v>
      </c>
      <c r="I14" s="17" t="str">
        <f t="shared" si="2"/>
        <v/>
      </c>
    </row>
    <row r="15" spans="1:9" ht="15.6">
      <c r="A15" s="19">
        <v>0</v>
      </c>
      <c r="B15" s="11">
        <v>0</v>
      </c>
      <c r="C15" s="12">
        <f>SUM(Jul!C15, Aug!C15, Sep!C15)</f>
        <v>0</v>
      </c>
      <c r="D15" s="20">
        <f>SUM(Jul!D15, Aug!D15, Sep!D15)</f>
        <v>0</v>
      </c>
      <c r="E15" s="20">
        <f t="shared" si="0"/>
        <v>0</v>
      </c>
      <c r="F15" s="21" t="str">
        <f t="shared" si="1"/>
        <v/>
      </c>
      <c r="G15" s="22"/>
      <c r="H15" s="22">
        <f>SUM(Jul!H15, Aug!H15, Sep!H15)</f>
        <v>0</v>
      </c>
      <c r="I15" s="21" t="str">
        <f t="shared" si="2"/>
        <v/>
      </c>
    </row>
    <row r="16" spans="1:9" ht="12.95">
      <c r="A16" s="23">
        <v>0</v>
      </c>
      <c r="B16" s="23">
        <v>0</v>
      </c>
      <c r="C16" s="23"/>
      <c r="D16" s="23"/>
      <c r="E16" s="23"/>
      <c r="F16" s="23"/>
      <c r="G16" s="23"/>
      <c r="H16" s="23"/>
      <c r="I16" s="23"/>
    </row>
    <row r="17" spans="1:9" ht="12.95">
      <c r="A17" s="23">
        <v>0</v>
      </c>
      <c r="B17" s="23">
        <v>0</v>
      </c>
      <c r="C17" s="23"/>
      <c r="D17" s="23"/>
      <c r="E17" s="23"/>
      <c r="F17" s="23"/>
      <c r="G17" s="23"/>
      <c r="H17" s="23"/>
      <c r="I17" s="23"/>
    </row>
    <row r="18" spans="1:9" ht="12.75" customHeight="1">
      <c r="A18" s="23">
        <v>0</v>
      </c>
      <c r="B18" s="23">
        <v>0</v>
      </c>
      <c r="C18" s="23"/>
      <c r="D18" s="23"/>
      <c r="E18" s="23"/>
      <c r="F18" s="23"/>
      <c r="G18" s="23"/>
      <c r="H18" s="23"/>
      <c r="I18" s="23"/>
    </row>
    <row r="19" spans="1:9" ht="12.95">
      <c r="A19" s="23">
        <v>0</v>
      </c>
      <c r="B19" s="23">
        <v>0</v>
      </c>
      <c r="C19" s="23"/>
      <c r="D19" s="23"/>
      <c r="E19" s="23"/>
      <c r="F19" s="23"/>
      <c r="G19" s="23"/>
      <c r="H19" s="23"/>
      <c r="I19" s="23"/>
    </row>
    <row r="20" spans="1:9" ht="12.95">
      <c r="A20" s="23">
        <v>0</v>
      </c>
      <c r="B20" s="23">
        <v>0</v>
      </c>
      <c r="C20" s="23"/>
      <c r="D20" s="23"/>
      <c r="E20" s="23"/>
      <c r="F20" s="23"/>
      <c r="G20" s="23"/>
      <c r="H20" s="23"/>
      <c r="I20" s="23"/>
    </row>
    <row r="21" spans="1:9" ht="12.95">
      <c r="A21" s="23">
        <v>0</v>
      </c>
      <c r="B21" s="23">
        <v>0</v>
      </c>
      <c r="C21" s="23"/>
      <c r="D21" s="23"/>
      <c r="E21" s="23"/>
      <c r="F21" s="23"/>
      <c r="G21" s="23"/>
      <c r="H21" s="23"/>
      <c r="I21" s="23"/>
    </row>
    <row r="22" spans="1:9" ht="12.95">
      <c r="A22" s="23">
        <v>0</v>
      </c>
      <c r="B22" s="23">
        <v>0</v>
      </c>
      <c r="C22" s="23"/>
      <c r="D22" s="23"/>
      <c r="E22" s="23"/>
      <c r="F22" s="23"/>
      <c r="G22" s="23"/>
      <c r="H22" s="23"/>
      <c r="I22" s="23"/>
    </row>
    <row r="23" spans="1:9" ht="12.95">
      <c r="A23" s="23">
        <v>0</v>
      </c>
      <c r="B23" s="23">
        <v>0</v>
      </c>
      <c r="C23" s="23"/>
      <c r="D23" s="23"/>
      <c r="E23" s="23"/>
      <c r="F23" s="23"/>
      <c r="G23" s="23"/>
      <c r="H23" s="23"/>
      <c r="I23" s="23"/>
    </row>
    <row r="24" spans="1:9" ht="12.95">
      <c r="A24" s="23">
        <v>0</v>
      </c>
      <c r="B24" s="23">
        <v>0</v>
      </c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2.9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2.9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2.9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2.9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2.95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F4:F100 I4:I10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ySplit="2" topLeftCell="A3" activePane="bottomLeft" state="frozen"/>
      <selection pane="bottomLeft" activeCell="O31" sqref="O31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0" t="str" cm="1">
        <f t="array" ref="A1">portfolio</f>
        <v>Marana USD</v>
      </c>
      <c r="B1" s="40"/>
      <c r="C1" s="40"/>
      <c r="D1" s="41" t="s">
        <v>16</v>
      </c>
      <c r="E1" s="41"/>
      <c r="F1" s="41"/>
      <c r="G1" s="39" t="s">
        <v>17</v>
      </c>
      <c r="H1" s="39"/>
      <c r="I1" s="39"/>
    </row>
    <row r="2" spans="1:9" ht="19.5" customHeight="1">
      <c r="A2" s="42" t="s">
        <v>2</v>
      </c>
      <c r="B2" s="42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3" t="s">
        <v>6</v>
      </c>
      <c r="E3" s="43" t="s">
        <v>7</v>
      </c>
      <c r="F3" s="44" t="s">
        <v>8</v>
      </c>
      <c r="G3" s="45" t="s">
        <v>9</v>
      </c>
      <c r="H3" s="46" t="s">
        <v>7</v>
      </c>
      <c r="I3" s="47" t="s">
        <v>8</v>
      </c>
    </row>
    <row r="4" spans="1:9" ht="15.6">
      <c r="A4" s="13" t="str" cm="1">
        <f t="array" ref="A4:A24">Sites[Site]</f>
        <v>AZ: Marana - Degrazia ES</v>
      </c>
      <c r="B4" s="10" t="str" cm="1">
        <f t="array" ref="B4:B24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Marana - Gladden Farms Ph 2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Marana - Marana High School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SUM(Oct!H6, Nov!H6, Dec!H6)</f>
        <v>0</v>
      </c>
      <c r="I6" s="17" t="str">
        <f t="shared" ref="I6:I15" si="2">IFERROR(H6/G6, "")</f>
        <v/>
      </c>
    </row>
    <row r="7" spans="1:9" ht="15.6">
      <c r="A7" s="19" t="str">
        <v>AZ: Marana - Mountain View HS Exp.</v>
      </c>
      <c r="B7" s="11" t="str">
        <v>AZ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5.6">
      <c r="A8" s="13" t="str">
        <v>AZ: Marana - Rattlesnake Ridge ES</v>
      </c>
      <c r="B8" s="10" t="str">
        <v>AZ</v>
      </c>
      <c r="C8" s="26">
        <f>SUM(Oct!C8, Nov!C8, Dec!C8)</f>
        <v>0</v>
      </c>
      <c r="D8" s="14">
        <f>SUM(Oct!D8, Nov!D8, Dec!D8)</f>
        <v>0</v>
      </c>
      <c r="E8" s="14">
        <f t="shared" si="0"/>
        <v>0</v>
      </c>
      <c r="F8" s="15" t="str">
        <f t="shared" si="1"/>
        <v/>
      </c>
      <c r="G8" s="16"/>
      <c r="H8" s="16">
        <f>SUM(Oct!H8, Nov!H8, Dec!H8)</f>
        <v>0</v>
      </c>
      <c r="I8" s="17" t="str">
        <f t="shared" si="2"/>
        <v/>
      </c>
    </row>
    <row r="9" spans="1:9" ht="15.6">
      <c r="A9" s="19" t="str">
        <v>AZ: Marana - Roadrunner ES</v>
      </c>
      <c r="B9" s="11" t="str">
        <v>AZ</v>
      </c>
      <c r="C9" s="12">
        <f>SUM(Oct!C9, Nov!C9, Dec!C9)</f>
        <v>0</v>
      </c>
      <c r="D9" s="20">
        <f>SUM(Oct!D9, Nov!D9, Dec!D9)</f>
        <v>0</v>
      </c>
      <c r="E9" s="20">
        <f t="shared" si="0"/>
        <v>0</v>
      </c>
      <c r="F9" s="21" t="str">
        <f t="shared" si="1"/>
        <v/>
      </c>
      <c r="G9" s="22"/>
      <c r="H9" s="22">
        <f>SUM(Oct!H9, Nov!H9, Dec!H9)</f>
        <v>0</v>
      </c>
      <c r="I9" s="21" t="str">
        <f t="shared" si="2"/>
        <v/>
      </c>
    </row>
    <row r="10" spans="1:9" ht="15.6">
      <c r="A10" s="13" t="str">
        <v>AZ: Marana - Thornydale Elementary</v>
      </c>
      <c r="B10" s="10" t="str">
        <v>AZ</v>
      </c>
      <c r="C10" s="26">
        <f>SUM(Oct!C10, Nov!C10, Dec!C10)</f>
        <v>0</v>
      </c>
      <c r="D10" s="14">
        <f>SUM(Oct!D10, Nov!D10, Dec!D10)</f>
        <v>0</v>
      </c>
      <c r="E10" s="14">
        <f t="shared" si="0"/>
        <v>0</v>
      </c>
      <c r="F10" s="15" t="str">
        <f t="shared" si="1"/>
        <v/>
      </c>
      <c r="G10" s="16"/>
      <c r="H10" s="16">
        <f>SUM(Oct!H10, Nov!H10, Dec!H10)</f>
        <v>0</v>
      </c>
      <c r="I10" s="17" t="str">
        <f t="shared" si="2"/>
        <v/>
      </c>
    </row>
    <row r="11" spans="1:9" ht="15.6">
      <c r="A11" s="19" t="str">
        <v>AZ: Marana - Tortolita MS</v>
      </c>
      <c r="B11" s="11" t="str">
        <v>AZ</v>
      </c>
      <c r="C11" s="12">
        <f>SUM(Oct!C11, Nov!C11, Dec!C11)</f>
        <v>0</v>
      </c>
      <c r="D11" s="20">
        <f>SUM(Oct!D11, Nov!D11, Dec!D11)</f>
        <v>0</v>
      </c>
      <c r="E11" s="20">
        <f t="shared" si="0"/>
        <v>0</v>
      </c>
      <c r="F11" s="21" t="str">
        <f t="shared" si="1"/>
        <v/>
      </c>
      <c r="G11" s="22"/>
      <c r="H11" s="22">
        <f>SUM(Oct!H11, Nov!H11, Dec!H11)</f>
        <v>0</v>
      </c>
      <c r="I11" s="21" t="str">
        <f t="shared" si="2"/>
        <v/>
      </c>
    </row>
    <row r="12" spans="1:9" ht="15.6">
      <c r="A12" s="13" t="str">
        <v>AZ: Marana - Picture Rocks Intermediat</v>
      </c>
      <c r="B12" s="10" t="str">
        <v>AZ</v>
      </c>
      <c r="C12" s="26">
        <f>SUM(Oct!C12, Nov!C12, Dec!C12)</f>
        <v>0</v>
      </c>
      <c r="D12" s="14">
        <f>SUM(Oct!D12, Nov!D12, Dec!D12)</f>
        <v>0</v>
      </c>
      <c r="E12" s="14">
        <f t="shared" si="0"/>
        <v>0</v>
      </c>
      <c r="F12" s="15" t="str">
        <f t="shared" si="1"/>
        <v/>
      </c>
      <c r="G12" s="16"/>
      <c r="H12" s="16">
        <f>SUM(Oct!H12, Nov!H12, Dec!H12)</f>
        <v>0</v>
      </c>
      <c r="I12" s="17" t="str">
        <f t="shared" si="2"/>
        <v/>
      </c>
    </row>
    <row r="13" spans="1:9" ht="15.6">
      <c r="A13" s="19">
        <v>0</v>
      </c>
      <c r="B13" s="11">
        <v>0</v>
      </c>
      <c r="C13" s="12">
        <f>SUM(Oct!C13, Nov!C13, Dec!C13)</f>
        <v>0</v>
      </c>
      <c r="D13" s="20">
        <f>SUM(Oct!D13, Nov!D13, Dec!D13)</f>
        <v>0</v>
      </c>
      <c r="E13" s="20">
        <f t="shared" si="0"/>
        <v>0</v>
      </c>
      <c r="F13" s="21" t="str">
        <f t="shared" si="1"/>
        <v/>
      </c>
      <c r="G13" s="22"/>
      <c r="H13" s="22">
        <f>SUM(Oct!H13, Nov!H13, Dec!H13)</f>
        <v>0</v>
      </c>
      <c r="I13" s="21" t="str">
        <f t="shared" si="2"/>
        <v/>
      </c>
    </row>
    <row r="14" spans="1:9" ht="15.6">
      <c r="A14" s="13">
        <v>0</v>
      </c>
      <c r="B14" s="10">
        <v>0</v>
      </c>
      <c r="C14" s="26">
        <f>SUM(Oct!C14, Nov!C14, Dec!C14)</f>
        <v>0</v>
      </c>
      <c r="D14" s="14">
        <f>SUM(Oct!D14, Nov!D14, Dec!D14)</f>
        <v>0</v>
      </c>
      <c r="E14" s="14">
        <f t="shared" si="0"/>
        <v>0</v>
      </c>
      <c r="F14" s="15" t="str">
        <f t="shared" si="1"/>
        <v/>
      </c>
      <c r="G14" s="16"/>
      <c r="H14" s="16">
        <f>SUM(Oct!H14, Nov!H14, Dec!H14)</f>
        <v>0</v>
      </c>
      <c r="I14" s="17" t="str">
        <f t="shared" si="2"/>
        <v/>
      </c>
    </row>
    <row r="15" spans="1:9" ht="15.6">
      <c r="A15" s="19">
        <v>0</v>
      </c>
      <c r="B15" s="11">
        <v>0</v>
      </c>
      <c r="C15" s="12">
        <f>SUM(Oct!C15, Nov!C15, Dec!C15)</f>
        <v>0</v>
      </c>
      <c r="D15" s="20">
        <f>SUM(Oct!D15, Nov!D15, Dec!D15)</f>
        <v>0</v>
      </c>
      <c r="E15" s="20">
        <f t="shared" si="0"/>
        <v>0</v>
      </c>
      <c r="F15" s="21" t="str">
        <f t="shared" si="1"/>
        <v/>
      </c>
      <c r="G15" s="22"/>
      <c r="H15" s="22">
        <f>SUM(Oct!H15, Nov!H15, Dec!H15)</f>
        <v>0</v>
      </c>
      <c r="I15" s="21" t="str">
        <f t="shared" si="2"/>
        <v/>
      </c>
    </row>
    <row r="16" spans="1:9" ht="12.95">
      <c r="A16" s="23">
        <v>0</v>
      </c>
      <c r="B16" s="23">
        <v>0</v>
      </c>
      <c r="C16" s="23"/>
      <c r="D16" s="23"/>
      <c r="E16" s="23"/>
      <c r="F16" s="23"/>
      <c r="G16" s="23"/>
      <c r="H16" s="23"/>
      <c r="I16" s="23"/>
    </row>
    <row r="17" spans="1:9" ht="12.95">
      <c r="A17" s="23">
        <v>0</v>
      </c>
      <c r="B17" s="23">
        <v>0</v>
      </c>
      <c r="C17" s="23"/>
      <c r="D17" s="23"/>
      <c r="E17" s="23"/>
      <c r="F17" s="23"/>
      <c r="G17" s="23"/>
      <c r="H17" s="23"/>
      <c r="I17" s="23"/>
    </row>
    <row r="18" spans="1:9" ht="12.75" customHeight="1">
      <c r="A18" s="23">
        <v>0</v>
      </c>
      <c r="B18" s="23">
        <v>0</v>
      </c>
      <c r="C18" s="23"/>
      <c r="D18" s="23"/>
      <c r="E18" s="23"/>
      <c r="F18" s="23"/>
      <c r="G18" s="23"/>
      <c r="H18" s="23"/>
      <c r="I18" s="23"/>
    </row>
    <row r="19" spans="1:9" ht="12.95">
      <c r="A19" s="23">
        <v>0</v>
      </c>
      <c r="B19" s="23">
        <v>0</v>
      </c>
      <c r="C19" s="23"/>
      <c r="D19" s="23"/>
      <c r="E19" s="23"/>
      <c r="F19" s="23"/>
      <c r="G19" s="23"/>
      <c r="H19" s="23"/>
      <c r="I19" s="23"/>
    </row>
    <row r="20" spans="1:9" ht="12.95">
      <c r="A20" s="23">
        <v>0</v>
      </c>
      <c r="B20" s="23">
        <v>0</v>
      </c>
      <c r="C20" s="23"/>
      <c r="D20" s="23"/>
      <c r="E20" s="23"/>
      <c r="F20" s="23"/>
      <c r="G20" s="23"/>
      <c r="H20" s="23"/>
      <c r="I20" s="23"/>
    </row>
    <row r="21" spans="1:9" ht="12.95">
      <c r="A21" s="23">
        <v>0</v>
      </c>
      <c r="B21" s="23">
        <v>0</v>
      </c>
      <c r="C21" s="23"/>
      <c r="D21" s="23"/>
      <c r="E21" s="23"/>
      <c r="F21" s="23"/>
      <c r="G21" s="23"/>
      <c r="H21" s="23"/>
      <c r="I21" s="23"/>
    </row>
    <row r="22" spans="1:9" ht="12.95">
      <c r="A22" s="23">
        <v>0</v>
      </c>
      <c r="B22" s="23">
        <v>0</v>
      </c>
      <c r="C22" s="23"/>
      <c r="D22" s="23"/>
      <c r="E22" s="23"/>
      <c r="F22" s="23"/>
      <c r="G22" s="23"/>
      <c r="H22" s="23"/>
      <c r="I22" s="23"/>
    </row>
    <row r="23" spans="1:9" ht="12.95">
      <c r="A23" s="23">
        <v>0</v>
      </c>
      <c r="B23" s="23">
        <v>0</v>
      </c>
      <c r="C23" s="23"/>
      <c r="D23" s="23"/>
      <c r="E23" s="23"/>
      <c r="F23" s="23"/>
      <c r="G23" s="23"/>
      <c r="H23" s="23"/>
      <c r="I23" s="23"/>
    </row>
    <row r="24" spans="1:9" ht="12.95">
      <c r="A24" s="23">
        <v>0</v>
      </c>
      <c r="B24" s="23">
        <v>0</v>
      </c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2.9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2.9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2.9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2.9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2.95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F4:F100 I4:I10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workbookViewId="0">
      <pane ySplit="3" topLeftCell="A4" activePane="bottomLeft" state="frozen"/>
      <selection pane="bottomLeft" activeCell="D34" sqref="D34"/>
      <selection activeCell="A6" sqref="A6:A15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0" t="str" cm="1">
        <f t="array" ref="A1">portfolio</f>
        <v>Marana USD</v>
      </c>
      <c r="B1" s="40"/>
      <c r="C1" s="40"/>
      <c r="D1" s="41" t="s">
        <v>18</v>
      </c>
      <c r="E1" s="41"/>
      <c r="F1" s="41"/>
      <c r="G1" s="39" t="s">
        <v>19</v>
      </c>
      <c r="H1" s="39"/>
      <c r="I1" s="39"/>
      <c r="J1" s="5"/>
      <c r="K1" s="5"/>
    </row>
    <row r="2" spans="1:11" ht="19.5" customHeight="1">
      <c r="A2" s="42" t="s">
        <v>2</v>
      </c>
      <c r="B2" s="42"/>
      <c r="C2" s="6">
        <f>SUM(C4:C99)</f>
        <v>240925</v>
      </c>
      <c r="D2" s="6">
        <f>SUM(D4:D99)</f>
        <v>0</v>
      </c>
      <c r="E2" s="6">
        <f>C2-D2</f>
        <v>240925</v>
      </c>
      <c r="F2" s="7">
        <f>IFERROR(E2/D2, 0)</f>
        <v>0</v>
      </c>
      <c r="G2" s="6">
        <f>SUM(G4:G99)</f>
        <v>0</v>
      </c>
      <c r="H2" s="8">
        <f>C2-G2</f>
        <v>240925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43" t="s">
        <v>6</v>
      </c>
      <c r="E3" s="43" t="s">
        <v>7</v>
      </c>
      <c r="F3" s="44" t="s">
        <v>8</v>
      </c>
      <c r="G3" s="48" t="s">
        <v>9</v>
      </c>
      <c r="H3" s="46" t="s">
        <v>7</v>
      </c>
      <c r="I3" s="47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Marana - Degrazia ES</v>
      </c>
      <c r="B4" s="31" t="str" cm="1">
        <f t="array" ref="B4:B24">Sites[State]</f>
        <v>AZ</v>
      </c>
      <c r="C4" s="26">
        <v>15252</v>
      </c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Marana - Gladden Farms Ph 2</v>
      </c>
      <c r="B5" s="33" t="str">
        <v>AZ</v>
      </c>
      <c r="C5" s="12">
        <v>12109</v>
      </c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Marana - Marana High School</v>
      </c>
      <c r="B6" s="31" t="str">
        <v>AZ</v>
      </c>
      <c r="C6" s="26">
        <v>23382</v>
      </c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Marana - Mountain View HS Exp.</v>
      </c>
      <c r="B7" s="33" t="str">
        <v>AZ</v>
      </c>
      <c r="C7" s="12">
        <v>100460</v>
      </c>
      <c r="D7" s="20"/>
      <c r="E7" s="20" t="str">
        <f t="shared" ref="E7:E15" si="4">IF(AND(ISNUMBER(C7),ISNUMBER(D7)), C7-D7, "")</f>
        <v/>
      </c>
      <c r="F7" s="21" t="str">
        <f t="shared" si="3"/>
        <v/>
      </c>
      <c r="G7" s="22"/>
      <c r="H7" s="22" t="str">
        <f t="shared" ref="H7:H15" si="5">IF(AND(ISNUMBER(C7),ISNUMBER(G7)), C7-G7, "")</f>
        <v/>
      </c>
      <c r="I7" s="21" t="str">
        <f t="shared" ref="I7:I15" si="6">IFERROR(H7/G7, "")</f>
        <v/>
      </c>
      <c r="J7" s="11"/>
      <c r="K7" s="19"/>
    </row>
    <row r="8" spans="1:11" ht="15.6">
      <c r="A8" s="30" t="str">
        <v>AZ: Marana - Rattlesnake Ridge ES</v>
      </c>
      <c r="B8" s="31" t="str">
        <v>AZ</v>
      </c>
      <c r="C8" s="26">
        <v>4897</v>
      </c>
      <c r="D8" s="14"/>
      <c r="E8" s="14" t="str">
        <f t="shared" si="4"/>
        <v/>
      </c>
      <c r="F8" s="15" t="str">
        <f t="shared" si="3"/>
        <v/>
      </c>
      <c r="G8" s="16"/>
      <c r="H8" s="16" t="str">
        <f t="shared" si="5"/>
        <v/>
      </c>
      <c r="I8" s="17" t="str">
        <f t="shared" si="6"/>
        <v/>
      </c>
      <c r="J8" s="18"/>
      <c r="K8" s="18"/>
    </row>
    <row r="9" spans="1:11" ht="15.6">
      <c r="A9" s="32" t="str">
        <v>AZ: Marana - Roadrunner ES</v>
      </c>
      <c r="B9" s="33" t="str">
        <v>AZ</v>
      </c>
      <c r="C9" s="12">
        <v>21507</v>
      </c>
      <c r="D9" s="20"/>
      <c r="E9" s="20" t="str">
        <f t="shared" si="4"/>
        <v/>
      </c>
      <c r="F9" s="21" t="str">
        <f t="shared" si="3"/>
        <v/>
      </c>
      <c r="G9" s="22"/>
      <c r="H9" s="22" t="str">
        <f t="shared" si="5"/>
        <v/>
      </c>
      <c r="I9" s="21" t="str">
        <f t="shared" si="6"/>
        <v/>
      </c>
      <c r="J9" s="11"/>
      <c r="K9" s="19"/>
    </row>
    <row r="10" spans="1:11" ht="15.6">
      <c r="A10" s="30" t="str">
        <v>AZ: Marana - Thornydale Elementary</v>
      </c>
      <c r="B10" s="31" t="str">
        <v>AZ</v>
      </c>
      <c r="C10" s="26">
        <v>10517</v>
      </c>
      <c r="D10" s="14"/>
      <c r="E10" s="14" t="str">
        <f t="shared" si="4"/>
        <v/>
      </c>
      <c r="F10" s="15" t="str">
        <f t="shared" si="3"/>
        <v/>
      </c>
      <c r="G10" s="16"/>
      <c r="H10" s="16" t="str">
        <f t="shared" si="5"/>
        <v/>
      </c>
      <c r="I10" s="17" t="str">
        <f t="shared" si="6"/>
        <v/>
      </c>
      <c r="J10" s="18"/>
      <c r="K10" s="18"/>
    </row>
    <row r="11" spans="1:11" ht="15.6">
      <c r="A11" s="32" t="str">
        <v>AZ: Marana - Tortolita MS</v>
      </c>
      <c r="B11" s="33" t="str">
        <v>AZ</v>
      </c>
      <c r="C11" s="12">
        <v>28275</v>
      </c>
      <c r="D11" s="20"/>
      <c r="E11" s="20" t="str">
        <f t="shared" si="4"/>
        <v/>
      </c>
      <c r="F11" s="21" t="str">
        <f t="shared" si="3"/>
        <v/>
      </c>
      <c r="G11" s="22"/>
      <c r="H11" s="22" t="str">
        <f t="shared" si="5"/>
        <v/>
      </c>
      <c r="I11" s="21" t="str">
        <f t="shared" si="6"/>
        <v/>
      </c>
      <c r="J11" s="11"/>
      <c r="K11" s="19"/>
    </row>
    <row r="12" spans="1:11" ht="15.6">
      <c r="A12" s="30" t="str">
        <v>AZ: Marana - Picture Rocks Intermediat</v>
      </c>
      <c r="B12" s="31" t="str">
        <v>AZ</v>
      </c>
      <c r="C12" s="26">
        <v>24526</v>
      </c>
      <c r="D12" s="14"/>
      <c r="E12" s="14" t="str">
        <f t="shared" si="4"/>
        <v/>
      </c>
      <c r="F12" s="15" t="str">
        <f t="shared" si="3"/>
        <v/>
      </c>
      <c r="G12" s="16"/>
      <c r="H12" s="16" t="str">
        <f t="shared" si="5"/>
        <v/>
      </c>
      <c r="I12" s="17" t="str">
        <f t="shared" si="6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4"/>
        <v/>
      </c>
      <c r="F13" s="21" t="str">
        <f t="shared" si="3"/>
        <v/>
      </c>
      <c r="G13" s="22"/>
      <c r="H13" s="22" t="str">
        <f t="shared" si="5"/>
        <v/>
      </c>
      <c r="I13" s="21" t="str">
        <f t="shared" si="6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4"/>
        <v/>
      </c>
      <c r="F14" s="15" t="str">
        <f t="shared" si="3"/>
        <v/>
      </c>
      <c r="G14" s="16"/>
      <c r="H14" s="16" t="str">
        <f t="shared" si="5"/>
        <v/>
      </c>
      <c r="I14" s="17" t="str">
        <f t="shared" si="6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4"/>
        <v/>
      </c>
      <c r="F15" s="21" t="str">
        <f t="shared" si="3"/>
        <v/>
      </c>
      <c r="G15" s="22"/>
      <c r="H15" s="22" t="str">
        <f t="shared" si="5"/>
        <v/>
      </c>
      <c r="I15" s="21" t="str">
        <f t="shared" si="6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 t="str">
        <f t="shared" ref="E16" si="7">IF(AND(ISNUMBER(C16),ISNUMBER(D16)), C16-D16, "")</f>
        <v/>
      </c>
      <c r="F16" s="23" t="str">
        <f t="shared" ref="F16" si="8">IFERROR(E16/D16, "")</f>
        <v/>
      </c>
      <c r="G16" s="23"/>
      <c r="H16" s="23" t="str">
        <f t="shared" ref="H16" si="9">IF(AND(ISNUMBER(C16),ISNUMBER(G16)), C16-G16, "")</f>
        <v/>
      </c>
      <c r="I16" s="23" t="str">
        <f t="shared" ref="I16" si="10">IFERROR(H16/G16, "")</f>
        <v/>
      </c>
      <c r="J16" s="23"/>
      <c r="K16" s="23"/>
    </row>
    <row r="17" spans="1:11" ht="12.75" customHeight="1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</sheetData>
  <mergeCells count="4">
    <mergeCell ref="D1:F1"/>
    <mergeCell ref="A1:C1"/>
    <mergeCell ref="G1:I1"/>
    <mergeCell ref="A2:B2"/>
  </mergeCells>
  <conditionalFormatting sqref="F2 I2 F4:F99 I4:I9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0" t="str" cm="1">
        <f t="array" ref="A1">portfolio</f>
        <v>Marana USD</v>
      </c>
      <c r="B1" s="40"/>
      <c r="C1" s="40"/>
      <c r="D1" s="41" t="s">
        <v>22</v>
      </c>
      <c r="E1" s="41"/>
      <c r="F1" s="41"/>
      <c r="G1" s="39" t="s">
        <v>23</v>
      </c>
      <c r="H1" s="39"/>
      <c r="I1" s="39"/>
      <c r="J1" s="5"/>
      <c r="K1" s="5"/>
    </row>
    <row r="2" spans="1:11" ht="19.5" customHeight="1">
      <c r="A2" s="42" t="s">
        <v>2</v>
      </c>
      <c r="B2" s="42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3" t="s">
        <v>6</v>
      </c>
      <c r="E3" s="43" t="s">
        <v>7</v>
      </c>
      <c r="F3" s="44" t="s">
        <v>8</v>
      </c>
      <c r="G3" s="45" t="s">
        <v>9</v>
      </c>
      <c r="H3" s="46" t="s">
        <v>7</v>
      </c>
      <c r="I3" s="47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Marana - Degrazia ES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Marana - Gladden Farms Ph 2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Marana - Marana High School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Marana - Mountain View HS Exp.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Marana - Rattlesnake Ridge ES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Marana - Roadrunner ES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Marana - Thornydale Elementary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Marana - Tortolita MS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Marana - Picture Rocks Intermediat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ySplit="2" topLeftCell="A32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0" t="str" cm="1">
        <f t="array" ref="A1">portfolio</f>
        <v>Marana USD</v>
      </c>
      <c r="B1" s="40"/>
      <c r="C1" s="40"/>
      <c r="D1" s="41" t="s">
        <v>24</v>
      </c>
      <c r="E1" s="41"/>
      <c r="F1" s="41"/>
      <c r="G1" s="39" t="s">
        <v>25</v>
      </c>
      <c r="H1" s="39"/>
      <c r="I1" s="39"/>
      <c r="J1" s="5"/>
      <c r="K1" s="5"/>
    </row>
    <row r="2" spans="1:11" ht="19.5" customHeight="1">
      <c r="A2" s="42" t="s">
        <v>2</v>
      </c>
      <c r="B2" s="42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3" t="s">
        <v>6</v>
      </c>
      <c r="E3" s="43" t="s">
        <v>7</v>
      </c>
      <c r="F3" s="44" t="s">
        <v>8</v>
      </c>
      <c r="G3" s="45" t="s">
        <v>9</v>
      </c>
      <c r="H3" s="46" t="s">
        <v>7</v>
      </c>
      <c r="I3" s="47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Marana - Degrazia ES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Marana - Gladden Farms Ph 2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Marana - Marana High School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Marana - Mountain View HS Exp.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Marana - Rattlesnake Ridge ES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Marana - Roadrunner ES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Marana - Thornydale Elementary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Marana - Tortolita MS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Marana - Picture Rocks Intermediat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0" t="str" cm="1">
        <f t="array" ref="A1">portfolio</f>
        <v>Marana USD</v>
      </c>
      <c r="B1" s="40"/>
      <c r="C1" s="40"/>
      <c r="D1" s="41" t="s">
        <v>26</v>
      </c>
      <c r="E1" s="41"/>
      <c r="F1" s="41"/>
      <c r="G1" s="39" t="s">
        <v>27</v>
      </c>
      <c r="H1" s="39"/>
      <c r="I1" s="39"/>
      <c r="J1" s="5"/>
      <c r="K1" s="5"/>
    </row>
    <row r="2" spans="1:11" ht="19.5" customHeight="1">
      <c r="A2" s="42" t="s">
        <v>2</v>
      </c>
      <c r="B2" s="42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3" t="s">
        <v>6</v>
      </c>
      <c r="E3" s="43" t="s">
        <v>7</v>
      </c>
      <c r="F3" s="44" t="s">
        <v>8</v>
      </c>
      <c r="G3" s="45" t="s">
        <v>9</v>
      </c>
      <c r="H3" s="46" t="s">
        <v>7</v>
      </c>
      <c r="I3" s="47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Marana - Degrazia ES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Marana - Gladden Farms Ph 2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Marana - Marana High School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Marana - Mountain View HS Exp.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Marana - Rattlesnake Ridge ES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Marana - Roadrunner ES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Marana - Thornydale Elementary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Marana - Tortolita MS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Marana - Picture Rocks Intermediat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0" t="str" cm="1">
        <f t="array" ref="A1">portfolio</f>
        <v>Marana USD</v>
      </c>
      <c r="B1" s="40"/>
      <c r="C1" s="40"/>
      <c r="D1" s="41" t="s">
        <v>28</v>
      </c>
      <c r="E1" s="41"/>
      <c r="F1" s="41"/>
      <c r="G1" s="39" t="s">
        <v>29</v>
      </c>
      <c r="H1" s="39"/>
      <c r="I1" s="39"/>
      <c r="J1" s="5"/>
      <c r="K1" s="5"/>
    </row>
    <row r="2" spans="1:11" ht="19.5" customHeight="1">
      <c r="A2" s="42" t="s">
        <v>2</v>
      </c>
      <c r="B2" s="42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3" t="s">
        <v>6</v>
      </c>
      <c r="E3" s="43" t="s">
        <v>7</v>
      </c>
      <c r="F3" s="44" t="s">
        <v>8</v>
      </c>
      <c r="G3" s="45" t="s">
        <v>9</v>
      </c>
      <c r="H3" s="46" t="s">
        <v>7</v>
      </c>
      <c r="I3" s="47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Marana - Degrazia ES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Marana - Gladden Farms Ph 2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Marana - Marana High School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Marana - Mountain View HS Exp.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Marana - Rattlesnake Ridge ES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Marana - Roadrunner ES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Marana - Thornydale Elementary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Marana - Tortolita MS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Marana - Picture Rocks Intermediat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0" t="str" cm="1">
        <f t="array" ref="A1">portfolio</f>
        <v>Marana USD</v>
      </c>
      <c r="B1" s="40"/>
      <c r="C1" s="40"/>
      <c r="D1" s="41" t="s">
        <v>30</v>
      </c>
      <c r="E1" s="41"/>
      <c r="F1" s="41"/>
      <c r="G1" s="39" t="s">
        <v>31</v>
      </c>
      <c r="H1" s="39"/>
      <c r="I1" s="39"/>
      <c r="J1" s="5"/>
      <c r="K1" s="5"/>
    </row>
    <row r="2" spans="1:11" ht="19.5" customHeight="1">
      <c r="A2" s="42" t="s">
        <v>2</v>
      </c>
      <c r="B2" s="42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3" t="s">
        <v>6</v>
      </c>
      <c r="E3" s="43" t="s">
        <v>7</v>
      </c>
      <c r="F3" s="44" t="s">
        <v>8</v>
      </c>
      <c r="G3" s="45" t="s">
        <v>9</v>
      </c>
      <c r="H3" s="46" t="s">
        <v>7</v>
      </c>
      <c r="I3" s="47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Marana - Degrazia ES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Marana - Gladden Farms Ph 2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Marana - Marana High School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Marana - Mountain View HS Exp.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Marana - Rattlesnake Ridge ES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Marana - Roadrunner ES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Marana - Thornydale Elementary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Marana - Tortolita MS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Marana - Picture Rocks Intermediat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0" t="str" cm="1">
        <f t="array" ref="A1">portfolio</f>
        <v>Marana USD</v>
      </c>
      <c r="B1" s="40"/>
      <c r="C1" s="40"/>
      <c r="D1" s="41" t="s">
        <v>32</v>
      </c>
      <c r="E1" s="41"/>
      <c r="F1" s="41"/>
      <c r="G1" s="39" t="s">
        <v>33</v>
      </c>
      <c r="H1" s="39"/>
      <c r="I1" s="39"/>
      <c r="J1" s="5"/>
      <c r="K1" s="5"/>
    </row>
    <row r="2" spans="1:11" ht="19.5" customHeight="1">
      <c r="A2" s="42" t="s">
        <v>2</v>
      </c>
      <c r="B2" s="42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3" t="s">
        <v>6</v>
      </c>
      <c r="E3" s="43" t="s">
        <v>7</v>
      </c>
      <c r="F3" s="44" t="s">
        <v>8</v>
      </c>
      <c r="G3" s="45" t="s">
        <v>9</v>
      </c>
      <c r="H3" s="46" t="s">
        <v>7</v>
      </c>
      <c r="I3" s="47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Marana - Degrazia ES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Marana - Gladden Farms Ph 2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Marana - Marana High School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Marana - Mountain View HS Exp.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Marana - Rattlesnake Ridge ES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Marana - Roadrunner ES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Marana - Thornydale Elementary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Marana - Tortolita MS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Marana - Picture Rocks Intermediat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100 I4:I10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0" t="str" cm="1">
        <f t="array" ref="A1">portfolio</f>
        <v>Marana USD</v>
      </c>
      <c r="B1" s="40"/>
      <c r="C1" s="40"/>
      <c r="D1" s="41" t="s">
        <v>34</v>
      </c>
      <c r="E1" s="41"/>
      <c r="F1" s="41"/>
      <c r="G1" s="39" t="s">
        <v>35</v>
      </c>
      <c r="H1" s="39"/>
      <c r="I1" s="39"/>
      <c r="J1" s="5"/>
      <c r="K1" s="5"/>
    </row>
    <row r="2" spans="1:11" ht="19.5" customHeight="1">
      <c r="A2" s="42" t="s">
        <v>2</v>
      </c>
      <c r="B2" s="42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3" t="s">
        <v>6</v>
      </c>
      <c r="E3" s="43" t="s">
        <v>7</v>
      </c>
      <c r="F3" s="44" t="s">
        <v>8</v>
      </c>
      <c r="G3" s="45" t="s">
        <v>9</v>
      </c>
      <c r="H3" s="46" t="s">
        <v>7</v>
      </c>
      <c r="I3" s="47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Marana - Degrazia ES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Marana - Gladden Farms Ph 2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Marana - Marana High School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Marana - Mountain View HS Exp.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Marana - Rattlesnake Ridge ES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Marana - Roadrunner ES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Marana - Thornydale Elementary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Marana - Tortolita MS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Marana - Picture Rocks Intermediat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0" t="str" cm="1">
        <f t="array" ref="A1">portfolio</f>
        <v>Marana USD</v>
      </c>
      <c r="B1" s="40"/>
      <c r="C1" s="40"/>
      <c r="D1" s="41" t="s">
        <v>36</v>
      </c>
      <c r="E1" s="41"/>
      <c r="F1" s="41"/>
      <c r="G1" s="39" t="s">
        <v>37</v>
      </c>
      <c r="H1" s="39"/>
      <c r="I1" s="39"/>
      <c r="J1" s="5"/>
      <c r="K1" s="5"/>
    </row>
    <row r="2" spans="1:11" ht="19.5" customHeight="1">
      <c r="A2" s="42" t="s">
        <v>2</v>
      </c>
      <c r="B2" s="42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3" t="s">
        <v>6</v>
      </c>
      <c r="E3" s="43" t="s">
        <v>7</v>
      </c>
      <c r="F3" s="44" t="s">
        <v>8</v>
      </c>
      <c r="G3" s="45" t="s">
        <v>9</v>
      </c>
      <c r="H3" s="46" t="s">
        <v>7</v>
      </c>
      <c r="I3" s="47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Marana - Degrazia ES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Marana - Gladden Farms Ph 2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Marana - Marana High School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Marana - Mountain View HS Exp.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Marana - Rattlesnake Ridge ES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Marana - Roadrunner ES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Marana - Thornydale Elementary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Marana - Tortolita MS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Marana - Picture Rocks Intermediat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0" t="str" cm="1">
        <f t="array" ref="A1">portfolio</f>
        <v>Marana USD</v>
      </c>
      <c r="B1" s="40"/>
      <c r="C1" s="40"/>
      <c r="D1" s="41" t="s">
        <v>38</v>
      </c>
      <c r="E1" s="41"/>
      <c r="F1" s="41"/>
      <c r="G1" s="39" t="s">
        <v>39</v>
      </c>
      <c r="H1" s="39"/>
      <c r="I1" s="39"/>
      <c r="J1" s="5"/>
      <c r="K1" s="5"/>
    </row>
    <row r="2" spans="1:11" ht="19.5" customHeight="1">
      <c r="A2" s="42" t="s">
        <v>2</v>
      </c>
      <c r="B2" s="42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3" t="s">
        <v>6</v>
      </c>
      <c r="E3" s="43" t="s">
        <v>7</v>
      </c>
      <c r="F3" s="44" t="s">
        <v>8</v>
      </c>
      <c r="G3" s="45" t="s">
        <v>9</v>
      </c>
      <c r="H3" s="46" t="s">
        <v>7</v>
      </c>
      <c r="I3" s="47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Marana - Degrazia ES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Marana - Gladden Farms Ph 2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Marana - Marana High School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Marana - Mountain View HS Exp.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Marana - Rattlesnake Ridge ES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Marana - Roadrunner ES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Marana - Thornydale Elementary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Marana - Tortolita MS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Marana - Picture Rocks Intermediat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0" t="str" cm="1">
        <f t="array" ref="A1">portfolio</f>
        <v>Marana USD</v>
      </c>
      <c r="B1" s="40"/>
      <c r="C1" s="40"/>
      <c r="D1" s="41" t="s">
        <v>40</v>
      </c>
      <c r="E1" s="41"/>
      <c r="F1" s="41"/>
      <c r="G1" s="39" t="s">
        <v>41</v>
      </c>
      <c r="H1" s="39"/>
      <c r="I1" s="39"/>
      <c r="J1" s="5"/>
      <c r="K1" s="5"/>
    </row>
    <row r="2" spans="1:11" ht="19.5" customHeight="1">
      <c r="A2" s="42" t="s">
        <v>2</v>
      </c>
      <c r="B2" s="42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3" t="s">
        <v>6</v>
      </c>
      <c r="E3" s="43" t="s">
        <v>7</v>
      </c>
      <c r="F3" s="44" t="s">
        <v>8</v>
      </c>
      <c r="G3" s="45" t="s">
        <v>9</v>
      </c>
      <c r="H3" s="46" t="s">
        <v>7</v>
      </c>
      <c r="I3" s="47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Marana - Degrazia ES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Marana - Gladden Farms Ph 2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Marana - Marana High School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Marana - Mountain View HS Exp.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Marana - Rattlesnake Ridge ES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Marana - Roadrunner ES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Marana - Thornydale Elementary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Marana - Tortolita MS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Marana - Picture Rocks Intermediat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ySplit="2" topLeftCell="A3" activePane="bottomLeft" state="frozen"/>
      <selection pane="bottomLeft" activeCell="D27" sqref="D27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0" t="str" cm="1">
        <f t="array" ref="A1">portfolio</f>
        <v>Marana USD</v>
      </c>
      <c r="B1" s="40"/>
      <c r="C1" s="40"/>
      <c r="D1" s="41" t="s">
        <v>42</v>
      </c>
      <c r="E1" s="41"/>
      <c r="F1" s="41"/>
      <c r="G1" s="39" t="s">
        <v>43</v>
      </c>
      <c r="H1" s="39"/>
      <c r="I1" s="39"/>
      <c r="J1" s="5"/>
      <c r="K1" s="5"/>
    </row>
    <row r="2" spans="1:11" ht="19.5" customHeight="1">
      <c r="A2" s="42" t="s">
        <v>2</v>
      </c>
      <c r="B2" s="42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3" t="s">
        <v>6</v>
      </c>
      <c r="E3" s="43" t="s">
        <v>7</v>
      </c>
      <c r="F3" s="44" t="s">
        <v>8</v>
      </c>
      <c r="G3" s="45" t="s">
        <v>9</v>
      </c>
      <c r="H3" s="46" t="s">
        <v>7</v>
      </c>
      <c r="I3" s="47" t="s">
        <v>8</v>
      </c>
      <c r="J3" s="27" t="s">
        <v>20</v>
      </c>
      <c r="K3" s="27" t="s">
        <v>21</v>
      </c>
    </row>
    <row r="4" spans="1:11" ht="15.6">
      <c r="A4" s="34" t="str" cm="1">
        <f t="array" ref="A4:A24">Sites[Site]</f>
        <v>AZ: Marana - Degrazia ES</v>
      </c>
      <c r="B4" s="31" t="str" cm="1">
        <f t="array" ref="B4:B2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Marana - Gladden Farms Ph 2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Marana - Marana High School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Marana - Mountain View HS Exp.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AZ: Marana - Rattlesnake Ridge ES</v>
      </c>
      <c r="B8" s="31" t="str">
        <v>AZ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AZ: Marana - Roadrunner ES</v>
      </c>
      <c r="B9" s="33" t="str">
        <v>AZ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AZ: Marana - Thornydale Elementary</v>
      </c>
      <c r="B10" s="31" t="str">
        <v>AZ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AZ: Marana - Tortolita MS</v>
      </c>
      <c r="B11" s="33" t="str">
        <v>AZ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AZ: Marana - Picture Rocks Intermediat</v>
      </c>
      <c r="B12" s="31" t="str">
        <v>AZ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>
        <v>0</v>
      </c>
      <c r="B13" s="33">
        <v>0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>
        <v>0</v>
      </c>
      <c r="B14" s="31">
        <v>0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>
        <v>0</v>
      </c>
      <c r="B15" s="33">
        <v>0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>
        <v>0</v>
      </c>
      <c r="B16" s="35">
        <v>0</v>
      </c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>
        <v>0</v>
      </c>
      <c r="B17" s="35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>
        <v>0</v>
      </c>
      <c r="B18" s="35">
        <v>0</v>
      </c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>
        <v>0</v>
      </c>
      <c r="B19" s="35">
        <v>0</v>
      </c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>
        <v>0</v>
      </c>
      <c r="B20" s="35">
        <v>0</v>
      </c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>
        <v>0</v>
      </c>
      <c r="B21" s="35">
        <v>0</v>
      </c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>
        <v>0</v>
      </c>
      <c r="B22" s="35">
        <v>0</v>
      </c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>
        <v>0</v>
      </c>
      <c r="B23" s="35">
        <v>0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>
        <v>0</v>
      </c>
      <c r="B24" s="35">
        <v>0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24"/>
  <sheetViews>
    <sheetView tabSelected="1" workbookViewId="0">
      <pane ySplit="3" topLeftCell="A4" activePane="bottomLeft" state="frozen"/>
      <selection pane="bottomLeft" activeCell="D4" sqref="D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s="37" t="s">
        <v>45</v>
      </c>
    </row>
    <row r="3" spans="1:7" ht="12.6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t="s">
        <v>49</v>
      </c>
      <c r="B4" t="s">
        <v>49</v>
      </c>
      <c r="C4" s="4" t="s">
        <v>50</v>
      </c>
      <c r="D4" t="s">
        <v>51</v>
      </c>
      <c r="G4" s="3"/>
    </row>
    <row r="5" spans="1:7" ht="14.45">
      <c r="A5" t="s">
        <v>52</v>
      </c>
      <c r="B5" t="s">
        <v>52</v>
      </c>
      <c r="C5" s="4" t="s">
        <v>50</v>
      </c>
      <c r="D5" t="s">
        <v>51</v>
      </c>
      <c r="G5" s="3"/>
    </row>
    <row r="6" spans="1:7" ht="14.45">
      <c r="A6" t="s">
        <v>53</v>
      </c>
      <c r="B6" t="s">
        <v>53</v>
      </c>
      <c r="C6" s="4" t="s">
        <v>50</v>
      </c>
      <c r="D6" t="s">
        <v>51</v>
      </c>
      <c r="G6" s="3"/>
    </row>
    <row r="7" spans="1:7" ht="12.75" customHeight="1">
      <c r="A7" t="s">
        <v>54</v>
      </c>
      <c r="B7" t="s">
        <v>54</v>
      </c>
      <c r="C7" s="4" t="s">
        <v>50</v>
      </c>
      <c r="D7" s="38" t="s">
        <v>55</v>
      </c>
    </row>
    <row r="8" spans="1:7" ht="12.75" customHeight="1">
      <c r="A8" s="4" t="s">
        <v>56</v>
      </c>
      <c r="B8" t="s">
        <v>56</v>
      </c>
      <c r="C8" s="4" t="s">
        <v>50</v>
      </c>
      <c r="D8" t="s">
        <v>51</v>
      </c>
    </row>
    <row r="9" spans="1:7" ht="12.75" customHeight="1">
      <c r="A9" s="4" t="s">
        <v>57</v>
      </c>
      <c r="B9" t="s">
        <v>57</v>
      </c>
      <c r="C9" s="4" t="s">
        <v>50</v>
      </c>
      <c r="D9" t="s">
        <v>51</v>
      </c>
    </row>
    <row r="10" spans="1:7" ht="12.75" customHeight="1">
      <c r="A10" s="4" t="s">
        <v>58</v>
      </c>
      <c r="B10" t="s">
        <v>58</v>
      </c>
      <c r="C10" s="4" t="s">
        <v>50</v>
      </c>
      <c r="D10" t="s">
        <v>51</v>
      </c>
    </row>
    <row r="11" spans="1:7" ht="12.75" customHeight="1">
      <c r="A11" s="4" t="s">
        <v>59</v>
      </c>
      <c r="B11" t="s">
        <v>59</v>
      </c>
      <c r="C11" s="4" t="s">
        <v>50</v>
      </c>
      <c r="D11" t="s">
        <v>51</v>
      </c>
    </row>
    <row r="12" spans="1:7" ht="12.75" customHeight="1">
      <c r="A12" s="4" t="s">
        <v>60</v>
      </c>
      <c r="B12" t="s">
        <v>60</v>
      </c>
      <c r="C12" s="4" t="s">
        <v>50</v>
      </c>
      <c r="D12" s="38" t="s">
        <v>55</v>
      </c>
    </row>
    <row r="13" spans="1:7" ht="12.75" customHeight="1">
      <c r="A13" s="4"/>
      <c r="B13" s="4"/>
      <c r="C13" s="4"/>
    </row>
    <row r="14" spans="1:7" ht="12.75" customHeight="1">
      <c r="A14" s="4"/>
      <c r="B14" s="4"/>
      <c r="C14" s="4"/>
    </row>
    <row r="15" spans="1:7" ht="12.75" customHeight="1">
      <c r="A15" s="4"/>
      <c r="B15" s="4"/>
      <c r="C15" s="4"/>
    </row>
    <row r="16" spans="1:7" ht="12.75" customHeight="1">
      <c r="A16" s="4"/>
      <c r="B16" s="4"/>
      <c r="C16" s="4"/>
    </row>
    <row r="17" spans="1:3" ht="12.75" customHeight="1">
      <c r="A17" s="4"/>
      <c r="B17" s="4"/>
      <c r="C17" s="4"/>
    </row>
    <row r="18" spans="1:3" ht="12.75" customHeight="1">
      <c r="A18" s="4"/>
      <c r="B18" s="4"/>
      <c r="C18" s="4"/>
    </row>
    <row r="19" spans="1:3" ht="12.75" customHeight="1">
      <c r="A19" s="4"/>
      <c r="B19" s="4"/>
      <c r="C19" s="4"/>
    </row>
    <row r="20" spans="1:3" ht="12.75" customHeight="1">
      <c r="A20" s="4"/>
      <c r="B20" s="4"/>
      <c r="C20" s="4"/>
    </row>
    <row r="21" spans="1:3" ht="12.75" customHeight="1">
      <c r="A21" s="4"/>
      <c r="B21" s="4"/>
      <c r="C21" s="4"/>
    </row>
    <row r="22" spans="1:3" ht="12.75" customHeight="1">
      <c r="A22" s="4"/>
      <c r="B22" s="4"/>
      <c r="C22" s="4"/>
    </row>
    <row r="23" spans="1:3" ht="12.75" customHeight="1">
      <c r="A23" s="4"/>
      <c r="B23" s="4"/>
      <c r="C23" s="4"/>
    </row>
    <row r="24" spans="1:3" ht="12.75" customHeight="1">
      <c r="A24" s="4"/>
      <c r="B24" s="4"/>
      <c r="C24" s="4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C0BCDC1E-6052-4E48-9BAF-94A40814E7C2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2024-02-08T08:14:45Z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