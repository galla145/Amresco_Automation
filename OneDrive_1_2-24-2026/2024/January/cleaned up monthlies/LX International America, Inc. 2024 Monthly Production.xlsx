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92" documentId="8_{EBE5419F-9376-49C2-8ECB-3B3FDD9FB277}" xr6:coauthVersionLast="47" xr6:coauthVersionMax="47" xr10:uidLastSave="{4991EE7E-A694-4571-B86D-15CF102BC114}"/>
  <bookViews>
    <workbookView xWindow="-32148" yWindow="-10788" windowWidth="25980" windowHeight="21864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H6" i="33"/>
  <c r="H6" i="30" s="1"/>
  <c r="I6" i="30" s="1"/>
  <c r="H5" i="33"/>
  <c r="I5" i="33" s="1"/>
  <c r="H4" i="33"/>
  <c r="I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D4" i="34" l="1"/>
  <c r="D2" i="34" s="1"/>
  <c r="E5" i="30"/>
  <c r="F5" i="30" s="1"/>
  <c r="D2" i="30"/>
  <c r="E4" i="30"/>
  <c r="F4" i="30" s="1"/>
  <c r="I6" i="33"/>
  <c r="E6" i="30"/>
  <c r="F6" i="30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<sst xmlns="http://schemas.openxmlformats.org/spreadsheetml/2006/main" count="251" uniqueCount="56">
  <si>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</si>
  <si>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</si>
  <si>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</si>
  <si>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</si>
  <si>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</si>
  <si>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</si>
  <si>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</si>
  <si>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</si>
  <si>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</si>
  <si>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</si>
  <si>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</si>
  <si>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</si>
  <si>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</si>
  <si>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</si>
  <si>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</si>
  <si>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</si>
  <si>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</si>
  <si>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</si>
  <si>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</si>
  <si>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</si>
  <si>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</si>
  <si>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</si>
  <si>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</si>
  <si>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</si>
  <si>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</si>
  <si>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</si>
  <si>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</si>
  <si>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</si>
  <si>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</si>
  <si>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</si>
  <si>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</si>
  <si>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</si>
  <si>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</si>
  <si>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</si>
  <si>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</si>
  <si>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</si>
  <si>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</si>
  <si>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</si>
  <si>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</si>
  <si>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</si>
  <si>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</si>
  <si>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</si>
  <si>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</si>
  <si>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</si>
  <si>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</si>
  <si>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</si>
  <si>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</si>
  <si>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</si>
  <si>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</si>
  <si>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</si>
  <si>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</si>
  <si>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AE</t>
  </si>
  <si>
    <t>AZ: Lake Havasu City - Aquatic Center</t>
  </si>
  <si>
    <t>AZ: Lake Havasu City - City Hall</t>
  </si>
  <si>
    <t>EA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</si>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</sst>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LX International America, Inc.</v>
      </c>
      <c r="B1" s="38"/>
      <c r="C1" s="38"/>
      <c r="D1" s="39" t="s">
        <v>0</v>
      </c>
      <c r="E1" s="39"/>
      <c r="F1" s="39"/>
      <c r="G1" s="37" t="s">
        <v>1</v>
      </c>
      <c r="H1" s="37"/>
      <c r="I1" s="37"/>
    </row>
    <row r="2" spans="1:9" ht="19.5" customHeight="1">
      <c r="A2" s="40" t="s">
        <v>2</v>
      </c>
      <c r="B2" s="40"/>
      <c r="C2" s="6">
        <f>SUM(C4:C100)</f>
        <v>67928.789999999994</v>
      </c>
      <c r="D2" s="6">
        <f>SUM(D4:D100)</f>
        <v>6874.5</v>
      </c>
      <c r="E2" s="6">
        <f>C2-D2</f>
        <v>61054.289999999994</v>
      </c>
      <c r="F2" s="7">
        <f>IFERROR(E2/D2, 0)</f>
        <v>8.881269910538947</v>
      </c>
      <c r="G2" s="6">
        <f>SUM(G4:G100)</f>
        <v>0</v>
      </c>
      <c r="H2" s="8">
        <f>C2-G2</f>
        <v>67928.789999999994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Lake Havasu City - Police Station</v>
      </c>
      <c r="B4" s="10" t="str" cm="1">
        <f t="array" ref="B4:B24">Sites[State]</f>
        <v>AZ</v>
      </c>
      <c r="C4" s="26">
        <f>SUM('1st Qtr'!C4, '2nd Qtr'!C4, '3rd Qtr'!C4, '4th Qtr'!C4)</f>
        <v>23850.48</v>
      </c>
      <c r="D4" s="14">
        <f>SUM('1st Qtr'!D4, '2nd Qtr'!D4, '3rd Qtr'!D4, '4th Qtr'!D4)</f>
        <v>2839.44</v>
      </c>
      <c r="E4" s="14">
        <f>IF(AND(ISNUMBER(C4),ISNUMBER(D4)), C4-D4, "")</f>
        <v>21011.040000000001</v>
      </c>
      <c r="F4" s="15">
        <f>IFERROR(E4/D4, "")</f>
        <v>7.3997126193897387</v>
      </c>
      <c r="G4" s="16"/>
      <c r="H4" s="16">
        <f>SUM('1st Qtr'!H4, '2nd Qtr'!H4, '3rd Qtr'!H4, '4th Qtr'!H4)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27794.5</v>
      </c>
      <c r="D5" s="20">
        <f>SUM(Jan!D5, Feb!D5, Mar!D5)</f>
        <v>2447.36</v>
      </c>
      <c r="E5" s="20">
        <f t="shared" ref="E5:E15" si="0">IF(AND(ISNUMBER(C5),ISNUMBER(D5)), C5-D5, "")</f>
        <v>25347.14</v>
      </c>
      <c r="F5" s="21">
        <f>IFERROR(E5/D5, "")</f>
        <v>10.356931550732217</v>
      </c>
      <c r="G5" s="22"/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9540.1299999999992</v>
      </c>
      <c r="D6" s="14">
        <f>SUM(Jan!D6, Feb!D6, Mar!D6)</f>
        <v>930.47</v>
      </c>
      <c r="E6" s="14">
        <f t="shared" si="0"/>
        <v>8609.66</v>
      </c>
      <c r="F6" s="15">
        <f t="shared" ref="F6:F15" si="1">IFERROR(E6/D6, "")</f>
        <v>9.2530226659645116</v>
      </c>
      <c r="G6" s="16"/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6743.68</v>
      </c>
      <c r="D7" s="20">
        <f>SUM(Jan!D7, Feb!D7, Mar!D7)</f>
        <v>657.23</v>
      </c>
      <c r="E7" s="20">
        <f t="shared" si="0"/>
        <v>6086.4500000000007</v>
      </c>
      <c r="F7" s="21">
        <f t="shared" si="1"/>
        <v>9.2607610729881475</v>
      </c>
      <c r="G7" s="22"/>
      <c r="H7" s="22">
        <f>SUM(Jan!H7, Feb!H7, Mar!H7)</f>
        <v>0</v>
      </c>
      <c r="I7" s="21" t="str">
        <f t="shared" si="2"/>
        <v/>
      </c>
    </row>
    <row r="8" spans="1:9" ht="15.6">
      <c r="A8" s="13">
        <v>0</v>
      </c>
      <c r="B8" s="10">
        <v>0</v>
      </c>
      <c r="C8" s="26">
        <f>SUM(Jan!C8, Feb!C8, Mar!C8)</f>
        <v>0</v>
      </c>
      <c r="D8" s="14">
        <f>SUM(Jan!D8, Feb!D8, Mar!D8)</f>
        <v>0</v>
      </c>
      <c r="E8" s="14">
        <f t="shared" si="0"/>
        <v>0</v>
      </c>
      <c r="F8" s="15" t="str">
        <f t="shared" si="1"/>
        <v/>
      </c>
      <c r="G8" s="16"/>
      <c r="H8" s="16">
        <f>SUM(Jan!H8, Feb!H8, Mar!H8)</f>
        <v>0</v>
      </c>
      <c r="I8" s="17" t="str">
        <f t="shared" si="2"/>
        <v/>
      </c>
    </row>
    <row r="9" spans="1:9" ht="15.6">
      <c r="A9" s="19">
        <v>0</v>
      </c>
      <c r="B9" s="11">
        <v>0</v>
      </c>
      <c r="C9" s="12">
        <f>SUM(Jan!C9, Feb!C9, Mar!C9)</f>
        <v>0</v>
      </c>
      <c r="D9" s="20">
        <f>SUM(Jan!D9, Feb!D9, Mar!D9)</f>
        <v>0</v>
      </c>
      <c r="E9" s="20">
        <f t="shared" si="0"/>
        <v>0</v>
      </c>
      <c r="F9" s="21" t="str">
        <f t="shared" si="1"/>
        <v/>
      </c>
      <c r="G9" s="22"/>
      <c r="H9" s="22">
        <f>SUM(Jan!H9, Feb!H9, Mar!H9)</f>
        <v>0</v>
      </c>
      <c r="I9" s="21" t="str">
        <f t="shared" si="2"/>
        <v/>
      </c>
    </row>
    <row r="10" spans="1:9" ht="15.6">
      <c r="A10" s="13">
        <v>0</v>
      </c>
      <c r="B10" s="10">
        <v>0</v>
      </c>
      <c r="C10" s="26">
        <f>SUM(Jan!C10, Feb!C10, Mar!C10)</f>
        <v>0</v>
      </c>
      <c r="D10" s="14">
        <f>SUM(Jan!D10, Feb!D10, Mar!D10)</f>
        <v>0</v>
      </c>
      <c r="E10" s="14">
        <f t="shared" si="0"/>
        <v>0</v>
      </c>
      <c r="F10" s="15" t="str">
        <f t="shared" si="1"/>
        <v/>
      </c>
      <c r="G10" s="16"/>
      <c r="H10" s="16">
        <f>SUM(Jan!H10, Feb!H10, Mar!H10)</f>
        <v>0</v>
      </c>
      <c r="I10" s="17" t="str">
        <f t="shared" si="2"/>
        <v/>
      </c>
    </row>
    <row r="11" spans="1:9" ht="15.6">
      <c r="A11" s="19">
        <v>0</v>
      </c>
      <c r="B11" s="11">
        <v>0</v>
      </c>
      <c r="C11" s="12">
        <f>SUM(Jan!C11, Feb!C11, Mar!C11)</f>
        <v>0</v>
      </c>
      <c r="D11" s="20">
        <f>SUM(Jan!D11, Feb!D11, Mar!D11)</f>
        <v>0</v>
      </c>
      <c r="E11" s="20">
        <f t="shared" si="0"/>
        <v>0</v>
      </c>
      <c r="F11" s="21" t="str">
        <f t="shared" si="1"/>
        <v/>
      </c>
      <c r="G11" s="22"/>
      <c r="H11" s="22">
        <f>SUM(Jan!H11, Feb!H11, Mar!H11)</f>
        <v>0</v>
      </c>
      <c r="I11" s="21" t="str">
        <f t="shared" si="2"/>
        <v/>
      </c>
    </row>
    <row r="12" spans="1:9" ht="15.6">
      <c r="A12" s="13">
        <v>0</v>
      </c>
      <c r="B12" s="10">
        <v>0</v>
      </c>
      <c r="C12" s="26">
        <f>SUM(Jan!C12, Feb!C12, Mar!C12)</f>
        <v>0</v>
      </c>
      <c r="D12" s="14">
        <f>SUM(Jan!D12, Feb!D12, Mar!D12)</f>
        <v>0</v>
      </c>
      <c r="E12" s="14">
        <f t="shared" si="0"/>
        <v>0</v>
      </c>
      <c r="F12" s="15" t="str">
        <f t="shared" si="1"/>
        <v/>
      </c>
      <c r="G12" s="16"/>
      <c r="H12" s="16">
        <f>SUM(Jan!H12, Feb!H12, Mar!H12)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/>
      <c r="H13" s="22">
        <f>SUM(Jan!H13, Feb!H13, Mar!H13)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/>
      <c r="H14" s="16">
        <f>SUM(Jan!H14, Feb!H14, Mar!H14)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/>
      <c r="H15" s="22">
        <f>SUM(Jan!H15, Feb!H15, Mar!H15)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E22" sqref="E22"/>
      <selection activeCell="E22" sqref="E22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LX International America, Inc.</v>
      </c>
      <c r="B1" s="38"/>
      <c r="C1" s="38"/>
      <c r="D1" s="39" t="s">
        <v>10</v>
      </c>
      <c r="E1" s="39"/>
      <c r="F1" s="39"/>
      <c r="G1" s="37" t="s">
        <v>11</v>
      </c>
      <c r="H1" s="37"/>
      <c r="I1" s="37"/>
    </row>
    <row r="2" spans="1:9" ht="19.5" customHeight="1">
      <c r="A2" s="40" t="s">
        <v>2</v>
      </c>
      <c r="B2" s="40"/>
      <c r="C2" s="6">
        <f>SUM(C4:C100)</f>
        <v>67928.789999999994</v>
      </c>
      <c r="D2" s="6">
        <f>SUM(D4:D100)</f>
        <v>6874.5</v>
      </c>
      <c r="E2" s="6">
        <f>C2-D2</f>
        <v>61054.289999999994</v>
      </c>
      <c r="F2" s="7">
        <f>IFERROR(E2/D2, 0)</f>
        <v>8.881269910538947</v>
      </c>
      <c r="G2" s="6">
        <f>SUM(G4:G100)</f>
        <v>0</v>
      </c>
      <c r="H2" s="8">
        <f>C2-G2</f>
        <v>67928.789999999994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Lake Havasu City - Police Station</v>
      </c>
      <c r="B4" s="10" t="str" cm="1">
        <f t="array" ref="B4:B24">Sites[State]</f>
        <v>AZ</v>
      </c>
      <c r="C4" s="26">
        <f>SUM(Jan!C4, Feb!C4, Mar!C4)</f>
        <v>23850.48</v>
      </c>
      <c r="D4" s="14">
        <f>SUM(Jan!D4, Feb!D4, Mar!D4)</f>
        <v>2839.44</v>
      </c>
      <c r="E4" s="14">
        <f>IF(AND(ISNUMBER(C4),ISNUMBER(D4)), C4-D4, "")</f>
        <v>21011.040000000001</v>
      </c>
      <c r="F4" s="15">
        <f>IFERROR(E4/D4, "")</f>
        <v>7.3997126193897387</v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27794.5</v>
      </c>
      <c r="D5" s="20">
        <f>SUM(Jan!D5, Feb!D5, Mar!D5)</f>
        <v>2447.36</v>
      </c>
      <c r="E5" s="20">
        <f t="shared" ref="E5:E15" si="0">IF(AND(ISNUMBER(C5),ISNUMBER(D5)), C5-D5, "")</f>
        <v>25347.14</v>
      </c>
      <c r="F5" s="21">
        <f>IFERROR(E5/D5, "")</f>
        <v>10.356931550732217</v>
      </c>
      <c r="G5" s="22">
        <f>SUM(Jan!G5, Feb!G5, Mar!G5)</f>
        <v>0</v>
      </c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9540.1299999999992</v>
      </c>
      <c r="D6" s="14">
        <f>SUM(Jan!D6, Feb!D6, Mar!D6)</f>
        <v>930.47</v>
      </c>
      <c r="E6" s="14">
        <f t="shared" si="0"/>
        <v>8609.66</v>
      </c>
      <c r="F6" s="15">
        <f t="shared" ref="F6:F15" si="1">IFERROR(E6/D6, "")</f>
        <v>9.2530226659645116</v>
      </c>
      <c r="G6" s="16">
        <f>SUM(Jan!G6, Feb!G6, Mar!G6)</f>
        <v>0</v>
      </c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6743.68</v>
      </c>
      <c r="D7" s="20">
        <f>SUM(Jan!D7, Feb!D7, Mar!D7)</f>
        <v>657.23</v>
      </c>
      <c r="E7" s="20">
        <f t="shared" si="0"/>
        <v>6086.4500000000007</v>
      </c>
      <c r="F7" s="21">
        <f t="shared" si="1"/>
        <v>9.2607610729881475</v>
      </c>
      <c r="G7" s="22">
        <f>SUM(Jan!G7, Feb!G7, Mar!G7)</f>
        <v>0</v>
      </c>
      <c r="H7" s="22">
        <f>SUM(Jan!H7, Feb!H7, Mar!H7)</f>
        <v>0</v>
      </c>
      <c r="I7" s="21" t="str">
        <f t="shared" si="2"/>
        <v/>
      </c>
    </row>
    <row r="8" spans="1:9" ht="15.6">
      <c r="A8" s="13">
        <v>0</v>
      </c>
      <c r="B8" s="10">
        <v>0</v>
      </c>
      <c r="C8" s="26">
        <f>SUM(Jan!C8, Feb!C8, Mar!C8)</f>
        <v>0</v>
      </c>
      <c r="D8" s="14">
        <f>SUM(Jan!D8, Feb!D8, Mar!D8)</f>
        <v>0</v>
      </c>
      <c r="E8" s="14">
        <f t="shared" si="0"/>
        <v>0</v>
      </c>
      <c r="F8" s="15" t="str">
        <f t="shared" si="1"/>
        <v/>
      </c>
      <c r="G8" s="16">
        <f>SUM(Jan!G8, Feb!G8, Mar!G8)</f>
        <v>0</v>
      </c>
      <c r="H8" s="16">
        <f>SUM(Jan!H8, Feb!H8, Mar!H8)</f>
        <v>0</v>
      </c>
      <c r="I8" s="17" t="str">
        <f t="shared" si="2"/>
        <v/>
      </c>
    </row>
    <row r="9" spans="1:9" ht="15.6">
      <c r="A9" s="19">
        <v>0</v>
      </c>
      <c r="B9" s="11">
        <v>0</v>
      </c>
      <c r="C9" s="12">
        <f>SUM(Jan!C9, Feb!C9, Mar!C9)</f>
        <v>0</v>
      </c>
      <c r="D9" s="20">
        <f>SUM(Jan!D9, Feb!D9, Mar!D9)</f>
        <v>0</v>
      </c>
      <c r="E9" s="20">
        <f t="shared" si="0"/>
        <v>0</v>
      </c>
      <c r="F9" s="21" t="str">
        <f t="shared" si="1"/>
        <v/>
      </c>
      <c r="G9" s="22">
        <f>SUM(Jan!G9, Feb!G9, Mar!G9)</f>
        <v>0</v>
      </c>
      <c r="H9" s="22">
        <f>SUM(Jan!H9, Feb!H9, Mar!H9)</f>
        <v>0</v>
      </c>
      <c r="I9" s="21" t="str">
        <f t="shared" si="2"/>
        <v/>
      </c>
    </row>
    <row r="10" spans="1:9" ht="15.6">
      <c r="A10" s="13">
        <v>0</v>
      </c>
      <c r="B10" s="10">
        <v>0</v>
      </c>
      <c r="C10" s="26">
        <f>SUM(Jan!C10, Feb!C10, Mar!C10)</f>
        <v>0</v>
      </c>
      <c r="D10" s="14">
        <f>SUM(Jan!D10, Feb!D10, Mar!D10)</f>
        <v>0</v>
      </c>
      <c r="E10" s="14">
        <f t="shared" si="0"/>
        <v>0</v>
      </c>
      <c r="F10" s="15" t="str">
        <f t="shared" si="1"/>
        <v/>
      </c>
      <c r="G10" s="16">
        <f>SUM(Jan!G10, Feb!G10, Mar!G10)</f>
        <v>0</v>
      </c>
      <c r="H10" s="16">
        <f>SUM(Jan!H10, Feb!H10, Mar!H10)</f>
        <v>0</v>
      </c>
      <c r="I10" s="17" t="str">
        <f t="shared" si="2"/>
        <v/>
      </c>
    </row>
    <row r="11" spans="1:9" ht="15.6">
      <c r="A11" s="19">
        <v>0</v>
      </c>
      <c r="B11" s="11">
        <v>0</v>
      </c>
      <c r="C11" s="12">
        <f>SUM(Jan!C11, Feb!C11, Mar!C11)</f>
        <v>0</v>
      </c>
      <c r="D11" s="20">
        <f>SUM(Jan!D11, Feb!D11, Mar!D11)</f>
        <v>0</v>
      </c>
      <c r="E11" s="20">
        <f t="shared" si="0"/>
        <v>0</v>
      </c>
      <c r="F11" s="21" t="str">
        <f t="shared" si="1"/>
        <v/>
      </c>
      <c r="G11" s="22">
        <f>SUM(Jan!G11, Feb!G11, Mar!G11)</f>
        <v>0</v>
      </c>
      <c r="H11" s="22">
        <f>SUM(Jan!H11, Feb!H11, Mar!H11)</f>
        <v>0</v>
      </c>
      <c r="I11" s="21" t="str">
        <f t="shared" si="2"/>
        <v/>
      </c>
    </row>
    <row r="12" spans="1:9" ht="15.6">
      <c r="A12" s="13">
        <v>0</v>
      </c>
      <c r="B12" s="10">
        <v>0</v>
      </c>
      <c r="C12" s="26">
        <f>SUM(Jan!C12, Feb!C12, Mar!C12)</f>
        <v>0</v>
      </c>
      <c r="D12" s="14">
        <f>SUM(Jan!D12, Feb!D12, Mar!D12)</f>
        <v>0</v>
      </c>
      <c r="E12" s="14">
        <f t="shared" si="0"/>
        <v>0</v>
      </c>
      <c r="F12" s="15" t="str">
        <f t="shared" si="1"/>
        <v/>
      </c>
      <c r="G12" s="16">
        <f>SUM(Jan!G12, Feb!G12, Mar!G12)</f>
        <v>0</v>
      </c>
      <c r="H12" s="16">
        <f>SUM(Jan!H12, Feb!H12, Mar!H12)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>
        <f>SUM(Jan!G13, Feb!G13, Mar!G13)</f>
        <v>0</v>
      </c>
      <c r="H13" s="22">
        <f>SUM(Jan!H13, Feb!H13, Mar!H13)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>
        <f>SUM(Jan!G14, Feb!G14, Mar!G14)</f>
        <v>0</v>
      </c>
      <c r="H14" s="16">
        <f>SUM(Jan!H14, Feb!H14, Mar!H14)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>
        <f>SUM(Jan!G15, Feb!G15, Mar!G15)</f>
        <v>0</v>
      </c>
      <c r="H15" s="22">
        <f>SUM(Jan!H15, Feb!H15, Mar!H15)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LX International America, Inc.</v>
      </c>
      <c r="B1" s="38"/>
      <c r="C1" s="38"/>
      <c r="D1" s="39" t="s">
        <v>12</v>
      </c>
      <c r="E1" s="39"/>
      <c r="F1" s="39"/>
      <c r="G1" s="37" t="s">
        <v>13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Lake Havasu City - Police Station</v>
      </c>
      <c r="B4" s="10" t="str" cm="1">
        <f t="array" ref="B4:B2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6">
      <c r="A8" s="13">
        <v>0</v>
      </c>
      <c r="B8" s="10">
        <v>0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6">
      <c r="A9" s="19">
        <v>0</v>
      </c>
      <c r="B9" s="11">
        <v>0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6">
      <c r="A10" s="13">
        <v>0</v>
      </c>
      <c r="B10" s="10">
        <v>0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6">
      <c r="A11" s="19">
        <v>0</v>
      </c>
      <c r="B11" s="11">
        <v>0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6">
      <c r="A12" s="13">
        <v>0</v>
      </c>
      <c r="B12" s="10">
        <v>0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LX International America, Inc.</v>
      </c>
      <c r="B1" s="38"/>
      <c r="C1" s="38"/>
      <c r="D1" s="39" t="s">
        <v>14</v>
      </c>
      <c r="E1" s="39"/>
      <c r="F1" s="39"/>
      <c r="G1" s="37" t="s">
        <v>15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Lake Havasu City - Police Station</v>
      </c>
      <c r="B4" s="10" t="str" cm="1">
        <f t="array" ref="B4:B2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>
        <v>0</v>
      </c>
      <c r="B8" s="10">
        <v>0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>
        <v>0</v>
      </c>
      <c r="B9" s="11">
        <v>0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>
        <v>0</v>
      </c>
      <c r="B10" s="10">
        <v>0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>
        <v>0</v>
      </c>
      <c r="B11" s="11">
        <v>0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>
        <v>0</v>
      </c>
      <c r="B12" s="10">
        <v>0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LX International America, Inc.</v>
      </c>
      <c r="B1" s="38"/>
      <c r="C1" s="38"/>
      <c r="D1" s="39" t="s">
        <v>16</v>
      </c>
      <c r="E1" s="39"/>
      <c r="F1" s="39"/>
      <c r="G1" s="37" t="s">
        <v>17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24">Sites[Site]</f>
        <v>AZ: Lake Havasu City - Police Station</v>
      </c>
      <c r="B4" s="10" t="str" cm="1">
        <f t="array" ref="B4:B2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>
        <v>0</v>
      </c>
      <c r="B8" s="10">
        <v>0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>
        <v>0</v>
      </c>
      <c r="B9" s="11">
        <v>0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>
        <v>0</v>
      </c>
      <c r="B10" s="10">
        <v>0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>
        <v>0</v>
      </c>
      <c r="B11" s="11">
        <v>0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>
        <v>0</v>
      </c>
      <c r="B12" s="10">
        <v>0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18</v>
      </c>
      <c r="E1" s="39"/>
      <c r="F1" s="39"/>
      <c r="G1" s="37" t="s">
        <v>19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SUM(C4:C99)</f>
        <v>67928.789999999994</v>
      </c>
      <c r="D2" s="6">
        <f>SUM(D4:D99)</f>
        <v>6874.5</v>
      </c>
      <c r="E2" s="6">
        <f>C2-D2</f>
        <v>61054.289999999994</v>
      </c>
      <c r="F2" s="7">
        <f>IFERROR(E2/D2, 0)</f>
        <v>8.881269910538947</v>
      </c>
      <c r="G2" s="6">
        <f>SUM(G4:G99)</f>
        <v>0</v>
      </c>
      <c r="H2" s="8">
        <f>C2-G2</f>
        <v>67928.789999999994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6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>
        <v>23850.48</v>
      </c>
      <c r="D4" s="14">
        <v>2839.44</v>
      </c>
      <c r="E4" s="14">
        <f>IF(AND(ISNUMBER(C4),ISNUMBER(D4)), C4-D4, "")</f>
        <v>21011.040000000001</v>
      </c>
      <c r="F4" s="15">
        <f>IFERROR(E4/D4, "")</f>
        <v>7.3997126193897387</v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>
        <v>27794.5</v>
      </c>
      <c r="D5" s="20">
        <v>2447.36</v>
      </c>
      <c r="E5" s="20">
        <f t="shared" ref="E5:E6" si="0">IF(AND(ISNUMBER(C5),ISNUMBER(D5)), C5-D5, "")</f>
        <v>25347.14</v>
      </c>
      <c r="F5" s="21">
        <f>IFERROR(E5/D5, "")</f>
        <v>10.356931550732217</v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>
        <v>9540.1299999999992</v>
      </c>
      <c r="D6" s="14">
        <v>930.47</v>
      </c>
      <c r="E6" s="14">
        <f t="shared" si="0"/>
        <v>8609.66</v>
      </c>
      <c r="F6" s="15">
        <f t="shared" ref="F6:F15" si="3">IFERROR(E6/D6, "")</f>
        <v>9.2530226659645116</v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>
        <v>6743.68</v>
      </c>
      <c r="D7" s="20">
        <v>657.23</v>
      </c>
      <c r="E7" s="20">
        <f t="shared" ref="E7:E15" si="4">IF(AND(ISNUMBER(C7),ISNUMBER(D7)), C7-D7, "")</f>
        <v>6086.4500000000007</v>
      </c>
      <c r="F7" s="21">
        <f t="shared" si="3"/>
        <v>9.2607610729881475</v>
      </c>
      <c r="G7" s="22"/>
      <c r="H7" s="22" t="str">
        <f t="shared" ref="H7:H15" si="5">IF(AND(ISNUMBER(C7),ISNUMBER(G7)), C7-G7, "")</f>
        <v/>
      </c>
      <c r="I7" s="21" t="str">
        <f t="shared" ref="I7:I15" si="6">IFERROR(H7/G7, "")</f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4"/>
        <v/>
      </c>
      <c r="F9" s="21" t="str">
        <f t="shared" si="3"/>
        <v/>
      </c>
      <c r="G9" s="22"/>
      <c r="H9" s="22" t="str">
        <f t="shared" si="5"/>
        <v/>
      </c>
      <c r="I9" s="21" t="str">
        <f t="shared" si="6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4"/>
        <v/>
      </c>
      <c r="F11" s="21" t="str">
        <f t="shared" si="3"/>
        <v/>
      </c>
      <c r="G11" s="22"/>
      <c r="H11" s="22" t="str">
        <f t="shared" si="5"/>
        <v/>
      </c>
      <c r="I11" s="21" t="str">
        <f t="shared" si="6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4"/>
        <v/>
      </c>
      <c r="F13" s="21" t="str">
        <f t="shared" si="3"/>
        <v/>
      </c>
      <c r="G13" s="22"/>
      <c r="H13" s="22" t="str">
        <f t="shared" si="5"/>
        <v/>
      </c>
      <c r="I13" s="21" t="str">
        <f t="shared" si="6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4"/>
        <v/>
      </c>
      <c r="F14" s="15" t="str">
        <f t="shared" si="3"/>
        <v/>
      </c>
      <c r="G14" s="16"/>
      <c r="H14" s="16" t="str">
        <f t="shared" si="5"/>
        <v/>
      </c>
      <c r="I14" s="17" t="str">
        <f t="shared" si="6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4"/>
        <v/>
      </c>
      <c r="F15" s="21" t="str">
        <f t="shared" si="3"/>
        <v/>
      </c>
      <c r="G15" s="22"/>
      <c r="H15" s="22" t="str">
        <f t="shared" si="5"/>
        <v/>
      </c>
      <c r="I15" s="21" t="str">
        <f t="shared" si="6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 t="str">
        <f t="shared" ref="E16" si="7">IF(AND(ISNUMBER(C16),ISNUMBER(D16)), C16-D16, "")</f>
        <v/>
      </c>
      <c r="F16" s="23" t="str">
        <f t="shared" ref="F16" si="8">IFERROR(E16/D16, "")</f>
        <v/>
      </c>
      <c r="G16" s="23"/>
      <c r="H16" s="23" t="str">
        <f t="shared" ref="H16" si="9">IF(AND(ISNUMBER(C16),ISNUMBER(G16)), C16-G16, "")</f>
        <v/>
      </c>
      <c r="I16" s="23" t="str">
        <f t="shared" ref="I16" si="10">IFERROR(H16/G16, "")</f>
        <v/>
      </c>
      <c r="J16" s="23"/>
      <c r="K16" s="23"/>
    </row>
    <row r="17" spans="1:11" ht="12.75" customHeight="1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99 I4:I9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22</v>
      </c>
      <c r="E1" s="39"/>
      <c r="F1" s="39"/>
      <c r="G1" s="37" t="s">
        <v>23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24</v>
      </c>
      <c r="E1" s="39"/>
      <c r="F1" s="39"/>
      <c r="G1" s="37" t="s">
        <v>25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26</v>
      </c>
      <c r="E1" s="39"/>
      <c r="F1" s="39"/>
      <c r="G1" s="37" t="s">
        <v>27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28</v>
      </c>
      <c r="E1" s="39"/>
      <c r="F1" s="39"/>
      <c r="G1" s="37" t="s">
        <v>29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30</v>
      </c>
      <c r="E1" s="39"/>
      <c r="F1" s="39"/>
      <c r="G1" s="37" t="s">
        <v>31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32</v>
      </c>
      <c r="E1" s="39"/>
      <c r="F1" s="39"/>
      <c r="G1" s="37" t="s">
        <v>33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34</v>
      </c>
      <c r="E1" s="39"/>
      <c r="F1" s="39"/>
      <c r="G1" s="37" t="s">
        <v>35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36</v>
      </c>
      <c r="E1" s="39"/>
      <c r="F1" s="39"/>
      <c r="G1" s="37" t="s">
        <v>37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38</v>
      </c>
      <c r="E1" s="39"/>
      <c r="F1" s="39"/>
      <c r="G1" s="37" t="s">
        <v>39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40</v>
      </c>
      <c r="E1" s="39"/>
      <c r="F1" s="39"/>
      <c r="G1" s="37" t="s">
        <v>41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D53" sqref="D53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LX International America, Inc.</v>
      </c>
      <c r="B1" s="38"/>
      <c r="C1" s="38"/>
      <c r="D1" s="39" t="s">
        <v>42</v>
      </c>
      <c r="E1" s="39"/>
      <c r="F1" s="39"/>
      <c r="G1" s="37" t="s">
        <v>43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Lake Havasu City - Police Station</v>
      </c>
      <c r="B4" s="31" t="str" cm="1">
        <f t="array" ref="B4:B24">Sites[State]</f>
        <v>AZ</v>
      </c>
      <c r="C4" s="26"/>
      <c r="D4" s="14"/>
      <c r="E4" s="14"/>
      <c r="F4" s="15"/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/>
      <c r="F5" s="21"/>
      <c r="G5" s="22"/>
      <c r="H5" s="22" t="str">
        <f t="shared" ref="H5:H15" si="0">IF(AND(ISNUMBER(C5),ISNUMBER(G5)), C5-G5, "")</f>
        <v/>
      </c>
      <c r="I5" s="21" t="str">
        <f t="shared" ref="I5:I15" si="1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/>
      <c r="F6" s="15"/>
      <c r="G6" s="16"/>
      <c r="H6" s="16" t="str">
        <f t="shared" si="0"/>
        <v/>
      </c>
      <c r="I6" s="17" t="str">
        <f t="shared" si="1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/>
      <c r="F7" s="21"/>
      <c r="G7" s="22"/>
      <c r="H7" s="22" t="str">
        <f t="shared" si="0"/>
        <v/>
      </c>
      <c r="I7" s="21" t="str">
        <f t="shared" si="1"/>
        <v/>
      </c>
      <c r="J7" s="11"/>
      <c r="K7" s="19"/>
    </row>
    <row r="8" spans="1:11" ht="15.6">
      <c r="A8" s="30">
        <v>0</v>
      </c>
      <c r="B8" s="31">
        <v>0</v>
      </c>
      <c r="C8" s="26"/>
      <c r="D8" s="14"/>
      <c r="E8" s="14" t="str">
        <f t="shared" ref="E8:E15" si="2">IF(AND(ISNUMBER(C8),ISNUMBER(D8)), C8-D8, "")</f>
        <v/>
      </c>
      <c r="F8" s="15" t="str">
        <f t="shared" ref="F8:F15" si="3">IFERROR(E8/D8, "")</f>
        <v/>
      </c>
      <c r="G8" s="16"/>
      <c r="H8" s="16" t="str">
        <f t="shared" si="0"/>
        <v/>
      </c>
      <c r="I8" s="17" t="str">
        <f t="shared" si="1"/>
        <v/>
      </c>
      <c r="J8" s="18"/>
      <c r="K8" s="18"/>
    </row>
    <row r="9" spans="1:11" ht="15.6">
      <c r="A9" s="32">
        <v>0</v>
      </c>
      <c r="B9" s="33">
        <v>0</v>
      </c>
      <c r="C9" s="12"/>
      <c r="D9" s="20"/>
      <c r="E9" s="20" t="str">
        <f t="shared" si="2"/>
        <v/>
      </c>
      <c r="F9" s="21" t="str">
        <f t="shared" si="3"/>
        <v/>
      </c>
      <c r="G9" s="22"/>
      <c r="H9" s="22" t="str">
        <f t="shared" si="0"/>
        <v/>
      </c>
      <c r="I9" s="21" t="str">
        <f t="shared" si="1"/>
        <v/>
      </c>
      <c r="J9" s="11"/>
      <c r="K9" s="19"/>
    </row>
    <row r="10" spans="1:11" ht="15.6">
      <c r="A10" s="30">
        <v>0</v>
      </c>
      <c r="B10" s="31">
        <v>0</v>
      </c>
      <c r="C10" s="26"/>
      <c r="D10" s="14"/>
      <c r="E10" s="14" t="str">
        <f t="shared" si="2"/>
        <v/>
      </c>
      <c r="F10" s="15" t="str">
        <f t="shared" si="3"/>
        <v/>
      </c>
      <c r="G10" s="16"/>
      <c r="H10" s="16" t="str">
        <f t="shared" si="0"/>
        <v/>
      </c>
      <c r="I10" s="17" t="str">
        <f t="shared" si="1"/>
        <v/>
      </c>
      <c r="J10" s="18"/>
      <c r="K10" s="18"/>
    </row>
    <row r="11" spans="1:11" ht="15.6">
      <c r="A11" s="32">
        <v>0</v>
      </c>
      <c r="B11" s="33">
        <v>0</v>
      </c>
      <c r="C11" s="12"/>
      <c r="D11" s="20"/>
      <c r="E11" s="20" t="str">
        <f t="shared" si="2"/>
        <v/>
      </c>
      <c r="F11" s="21" t="str">
        <f t="shared" si="3"/>
        <v/>
      </c>
      <c r="G11" s="22"/>
      <c r="H11" s="22" t="str">
        <f t="shared" si="0"/>
        <v/>
      </c>
      <c r="I11" s="21" t="str">
        <f t="shared" si="1"/>
        <v/>
      </c>
      <c r="J11" s="11"/>
      <c r="K11" s="19"/>
    </row>
    <row r="12" spans="1:11" ht="15.6">
      <c r="A12" s="30">
        <v>0</v>
      </c>
      <c r="B12" s="31">
        <v>0</v>
      </c>
      <c r="C12" s="26"/>
      <c r="D12" s="14"/>
      <c r="E12" s="14" t="str">
        <f t="shared" si="2"/>
        <v/>
      </c>
      <c r="F12" s="15" t="str">
        <f t="shared" si="3"/>
        <v/>
      </c>
      <c r="G12" s="16"/>
      <c r="H12" s="16" t="str">
        <f t="shared" si="0"/>
        <v/>
      </c>
      <c r="I12" s="17" t="str">
        <f t="shared" si="1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2"/>
        <v/>
      </c>
      <c r="F13" s="21" t="str">
        <f t="shared" si="3"/>
        <v/>
      </c>
      <c r="G13" s="22"/>
      <c r="H13" s="22" t="str">
        <f t="shared" si="0"/>
        <v/>
      </c>
      <c r="I13" s="21" t="str">
        <f t="shared" si="1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2"/>
        <v/>
      </c>
      <c r="F14" s="15" t="str">
        <f t="shared" si="3"/>
        <v/>
      </c>
      <c r="G14" s="16"/>
      <c r="H14" s="16" t="str">
        <f t="shared" si="0"/>
        <v/>
      </c>
      <c r="I14" s="17" t="str">
        <f t="shared" si="1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2"/>
        <v/>
      </c>
      <c r="F15" s="21" t="str">
        <f t="shared" si="3"/>
        <v/>
      </c>
      <c r="G15" s="22"/>
      <c r="H15" s="22" t="str">
        <f t="shared" si="0"/>
        <v/>
      </c>
      <c r="I15" s="21" t="str">
        <f t="shared" si="1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tabSelected="1"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2.6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D4" t="s">
        <v>51</v>
      </c>
      <c r="G4" s="3"/>
    </row>
    <row r="5" spans="1:7" ht="14.45">
      <c r="A5" t="s">
        <v>52</v>
      </c>
      <c r="B5" t="s">
        <v>52</v>
      </c>
      <c r="C5" s="4" t="s">
        <v>50</v>
      </c>
      <c r="D5" t="s">
        <v>51</v>
      </c>
      <c r="G5" s="3"/>
    </row>
    <row r="6" spans="1:7" ht="14.45">
      <c r="A6" t="s">
        <v>53</v>
      </c>
      <c r="B6" t="s">
        <v>53</v>
      </c>
      <c r="C6" s="4" t="s">
        <v>50</v>
      </c>
      <c r="D6" t="s">
        <v>54</v>
      </c>
      <c r="G6" s="3"/>
    </row>
    <row r="7" spans="1:7" ht="12.75" customHeight="1">
      <c r="A7" t="s">
        <v>55</v>
      </c>
      <c r="B7" t="s">
        <v>55</v>
      </c>
      <c r="C7" s="4" t="s">
        <v>50</v>
      </c>
      <c r="D7" t="s">
        <v>51</v>
      </c>
    </row>
    <row r="8" spans="1:7" ht="12.75" customHeight="1">
      <c r="A8" s="4"/>
      <c r="C8" s="4"/>
    </row>
    <row r="9" spans="1:7" ht="12.75" customHeight="1">
      <c r="A9" s="4"/>
      <c r="C9" s="4"/>
    </row>
    <row r="10" spans="1:7" ht="12.75" customHeight="1">
      <c r="A10" s="4"/>
      <c r="C10" s="4"/>
    </row>
    <row r="11" spans="1:7" ht="12.75" customHeight="1">
      <c r="A11" s="4"/>
      <c r="C11" s="4"/>
    </row>
    <row r="12" spans="1:7" ht="12.75" customHeight="1">
      <c r="A12" s="4"/>
      <c r="C12" s="4"/>
    </row>
    <row r="13" spans="1:7" ht="12.75" customHeight="1">
      <c r="A13" s="4"/>
      <c r="B13" s="4"/>
      <c r="C13" s="4"/>
    </row>
    <row r="14" spans="1:7" ht="12.75" customHeight="1">
      <c r="A14" s="4"/>
      <c r="B14" s="4"/>
      <c r="C14" s="4"/>
    </row>
    <row r="15" spans="1:7" ht="12.75" customHeight="1">
      <c r="A15" s="4"/>
      <c r="B15" s="4"/>
      <c r="C15" s="4"/>
    </row>
    <row r="16" spans="1:7" ht="12.75" customHeight="1">
      <c r="A16" s="4"/>
      <c r="B16" s="4"/>
      <c r="C16" s="4"/>
    </row>
    <row r="17" spans="1:3" ht="12.75" customHeight="1">
      <c r="A17" s="4"/>
      <c r="B17" s="4"/>
      <c r="C17" s="4"/>
    </row>
    <row r="18" spans="1:3" ht="12.75" customHeight="1">
      <c r="A18" s="4"/>
      <c r="B18" s="4"/>
      <c r="C18" s="4"/>
    </row>
    <row r="19" spans="1:3" ht="12.75" customHeight="1">
      <c r="A19" s="4"/>
      <c r="B19" s="4"/>
      <c r="C19" s="4"/>
    </row>
    <row r="20" spans="1:3" ht="12.75" customHeight="1">
      <c r="A20" s="4"/>
      <c r="B20" s="4"/>
      <c r="C20" s="4"/>
    </row>
    <row r="21" spans="1:3" ht="12.75" customHeight="1">
      <c r="A21" s="4"/>
      <c r="B21" s="4"/>
      <c r="C21" s="4"/>
    </row>
    <row r="22" spans="1:3" ht="12.75" customHeight="1">
      <c r="A22" s="4"/>
      <c r="B22" s="4"/>
      <c r="C22" s="4"/>
    </row>
    <row r="23" spans="1:3" ht="12.75" customHeight="1">
      <c r="A23" s="4"/>
      <c r="B23" s="4"/>
      <c r="C23" s="4"/>
    </row>
    <row r="24" spans="1:3" ht="12.75" customHeight="1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2024-02-08T08:09:08Z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