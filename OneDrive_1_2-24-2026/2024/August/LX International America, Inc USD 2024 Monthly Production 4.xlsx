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2" documentId="13_ncr:1_{BDD599E5-5A81-48ED-AD49-83F246AEC0F5}" xr6:coauthVersionLast="47" xr6:coauthVersionMax="47" xr10:uidLastSave="{7E490AAB-5EB8-4993-8EED-115556270B22}"/>
  <bookViews>
    <workbookView xWindow="-93" yWindow="-93" windowWidth="19386" windowHeight="11466" tabRatio="866" firstSheet="12" activeTab="12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4" l="1"/>
  <c r="D6" i="34"/>
  <c r="D7" i="34"/>
  <c r="C5" i="34"/>
  <c r="C6" i="34"/>
  <c r="C7" i="34"/>
  <c r="I7" i="72"/>
  <c r="I6" i="72"/>
  <c r="I5" i="72"/>
  <c r="I4" i="72"/>
  <c r="F7" i="72"/>
  <c r="F6" i="72"/>
  <c r="F5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72"/>
  <c r="F9" i="72" s="1"/>
  <c r="H9" i="72"/>
  <c r="I9" i="72" s="1"/>
  <c r="G6" i="1"/>
  <c r="G6" i="34" s="1"/>
  <c r="G7" i="1"/>
  <c r="G7" i="34" s="1"/>
  <c r="G5" i="1"/>
  <c r="G5" i="34" s="1"/>
  <c r="G4" i="1"/>
  <c r="G4" i="34" s="1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D4" i="29"/>
  <c r="C4" i="29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8" i="26"/>
  <c r="E8" i="26"/>
  <c r="F8" i="26" s="1"/>
  <c r="H7" i="26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E6" i="72"/>
  <c r="E7" i="72"/>
  <c r="E8" i="72"/>
  <c r="F8" i="72" s="1"/>
  <c r="H6" i="72"/>
  <c r="H7" i="72"/>
  <c r="H8" i="72"/>
  <c r="I8" i="72" s="1"/>
  <c r="H5" i="72"/>
  <c r="H4" i="72"/>
  <c r="G2" i="72"/>
  <c r="D2" i="72"/>
  <c r="C2" i="72"/>
  <c r="J2" i="72" s="1"/>
  <c r="E4" i="72"/>
  <c r="A1" i="72" a="1"/>
  <c r="A1" i="72" s="1"/>
  <c r="H7" i="29" l="1"/>
  <c r="I7" i="29" s="1"/>
  <c r="D2" i="29"/>
  <c r="E5" i="29"/>
  <c r="F5" i="29" s="1"/>
  <c r="E6" i="18"/>
  <c r="F6" i="18" s="1"/>
  <c r="H2" i="21"/>
  <c r="I2" i="21" s="1"/>
  <c r="E7" i="18"/>
  <c r="F7" i="18" s="1"/>
  <c r="D2" i="18"/>
  <c r="J2" i="21"/>
  <c r="H2" i="4"/>
  <c r="I2" i="4" s="1"/>
  <c r="J2" i="4"/>
  <c r="G2" i="34"/>
  <c r="E5" i="30"/>
  <c r="F5" i="30" s="1"/>
  <c r="E2" i="28"/>
  <c r="F2" i="28" s="1"/>
  <c r="J2" i="20"/>
  <c r="J2" i="19"/>
  <c r="H8" i="29"/>
  <c r="I8" i="29" s="1"/>
  <c r="J2" i="26"/>
  <c r="H2" i="20"/>
  <c r="I2" i="20" s="1"/>
  <c r="H2" i="27"/>
  <c r="I2" i="27" s="1"/>
  <c r="E5" i="18"/>
  <c r="F5" i="18" s="1"/>
  <c r="J2" i="28"/>
  <c r="D2" i="30"/>
  <c r="J2" i="31"/>
  <c r="H6" i="30"/>
  <c r="I6" i="30" s="1"/>
  <c r="J2" i="32"/>
  <c r="E6" i="30"/>
  <c r="F6" i="30" s="1"/>
  <c r="I6" i="33"/>
  <c r="D4" i="34"/>
  <c r="D2" i="34" s="1"/>
  <c r="E4" i="30"/>
  <c r="F4" i="30" s="1"/>
  <c r="H2" i="3"/>
  <c r="I2" i="3" s="1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I8" i="26"/>
  <c r="H4" i="29"/>
  <c r="I4" i="29" s="1"/>
  <c r="E8" i="29"/>
  <c r="F8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6" i="34"/>
  <c r="I6" i="34" s="1"/>
  <c r="H7" i="34"/>
  <c r="I7" i="34" s="1"/>
  <c r="H5" i="34"/>
  <c r="I5" i="34" s="1"/>
  <c r="E7" i="34"/>
  <c r="F7" i="34" s="1"/>
  <c r="C2" i="29"/>
  <c r="E2" i="29" s="1"/>
  <c r="F2" i="29" s="1"/>
  <c r="C2" i="30"/>
  <c r="E4" i="29"/>
  <c r="F4" i="29" s="1"/>
  <c r="C2" i="18"/>
  <c r="H7" i="1"/>
  <c r="I7" i="1" s="1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<sst xmlns="http://schemas.openxmlformats.org/spreadsheetml/2006/main" count="307" uniqueCount="73">
  <si>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</si>
  <si>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</si>
  <si>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</si>
  <si>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</si>
  <si>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</si>
  <si>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</si>
  <si>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</si>
  <si>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</si>
  <si>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</si>
  <si>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</si>
  <si>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</si>
  <si>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</si>
  <si>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</si>
  <si>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</si>
  <si>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</si>
  <si>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</si>
  <si>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</si>
  <si>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</si>
  <si>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</si>
  <si>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</si>
  <si>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</si>
  <si>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</si>
  <si>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reporting erroneous values from 09/19/2023, due to that expected energy values are too low.</t>
  </si>
  <si>
    <t>1. 	SR071003</t>
  </si>
  <si>
    <t>1. Weather station data is virtually taken from the LHC Police station, resulting in expected energy values that are too low</t>
  </si>
  <si>
    <t>1. The current weather station is analog and the current reporting is digital they do not match the weather station would need to be replaced to work correctly</t>
  </si>
  <si>
    <t>1. 		SR067178</t>
  </si>
  <si>
    <t>February Actual v. Expected</t>
  </si>
  <si>
    <t>February Actual v. Forecasted</t>
  </si>
  <si>
    <t>1. Weather station reporting erroneous values from 09/19/2023, due to that expected energy values are too low.
2. Inverter 3 is offline</t>
  </si>
  <si>
    <t>1. SR071003
2. SR081340</t>
  </si>
  <si>
    <t xml:space="preserve">1. Weather station data is virtually taken from the LHC Police station, resulting in
 expected energy values that are too low.
</t>
  </si>
  <si>
    <t>1. SR071003</t>
  </si>
  <si>
    <t xml:space="preserve">1. Weather station data is virtually taken from the LHC Police station, resulting in expected energy values that are too low.
</t>
  </si>
  <si>
    <t>1. The current weather station is analog and the current reporting is digital they do
 not match the weather station would need to be replaced to work correctly</t>
  </si>
  <si>
    <t>1. SR067178</t>
  </si>
  <si>
    <t>March Actual v. Expected</t>
  </si>
  <si>
    <t>March Actual v. Forecasted</t>
  </si>
  <si>
    <t>April Actual v. Expected</t>
  </si>
  <si>
    <t>April Actual v. Forecasted</t>
  </si>
  <si>
    <t>1. Weather station reporting erroneous values throughout the month, due to that expected energy values are too high.
2. Inverter 3 is offline</t>
  </si>
  <si>
    <t xml:space="preserve">1. Weather station data is virtually taken from the LHC Police station, resulting in
 expected energy values that are too high.
</t>
  </si>
  <si>
    <t>May Actual v. Expected</t>
  </si>
  <si>
    <t>May Actual v. Forecasted</t>
  </si>
  <si>
    <t>1. Weather station data is virtually taken from the LHC Police station, resulting in
 expected energy values that are too high.</t>
  </si>
  <si>
    <t>June Actual v. Expected</t>
  </si>
  <si>
    <t>June Actual v. Forecasted</t>
  </si>
  <si>
    <t>July Actual v. Expected</t>
  </si>
  <si>
    <t>July Actual v. Forecasted</t>
  </si>
  <si>
    <t xml:space="preserve">1. Weather station is reporting 0 irradiance for whole month. </t>
  </si>
  <si>
    <t>1. SR087716</t>
  </si>
  <si>
    <t>August Actual v. Expected</t>
  </si>
  <si>
    <t>August Actual v. Forecasted</t>
  </si>
  <si>
    <t>1. Inverter 3 is offline</t>
  </si>
  <si>
    <t>1. SR081340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</si>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</sst>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5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vertical="top" wrapText="1"/>
    </xf>
    <xf numFmtId="0" fontId="32" fillId="0" borderId="0" xfId="0" applyFont="1" applyAlignment="1">
      <alignment vertical="center"/>
    </xf>
    <xf numFmtId="49" fontId="28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 wrapText="1"/>
    </xf>
    <xf numFmtId="49" fontId="27" fillId="0" borderId="0" xfId="0" applyNumberFormat="1" applyFont="1" applyAlignment="1">
      <alignment horizontal="left" vertical="top" wrapText="1"/>
    </xf>
    <xf numFmtId="3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ySplit="2" topLeftCell="A3" activePane="bottomLeft" state="frozen"/>
      <selection pane="bottomLeft" activeCell="C21" sqref="C21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LX International America, Inc.</v>
      </c>
      <c r="B1" s="52"/>
      <c r="C1" s="52"/>
      <c r="D1" s="53" t="s">
        <v>0</v>
      </c>
      <c r="E1" s="53"/>
      <c r="F1" s="53"/>
      <c r="G1" s="51" t="s">
        <v>1</v>
      </c>
      <c r="H1" s="51"/>
      <c r="I1" s="51"/>
    </row>
    <row r="2" spans="1:9" ht="19.5" customHeight="1">
      <c r="A2" s="54" t="s">
        <v>2</v>
      </c>
      <c r="B2" s="54"/>
      <c r="C2" s="6">
        <f>SUM(C4:C92)</f>
        <v>917330.96</v>
      </c>
      <c r="D2" s="6">
        <f>SUM(D4:D92)</f>
        <v>1239414.7802999998</v>
      </c>
      <c r="E2" s="6">
        <f>C2-D2</f>
        <v>-322083.82029999979</v>
      </c>
      <c r="F2" s="7">
        <f>IFERROR(E2/D2, 0)</f>
        <v>-0.25986766126997418</v>
      </c>
      <c r="G2" s="6">
        <f>SUM(G4:G92)</f>
        <v>0</v>
      </c>
      <c r="H2" s="8">
        <f>C2-G2</f>
        <v>917330.96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330546.88</v>
      </c>
      <c r="D4" s="14">
        <f>SUM('1st Qtr'!D4, '2nd Qtr'!D4, '3rd Qtr'!D4, '4th Qtr'!D4)</f>
        <v>558829.79639999999</v>
      </c>
      <c r="E4" s="14">
        <f>IF(AND(ISNUMBER(C4),ISNUMBER(D4)), C4-D4, "")</f>
        <v>-228282.91639999999</v>
      </c>
      <c r="F4" s="15">
        <f>IFERROR(E4/D4, "")</f>
        <v>-0.40850169026527589</v>
      </c>
      <c r="G4" s="16">
        <f>SUM('1st Qtr'!G4, '2nd Qtr'!G4, '3rd Qtr'!G4, '4th Qtr'!G4)</f>
        <v>0</v>
      </c>
      <c r="H4" s="16">
        <f>SUM('1st Qtr'!H4, '2nd Qtr'!H4, '3rd Qtr'!H4, '4th Qtr'!H4)</f>
        <v>330546.88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SUM('1st Qtr'!C5, '2nd Qtr'!C5, '3rd Qtr'!C5, '4th Qtr'!C5)</f>
        <v>349983.5</v>
      </c>
      <c r="D5" s="20">
        <f>SUM('1st Qtr'!D5, '2nd Qtr'!D5, '3rd Qtr'!D5, '4th Qtr'!D5)</f>
        <v>473291.23779999994</v>
      </c>
      <c r="E5" s="20">
        <f t="shared" ref="E5:E7" si="0">IF(AND(ISNUMBER(C5),ISNUMBER(D5)), C5-D5, "")</f>
        <v>-123307.73779999994</v>
      </c>
      <c r="F5" s="21">
        <f>IFERROR(E5/D5, "")</f>
        <v>-0.26053247546515207</v>
      </c>
      <c r="G5" s="22">
        <f>SUM('1st Qtr'!G5, '2nd Qtr'!G5, '3rd Qtr'!G5, '4th Qtr'!G5)</f>
        <v>0</v>
      </c>
      <c r="H5" s="22">
        <f>SUM(Jan!H5, Feb!H5, Mar!H5)</f>
        <v>83875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SUM('1st Qtr'!C6, '2nd Qtr'!C6, '3rd Qtr'!C6, '4th Qtr'!C6)</f>
        <v>149763.75</v>
      </c>
      <c r="D6" s="14">
        <f>SUM('1st Qtr'!D6, '2nd Qtr'!D6, '3rd Qtr'!D6, '4th Qtr'!D6)</f>
        <v>205416.30609999999</v>
      </c>
      <c r="E6" s="14">
        <f t="shared" si="0"/>
        <v>-55652.556099999987</v>
      </c>
      <c r="F6" s="15">
        <f t="shared" ref="F6:F7" si="1">IFERROR(E6/D6, "")</f>
        <v>-0.27092569794779303</v>
      </c>
      <c r="G6" s="16">
        <f>SUM('1st Qtr'!G6, '2nd Qtr'!G6, '3rd Qtr'!G6, '4th Qtr'!G6)</f>
        <v>0</v>
      </c>
      <c r="H6" s="16">
        <f>SUM(Jan!H6, Feb!H6, Mar!H6)</f>
        <v>53457.25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SUM('1st Qtr'!C7, '2nd Qtr'!C7, '3rd Qtr'!C7, '4th Qtr'!C7)</f>
        <v>87036.829999999987</v>
      </c>
      <c r="D7" s="20">
        <f>SUM('1st Qtr'!D7, '2nd Qtr'!D7, '3rd Qtr'!D7, '4th Qtr'!D7)</f>
        <v>1877.44</v>
      </c>
      <c r="E7" s="20">
        <f t="shared" si="0"/>
        <v>85159.389999999985</v>
      </c>
      <c r="F7" s="21">
        <f t="shared" si="1"/>
        <v>45.359313746378035</v>
      </c>
      <c r="G7" s="22">
        <f>SUM('1st Qtr'!G7, '2nd Qtr'!G7, '3rd Qtr'!G7, '4th Qtr'!G7)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ySplit="2" topLeftCell="A3" activePane="bottomLeft" state="frozen"/>
      <selection pane="bottomLeft" activeCell="I8" sqref="I8"/>
      <selection activeCell="E22" sqref="E22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LX International America, Inc.</v>
      </c>
      <c r="B1" s="52"/>
      <c r="C1" s="52"/>
      <c r="D1" s="53" t="s">
        <v>10</v>
      </c>
      <c r="E1" s="53"/>
      <c r="F1" s="53"/>
      <c r="G1" s="51" t="s">
        <v>11</v>
      </c>
      <c r="H1" s="51"/>
      <c r="I1" s="51"/>
    </row>
    <row r="2" spans="1:9" ht="19.5" customHeight="1">
      <c r="A2" s="54" t="s">
        <v>2</v>
      </c>
      <c r="B2" s="54"/>
      <c r="C2" s="6">
        <f>SUM(C4:C92)</f>
        <v>258190.65</v>
      </c>
      <c r="D2" s="6">
        <f>SUM(D4:D92)</f>
        <v>85311.490300000005</v>
      </c>
      <c r="E2" s="6">
        <f>C2-D2</f>
        <v>172879.15969999999</v>
      </c>
      <c r="F2" s="7">
        <f>IFERROR(E2/D2, 0)</f>
        <v>2.0264463683856193</v>
      </c>
      <c r="G2" s="6">
        <f>SUM(G4:G92)</f>
        <v>0</v>
      </c>
      <c r="H2" s="8">
        <f>C2-G2</f>
        <v>258190.65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95587.13</v>
      </c>
      <c r="D4" s="14">
        <f>SUM(Jan!D4, Feb!D4, Mar!D4)</f>
        <v>34959.886400000018</v>
      </c>
      <c r="E4" s="14">
        <f>IF(AND(ISNUMBER(C4),ISNUMBER(D4)), C4-D4, "")</f>
        <v>60627.243599999987</v>
      </c>
      <c r="F4" s="15">
        <f>IFERROR(E4/D4, "")</f>
        <v>1.7341945253002868</v>
      </c>
      <c r="G4" s="16">
        <f>SUM(Jan!G4, Feb!G4, Mar!G4)</f>
        <v>0</v>
      </c>
      <c r="H4" s="16">
        <f>SUM(Jan!H4, Feb!H4, Mar!H4)</f>
        <v>95587.13</v>
      </c>
      <c r="I4" s="17" t="str">
        <f>IFERROR(H4/G4,"")</f>
        <v/>
      </c>
    </row>
    <row r="5" spans="1:9" ht="15.75">
      <c r="A5" s="19" t="str">
        <v>AZ: Lake Havasu City - Aquatic Center</v>
      </c>
      <c r="B5" s="11" t="str">
        <v>AZ</v>
      </c>
      <c r="C5" s="12">
        <f>SUM(Jan!C5, Feb!C5, Mar!C5)</f>
        <v>83875</v>
      </c>
      <c r="D5" s="20">
        <f>SUM(Jan!D5, Feb!D5, Mar!D5)</f>
        <v>20606.88779999999</v>
      </c>
      <c r="E5" s="20">
        <f t="shared" ref="E5:E7" si="0">IF(AND(ISNUMBER(C5),ISNUMBER(D5)), C5-D5, "")</f>
        <v>63268.11220000001</v>
      </c>
      <c r="F5" s="21">
        <f>IFERROR(E5/D5, "")</f>
        <v>3.0702410191217737</v>
      </c>
      <c r="G5" s="22">
        <f>SUM(Jan!G5, Feb!G5, Mar!G5)</f>
        <v>0</v>
      </c>
      <c r="H5" s="22">
        <f>SUM(Jan!H5, Feb!H5, Mar!H5)</f>
        <v>83875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SUM(Jan!C6, Feb!C6, Mar!C6)</f>
        <v>53457.25</v>
      </c>
      <c r="D6" s="14">
        <f>SUM(Jan!D6, Feb!D6, Mar!D6)</f>
        <v>27968.716099999994</v>
      </c>
      <c r="E6" s="14">
        <f t="shared" si="0"/>
        <v>25488.533900000006</v>
      </c>
      <c r="F6" s="15">
        <f t="shared" ref="F6:F7" si="1">IFERROR(E6/D6, "")</f>
        <v>0.91132298704265557</v>
      </c>
      <c r="G6" s="16">
        <f>SUM(Jan!G6, Feb!G6, Mar!G6)</f>
        <v>0</v>
      </c>
      <c r="H6" s="16">
        <f>SUM(Jan!H6, Feb!H6, Mar!H6)</f>
        <v>53457.25</v>
      </c>
      <c r="I6" s="17" t="str">
        <f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SUM(Jan!C7, Feb!C7, Mar!C7)</f>
        <v>25271.269999999997</v>
      </c>
      <c r="D7" s="20">
        <f>SUM(Jan!D7, Feb!D7, Mar!D7)</f>
        <v>1776</v>
      </c>
      <c r="E7" s="20">
        <f t="shared" si="0"/>
        <v>23495.269999999997</v>
      </c>
      <c r="F7" s="21">
        <f t="shared" si="1"/>
        <v>13.229318693693692</v>
      </c>
      <c r="G7" s="22">
        <f>SUM(Jan!G7, Feb!G7, Mar!G7)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2.95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D20" sqref="D20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LX International America, Inc.</v>
      </c>
      <c r="B1" s="52"/>
      <c r="C1" s="52"/>
      <c r="D1" s="53" t="s">
        <v>12</v>
      </c>
      <c r="E1" s="53"/>
      <c r="F1" s="53"/>
      <c r="G1" s="51" t="s">
        <v>13</v>
      </c>
      <c r="H1" s="51"/>
      <c r="I1" s="51"/>
    </row>
    <row r="2" spans="1:9" ht="19.5" customHeight="1">
      <c r="A2" s="54" t="s">
        <v>2</v>
      </c>
      <c r="B2" s="54"/>
      <c r="C2" s="6">
        <f>SUM(C4:C93)</f>
        <v>405380.08999999997</v>
      </c>
      <c r="D2" s="6">
        <f>SUM(D4:D93)</f>
        <v>709269.28999999992</v>
      </c>
      <c r="E2" s="6">
        <f>C2-D2</f>
        <v>-303889.19999999995</v>
      </c>
      <c r="F2" s="7">
        <f>IFERROR(E2/D2, 0)</f>
        <v>-0.4284539092338257</v>
      </c>
      <c r="G2" s="6">
        <f>SUM(G4:G93)</f>
        <v>0</v>
      </c>
      <c r="H2" s="8">
        <f>C2-G2</f>
        <v>405380.08999999997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144342</v>
      </c>
      <c r="D4" s="14">
        <f>SUM(Apr!D4, May!D4, Jun!D4)</f>
        <v>322778.90999999997</v>
      </c>
      <c r="E4" s="14">
        <f>IF(AND(ISNUMBER(C4),ISNUMBER(D4)), C4-D4, "")</f>
        <v>-178436.90999999997</v>
      </c>
      <c r="F4" s="15">
        <f>IFERROR(E4/D4, "")</f>
        <v>-0.55281464950730519</v>
      </c>
      <c r="G4" s="16"/>
      <c r="H4" s="16">
        <f>SUM(Apr!H4, May!H4, Jun!H4)</f>
        <v>144342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SUM(Apr!C5, May!C5, Jun!C5)</f>
        <v>162858.5</v>
      </c>
      <c r="D5" s="20">
        <f>SUM(Apr!D5, May!D5, Jun!D5)</f>
        <v>279326.34999999998</v>
      </c>
      <c r="E5" s="20">
        <f t="shared" ref="E5:E7" si="0">IF(AND(ISNUMBER(C5),ISNUMBER(D5)), C5-D5, "")</f>
        <v>-116467.84999999998</v>
      </c>
      <c r="F5" s="21">
        <f>IFERROR(E5/D5, "")</f>
        <v>-0.41695976766960935</v>
      </c>
      <c r="G5" s="22"/>
      <c r="H5" s="22">
        <f>SUM(Apr!H5, May!H5, Jun!H5)</f>
        <v>162858.5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SUM(Apr!C6, May!C6, Jun!C6)</f>
        <v>59647.75</v>
      </c>
      <c r="D6" s="14">
        <f>SUM(Apr!D6, May!D6, Jun!D6)</f>
        <v>107062.59</v>
      </c>
      <c r="E6" s="14">
        <f t="shared" si="0"/>
        <v>-47414.84</v>
      </c>
      <c r="F6" s="15">
        <f t="shared" ref="F6:F7" si="1">IFERROR(E6/D6, "")</f>
        <v>-0.44287028737115364</v>
      </c>
      <c r="G6" s="16"/>
      <c r="H6" s="16">
        <f>SUM(Apr!H6, May!H6, Jun!H6)</f>
        <v>59647.75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SUM(Apr!C7, May!C7, Jun!C7)</f>
        <v>38531.839999999997</v>
      </c>
      <c r="D7" s="20">
        <f>SUM(Apr!D7, May!D7, Jun!D7)</f>
        <v>101.44</v>
      </c>
      <c r="E7" s="20">
        <f t="shared" si="0"/>
        <v>38430.399999999994</v>
      </c>
      <c r="F7" s="21">
        <f t="shared" si="1"/>
        <v>378.84858044164031</v>
      </c>
      <c r="G7" s="22"/>
      <c r="H7" s="22">
        <f>SUM(Apr!H7, May!H7, Jun!H7)</f>
        <v>38531.839999999997</v>
      </c>
      <c r="I7" s="21" t="str">
        <f t="shared" si="2"/>
        <v/>
      </c>
    </row>
    <row r="8" spans="1:9" ht="15.75">
      <c r="A8" s="19"/>
      <c r="B8" s="11"/>
      <c r="C8" s="12"/>
      <c r="D8" s="20"/>
      <c r="E8" s="20"/>
      <c r="F8" s="21"/>
      <c r="G8" s="22"/>
      <c r="H8" s="22"/>
      <c r="I8" s="21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G4" sqref="G4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LX International America, Inc.</v>
      </c>
      <c r="B1" s="52"/>
      <c r="C1" s="52"/>
      <c r="D1" s="53" t="s">
        <v>14</v>
      </c>
      <c r="E1" s="53"/>
      <c r="F1" s="53"/>
      <c r="G1" s="51" t="s">
        <v>15</v>
      </c>
      <c r="H1" s="51"/>
      <c r="I1" s="51"/>
    </row>
    <row r="2" spans="1:9" ht="19.5" customHeight="1">
      <c r="A2" s="54" t="s">
        <v>2</v>
      </c>
      <c r="B2" s="54"/>
      <c r="C2" s="6">
        <f>SUM(C4:C93)</f>
        <v>253760.22</v>
      </c>
      <c r="D2" s="6">
        <f>SUM(D4:D93)</f>
        <v>444834</v>
      </c>
      <c r="E2" s="6">
        <f>C2-D2</f>
        <v>-191073.78</v>
      </c>
      <c r="F2" s="7">
        <f>IFERROR(E2/D2, 0)</f>
        <v>-0.42953951361631532</v>
      </c>
      <c r="G2" s="6">
        <f>SUM(G4:G93)</f>
        <v>0</v>
      </c>
      <c r="H2" s="8">
        <f>C2-G2</f>
        <v>253760.22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90617.75</v>
      </c>
      <c r="D4" s="14">
        <f>SUM(Jul!D4, Aug!D4, Sep!D4)</f>
        <v>201091</v>
      </c>
      <c r="E4" s="14">
        <f>IF(AND(ISNUMBER(C4),ISNUMBER(D4)), C4-D4, "")</f>
        <v>-110473.25</v>
      </c>
      <c r="F4" s="15">
        <f>IFERROR(E4/D4, "")</f>
        <v>-0.54936943970640162</v>
      </c>
      <c r="G4" s="16"/>
      <c r="H4" s="16">
        <f>SUM(Jul!H4, Aug!H4, Sep!H4)</f>
        <v>90617.75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SUM(Jul!C5, Aug!C5, Sep!C5)</f>
        <v>103250</v>
      </c>
      <c r="D5" s="20">
        <f>SUM(Jul!D5, Aug!D5, Sep!D5)</f>
        <v>173358</v>
      </c>
      <c r="E5" s="20">
        <f t="shared" ref="E5:E8" si="0">IF(AND(ISNUMBER(C5),ISNUMBER(D5)), C5-D5, "")</f>
        <v>-70108</v>
      </c>
      <c r="F5" s="21">
        <f>IFERROR(E5/D5, "")</f>
        <v>-0.40441167987632531</v>
      </c>
      <c r="G5" s="22"/>
      <c r="H5" s="22">
        <f>SUM(Jul!H5, Aug!H5, Sep!H5)</f>
        <v>103250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SUM(Jul!C6, Aug!C6, Sep!C6)</f>
        <v>36658.75</v>
      </c>
      <c r="D6" s="14">
        <f>SUM(Jul!D6, Aug!D6, Sep!D6)</f>
        <v>70385</v>
      </c>
      <c r="E6" s="14">
        <f t="shared" si="0"/>
        <v>-33726.25</v>
      </c>
      <c r="F6" s="15">
        <f t="shared" ref="F6:F8" si="1">IFERROR(E6/D6, "")</f>
        <v>-0.47916814662214963</v>
      </c>
      <c r="G6" s="16"/>
      <c r="H6" s="16">
        <f>SUM(Jul!H6, Aug!H6, Sep!H6)</f>
        <v>36658.75</v>
      </c>
      <c r="I6" s="17" t="str">
        <f t="shared" ref="I6:I8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SUM(Jul!C7, Aug!C7, Sep!C7)</f>
        <v>23233.72</v>
      </c>
      <c r="D7" s="20">
        <f>SUM(Jul!D7, Aug!D7, Sep!D7)</f>
        <v>0</v>
      </c>
      <c r="E7" s="20">
        <f t="shared" si="0"/>
        <v>23233.72</v>
      </c>
      <c r="F7" s="21" t="str">
        <f t="shared" si="1"/>
        <v/>
      </c>
      <c r="G7" s="22"/>
      <c r="H7" s="22">
        <f>SUM(Jul!H7, Aug!H7, Sep!H7)</f>
        <v>23233.72</v>
      </c>
      <c r="I7" s="21" t="str">
        <f t="shared" si="2"/>
        <v/>
      </c>
    </row>
    <row r="8" spans="1:9" ht="15.75">
      <c r="A8" s="19"/>
      <c r="B8" s="11"/>
      <c r="C8" s="12">
        <f>SUM(Jul!C8, Aug!C8, Sep!C8)</f>
        <v>0</v>
      </c>
      <c r="D8" s="20">
        <f>SUM(Jul!D8, Aug!D8, Sep!D8)</f>
        <v>0</v>
      </c>
      <c r="E8" s="20">
        <f t="shared" si="0"/>
        <v>0</v>
      </c>
      <c r="F8" s="21" t="str">
        <f t="shared" si="1"/>
        <v/>
      </c>
      <c r="G8" s="22"/>
      <c r="H8" s="22">
        <f>SUM(Jul!H8, Aug!H8, Sep!H8)</f>
        <v>0</v>
      </c>
      <c r="I8" s="21" t="str">
        <f t="shared" si="2"/>
        <v/>
      </c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2.95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2.95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2.95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2.95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2.95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3" activePane="bottomLeft" state="frozen"/>
      <selection pane="bottomLeft" activeCell="A8" sqref="A8"/>
      <selection activeCell="G24" sqref="G2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2" t="str" cm="1">
        <f t="array" ref="A1">portfolio</f>
        <v>LX International America, Inc.</v>
      </c>
      <c r="B1" s="52"/>
      <c r="C1" s="52"/>
      <c r="D1" s="53" t="s">
        <v>16</v>
      </c>
      <c r="E1" s="53"/>
      <c r="F1" s="53"/>
      <c r="G1" s="51" t="s">
        <v>17</v>
      </c>
      <c r="H1" s="51"/>
      <c r="I1" s="51"/>
    </row>
    <row r="2" spans="1:9" ht="19.5" customHeight="1">
      <c r="A2" s="54" t="s">
        <v>2</v>
      </c>
      <c r="B2" s="54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75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75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75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/>
      <c r="H6" s="16">
        <f>SUM(Oct!H6, Nov!H6, Dec!H6)</f>
        <v>0</v>
      </c>
      <c r="I6" s="17" t="str">
        <f t="shared" ref="I6:I7" si="2">IFERROR(H6/G6, "")</f>
        <v/>
      </c>
    </row>
    <row r="7" spans="1:9" ht="15.75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2.95">
      <c r="A9" s="23"/>
      <c r="B9" s="23"/>
      <c r="C9" s="23"/>
      <c r="D9" s="23"/>
      <c r="E9" s="23"/>
      <c r="F9" s="23"/>
      <c r="G9" s="23"/>
      <c r="H9" s="23"/>
      <c r="I9" s="23"/>
    </row>
    <row r="10" spans="1:9" ht="12.95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95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2.95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2.95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2.95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2.95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2.95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2.95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2.95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2.95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2.95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2.95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2.95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2.95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2.95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2.95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2.95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2.95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2.95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2.95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2.95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2.95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2.95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2.95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2.95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2.95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2.95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2.95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2.95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2.95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2.95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2.95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2.95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2.95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2.95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2.95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2.95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2.95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2.95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2.95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2.95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2.95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2.95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2.95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2.95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2.95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2.95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2.95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2.95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2.95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2.95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2.95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2.95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2.95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2.95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2.95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2.95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2.95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2.95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2.95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2.95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2.95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2.95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2.95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2.95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2.95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2.95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2.95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2.95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2.95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2.95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2.95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2.95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2.95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2.95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2.95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2.95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2.95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2.95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2.95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2.95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2.95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2.95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2.95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2.95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2.95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2.95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2.95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2.95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2.95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2.95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2.95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2.95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2.95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2.95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2.95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2.95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2.95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2.95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2.95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2.95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2.95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2.95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2.95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2.95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2.95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2.95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2.95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2.95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2.95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2.95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2.95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2.95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2.95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2.95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2.95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2.95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2.95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2.95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2.95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2.95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2.95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2.95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2.95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2.95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2.95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2.95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2.95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2.95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2.95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2.95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2.95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2.95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2.95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2.95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2.95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2.95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2.95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2.95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2.95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2.95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2.95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2.95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2.95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2.95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2.95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2.95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2.95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2.95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2.95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2.95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2.95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2.95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2.95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2.95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2.95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2.95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2.95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2.95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2.95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2.95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2.95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2.95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2.95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2.95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2.95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2.95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2.95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2.95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2.95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2.95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2.95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2.95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2.95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2.95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2.95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2.95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2.95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2.95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2.95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2.95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2.95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2.95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2.95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2.95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2.95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2.95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2.95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2.95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2.95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2.95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2.95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2.95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2.95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2.95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2.95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2.95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2.95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2.95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2.95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2.95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2.95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2.95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2.95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2.95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2.95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2.95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2.95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2.95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2.95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2.95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2.95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2.95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2.95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2.95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2.95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2.95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2.95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2.95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2.95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2.95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2.95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2.95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2.95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2.95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2.95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2.95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2.95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2.95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2.95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2.95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2.95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2.95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2.95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2.95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2.95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2.95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2.95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2.95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2.95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2.95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2.95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2.95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2.95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2.95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2.95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2.95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2.95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2.95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2.95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2.95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2.95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2.95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2.95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2.95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2.95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2.95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2.95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2.95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2.95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2.95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2.95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2.95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2.95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2.95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2.95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2.95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2.95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2.95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2.95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2.95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2.95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2.95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2.95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2.95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2.95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2.95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2.95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2.95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2.95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2.95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2.95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2.95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2.95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2.95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2.95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2.95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2.95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2.95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2.95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2.95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2.95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2.95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2.95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2.95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2.95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2.95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2.95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2.95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2.95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2.95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2.95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2.95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2.95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2.95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2.95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2.95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2.95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2.95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2.95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2.95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2.95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2.95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2.95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2.95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2.95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2.95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2.95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2.95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2.95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2.95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2.95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2.95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4"/>
  <sheetViews>
    <sheetView workbookViewId="0">
      <pane ySplit="3" topLeftCell="A4" activePane="bottomLeft" state="frozen"/>
      <selection pane="bottomLeft" activeCell="K7" sqref="K7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18</v>
      </c>
      <c r="E1" s="53"/>
      <c r="F1" s="53"/>
      <c r="G1" s="51" t="s">
        <v>19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SUM(C4:C92)</f>
        <v>67928.5</v>
      </c>
      <c r="D2" s="6">
        <f>SUM(D4:D92)</f>
        <v>6873</v>
      </c>
      <c r="E2" s="6">
        <f>C2-D2</f>
        <v>61055.5</v>
      </c>
      <c r="F2" s="7">
        <f>IFERROR(E2/D2, 0)</f>
        <v>8.88338425723847</v>
      </c>
      <c r="G2" s="6">
        <f>SUM(G4:G92)</f>
        <v>0</v>
      </c>
      <c r="H2" s="8">
        <f>C2-G2</f>
        <v>67928.5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7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23850</v>
      </c>
      <c r="D4" s="14">
        <v>2839</v>
      </c>
      <c r="E4" s="14">
        <f>IF(AND(ISNUMBER(C4),ISNUMBER(D4)), C4-D4, "")</f>
        <v>21011</v>
      </c>
      <c r="F4" s="15">
        <f>IFERROR(E4/D4,0)</f>
        <v>7.4008453680873547</v>
      </c>
      <c r="G4" s="16">
        <v>0</v>
      </c>
      <c r="H4" s="16">
        <f>IF(AND(ISNUMBER(C4),ISNUMBER(G4)), C4-G4, "")</f>
        <v>23850</v>
      </c>
      <c r="I4" s="17">
        <f>IFERROR(H4/G4, 0)</f>
        <v>0</v>
      </c>
      <c r="J4" s="18" t="s">
        <v>22</v>
      </c>
      <c r="K4" s="18" t="s">
        <v>23</v>
      </c>
    </row>
    <row r="5" spans="1:11" ht="28.7">
      <c r="A5" s="32" t="str">
        <v>AZ: Lake Havasu City - Aquatic Center</v>
      </c>
      <c r="B5" s="33" t="str">
        <v>AZ</v>
      </c>
      <c r="C5" s="12">
        <v>27794.5</v>
      </c>
      <c r="D5" s="20">
        <v>2447</v>
      </c>
      <c r="E5" s="20">
        <f t="shared" ref="E5:E6" si="0">IF(AND(ISNUMBER(C5),ISNUMBER(D5)), C5-D5, "")</f>
        <v>25347.5</v>
      </c>
      <c r="F5" s="21">
        <f>IFERROR(E5/D5, 0)</f>
        <v>10.358602370249285</v>
      </c>
      <c r="G5" s="22">
        <v>0</v>
      </c>
      <c r="H5" s="22">
        <f t="shared" ref="H5:H6" si="1">IF(AND(ISNUMBER(C5),ISNUMBER(G5)), C5-G5, "")</f>
        <v>27794.5</v>
      </c>
      <c r="I5" s="21">
        <f>IFERROR(H5/G5, 0)</f>
        <v>0</v>
      </c>
      <c r="J5" s="43" t="s">
        <v>24</v>
      </c>
      <c r="K5" s="44" t="s">
        <v>23</v>
      </c>
    </row>
    <row r="6" spans="1:11" ht="28.7">
      <c r="A6" s="30" t="str">
        <v>AZ: Lake Havasu City - City Hall</v>
      </c>
      <c r="B6" s="31" t="str">
        <v>AZ</v>
      </c>
      <c r="C6" s="26">
        <v>9540</v>
      </c>
      <c r="D6" s="14">
        <v>930</v>
      </c>
      <c r="E6" s="14">
        <f t="shared" si="0"/>
        <v>8610</v>
      </c>
      <c r="F6" s="15">
        <f>IFERROR(E6/D6, 0)</f>
        <v>9.258064516129032</v>
      </c>
      <c r="G6" s="16">
        <v>0</v>
      </c>
      <c r="H6" s="16">
        <f t="shared" si="1"/>
        <v>9540</v>
      </c>
      <c r="I6" s="17">
        <f>IFERROR(H6/G6, 0)</f>
        <v>0</v>
      </c>
      <c r="J6" s="18" t="s">
        <v>24</v>
      </c>
      <c r="K6" s="18" t="s">
        <v>23</v>
      </c>
    </row>
    <row r="7" spans="1:11" ht="28.7">
      <c r="A7" s="32" t="str">
        <v>AZ: Lake Havasu City - Public Works</v>
      </c>
      <c r="B7" s="33" t="str">
        <v>AZ</v>
      </c>
      <c r="C7" s="12">
        <v>6744</v>
      </c>
      <c r="D7" s="20">
        <v>657</v>
      </c>
      <c r="E7" s="20">
        <f t="shared" ref="E7:E8" si="2">IF(AND(ISNUMBER(C7),ISNUMBER(D7)), C7-D7, "")</f>
        <v>6087</v>
      </c>
      <c r="F7" s="21">
        <f>IFERROR(E7/D7, 0)</f>
        <v>9.2648401826484026</v>
      </c>
      <c r="G7" s="22">
        <v>0</v>
      </c>
      <c r="H7" s="22">
        <f t="shared" ref="H7:H8" si="3">IF(AND(ISNUMBER(C7),ISNUMBER(G7)), C7-G7, "")</f>
        <v>6744</v>
      </c>
      <c r="I7" s="21">
        <f>IFERROR(H7/G7, 0)</f>
        <v>0</v>
      </c>
      <c r="J7" s="43" t="s">
        <v>25</v>
      </c>
      <c r="K7" s="44" t="s">
        <v>26</v>
      </c>
    </row>
    <row r="8" spans="1:11" ht="15.75">
      <c r="A8" s="32"/>
      <c r="B8" s="33"/>
      <c r="C8" s="12"/>
      <c r="D8" s="20"/>
      <c r="E8" s="20" t="str">
        <f t="shared" si="2"/>
        <v/>
      </c>
      <c r="F8" s="21" t="str">
        <f t="shared" ref="F8" si="4">IFERROR(E8/D8, "")</f>
        <v/>
      </c>
      <c r="G8" s="22"/>
      <c r="H8" s="22" t="str">
        <f t="shared" si="3"/>
        <v/>
      </c>
      <c r="I8" s="21" t="str">
        <f t="shared" ref="I8" si="5">IFERROR(H8/G8, "")</f>
        <v/>
      </c>
      <c r="J8" s="11"/>
      <c r="K8" s="19"/>
    </row>
    <row r="9" spans="1:11" ht="14.45">
      <c r="A9" s="23"/>
      <c r="B9" s="35"/>
      <c r="C9" s="23"/>
      <c r="D9" s="23"/>
      <c r="E9" s="23" t="str">
        <f t="shared" ref="E9" si="6">IF(AND(ISNUMBER(C9),ISNUMBER(D9)), C9-D9, "")</f>
        <v/>
      </c>
      <c r="F9" s="23" t="str">
        <f t="shared" ref="F9" si="7">IFERROR(E9/D9, "")</f>
        <v/>
      </c>
      <c r="G9" s="23"/>
      <c r="H9" s="23" t="str">
        <f t="shared" ref="H9" si="8">IF(AND(ISNUMBER(C9),ISNUMBER(G9)), C9-G9, "")</f>
        <v/>
      </c>
      <c r="I9" s="23" t="str">
        <f t="shared" ref="I9" si="9">IFERROR(H9/G9, "")</f>
        <v/>
      </c>
      <c r="J9" s="23"/>
      <c r="K9" s="23"/>
    </row>
    <row r="10" spans="1:11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 F4:F92 I4:I92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5"/>
  <sheetViews>
    <sheetView workbookViewId="0">
      <pane ySplit="2" topLeftCell="A3" activePane="bottomLeft" state="frozen"/>
      <selection pane="bottomLeft" activeCell="G18" sqref="G18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27</v>
      </c>
      <c r="E1" s="53"/>
      <c r="F1" s="53"/>
      <c r="G1" s="51" t="s">
        <v>28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78555</v>
      </c>
      <c r="D2" s="6">
        <f>SUM(D4:D93)</f>
        <v>50964</v>
      </c>
      <c r="E2" s="6">
        <f>C2-D2</f>
        <v>27591</v>
      </c>
      <c r="F2" s="7">
        <f>IFERROR(E2/D2, 0)</f>
        <v>0.54138215210736995</v>
      </c>
      <c r="G2" s="6">
        <f>SUM(G4:G93)</f>
        <v>0</v>
      </c>
      <c r="H2" s="8">
        <f>C2-G2</f>
        <v>78555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9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32012</v>
      </c>
      <c r="D4" s="14">
        <v>19847</v>
      </c>
      <c r="E4" s="14">
        <f>IF(AND(ISNUMBER(C4),ISNUMBER(D4)), C4-D4, "")</f>
        <v>12165</v>
      </c>
      <c r="F4" s="15">
        <f>IFERROR(E4/D4, "")</f>
        <v>0.61293898322164564</v>
      </c>
      <c r="G4" s="16">
        <v>0</v>
      </c>
      <c r="H4" s="16">
        <f>IF(AND(ISNUMBER(C4),ISNUMBER(G4)), C4-G4, "")</f>
        <v>32012</v>
      </c>
      <c r="I4" s="17" t="str">
        <f>IFERROR(H4/G4, "")</f>
        <v/>
      </c>
      <c r="J4" s="18" t="s">
        <v>29</v>
      </c>
      <c r="K4" s="18" t="s">
        <v>30</v>
      </c>
    </row>
    <row r="5" spans="1:11" ht="36" customHeight="1">
      <c r="A5" s="32" t="str">
        <v>AZ: Lake Havasu City - Aquatic Center</v>
      </c>
      <c r="B5" s="33" t="str">
        <v>AZ</v>
      </c>
      <c r="C5" s="12">
        <v>11202</v>
      </c>
      <c r="D5" s="20">
        <v>7563</v>
      </c>
      <c r="E5" s="20">
        <f t="shared" ref="E5:E8" si="0">IF(AND(ISNUMBER(C5),ISNUMBER(D5)), C5-D5, "")</f>
        <v>3639</v>
      </c>
      <c r="F5" s="21">
        <f>IFERROR(E5/D5, "")</f>
        <v>0.48115827052756843</v>
      </c>
      <c r="G5" s="22">
        <v>0</v>
      </c>
      <c r="H5" s="22">
        <f t="shared" ref="H5:H8" si="1">IF(AND(ISNUMBER(C5),ISNUMBER(G5)), C5-G5, "")</f>
        <v>11202</v>
      </c>
      <c r="I5" s="21" t="str">
        <f t="shared" ref="I5:I8" si="2">IFERROR(H5/G5, "")</f>
        <v/>
      </c>
      <c r="J5" s="45" t="s">
        <v>31</v>
      </c>
      <c r="K5" s="44" t="s">
        <v>32</v>
      </c>
    </row>
    <row r="6" spans="1:11" ht="42.95">
      <c r="A6" s="30" t="str">
        <v>AZ: Lake Havasu City - City Hall</v>
      </c>
      <c r="B6" s="31" t="str">
        <v>AZ</v>
      </c>
      <c r="C6" s="26">
        <v>27630</v>
      </c>
      <c r="D6" s="14">
        <v>22995</v>
      </c>
      <c r="E6" s="14">
        <f t="shared" si="0"/>
        <v>4635</v>
      </c>
      <c r="F6" s="15">
        <f t="shared" ref="F6:F8" si="3">IFERROR(E6/D6, "")</f>
        <v>0.20156555772994128</v>
      </c>
      <c r="G6" s="16">
        <v>0</v>
      </c>
      <c r="H6" s="16">
        <f t="shared" si="1"/>
        <v>27630</v>
      </c>
      <c r="I6" s="17" t="str">
        <f t="shared" si="2"/>
        <v/>
      </c>
      <c r="J6" s="18" t="s">
        <v>33</v>
      </c>
      <c r="K6" s="18" t="s">
        <v>23</v>
      </c>
    </row>
    <row r="7" spans="1:11" ht="28.7">
      <c r="A7" s="32" t="str">
        <v>AZ: Lake Havasu City - Public Works</v>
      </c>
      <c r="B7" s="33" t="str">
        <v>AZ</v>
      </c>
      <c r="C7" s="12">
        <v>7711</v>
      </c>
      <c r="D7" s="20">
        <v>559</v>
      </c>
      <c r="E7" s="20">
        <f t="shared" si="0"/>
        <v>7152</v>
      </c>
      <c r="F7" s="21">
        <f t="shared" si="3"/>
        <v>12.794275491949911</v>
      </c>
      <c r="G7" s="22">
        <v>0</v>
      </c>
      <c r="H7" s="22">
        <f t="shared" si="1"/>
        <v>7711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5"/>
  <sheetViews>
    <sheetView topLeftCell="C1" workbookViewId="0">
      <pane ySplit="2" topLeftCell="A3" activePane="bottomLeft" state="frozen"/>
      <selection pane="bottomLeft" activeCell="J7" sqref="J7:K7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36</v>
      </c>
      <c r="E1" s="53"/>
      <c r="F1" s="53"/>
      <c r="G1" s="51" t="s">
        <v>37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111707.15000000001</v>
      </c>
      <c r="D2" s="6">
        <f>SUM(D4:D93)</f>
        <v>27474.490299999998</v>
      </c>
      <c r="E2" s="6">
        <f>C2-D2</f>
        <v>84232.659700000018</v>
      </c>
      <c r="F2" s="7">
        <f>IFERROR(E2/D2, 0)</f>
        <v>3.0658497675569261</v>
      </c>
      <c r="G2" s="6">
        <f>SUM(G4:G93)</f>
        <v>0</v>
      </c>
      <c r="H2" s="8">
        <f>C2-G2</f>
        <v>111707.15000000001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9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39725.130000000005</v>
      </c>
      <c r="D4" s="14">
        <v>12273.886400000016</v>
      </c>
      <c r="E4" s="14">
        <f>IF(AND(ISNUMBER(C4),ISNUMBER(D4)), C4-D4, "")</f>
        <v>27451.243599999987</v>
      </c>
      <c r="F4" s="15">
        <f>IFERROR(E4/D4, "")</f>
        <v>2.2365567600495271</v>
      </c>
      <c r="G4" s="16">
        <v>0</v>
      </c>
      <c r="H4" s="16">
        <f>IF(AND(ISNUMBER(C4),ISNUMBER(G4)), C4-G4, "")</f>
        <v>39725.130000000005</v>
      </c>
      <c r="I4" s="17" t="str">
        <f>IFERROR(H4/G4, "")</f>
        <v/>
      </c>
      <c r="J4" s="18" t="s">
        <v>29</v>
      </c>
      <c r="K4" s="18" t="s">
        <v>30</v>
      </c>
    </row>
    <row r="5" spans="1:11" ht="42.95">
      <c r="A5" s="32" t="str">
        <v>AZ: Lake Havasu City - Aquatic Center</v>
      </c>
      <c r="B5" s="33" t="str">
        <v>AZ</v>
      </c>
      <c r="C5" s="12">
        <v>44878.5</v>
      </c>
      <c r="D5" s="20">
        <v>10596.887799999988</v>
      </c>
      <c r="E5" s="20">
        <f t="shared" ref="E5:E8" si="0">IF(AND(ISNUMBER(C5),ISNUMBER(D5)), C5-D5, "")</f>
        <v>34281.61220000001</v>
      </c>
      <c r="F5" s="21">
        <f>IFERROR(E5/D5, "")</f>
        <v>3.2350641855432358</v>
      </c>
      <c r="G5" s="46">
        <v>0</v>
      </c>
      <c r="H5" s="22">
        <f t="shared" ref="H5:H8" si="1">IF(AND(ISNUMBER(C5),ISNUMBER(G5)), C5-G5, "")</f>
        <v>44878.5</v>
      </c>
      <c r="I5" s="21" t="str">
        <f t="shared" ref="I5:I8" si="2">IFERROR(H5/G5, "")</f>
        <v/>
      </c>
      <c r="J5" s="45" t="s">
        <v>31</v>
      </c>
      <c r="K5" s="47" t="s">
        <v>32</v>
      </c>
    </row>
    <row r="6" spans="1:11" ht="42.95">
      <c r="A6" s="30" t="str">
        <v>AZ: Lake Havasu City - City Hall</v>
      </c>
      <c r="B6" s="31" t="str">
        <v>AZ</v>
      </c>
      <c r="C6" s="26">
        <v>16287.25</v>
      </c>
      <c r="D6" s="14">
        <v>4043.7160999999942</v>
      </c>
      <c r="E6" s="14">
        <f t="shared" si="0"/>
        <v>12243.533900000006</v>
      </c>
      <c r="F6" s="15">
        <f t="shared" ref="F6:F8" si="3">IFERROR(E6/D6, "")</f>
        <v>3.0277926533962223</v>
      </c>
      <c r="G6" s="16">
        <v>0</v>
      </c>
      <c r="H6" s="16">
        <f t="shared" si="1"/>
        <v>16287.25</v>
      </c>
      <c r="I6" s="17" t="str">
        <f t="shared" si="2"/>
        <v/>
      </c>
      <c r="J6" s="18" t="s">
        <v>33</v>
      </c>
      <c r="K6" s="18" t="s">
        <v>23</v>
      </c>
    </row>
    <row r="7" spans="1:11" ht="28.7">
      <c r="A7" s="32" t="str">
        <v>AZ: Lake Havasu City - Public Works</v>
      </c>
      <c r="B7" s="33" t="str">
        <v>AZ</v>
      </c>
      <c r="C7" s="12">
        <v>10816.269999999999</v>
      </c>
      <c r="D7" s="20">
        <v>560</v>
      </c>
      <c r="E7" s="20">
        <f t="shared" si="0"/>
        <v>10256.269999999999</v>
      </c>
      <c r="F7" s="21">
        <f t="shared" si="3"/>
        <v>18.314767857142854</v>
      </c>
      <c r="G7" s="23">
        <v>0</v>
      </c>
      <c r="H7" s="22">
        <f t="shared" si="1"/>
        <v>10816.269999999999</v>
      </c>
      <c r="I7" s="21" t="str">
        <f t="shared" si="2"/>
        <v/>
      </c>
      <c r="J7" s="43" t="s">
        <v>34</v>
      </c>
      <c r="K7" s="47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5"/>
  <sheetViews>
    <sheetView workbookViewId="0">
      <pane ySplit="2" topLeftCell="A3" activePane="bottomLeft" state="frozen"/>
      <selection pane="bottomLeft" activeCell="K7" sqref="K7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38</v>
      </c>
      <c r="E1" s="53"/>
      <c r="F1" s="53"/>
      <c r="G1" s="51" t="s">
        <v>39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130413.03</v>
      </c>
      <c r="D2" s="6">
        <f>SUM(D4:D93)</f>
        <v>217957.05</v>
      </c>
      <c r="E2" s="6">
        <f>C2-D2</f>
        <v>-87544.01999999999</v>
      </c>
      <c r="F2" s="7">
        <f>IFERROR(E2/D2, 0)</f>
        <v>-0.40165720723417753</v>
      </c>
      <c r="G2" s="6">
        <f>SUM(G4:G93)</f>
        <v>0</v>
      </c>
      <c r="H2" s="8">
        <f>C2-G2</f>
        <v>130413.03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9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46701.5</v>
      </c>
      <c r="D4" s="14">
        <v>99177.37</v>
      </c>
      <c r="E4" s="14">
        <f>IF(AND(ISNUMBER(C4),ISNUMBER(D4)), C4-D4, "")</f>
        <v>-52475.869999999995</v>
      </c>
      <c r="F4" s="15">
        <f>IFERROR(E4/D4, "")</f>
        <v>-0.52911132852181897</v>
      </c>
      <c r="G4" s="16">
        <v>0</v>
      </c>
      <c r="H4" s="16">
        <f>IF(AND(ISNUMBER(C4),ISNUMBER(G4)), C4-G4, "")</f>
        <v>46701.5</v>
      </c>
      <c r="I4" s="17" t="str">
        <f>IFERROR(H4/G4, "")</f>
        <v/>
      </c>
      <c r="J4" s="18" t="s">
        <v>40</v>
      </c>
      <c r="K4" s="18" t="s">
        <v>30</v>
      </c>
    </row>
    <row r="5" spans="1:11" ht="42.95">
      <c r="A5" s="32" t="str">
        <v>AZ: Lake Havasu City - Aquatic Center</v>
      </c>
      <c r="B5" s="33" t="str">
        <v>AZ</v>
      </c>
      <c r="C5" s="12">
        <v>51881.5</v>
      </c>
      <c r="D5" s="20">
        <v>85809.38</v>
      </c>
      <c r="E5" s="20">
        <f t="shared" ref="E5:E8" si="0">IF(AND(ISNUMBER(C5),ISNUMBER(D5)), C5-D5, "")</f>
        <v>-33927.880000000005</v>
      </c>
      <c r="F5" s="21">
        <f>IFERROR(E5/D5, "")</f>
        <v>-0.39538661158022587</v>
      </c>
      <c r="G5" s="22">
        <v>0</v>
      </c>
      <c r="H5" s="22">
        <f t="shared" ref="H5:H8" si="1">IF(AND(ISNUMBER(C5),ISNUMBER(G5)), C5-G5, "")</f>
        <v>51881.5</v>
      </c>
      <c r="I5" s="21" t="str">
        <f t="shared" ref="I5:I8" si="2">IFERROR(H5/G5, "")</f>
        <v/>
      </c>
      <c r="J5" s="43" t="s">
        <v>41</v>
      </c>
      <c r="K5" s="43" t="s">
        <v>32</v>
      </c>
    </row>
    <row r="6" spans="1:11" ht="42.95">
      <c r="A6" s="30" t="str">
        <v>AZ: Lake Havasu City - City Hall</v>
      </c>
      <c r="B6" s="31" t="str">
        <v>AZ</v>
      </c>
      <c r="C6" s="26">
        <v>19242.75</v>
      </c>
      <c r="D6" s="14">
        <v>32875.86</v>
      </c>
      <c r="E6" s="14">
        <f t="shared" si="0"/>
        <v>-13633.11</v>
      </c>
      <c r="F6" s="15">
        <f t="shared" ref="F6:F8" si="3">IFERROR(E6/D6, "")</f>
        <v>-0.41468451319600463</v>
      </c>
      <c r="G6" s="16">
        <v>0</v>
      </c>
      <c r="H6" s="16">
        <f t="shared" si="1"/>
        <v>19242.75</v>
      </c>
      <c r="I6" s="17" t="str">
        <f t="shared" si="2"/>
        <v/>
      </c>
      <c r="J6" s="18" t="s">
        <v>41</v>
      </c>
      <c r="K6" s="18" t="s">
        <v>32</v>
      </c>
    </row>
    <row r="7" spans="1:11" ht="28.7">
      <c r="A7" s="32" t="str">
        <v>AZ: Lake Havasu City - Public Works</v>
      </c>
      <c r="B7" s="33" t="str">
        <v>AZ</v>
      </c>
      <c r="C7" s="12">
        <v>12587.28</v>
      </c>
      <c r="D7" s="20">
        <v>94.44</v>
      </c>
      <c r="E7" s="20">
        <f t="shared" si="0"/>
        <v>12492.84</v>
      </c>
      <c r="F7" s="21">
        <f t="shared" si="3"/>
        <v>132.28335451080051</v>
      </c>
      <c r="G7" s="22">
        <v>0</v>
      </c>
      <c r="H7" s="22">
        <f t="shared" si="1"/>
        <v>12587.28</v>
      </c>
      <c r="I7" s="21" t="str">
        <f t="shared" si="2"/>
        <v/>
      </c>
      <c r="J7" s="43" t="s">
        <v>34</v>
      </c>
      <c r="K7" s="43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D7" sqref="D7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42</v>
      </c>
      <c r="E1" s="53"/>
      <c r="F1" s="53"/>
      <c r="G1" s="51" t="s">
        <v>43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141493</v>
      </c>
      <c r="D2" s="6">
        <f>SUM(D4:D93)</f>
        <v>235615</v>
      </c>
      <c r="E2" s="6">
        <f>C2-D2</f>
        <v>-94122</v>
      </c>
      <c r="F2" s="7">
        <f>IFERROR(E2/D2, 0)</f>
        <v>-0.39947371771746282</v>
      </c>
      <c r="G2" s="6">
        <f>SUM(G4:G93)</f>
        <v>0</v>
      </c>
      <c r="H2" s="8">
        <f>C2-G2</f>
        <v>141493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60" customHeight="1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50781</v>
      </c>
      <c r="D4" s="14">
        <v>107267</v>
      </c>
      <c r="E4" s="14">
        <f>IF(AND(ISNUMBER(C4),ISNUMBER(D4)), C4-D4, "")</f>
        <v>-56486</v>
      </c>
      <c r="F4" s="15">
        <f>IFERROR(E4/D4, "")</f>
        <v>-0.52659252146512903</v>
      </c>
      <c r="G4" s="16">
        <v>0</v>
      </c>
      <c r="H4" s="16">
        <f>IF(AND(ISNUMBER(C4),ISNUMBER(G4)), C4-G4, "")</f>
        <v>50781</v>
      </c>
      <c r="I4" s="17" t="str">
        <f>IFERROR(H4/G4, "")</f>
        <v/>
      </c>
      <c r="J4" s="18" t="s">
        <v>40</v>
      </c>
      <c r="K4" s="18" t="s">
        <v>30</v>
      </c>
    </row>
    <row r="5" spans="1:11" ht="49.5" customHeight="1">
      <c r="A5" s="32" t="str">
        <v>AZ: Lake Havasu City - Aquatic Center</v>
      </c>
      <c r="B5" s="33" t="str">
        <v>AZ</v>
      </c>
      <c r="C5" s="12">
        <v>56251</v>
      </c>
      <c r="D5" s="20">
        <v>92798</v>
      </c>
      <c r="E5" s="20">
        <f t="shared" ref="E5:E8" si="0">IF(AND(ISNUMBER(C5),ISNUMBER(D5)), C5-D5, "")</f>
        <v>-36547</v>
      </c>
      <c r="F5" s="21">
        <f>IFERROR(E5/D5, "")</f>
        <v>-0.39383391883445762</v>
      </c>
      <c r="G5" s="22">
        <v>0</v>
      </c>
      <c r="H5" s="22">
        <f t="shared" ref="H5:H8" si="1">IF(AND(ISNUMBER(C5),ISNUMBER(G5)), C5-G5, "")</f>
        <v>56251</v>
      </c>
      <c r="I5" s="21" t="str">
        <f t="shared" ref="I5:I8" si="2">IFERROR(H5/G5, "")</f>
        <v/>
      </c>
      <c r="J5" s="48" t="s">
        <v>44</v>
      </c>
      <c r="K5" s="49" t="s">
        <v>32</v>
      </c>
    </row>
    <row r="6" spans="1:11" ht="43.5" customHeight="1">
      <c r="A6" s="30" t="str">
        <v>AZ: Lake Havasu City - City Hall</v>
      </c>
      <c r="B6" s="31" t="str">
        <v>AZ</v>
      </c>
      <c r="C6" s="26">
        <v>21077</v>
      </c>
      <c r="D6" s="14">
        <v>35543</v>
      </c>
      <c r="E6" s="14">
        <f t="shared" si="0"/>
        <v>-14466</v>
      </c>
      <c r="F6" s="15">
        <f t="shared" ref="F6:F8" si="3">IFERROR(E6/D6, "")</f>
        <v>-0.40699997186506487</v>
      </c>
      <c r="G6" s="16">
        <v>0</v>
      </c>
      <c r="H6" s="16">
        <f t="shared" si="1"/>
        <v>21077</v>
      </c>
      <c r="I6" s="17" t="str">
        <f t="shared" si="2"/>
        <v/>
      </c>
      <c r="J6" s="18" t="s">
        <v>44</v>
      </c>
      <c r="K6" s="18" t="s">
        <v>32</v>
      </c>
    </row>
    <row r="7" spans="1:11" ht="28.7">
      <c r="A7" s="32" t="str">
        <v>AZ: Lake Havasu City - Public Works</v>
      </c>
      <c r="B7" s="33" t="str">
        <v>AZ</v>
      </c>
      <c r="C7" s="12">
        <v>13384</v>
      </c>
      <c r="D7" s="20">
        <v>7</v>
      </c>
      <c r="E7" s="20">
        <f t="shared" si="0"/>
        <v>13377</v>
      </c>
      <c r="F7" s="21">
        <f t="shared" si="3"/>
        <v>1911</v>
      </c>
      <c r="G7" s="22">
        <v>0</v>
      </c>
      <c r="H7" s="22">
        <f t="shared" si="1"/>
        <v>13384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zoomScale="80" zoomScaleNormal="80" workbookViewId="0">
      <pane ySplit="2" topLeftCell="A3" activePane="bottomLeft" state="frozen"/>
      <selection pane="bottomLeft" activeCell="E4" sqref="E4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45</v>
      </c>
      <c r="E1" s="53"/>
      <c r="F1" s="53"/>
      <c r="G1" s="51" t="s">
        <v>46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133474.06</v>
      </c>
      <c r="D2" s="6">
        <f>SUM(D4:D93)</f>
        <v>255697.24000000002</v>
      </c>
      <c r="E2" s="6">
        <f>C2-D2</f>
        <v>-122223.18000000002</v>
      </c>
      <c r="F2" s="7">
        <f>IFERROR(E2/D2, 0)</f>
        <v>-0.47799960609664777</v>
      </c>
      <c r="G2" s="6">
        <f>SUM(G4:G93)</f>
        <v>0</v>
      </c>
      <c r="H2" s="8">
        <f>C2-G2</f>
        <v>133474.06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9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46859.5</v>
      </c>
      <c r="D4" s="14">
        <v>116334.54</v>
      </c>
      <c r="E4" s="14">
        <f>IF(AND(ISNUMBER(C4),ISNUMBER(D4)), C4-D4, "")</f>
        <v>-69475.039999999994</v>
      </c>
      <c r="F4" s="15">
        <f>IFERROR(E4/D4, "")</f>
        <v>-0.59720045310704795</v>
      </c>
      <c r="G4" s="16">
        <v>0</v>
      </c>
      <c r="H4" s="16">
        <f>IF(AND(ISNUMBER(C4),ISNUMBER(G4)), C4-G4, "")</f>
        <v>46859.5</v>
      </c>
      <c r="I4" s="17" t="str">
        <f>IFERROR(H4/G4, "")</f>
        <v/>
      </c>
      <c r="J4" s="18" t="s">
        <v>40</v>
      </c>
      <c r="K4" s="18" t="s">
        <v>30</v>
      </c>
    </row>
    <row r="5" spans="1:11" ht="28.7">
      <c r="A5" s="32" t="str">
        <v>AZ: Lake Havasu City - Aquatic Center</v>
      </c>
      <c r="B5" s="33" t="str">
        <v>AZ</v>
      </c>
      <c r="C5" s="12">
        <v>54726</v>
      </c>
      <c r="D5" s="20">
        <v>100718.97</v>
      </c>
      <c r="E5" s="20">
        <f t="shared" ref="E5:E8" si="0">IF(AND(ISNUMBER(C5),ISNUMBER(D5)), C5-D5, "")</f>
        <v>-45992.97</v>
      </c>
      <c r="F5" s="21">
        <f>IFERROR(E5/D5, "")</f>
        <v>-0.45664654831160406</v>
      </c>
      <c r="G5" s="22">
        <v>0</v>
      </c>
      <c r="H5" s="22">
        <f t="shared" ref="H5:H8" si="1">IF(AND(ISNUMBER(C5),ISNUMBER(G5)), C5-G5, "")</f>
        <v>54726</v>
      </c>
      <c r="I5" s="21" t="str">
        <f t="shared" ref="I5:I8" si="2">IFERROR(H5/G5, "")</f>
        <v/>
      </c>
      <c r="J5" s="43" t="s">
        <v>44</v>
      </c>
      <c r="K5" s="49" t="s">
        <v>32</v>
      </c>
    </row>
    <row r="6" spans="1:11" ht="28.7">
      <c r="A6" s="30" t="str">
        <v>AZ: Lake Havasu City - City Hall</v>
      </c>
      <c r="B6" s="31" t="str">
        <v>AZ</v>
      </c>
      <c r="C6" s="26">
        <v>19328</v>
      </c>
      <c r="D6" s="14">
        <v>38643.730000000003</v>
      </c>
      <c r="E6" s="14">
        <f t="shared" si="0"/>
        <v>-19315.730000000003</v>
      </c>
      <c r="F6" s="15">
        <f t="shared" ref="F6:F8" si="3">IFERROR(E6/D6, "")</f>
        <v>-0.49984124203331309</v>
      </c>
      <c r="G6" s="16">
        <v>0</v>
      </c>
      <c r="H6" s="16">
        <f t="shared" si="1"/>
        <v>19328</v>
      </c>
      <c r="I6" s="17" t="str">
        <f t="shared" si="2"/>
        <v/>
      </c>
      <c r="J6" s="18" t="s">
        <v>44</v>
      </c>
      <c r="K6" s="18" t="s">
        <v>32</v>
      </c>
    </row>
    <row r="7" spans="1:11" ht="42.75" customHeight="1">
      <c r="A7" s="32" t="str">
        <v>AZ: Lake Havasu City - Public Works</v>
      </c>
      <c r="B7" s="33" t="str">
        <v>AZ</v>
      </c>
      <c r="C7" s="12">
        <v>12560.56</v>
      </c>
      <c r="D7" s="20">
        <v>0</v>
      </c>
      <c r="E7" s="20">
        <f t="shared" si="0"/>
        <v>12560.56</v>
      </c>
      <c r="F7" s="21" t="str">
        <f t="shared" si="3"/>
        <v/>
      </c>
      <c r="G7" s="22">
        <v>0</v>
      </c>
      <c r="H7" s="22">
        <f t="shared" si="1"/>
        <v>12560.56</v>
      </c>
      <c r="I7" s="21" t="str">
        <f t="shared" si="2"/>
        <v/>
      </c>
      <c r="J7" s="43" t="s">
        <v>34</v>
      </c>
      <c r="K7" s="44" t="s">
        <v>35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C3" activePane="bottomLeft" state="frozen"/>
      <selection pane="bottomLeft" activeCell="J4" sqref="J4:K7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47</v>
      </c>
      <c r="E1" s="53"/>
      <c r="F1" s="53"/>
      <c r="G1" s="51" t="s">
        <v>48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131670.22</v>
      </c>
      <c r="D2" s="6">
        <f>SUM(D4:D93)</f>
        <v>261135</v>
      </c>
      <c r="E2" s="6">
        <f>C2-D2</f>
        <v>-129464.78</v>
      </c>
      <c r="F2" s="7">
        <f>IFERROR(E2/D2, 0)</f>
        <v>-0.49577720336224557</v>
      </c>
      <c r="G2" s="6">
        <f>SUM(G4:G93)</f>
        <v>0</v>
      </c>
      <c r="H2" s="8">
        <f>C2-G2</f>
        <v>131670.22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2.9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46849.75</v>
      </c>
      <c r="D4" s="14">
        <v>118817</v>
      </c>
      <c r="E4" s="14">
        <f>IF(AND(ISNUMBER(C4),ISNUMBER(D4)), C4-D4, "")</f>
        <v>-71967.25</v>
      </c>
      <c r="F4" s="15">
        <f>IFERROR(E4/D4, "")</f>
        <v>-0.60569825866668914</v>
      </c>
      <c r="G4" s="16">
        <v>0</v>
      </c>
      <c r="H4" s="16">
        <f>IF(AND(ISNUMBER(C4),ISNUMBER(G4)), C4-G4, "")</f>
        <v>46849.75</v>
      </c>
      <c r="I4" s="17" t="str">
        <f>IFERROR(H4/G4, "")</f>
        <v/>
      </c>
      <c r="J4" s="18" t="s">
        <v>40</v>
      </c>
      <c r="K4" s="18" t="s">
        <v>30</v>
      </c>
    </row>
    <row r="5" spans="1:11" ht="28.7">
      <c r="A5" s="32" t="str">
        <v>AZ: Lake Havasu City - Aquatic Center</v>
      </c>
      <c r="B5" s="33" t="str">
        <v>AZ</v>
      </c>
      <c r="C5" s="12">
        <v>53557</v>
      </c>
      <c r="D5" s="20">
        <v>102861</v>
      </c>
      <c r="E5" s="20">
        <f t="shared" ref="E5:E8" si="0">IF(AND(ISNUMBER(C5),ISNUMBER(D5)), C5-D5, "")</f>
        <v>-49304</v>
      </c>
      <c r="F5" s="21">
        <f>IFERROR(E5/D5, "")</f>
        <v>-0.47932646970183063</v>
      </c>
      <c r="G5" s="22">
        <v>0</v>
      </c>
      <c r="H5" s="22">
        <f t="shared" ref="H5:H8" si="1">IF(AND(ISNUMBER(C5),ISNUMBER(G5)), C5-G5, "")</f>
        <v>53557</v>
      </c>
      <c r="I5" s="21" t="str">
        <f t="shared" ref="I5:I8" si="2">IFERROR(H5/G5, "")</f>
        <v/>
      </c>
      <c r="J5" s="43" t="s">
        <v>44</v>
      </c>
      <c r="K5" s="43" t="s">
        <v>32</v>
      </c>
    </row>
    <row r="6" spans="1:11" ht="28.7">
      <c r="A6" s="30" t="str">
        <v>AZ: Lake Havasu City - City Hall</v>
      </c>
      <c r="B6" s="31" t="str">
        <v>AZ</v>
      </c>
      <c r="C6" s="26">
        <v>19060.75</v>
      </c>
      <c r="D6" s="14">
        <v>39457</v>
      </c>
      <c r="E6" s="14">
        <f t="shared" si="0"/>
        <v>-20396.25</v>
      </c>
      <c r="F6" s="15">
        <f t="shared" ref="F6:F8" si="3">IFERROR(E6/D6, "")</f>
        <v>-0.51692348632688745</v>
      </c>
      <c r="G6" s="16">
        <v>0</v>
      </c>
      <c r="H6" s="16">
        <f t="shared" si="1"/>
        <v>19060.75</v>
      </c>
      <c r="I6" s="17" t="str">
        <f t="shared" si="2"/>
        <v/>
      </c>
      <c r="J6" s="18" t="s">
        <v>44</v>
      </c>
      <c r="K6" s="18" t="s">
        <v>32</v>
      </c>
    </row>
    <row r="7" spans="1:11" ht="15.75">
      <c r="A7" s="32" t="str">
        <v>AZ: Lake Havasu City - Public Works</v>
      </c>
      <c r="B7" s="33" t="str">
        <v>AZ</v>
      </c>
      <c r="C7" s="12">
        <v>12202.72</v>
      </c>
      <c r="D7" s="20">
        <v>0</v>
      </c>
      <c r="E7" s="20">
        <f t="shared" si="0"/>
        <v>12202.72</v>
      </c>
      <c r="F7" s="21" t="str">
        <f t="shared" si="3"/>
        <v/>
      </c>
      <c r="G7" s="22">
        <v>0</v>
      </c>
      <c r="H7" s="22">
        <f t="shared" si="1"/>
        <v>12202.72</v>
      </c>
      <c r="I7" s="21" t="str">
        <f t="shared" si="2"/>
        <v/>
      </c>
      <c r="J7" s="47" t="s">
        <v>49</v>
      </c>
      <c r="K7" s="47" t="s">
        <v>50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tabSelected="1" workbookViewId="0">
      <pane ySplit="2" topLeftCell="A3" activePane="bottomLeft" state="frozen"/>
      <selection pane="bottomLeft" activeCell="J7" sqref="J7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51</v>
      </c>
      <c r="E1" s="53"/>
      <c r="F1" s="53"/>
      <c r="G1" s="51" t="s">
        <v>52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122090</v>
      </c>
      <c r="D2" s="6">
        <f>SUM(D4:D93)</f>
        <v>183699</v>
      </c>
      <c r="E2" s="6">
        <f>C2-D2</f>
        <v>-61609</v>
      </c>
      <c r="F2" s="7">
        <f>IFERROR(E2/D2, 0)</f>
        <v>-0.33538015993554676</v>
      </c>
      <c r="G2" s="6">
        <f>SUM(G4:G93)</f>
        <v>0</v>
      </c>
      <c r="H2" s="8">
        <f>C2-G2</f>
        <v>122090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50">
        <v>43768</v>
      </c>
      <c r="D4" s="14">
        <v>82274</v>
      </c>
      <c r="E4" s="14">
        <f>IF(AND(ISNUMBER(C4),ISNUMBER(D4)), C4-D4, "")</f>
        <v>-38506</v>
      </c>
      <c r="F4" s="15">
        <f>IFERROR(E4/D4, "")</f>
        <v>-0.46802148917033326</v>
      </c>
      <c r="G4" s="16">
        <v>0</v>
      </c>
      <c r="H4" s="16">
        <f>IF(AND(ISNUMBER(C4),ISNUMBER(G4)), C4-G4, "")</f>
        <v>43768</v>
      </c>
      <c r="I4" s="17" t="str">
        <f>IFERROR(H4/G4, "")</f>
        <v/>
      </c>
      <c r="J4" s="18" t="s">
        <v>53</v>
      </c>
      <c r="K4" s="18" t="s">
        <v>54</v>
      </c>
    </row>
    <row r="5" spans="1:11" ht="15.75">
      <c r="A5" s="32" t="str">
        <v>AZ: Lake Havasu City - Aquatic Center</v>
      </c>
      <c r="B5" s="33" t="str">
        <v>AZ</v>
      </c>
      <c r="C5" s="12">
        <v>49693</v>
      </c>
      <c r="D5" s="20">
        <v>70497</v>
      </c>
      <c r="E5" s="20">
        <f t="shared" ref="E5:E8" si="0">IF(AND(ISNUMBER(C5),ISNUMBER(D5)), C5-D5, "")</f>
        <v>-20804</v>
      </c>
      <c r="F5" s="21">
        <f>IFERROR(E5/D5, "")</f>
        <v>-0.2951047562307616</v>
      </c>
      <c r="G5" s="22">
        <v>0</v>
      </c>
      <c r="H5" s="22">
        <f t="shared" ref="H5:H8" si="1">IF(AND(ISNUMBER(C5),ISNUMBER(G5)), C5-G5, "")</f>
        <v>49693</v>
      </c>
      <c r="I5" s="21" t="str">
        <f t="shared" ref="I5:I8" si="2">IFERROR(H5/G5, "")</f>
        <v/>
      </c>
      <c r="J5" s="43"/>
      <c r="K5" s="43"/>
    </row>
    <row r="6" spans="1:11" ht="15.75">
      <c r="A6" s="30" t="str">
        <v>AZ: Lake Havasu City - City Hall</v>
      </c>
      <c r="B6" s="31" t="str">
        <v>AZ</v>
      </c>
      <c r="C6" s="26">
        <v>17598</v>
      </c>
      <c r="D6" s="14">
        <v>30928</v>
      </c>
      <c r="E6" s="14">
        <f t="shared" si="0"/>
        <v>-13330</v>
      </c>
      <c r="F6" s="15">
        <f t="shared" ref="F6:F8" si="3">IFERROR(E6/D6, "")</f>
        <v>-0.43100103466114847</v>
      </c>
      <c r="G6" s="16">
        <v>0</v>
      </c>
      <c r="H6" s="16">
        <f t="shared" si="1"/>
        <v>17598</v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>
        <v>11031</v>
      </c>
      <c r="D7" s="20">
        <v>0</v>
      </c>
      <c r="E7" s="20">
        <f t="shared" si="0"/>
        <v>11031</v>
      </c>
      <c r="F7" s="21" t="str">
        <f t="shared" si="3"/>
        <v/>
      </c>
      <c r="G7" s="22">
        <v>0</v>
      </c>
      <c r="H7" s="22">
        <f t="shared" si="1"/>
        <v>11031</v>
      </c>
      <c r="I7" s="21" t="str">
        <f t="shared" si="2"/>
        <v/>
      </c>
      <c r="J7" s="47" t="s">
        <v>49</v>
      </c>
      <c r="K7" s="47" t="s">
        <v>50</v>
      </c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55</v>
      </c>
      <c r="E1" s="53"/>
      <c r="F1" s="53"/>
      <c r="G1" s="51" t="s">
        <v>56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ySplit="2" topLeftCell="A3" activePane="bottomLeft" state="frozen"/>
      <selection pane="bottomLeft" activeCell="A8" sqref="A8:XFD14"/>
      <selection activeCell="A8" sqref="A8:XFD14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57</v>
      </c>
      <c r="E1" s="53"/>
      <c r="F1" s="53"/>
      <c r="G1" s="51" t="s">
        <v>58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1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workbookViewId="0">
      <pane ySplit="2" topLeftCell="A3" activePane="bottomLeft" state="frozen"/>
      <selection pane="bottomLeft" activeCell="A8" sqref="A8:XFD14"/>
      <selection activeCell="A6" sqref="A6:A15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59</v>
      </c>
      <c r="E1" s="53"/>
      <c r="F1" s="53"/>
      <c r="G1" s="51" t="s">
        <v>60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workbookViewId="0">
      <pane ySplit="2" topLeftCell="A8" activePane="bottomLeft" state="frozen"/>
      <selection pane="bottomLeft" activeCell="F27" sqref="F27"/>
    </sheetView>
  </sheetViews>
  <sheetFormatPr defaultRowHeight="13.7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2" t="str" cm="1">
        <f t="array" ref="A1">portfolio</f>
        <v>LX International America, Inc.</v>
      </c>
      <c r="B1" s="52"/>
      <c r="C1" s="52"/>
      <c r="D1" s="53" t="s">
        <v>61</v>
      </c>
      <c r="E1" s="53"/>
      <c r="F1" s="53"/>
      <c r="G1" s="51" t="s">
        <v>62</v>
      </c>
      <c r="H1" s="51"/>
      <c r="I1" s="51"/>
      <c r="J1" s="5"/>
      <c r="K1" s="5"/>
    </row>
    <row r="2" spans="1:11" ht="19.5" customHeight="1">
      <c r="A2" s="54" t="s">
        <v>2</v>
      </c>
      <c r="B2" s="54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7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75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75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75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75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1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63</v>
      </c>
      <c r="B1" t="s">
        <v>64</v>
      </c>
    </row>
    <row r="3" spans="1:7">
      <c r="A3" t="s">
        <v>65</v>
      </c>
      <c r="B3" t="s">
        <v>3</v>
      </c>
      <c r="C3" t="s">
        <v>4</v>
      </c>
      <c r="D3" t="s">
        <v>66</v>
      </c>
      <c r="E3" s="2" t="s">
        <v>67</v>
      </c>
    </row>
    <row r="4" spans="1:7" ht="14.45">
      <c r="A4" t="s">
        <v>68</v>
      </c>
      <c r="B4" t="s">
        <v>68</v>
      </c>
      <c r="C4" s="4" t="s">
        <v>69</v>
      </c>
      <c r="G4" s="3"/>
    </row>
    <row r="5" spans="1:7" ht="14.45">
      <c r="A5" t="s">
        <v>70</v>
      </c>
      <c r="B5" t="s">
        <v>70</v>
      </c>
      <c r="C5" s="4" t="s">
        <v>69</v>
      </c>
      <c r="G5" s="3"/>
    </row>
    <row r="6" spans="1:7" ht="14.45">
      <c r="A6" t="s">
        <v>71</v>
      </c>
      <c r="B6" t="s">
        <v>71</v>
      </c>
      <c r="C6" s="4" t="s">
        <v>69</v>
      </c>
      <c r="G6" s="3"/>
    </row>
    <row r="7" spans="1:7" ht="12.75" customHeight="1">
      <c r="A7" t="s">
        <v>72</v>
      </c>
      <c r="B7" t="s">
        <v>72</v>
      </c>
      <c r="C7" s="4" t="s">
        <v>69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��
</file>

<file path=customXml/item6.xml>��
</file>

<file path=customXml/item7.xml>��
</file>

<file path=customXml/item8.xml>��
</file>

<file path=customXml/item9.xml>��
</file>

<file path=customXml/item10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BE26B669-A686-459C-A5E9-FEC3409C4C81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5E454C0A-6D67-4D07-A8FE-3A608C018B60}"/>
</file>

<file path=customXml/itemProps4.xml><?xml version="1.0" encoding="utf-8"?>
<ds:datastoreItem xmlns:ds="http://schemas.openxmlformats.org/officeDocument/2006/customXml" ds:itemID="{7946C510-7D04-49D8-9B25-EEC04582A1CA}"/>
</file>

<file path=customXml/itemProps5.xml><?xml version="1.0" encoding="utf-8"?>
<ds:datastoreItem xmlns:ds="http://schemas.openxmlformats.org/officeDocument/2006/customXml" ds:itemID="{2BC74AAC-D69B-4AF1-9649-B21EF3C1C463}"/>
</file>

<file path=customXml/itemProps6.xml><?xml version="1.0" encoding="utf-8"?>
<ds:datastoreItem xmlns:ds="http://schemas.openxmlformats.org/officeDocument/2006/customXml" ds:itemID="{CB52044A-5C0B-44A2-99D0-C1C315EC302D}"/>
</file>

<file path=customXml/itemProps7.xml><?xml version="1.0" encoding="utf-8"?>
<ds:datastoreItem xmlns:ds="http://schemas.openxmlformats.org/officeDocument/2006/customXml" ds:itemID="{98A113BB-8B7A-453C-8BD4-8EFC67FC2D3F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D3A7101F-9A85-4235-8B03-415370C100B2}"/>
</file>

<file path=customXml/itemProps10.xml><?xml version="1.0" encoding="utf-8"?>
<ds:datastoreItem xmlns:ds="http://schemas.openxmlformats.org/officeDocument/2006/customXml" ds:itemID="{8D732231-4216-4543-A665-18A2886B0EB7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E20E8303-6A67-485C-B6F4-303542CC295C}"/>
</file>

<file path=customXml/itemProps13.xml><?xml version="1.0" encoding="utf-8"?>
<ds:datastoreItem xmlns:ds="http://schemas.openxmlformats.org/officeDocument/2006/customXml" ds:itemID="{89CF5C07-45EB-4100-9AFB-2C6AF77FA787}"/>
</file>

<file path=customXml/itemProps14.xml><?xml version="1.0" encoding="utf-8"?>
<ds:datastoreItem xmlns:ds="http://schemas.openxmlformats.org/officeDocument/2006/customXml" ds:itemID="{3AEAA9D8-2182-46BA-A58E-96C72DDA1C54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E3716282-BFD2-4ED2-BA47-BFA1123827F0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1954BBA4-0359-438C-B0EC-A756015F7C02}"/>
</file>

<file path=customXml/itemProps19.xml><?xml version="1.0" encoding="utf-8"?>
<ds:datastoreItem xmlns:ds="http://schemas.openxmlformats.org/officeDocument/2006/customXml" ds:itemID="{F6B2B1A1-1C4B-4AC9-9A7D-7A102DD1C942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Dufault, Michael</cp:lastModifiedBy>
  <cp:revision/>
  <dcterms:created xsi:type="dcterms:W3CDTF">2021-01-01T16:39:53Z</dcterms:created>
  <dcterms:modified xsi:type="dcterms:W3CDTF">2025-06-04T19:39:37Z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2024-09-04T16:22:07Z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7a53973d-fe15-49b3-8e44-71f470cecaed</vt:lpwstr>
  </property>
  <property fmtid="{D5CDD505-2E9C-101B-9397-08002B2CF9AE}" pid="9" name="MSIP_Label_9d817c99-0b37-4a07-8277-96aa1f96b74b_ContentBits">
    <vt:lpwstr>0</vt:lpwstr>
  </property>
</Properties>
</file>