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Bond\"/>
    </mc:Choice>
  </mc:AlternateContent>
  <xr:revisionPtr revIDLastSave="88" documentId="13_ncr:1_{9A04DDDA-45D3-4FB2-8CB7-6DB7B670BDAC}" xr6:coauthVersionLast="47" xr6:coauthVersionMax="47" xr10:uidLastSave="{2ADB8EA0-7103-4F48-BFBD-6CF0C004AC54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15" i="34" s="1"/>
  <c r="G5" i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6" i="29" l="1"/>
  <c r="F16" i="29" s="1"/>
  <c r="E11" i="29"/>
  <c r="F11" i="29" s="1"/>
  <c r="C14" i="34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34" s="1"/>
  <c r="F8" i="34" s="1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H9" i="34"/>
  <c r="I9" i="34" s="1"/>
  <c r="H10" i="34"/>
  <c r="I10" i="34" s="1"/>
  <c r="H11" i="34"/>
  <c r="H12" i="34"/>
  <c r="I12" i="34" s="1"/>
  <c r="H13" i="34"/>
  <c r="H14" i="34"/>
  <c r="I14" i="34" s="1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9" i="34" l="1"/>
  <c r="F9" i="34" s="1"/>
  <c r="E11" i="34"/>
  <c r="F11" i="34" s="1"/>
  <c r="E2" i="29"/>
  <c r="F2" i="29" s="1"/>
  <c r="I16" i="34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<sst xmlns="http://schemas.openxmlformats.org/spreadsheetml/2006/main" count="459" uniqueCount="222">
  <si>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</si>
  <si>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</si>
  <si>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</si>
  <si>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</si>
  <si>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</si>
  <si>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</si>
  <si>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</si>
  <si>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</si>
  <si>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</si>
  <si>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</si>
  <si>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</si>
  <si>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</si>
  <si>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</si>
  <si>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</si>
  <si>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</si>
  <si>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</si>
  <si>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</si>
  <si>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</si>
  <si>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</si>
  <si>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</si>
  <si>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</si>
  <si>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</si>
  <si>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</si>
  <si>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</si>
  <si>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</si>
  <si>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</si>
  <si>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</si>
  <si>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</si>
  <si>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</si>
  <si>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</si>
  <si>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</si>
  <si>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</si>
  <si>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</si>
  <si>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</si>
  <si>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</si>
  <si>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</si>
  <si>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</si>
  <si>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</si>
  <si>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</si>
  <si>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</si>
  <si>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</si>
  <si>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</si>
  <si>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</si>
  <si>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</si>
  <si>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</si>
  <si>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</si>
  <si>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</si>
  <si>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</si>
  <si>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</si>
  <si>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</si>
  <si>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</si>
  <si>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</si>
  <si>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</si>
  <si>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</si>
  <si>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</si>
  <si>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</si>
  <si>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</si>
  <si>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</si>
  <si>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</si>
  <si>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</si>
  <si>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</si>
  <si>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</si>
  <si>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</si>
  <si>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</si>
  <si>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</si>
  <si>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</si>
  <si>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</si>
  <si>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</si>
  <si>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</si>
  <si>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</si>
  <si>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</si>
  <si>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</si>
  <si>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</si>
  <si>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</si>
  <si>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</si>
  <si>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</si>
  <si>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</si>
  <si>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</si>
  <si>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</si>
  <si>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</si>
  <si>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</si>
  <si>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</si>
  <si>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</si>
  <si>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</si>
  <si>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</si>
  <si>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</si>
  <si>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</si>
  <si>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</si>
  <si>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</si>
  <si>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</si>
  <si>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</si>
  <si>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</si>
  <si>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</si>
  <si>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</si>
  <si>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</si>
  <si>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</si>
  <si>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</si>
  <si>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</si>
  <si>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</si>
  <si>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</si>
  <si>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</si>
  <si>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</si>
  <si>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</si>
  <si>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</si>
  <si>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</si>
  <si>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</si>
  <si>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</si>
  <si>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</si>
  <si>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</si>
  <si>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</si>
  <si>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</si>
  <si>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</si>
  <si>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</si>
  <si>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</si>
  <si>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</si>
  <si>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</si>
  <si>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</si>
  <si>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</si>
  <si>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</si>
  <si>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</si>
  <si>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</si>
  <si>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</si>
  <si>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</si>
  <si>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</si>
  <si>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</si>
  <si>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</si>
  <si>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</si>
  <si>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</si>
  <si>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</si>
  <si>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</si>
  <si>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</si>
  <si>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</si>
  <si>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</si>
  <si>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</si>
  <si>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</si>
  <si>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</si>
  <si>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</si>
  <si>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</si>
  <si>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</si>
  <si>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</si>
  <si>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</si>
  <si>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</si>
  <si>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</si>
  <si>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</si>
  <si>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</si>
  <si>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</si>
  <si>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</si>
  <si>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</si>
  <si>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</si>
  <si>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</si>
  <si>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</si>
  <si>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</si>
  <si>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</si>
  <si>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</si>
  <si>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</si>
  <si>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</si>
  <si>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</si>
  <si>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</si>
  <si>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1.Inverter 2.1B is offline from 08/22.
2.Inverter 9.2B was offline from 08/01 and back online at 10:00 on 08/29.</t>
  </si>
  <si>
    <t>1.SR089416</t>
  </si>
  <si>
    <t>1.Site tripped offline at 02:45 and back online at 06:45 on 08/03.
2.Site tripped offline at 10:15 and back online at 10:50 on 08/18.
3.Inverter 6.8 tripped offline at 8:45 and back online at 09:05 on 08/19.</t>
  </si>
  <si>
    <t>1.SR088482
2.SR089211</t>
  </si>
  <si>
    <t>1.Inverter 33 tripped offline at 13:30 on 08/04 and back online at 07:00 on 08/05.
2.Inverter 6 tripped offline at 13:30 and back online at 17:00 on 08/5.
3.Inverter 58 tripped offline at 13:30 on 08/11 and back online at 07:15 on 08/12.
4.Inverter 31 tripped offline at 12:00 on 08/22 and back online at 11:15 on 08/23.
5.Inverter 59 tripped offline at 10:45 on 08/26 and back online at 07:45 on 08/27.
6.Inverter 20 tripped offline from 08/30.
7.Inverter 26 is back online on 08/16 at 14:30</t>
  </si>
  <si>
    <t>1.SR088587
2.SR088657
3.SR088905
4.SR089417
5.SR089554
6.SR089764
7.SR088298</t>
  </si>
  <si>
    <t>1.Site tripped offline at 01:45 and back online at 09:45 on 08/10.</t>
  </si>
  <si>
    <t>1.SR088862</t>
  </si>
  <si>
    <t>1. Site stopped communicating later tripped offline, production cannot be confirmed at 12:15Pm on 08/22 and  back online at 9:00 Am on 08/23
2.Inverter 113 tripped offline at 11:45AM 08/26 and back online at 12:10Pm on 08/27</t>
  </si>
  <si>
    <t>1.SR089444
2.SR089569</t>
  </si>
  <si>
    <t>1.Inverter 132 tripped offline at 09:30 and back online 14:00 on 07/10</t>
  </si>
  <si>
    <t>1.SR087546</t>
  </si>
  <si>
    <t>1. Inverter 132 was offline for whole month.
2. Inverter 77 was offline on 08/24 and back online on 08/25 and again inverter 77 was offline on 08/26 and back online on 08/27.
3. Inverter 24 was offline from 08/01 to 08/24.
4. Inverter 184 tripped offline on 08/13 and back online on 08/29
5. Inverter 126 has late starting issue.
6. Inverter 36 has late starting issue.</t>
  </si>
  <si>
    <t>1. SR087546
2. SR089381
3. SR088457
4. SR089003
5. SR088742
6. 	SR089225</t>
  </si>
  <si>
    <t>1. Inverter 72 6A tripped offline on 08/03 and back online on 08/26
2. Inverter 83 6A was tripped offline on 08/07 and back online on 08/08 and again inverter 83 6A tripped offline on 08/19
3. Inverter 93 6B was offline for most of the days in the month
4. Inverter 49 6B was offline from 08/03 to 08/16 and again inverter was offline from 08/17 to 08/22
5. Inverter 84 6B was offline from 08/13 to End of month.
6.  Inverter 89-6B was offline on 08/22 and back online on 08/23
7. Inverter 62 6B was offline for most of the days in month.</t>
  </si>
  <si>
    <t>1. SR088830
2. SR088283
3. SR090102
4.SR089254
5. SR089000
6. 	SR089412
7. SR089673</t>
  </si>
  <si>
    <t>1. Inverter 8 2C was offline for whole month.</t>
  </si>
  <si>
    <t>1. SR088230</t>
  </si>
  <si>
    <t>1. Inverter 46 was tripped offline on 08/20 and back online on 08/27.</t>
  </si>
  <si>
    <t>1. SR089344</t>
  </si>
  <si>
    <t>1. Inverter 14 4A have been RMA'd.
2. Inverter 22 4A is underproducing 3 kW down compared to its peers for whole month.
3. Inverter 11 4B was tripped offline on 08/14 at 09:00am and back online on 08/21
4. Inverter 17 4B was offline from 08/01 at 09:00am to 08/15 16:00</t>
  </si>
  <si>
    <t>1. SR087080
2. SR083820
3. 	SR089025
4. 	SR087425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</si>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</sst>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38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0</v>
      </c>
      <c r="E1" s="95"/>
      <c r="F1" s="95"/>
      <c r="G1" s="93" t="s">
        <v>1</v>
      </c>
      <c r="H1" s="93"/>
      <c r="I1" s="93"/>
    </row>
    <row r="2" spans="1:9" ht="19.5" customHeight="1">
      <c r="A2" s="96" t="s">
        <v>2</v>
      </c>
      <c r="B2" s="96"/>
      <c r="C2" s="5">
        <f>SUM(C4:C91)</f>
        <v>20049484.236495808</v>
      </c>
      <c r="D2" s="5">
        <f>SUM(D4:D91)</f>
        <v>21257249.220000003</v>
      </c>
      <c r="E2" s="5">
        <f>C2-D2</f>
        <v>-1207764.9835041948</v>
      </c>
      <c r="F2" s="6">
        <f>IFERROR(E2/D2, 0)</f>
        <v>-5.6816616816434663E-2</v>
      </c>
      <c r="G2" s="5">
        <f>SUM(G4:G91)</f>
        <v>20759701.540000003</v>
      </c>
      <c r="H2" s="7">
        <f>C2-G2</f>
        <v>-710217.30350419506</v>
      </c>
      <c r="I2" s="6">
        <f>IFERROR(H2/G2, 0)</f>
        <v>-3.4211344615708524E-2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3159707.4907960212</v>
      </c>
      <c r="D4" s="56">
        <f>SUM('1st Qtr'!D4, '2nd Qtr'!D4, '3rd Qtr'!D4, '4th Qtr'!D4)</f>
        <v>3019792.7</v>
      </c>
      <c r="E4" s="56">
        <f>IF(AND(ISNUMBER(C4),ISNUMBER(D4)), C4-D4, "")</f>
        <v>139914.790796021</v>
      </c>
      <c r="F4" s="69">
        <f>IFERROR(E4/D4, "")</f>
        <v>4.6332581304677302E-2</v>
      </c>
      <c r="G4" s="58">
        <f>SUM('1st Qtr'!G4, '2nd Qtr'!G4, '3rd Qtr'!G4, '4th Qtr'!G4)</f>
        <v>3319026</v>
      </c>
      <c r="H4" s="58">
        <f>SUM('1st Qtr'!H4, '2nd Qtr'!H4, '3rd Qtr'!H4, '4th Qtr'!H4)</f>
        <v>-159318.50920397899</v>
      </c>
      <c r="I4" s="57">
        <f>IFERROR(H4/G4, "")</f>
        <v>-4.8001585165039079E-2</v>
      </c>
    </row>
    <row r="5" spans="1:9" ht="15.6">
      <c r="A5" s="76" t="str">
        <v>Clara Barton</v>
      </c>
      <c r="B5" s="77" t="str">
        <v>MA</v>
      </c>
      <c r="C5" s="71">
        <f>SUM('1st Qtr'!C5, '2nd Qtr'!C5, '3rd Qtr'!C5, '4th Qtr'!C5)</f>
        <v>1157503.9995365879</v>
      </c>
      <c r="D5" s="62">
        <f>SUM('1st Qtr'!D5, '2nd Qtr'!D5, '3rd Qtr'!D5, '4th Qtr'!D5)</f>
        <v>1198552.52</v>
      </c>
      <c r="E5" s="62">
        <f t="shared" ref="E5:E15" si="0">IF(AND(ISNUMBER(C5),ISNUMBER(D5)), C5-D5, "")</f>
        <v>-41048.520463412162</v>
      </c>
      <c r="F5" s="63">
        <f>IFERROR(E5/D5, "")</f>
        <v>-3.4248411962299462E-2</v>
      </c>
      <c r="G5" s="64">
        <f>SUM('1st Qtr'!G5, '2nd Qtr'!G5, '3rd Qtr'!G5, '4th Qtr'!G5)</f>
        <v>1218425.58</v>
      </c>
      <c r="H5" s="64">
        <f>SUM(Jan!H5, Feb!H5, Mar!H5)</f>
        <v>-59831.780463412106</v>
      </c>
      <c r="I5" s="63">
        <f>IFERROR(H5/G5, "")</f>
        <v>-4.910581445886264E-2</v>
      </c>
    </row>
    <row r="6" spans="1:9" ht="15.6">
      <c r="A6" s="74" t="str">
        <v>Fairhaven Solar</v>
      </c>
      <c r="B6" s="75" t="str">
        <v>MA</v>
      </c>
      <c r="C6" s="68">
        <f>SUM('1st Qtr'!C6, '2nd Qtr'!C6, '3rd Qtr'!C6, '4th Qtr'!C6)</f>
        <v>898064.17867435096</v>
      </c>
      <c r="D6" s="56">
        <f>SUM('1st Qtr'!D6, '2nd Qtr'!D6, '3rd Qtr'!D6, '4th Qtr'!D6)</f>
        <v>947901.54</v>
      </c>
      <c r="E6" s="56">
        <f t="shared" si="0"/>
        <v>-49837.361325649079</v>
      </c>
      <c r="F6" s="69">
        <f t="shared" ref="F6:F15" si="1">IFERROR(E6/D6, "")</f>
        <v>-5.2576516887660164E-2</v>
      </c>
      <c r="G6" s="58">
        <f>SUM('1st Qtr'!G6, '2nd Qtr'!G6, '3rd Qtr'!G6, '4th Qtr'!G6)</f>
        <v>924140.19</v>
      </c>
      <c r="H6" s="58">
        <f>SUM(Jan!H6, Feb!H6, Mar!H6)</f>
        <v>1599.6099999999933</v>
      </c>
      <c r="I6" s="57">
        <f t="shared" ref="I6:I15" si="2">IFERROR(H6/G6, "")</f>
        <v>1.7309170375979356E-3</v>
      </c>
    </row>
    <row r="7" spans="1:9" ht="15.6">
      <c r="A7" s="76" t="str">
        <v>Plympton-1</v>
      </c>
      <c r="B7" s="77" t="str">
        <v>MA</v>
      </c>
      <c r="C7" s="71">
        <f>SUM('1st Qtr'!C7, '2nd Qtr'!C7, '3rd Qtr'!C7, '4th Qtr'!C7)</f>
        <v>1201617.9950888441</v>
      </c>
      <c r="D7" s="62">
        <f>SUM('1st Qtr'!D7, '2nd Qtr'!D7, '3rd Qtr'!D7, '4th Qtr'!D7)</f>
        <v>1243611.03</v>
      </c>
      <c r="E7" s="62">
        <f t="shared" si="0"/>
        <v>-41993.034911155934</v>
      </c>
      <c r="F7" s="63">
        <f t="shared" si="1"/>
        <v>-3.3767017096298937E-2</v>
      </c>
      <c r="G7" s="64">
        <f>SUM('1st Qtr'!G7, '2nd Qtr'!G7, '3rd Qtr'!G7, '4th Qtr'!G7)</f>
        <v>1198176.5299999998</v>
      </c>
      <c r="H7" s="64">
        <f>SUM(Jan!H7, Feb!H7, Mar!H7)</f>
        <v>-21065.929999999993</v>
      </c>
      <c r="I7" s="63">
        <f t="shared" si="2"/>
        <v>-1.7581658021627245E-2</v>
      </c>
    </row>
    <row r="8" spans="1:9" ht="15.6">
      <c r="A8" s="74" t="str">
        <v>French River 2</v>
      </c>
      <c r="B8" s="75" t="str">
        <v>MA</v>
      </c>
      <c r="C8" s="68">
        <f>SUM('1st Qtr'!C8, '2nd Qtr'!C8, '3rd Qtr'!C8, '4th Qtr'!C8)</f>
        <v>1195007.1099999999</v>
      </c>
      <c r="D8" s="56">
        <f>SUM('1st Qtr'!D8, '2nd Qtr'!D8, '3rd Qtr'!D8, '4th Qtr'!D8)</f>
        <v>1330084.67</v>
      </c>
      <c r="E8" s="56">
        <f t="shared" si="0"/>
        <v>-135077.56000000006</v>
      </c>
      <c r="F8" s="69">
        <f t="shared" si="1"/>
        <v>-0.10155560998985129</v>
      </c>
      <c r="G8" s="58">
        <f>SUM('1st Qtr'!G8, '2nd Qtr'!G8, '3rd Qtr'!G8, '4th Qtr'!G8)</f>
        <v>1206437</v>
      </c>
      <c r="H8" s="58">
        <f>SUM(Jan!H8, Feb!H8, Mar!H8)</f>
        <v>-12609.89</v>
      </c>
      <c r="I8" s="57">
        <f t="shared" si="2"/>
        <v>-1.0452174460829699E-2</v>
      </c>
    </row>
    <row r="9" spans="1:9" ht="15.6">
      <c r="A9" s="76" t="str">
        <v>French River 3</v>
      </c>
      <c r="B9" s="77" t="str">
        <v>MA</v>
      </c>
      <c r="C9" s="71">
        <f>SUM('1st Qtr'!C9, '2nd Qtr'!C9, '3rd Qtr'!C9, '4th Qtr'!C9)</f>
        <v>2337985.12</v>
      </c>
      <c r="D9" s="62">
        <f>SUM('1st Qtr'!D9, '2nd Qtr'!D9, '3rd Qtr'!D9, '4th Qtr'!D9)</f>
        <v>2379236.1999999997</v>
      </c>
      <c r="E9" s="62">
        <f t="shared" si="0"/>
        <v>-41251.079999999609</v>
      </c>
      <c r="F9" s="63">
        <f t="shared" si="1"/>
        <v>-1.7337950725530998E-2</v>
      </c>
      <c r="G9" s="64">
        <f>SUM('1st Qtr'!G9, '2nd Qtr'!G9, '3rd Qtr'!G9, '4th Qtr'!G9)</f>
        <v>2309355.3000000003</v>
      </c>
      <c r="H9" s="64">
        <f>SUM(Jan!H9, Feb!H9, Mar!H9)</f>
        <v>-5460.9800000000105</v>
      </c>
      <c r="I9" s="63">
        <f t="shared" si="2"/>
        <v>-2.3647205780764915E-3</v>
      </c>
    </row>
    <row r="10" spans="1:9" ht="15.6">
      <c r="A10" s="74" t="str">
        <v>French River 4</v>
      </c>
      <c r="B10" s="75" t="str">
        <v>MA</v>
      </c>
      <c r="C10" s="68">
        <f>SUM('1st Qtr'!C10, '2nd Qtr'!C10, '3rd Qtr'!C10, '4th Qtr'!C10)</f>
        <v>2367360.6364000011</v>
      </c>
      <c r="D10" s="56">
        <f>SUM('1st Qtr'!D10, '2nd Qtr'!D10, '3rd Qtr'!D10, '4th Qtr'!D10)</f>
        <v>2577066.2000000002</v>
      </c>
      <c r="E10" s="56">
        <f t="shared" si="0"/>
        <v>-209705.56359999906</v>
      </c>
      <c r="F10" s="69">
        <f t="shared" si="1"/>
        <v>-8.137375888908055E-2</v>
      </c>
      <c r="G10" s="58">
        <f>SUM('1st Qtr'!G10, '2nd Qtr'!G10, '3rd Qtr'!G10, '4th Qtr'!G10)</f>
        <v>2407316.5</v>
      </c>
      <c r="H10" s="58">
        <f>SUM(Jan!H10, Feb!H10, Mar!H10)</f>
        <v>-37845.963599998795</v>
      </c>
      <c r="I10" s="57">
        <f t="shared" si="2"/>
        <v>-1.5721224691476503E-2</v>
      </c>
    </row>
    <row r="11" spans="1:9" ht="15.6">
      <c r="A11" s="76" t="str">
        <v>French River 5</v>
      </c>
      <c r="B11" s="77" t="str">
        <v>MA</v>
      </c>
      <c r="C11" s="71">
        <f>SUM('1st Qtr'!C11, '2nd Qtr'!C11, '3rd Qtr'!C11, '4th Qtr'!C11)</f>
        <v>2179450.39</v>
      </c>
      <c r="D11" s="62">
        <f>SUM('1st Qtr'!D11, '2nd Qtr'!D11, '3rd Qtr'!D11, '4th Qtr'!D11)</f>
        <v>2492307.7999999998</v>
      </c>
      <c r="E11" s="62">
        <f t="shared" si="0"/>
        <v>-312857.40999999968</v>
      </c>
      <c r="F11" s="63">
        <f t="shared" si="1"/>
        <v>-0.12552920229194794</v>
      </c>
      <c r="G11" s="64">
        <f>SUM('1st Qtr'!G11, '2nd Qtr'!G11, '3rd Qtr'!G11, '4th Qtr'!G11)</f>
        <v>2363710.4</v>
      </c>
      <c r="H11" s="64">
        <f>SUM(Jan!H11, Feb!H11, Mar!H11)</f>
        <v>-90612.409999999974</v>
      </c>
      <c r="I11" s="63">
        <f t="shared" si="2"/>
        <v>-3.8334818850904909E-2</v>
      </c>
    </row>
    <row r="12" spans="1:9" ht="15.6">
      <c r="A12" s="74" t="str">
        <v>French River 6</v>
      </c>
      <c r="B12" s="75" t="str">
        <v>MA</v>
      </c>
      <c r="C12" s="68">
        <f>SUM('1st Qtr'!C12, '2nd Qtr'!C12, '3rd Qtr'!C12, '4th Qtr'!C12)</f>
        <v>2122247.4299999997</v>
      </c>
      <c r="D12" s="56">
        <f>SUM('1st Qtr'!D12, '2nd Qtr'!D12, '3rd Qtr'!D12, '4th Qtr'!D12)</f>
        <v>2126642.2000000002</v>
      </c>
      <c r="E12" s="56">
        <f t="shared" si="0"/>
        <v>-4394.7700000004843</v>
      </c>
      <c r="F12" s="69">
        <f t="shared" si="1"/>
        <v>-2.0665300444054407E-3</v>
      </c>
      <c r="G12" s="58">
        <f>SUM('1st Qtr'!G12, '2nd Qtr'!G12, '3rd Qtr'!G12, '4th Qtr'!G12)</f>
        <v>2267768.1</v>
      </c>
      <c r="H12" s="58">
        <f>SUM(Jan!H12, Feb!H12, Mar!H12)</f>
        <v>-80776.570000000036</v>
      </c>
      <c r="I12" s="57">
        <f t="shared" si="2"/>
        <v>-3.5619413642867644E-2</v>
      </c>
    </row>
    <row r="13" spans="1:9" ht="15.6">
      <c r="A13" s="76" t="str">
        <v>Stillwater River 1A</v>
      </c>
      <c r="B13" s="77" t="str">
        <v>MA</v>
      </c>
      <c r="C13" s="71">
        <f>SUM('1st Qtr'!C13, '2nd Qtr'!C13, '3rd Qtr'!C13, '4th Qtr'!C13)</f>
        <v>597200.84</v>
      </c>
      <c r="D13" s="62">
        <f>SUM('1st Qtr'!D13, '2nd Qtr'!D13, '3rd Qtr'!D13, '4th Qtr'!D13)</f>
        <v>597480.85</v>
      </c>
      <c r="E13" s="62">
        <f t="shared" si="0"/>
        <v>-280.01000000000931</v>
      </c>
      <c r="F13" s="63">
        <f t="shared" si="1"/>
        <v>-4.6865100362632428E-4</v>
      </c>
      <c r="G13" s="64">
        <f>SUM('1st Qtr'!G13, '2nd Qtr'!G13, '3rd Qtr'!G13, '4th Qtr'!G13)</f>
        <v>581914.53</v>
      </c>
      <c r="H13" s="64">
        <f>SUM(Jan!H13, Feb!H13, Mar!H13)</f>
        <v>3513.7800000000134</v>
      </c>
      <c r="I13" s="63">
        <f t="shared" si="2"/>
        <v>6.0383094403915526E-3</v>
      </c>
    </row>
    <row r="14" spans="1:9" ht="15.6">
      <c r="A14" s="74" t="str">
        <v>Stillwater River 2</v>
      </c>
      <c r="B14" s="75" t="str">
        <v>MA</v>
      </c>
      <c r="C14" s="68">
        <f>SUM('1st Qtr'!C14, '2nd Qtr'!C14, '3rd Qtr'!C14, '4th Qtr'!C14)</f>
        <v>1175326.1200000001</v>
      </c>
      <c r="D14" s="56">
        <f>SUM('1st Qtr'!D14, '2nd Qtr'!D14, '3rd Qtr'!D14, '4th Qtr'!D14)</f>
        <v>1369991.4800000002</v>
      </c>
      <c r="E14" s="56">
        <f t="shared" si="0"/>
        <v>-194665.3600000001</v>
      </c>
      <c r="F14" s="69">
        <f t="shared" si="1"/>
        <v>-0.1420923873190803</v>
      </c>
      <c r="G14" s="58">
        <f>SUM('1st Qtr'!G14, '2nd Qtr'!G14, '3rd Qtr'!G14, '4th Qtr'!G14)</f>
        <v>1218572.3900000001</v>
      </c>
      <c r="H14" s="58">
        <f>SUM(Jan!H14, Feb!H14, Mar!H14)</f>
        <v>-38015.669999999911</v>
      </c>
      <c r="I14" s="57">
        <f t="shared" si="2"/>
        <v>-3.1196890978302822E-2</v>
      </c>
    </row>
    <row r="15" spans="1:9" ht="15.6">
      <c r="A15" s="76" t="str">
        <v>Stillwater River 3</v>
      </c>
      <c r="B15" s="77" t="str">
        <v>MA</v>
      </c>
      <c r="C15" s="71">
        <f>SUM('1st Qtr'!C15, '2nd Qtr'!C15, '3rd Qtr'!C15, '4th Qtr'!C15)</f>
        <v>1175911.3999999999</v>
      </c>
      <c r="D15" s="62">
        <f>SUM('1st Qtr'!D15, '2nd Qtr'!D15, '3rd Qtr'!D15, '4th Qtr'!D15)</f>
        <v>1323497.96</v>
      </c>
      <c r="E15" s="62">
        <f t="shared" si="0"/>
        <v>-147586.56000000006</v>
      </c>
      <c r="F15" s="63">
        <f t="shared" si="1"/>
        <v>-0.11151249526670978</v>
      </c>
      <c r="G15" s="64">
        <f>SUM('1st Qtr'!G15, '2nd Qtr'!G15, '3rd Qtr'!G15, '4th Qtr'!G15)</f>
        <v>1199665.29</v>
      </c>
      <c r="H15" s="64">
        <f>SUM(Jan!H15, Feb!H15, Mar!H15)</f>
        <v>-30572.690000000017</v>
      </c>
      <c r="I15" s="63">
        <f t="shared" si="2"/>
        <v>-2.5484349888959458E-2</v>
      </c>
    </row>
    <row r="16" spans="1:9" ht="15.6">
      <c r="A16" s="74" t="str">
        <v>Stillwater River 4</v>
      </c>
      <c r="B16" s="75" t="str">
        <v>MA</v>
      </c>
      <c r="C16" s="68">
        <f>SUM('1st Qtr'!C16, '2nd Qtr'!C16, '3rd Qtr'!C16, '4th Qtr'!C16)</f>
        <v>482101.52600000001</v>
      </c>
      <c r="D16" s="56">
        <f>SUM('1st Qtr'!D16, '2nd Qtr'!D16, '3rd Qtr'!D16, '4th Qtr'!D16)</f>
        <v>651084.07000000007</v>
      </c>
      <c r="E16" s="56">
        <f t="shared" ref="E16" si="3">IF(AND(ISNUMBER(C16),ISNUMBER(D16)), C16-D16, "")</f>
        <v>-168982.54400000005</v>
      </c>
      <c r="F16" s="69">
        <f t="shared" ref="F16" si="4">IFERROR(E16/D16, "")</f>
        <v>-0.2595402833308455</v>
      </c>
      <c r="G16" s="58">
        <f>SUM('1st Qtr'!G16, '2nd Qtr'!G16, '3rd Qtr'!G16, '4th Qtr'!G16)</f>
        <v>545193.73</v>
      </c>
      <c r="H16" s="58">
        <f>SUM(Jan!H16, Feb!H16, Mar!H16)</f>
        <v>-28589.281500000005</v>
      </c>
      <c r="I16" s="57">
        <f t="shared" ref="I16" si="5">IFERROR(H16/G16, "")</f>
        <v>-5.2438756953422788E-2</v>
      </c>
    </row>
    <row r="17" spans="1:9" ht="14.4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10</v>
      </c>
      <c r="E1" s="95"/>
      <c r="F1" s="95"/>
      <c r="G1" s="93" t="s">
        <v>11</v>
      </c>
      <c r="H1" s="93"/>
      <c r="I1" s="93"/>
    </row>
    <row r="2" spans="1:9" ht="19.5" customHeight="1">
      <c r="A2" s="96" t="s">
        <v>2</v>
      </c>
      <c r="B2" s="96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6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6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6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6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6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6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6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6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6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6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6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6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4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12</v>
      </c>
      <c r="E1" s="95"/>
      <c r="F1" s="95"/>
      <c r="G1" s="93" t="s">
        <v>13</v>
      </c>
      <c r="H1" s="93"/>
      <c r="I1" s="93"/>
    </row>
    <row r="2" spans="1:9" ht="19.5" customHeight="1">
      <c r="A2" s="96" t="s">
        <v>2</v>
      </c>
      <c r="B2" s="96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6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6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6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6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6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6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6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6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6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6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6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6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9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L15" sqref="L15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14</v>
      </c>
      <c r="E1" s="95"/>
      <c r="F1" s="95"/>
      <c r="G1" s="93" t="s">
        <v>15</v>
      </c>
      <c r="H1" s="93"/>
      <c r="I1" s="93"/>
    </row>
    <row r="2" spans="1:9" ht="19.5" customHeight="1">
      <c r="A2" s="96" t="s">
        <v>2</v>
      </c>
      <c r="B2" s="96"/>
      <c r="C2" s="5">
        <f>SUM(C4:C91)</f>
        <v>5968264.6124243513</v>
      </c>
      <c r="D2" s="5">
        <f>SUM(D4:D91)</f>
        <v>6232580.7200000007</v>
      </c>
      <c r="E2" s="5">
        <f>C2-D2</f>
        <v>-264316.1075756494</v>
      </c>
      <c r="F2" s="6">
        <f>IFERROR(E2/D2, 0)</f>
        <v>-4.2408774061677833E-2</v>
      </c>
      <c r="G2" s="5">
        <f>SUM(G4:G91)</f>
        <v>6245765.3800000008</v>
      </c>
      <c r="H2" s="7">
        <f>C2-G2</f>
        <v>-277500.76757564954</v>
      </c>
      <c r="I2" s="6">
        <f>IFERROR(H2/G2, 0)</f>
        <v>-4.4430226031905398E-2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941712.84000000008</v>
      </c>
      <c r="D4" s="56">
        <f>SUM(Jul!D4, Aug!D4, Sep!D4)</f>
        <v>854713.2</v>
      </c>
      <c r="E4" s="56">
        <f>IF(AND(ISNUMBER(C4),ISNUMBER(D4)), C4-D4, "")</f>
        <v>86999.64000000013</v>
      </c>
      <c r="F4" s="69">
        <f>IFERROR(E4/D4, "")</f>
        <v>0.10178810857255993</v>
      </c>
      <c r="G4" s="58">
        <f>SUM(Jul!G4,Aug!G4,Sep!G4)</f>
        <v>993382</v>
      </c>
      <c r="H4" s="58">
        <f>SUM(Jul!H4, Aug!H4, Sep!H4)</f>
        <v>-51669.159999999974</v>
      </c>
      <c r="I4" s="57">
        <f>IFERROR(H4/G4, "")</f>
        <v>-5.2013384579144756E-2</v>
      </c>
    </row>
    <row r="5" spans="1:9" ht="15.6">
      <c r="A5" s="79" t="str">
        <v>Clara Barton</v>
      </c>
      <c r="B5" s="77" t="str">
        <v>MA</v>
      </c>
      <c r="C5" s="71">
        <f>SUM(Jul!C5, Aug!C5, Sep!C5)</f>
        <v>359925</v>
      </c>
      <c r="D5" s="62">
        <f>SUM(Jul!D5, Aug!D5, Sep!D5)</f>
        <v>361358.2</v>
      </c>
      <c r="E5" s="62">
        <f t="shared" ref="E5:E15" si="0">IF(AND(ISNUMBER(C5),ISNUMBER(D5)), C5-D5, "")</f>
        <v>-1433.2000000000116</v>
      </c>
      <c r="F5" s="63">
        <f>IFERROR(E5/D5, "")</f>
        <v>-3.9661477171405316E-3</v>
      </c>
      <c r="G5" s="64">
        <f>SUM(Jul!G5,Aug!G5,Sep!G5)</f>
        <v>371868.6</v>
      </c>
      <c r="H5" s="64">
        <f>SUM(Jul!H5, Aug!H5, Sep!H5)</f>
        <v>-11943.600000000006</v>
      </c>
      <c r="I5" s="63">
        <f>IFERROR(H5/G5, "")</f>
        <v>-3.2117796447454841E-2</v>
      </c>
    </row>
    <row r="6" spans="1:9" ht="15.6">
      <c r="A6" s="78" t="str">
        <v>Fairhaven Solar</v>
      </c>
      <c r="B6" s="75" t="str">
        <v>MA</v>
      </c>
      <c r="C6" s="68">
        <f>SUM(Jul!C6, Aug!C6, Sep!C6)</f>
        <v>262785.17867435096</v>
      </c>
      <c r="D6" s="56">
        <f>SUM(Jul!D6, Aug!D6, Sep!D6)</f>
        <v>279712.5</v>
      </c>
      <c r="E6" s="56">
        <f t="shared" si="0"/>
        <v>-16927.321325649042</v>
      </c>
      <c r="F6" s="69">
        <f t="shared" ref="F6:F15" si="1">IFERROR(E6/D6, "")</f>
        <v>-6.0516856864276859E-2</v>
      </c>
      <c r="G6" s="58">
        <f>SUM(Jul!G6,Aug!G6,Sep!G6)</f>
        <v>277406.19999999995</v>
      </c>
      <c r="H6" s="58">
        <f>SUM(Jul!H6, Aug!H6, Sep!H6)</f>
        <v>-14621.021325648995</v>
      </c>
      <c r="I6" s="57">
        <f t="shared" ref="I6:I15" si="2">IFERROR(H6/G6, "")</f>
        <v>-5.2706180776237149E-2</v>
      </c>
    </row>
    <row r="7" spans="1:9" ht="15.6">
      <c r="A7" s="79" t="str">
        <v>Plympton-1</v>
      </c>
      <c r="B7" s="77" t="str">
        <v>MA</v>
      </c>
      <c r="C7" s="71">
        <f>SUM(Jul!C7, Aug!C7, Sep!C7)</f>
        <v>360596</v>
      </c>
      <c r="D7" s="62">
        <f>SUM(Jul!D7, Aug!D7, Sep!D7)</f>
        <v>374358.30000000005</v>
      </c>
      <c r="E7" s="62">
        <f t="shared" si="0"/>
        <v>-13762.300000000047</v>
      </c>
      <c r="F7" s="63">
        <f t="shared" si="1"/>
        <v>-3.6762374441811616E-2</v>
      </c>
      <c r="G7" s="64">
        <f>SUM(Jul!G7,Aug!G7,Sep!G7)</f>
        <v>364571.6</v>
      </c>
      <c r="H7" s="64">
        <f>SUM(Jul!H7, Aug!H7, Sep!H7)</f>
        <v>-3975.6000000000058</v>
      </c>
      <c r="I7" s="63">
        <f t="shared" si="2"/>
        <v>-1.0904853806495092E-2</v>
      </c>
    </row>
    <row r="8" spans="1:9" ht="15.6">
      <c r="A8" s="78" t="str">
        <v>French River 2</v>
      </c>
      <c r="B8" s="75" t="str">
        <v>MA</v>
      </c>
      <c r="C8" s="68">
        <f>SUM(Jul!C8, Aug!C8, Sep!C8)</f>
        <v>353727</v>
      </c>
      <c r="D8" s="56">
        <f>SUM(Jul!D8, Aug!D8, Sep!D8)</f>
        <v>386499.5</v>
      </c>
      <c r="E8" s="56">
        <f t="shared" si="0"/>
        <v>-32772.5</v>
      </c>
      <c r="F8" s="69">
        <f t="shared" si="1"/>
        <v>-8.4793123923834313E-2</v>
      </c>
      <c r="G8" s="58">
        <f>SUM(Jul!G8,Aug!G8,Sep!G8)</f>
        <v>363006</v>
      </c>
      <c r="H8" s="58">
        <f>SUM(Jul!H8, Aug!H8, Sep!H8)</f>
        <v>-9279</v>
      </c>
      <c r="I8" s="57">
        <f t="shared" si="2"/>
        <v>-2.5561560965934448E-2</v>
      </c>
    </row>
    <row r="9" spans="1:9" ht="15.6">
      <c r="A9" s="79" t="str">
        <v>French River 3</v>
      </c>
      <c r="B9" s="77" t="str">
        <v>MA</v>
      </c>
      <c r="C9" s="71">
        <f>SUM(Jul!C9, Aug!C9, Sep!C9)</f>
        <v>683273</v>
      </c>
      <c r="D9" s="62">
        <f>SUM(Jul!D9, Aug!D9, Sep!D9)</f>
        <v>729011.39999999991</v>
      </c>
      <c r="E9" s="62">
        <f t="shared" si="0"/>
        <v>-45738.399999999907</v>
      </c>
      <c r="F9" s="63">
        <f t="shared" si="1"/>
        <v>-6.2740308313422685E-2</v>
      </c>
      <c r="G9" s="64">
        <f>SUM(Jul!G9,Aug!G9,Sep!G9)</f>
        <v>694123.10000000009</v>
      </c>
      <c r="H9" s="64">
        <f>SUM(Jul!H9, Aug!H9, Sep!H9)</f>
        <v>-10850.100000000035</v>
      </c>
      <c r="I9" s="63">
        <f t="shared" si="2"/>
        <v>-1.5631377200960511E-2</v>
      </c>
    </row>
    <row r="10" spans="1:9" ht="15.6">
      <c r="A10" s="78" t="str">
        <v>French River 4</v>
      </c>
      <c r="B10" s="75" t="str">
        <v>MA</v>
      </c>
      <c r="C10" s="68">
        <f>SUM(Jul!C10, Aug!C10, Sep!C10)</f>
        <v>702031</v>
      </c>
      <c r="D10" s="56">
        <f>SUM(Jul!D10, Aug!D10, Sep!D10)</f>
        <v>746157.8</v>
      </c>
      <c r="E10" s="56">
        <f t="shared" si="0"/>
        <v>-44126.800000000047</v>
      </c>
      <c r="F10" s="69">
        <f t="shared" si="1"/>
        <v>-5.9138696935152384E-2</v>
      </c>
      <c r="G10" s="58">
        <f>SUM(Jul!G10,Aug!G10,Sep!G10)</f>
        <v>723544.39999999991</v>
      </c>
      <c r="H10" s="58">
        <f>SUM(Jul!H10, Aug!H10, Sep!H10)</f>
        <v>-21513.399999999965</v>
      </c>
      <c r="I10" s="57">
        <f t="shared" si="2"/>
        <v>-2.9733351540002201E-2</v>
      </c>
    </row>
    <row r="11" spans="1:9" ht="15.6">
      <c r="A11" s="79" t="str">
        <v>French River 5</v>
      </c>
      <c r="B11" s="77" t="str">
        <v>MA</v>
      </c>
      <c r="C11" s="71">
        <f>SUM(Jul!C11, Aug!C11, Sep!C11)</f>
        <v>650959</v>
      </c>
      <c r="D11" s="62">
        <f>SUM(Jul!D11, Aug!D11, Sep!D11)</f>
        <v>719444.7</v>
      </c>
      <c r="E11" s="62">
        <f t="shared" si="0"/>
        <v>-68485.699999999953</v>
      </c>
      <c r="F11" s="63">
        <f t="shared" si="1"/>
        <v>-9.5192444950946142E-2</v>
      </c>
      <c r="G11" s="64">
        <f>SUM(Jul!G11,Aug!G11,Sep!G11)</f>
        <v>710527.5</v>
      </c>
      <c r="H11" s="64">
        <f>SUM(Jul!H11, Aug!H11, Sep!H11)</f>
        <v>-59568.5</v>
      </c>
      <c r="I11" s="63">
        <f t="shared" si="2"/>
        <v>-8.3837008419800782E-2</v>
      </c>
    </row>
    <row r="12" spans="1:9" ht="15.6">
      <c r="A12" s="78" t="str">
        <v>French River 6</v>
      </c>
      <c r="B12" s="75" t="str">
        <v>MA</v>
      </c>
      <c r="C12" s="68">
        <f>SUM(Jul!C12, Aug!C12, Sep!C12)</f>
        <v>630485</v>
      </c>
      <c r="D12" s="56">
        <f>SUM(Jul!D12, Aug!D12, Sep!D12)</f>
        <v>606372.69999999995</v>
      </c>
      <c r="E12" s="56">
        <f t="shared" si="0"/>
        <v>24112.300000000047</v>
      </c>
      <c r="F12" s="69">
        <f t="shared" si="1"/>
        <v>3.9764817908194167E-2</v>
      </c>
      <c r="G12" s="58">
        <f>SUM(Jul!G12,Aug!G12,Sep!G12)</f>
        <v>681672</v>
      </c>
      <c r="H12" s="58">
        <f>SUM(Jul!H12, Aug!H12, Sep!H12)</f>
        <v>-51187</v>
      </c>
      <c r="I12" s="57">
        <f t="shared" si="2"/>
        <v>-7.5090366041145884E-2</v>
      </c>
    </row>
    <row r="13" spans="1:9" ht="15.6">
      <c r="A13" s="79" t="str">
        <v>Stillwater River 1A</v>
      </c>
      <c r="B13" s="77" t="str">
        <v>MA</v>
      </c>
      <c r="C13" s="71">
        <f>SUM(Jul!C13, Aug!C13, Sep!C13)</f>
        <v>175046.0625</v>
      </c>
      <c r="D13" s="62">
        <f>SUM(Jul!D13, Aug!D13, Sep!D13)</f>
        <v>182002.66999999998</v>
      </c>
      <c r="E13" s="62">
        <f t="shared" si="0"/>
        <v>-6956.6074999999837</v>
      </c>
      <c r="F13" s="63">
        <f t="shared" si="1"/>
        <v>-3.822255739435023E-2</v>
      </c>
      <c r="G13" s="64">
        <f>SUM(Jul!G13,Aug!G13,Sep!G13)</f>
        <v>174912.02</v>
      </c>
      <c r="H13" s="64">
        <f>SUM(Jul!H13, Aug!H13, Sep!H13)</f>
        <v>134.04250000001048</v>
      </c>
      <c r="I13" s="63">
        <f t="shared" si="2"/>
        <v>7.6634241603298892E-4</v>
      </c>
    </row>
    <row r="14" spans="1:9" ht="15.6">
      <c r="A14" s="78" t="str">
        <v>Stillwater River 2</v>
      </c>
      <c r="B14" s="75" t="str">
        <v>MA</v>
      </c>
      <c r="C14" s="68">
        <f>SUM(Jul!C14, Aug!C14, Sep!C14)</f>
        <v>351821</v>
      </c>
      <c r="D14" s="56">
        <f>SUM(Jul!D14, Aug!D14, Sep!D14)</f>
        <v>407987.8</v>
      </c>
      <c r="E14" s="56">
        <f t="shared" si="0"/>
        <v>-56166.799999999988</v>
      </c>
      <c r="F14" s="69">
        <f t="shared" si="1"/>
        <v>-0.13766784202860965</v>
      </c>
      <c r="G14" s="58">
        <f>SUM(Jul!G14,Aug!G14,Sep!G14)</f>
        <v>366265.4</v>
      </c>
      <c r="H14" s="58">
        <f>SUM(Jul!H14, Aug!H14, Sep!H14)</f>
        <v>-14444.399999999994</v>
      </c>
      <c r="I14" s="57">
        <f t="shared" si="2"/>
        <v>-3.9436976574909868E-2</v>
      </c>
    </row>
    <row r="15" spans="1:9" ht="15.6">
      <c r="A15" s="79" t="str">
        <v>Stillwater River 3</v>
      </c>
      <c r="B15" s="77" t="str">
        <v>MA</v>
      </c>
      <c r="C15" s="71">
        <f>SUM(Jul!C15, Aug!C15, Sep!C15)</f>
        <v>352421</v>
      </c>
      <c r="D15" s="62">
        <f>SUM(Jul!D15, Aug!D15, Sep!D15)</f>
        <v>385837.7</v>
      </c>
      <c r="E15" s="62">
        <f t="shared" si="0"/>
        <v>-33416.700000000012</v>
      </c>
      <c r="F15" s="63">
        <f t="shared" si="1"/>
        <v>-8.6608177479805662E-2</v>
      </c>
      <c r="G15" s="64">
        <f>SUM(Jul!G15,Aug!G15,Sep!G15)</f>
        <v>360587.69999999995</v>
      </c>
      <c r="H15" s="64">
        <f>SUM(Jul!H15, Aug!H15, Sep!H15)</f>
        <v>-8166.6999999999825</v>
      </c>
      <c r="I15" s="63">
        <f t="shared" si="2"/>
        <v>-2.2648304420810759E-2</v>
      </c>
    </row>
    <row r="16" spans="1:9" ht="15.6">
      <c r="A16" s="78" t="str">
        <v>Stillwater River 4</v>
      </c>
      <c r="B16" s="75" t="str">
        <v>MA</v>
      </c>
      <c r="C16" s="68">
        <f>SUM(Jul!C16, Aug!C16, Sep!C16)</f>
        <v>143482.53125</v>
      </c>
      <c r="D16" s="56">
        <f>SUM(Jul!D16, Aug!D16, Sep!D16)</f>
        <v>199124.25</v>
      </c>
      <c r="E16" s="56">
        <f t="shared" ref="E16" si="3">IF(AND(ISNUMBER(C16),ISNUMBER(D16)), C16-D16, "")</f>
        <v>-55641.71875</v>
      </c>
      <c r="F16" s="69">
        <f t="shared" ref="F16" si="4">IFERROR(E16/D16, "")</f>
        <v>-0.27943215730881599</v>
      </c>
      <c r="G16" s="58">
        <f>SUM(Jul!G16,Aug!G16,Sep!G16)</f>
        <v>163898.85999999999</v>
      </c>
      <c r="H16" s="58">
        <f>SUM(Jul!H16, Aug!H16, Sep!H16)</f>
        <v>-20416.328750000001</v>
      </c>
      <c r="I16" s="57">
        <f t="shared" ref="I16" si="5">IFERROR(H16/G16, "")</f>
        <v>-0.12456663060377603</v>
      </c>
    </row>
    <row r="17" spans="1:9" ht="15.6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6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6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6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6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6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MN8 Bond</v>
      </c>
      <c r="B1" s="94"/>
      <c r="C1" s="94"/>
      <c r="D1" s="95" t="s">
        <v>16</v>
      </c>
      <c r="E1" s="95"/>
      <c r="F1" s="95"/>
      <c r="G1" s="93" t="s">
        <v>17</v>
      </c>
      <c r="H1" s="93"/>
      <c r="I1" s="93"/>
    </row>
    <row r="2" spans="1:9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6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6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6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6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6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6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6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6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6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6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6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6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6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4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4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4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4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6">
      <c r="A1" s="94" t="str" cm="1">
        <f t="array" ref="A1">portfolio</f>
        <v>MN8 Bond</v>
      </c>
      <c r="B1" s="94"/>
      <c r="C1" s="94"/>
      <c r="D1" s="95" t="s">
        <v>18</v>
      </c>
      <c r="E1" s="95"/>
      <c r="F1" s="95"/>
      <c r="G1" s="93" t="s">
        <v>19</v>
      </c>
      <c r="H1" s="93"/>
      <c r="I1" s="93"/>
      <c r="J1" s="4"/>
      <c r="K1" s="4"/>
    </row>
    <row r="2" spans="1:11" ht="15.6">
      <c r="A2" s="96" t="s">
        <v>2</v>
      </c>
      <c r="B2" s="96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9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6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6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6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6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9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6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6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6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6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4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35</v>
      </c>
      <c r="E1" s="95"/>
      <c r="F1" s="95"/>
      <c r="G1" s="93" t="s">
        <v>36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5.15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43.1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9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6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6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6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6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6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6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9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53</v>
      </c>
      <c r="E1" s="95"/>
      <c r="F1" s="95"/>
      <c r="G1" s="93" t="s">
        <v>54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6.4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9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9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6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9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100.9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.6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6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9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9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9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4" t="str" cm="1">
        <f t="array" ref="A1">portfolio</f>
        <v>MN8 Bond</v>
      </c>
      <c r="B1" s="94"/>
      <c r="C1" s="94"/>
      <c r="D1" s="95" t="s">
        <v>76</v>
      </c>
      <c r="E1" s="95"/>
      <c r="F1" s="95"/>
      <c r="G1" s="93" t="s">
        <v>77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4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6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6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6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6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3.1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115.1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6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6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6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3.1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10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95</v>
      </c>
      <c r="E1" s="95"/>
      <c r="F1" s="95"/>
      <c r="G1" s="93" t="s">
        <v>96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6.4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.6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6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9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9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6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6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6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6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2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C4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115</v>
      </c>
      <c r="E1" s="95"/>
      <c r="F1" s="95"/>
      <c r="G1" s="93" t="s">
        <v>116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2.9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9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6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6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100.9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6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9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3.1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136</v>
      </c>
      <c r="E1" s="95"/>
      <c r="F1" s="95"/>
      <c r="G1" s="93" t="s">
        <v>137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3.1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2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9.6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6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6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6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216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6.4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6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3.1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6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3.1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33"/>
  <sheetViews>
    <sheetView tabSelected="1" workbookViewId="0">
      <pane xSplit="2" ySplit="3" topLeftCell="C6" activePane="bottomRight" state="frozen"/>
      <selection pane="bottomRight" activeCell="M6" sqref="M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4" t="str" cm="1">
        <f t="array" ref="A1">portfolio</f>
        <v>MN8 Bond</v>
      </c>
      <c r="B1" s="94"/>
      <c r="C1" s="94"/>
      <c r="D1" s="95" t="s">
        <v>156</v>
      </c>
      <c r="E1" s="95"/>
      <c r="F1" s="95"/>
      <c r="G1" s="93" t="s">
        <v>157</v>
      </c>
      <c r="H1" s="93"/>
      <c r="I1" s="93"/>
      <c r="J1" s="4"/>
      <c r="K1" s="4"/>
    </row>
    <row r="2" spans="1:13" ht="19.5" customHeight="1">
      <c r="A2" s="96" t="s">
        <v>2</v>
      </c>
      <c r="B2" s="96"/>
      <c r="C2" s="5">
        <f>SUM(C4:C91)</f>
        <v>2909641.2058147239</v>
      </c>
      <c r="D2" s="5">
        <f>SUM(D4:D91)</f>
        <v>3057942.0400000005</v>
      </c>
      <c r="E2" s="5">
        <f>C2-D2</f>
        <v>-148300.83418527665</v>
      </c>
      <c r="F2" s="6">
        <f>IFERROR(E2/D2, 0)</f>
        <v>-4.8496940833213639E-2</v>
      </c>
      <c r="G2" s="5">
        <f>SUM(G4:G91)</f>
        <v>2999052.19</v>
      </c>
      <c r="H2" s="7">
        <f>C2-G2</f>
        <v>-89410.984185276087</v>
      </c>
      <c r="I2" s="6">
        <f>IFERROR(H2/G2, 0)</f>
        <v>-2.9813080440349419E-2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30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454966.98179723701</v>
      </c>
      <c r="D4" s="11">
        <v>414521.59999999998</v>
      </c>
      <c r="E4" s="11">
        <f>IF(AND(ISNUMBER(C4),ISNUMBER(D4)), C4-D4, "")</f>
        <v>40445.381797237031</v>
      </c>
      <c r="F4" s="12">
        <f>IFERROR(E4/D4, "")</f>
        <v>9.7571228609647925E-2</v>
      </c>
      <c r="G4" s="13">
        <v>482624</v>
      </c>
      <c r="H4" s="13">
        <f>IF(AND(ISNUMBER(C4),ISNUMBER(G4)), C4-G4, "")</f>
        <v>-27657.018202762993</v>
      </c>
      <c r="I4" s="14">
        <f>IFERROR(H4/G4, "")</f>
        <v>-5.7305517758675477E-2</v>
      </c>
      <c r="J4" s="38" t="s">
        <v>158</v>
      </c>
      <c r="K4" s="38" t="s">
        <v>159</v>
      </c>
    </row>
    <row r="5" spans="1:13" ht="45.75">
      <c r="A5" s="28" t="str">
        <v>Clara Barton</v>
      </c>
      <c r="B5" s="29" t="str">
        <v>MA</v>
      </c>
      <c r="C5" s="10">
        <v>175048.85784313601</v>
      </c>
      <c r="D5" s="16">
        <v>173994</v>
      </c>
      <c r="E5" s="16">
        <f t="shared" ref="E5:E16" si="0">IF(AND(ISNUMBER(C5),ISNUMBER(D5)), C5-D5, "")</f>
        <v>1054.8578431360074</v>
      </c>
      <c r="F5" s="17">
        <f>IFERROR(E5/D5, "")</f>
        <v>6.0626104528662336E-3</v>
      </c>
      <c r="G5" s="18">
        <v>179739.1</v>
      </c>
      <c r="H5" s="18">
        <f t="shared" ref="H5:H16" si="1">IF(AND(ISNUMBER(C5),ISNUMBER(G5)), C5-G5, "")</f>
        <v>-4690.2421568639984</v>
      </c>
      <c r="I5" s="17">
        <f t="shared" ref="I5:I16" si="2">IFERROR(H5/G5, "")</f>
        <v>-2.6094723723797428E-2</v>
      </c>
      <c r="J5" s="39" t="s">
        <v>160</v>
      </c>
      <c r="K5" s="39" t="s">
        <v>161</v>
      </c>
    </row>
    <row r="6" spans="1:13" ht="106.5">
      <c r="A6" s="26" t="str">
        <v>Fairhaven Solar</v>
      </c>
      <c r="B6" s="27" t="str">
        <v>MA</v>
      </c>
      <c r="C6" s="22">
        <v>134803.17867435099</v>
      </c>
      <c r="D6" s="11">
        <v>145427.4</v>
      </c>
      <c r="E6" s="11">
        <f t="shared" si="0"/>
        <v>-10624.221325649007</v>
      </c>
      <c r="F6" s="12">
        <f t="shared" ref="F6:F16" si="3">IFERROR(E6/D6, "")</f>
        <v>-7.3055155532238125E-2</v>
      </c>
      <c r="G6" s="13">
        <v>134690.29999999999</v>
      </c>
      <c r="H6" s="13">
        <f t="shared" si="1"/>
        <v>112.87867435099906</v>
      </c>
      <c r="I6" s="14">
        <f t="shared" si="2"/>
        <v>8.3806090231441368E-4</v>
      </c>
      <c r="J6" s="38" t="s">
        <v>162</v>
      </c>
      <c r="K6" s="38" t="s">
        <v>163</v>
      </c>
    </row>
    <row r="7" spans="1:13" ht="15.75">
      <c r="A7" s="28" t="str">
        <v>Plympton-1</v>
      </c>
      <c r="B7" s="29" t="str">
        <v>MA</v>
      </c>
      <c r="C7" s="10">
        <v>180811</v>
      </c>
      <c r="D7" s="16">
        <v>186794.6</v>
      </c>
      <c r="E7" s="16">
        <f t="shared" si="0"/>
        <v>-5983.6000000000058</v>
      </c>
      <c r="F7" s="17">
        <f t="shared" si="3"/>
        <v>-3.2033045923169114E-2</v>
      </c>
      <c r="G7" s="18">
        <v>178084.1</v>
      </c>
      <c r="H7" s="18">
        <f t="shared" si="1"/>
        <v>2726.8999999999942</v>
      </c>
      <c r="I7" s="17">
        <f t="shared" si="2"/>
        <v>1.5312428229134404E-2</v>
      </c>
      <c r="J7" s="39" t="s">
        <v>164</v>
      </c>
      <c r="K7" s="39" t="s">
        <v>165</v>
      </c>
    </row>
    <row r="8" spans="1:13" ht="15.75">
      <c r="A8" s="26" t="str">
        <v>French River 2</v>
      </c>
      <c r="B8" s="27" t="str">
        <v>MA</v>
      </c>
      <c r="C8" s="22">
        <v>172036</v>
      </c>
      <c r="D8" s="11">
        <v>189602.3</v>
      </c>
      <c r="E8" s="11">
        <f t="shared" si="0"/>
        <v>-17566.299999999988</v>
      </c>
      <c r="F8" s="12">
        <f t="shared" si="3"/>
        <v>-9.2648137707190201E-2</v>
      </c>
      <c r="G8" s="13">
        <v>173372</v>
      </c>
      <c r="H8" s="13">
        <f t="shared" si="1"/>
        <v>-1336</v>
      </c>
      <c r="I8" s="14">
        <f t="shared" si="2"/>
        <v>-7.7059732828830491E-3</v>
      </c>
      <c r="J8" s="38"/>
      <c r="K8" s="38"/>
    </row>
    <row r="9" spans="1:13" ht="60.75">
      <c r="A9" s="28" t="str">
        <v>French River 3</v>
      </c>
      <c r="B9" s="29" t="str">
        <v>MA</v>
      </c>
      <c r="C9" s="10">
        <v>328039.25</v>
      </c>
      <c r="D9" s="16">
        <v>357655.8</v>
      </c>
      <c r="E9" s="16">
        <f t="shared" si="0"/>
        <v>-29616.549999999988</v>
      </c>
      <c r="F9" s="17">
        <f t="shared" si="3"/>
        <v>-8.2807408687346859E-2</v>
      </c>
      <c r="G9" s="18">
        <v>331443.90000000002</v>
      </c>
      <c r="H9" s="18">
        <f t="shared" si="1"/>
        <v>-3404.6500000000233</v>
      </c>
      <c r="I9" s="17">
        <f t="shared" si="2"/>
        <v>-1.027217577393949E-2</v>
      </c>
      <c r="J9" s="39" t="s">
        <v>166</v>
      </c>
      <c r="K9" s="40" t="s">
        <v>167</v>
      </c>
    </row>
    <row r="10" spans="1:13" ht="15.75">
      <c r="A10" s="26" t="str">
        <v>French River 4</v>
      </c>
      <c r="B10" s="27" t="str">
        <v>MA</v>
      </c>
      <c r="C10" s="22">
        <v>341836</v>
      </c>
      <c r="D10" s="11">
        <v>366046</v>
      </c>
      <c r="E10" s="11">
        <f t="shared" si="0"/>
        <v>-24210</v>
      </c>
      <c r="F10" s="12">
        <f t="shared" si="3"/>
        <v>-6.6139228402987596E-2</v>
      </c>
      <c r="G10" s="13">
        <v>345496.6</v>
      </c>
      <c r="H10" s="13">
        <f t="shared" si="1"/>
        <v>-3660.5999999999767</v>
      </c>
      <c r="I10" s="14">
        <f t="shared" si="2"/>
        <v>-1.059518385998582E-2</v>
      </c>
      <c r="J10" s="38" t="s">
        <v>168</v>
      </c>
      <c r="K10" s="38" t="s">
        <v>169</v>
      </c>
    </row>
    <row r="11" spans="1:13" ht="106.5">
      <c r="A11" s="28" t="str">
        <v>French River 5</v>
      </c>
      <c r="B11" s="29" t="str">
        <v>MA</v>
      </c>
      <c r="C11" s="10">
        <v>318337</v>
      </c>
      <c r="D11" s="16">
        <v>352878</v>
      </c>
      <c r="E11" s="16">
        <f t="shared" si="0"/>
        <v>-34541</v>
      </c>
      <c r="F11" s="17">
        <f t="shared" si="3"/>
        <v>-9.7883687846791245E-2</v>
      </c>
      <c r="G11" s="18">
        <v>339264.5</v>
      </c>
      <c r="H11" s="18">
        <f t="shared" si="1"/>
        <v>-20927.5</v>
      </c>
      <c r="I11" s="17">
        <f t="shared" si="2"/>
        <v>-6.1684909561713651E-2</v>
      </c>
      <c r="J11" s="39" t="s">
        <v>170</v>
      </c>
      <c r="K11" s="39" t="s">
        <v>171</v>
      </c>
      <c r="L11" s="92"/>
    </row>
    <row r="12" spans="1:13" ht="137.25">
      <c r="A12" s="26" t="str">
        <v>French River 6</v>
      </c>
      <c r="B12" s="27" t="str">
        <v>MA</v>
      </c>
      <c r="C12" s="22">
        <v>306023</v>
      </c>
      <c r="D12" s="11">
        <v>297042.59999999998</v>
      </c>
      <c r="E12" s="11">
        <f t="shared" si="0"/>
        <v>8980.4000000000233</v>
      </c>
      <c r="F12" s="12">
        <f t="shared" si="3"/>
        <v>3.0232700629472083E-2</v>
      </c>
      <c r="G12" s="13">
        <v>325491.5</v>
      </c>
      <c r="H12" s="13">
        <f t="shared" si="1"/>
        <v>-19468.5</v>
      </c>
      <c r="I12" s="14">
        <f t="shared" si="2"/>
        <v>-5.9812621834978791E-2</v>
      </c>
      <c r="J12" s="38" t="s">
        <v>172</v>
      </c>
      <c r="K12" s="38" t="s">
        <v>173</v>
      </c>
    </row>
    <row r="13" spans="1:13" ht="15.75">
      <c r="A13" s="28" t="str">
        <v>Stillwater River 1A</v>
      </c>
      <c r="B13" s="29" t="str">
        <v>MA</v>
      </c>
      <c r="C13" s="10">
        <v>85150.8125</v>
      </c>
      <c r="D13" s="16">
        <v>89643.39</v>
      </c>
      <c r="E13" s="16">
        <f t="shared" si="0"/>
        <v>-4492.5774999999994</v>
      </c>
      <c r="F13" s="17">
        <f t="shared" si="3"/>
        <v>-5.0116104489131875E-2</v>
      </c>
      <c r="G13" s="18">
        <v>83519.09</v>
      </c>
      <c r="H13" s="18">
        <f t="shared" si="1"/>
        <v>1631.7225000000035</v>
      </c>
      <c r="I13" s="17">
        <f t="shared" si="2"/>
        <v>1.953712019611329E-2</v>
      </c>
      <c r="J13" s="39"/>
      <c r="K13" s="40"/>
    </row>
    <row r="14" spans="1:13" ht="15.75">
      <c r="A14" s="26" t="str">
        <v>Stillwater River 2</v>
      </c>
      <c r="B14" s="27" t="str">
        <v>MA</v>
      </c>
      <c r="C14" s="22">
        <v>170522</v>
      </c>
      <c r="D14" s="11">
        <v>199521.3</v>
      </c>
      <c r="E14" s="11">
        <f t="shared" si="0"/>
        <v>-28999.299999999988</v>
      </c>
      <c r="F14" s="12">
        <f t="shared" si="3"/>
        <v>-0.14534438177778508</v>
      </c>
      <c r="G14" s="13">
        <v>174891.6</v>
      </c>
      <c r="H14" s="13">
        <f t="shared" si="1"/>
        <v>-4369.6000000000058</v>
      </c>
      <c r="I14" s="14">
        <f t="shared" si="2"/>
        <v>-2.4984619044025016E-2</v>
      </c>
      <c r="J14" s="38" t="s">
        <v>174</v>
      </c>
      <c r="K14" s="38" t="s">
        <v>175</v>
      </c>
    </row>
    <row r="15" spans="1:13" ht="15.75">
      <c r="A15" s="28" t="str">
        <v>Stillwater River 3</v>
      </c>
      <c r="B15" s="29" t="str">
        <v>MA</v>
      </c>
      <c r="C15" s="10">
        <v>172149</v>
      </c>
      <c r="D15" s="16">
        <v>189276.1</v>
      </c>
      <c r="E15" s="16">
        <f t="shared" si="0"/>
        <v>-17127.100000000006</v>
      </c>
      <c r="F15" s="17">
        <f t="shared" si="3"/>
        <v>-9.0487388529243817E-2</v>
      </c>
      <c r="G15" s="18">
        <v>172179.4</v>
      </c>
      <c r="H15" s="18">
        <f t="shared" si="1"/>
        <v>-30.399999999994179</v>
      </c>
      <c r="I15" s="17">
        <f t="shared" si="2"/>
        <v>-1.765600298293186E-4</v>
      </c>
      <c r="J15" s="39" t="s">
        <v>176</v>
      </c>
      <c r="K15" s="39" t="s">
        <v>177</v>
      </c>
    </row>
    <row r="16" spans="1:13" ht="91.5">
      <c r="A16" s="26" t="str">
        <v>Stillwater River 4</v>
      </c>
      <c r="B16" s="27" t="str">
        <v>MA</v>
      </c>
      <c r="C16" s="22">
        <v>69918.125</v>
      </c>
      <c r="D16" s="11">
        <v>95538.95</v>
      </c>
      <c r="E16" s="11">
        <f t="shared" si="0"/>
        <v>-25620.824999999997</v>
      </c>
      <c r="F16" s="12">
        <f t="shared" si="3"/>
        <v>-0.26817151538717976</v>
      </c>
      <c r="G16" s="13">
        <v>78256.100000000006</v>
      </c>
      <c r="H16" s="13">
        <f t="shared" si="1"/>
        <v>-8337.9750000000058</v>
      </c>
      <c r="I16" s="14">
        <f t="shared" si="2"/>
        <v>-0.10654728513176616</v>
      </c>
      <c r="J16" s="38" t="s">
        <v>178</v>
      </c>
      <c r="K16" s="38" t="s">
        <v>179</v>
      </c>
      <c r="M16" s="92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180</v>
      </c>
      <c r="E1" s="95"/>
      <c r="F1" s="95"/>
      <c r="G1" s="93" t="s">
        <v>181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182</v>
      </c>
      <c r="E1" s="95"/>
      <c r="F1" s="95"/>
      <c r="G1" s="93" t="s">
        <v>183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184</v>
      </c>
      <c r="E1" s="95"/>
      <c r="F1" s="95"/>
      <c r="G1" s="93" t="s">
        <v>185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MN8 Bond</v>
      </c>
      <c r="B1" s="94"/>
      <c r="C1" s="94"/>
      <c r="D1" s="95" t="s">
        <v>186</v>
      </c>
      <c r="E1" s="95"/>
      <c r="F1" s="95"/>
      <c r="G1" s="93" t="s">
        <v>187</v>
      </c>
      <c r="H1" s="93"/>
      <c r="I1" s="93"/>
      <c r="J1" s="4"/>
      <c r="K1" s="4"/>
    </row>
    <row r="2" spans="1:11" ht="19.5" customHeight="1">
      <c r="A2" s="96" t="s">
        <v>2</v>
      </c>
      <c r="B2" s="96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188</v>
      </c>
      <c r="B1" t="s">
        <v>189</v>
      </c>
    </row>
    <row r="3" spans="1:12" ht="13.15">
      <c r="A3" t="s">
        <v>190</v>
      </c>
      <c r="B3" t="s">
        <v>3</v>
      </c>
      <c r="C3" t="s">
        <v>4</v>
      </c>
      <c r="D3" t="s">
        <v>191</v>
      </c>
      <c r="E3" s="2" t="s">
        <v>192</v>
      </c>
    </row>
    <row r="4" spans="1:12" ht="14.45">
      <c r="A4" s="46" t="s">
        <v>193</v>
      </c>
      <c r="B4" t="s">
        <v>194</v>
      </c>
      <c r="C4" s="45" t="s">
        <v>195</v>
      </c>
      <c r="D4" s="44" t="s">
        <v>196</v>
      </c>
      <c r="E4" t="s">
        <v>197</v>
      </c>
      <c r="G4" s="3"/>
    </row>
    <row r="5" spans="1:12" ht="14.45">
      <c r="A5" s="46" t="s">
        <v>198</v>
      </c>
      <c r="B5" t="s">
        <v>199</v>
      </c>
      <c r="C5" s="45" t="s">
        <v>195</v>
      </c>
      <c r="D5" s="44" t="s">
        <v>196</v>
      </c>
      <c r="E5" t="s">
        <v>197</v>
      </c>
      <c r="G5" s="3"/>
    </row>
    <row r="6" spans="1:12" ht="14.45">
      <c r="A6" s="46" t="s">
        <v>200</v>
      </c>
      <c r="B6" t="s">
        <v>201</v>
      </c>
      <c r="C6" s="45" t="s">
        <v>195</v>
      </c>
      <c r="D6" s="44" t="s">
        <v>196</v>
      </c>
      <c r="E6" t="s">
        <v>197</v>
      </c>
      <c r="G6" s="3"/>
    </row>
    <row r="7" spans="1:12" ht="12.75" customHeight="1">
      <c r="A7" s="46" t="s">
        <v>202</v>
      </c>
      <c r="B7" t="s">
        <v>203</v>
      </c>
      <c r="C7" s="45" t="s">
        <v>195</v>
      </c>
      <c r="D7" s="44" t="s">
        <v>196</v>
      </c>
      <c r="E7" t="s">
        <v>197</v>
      </c>
    </row>
    <row r="8" spans="1:12" ht="12.75" customHeight="1">
      <c r="A8" s="46" t="s">
        <v>204</v>
      </c>
      <c r="B8" t="s">
        <v>205</v>
      </c>
      <c r="C8" s="45" t="s">
        <v>195</v>
      </c>
      <c r="D8" s="44" t="s">
        <v>196</v>
      </c>
      <c r="E8" t="s">
        <v>197</v>
      </c>
    </row>
    <row r="9" spans="1:12" ht="12.75" customHeight="1">
      <c r="A9" s="46" t="s">
        <v>206</v>
      </c>
      <c r="B9" t="s">
        <v>207</v>
      </c>
      <c r="C9" s="45" t="s">
        <v>195</v>
      </c>
      <c r="D9" s="44" t="s">
        <v>196</v>
      </c>
      <c r="E9" t="s">
        <v>197</v>
      </c>
    </row>
    <row r="10" spans="1:12" ht="12.75" customHeight="1">
      <c r="A10" s="46" t="s">
        <v>208</v>
      </c>
      <c r="B10" t="s">
        <v>209</v>
      </c>
      <c r="C10" s="45" t="s">
        <v>195</v>
      </c>
      <c r="D10" s="44" t="s">
        <v>196</v>
      </c>
      <c r="E10" t="s">
        <v>197</v>
      </c>
      <c r="K10" s="41"/>
      <c r="L10" s="41"/>
    </row>
    <row r="11" spans="1:12" ht="12.75" customHeight="1">
      <c r="A11" s="46" t="s">
        <v>210</v>
      </c>
      <c r="B11" t="s">
        <v>211</v>
      </c>
      <c r="C11" s="45" t="s">
        <v>195</v>
      </c>
      <c r="D11" s="44" t="s">
        <v>196</v>
      </c>
      <c r="E11" t="s">
        <v>197</v>
      </c>
      <c r="K11" s="41"/>
      <c r="L11" s="41"/>
    </row>
    <row r="12" spans="1:12" ht="12.75" customHeight="1">
      <c r="A12" s="46" t="s">
        <v>212</v>
      </c>
      <c r="B12" t="s">
        <v>213</v>
      </c>
      <c r="C12" s="45" t="s">
        <v>195</v>
      </c>
      <c r="D12" s="44" t="s">
        <v>196</v>
      </c>
      <c r="E12" t="s">
        <v>197</v>
      </c>
      <c r="K12" s="41"/>
      <c r="L12" s="41"/>
    </row>
    <row r="13" spans="1:12" ht="12.75" customHeight="1">
      <c r="A13" s="46" t="s">
        <v>214</v>
      </c>
      <c r="B13" t="s">
        <v>215</v>
      </c>
      <c r="C13" s="45" t="s">
        <v>195</v>
      </c>
      <c r="D13" s="44" t="s">
        <v>196</v>
      </c>
      <c r="E13" t="s">
        <v>197</v>
      </c>
      <c r="K13" s="41"/>
      <c r="L13" s="41"/>
    </row>
    <row r="14" spans="1:12" ht="12.75" customHeight="1">
      <c r="A14" s="46" t="s">
        <v>216</v>
      </c>
      <c r="B14" t="s">
        <v>217</v>
      </c>
      <c r="C14" s="45" t="s">
        <v>195</v>
      </c>
      <c r="D14" s="44" t="s">
        <v>196</v>
      </c>
      <c r="E14" t="s">
        <v>197</v>
      </c>
      <c r="K14" s="41"/>
      <c r="L14" s="41"/>
    </row>
    <row r="15" spans="1:12" ht="12.75" customHeight="1">
      <c r="A15" s="46" t="s">
        <v>218</v>
      </c>
      <c r="B15" t="s">
        <v>219</v>
      </c>
      <c r="C15" s="45" t="s">
        <v>195</v>
      </c>
      <c r="D15" s="44" t="s">
        <v>196</v>
      </c>
      <c r="E15" t="s">
        <v>197</v>
      </c>
      <c r="K15" s="41"/>
      <c r="L15" s="41"/>
    </row>
    <row r="16" spans="1:12" ht="12.75" customHeight="1">
      <c r="A16" s="46" t="s">
        <v>220</v>
      </c>
      <c r="B16" t="s">
        <v>221</v>
      </c>
      <c r="C16" s="45" t="s">
        <v>195</v>
      </c>
      <c r="D16" s="44" t="s">
        <v>196</v>
      </c>
      <c r="E16" t="s">
        <v>197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2024-09-18T22:53:49Z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14c1357c-7e3f-4b4b-8508-3273848b879e</vt:lpwstr>
  </property>
  <property fmtid="{D5CDD505-2E9C-101B-9397-08002B2CF9AE}" pid="9" name="MSIP_Label_9d817c99-0b37-4a07-8277-96aa1f96b74b_ContentBits">
    <vt:lpwstr>0</vt:lpwstr>
  </property>
</Properties>
</file>