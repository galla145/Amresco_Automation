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32" documentId="13_ncr:1_{440A3837-533F-411D-9F35-7038C5D69041}" xr6:coauthVersionLast="47" xr6:coauthVersionMax="47" xr10:uidLastSave="{841CB36F-11B9-43FD-8706-E625AD6C2A42}"/>
  <bookViews>
    <workbookView xWindow="28680" yWindow="-120" windowWidth="29040" windowHeight="15720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4" l="1"/>
  <c r="E7" i="33"/>
  <c r="F7" i="33" s="1"/>
  <c r="H7" i="33"/>
  <c r="I7" i="33" s="1"/>
  <c r="E7" i="32"/>
  <c r="F7" i="32" s="1"/>
  <c r="H7" i="32"/>
  <c r="I7" i="32" s="1"/>
  <c r="E7" i="31"/>
  <c r="F7" i="31"/>
  <c r="H7" i="31"/>
  <c r="I7" i="31" s="1"/>
  <c r="E7" i="28"/>
  <c r="F7" i="28" s="1"/>
  <c r="H7" i="28"/>
  <c r="I7" i="28" s="1"/>
  <c r="C7" i="30"/>
  <c r="D7" i="30"/>
  <c r="C7" i="29"/>
  <c r="C7" i="34" s="1"/>
  <c r="D7" i="29"/>
  <c r="D7" i="34" s="1"/>
  <c r="G7" i="29"/>
  <c r="G7" i="34" s="1"/>
  <c r="C7" i="1"/>
  <c r="D7" i="1"/>
  <c r="E7" i="1"/>
  <c r="F7" i="1" s="1"/>
  <c r="G7" i="1"/>
  <c r="H7" i="1"/>
  <c r="I7" i="1"/>
  <c r="G7" i="18"/>
  <c r="C7" i="18"/>
  <c r="D7" i="18"/>
  <c r="E7" i="18"/>
  <c r="F7" i="18" s="1"/>
  <c r="H7" i="18"/>
  <c r="I7" i="18"/>
  <c r="H7" i="27"/>
  <c r="I7" i="27" s="1"/>
  <c r="E7" i="27"/>
  <c r="F7" i="27" s="1"/>
  <c r="E7" i="21"/>
  <c r="F7" i="21" s="1"/>
  <c r="H7" i="21"/>
  <c r="I7" i="21" s="1"/>
  <c r="E7" i="4"/>
  <c r="F7" i="4" s="1"/>
  <c r="H7" i="4"/>
  <c r="I7" i="4" s="1"/>
  <c r="E7" i="3"/>
  <c r="F7" i="3" s="1"/>
  <c r="H7" i="3"/>
  <c r="I7" i="3" s="1"/>
  <c r="E7" i="72"/>
  <c r="F7" i="72" s="1"/>
  <c r="H7" i="72"/>
  <c r="I7" i="72" s="1"/>
  <c r="E7" i="20"/>
  <c r="F7" i="20" s="1"/>
  <c r="H7" i="20"/>
  <c r="I7" i="20" s="1"/>
  <c r="E7" i="19"/>
  <c r="F7" i="19" s="1"/>
  <c r="H7" i="19"/>
  <c r="I7" i="19"/>
  <c r="E7" i="26"/>
  <c r="F7" i="26" s="1"/>
  <c r="H7" i="26"/>
  <c r="G5" i="29"/>
  <c r="G6" i="29"/>
  <c r="G4" i="29"/>
  <c r="D4" i="29"/>
  <c r="G6" i="18"/>
  <c r="G5" i="18"/>
  <c r="G4" i="18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4" i="1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D6" i="34" s="1"/>
  <c r="C6" i="29"/>
  <c r="C6" i="34" s="1"/>
  <c r="D5" i="29"/>
  <c r="D5" i="34" s="1"/>
  <c r="C5" i="29"/>
  <c r="C4" i="29"/>
  <c r="D6" i="18"/>
  <c r="C6" i="18"/>
  <c r="D5" i="18"/>
  <c r="C5" i="18"/>
  <c r="E5" i="18" s="1"/>
  <c r="F5" i="18" s="1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E7" i="34" l="1"/>
  <c r="F7" i="34" s="1"/>
  <c r="I7" i="26"/>
  <c r="H7" i="29"/>
  <c r="H7" i="30"/>
  <c r="I7" i="30" s="1"/>
  <c r="E7" i="30"/>
  <c r="F7" i="30" s="1"/>
  <c r="E7" i="29"/>
  <c r="F7" i="29" s="1"/>
  <c r="G2" i="29"/>
  <c r="H6" i="29"/>
  <c r="E5" i="29"/>
  <c r="F5" i="29" s="1"/>
  <c r="D2" i="29"/>
  <c r="C5" i="34"/>
  <c r="E6" i="18"/>
  <c r="F6" i="18" s="1"/>
  <c r="D2" i="18"/>
  <c r="G4" i="34"/>
  <c r="G5" i="34"/>
  <c r="G2" i="18"/>
  <c r="E4" i="18"/>
  <c r="F4" i="18" s="1"/>
  <c r="C4" i="34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H5" i="18"/>
  <c r="I5" i="18" s="1"/>
  <c r="C2" i="29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7" i="29" l="1"/>
  <c r="H7" i="34"/>
  <c r="I7" i="34" s="1"/>
  <c r="I6" i="29"/>
  <c r="H6" i="34"/>
  <c r="I6" i="34" s="1"/>
  <c r="E2" i="29"/>
  <c r="F2" i="29" s="1"/>
  <c r="I5" i="34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<sst xmlns="http://schemas.openxmlformats.org/spreadsheetml/2006/main" count="285" uniqueCount="90">
  <si>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</si>
  <si>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</si>
  <si>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</si>
  <si>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</si>
  <si>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</si>
  <si>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</si>
  <si>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</si>
  <si>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</si>
  <si>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</si>
  <si>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</si>
  <si>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</si>
  <si>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</si>
  <si>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</si>
  <si>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</si>
  <si>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</si>
  <si>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</si>
  <si>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</si>
  <si>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</si>
  <si>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</si>
  <si>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</si>
  <si>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</si>
  <si>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</si>
  <si>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tripped offline on 01/10/2024 at 01:31 &amp; back online at 08:45</t>
  </si>
  <si>
    <t>1.SR080111</t>
  </si>
  <si>
    <t xml:space="preserve">1. Site tripped offline on 01/09/2024 at 14:30 &amp; back online on 01/12/2024 at 17:00. 
2. Inverter 2 tripped offline on 01/24/2024 at 14:00 &amp; back online on 01/25 at 10:00 </t>
  </si>
  <si>
    <t>1. SR080100
2. SR080446</t>
  </si>
  <si>
    <t>1. Site came back online from 02/29/2024</t>
  </si>
  <si>
    <t>1. SR079012</t>
  </si>
  <si>
    <t>February Actual v. Expected</t>
  </si>
  <si>
    <t>February Actual v. Forecasted</t>
  </si>
  <si>
    <t>1. Site tripped offline 2 times on 02/27 due to battery &amp; SEL relay settings and got autoreclosed on same day.</t>
  </si>
  <si>
    <t>1. 	SR080479</t>
  </si>
  <si>
    <t>1. Site is underproducing due to broken modules. 23 modules being replaced</t>
  </si>
  <si>
    <t>1. 	SR079138,SR079012</t>
  </si>
  <si>
    <t>March Actual v. Expected</t>
  </si>
  <si>
    <t>March Actual v. Forecasted</t>
  </si>
  <si>
    <t xml:space="preserve">1. Site was offline from 07:00 to 15:15 on 03/20/2024. 
</t>
  </si>
  <si>
    <t>1.SR082491</t>
  </si>
  <si>
    <t xml:space="preserve">1. inverters 22,23,24,25,26,27, and 28 are underproducing from 12 pm to the end of the day on 03/11, 03/12 , 03/13, &amp; continued from 03/24 throughout the month. </t>
  </si>
  <si>
    <t>1.SR081903</t>
  </si>
  <si>
    <t>April Actual v. Expected</t>
  </si>
  <si>
    <t>April Actual v. Forecasted</t>
  </si>
  <si>
    <t>1. Site tripped offline at 09:50 on 04/11 &amp; back online 04/12. 
2.Inverters 22,23,24,25,26,27, and 28 are underproducing from 12 pm most of the days till 04/16</t>
  </si>
  <si>
    <t>1.SR083325
2.SR081903</t>
  </si>
  <si>
    <t>May Actual v. Expected</t>
  </si>
  <si>
    <t>May Actual v. Forecasted</t>
  </si>
  <si>
    <t>1. Site tripped offline at 06:15AM on 05/25 and back online on 05/28 at 08:40 AM.</t>
  </si>
  <si>
    <t>1.SR085147</t>
  </si>
  <si>
    <t>June Actual v. Expected</t>
  </si>
  <si>
    <t>June Actual v. Forecasted</t>
  </si>
  <si>
    <t>1. Site tripped offline from 22:45 on 06/05 and back online at 08:30 on 06/06
2. Inverters 2,20,21 are underperforming compared to its peers 10 kW each and resolved on 06/27.</t>
  </si>
  <si>
    <t>1. SR085608
2. 	SR086331</t>
  </si>
  <si>
    <t>1. Inverter 23 is started to overheat and underperforming 40kW from 10:00AM on 06/17 and resolved on 06/18. 
2. Site tripped offline from 02:00AM on 06/24 and back online at 07:30 on 06/25</t>
  </si>
  <si>
    <t>1. SR086327
2. SR086819</t>
  </si>
  <si>
    <t>July Actual v. Expected</t>
  </si>
  <si>
    <t>July Actual v. Forecasted</t>
  </si>
  <si>
    <t>1.Inverter  8 has started to derate by approximately 25 kW and also inverter having some rapid tripping events during high irradiance  from 07/08.
2.Site tripped offline at 15:00PM on 07/15 and back online at 16:45PM on 07/15.</t>
  </si>
  <si>
    <t>1.SR087484
2.SR087726</t>
  </si>
  <si>
    <t>1.Inverter 1 offline from 07/02 and back online on 07/25.</t>
  </si>
  <si>
    <t>1.SR087306,SR088250</t>
  </si>
  <si>
    <t>August Actual v. Expected</t>
  </si>
  <si>
    <t>August Actual v. Forecasted</t>
  </si>
  <si>
    <t>1. Site tripped offline at 15:30 on 08/17 and was re-energized at 09:00 on 08/18. Site was offline from morning and back online at 12:00PM on 08/19 
2. Inverters started late for production throughout the month. Technician updated the ISO parameters and resolved the issue on 08/28</t>
  </si>
  <si>
    <t>1. SR089200
2. SR089393</t>
  </si>
  <si>
    <t xml:space="preserve">1. Inverter 24 had tripping event on 08/12,08/15 and was offline from 08/17. Technician replaced connector and inverter is back online at 08:30 on 08/22 </t>
  </si>
  <si>
    <t>1. 	SR088921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</si>
  <si>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</si>
  <si>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</si>
  <si>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</si>
  <si>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</si>
  <si>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</si>
  <si>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</si>
  <si>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</si>
  <si>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</si>
  <si>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</si>
  <si>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</si>
  <si>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</si>
  <si>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</si>
  <si>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</si>
  <si>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</si>
  <si>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</si>
  <si>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</si>
  <si>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AEF</t>
  </si>
  <si>
    <t>PowerTrack</t>
  </si>
  <si>
    <t>Bullis</t>
  </si>
  <si>
    <t>NY</t>
  </si>
  <si>
    <t>Rock Island NY (Renew Prop)</t>
  </si>
  <si>
    <t>Rock Island</t>
  </si>
  <si>
    <t xml:space="preserve"> Lockport - Slayton A &amp; B</t>
  </si>
  <si>
    <t>Slayton A &amp;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</si>
</sst>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vertical="top" wrapText="1"/>
    </xf>
    <xf numFmtId="0" fontId="22" fillId="0" borderId="0" xfId="43" applyFont="1"/>
    <xf numFmtId="9" fontId="30" fillId="3" borderId="12" xfId="2" applyFont="1" applyFill="1" applyBorder="1" applyAlignment="1">
      <alignment horizontal="center" vertical="center"/>
    </xf>
    <xf numFmtId="0" fontId="32" fillId="0" borderId="1" xfId="0" applyFont="1" applyBorder="1"/>
    <xf numFmtId="0" fontId="22" fillId="0" borderId="0" xfId="43" applyFont="1" applyAlignment="1">
      <alignment horizontal="left" vertical="top" wrapText="1"/>
    </xf>
    <xf numFmtId="0" fontId="3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F6" sqref="F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0</v>
      </c>
      <c r="E1" s="74"/>
      <c r="F1" s="74"/>
      <c r="G1" s="72" t="s">
        <v>1</v>
      </c>
      <c r="H1" s="72"/>
      <c r="I1" s="72"/>
    </row>
    <row r="2" spans="1:9" ht="19.5" customHeight="1">
      <c r="A2" s="75" t="s">
        <v>2</v>
      </c>
      <c r="B2" s="75"/>
      <c r="C2" s="5">
        <f>SUM(C4:C80)</f>
        <v>10634871</v>
      </c>
      <c r="D2" s="5">
        <f>SUM(D4:D80)</f>
        <v>10833626.313099999</v>
      </c>
      <c r="E2" s="5">
        <f>C2-D2</f>
        <v>-198755.31309999898</v>
      </c>
      <c r="F2" s="6">
        <f>IFERROR(E2/D2, 0)</f>
        <v>-1.8346148127673968E-2</v>
      </c>
      <c r="G2" s="5">
        <f>SUM(G4:G80)</f>
        <v>12405692.313999999</v>
      </c>
      <c r="H2" s="7">
        <f>C2-G2</f>
        <v>-1770821.3139999993</v>
      </c>
      <c r="I2" s="6">
        <f>IFERROR(H2/G2, 0)</f>
        <v>-0.1427426433913408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31" t="str" cm="1">
        <f t="array" ref="A4:A7">Sites[Site]</f>
        <v>Cedar Swamp Rd</v>
      </c>
      <c r="B4" s="32" t="str" cm="1">
        <f t="array" ref="B4:B7">Sites[State]</f>
        <v>MA</v>
      </c>
      <c r="C4" s="33">
        <f>SUM('1st Qtr'!C4, '2nd Qtr'!C4, '3rd Qtr'!C4, '4th Qtr'!C4)</f>
        <v>935394.5</v>
      </c>
      <c r="D4" s="34">
        <f>SUM('1st Qtr'!D4, '2nd Qtr'!D4, '3rd Qtr'!D4, '4th Qtr'!D4)</f>
        <v>843652.90299999993</v>
      </c>
      <c r="E4" s="34">
        <f>IF(AND(ISNUMBER(C4),ISNUMBER(D4)), C4-D4, "")</f>
        <v>91741.597000000067</v>
      </c>
      <c r="F4" s="35">
        <f>IFERROR(E4/D4, "")</f>
        <v>0.10874329558254371</v>
      </c>
      <c r="G4" s="36">
        <f>SUM('1st Qtr'!G4, '2nd Qtr'!G4, '3rd Qtr'!G4, '4th Qtr'!G4)</f>
        <v>846549.68400000012</v>
      </c>
      <c r="H4" s="36">
        <f>SUM('1st Qtr'!H4, '2nd Qtr'!H4, '3rd Qtr'!H4, '4th Qtr'!H4)</f>
        <v>88844.816000000006</v>
      </c>
      <c r="I4" s="37">
        <f>IFERROR(H4/G4, "")</f>
        <v>0.10494932273815602</v>
      </c>
    </row>
    <row r="5" spans="1:9" ht="15.6">
      <c r="A5" s="38" t="str">
        <v>Bullis</v>
      </c>
      <c r="B5" s="39" t="str">
        <v>NY</v>
      </c>
      <c r="C5" s="41">
        <f>SUM('1st Qtr'!C5, '2nd Qtr'!C5, '3rd Qtr'!C5, '4th Qtr'!C5)</f>
        <v>5458461.5</v>
      </c>
      <c r="D5" s="41">
        <f>SUM('1st Qtr'!D5, '2nd Qtr'!D5, '3rd Qtr'!D5, '4th Qtr'!D5)</f>
        <v>5413146.7489999998</v>
      </c>
      <c r="E5" s="41">
        <f t="shared" ref="E5:E6" si="0">IF(AND(ISNUMBER(C5),ISNUMBER(D5)), C5-D5, "")</f>
        <v>45314.751000000164</v>
      </c>
      <c r="F5" s="42">
        <f>IFERROR(E5/D5, "")</f>
        <v>8.3712400755385774E-3</v>
      </c>
      <c r="G5" s="43">
        <f>SUM('1st Qtr'!G5, '2nd Qtr'!G5, '3rd Qtr'!G5, '4th Qtr'!G5)</f>
        <v>6361592.3600000003</v>
      </c>
      <c r="H5" s="43">
        <f>SUM('1st Qtr'!H5, '2nd Qtr'!H5, '3rd Qtr'!H5, '4th Qtr'!H5)</f>
        <v>-903130.86</v>
      </c>
      <c r="I5" s="42">
        <f>IFERROR(H5/G5, "")</f>
        <v>-0.14196616332706988</v>
      </c>
    </row>
    <row r="6" spans="1:9" ht="15.6">
      <c r="A6" s="31" t="str">
        <v>Rock Island</v>
      </c>
      <c r="B6" s="32" t="str">
        <v>NY</v>
      </c>
      <c r="C6" s="33">
        <f>SUM('1st Qtr'!C6, '2nd Qtr'!C6, '3rd Qtr'!C6, '4th Qtr'!C6)</f>
        <v>4241015</v>
      </c>
      <c r="D6" s="34">
        <f>SUM('1st Qtr'!D6, '2nd Qtr'!D6, '3rd Qtr'!D6, '4th Qtr'!D6)</f>
        <v>4576826.6611000001</v>
      </c>
      <c r="E6" s="34">
        <f t="shared" si="0"/>
        <v>-335811.66110000014</v>
      </c>
      <c r="F6" s="35">
        <f t="shared" ref="F6" si="1">IFERROR(E6/D6, "")</f>
        <v>-7.3372160661922634E-2</v>
      </c>
      <c r="G6" s="36">
        <f>SUM('1st Qtr'!G6, '2nd Qtr'!G6, '3rd Qtr'!G6, '4th Qtr'!G6)</f>
        <v>5197550.2699999996</v>
      </c>
      <c r="H6" s="36">
        <f>SUM('1st Qtr'!H6, '2nd Qtr'!H6, '3rd Qtr'!H6, '4th Qtr'!H6)</f>
        <v>-956535.27</v>
      </c>
      <c r="I6" s="37">
        <f t="shared" ref="I6" si="2">IFERROR(H6/G6, "")</f>
        <v>-0.18403578999919901</v>
      </c>
    </row>
    <row r="7" spans="1:9" ht="15.6">
      <c r="A7" s="31" t="str">
        <v>Slayton A &amp; B</v>
      </c>
      <c r="B7" s="32" t="str">
        <v>NY</v>
      </c>
      <c r="C7" s="33">
        <f>SUM('1st Qtr'!C7, '2nd Qtr'!C7, '3rd Qtr'!C7, '4th Qtr'!C7)</f>
        <v>0</v>
      </c>
      <c r="D7" s="34">
        <f>SUM('1st Qtr'!D7, '2nd Qtr'!D7, '3rd Qtr'!D7, '4th Qtr'!D7)</f>
        <v>0</v>
      </c>
      <c r="E7" s="34">
        <f t="shared" ref="E7" si="3">IF(AND(ISNUMBER(C7),ISNUMBER(D7)), C7-D7, "")</f>
        <v>0</v>
      </c>
      <c r="F7" s="35" t="str">
        <f t="shared" ref="F7" si="4">IFERROR(E7/D7, "")</f>
        <v/>
      </c>
      <c r="G7" s="43">
        <f>SUM('1st Qtr'!G7, '2nd Qtr'!G7, '3rd Qtr'!G7, '4th Qtr'!G7)</f>
        <v>0</v>
      </c>
      <c r="H7" s="43">
        <f>SUM('1st Qtr'!H7, '2nd Qtr'!H7, '3rd Qtr'!H7, '4th Qtr'!H7)</f>
        <v>0</v>
      </c>
      <c r="I7" s="37" t="str">
        <f t="shared" ref="I7" si="5">IFERROR(H7/G7, "")</f>
        <v/>
      </c>
    </row>
    <row r="8" spans="1:9" ht="13.9">
      <c r="A8" s="14"/>
      <c r="B8" s="14"/>
      <c r="C8" s="14"/>
      <c r="D8" s="14"/>
      <c r="E8" s="14"/>
      <c r="F8" s="14"/>
      <c r="G8" s="14"/>
      <c r="H8" s="14"/>
      <c r="I8" s="14"/>
    </row>
    <row r="9" spans="1:9" ht="13.9">
      <c r="A9" s="14"/>
      <c r="B9" s="14"/>
      <c r="C9" s="14"/>
      <c r="D9" s="14"/>
      <c r="E9" s="14"/>
      <c r="F9" s="14"/>
      <c r="G9" s="14"/>
      <c r="H9" s="14"/>
      <c r="I9" s="14"/>
    </row>
    <row r="10" spans="1:9" ht="13.9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9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E6" sqref="E6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10</v>
      </c>
      <c r="E1" s="74"/>
      <c r="F1" s="74"/>
      <c r="G1" s="72" t="s">
        <v>11</v>
      </c>
      <c r="H1" s="72"/>
      <c r="I1" s="72"/>
    </row>
    <row r="2" spans="1:9" ht="19.5" customHeight="1">
      <c r="A2" s="75" t="s">
        <v>2</v>
      </c>
      <c r="B2" s="75"/>
      <c r="C2" s="5">
        <f>SUM(C4:C80)</f>
        <v>1856728</v>
      </c>
      <c r="D2" s="5">
        <f>SUM(D4:D80)</f>
        <v>1943166.5050999997</v>
      </c>
      <c r="E2" s="5">
        <f>C2-D2</f>
        <v>-86438.505099999718</v>
      </c>
      <c r="F2" s="6">
        <f>IFERROR(E2/D2, 0)</f>
        <v>-4.4483323931909478E-2</v>
      </c>
      <c r="G2" s="5">
        <f>SUM(G4:G80)</f>
        <v>2565446.4500000002</v>
      </c>
      <c r="H2" s="7">
        <f>C2-G2</f>
        <v>-708718.45000000019</v>
      </c>
      <c r="I2" s="6">
        <f>IFERROR(H2/G2, 0)</f>
        <v>-0.2762554057598825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4" t="str" cm="1">
        <f t="array" ref="A4:A7">Sites[Site]</f>
        <v>Cedar Swamp Rd</v>
      </c>
      <c r="B4" s="32" t="str" cm="1">
        <f t="array" ref="B4:B7">Sites[State]</f>
        <v>MA</v>
      </c>
      <c r="C4" s="33">
        <f>SUM(Jan!C4, Feb!C4, Mar!C4)</f>
        <v>229797.5</v>
      </c>
      <c r="D4" s="34">
        <f>SUM(Jan!D4, Feb!D4, Mar!D4)</f>
        <v>205242.87599999999</v>
      </c>
      <c r="E4" s="34">
        <f>IF(AND(ISNUMBER(C4),ISNUMBER(D4)), C4-D4, "")</f>
        <v>24554.624000000011</v>
      </c>
      <c r="F4" s="35">
        <f>IFERROR(E4/D4, "")</f>
        <v>0.11963691251334839</v>
      </c>
      <c r="G4" s="36">
        <f>SUM(Jan!G4, Feb!G4, Mar!G4)</f>
        <v>205591.58000000002</v>
      </c>
      <c r="H4" s="36">
        <f>SUM(Jan!H4, Feb!H4, Mar!H4)</f>
        <v>24205.919999999998</v>
      </c>
      <c r="I4" s="37">
        <f>IFERROR(H4/G4, "")</f>
        <v>0.11773789568619492</v>
      </c>
    </row>
    <row r="5" spans="1:9" ht="15.6">
      <c r="A5" s="45" t="str">
        <v>Bullis</v>
      </c>
      <c r="B5" s="39" t="str">
        <v>NY</v>
      </c>
      <c r="C5" s="40">
        <f>SUM(Jan!C5, Feb!C5, Mar!C5)</f>
        <v>1076204</v>
      </c>
      <c r="D5" s="41">
        <f>SUM(Jan!D5, Feb!D5, Mar!D5)</f>
        <v>1128123.0819999999</v>
      </c>
      <c r="E5" s="41">
        <f t="shared" ref="E5:E6" si="0">IF(AND(ISNUMBER(C5),ISNUMBER(D5)), C5-D5, "")</f>
        <v>-51919.081999999937</v>
      </c>
      <c r="F5" s="42">
        <f>IFERROR(E5/D5, "")</f>
        <v>-4.6022533204404324E-2</v>
      </c>
      <c r="G5" s="43">
        <f>SUM(Jan!G5, Feb!G5, Mar!G5)</f>
        <v>1369235.95</v>
      </c>
      <c r="H5" s="43">
        <f>SUM(Jan!H5, Feb!H5, Mar!H5)</f>
        <v>-293031.94999999995</v>
      </c>
      <c r="I5" s="42">
        <f>IFERROR(H5/G5, "")</f>
        <v>-0.21401128855841095</v>
      </c>
    </row>
    <row r="6" spans="1:9" ht="15.6">
      <c r="A6" s="44" t="str">
        <v>Rock Island</v>
      </c>
      <c r="B6" s="32" t="str">
        <v>NY</v>
      </c>
      <c r="C6" s="33">
        <f>SUM(Jan!C6, Feb!C6, Mar!C6)</f>
        <v>550726.5</v>
      </c>
      <c r="D6" s="34">
        <f>SUM(Jan!D6, Feb!D6, Mar!D6)</f>
        <v>609800.54709999997</v>
      </c>
      <c r="E6" s="34">
        <f t="shared" si="0"/>
        <v>-59074.047099999967</v>
      </c>
      <c r="F6" s="35">
        <f t="shared" ref="F6" si="1">IFERROR(E6/D6, "")</f>
        <v>-9.6874375369021326E-2</v>
      </c>
      <c r="G6" s="36">
        <f>SUM(Jan!G6, Feb!G6, Mar!G6)</f>
        <v>990618.92</v>
      </c>
      <c r="H6" s="36">
        <f>SUM(Jan!H6, Feb!H6, Mar!H6)</f>
        <v>-439892.42000000004</v>
      </c>
      <c r="I6" s="37">
        <f t="shared" ref="I6" si="2">IFERROR(H6/G6, "")</f>
        <v>-0.44405816517213303</v>
      </c>
    </row>
    <row r="7" spans="1:9" ht="15.6">
      <c r="A7" s="45" t="str">
        <v>Slayton A &amp; B</v>
      </c>
      <c r="B7" s="39" t="str">
        <v>NY</v>
      </c>
      <c r="C7" s="40">
        <f>SUM(Jan!C7, Feb!C7, Mar!C7)</f>
        <v>0</v>
      </c>
      <c r="D7" s="41">
        <f>SUM(Jan!D7, Feb!D7, Mar!D7)</f>
        <v>0</v>
      </c>
      <c r="E7" s="41">
        <f t="shared" ref="E7" si="3">IF(AND(ISNUMBER(C7),ISNUMBER(D7)), C7-D7, "")</f>
        <v>0</v>
      </c>
      <c r="F7" s="42" t="str">
        <f t="shared" ref="F7" si="4">IFERROR(E7/D7, "")</f>
        <v/>
      </c>
      <c r="G7" s="43">
        <f>SUM(Jan!G7, Feb!G7, Mar!G7)</f>
        <v>0</v>
      </c>
      <c r="H7" s="43">
        <f>SUM(Jan!H7, Feb!H7, Mar!H7)</f>
        <v>0</v>
      </c>
      <c r="I7" s="42" t="str">
        <f t="shared" ref="I7" si="5">IFERROR(H7/G7, "")</f>
        <v/>
      </c>
    </row>
    <row r="8" spans="1:9" ht="13.9">
      <c r="A8" s="14"/>
      <c r="B8" s="14"/>
      <c r="C8" s="14"/>
      <c r="D8" s="14"/>
      <c r="E8" s="14"/>
      <c r="F8" s="14"/>
      <c r="G8" s="14"/>
      <c r="H8" s="14"/>
      <c r="I8" s="14"/>
    </row>
    <row r="9" spans="1:9" ht="13.9">
      <c r="A9" s="14"/>
      <c r="B9" s="14"/>
      <c r="C9" s="14"/>
      <c r="D9" s="14"/>
      <c r="E9" s="14"/>
      <c r="F9" s="14"/>
      <c r="G9" s="14"/>
      <c r="H9" s="14"/>
      <c r="I9" s="14"/>
    </row>
    <row r="10" spans="1:9" ht="13.9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9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E7" sqref="E7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12</v>
      </c>
      <c r="E1" s="74"/>
      <c r="F1" s="74"/>
      <c r="G1" s="72" t="s">
        <v>13</v>
      </c>
      <c r="H1" s="72"/>
      <c r="I1" s="72"/>
    </row>
    <row r="2" spans="1:9" ht="19.5" customHeight="1">
      <c r="A2" s="75" t="s">
        <v>2</v>
      </c>
      <c r="B2" s="75"/>
      <c r="C2" s="5">
        <f>SUM(C4:C80)</f>
        <v>5018618</v>
      </c>
      <c r="D2" s="5">
        <f>SUM(D4:D80)</f>
        <v>5107908.1109999996</v>
      </c>
      <c r="E2" s="5">
        <f>C2-D2</f>
        <v>-89290.110999999568</v>
      </c>
      <c r="F2" s="6">
        <f>IFERROR(E2/D2, 0)</f>
        <v>-1.7480759062151338E-2</v>
      </c>
      <c r="G2" s="5">
        <f>SUM(G4:G80)</f>
        <v>5594569.5639999993</v>
      </c>
      <c r="H2" s="7">
        <f>C2-G2</f>
        <v>-575951.56399999931</v>
      </c>
      <c r="I2" s="6">
        <f>IFERROR(H2/G2, 0)</f>
        <v>-0.10294832469438561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4" t="str" cm="1">
        <f t="array" ref="A4:A7">Sites[Site]</f>
        <v>Cedar Swamp Rd</v>
      </c>
      <c r="B4" s="32" t="str" cm="1">
        <f t="array" ref="B4:B7">Sites[State]</f>
        <v>MA</v>
      </c>
      <c r="C4" s="33">
        <f>SUM(Apr!C4, May!C4, Jun!C4)</f>
        <v>418829</v>
      </c>
      <c r="D4" s="34">
        <f>SUM(Apr!D4, May!D4, Jun!D4)</f>
        <v>374872.33</v>
      </c>
      <c r="E4" s="34">
        <f>IF(AND(ISNUMBER(C4),ISNUMBER(D4)), C4-D4, "")</f>
        <v>43956.669999999984</v>
      </c>
      <c r="F4" s="35">
        <f>IFERROR(E4/D4, "")</f>
        <v>0.11725770744402496</v>
      </c>
      <c r="G4" s="36">
        <f>SUM(Apr!G4, May!G4, Jun!G4)</f>
        <v>324449.804</v>
      </c>
      <c r="H4" s="36">
        <f>SUM(Apr!H4, May!H4, Jun!H4)</f>
        <v>94379.195999999996</v>
      </c>
      <c r="I4" s="37">
        <f>IFERROR(H4/G4, "")</f>
        <v>0.29088997692844959</v>
      </c>
    </row>
    <row r="5" spans="1:9" ht="15.6">
      <c r="A5" s="45" t="str">
        <v>Bullis</v>
      </c>
      <c r="B5" s="39" t="str">
        <v>NY</v>
      </c>
      <c r="C5" s="40">
        <f>SUM(Apr!C5, May!C5, Jun!C5)</f>
        <v>2515514</v>
      </c>
      <c r="D5" s="41">
        <f>SUM(Apr!D5, May!D5, Jun!D5)</f>
        <v>2470642.6669999999</v>
      </c>
      <c r="E5" s="41">
        <f t="shared" ref="E5:E6" si="0">IF(AND(ISNUMBER(C5),ISNUMBER(D5)), C5-D5, "")</f>
        <v>44871.333000000101</v>
      </c>
      <c r="F5" s="42">
        <f>IFERROR(E5/D5, "")</f>
        <v>1.816180607553642E-2</v>
      </c>
      <c r="G5" s="14">
        <f>SUM(Apr!G5, May!G5, Jun!G5)</f>
        <v>2874886.41</v>
      </c>
      <c r="H5" s="43">
        <f>SUM(Apr!H5, May!H5, Jun!H5)</f>
        <v>-359372.41000000003</v>
      </c>
      <c r="I5" s="42">
        <f>IFERROR(H5/G5, "")</f>
        <v>-0.12500403798562601</v>
      </c>
    </row>
    <row r="6" spans="1:9" ht="15.6">
      <c r="A6" s="44" t="str">
        <v>Rock Island</v>
      </c>
      <c r="B6" s="32" t="str">
        <v>NY</v>
      </c>
      <c r="C6" s="33">
        <f>SUM(Apr!C6, May!C6, Jun!C6)</f>
        <v>2084275</v>
      </c>
      <c r="D6" s="34">
        <f>SUM(Apr!D6, May!D6, Jun!D6)</f>
        <v>2262393.1140000001</v>
      </c>
      <c r="E6" s="34">
        <f t="shared" si="0"/>
        <v>-178118.11400000006</v>
      </c>
      <c r="F6" s="35">
        <f t="shared" ref="F6" si="1">IFERROR(E6/D6, "")</f>
        <v>-7.8729957626630251E-2</v>
      </c>
      <c r="G6" s="36">
        <f>SUM(Apr!G6, May!G6, Jun!G6)</f>
        <v>2395233.3499999996</v>
      </c>
      <c r="H6" s="36">
        <f>SUM(Apr!H6, May!H6, Jun!H6)</f>
        <v>-310958.34999999998</v>
      </c>
      <c r="I6" s="37">
        <f t="shared" ref="I6" si="2">IFERROR(H6/G6, "")</f>
        <v>-0.12982382280206645</v>
      </c>
    </row>
    <row r="7" spans="1:9" ht="15.6">
      <c r="A7" s="45" t="str">
        <v>Slayton A &amp; B</v>
      </c>
      <c r="B7" s="39" t="str">
        <v>NY</v>
      </c>
      <c r="C7" s="40">
        <f>SUM(Apr!C7, May!C7, Jun!C7)</f>
        <v>0</v>
      </c>
      <c r="D7" s="41">
        <f>SUM(Apr!D7, May!D7, Jun!D7)</f>
        <v>0</v>
      </c>
      <c r="E7" s="41">
        <f t="shared" ref="E7" si="3">IF(AND(ISNUMBER(C7),ISNUMBER(D7)), C7-D7, "")</f>
        <v>0</v>
      </c>
      <c r="F7" s="42" t="str">
        <f t="shared" ref="F7" si="4">IFERROR(E7/D7, "")</f>
        <v/>
      </c>
      <c r="G7" s="14">
        <f>G9</f>
        <v>0</v>
      </c>
      <c r="H7" s="43">
        <f>SUM(Apr!H7, May!H7, Jun!H7)</f>
        <v>0</v>
      </c>
      <c r="I7" s="42" t="str">
        <f t="shared" ref="I7" si="5">IFERROR(H7/G7, "")</f>
        <v/>
      </c>
    </row>
    <row r="8" spans="1:9" ht="13.9">
      <c r="A8" s="14"/>
      <c r="B8" s="14"/>
      <c r="C8" s="14"/>
      <c r="D8" s="14"/>
      <c r="E8" s="14"/>
      <c r="F8" s="14"/>
      <c r="G8" s="14"/>
      <c r="H8" s="14"/>
      <c r="I8" s="14"/>
    </row>
    <row r="9" spans="1:9" ht="13.9">
      <c r="A9" s="14"/>
      <c r="B9" s="14"/>
      <c r="C9" s="14"/>
      <c r="D9" s="14"/>
      <c r="E9" s="14"/>
      <c r="F9" s="14"/>
      <c r="G9" s="14"/>
      <c r="H9" s="14"/>
      <c r="I9" s="14"/>
    </row>
    <row r="10" spans="1:9" ht="13.9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9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G13" sqref="G13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14</v>
      </c>
      <c r="E1" s="74"/>
      <c r="F1" s="74"/>
      <c r="G1" s="72" t="s">
        <v>15</v>
      </c>
      <c r="H1" s="72"/>
      <c r="I1" s="72"/>
    </row>
    <row r="2" spans="1:9" ht="19.5" customHeight="1">
      <c r="A2" s="75" t="s">
        <v>2</v>
      </c>
      <c r="B2" s="75"/>
      <c r="C2" s="5">
        <f>SUM(C4:C80)</f>
        <v>3759525</v>
      </c>
      <c r="D2" s="5">
        <f>SUM(D4:D80)</f>
        <v>3782551.6969999997</v>
      </c>
      <c r="E2" s="5">
        <f>C2-D2</f>
        <v>-23026.696999999695</v>
      </c>
      <c r="F2" s="6">
        <f>IFERROR(E2/D2, 0)</f>
        <v>-6.0876093295069902E-3</v>
      </c>
      <c r="G2" s="5">
        <f>SUM(G4:G80)</f>
        <v>4245676.3</v>
      </c>
      <c r="H2" s="7">
        <f>C2-G2</f>
        <v>-486151.29999999981</v>
      </c>
      <c r="I2" s="6">
        <f>IFERROR(H2/G2, 0)</f>
        <v>-0.11450503186029511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4" t="str" cm="1">
        <f t="array" ref="A4:A7">Sites[Site]</f>
        <v>Cedar Swamp Rd</v>
      </c>
      <c r="B4" s="32" t="str" cm="1">
        <f t="array" ref="B4:B7">Sites[State]</f>
        <v>MA</v>
      </c>
      <c r="C4" s="33">
        <f>SUM(Jul!C4, Aug!C4, Sep!C4)</f>
        <v>286768</v>
      </c>
      <c r="D4" s="34">
        <f>SUM(Jul!D4, Aug!D4, Sep!D4)</f>
        <v>263537.69699999999</v>
      </c>
      <c r="E4" s="34">
        <f>IF(AND(ISNUMBER(C4),ISNUMBER(D4)), C4-D4, "")</f>
        <v>23230.303000000014</v>
      </c>
      <c r="F4" s="35">
        <f>IFERROR(E4/D4, "")</f>
        <v>8.8147932020518557E-2</v>
      </c>
      <c r="G4" s="36">
        <f>SUM(Jul!G4, Aug!G4, Sep!G4)</f>
        <v>316508.3</v>
      </c>
      <c r="H4" s="36">
        <f>SUM(Jul!H4, Aug!H4, Sep!H4)</f>
        <v>-29740.299999999988</v>
      </c>
      <c r="I4" s="37">
        <f>IFERROR(H4/G4, "")</f>
        <v>-9.3963728597322688E-2</v>
      </c>
    </row>
    <row r="5" spans="1:9" ht="15.6">
      <c r="A5" s="45" t="str">
        <v>Bullis</v>
      </c>
      <c r="B5" s="39" t="str">
        <v>NY</v>
      </c>
      <c r="C5" s="40">
        <f>SUM(Jul!C5, Aug!C5, Sep!C5)</f>
        <v>1866743.5</v>
      </c>
      <c r="D5" s="41">
        <f>SUM(Jul!D5, Aug!D5, Sep!D5)</f>
        <v>1814381</v>
      </c>
      <c r="E5" s="41">
        <f t="shared" ref="E5:E6" si="0">IF(AND(ISNUMBER(C5),ISNUMBER(D5)), C5-D5, "")</f>
        <v>52362.5</v>
      </c>
      <c r="F5" s="42">
        <f>IFERROR(E5/D5, "")</f>
        <v>2.8859704769836104E-2</v>
      </c>
      <c r="G5" s="14">
        <f>SUM(Jul!G5, Aug!G5, Sep!G5)</f>
        <v>2117470</v>
      </c>
      <c r="H5" s="43">
        <f>SUM(Jul!H5, Aug!H5, Sep!H5)</f>
        <v>-250726.5</v>
      </c>
      <c r="I5" s="42">
        <f>IFERROR(H5/G5, "")</f>
        <v>-0.11840852526836272</v>
      </c>
    </row>
    <row r="6" spans="1:9" ht="15.6">
      <c r="A6" s="44" t="str">
        <v>Rock Island</v>
      </c>
      <c r="B6" s="32" t="str">
        <v>NY</v>
      </c>
      <c r="C6" s="33">
        <f>SUM(Jul!C6, Aug!C6, Sep!C6)</f>
        <v>1606013.5</v>
      </c>
      <c r="D6" s="34">
        <f>SUM(Jul!D6, Aug!D6, Sep!D6)</f>
        <v>1704633</v>
      </c>
      <c r="E6" s="34">
        <f t="shared" si="0"/>
        <v>-98619.5</v>
      </c>
      <c r="F6" s="35">
        <f t="shared" ref="F6" si="1">IFERROR(E6/D6, "")</f>
        <v>-5.7853801962064563E-2</v>
      </c>
      <c r="G6" s="36">
        <f>SUM(Jul!G6, Aug!G6, Sep!G6)</f>
        <v>1811698</v>
      </c>
      <c r="H6" s="36">
        <f>SUM(Jul!H6, Aug!H6, Sep!H6)</f>
        <v>-205684.5</v>
      </c>
      <c r="I6" s="37">
        <f t="shared" ref="I6" si="2">IFERROR(H6/G6, "")</f>
        <v>-0.11353133910839444</v>
      </c>
    </row>
    <row r="7" spans="1:9" ht="15.6">
      <c r="A7" s="45" t="str">
        <v>Slayton A &amp; B</v>
      </c>
      <c r="B7" s="39" t="str">
        <v>NY</v>
      </c>
      <c r="C7" s="40">
        <f>SUM(Jul!C7, Aug!C7, Sep!C7)</f>
        <v>0</v>
      </c>
      <c r="D7" s="41">
        <f>SUM(Jul!D7, Aug!D7, Sep!D7)</f>
        <v>0</v>
      </c>
      <c r="E7" s="41">
        <f t="shared" ref="E7" si="3">IF(AND(ISNUMBER(C7),ISNUMBER(D7)), C7-D7, "")</f>
        <v>0</v>
      </c>
      <c r="F7" s="42" t="str">
        <f t="shared" ref="F7" si="4">IFERROR(E7/D7, "")</f>
        <v/>
      </c>
      <c r="G7" s="14">
        <f>SUM(Jul!G7, Aug!G7, Sep!G7)</f>
        <v>0</v>
      </c>
      <c r="H7" s="43">
        <f>SUM(Jul!H7, Aug!H7, Sep!H7)</f>
        <v>0</v>
      </c>
      <c r="I7" s="42" t="str">
        <f t="shared" ref="I7" si="5">IFERROR(H7/G7, "")</f>
        <v/>
      </c>
    </row>
    <row r="8" spans="1:9" ht="15.6">
      <c r="A8" s="10"/>
      <c r="B8" s="14"/>
      <c r="C8" s="14"/>
      <c r="D8" s="14"/>
      <c r="E8" s="14"/>
      <c r="F8" s="14"/>
      <c r="G8" s="14"/>
      <c r="H8" s="14"/>
      <c r="I8" s="14"/>
    </row>
    <row r="9" spans="1:9" ht="15.6">
      <c r="A9" s="10"/>
      <c r="B9" s="14"/>
      <c r="C9" s="14"/>
      <c r="D9" s="14"/>
      <c r="E9" s="14"/>
      <c r="F9" s="14"/>
      <c r="G9" s="14"/>
      <c r="H9" s="14"/>
      <c r="I9" s="14"/>
    </row>
    <row r="10" spans="1:9" ht="15.6">
      <c r="A10" s="10"/>
      <c r="B10" s="14"/>
      <c r="C10" s="14"/>
      <c r="D10" s="14"/>
      <c r="E10" s="14"/>
      <c r="F10" s="14"/>
      <c r="G10" s="14"/>
      <c r="H10" s="14"/>
      <c r="I10" s="14"/>
    </row>
    <row r="11" spans="1:9" ht="15.6">
      <c r="A11" s="10"/>
      <c r="B11" s="14"/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D11" sqref="D11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16</v>
      </c>
      <c r="E1" s="74"/>
      <c r="F1" s="74"/>
      <c r="G1" s="72" t="s">
        <v>17</v>
      </c>
      <c r="H1" s="72"/>
      <c r="I1" s="72"/>
    </row>
    <row r="2" spans="1:9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4" t="str" cm="1">
        <f t="array" ref="A4:A7">Sites[Site]</f>
        <v>Cedar Swamp Rd</v>
      </c>
      <c r="B4" s="32" t="str" cm="1">
        <f t="array" ref="B4:B7">Sites[State]</f>
        <v>MA</v>
      </c>
      <c r="C4" s="33">
        <f>SUM(Oct!C4, Nov!C4, Dec!C4)</f>
        <v>0</v>
      </c>
      <c r="D4" s="34">
        <f>SUM(Oct!D4, Nov!D4, Dec!D4)</f>
        <v>0</v>
      </c>
      <c r="E4" s="34">
        <f>IF(AND(ISNUMBER(C4),ISNUMBER(D4)), C4-D4, "")</f>
        <v>0</v>
      </c>
      <c r="F4" s="35" t="str">
        <f>IFERROR(E4/D4, "")</f>
        <v/>
      </c>
      <c r="G4" s="36"/>
      <c r="H4" s="36">
        <f>SUM(Oct!H4, Nov!H4, Dec!H4)</f>
        <v>0</v>
      </c>
      <c r="I4" s="37" t="str">
        <f>IFERROR(H4/G4, "")</f>
        <v/>
      </c>
    </row>
    <row r="5" spans="1:9" ht="15.6">
      <c r="A5" s="45" t="str">
        <v>Bullis</v>
      </c>
      <c r="B5" s="39" t="str">
        <v>NY</v>
      </c>
      <c r="C5" s="40">
        <f>SUM(Oct!C5, Nov!C5, Dec!C5)</f>
        <v>0</v>
      </c>
      <c r="D5" s="41">
        <f>SUM(Oct!D5, Nov!D5, Dec!D5)</f>
        <v>0</v>
      </c>
      <c r="E5" s="41">
        <f t="shared" ref="E5:E6" si="0">IF(AND(ISNUMBER(C5),ISNUMBER(D5)), C5-D5, "")</f>
        <v>0</v>
      </c>
      <c r="F5" s="42" t="str">
        <f>IFERROR(E5/D5, "")</f>
        <v/>
      </c>
      <c r="G5" s="43"/>
      <c r="H5" s="43">
        <f>SUM(Oct!H5, Nov!H5, Dec!H5)</f>
        <v>0</v>
      </c>
      <c r="I5" s="42" t="str">
        <f>IFERROR(H5/G5, "")</f>
        <v/>
      </c>
    </row>
    <row r="6" spans="1:9" ht="15.6">
      <c r="A6" s="44" t="str">
        <v>Rock Island</v>
      </c>
      <c r="B6" s="32" t="str">
        <v>NY</v>
      </c>
      <c r="C6" s="33">
        <f>SUM(Oct!C6, Nov!C6, Dec!C6)</f>
        <v>0</v>
      </c>
      <c r="D6" s="34">
        <f>SUM(Oct!D6, Nov!D6, Dec!D6)</f>
        <v>0</v>
      </c>
      <c r="E6" s="34">
        <f t="shared" si="0"/>
        <v>0</v>
      </c>
      <c r="F6" s="35" t="str">
        <f t="shared" ref="F6" si="1">IFERROR(E6/D6, "")</f>
        <v/>
      </c>
      <c r="G6" s="36"/>
      <c r="H6" s="36">
        <f>SUM(Oct!H6, Nov!H6, Dec!H6)</f>
        <v>0</v>
      </c>
      <c r="I6" s="37" t="str">
        <f t="shared" ref="I6" si="2">IFERROR(H6/G6, "")</f>
        <v/>
      </c>
    </row>
    <row r="7" spans="1:9" ht="15.6">
      <c r="A7" s="45" t="str">
        <v>Slayton A &amp; B</v>
      </c>
      <c r="B7" s="39" t="str">
        <v>NY</v>
      </c>
      <c r="C7" s="40">
        <f>SUM(Oct!C7, Nov!C7, Dec!C7)</f>
        <v>0</v>
      </c>
      <c r="D7" s="41">
        <f>SUM(Oct!D7, Nov!D7, Dec!D7)</f>
        <v>0</v>
      </c>
      <c r="E7" s="41">
        <f t="shared" ref="E7" si="3">IF(AND(ISNUMBER(C7),ISNUMBER(D7)), C7-D7, "")</f>
        <v>0</v>
      </c>
      <c r="F7" s="42" t="str">
        <f t="shared" ref="F7" si="4">IFERROR(E7/D7, "")</f>
        <v/>
      </c>
      <c r="G7" s="43"/>
      <c r="H7" s="43">
        <f>SUM(Oct!H7, Nov!H7, Dec!H7)</f>
        <v>0</v>
      </c>
      <c r="I7" s="42" t="str">
        <f t="shared" ref="I7" si="5">IFERROR(H7/G7, "")</f>
        <v/>
      </c>
    </row>
    <row r="8" spans="1:9" ht="14.45">
      <c r="A8" s="14"/>
      <c r="B8" s="9"/>
      <c r="C8" s="27"/>
      <c r="D8" s="11"/>
      <c r="E8" s="11"/>
      <c r="F8" s="12"/>
      <c r="G8" s="13"/>
      <c r="H8" s="13"/>
      <c r="I8" s="12"/>
    </row>
    <row r="9" spans="1:9" ht="14.45">
      <c r="A9" s="14"/>
      <c r="B9" s="9"/>
      <c r="C9" s="27"/>
      <c r="D9" s="11"/>
      <c r="E9" s="11"/>
      <c r="F9" s="12"/>
      <c r="G9" s="13"/>
      <c r="H9" s="13"/>
      <c r="I9" s="12"/>
    </row>
    <row r="10" spans="1:9" ht="14.45">
      <c r="A10" s="14"/>
      <c r="B10" s="9"/>
      <c r="C10" s="27"/>
      <c r="D10" s="11"/>
      <c r="E10" s="11"/>
      <c r="F10" s="12"/>
      <c r="G10" s="13"/>
      <c r="H10" s="13"/>
      <c r="I10" s="12"/>
    </row>
    <row r="11" spans="1:9" ht="13.9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18</v>
      </c>
      <c r="E1" s="74"/>
      <c r="F1" s="74"/>
      <c r="G1" s="72" t="s">
        <v>19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SUM(C4:C79)</f>
        <v>149017</v>
      </c>
      <c r="D2" s="5">
        <f>SUM(D4:D79)</f>
        <v>187289.57</v>
      </c>
      <c r="E2" s="5">
        <f>C2-D2</f>
        <v>-38272.570000000007</v>
      </c>
      <c r="F2" s="6">
        <f>IFERROR(E2/D2, 0)</f>
        <v>-0.20434971365463653</v>
      </c>
      <c r="G2" s="5">
        <f>SUM(G4:G79)</f>
        <v>307259.67</v>
      </c>
      <c r="H2" s="7">
        <f>C2-G2</f>
        <v>-158242.66999999998</v>
      </c>
      <c r="I2" s="6">
        <f>IFERROR(H2/G2, 0)</f>
        <v>-0.51501282286738115</v>
      </c>
      <c r="J2" s="17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49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54" t="str" cm="1">
        <f t="array" ref="A4:A7">Sites[Site]</f>
        <v>Cedar Swamp Rd</v>
      </c>
      <c r="B4" s="55" t="str" cm="1">
        <f t="array" ref="B4:B7">Sites[State]</f>
        <v>MA</v>
      </c>
      <c r="C4" s="34">
        <v>47147</v>
      </c>
      <c r="D4" s="34">
        <v>40450.07</v>
      </c>
      <c r="E4" s="34">
        <f>IF(AND(ISNUMBER(C4),ISNUMBER(D4)), C4-D4, "")</f>
        <v>6696.93</v>
      </c>
      <c r="F4" s="37">
        <f>IFERROR(E4/D4, "")</f>
        <v>0.16556040570510758</v>
      </c>
      <c r="G4" s="36">
        <v>41873.17</v>
      </c>
      <c r="H4" s="36">
        <f>IF(AND(ISNUMBER(C4),ISNUMBER(G4)), C4-G4, "")</f>
        <v>5273.8300000000017</v>
      </c>
      <c r="I4" s="37">
        <f>IFERROR(H4/G4, "")</f>
        <v>0.12594771305826624</v>
      </c>
      <c r="J4" s="56" t="s">
        <v>22</v>
      </c>
      <c r="K4" s="56" t="s">
        <v>23</v>
      </c>
    </row>
    <row r="5" spans="1:11" ht="28.9">
      <c r="A5" s="57" t="str">
        <v>Bullis</v>
      </c>
      <c r="B5" s="58" t="str">
        <v>NY</v>
      </c>
      <c r="C5" s="41">
        <v>101870</v>
      </c>
      <c r="D5" s="41">
        <v>146839.5</v>
      </c>
      <c r="E5" s="41">
        <f t="shared" ref="E5:E6" si="0">IF(AND(ISNUMBER(C5),ISNUMBER(D5)), C5-D5, "")</f>
        <v>-44969.5</v>
      </c>
      <c r="F5" s="42">
        <f t="shared" ref="F5:F6" si="1">IFERROR(E5/D5, "")</f>
        <v>-0.30624934026607281</v>
      </c>
      <c r="G5" s="43">
        <v>265386.5</v>
      </c>
      <c r="H5" s="43">
        <f t="shared" ref="H5:H6" si="2">IF(AND(ISNUMBER(C5),ISNUMBER(G5)), C5-G5, "")</f>
        <v>-163516.5</v>
      </c>
      <c r="I5" s="42">
        <f t="shared" ref="I5:I6" si="3">IFERROR(H5/G5, "")</f>
        <v>-0.61614475491405929</v>
      </c>
      <c r="J5" s="59" t="s">
        <v>24</v>
      </c>
      <c r="K5" s="59" t="s">
        <v>25</v>
      </c>
    </row>
    <row r="6" spans="1:11" ht="15.6">
      <c r="A6" s="60" t="str">
        <v>Rock Island</v>
      </c>
      <c r="B6" s="55" t="str">
        <v>NY</v>
      </c>
      <c r="C6" s="34">
        <v>0</v>
      </c>
      <c r="D6" s="34">
        <v>0</v>
      </c>
      <c r="E6" s="34">
        <f t="shared" si="0"/>
        <v>0</v>
      </c>
      <c r="F6" s="37" t="str">
        <f t="shared" si="1"/>
        <v/>
      </c>
      <c r="G6" s="36">
        <v>0</v>
      </c>
      <c r="H6" s="36">
        <f t="shared" si="2"/>
        <v>0</v>
      </c>
      <c r="I6" s="37" t="str">
        <f t="shared" si="3"/>
        <v/>
      </c>
      <c r="J6" s="56" t="s">
        <v>26</v>
      </c>
      <c r="K6" s="56" t="s">
        <v>27</v>
      </c>
    </row>
    <row r="7" spans="1:11" ht="15.6">
      <c r="A7" s="57" t="str">
        <v>Slayton A &amp; B</v>
      </c>
      <c r="B7" s="58" t="str">
        <v>NY</v>
      </c>
      <c r="C7" s="41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</sheetData>
  <mergeCells count="4">
    <mergeCell ref="D1:F1"/>
    <mergeCell ref="A1:C1"/>
    <mergeCell ref="G1:I1"/>
    <mergeCell ref="A2:B2"/>
  </mergeCells>
  <phoneticPr fontId="4" type="noConversion"/>
  <conditionalFormatting sqref="F2 I2 F4:F79 I4:I79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C14" sqref="C14"/>
      <selection pane="bottomLeft" activeCell="B15" sqref="B15"/>
      <selection pane="topRight" activeCell="B15" sqref="B15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.7109375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28</v>
      </c>
      <c r="E1" s="74"/>
      <c r="F1" s="74"/>
      <c r="G1" s="72" t="s">
        <v>29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471859.25</v>
      </c>
      <c r="D2" s="5">
        <f>SUM(D4:D80)</f>
        <v>471378.99310000002</v>
      </c>
      <c r="E2" s="5">
        <f>C2-D2</f>
        <v>480.25689999997849</v>
      </c>
      <c r="F2" s="6">
        <f>IFERROR(E2/D2, 0)</f>
        <v>1.0188339044164725E-3</v>
      </c>
      <c r="G2" s="5">
        <f>SUM(G4:G80)</f>
        <v>868712.31</v>
      </c>
      <c r="H2" s="7">
        <f>C2-G2</f>
        <v>-396853.06000000006</v>
      </c>
      <c r="I2" s="6">
        <f>IFERROR(H2/G2, 0)</f>
        <v>-0.45682909685025647</v>
      </c>
      <c r="J2" s="17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28.9">
      <c r="A4" s="54" t="str" cm="1">
        <f t="array" ref="A4:A7">Sites[Site]</f>
        <v>Cedar Swamp Rd</v>
      </c>
      <c r="B4" s="55" t="str" cm="1">
        <f t="array" ref="B4:B7">Sites[State]</f>
        <v>MA</v>
      </c>
      <c r="C4" s="33">
        <v>73050.75</v>
      </c>
      <c r="D4" s="34">
        <v>73781.2</v>
      </c>
      <c r="E4" s="34">
        <f>IF(AND(ISNUMBER(C4),ISNUMBER(D4)), C4-D4, "")</f>
        <v>-730.44999999999709</v>
      </c>
      <c r="F4" s="35">
        <f>IFERROR(E4/D4, "")</f>
        <v>-9.9002184838413738E-3</v>
      </c>
      <c r="G4" s="36">
        <v>55312.41</v>
      </c>
      <c r="H4" s="36">
        <f>IF(AND(ISNUMBER(C4),ISNUMBER(G4)), C4-G4, "")</f>
        <v>17738.339999999997</v>
      </c>
      <c r="I4" s="37">
        <f>IFERROR(H4/G4, "")</f>
        <v>0.32069367434902935</v>
      </c>
      <c r="J4" s="56" t="s">
        <v>30</v>
      </c>
      <c r="K4" s="56" t="s">
        <v>31</v>
      </c>
    </row>
    <row r="5" spans="1:11" ht="15.6">
      <c r="A5" s="57" t="str">
        <v>Bullis</v>
      </c>
      <c r="B5" s="58" t="str">
        <v>NY</v>
      </c>
      <c r="C5" s="40">
        <v>398240</v>
      </c>
      <c r="D5" s="41">
        <v>396786.5</v>
      </c>
      <c r="E5" s="41">
        <f t="shared" ref="E5:E6" si="0">IF(AND(ISNUMBER(C5),ISNUMBER(D5)), C5-D5, "")</f>
        <v>1453.5</v>
      </c>
      <c r="F5" s="42">
        <f>IFERROR(E5/D5, "")</f>
        <v>3.6631790648119331E-3</v>
      </c>
      <c r="G5" s="43">
        <v>423644.5</v>
      </c>
      <c r="H5" s="43">
        <f t="shared" ref="H5:H6" si="1">IF(AND(ISNUMBER(C5),ISNUMBER(G5)), C5-G5, "")</f>
        <v>-25404.5</v>
      </c>
      <c r="I5" s="42">
        <f t="shared" ref="I5:I6" si="2">IFERROR(H5/G5, "")</f>
        <v>-5.9966552144545722E-2</v>
      </c>
      <c r="J5" s="59" t="s">
        <v>32</v>
      </c>
      <c r="K5" s="59" t="s">
        <v>31</v>
      </c>
    </row>
    <row r="6" spans="1:11" ht="15.6">
      <c r="A6" s="60" t="str">
        <v>Rock Island</v>
      </c>
      <c r="B6" s="55" t="str">
        <v>NY</v>
      </c>
      <c r="C6" s="33">
        <v>568.5</v>
      </c>
      <c r="D6" s="34">
        <v>811.29309999999998</v>
      </c>
      <c r="E6" s="34">
        <f t="shared" si="0"/>
        <v>-242.79309999999998</v>
      </c>
      <c r="F6" s="35">
        <f t="shared" ref="F6" si="3">IFERROR(E6/D6, "")</f>
        <v>-0.29926681245039555</v>
      </c>
      <c r="G6" s="36">
        <v>389755.4</v>
      </c>
      <c r="H6" s="36">
        <f t="shared" si="1"/>
        <v>-389186.9</v>
      </c>
      <c r="I6" s="37">
        <f t="shared" si="2"/>
        <v>-0.99854139288384458</v>
      </c>
      <c r="J6" s="56" t="s">
        <v>26</v>
      </c>
      <c r="K6" s="56" t="s">
        <v>33</v>
      </c>
    </row>
    <row r="7" spans="1:11" ht="15.6">
      <c r="A7" s="57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C12" sqref="C12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34</v>
      </c>
      <c r="E1" s="74"/>
      <c r="F1" s="74"/>
      <c r="G1" s="72" t="s">
        <v>35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1235851.75</v>
      </c>
      <c r="D2" s="5">
        <f>SUM(D4:D80)</f>
        <v>1284497.942</v>
      </c>
      <c r="E2" s="5">
        <f>C2-D2</f>
        <v>-48646.192000000039</v>
      </c>
      <c r="F2" s="6">
        <f>IFERROR(E2/D2, 0)</f>
        <v>-3.7871755500251347E-2</v>
      </c>
      <c r="G2" s="5">
        <f>SUM(G4:G80)</f>
        <v>1389474.47</v>
      </c>
      <c r="H2" s="7">
        <f>C2-G2</f>
        <v>-153622.71999999997</v>
      </c>
      <c r="I2" s="6">
        <f>IFERROR(H2/G2, 0)</f>
        <v>-0.11056174353458972</v>
      </c>
      <c r="J2" s="17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109599.75</v>
      </c>
      <c r="D4" s="34">
        <v>91011.606</v>
      </c>
      <c r="E4" s="34">
        <f>IF(AND(ISNUMBER(C4),ISNUMBER(D4)), C4-D4, "")</f>
        <v>18588.144</v>
      </c>
      <c r="F4" s="35">
        <f>IFERROR(E4/D4, "")</f>
        <v>0.20423927031899647</v>
      </c>
      <c r="G4" s="36">
        <v>108406</v>
      </c>
      <c r="H4" s="36">
        <f>IF(AND(ISNUMBER(C4),ISNUMBER(G4)), C4-G4, "")</f>
        <v>1193.75</v>
      </c>
      <c r="I4" s="37">
        <f>IFERROR(H4/G4, "")</f>
        <v>1.1011844362858144E-2</v>
      </c>
      <c r="J4" s="56"/>
      <c r="K4" s="56"/>
    </row>
    <row r="5" spans="1:11" ht="28.9">
      <c r="A5" s="62" t="str">
        <v>Bullis</v>
      </c>
      <c r="B5" s="58" t="str">
        <v>NY</v>
      </c>
      <c r="C5" s="40">
        <v>576094</v>
      </c>
      <c r="D5" s="41">
        <v>584497.08200000005</v>
      </c>
      <c r="E5" s="41">
        <f t="shared" ref="E5:E6" si="0">IF(AND(ISNUMBER(C5),ISNUMBER(D5)), C5-D5, "")</f>
        <v>-8403.0820000000531</v>
      </c>
      <c r="F5" s="42">
        <f>IFERROR(E5/D5, "")</f>
        <v>-1.4376602140162698E-2</v>
      </c>
      <c r="G5" s="43">
        <v>680204.95</v>
      </c>
      <c r="H5" s="43">
        <f t="shared" ref="H5:H6" si="1">IF(AND(ISNUMBER(C5),ISNUMBER(G5)), C5-G5, "")</f>
        <v>-104110.94999999995</v>
      </c>
      <c r="I5" s="42">
        <f t="shared" ref="I5:I6" si="2">IFERROR(H5/G5, "")</f>
        <v>-0.15305820694189298</v>
      </c>
      <c r="J5" s="64" t="s">
        <v>36</v>
      </c>
      <c r="K5" s="64" t="s">
        <v>37</v>
      </c>
    </row>
    <row r="6" spans="1:11" ht="28.9">
      <c r="A6" s="63" t="str">
        <v>Rock Island</v>
      </c>
      <c r="B6" s="55" t="str">
        <v>NY</v>
      </c>
      <c r="C6" s="33">
        <v>550158</v>
      </c>
      <c r="D6" s="34">
        <v>608989.25399999996</v>
      </c>
      <c r="E6" s="34">
        <f t="shared" si="0"/>
        <v>-58831.253999999957</v>
      </c>
      <c r="F6" s="35">
        <f t="shared" ref="F6" si="3">IFERROR(E6/D6, "")</f>
        <v>-9.6604748956703207E-2</v>
      </c>
      <c r="G6" s="36">
        <v>600863.52</v>
      </c>
      <c r="H6" s="36">
        <f t="shared" si="1"/>
        <v>-50705.520000000019</v>
      </c>
      <c r="I6" s="37">
        <f t="shared" si="2"/>
        <v>-8.4387749151421304E-2</v>
      </c>
      <c r="J6" s="56" t="s">
        <v>38</v>
      </c>
      <c r="K6" s="56" t="s">
        <v>39</v>
      </c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64"/>
      <c r="K7" s="6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E4" activePane="bottomRight" state="frozen"/>
      <selection pane="bottomRight" activeCell="E13" sqref="E13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40</v>
      </c>
      <c r="E1" s="74"/>
      <c r="F1" s="74"/>
      <c r="G1" s="72" t="s">
        <v>41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1380687.75</v>
      </c>
      <c r="D2" s="5">
        <f>SUM(D4:D80)</f>
        <v>1419143.5090000001</v>
      </c>
      <c r="E2" s="5">
        <f>C2-D2</f>
        <v>-38455.759000000078</v>
      </c>
      <c r="F2" s="6">
        <f>IFERROR(E2/D2, 0)</f>
        <v>-2.7097864843209508E-2</v>
      </c>
      <c r="G2" s="5">
        <f>SUM(G4:G80)</f>
        <v>1605825.8119999999</v>
      </c>
      <c r="H2" s="7">
        <f>C2-G2</f>
        <v>-225138.06199999992</v>
      </c>
      <c r="I2" s="6">
        <f>IFERROR(H2/G2, 0)</f>
        <v>-0.14020079906400204</v>
      </c>
      <c r="J2" s="17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131405.25</v>
      </c>
      <c r="D4" s="34">
        <v>110454.16</v>
      </c>
      <c r="E4" s="34">
        <f>IF(AND(ISNUMBER(C4),ISNUMBER(D4)), C4-D4, "")</f>
        <v>20951.089999999997</v>
      </c>
      <c r="F4" s="35">
        <f>IFERROR(E4/D4, "")</f>
        <v>0.18968131213889994</v>
      </c>
      <c r="G4" s="36">
        <v>118284.372</v>
      </c>
      <c r="H4" s="36">
        <f>IF(AND(ISNUMBER(C4),ISNUMBER(G4)), C4-G4, "")</f>
        <v>13120.877999999997</v>
      </c>
      <c r="I4" s="37">
        <f>IFERROR(H4/G4, "")</f>
        <v>0.11092655587671377</v>
      </c>
      <c r="J4" s="56"/>
      <c r="K4" s="56"/>
    </row>
    <row r="5" spans="1:11" ht="15.6">
      <c r="A5" s="62" t="str">
        <v>Bullis</v>
      </c>
      <c r="B5" s="58" t="str">
        <v>NY</v>
      </c>
      <c r="C5" s="41">
        <v>644409</v>
      </c>
      <c r="D5" s="41">
        <v>637554.67700000003</v>
      </c>
      <c r="E5" s="41">
        <f t="shared" ref="E5:E6" si="0">IF(AND(ISNUMBER(C5),ISNUMBER(D5)), C5-D5, "")</f>
        <v>6854.3229999999749</v>
      </c>
      <c r="F5" s="42">
        <f>IFERROR(E5/D5, "")</f>
        <v>1.0750957129281594E-2</v>
      </c>
      <c r="G5" s="43">
        <v>825963.54</v>
      </c>
      <c r="H5" s="43">
        <f t="shared" ref="H5:H6" si="1">IF(AND(ISNUMBER(C5),ISNUMBER(G5)), C5-G5, "")</f>
        <v>-181554.54000000004</v>
      </c>
      <c r="I5" s="42">
        <f t="shared" ref="I5:I6" si="2">IFERROR(H5/G5, "")</f>
        <v>-0.21980938771219857</v>
      </c>
      <c r="J5" s="59"/>
      <c r="K5" s="59"/>
    </row>
    <row r="6" spans="1:11" ht="43.15">
      <c r="A6" s="63" t="str">
        <v>Rock Island</v>
      </c>
      <c r="B6" s="55" t="str">
        <v>NY</v>
      </c>
      <c r="C6" s="33">
        <v>604873.5</v>
      </c>
      <c r="D6" s="34">
        <v>671134.67200000002</v>
      </c>
      <c r="E6" s="34">
        <f t="shared" si="0"/>
        <v>-66261.17200000002</v>
      </c>
      <c r="F6" s="35">
        <f t="shared" ref="F6" si="3">IFERROR(E6/D6, "")</f>
        <v>-9.8730068292463391E-2</v>
      </c>
      <c r="G6" s="36">
        <v>661577.9</v>
      </c>
      <c r="H6" s="36">
        <f t="shared" si="1"/>
        <v>-56704.400000000023</v>
      </c>
      <c r="I6" s="37">
        <f t="shared" si="2"/>
        <v>-8.5710843726793204E-2</v>
      </c>
      <c r="J6" s="56" t="s">
        <v>42</v>
      </c>
      <c r="K6" s="56" t="s">
        <v>43</v>
      </c>
    </row>
    <row r="7" spans="1:11" ht="15.6">
      <c r="A7" s="62" t="str">
        <v>Slayton A &amp; B</v>
      </c>
      <c r="B7" s="58" t="str">
        <v>NY</v>
      </c>
      <c r="C7" s="41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C13" sqref="C13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44</v>
      </c>
      <c r="E1" s="74"/>
      <c r="F1" s="74"/>
      <c r="G1" s="72" t="s">
        <v>45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1816311.5</v>
      </c>
      <c r="D2" s="5">
        <f>SUM(D4:D80)</f>
        <v>1852204.102</v>
      </c>
      <c r="E2" s="5">
        <f>C2-D2</f>
        <v>-35892.601999999955</v>
      </c>
      <c r="F2" s="6">
        <f>IFERROR(E2/D2, 0)</f>
        <v>-1.9378319031495134E-2</v>
      </c>
      <c r="G2" s="5">
        <f>SUM(G4:G80)</f>
        <v>1909320.652</v>
      </c>
      <c r="H2" s="7">
        <f>C2-G2</f>
        <v>-93009.152000000002</v>
      </c>
      <c r="I2" s="6">
        <f>IFERROR(H2/G2, 0)</f>
        <v>-4.8713217396236491E-2</v>
      </c>
      <c r="J2" s="17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122900</v>
      </c>
      <c r="D4" s="34">
        <v>107134.67</v>
      </c>
      <c r="E4" s="34">
        <f>IF(AND(ISNUMBER(C4),ISNUMBER(D4)), C4-D4, "")</f>
        <v>15765.330000000002</v>
      </c>
      <c r="F4" s="35">
        <f>IFERROR(E4/D4, "")</f>
        <v>0.14715432455245347</v>
      </c>
      <c r="G4" s="36">
        <v>49888.031999999999</v>
      </c>
      <c r="H4" s="36">
        <f>IF(AND(ISNUMBER(C4),ISNUMBER(G4)), C4-G4, "")</f>
        <v>73011.967999999993</v>
      </c>
      <c r="I4" s="37">
        <f>IFERROR(H4/G4, "")</f>
        <v>1.4635167007590115</v>
      </c>
      <c r="J4" s="56"/>
      <c r="K4" s="56"/>
    </row>
    <row r="5" spans="1:11" ht="15.6">
      <c r="A5" s="62" t="str">
        <v>Bullis</v>
      </c>
      <c r="B5" s="58" t="str">
        <v>NY</v>
      </c>
      <c r="C5" s="40">
        <v>966814</v>
      </c>
      <c r="D5" s="41">
        <v>954212.39</v>
      </c>
      <c r="E5" s="41">
        <f t="shared" ref="E5:E6" si="0">IF(AND(ISNUMBER(C5),ISNUMBER(D5)), C5-D5, "")</f>
        <v>12601.609999999986</v>
      </c>
      <c r="F5" s="42">
        <f>IFERROR(E5/D5, "")</f>
        <v>1.3206294669889988E-2</v>
      </c>
      <c r="G5" s="43">
        <v>999785.87</v>
      </c>
      <c r="H5" s="43">
        <f t="shared" ref="H5:H6" si="1">IF(AND(ISNUMBER(C5),ISNUMBER(G5)), C5-G5, "")</f>
        <v>-32971.869999999995</v>
      </c>
      <c r="I5" s="42">
        <f t="shared" ref="I5:I6" si="2">IFERROR(H5/G5, "")</f>
        <v>-3.2978931778661763E-2</v>
      </c>
      <c r="J5" s="59"/>
      <c r="K5" s="59"/>
    </row>
    <row r="6" spans="1:11" ht="15.6">
      <c r="A6" s="63" t="str">
        <v>Rock Island</v>
      </c>
      <c r="B6" s="55" t="str">
        <v>NY</v>
      </c>
      <c r="C6" s="33">
        <v>726597.5</v>
      </c>
      <c r="D6" s="34">
        <v>790857.04200000002</v>
      </c>
      <c r="E6" s="34">
        <f t="shared" si="0"/>
        <v>-64259.542000000016</v>
      </c>
      <c r="F6" s="35">
        <f t="shared" ref="F6" si="3">IFERROR(E6/D6, "")</f>
        <v>-8.1253043960377372E-2</v>
      </c>
      <c r="G6" s="36">
        <v>859646.75</v>
      </c>
      <c r="H6" s="36">
        <f t="shared" si="1"/>
        <v>-133049.25</v>
      </c>
      <c r="I6" s="37">
        <f t="shared" si="2"/>
        <v>-0.15477200373292868</v>
      </c>
      <c r="J6" s="56" t="s">
        <v>46</v>
      </c>
      <c r="K6" s="56" t="s">
        <v>47</v>
      </c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0 I4:I8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K15" sqref="K15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18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48</v>
      </c>
      <c r="E1" s="74"/>
      <c r="F1" s="74"/>
      <c r="G1" s="72" t="s">
        <v>49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1821618.75</v>
      </c>
      <c r="D2" s="5">
        <f>SUM(D4:D80)</f>
        <v>1836560.5</v>
      </c>
      <c r="E2" s="5">
        <f>C2-D2</f>
        <v>-14941.75</v>
      </c>
      <c r="F2" s="6">
        <f>IFERROR(E2/D2, 0)</f>
        <v>-8.1357243608364653E-3</v>
      </c>
      <c r="G2" s="5">
        <f>SUM(G4:G80)</f>
        <v>2079423.0999999999</v>
      </c>
      <c r="H2" s="7">
        <f>C2-G2</f>
        <v>-257804.34999999986</v>
      </c>
      <c r="I2" s="6">
        <f>IFERROR(H2/G2, 0)</f>
        <v>-0.12397878526981829</v>
      </c>
      <c r="J2" s="17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164523.75</v>
      </c>
      <c r="D4" s="34">
        <v>157283.5</v>
      </c>
      <c r="E4" s="34">
        <f>IF(AND(ISNUMBER(C4),ISNUMBER(D4)), C4-D4, "")</f>
        <v>7240.25</v>
      </c>
      <c r="F4" s="35">
        <f>IFERROR(E4/D4, "")</f>
        <v>4.6033118540724234E-2</v>
      </c>
      <c r="G4" s="36">
        <v>156277.4</v>
      </c>
      <c r="H4" s="36">
        <f>IF(AND(ISNUMBER(C4),ISNUMBER(G4)), C4-G4, "")</f>
        <v>8246.3500000000058</v>
      </c>
      <c r="I4" s="37">
        <f>IFERROR(H4/G4, "")</f>
        <v>5.2767386711066386E-2</v>
      </c>
      <c r="J4" s="56"/>
      <c r="K4" s="56"/>
    </row>
    <row r="5" spans="1:11" ht="43.15">
      <c r="A5" s="62" t="str">
        <v>Bullis</v>
      </c>
      <c r="B5" s="58" t="str">
        <v>NY</v>
      </c>
      <c r="C5" s="40">
        <v>904291</v>
      </c>
      <c r="D5" s="41">
        <v>878875.6</v>
      </c>
      <c r="E5" s="41">
        <f t="shared" ref="E5:E6" si="0">IF(AND(ISNUMBER(C5),ISNUMBER(D5)), C5-D5, "")</f>
        <v>25415.400000000023</v>
      </c>
      <c r="F5" s="42">
        <f>IFERROR(E5/D5, "")</f>
        <v>2.8918085790526012E-2</v>
      </c>
      <c r="G5" s="43">
        <v>1049137</v>
      </c>
      <c r="H5" s="43">
        <f t="shared" ref="H5:H6" si="1">IF(AND(ISNUMBER(C5),ISNUMBER(G5)), C5-G5, "")</f>
        <v>-144846</v>
      </c>
      <c r="I5" s="42">
        <f t="shared" ref="I5:I6" si="2">IFERROR(H5/G5, "")</f>
        <v>-0.13806204528102622</v>
      </c>
      <c r="J5" s="59" t="s">
        <v>50</v>
      </c>
      <c r="K5" s="65" t="s">
        <v>51</v>
      </c>
    </row>
    <row r="6" spans="1:11" ht="58.5" customHeight="1">
      <c r="A6" s="63" t="str">
        <v>Rock Island</v>
      </c>
      <c r="B6" s="55" t="str">
        <v>NY</v>
      </c>
      <c r="C6" s="33">
        <v>752804</v>
      </c>
      <c r="D6" s="34">
        <v>800401.4</v>
      </c>
      <c r="E6" s="34">
        <f t="shared" si="0"/>
        <v>-47597.400000000023</v>
      </c>
      <c r="F6" s="35">
        <f t="shared" ref="F6" si="3">IFERROR(E6/D6, "")</f>
        <v>-5.9466912476664864E-2</v>
      </c>
      <c r="G6" s="36">
        <v>874008.7</v>
      </c>
      <c r="H6" s="36">
        <f t="shared" si="1"/>
        <v>-121204.69999999995</v>
      </c>
      <c r="I6" s="37">
        <f t="shared" si="2"/>
        <v>-0.13867676603219162</v>
      </c>
      <c r="J6" s="56" t="s">
        <v>52</v>
      </c>
      <c r="K6" s="56" t="s">
        <v>53</v>
      </c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65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J9" sqref="J9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54</v>
      </c>
      <c r="E1" s="74"/>
      <c r="F1" s="74"/>
      <c r="G1" s="72" t="s">
        <v>55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2077427</v>
      </c>
      <c r="D2" s="5">
        <f>SUM(D4:D80)</f>
        <v>2106041</v>
      </c>
      <c r="E2" s="5">
        <f>C2-D2</f>
        <v>-28614</v>
      </c>
      <c r="F2" s="6">
        <f>IFERROR(E2/D2, 0)</f>
        <v>-1.3586630079851248E-2</v>
      </c>
      <c r="G2" s="5">
        <f>SUM(G4:G80)</f>
        <v>2252977.2999999998</v>
      </c>
      <c r="H2" s="7">
        <f>C2-G2</f>
        <v>-175550.29999999981</v>
      </c>
      <c r="I2" s="6">
        <f>IFERROR(H2/G2, 0)</f>
        <v>-7.7919249341748723E-2</v>
      </c>
      <c r="J2" s="17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141198</v>
      </c>
      <c r="D4" s="34">
        <v>129239</v>
      </c>
      <c r="E4" s="34">
        <f>IF(AND(ISNUMBER(C4),ISNUMBER(D4)), C4-D4, "")</f>
        <v>11959</v>
      </c>
      <c r="F4" s="35">
        <f>IFERROR(E4/D4, "")</f>
        <v>9.2533987418658453E-2</v>
      </c>
      <c r="G4" s="36">
        <v>163816.29999999999</v>
      </c>
      <c r="H4" s="36">
        <f>IF(AND(ISNUMBER(C4),ISNUMBER(G4)), C4-G4, "")</f>
        <v>-22618.299999999988</v>
      </c>
      <c r="I4" s="37">
        <f>IFERROR(H4/G4, "")</f>
        <v>-0.13807111990687124</v>
      </c>
      <c r="J4" s="56"/>
      <c r="K4" s="56"/>
    </row>
    <row r="5" spans="1:11" ht="43.15">
      <c r="A5" s="62" t="str">
        <v>Bullis</v>
      </c>
      <c r="B5" s="58" t="str">
        <v>NY</v>
      </c>
      <c r="C5" s="40">
        <v>1063971.5</v>
      </c>
      <c r="D5" s="41">
        <v>1030113</v>
      </c>
      <c r="E5" s="41">
        <f t="shared" ref="E5:E6" si="0">IF(AND(ISNUMBER(C5),ISNUMBER(D5)), C5-D5, "")</f>
        <v>33858.5</v>
      </c>
      <c r="F5" s="42">
        <f>IFERROR(E5/D5, "")</f>
        <v>3.2868724110849977E-2</v>
      </c>
      <c r="G5" s="43">
        <v>1120156</v>
      </c>
      <c r="H5" s="43">
        <f t="shared" ref="H5:H6" si="1">IF(AND(ISNUMBER(C5),ISNUMBER(G5)), C5-G5, "")</f>
        <v>-56184.5</v>
      </c>
      <c r="I5" s="42">
        <f t="shared" ref="I5:I6" si="2">IFERROR(H5/G5, "")</f>
        <v>-5.0157745885394532E-2</v>
      </c>
      <c r="J5" s="59" t="s">
        <v>56</v>
      </c>
      <c r="K5" s="65" t="s">
        <v>57</v>
      </c>
    </row>
    <row r="6" spans="1:11" ht="15.6">
      <c r="A6" s="63" t="str">
        <v>Rock Island</v>
      </c>
      <c r="B6" s="55" t="str">
        <v>NY</v>
      </c>
      <c r="C6" s="33">
        <v>872257.5</v>
      </c>
      <c r="D6" s="34">
        <v>946689</v>
      </c>
      <c r="E6" s="34">
        <f t="shared" si="0"/>
        <v>-74431.5</v>
      </c>
      <c r="F6" s="35">
        <f t="shared" ref="F6" si="3">IFERROR(E6/D6, "")</f>
        <v>-7.8622969106010521E-2</v>
      </c>
      <c r="G6" s="43">
        <v>969005</v>
      </c>
      <c r="H6" s="36">
        <f t="shared" si="1"/>
        <v>-96747.5</v>
      </c>
      <c r="I6" s="37">
        <f t="shared" si="2"/>
        <v>-9.9842106077884019E-2</v>
      </c>
      <c r="J6" s="56" t="s">
        <v>58</v>
      </c>
      <c r="K6" s="56" t="s">
        <v>59</v>
      </c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65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tabSelected="1" workbookViewId="0">
      <pane xSplit="2" ySplit="3" topLeftCell="C4" activePane="bottomRight" state="frozen"/>
      <selection pane="bottomRight" activeCell="N5" sqref="N5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60</v>
      </c>
      <c r="E1" s="74"/>
      <c r="F1" s="74"/>
      <c r="G1" s="72" t="s">
        <v>61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1682098</v>
      </c>
      <c r="D2" s="5">
        <f>SUM(D4:D80)</f>
        <v>1676510.6969999999</v>
      </c>
      <c r="E2" s="5">
        <f>C2-D2</f>
        <v>5587.3030000000726</v>
      </c>
      <c r="F2" s="6">
        <f>IFERROR(E2/D2, 0)</f>
        <v>3.3326974948613007E-3</v>
      </c>
      <c r="G2" s="5">
        <f>SUM(G4:G80)</f>
        <v>1992699</v>
      </c>
      <c r="H2" s="7">
        <f>C2-G2</f>
        <v>-310601</v>
      </c>
      <c r="I2" s="6">
        <f>IFERROR(H2/G2, 0)</f>
        <v>-0.15586950161564792</v>
      </c>
      <c r="J2" s="17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145570</v>
      </c>
      <c r="D4" s="34">
        <v>134298.69699999999</v>
      </c>
      <c r="E4" s="34">
        <f>IF(AND(ISNUMBER(C4),ISNUMBER(D4)), C4-D4, "")</f>
        <v>11271.303000000014</v>
      </c>
      <c r="F4" s="35">
        <f>IFERROR(E4/D4, "")</f>
        <v>8.3927121050176801E-2</v>
      </c>
      <c r="G4" s="36">
        <v>152692</v>
      </c>
      <c r="H4" s="36">
        <f>IF(AND(ISNUMBER(C4),ISNUMBER(G4)), C4-G4, "")</f>
        <v>-7122</v>
      </c>
      <c r="I4" s="37">
        <f>IFERROR(H4/G4, "")</f>
        <v>-4.6642915149451181E-2</v>
      </c>
      <c r="J4" s="56"/>
      <c r="K4" s="56"/>
    </row>
    <row r="5" spans="1:11" ht="57.6">
      <c r="A5" s="62" t="str">
        <v>Bullis</v>
      </c>
      <c r="B5" s="58" t="str">
        <v>NY</v>
      </c>
      <c r="C5" s="40">
        <v>802772</v>
      </c>
      <c r="D5" s="41">
        <v>784268</v>
      </c>
      <c r="E5" s="41">
        <f t="shared" ref="E5:E7" si="0">IF(AND(ISNUMBER(C5),ISNUMBER(D5)), C5-D5, "")</f>
        <v>18504</v>
      </c>
      <c r="F5" s="42">
        <f>IFERROR(E5/D5, "")</f>
        <v>2.3593975528773327E-2</v>
      </c>
      <c r="G5" s="43">
        <v>997314</v>
      </c>
      <c r="H5" s="43">
        <f t="shared" ref="H5:H7" si="1">IF(AND(ISNUMBER(C5),ISNUMBER(G5)), C5-G5, "")</f>
        <v>-194542</v>
      </c>
      <c r="I5" s="42">
        <f t="shared" ref="I5:I7" si="2">IFERROR(H5/G5, "")</f>
        <v>-0.19506594713400194</v>
      </c>
      <c r="J5" s="59" t="s">
        <v>62</v>
      </c>
      <c r="K5" s="64" t="s">
        <v>63</v>
      </c>
    </row>
    <row r="6" spans="1:11" ht="28.9">
      <c r="A6" s="63" t="str">
        <v>Rock Island</v>
      </c>
      <c r="B6" s="55" t="str">
        <v>NY</v>
      </c>
      <c r="C6" s="33">
        <v>733756</v>
      </c>
      <c r="D6" s="34">
        <v>757944</v>
      </c>
      <c r="E6" s="34">
        <f t="shared" si="0"/>
        <v>-24188</v>
      </c>
      <c r="F6" s="67">
        <f t="shared" ref="F6:F7" si="3">IFERROR(E6/D6, "")</f>
        <v>-3.1912647900108712E-2</v>
      </c>
      <c r="G6" s="36">
        <v>842693</v>
      </c>
      <c r="H6" s="36">
        <f t="shared" si="1"/>
        <v>-108937</v>
      </c>
      <c r="I6" s="37">
        <f t="shared" si="2"/>
        <v>-0.1292724634000757</v>
      </c>
      <c r="J6" s="56" t="s">
        <v>64</v>
      </c>
      <c r="K6" s="56" t="s">
        <v>65</v>
      </c>
    </row>
    <row r="7" spans="1:11" ht="15.6">
      <c r="A7" s="70" t="str">
        <v>Slayton A &amp; B</v>
      </c>
      <c r="B7" s="71" t="str">
        <v>NY</v>
      </c>
      <c r="C7" s="68"/>
      <c r="D7" s="68"/>
      <c r="E7" s="68" t="str">
        <f t="shared" si="0"/>
        <v/>
      </c>
      <c r="F7" s="67" t="str">
        <f t="shared" si="3"/>
        <v/>
      </c>
      <c r="G7" s="68"/>
      <c r="H7" s="43" t="str">
        <f t="shared" si="1"/>
        <v/>
      </c>
      <c r="I7" s="37" t="str">
        <f t="shared" si="2"/>
        <v/>
      </c>
      <c r="J7" s="68"/>
      <c r="K7" s="68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9 I4:I80 F11:F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J6" sqref="J6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66</v>
      </c>
      <c r="E1" s="74"/>
      <c r="F1" s="74"/>
      <c r="G1" s="72" t="s">
        <v>67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7">Sites[Site]</f>
        <v>Cedar Swamp Rd</v>
      </c>
      <c r="B4" s="55" t="str" cm="1">
        <f t="array" ref="B4:B7">Sites[State]</f>
        <v>MA</v>
      </c>
      <c r="C4" s="33"/>
      <c r="D4" s="34"/>
      <c r="E4" s="34" t="str">
        <f>IF(AND(ISNUMBER(C4),ISNUMBER(D4)), C4-D4, "")</f>
        <v/>
      </c>
      <c r="F4" s="35" t="str">
        <f>IFERROR(E4/D4, "")</f>
        <v/>
      </c>
      <c r="G4" s="36"/>
      <c r="H4" s="36" t="str">
        <f>IF(AND(ISNUMBER(C4),ISNUMBER(G4)), C4-G4, "")</f>
        <v/>
      </c>
      <c r="I4" s="37" t="str">
        <f>IFERROR(H4/G4, "")</f>
        <v/>
      </c>
      <c r="J4" s="56"/>
      <c r="K4" s="56"/>
    </row>
    <row r="5" spans="1:11" ht="15.6">
      <c r="A5" s="62" t="str">
        <v>Bullis</v>
      </c>
      <c r="B5" s="58" t="str">
        <v>NY</v>
      </c>
      <c r="C5" s="40"/>
      <c r="D5" s="41"/>
      <c r="E5" s="41" t="str">
        <f t="shared" ref="E5:E6" si="0">IF(AND(ISNUMBER(C5),ISNUMBER(D5)), C5-D5, "")</f>
        <v/>
      </c>
      <c r="F5" s="42" t="str">
        <f>IFERROR(E5/D5, "")</f>
        <v/>
      </c>
      <c r="G5" s="43"/>
      <c r="H5" s="43" t="str">
        <f t="shared" ref="H5:H6" si="1">IF(AND(ISNUMBER(C5),ISNUMBER(G5)), C5-G5, "")</f>
        <v/>
      </c>
      <c r="I5" s="42" t="str">
        <f t="shared" ref="I5:I6" si="2">IFERROR(H5/G5, "")</f>
        <v/>
      </c>
      <c r="J5" s="59"/>
      <c r="K5" s="59"/>
    </row>
    <row r="6" spans="1:11" ht="15.6">
      <c r="A6" s="63" t="str">
        <v>Rock Island</v>
      </c>
      <c r="B6" s="55" t="str">
        <v>NY</v>
      </c>
      <c r="C6" s="33"/>
      <c r="D6" s="34"/>
      <c r="E6" s="34" t="str">
        <f t="shared" si="0"/>
        <v/>
      </c>
      <c r="F6" s="35" t="str">
        <f t="shared" ref="F6" si="3">IFERROR(E6/D6, "")</f>
        <v/>
      </c>
      <c r="G6" s="36"/>
      <c r="H6" s="36" t="str">
        <f t="shared" si="1"/>
        <v/>
      </c>
      <c r="I6" s="37" t="str">
        <f t="shared" si="2"/>
        <v/>
      </c>
      <c r="J6" s="56"/>
      <c r="K6" s="56"/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I4" activePane="bottomRight" state="frozen"/>
      <selection pane="bottomRight" activeCell="J6" sqref="J6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68</v>
      </c>
      <c r="E1" s="74"/>
      <c r="F1" s="74"/>
      <c r="G1" s="72" t="s">
        <v>69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7">Sites[Site]</f>
        <v>Cedar Swamp Rd</v>
      </c>
      <c r="B4" s="55" t="str" cm="1">
        <f t="array" ref="B4:B7">Sites[State]</f>
        <v>MA</v>
      </c>
      <c r="C4" s="33"/>
      <c r="D4" s="34"/>
      <c r="E4" s="34" t="str">
        <f>IF(AND(ISNUMBER(C4),ISNUMBER(D4)), C4-D4, "")</f>
        <v/>
      </c>
      <c r="F4" s="35" t="str">
        <f>IFERROR(E4/D4, "")</f>
        <v/>
      </c>
      <c r="G4" s="36"/>
      <c r="H4" s="36" t="str">
        <f>IF(AND(ISNUMBER(C4),ISNUMBER(G4)), C4-G4, "")</f>
        <v/>
      </c>
      <c r="I4" s="37" t="str">
        <f>IFERROR(H4/G4, "")</f>
        <v/>
      </c>
      <c r="J4" s="56"/>
      <c r="K4" s="56"/>
    </row>
    <row r="5" spans="1:11" ht="15.6">
      <c r="A5" s="62" t="str">
        <v>Bullis</v>
      </c>
      <c r="B5" s="58" t="str">
        <v>NY</v>
      </c>
      <c r="C5" s="40"/>
      <c r="D5" s="41"/>
      <c r="E5" s="41" t="str">
        <f t="shared" ref="E5:E6" si="0">IF(AND(ISNUMBER(C5),ISNUMBER(D5)), C5-D5, "")</f>
        <v/>
      </c>
      <c r="F5" s="42" t="str">
        <f>IFERROR(E5/D5, "")</f>
        <v/>
      </c>
      <c r="G5" s="43"/>
      <c r="H5" s="43" t="str">
        <f t="shared" ref="H5:H6" si="1">IF(AND(ISNUMBER(C5),ISNUMBER(G5)), C5-G5, "")</f>
        <v/>
      </c>
      <c r="I5" s="42" t="str">
        <f t="shared" ref="I5:I6" si="2">IFERROR(H5/G5, "")</f>
        <v/>
      </c>
      <c r="J5" s="59"/>
      <c r="K5" s="59"/>
    </row>
    <row r="6" spans="1:11" ht="15.6">
      <c r="A6" s="63" t="str">
        <v>Rock Island</v>
      </c>
      <c r="B6" s="55" t="str">
        <v>NY</v>
      </c>
      <c r="C6" s="33"/>
      <c r="D6" s="34"/>
      <c r="E6" s="34" t="str">
        <f t="shared" si="0"/>
        <v/>
      </c>
      <c r="F6" s="35" t="str">
        <f t="shared" ref="F6" si="3">IFERROR(E6/D6, "")</f>
        <v/>
      </c>
      <c r="G6" s="36"/>
      <c r="H6" s="36" t="str">
        <f t="shared" si="1"/>
        <v/>
      </c>
      <c r="I6" s="37" t="str">
        <f t="shared" si="2"/>
        <v/>
      </c>
      <c r="J6" s="56"/>
      <c r="K6" s="56"/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F4" activePane="bottomRight" state="frozen"/>
      <selection pane="bottomRight" activeCell="J6" sqref="J6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70</v>
      </c>
      <c r="E1" s="74"/>
      <c r="F1" s="74"/>
      <c r="G1" s="72" t="s">
        <v>71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7">Sites[Site]</f>
        <v>Cedar Swamp Rd</v>
      </c>
      <c r="B4" s="55" t="str" cm="1">
        <f t="array" ref="B4:B7">Sites[State]</f>
        <v>MA</v>
      </c>
      <c r="C4" s="33"/>
      <c r="D4" s="34"/>
      <c r="E4" s="34" t="str">
        <f>IF(AND(ISNUMBER(C4),ISNUMBER(D4)), C4-D4, "")</f>
        <v/>
      </c>
      <c r="F4" s="35" t="str">
        <f>IFERROR(E4/D4, "")</f>
        <v/>
      </c>
      <c r="G4" s="36"/>
      <c r="H4" s="36" t="str">
        <f>IF(AND(ISNUMBER(C4),ISNUMBER(G4)), C4-G4, "")</f>
        <v/>
      </c>
      <c r="I4" s="37" t="str">
        <f>IFERROR(H4/G4, "")</f>
        <v/>
      </c>
      <c r="J4" s="56"/>
      <c r="K4" s="56"/>
    </row>
    <row r="5" spans="1:11" ht="15.6">
      <c r="A5" s="62" t="str">
        <v>Bullis</v>
      </c>
      <c r="B5" s="58" t="str">
        <v>NY</v>
      </c>
      <c r="C5" s="40"/>
      <c r="D5" s="41"/>
      <c r="E5" s="41" t="str">
        <f t="shared" ref="E5:E6" si="0">IF(AND(ISNUMBER(C5),ISNUMBER(D5)), C5-D5, "")</f>
        <v/>
      </c>
      <c r="F5" s="42" t="str">
        <f>IFERROR(E5/D5, "")</f>
        <v/>
      </c>
      <c r="G5" s="43"/>
      <c r="H5" s="43" t="str">
        <f t="shared" ref="H5:H6" si="1">IF(AND(ISNUMBER(C5),ISNUMBER(G5)), C5-G5, "")</f>
        <v/>
      </c>
      <c r="I5" s="42" t="str">
        <f t="shared" ref="I5:I6" si="2">IFERROR(H5/G5, "")</f>
        <v/>
      </c>
      <c r="J5" s="59"/>
      <c r="K5" s="59"/>
    </row>
    <row r="6" spans="1:11" ht="15.6">
      <c r="A6" s="63" t="str">
        <v>Rock Island</v>
      </c>
      <c r="B6" s="55" t="str">
        <v>NY</v>
      </c>
      <c r="C6" s="33"/>
      <c r="D6" s="34"/>
      <c r="E6" s="34" t="str">
        <f t="shared" si="0"/>
        <v/>
      </c>
      <c r="F6" s="35" t="str">
        <f t="shared" ref="F6" si="3">IFERROR(E6/D6, "")</f>
        <v/>
      </c>
      <c r="G6" s="36"/>
      <c r="H6" s="36" t="str">
        <f t="shared" si="1"/>
        <v/>
      </c>
      <c r="I6" s="37" t="str">
        <f t="shared" si="2"/>
        <v/>
      </c>
      <c r="J6" s="56"/>
      <c r="K6" s="56"/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J6" sqref="J6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72</v>
      </c>
      <c r="E1" s="74"/>
      <c r="F1" s="74"/>
      <c r="G1" s="72" t="s">
        <v>73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6">
      <c r="A4" s="61" t="str" cm="1">
        <f t="array" ref="A4:A7">Sites[Site]</f>
        <v>Cedar Swamp Rd</v>
      </c>
      <c r="B4" s="55" t="str" cm="1">
        <f t="array" ref="B4:B7">Sites[State]</f>
        <v>MA</v>
      </c>
      <c r="C4" s="33"/>
      <c r="D4" s="34"/>
      <c r="E4" s="34" t="str">
        <f>IF(AND(ISNUMBER(C4),ISNUMBER(D4)), C4-D4, "")</f>
        <v/>
      </c>
      <c r="F4" s="35" t="str">
        <f>IFERROR(E4/D4, "")</f>
        <v/>
      </c>
      <c r="G4" s="36"/>
      <c r="H4" s="36" t="str">
        <f>IF(AND(ISNUMBER(C4),ISNUMBER(G4)), C4-G4, "")</f>
        <v/>
      </c>
      <c r="I4" s="37" t="str">
        <f>IFERROR(H4/G4, "")</f>
        <v/>
      </c>
      <c r="J4" s="56"/>
      <c r="K4" s="56"/>
    </row>
    <row r="5" spans="1:11" ht="15.6">
      <c r="A5" s="62" t="str">
        <v>Bullis</v>
      </c>
      <c r="B5" s="58" t="str">
        <v>NY</v>
      </c>
      <c r="C5" s="40"/>
      <c r="D5" s="41"/>
      <c r="E5" s="41" t="str">
        <f t="shared" ref="E5:E6" si="0">IF(AND(ISNUMBER(C5),ISNUMBER(D5)), C5-D5, "")</f>
        <v/>
      </c>
      <c r="F5" s="42" t="str">
        <f>IFERROR(E5/D5, "")</f>
        <v/>
      </c>
      <c r="G5" s="43"/>
      <c r="H5" s="43" t="str">
        <f t="shared" ref="H5:H6" si="1">IF(AND(ISNUMBER(C5),ISNUMBER(G5)), C5-G5, "")</f>
        <v/>
      </c>
      <c r="I5" s="42" t="str">
        <f t="shared" ref="I5:I6" si="2">IFERROR(H5/G5, "")</f>
        <v/>
      </c>
      <c r="J5" s="59"/>
      <c r="K5" s="59"/>
    </row>
    <row r="6" spans="1:11" ht="15.6">
      <c r="A6" s="63" t="str">
        <v>Rock Island</v>
      </c>
      <c r="B6" s="55" t="str">
        <v>NY</v>
      </c>
      <c r="C6" s="33"/>
      <c r="D6" s="34"/>
      <c r="E6" s="34" t="str">
        <f t="shared" si="0"/>
        <v/>
      </c>
      <c r="F6" s="35" t="str">
        <f t="shared" ref="F6" si="3">IFERROR(E6/D6, "")</f>
        <v/>
      </c>
      <c r="G6" s="36"/>
      <c r="H6" s="36" t="str">
        <f t="shared" si="1"/>
        <v/>
      </c>
      <c r="I6" s="37" t="str">
        <f t="shared" si="2"/>
        <v/>
      </c>
      <c r="J6" s="56"/>
      <c r="K6" s="56"/>
    </row>
    <row r="7" spans="1:11" ht="15.6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B20" sqref="B2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74</v>
      </c>
      <c r="B1" t="s">
        <v>75</v>
      </c>
    </row>
    <row r="3" spans="1:12" ht="13.15">
      <c r="A3" t="s">
        <v>76</v>
      </c>
      <c r="B3" t="s">
        <v>3</v>
      </c>
      <c r="C3" t="s">
        <v>4</v>
      </c>
      <c r="D3" t="s">
        <v>77</v>
      </c>
      <c r="E3" s="2" t="s">
        <v>78</v>
      </c>
    </row>
    <row r="4" spans="1:12" ht="14.45">
      <c r="A4" s="30" t="s">
        <v>79</v>
      </c>
      <c r="B4" t="s">
        <v>80</v>
      </c>
      <c r="C4" s="29" t="s">
        <v>81</v>
      </c>
      <c r="D4" s="28" t="s">
        <v>82</v>
      </c>
      <c r="E4" t="s">
        <v>83</v>
      </c>
      <c r="G4" s="3"/>
    </row>
    <row r="5" spans="1:12" ht="14.45">
      <c r="A5" s="30" t="s">
        <v>84</v>
      </c>
      <c r="B5" t="s">
        <v>84</v>
      </c>
      <c r="C5" s="29" t="s">
        <v>85</v>
      </c>
      <c r="D5" s="28"/>
      <c r="E5" t="s">
        <v>83</v>
      </c>
      <c r="G5" s="3"/>
    </row>
    <row r="6" spans="1:12" ht="14.45">
      <c r="A6" s="30" t="s">
        <v>86</v>
      </c>
      <c r="B6" t="s">
        <v>87</v>
      </c>
      <c r="C6" s="29" t="s">
        <v>85</v>
      </c>
      <c r="D6" s="28" t="s">
        <v>82</v>
      </c>
      <c r="E6" t="s">
        <v>83</v>
      </c>
      <c r="G6" s="3"/>
    </row>
    <row r="7" spans="1:12" ht="12.75" customHeight="1">
      <c r="A7" s="69" t="s">
        <v>88</v>
      </c>
      <c r="B7" s="66" t="s">
        <v>89</v>
      </c>
      <c r="C7" s="29" t="s">
        <v>85</v>
      </c>
      <c r="E7" t="s">
        <v>83</v>
      </c>
      <c r="K7" s="26"/>
      <c r="L7" s="26"/>
    </row>
    <row r="8" spans="1:12" ht="12.75" customHeight="1">
      <c r="K8" s="26"/>
      <c r="L8" s="26"/>
    </row>
    <row r="9" spans="1:12" ht="12.75" customHeight="1">
      <c r="K9" s="26"/>
      <c r="L9" s="26"/>
    </row>
    <row r="10" spans="1:12" ht="12.75" customHeight="1">
      <c r="K10" s="26"/>
      <c r="L10" s="26"/>
    </row>
    <row r="11" spans="1:12" ht="12.75" customHeight="1">
      <c r="K11" s="26"/>
      <c r="L11" s="26"/>
    </row>
    <row r="12" spans="1:12" ht="12.75" customHeight="1">
      <c r="K12" s="26"/>
      <c r="L12" s="26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2024-09-13T14:11:18Z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2024-09-13T14:09:38Z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5e2876eb-07b3-41bf-9665-a07636594534</vt:lpwstr>
  </property>
  <property fmtid="{D5CDD505-2E9C-101B-9397-08002B2CF9AE}" pid="9" name="MSIP_Label_9d817c99-0b37-4a07-8277-96aa1f96b74b_ContentBits">
    <vt:lpwstr>0</vt:lpwstr>
  </property>
</Properties>
</file>