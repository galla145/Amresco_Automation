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8" documentId="13_ncr:1_{A34613BD-6AC4-40D1-BB64-0CAEDB0BE88C}" xr6:coauthVersionLast="47" xr6:coauthVersionMax="47" xr10:uidLastSave="{7CFD4F21-BC5E-48E4-B0A6-ED179B941EB2}"/>
  <bookViews>
    <workbookView xWindow="-98" yWindow="-98" windowWidth="21795" windowHeight="12975" tabRatio="866" firstSheet="11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2" i="20" l="1"/>
  <c r="F2" i="20" s="1"/>
  <c r="G4" i="34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<sst xmlns="http://schemas.openxmlformats.org/spreadsheetml/2006/main" count="243" uniqueCount="57">
  <si>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</si>
  <si>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</si>
  <si>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</si>
  <si>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</si>
  <si>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</si>
  <si>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</si>
  <si>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</si>
  <si>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</si>
  <si>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</si>
  <si>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</si>
  <si>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</si>
  <si>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</si>
  <si>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</si>
  <si>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</si>
  <si>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</si>
  <si>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</si>
  <si>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</si>
  <si>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</si>
  <si>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</si>
  <si>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</si>
  <si>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</si>
  <si>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</si>
  <si>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</si>
  <si>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</si>
  <si>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</si>
  <si>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</si>
  <si>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</si>
  <si>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</si>
  <si>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</si>
  <si>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</si>
  <si>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</si>
  <si>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</si>
  <si>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</si>
  <si>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</si>
  <si>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Site was offline from 06/30 to 09:00am on 07/02 and again site was offline from 07/03 to 11:00am on 07/26.</t>
  </si>
  <si>
    <t>1. SR088630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</si>
  <si>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</si>
  <si>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</si>
  <si>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</si>
  <si>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</si>
  <si>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</si>
  <si>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</si>
  <si>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</si>
  <si>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</si>
  <si>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</si>
  <si>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</si>
  <si>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</si>
  <si>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PureSky Energy</t>
  </si>
  <si>
    <t>Site DAS Name</t>
  </si>
  <si>
    <t>Update</t>
  </si>
  <si>
    <t>DAS</t>
  </si>
  <si>
    <t>Cotuit</t>
  </si>
  <si>
    <t>MA: Sandwich - 180 Cotuit Road</t>
  </si>
  <si>
    <t>MA</t>
  </si>
  <si>
    <t>PowerTrack</t>
  </si>
  <si>
    <t>1.Site offline from 5/8 and back online on 8/8 at 13:00 
2.Site offline from 07:00AM to 11:15AM on 8/20</t>
  </si>
  <si>
    <t>1.SR088630
2.	SR089286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</si>
</sst>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activeCell="A6" sqref="A6"/>
      <selection pane="bottomLeft" activeCell="A3" sqref="A3:F4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35">
      <c r="A1" s="43" t="str" cm="1">
        <f t="array" ref="A1">portfolio</f>
        <v>PureSky Energy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 x14ac:dyDescent="0.35">
      <c r="A2" s="45" t="s">
        <v>2</v>
      </c>
      <c r="B2" s="45"/>
      <c r="C2" s="6">
        <f>SUM(C4:C60)</f>
        <v>559052</v>
      </c>
      <c r="D2" s="6">
        <f>SUM(D4:D60)</f>
        <v>431285.5</v>
      </c>
      <c r="E2" s="6">
        <f>C2-D2</f>
        <v>127766.5</v>
      </c>
      <c r="F2" s="7">
        <f>IFERROR(E2/D2, 0)</f>
        <v>0.29624575832018468</v>
      </c>
      <c r="G2" s="6">
        <f>SUM(G4:G60)</f>
        <v>0</v>
      </c>
      <c r="H2" s="8">
        <f>C2-G2</f>
        <v>559052</v>
      </c>
      <c r="I2" s="7">
        <f>IFERROR(H2/G2, 0)</f>
        <v>0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35">
      <c r="A4" s="13" t="str" cm="1">
        <f t="array" ref="A4">Sites[Site]</f>
        <v>MA: Sandwich - 180 Cotuit Road</v>
      </c>
      <c r="B4" s="10" t="str" cm="1">
        <f t="array" ref="B4">Sites[State]</f>
        <v>MA</v>
      </c>
      <c r="C4" s="26">
        <f>SUM('1st Qtr'!C4, '2nd Qtr'!C4, '3rd Qtr'!C4, '4th Qtr'!C4)</f>
        <v>559052</v>
      </c>
      <c r="D4" s="14">
        <f>SUM('1st Qtr'!D4, '2nd Qtr'!D4, '3rd Qtr'!D4, '4th Qtr'!D4)</f>
        <v>431285.5</v>
      </c>
      <c r="E4" s="14">
        <f>IF(AND(ISNUMBER(C4),ISNUMBER(D4)), C4-D4, "")</f>
        <v>127766.5</v>
      </c>
      <c r="F4" s="15">
        <f>IFERROR(E4/D4, "")</f>
        <v>0.29624575832018468</v>
      </c>
      <c r="G4" s="16">
        <f>SUM('1st Qtr'!G4,'2nd Qtr'!G4,'3rd Qtr'!G4,'4th Qtr'!G4)</f>
        <v>0</v>
      </c>
      <c r="H4" s="16">
        <f>SUM('1st Qtr'!H4, '2nd Qtr'!H4, '3rd Qtr'!H4, '4th Qtr'!H4)</f>
        <v>-694518.4</v>
      </c>
      <c r="I4" s="17" t="str">
        <f>IFERROR(H4/G4, "")</f>
        <v/>
      </c>
    </row>
    <row r="5" spans="1:9" ht="13.15" x14ac:dyDescent="0.4">
      <c r="A5" s="23"/>
      <c r="B5" s="23"/>
      <c r="C5" s="23"/>
      <c r="D5" s="23"/>
      <c r="E5" s="23"/>
      <c r="F5" s="24"/>
      <c r="G5" s="23"/>
      <c r="H5" s="23"/>
      <c r="I5" s="24"/>
    </row>
    <row r="6" spans="1:9" ht="13.15" x14ac:dyDescent="0.4">
      <c r="A6" s="23"/>
      <c r="B6" s="23"/>
      <c r="C6" s="23"/>
      <c r="D6" s="23"/>
      <c r="E6" s="23"/>
      <c r="F6" s="24"/>
      <c r="G6" s="23"/>
      <c r="H6" s="23"/>
      <c r="I6" s="24"/>
    </row>
    <row r="7" spans="1:9" ht="13.15" x14ac:dyDescent="0.4">
      <c r="A7" s="23"/>
      <c r="B7" s="23"/>
      <c r="C7" s="23"/>
      <c r="D7" s="23"/>
      <c r="E7" s="23"/>
      <c r="F7" s="24"/>
      <c r="G7" s="23"/>
      <c r="H7" s="23"/>
      <c r="I7" s="24"/>
    </row>
    <row r="8" spans="1:9" ht="13.15" x14ac:dyDescent="0.4">
      <c r="A8" s="23"/>
      <c r="B8" s="23"/>
      <c r="C8" s="23"/>
      <c r="D8" s="23"/>
      <c r="E8" s="23"/>
      <c r="F8" s="24"/>
      <c r="G8" s="23"/>
      <c r="H8" s="23"/>
      <c r="I8" s="24"/>
    </row>
    <row r="9" spans="1:9" ht="13.15" x14ac:dyDescent="0.4">
      <c r="A9" s="23"/>
      <c r="B9" s="23"/>
      <c r="C9" s="23"/>
      <c r="D9" s="23"/>
      <c r="E9" s="23"/>
      <c r="F9" s="24"/>
      <c r="G9" s="23"/>
      <c r="H9" s="23"/>
      <c r="I9" s="24"/>
    </row>
    <row r="10" spans="1:9" ht="13.15" x14ac:dyDescent="0.4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 x14ac:dyDescent="0.4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 x14ac:dyDescent="0.4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 x14ac:dyDescent="0.4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 x14ac:dyDescent="0.4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 x14ac:dyDescent="0.4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 x14ac:dyDescent="0.4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 x14ac:dyDescent="0.4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 x14ac:dyDescent="0.4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 x14ac:dyDescent="0.4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 x14ac:dyDescent="0.4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 x14ac:dyDescent="0.4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 x14ac:dyDescent="0.4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 x14ac:dyDescent="0.4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 x14ac:dyDescent="0.4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 x14ac:dyDescent="0.4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 x14ac:dyDescent="0.4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 x14ac:dyDescent="0.4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 x14ac:dyDescent="0.4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 x14ac:dyDescent="0.4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 x14ac:dyDescent="0.4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 x14ac:dyDescent="0.4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 x14ac:dyDescent="0.4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 x14ac:dyDescent="0.4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 x14ac:dyDescent="0.4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 x14ac:dyDescent="0.4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 x14ac:dyDescent="0.4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 x14ac:dyDescent="0.4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 x14ac:dyDescent="0.4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 x14ac:dyDescent="0.4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 x14ac:dyDescent="0.4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 x14ac:dyDescent="0.4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 x14ac:dyDescent="0.4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 x14ac:dyDescent="0.4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 x14ac:dyDescent="0.4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 x14ac:dyDescent="0.4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 x14ac:dyDescent="0.4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 x14ac:dyDescent="0.4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 x14ac:dyDescent="0.4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 x14ac:dyDescent="0.4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 x14ac:dyDescent="0.4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 x14ac:dyDescent="0.4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 x14ac:dyDescent="0.4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 x14ac:dyDescent="0.4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 x14ac:dyDescent="0.4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 x14ac:dyDescent="0.4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 x14ac:dyDescent="0.4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 x14ac:dyDescent="0.4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 x14ac:dyDescent="0.4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 x14ac:dyDescent="0.4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 x14ac:dyDescent="0.4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 x14ac:dyDescent="0.4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 x14ac:dyDescent="0.4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 x14ac:dyDescent="0.4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 x14ac:dyDescent="0.4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 x14ac:dyDescent="0.4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 x14ac:dyDescent="0.4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 x14ac:dyDescent="0.4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 x14ac:dyDescent="0.4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 x14ac:dyDescent="0.4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 x14ac:dyDescent="0.4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 x14ac:dyDescent="0.4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 x14ac:dyDescent="0.4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 x14ac:dyDescent="0.4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 x14ac:dyDescent="0.4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 x14ac:dyDescent="0.4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 x14ac:dyDescent="0.4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 x14ac:dyDescent="0.4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 x14ac:dyDescent="0.4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 x14ac:dyDescent="0.4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 x14ac:dyDescent="0.4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 x14ac:dyDescent="0.4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 x14ac:dyDescent="0.4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 x14ac:dyDescent="0.4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 x14ac:dyDescent="0.4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 x14ac:dyDescent="0.4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 x14ac:dyDescent="0.4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 x14ac:dyDescent="0.4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 x14ac:dyDescent="0.4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 x14ac:dyDescent="0.4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 x14ac:dyDescent="0.4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 x14ac:dyDescent="0.4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 x14ac:dyDescent="0.4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 x14ac:dyDescent="0.4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 x14ac:dyDescent="0.4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 x14ac:dyDescent="0.4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 x14ac:dyDescent="0.4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 x14ac:dyDescent="0.4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 x14ac:dyDescent="0.4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 x14ac:dyDescent="0.4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 x14ac:dyDescent="0.4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 x14ac:dyDescent="0.4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 x14ac:dyDescent="0.4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 x14ac:dyDescent="0.4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 x14ac:dyDescent="0.4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 x14ac:dyDescent="0.4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 x14ac:dyDescent="0.4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 x14ac:dyDescent="0.4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 x14ac:dyDescent="0.4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 x14ac:dyDescent="0.4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 x14ac:dyDescent="0.4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 x14ac:dyDescent="0.4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 x14ac:dyDescent="0.4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 x14ac:dyDescent="0.4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 x14ac:dyDescent="0.4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 x14ac:dyDescent="0.4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 x14ac:dyDescent="0.4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 x14ac:dyDescent="0.4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 x14ac:dyDescent="0.4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 x14ac:dyDescent="0.4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 x14ac:dyDescent="0.4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 x14ac:dyDescent="0.4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 x14ac:dyDescent="0.4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 x14ac:dyDescent="0.4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 x14ac:dyDescent="0.4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 x14ac:dyDescent="0.4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 x14ac:dyDescent="0.4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 x14ac:dyDescent="0.4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 x14ac:dyDescent="0.4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 x14ac:dyDescent="0.4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 x14ac:dyDescent="0.4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 x14ac:dyDescent="0.4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 x14ac:dyDescent="0.4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 x14ac:dyDescent="0.4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 x14ac:dyDescent="0.4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 x14ac:dyDescent="0.4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 x14ac:dyDescent="0.4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 x14ac:dyDescent="0.4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 x14ac:dyDescent="0.4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 x14ac:dyDescent="0.4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 x14ac:dyDescent="0.4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 x14ac:dyDescent="0.4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 x14ac:dyDescent="0.4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 x14ac:dyDescent="0.4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 x14ac:dyDescent="0.4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 x14ac:dyDescent="0.4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 x14ac:dyDescent="0.4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 x14ac:dyDescent="0.4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 x14ac:dyDescent="0.4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 x14ac:dyDescent="0.4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 x14ac:dyDescent="0.4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 x14ac:dyDescent="0.4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 x14ac:dyDescent="0.4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 x14ac:dyDescent="0.4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 x14ac:dyDescent="0.4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 x14ac:dyDescent="0.4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 x14ac:dyDescent="0.4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 x14ac:dyDescent="0.4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 x14ac:dyDescent="0.4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 x14ac:dyDescent="0.4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 x14ac:dyDescent="0.4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 x14ac:dyDescent="0.4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 x14ac:dyDescent="0.4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 x14ac:dyDescent="0.4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 x14ac:dyDescent="0.4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 x14ac:dyDescent="0.4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 x14ac:dyDescent="0.4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 x14ac:dyDescent="0.4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 x14ac:dyDescent="0.4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 x14ac:dyDescent="0.4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 x14ac:dyDescent="0.4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 x14ac:dyDescent="0.4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 x14ac:dyDescent="0.4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 x14ac:dyDescent="0.4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 x14ac:dyDescent="0.4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 x14ac:dyDescent="0.4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 x14ac:dyDescent="0.4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 x14ac:dyDescent="0.4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 x14ac:dyDescent="0.4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 x14ac:dyDescent="0.4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 x14ac:dyDescent="0.4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 x14ac:dyDescent="0.4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 x14ac:dyDescent="0.4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 x14ac:dyDescent="0.4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 x14ac:dyDescent="0.4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 x14ac:dyDescent="0.4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 x14ac:dyDescent="0.4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 x14ac:dyDescent="0.4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 x14ac:dyDescent="0.4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 x14ac:dyDescent="0.4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 x14ac:dyDescent="0.4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 x14ac:dyDescent="0.4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 x14ac:dyDescent="0.4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 x14ac:dyDescent="0.4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 x14ac:dyDescent="0.4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 x14ac:dyDescent="0.4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 x14ac:dyDescent="0.4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 x14ac:dyDescent="0.4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 x14ac:dyDescent="0.4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 x14ac:dyDescent="0.4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 x14ac:dyDescent="0.4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 x14ac:dyDescent="0.4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 x14ac:dyDescent="0.4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 x14ac:dyDescent="0.4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 x14ac:dyDescent="0.4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 x14ac:dyDescent="0.4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 x14ac:dyDescent="0.4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 x14ac:dyDescent="0.4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 x14ac:dyDescent="0.4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 x14ac:dyDescent="0.4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 x14ac:dyDescent="0.4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 x14ac:dyDescent="0.4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 x14ac:dyDescent="0.4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 x14ac:dyDescent="0.4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 x14ac:dyDescent="0.4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 x14ac:dyDescent="0.4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 x14ac:dyDescent="0.4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 x14ac:dyDescent="0.4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 x14ac:dyDescent="0.4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 x14ac:dyDescent="0.4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 x14ac:dyDescent="0.4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 x14ac:dyDescent="0.4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 x14ac:dyDescent="0.4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 x14ac:dyDescent="0.4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 x14ac:dyDescent="0.4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 x14ac:dyDescent="0.4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 x14ac:dyDescent="0.4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 x14ac:dyDescent="0.4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 x14ac:dyDescent="0.4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 x14ac:dyDescent="0.4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 x14ac:dyDescent="0.4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 x14ac:dyDescent="0.4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 x14ac:dyDescent="0.4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 x14ac:dyDescent="0.4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 x14ac:dyDescent="0.4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 x14ac:dyDescent="0.4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 x14ac:dyDescent="0.4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 x14ac:dyDescent="0.4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 x14ac:dyDescent="0.4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 x14ac:dyDescent="0.4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 x14ac:dyDescent="0.4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 x14ac:dyDescent="0.4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 x14ac:dyDescent="0.4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 x14ac:dyDescent="0.4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 x14ac:dyDescent="0.4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 x14ac:dyDescent="0.4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 x14ac:dyDescent="0.4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 x14ac:dyDescent="0.4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 x14ac:dyDescent="0.4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 x14ac:dyDescent="0.4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 x14ac:dyDescent="0.4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 x14ac:dyDescent="0.4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 x14ac:dyDescent="0.4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 x14ac:dyDescent="0.4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 x14ac:dyDescent="0.4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 x14ac:dyDescent="0.4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 x14ac:dyDescent="0.4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 x14ac:dyDescent="0.4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 x14ac:dyDescent="0.4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 x14ac:dyDescent="0.4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 x14ac:dyDescent="0.4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 x14ac:dyDescent="0.4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 x14ac:dyDescent="0.4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 x14ac:dyDescent="0.4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 x14ac:dyDescent="0.4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 x14ac:dyDescent="0.4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 x14ac:dyDescent="0.4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 x14ac:dyDescent="0.4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 x14ac:dyDescent="0.4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 x14ac:dyDescent="0.4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 x14ac:dyDescent="0.4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 x14ac:dyDescent="0.4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 x14ac:dyDescent="0.4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 x14ac:dyDescent="0.4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 x14ac:dyDescent="0.4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 x14ac:dyDescent="0.4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 x14ac:dyDescent="0.4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 x14ac:dyDescent="0.4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 x14ac:dyDescent="0.4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 x14ac:dyDescent="0.4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 x14ac:dyDescent="0.4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 x14ac:dyDescent="0.4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 x14ac:dyDescent="0.4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 x14ac:dyDescent="0.4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 x14ac:dyDescent="0.4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 x14ac:dyDescent="0.4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 x14ac:dyDescent="0.4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 x14ac:dyDescent="0.4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 x14ac:dyDescent="0.4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 x14ac:dyDescent="0.4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 x14ac:dyDescent="0.4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 x14ac:dyDescent="0.4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 x14ac:dyDescent="0.4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 x14ac:dyDescent="0.4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 x14ac:dyDescent="0.4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 x14ac:dyDescent="0.4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 x14ac:dyDescent="0.4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 x14ac:dyDescent="0.4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 x14ac:dyDescent="0.4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 x14ac:dyDescent="0.4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 x14ac:dyDescent="0.4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 x14ac:dyDescent="0.4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 x14ac:dyDescent="0.4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activeCell="A16" sqref="A16:XFD24"/>
      <selection pane="bottomLeft" activeCell="E4" sqref="E4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35">
      <c r="A1" s="43" t="str" cm="1">
        <f t="array" ref="A1">portfolio</f>
        <v>PureSky Energy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 x14ac:dyDescent="0.35">
      <c r="A2" s="45" t="s">
        <v>2</v>
      </c>
      <c r="B2" s="45"/>
      <c r="C2" s="6">
        <f>SUM(C4:C68)</f>
        <v>0</v>
      </c>
      <c r="D2" s="6">
        <f>SUM(D4:D68)</f>
        <v>0</v>
      </c>
      <c r="E2" s="6">
        <f>C2-D2</f>
        <v>0</v>
      </c>
      <c r="F2" s="7">
        <f>IFERROR(E2/D2, 0)</f>
        <v>0</v>
      </c>
      <c r="G2" s="6">
        <f>SUM(G4:G68)</f>
        <v>0</v>
      </c>
      <c r="H2" s="8">
        <f>C2-G2</f>
        <v>0</v>
      </c>
      <c r="I2" s="7">
        <f>IFERROR(H2/G2, 0)</f>
        <v>0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35">
      <c r="A4" s="13" t="str" cm="1">
        <f t="array" ref="A4">Sites[Site]</f>
        <v>MA: Sandwich - 180 Cotuit Road</v>
      </c>
      <c r="B4" s="10" t="str" cm="1">
        <f t="array" ref="B4">Sites[State]</f>
        <v>MA</v>
      </c>
      <c r="C4" s="26">
        <f>SUM(Jan!C4, Feb!C4, Mar!C4)</f>
        <v>0</v>
      </c>
      <c r="D4" s="14">
        <f>SUM(Jan!D4, Feb!D4, Mar!D4)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SUM(Jan!G4, Feb!G4, Mar!G4)</f>
        <v>0</v>
      </c>
      <c r="H4" s="16">
        <f>SUM(Jan!H4, Feb!H4, Mar!H4)</f>
        <v>0</v>
      </c>
      <c r="I4" s="17" t="str">
        <f>IFERROR(H4/G4, "")</f>
        <v/>
      </c>
    </row>
    <row r="5" spans="1:9" ht="13.15" x14ac:dyDescent="0.4">
      <c r="A5" s="23"/>
      <c r="B5" s="23"/>
      <c r="C5" s="23"/>
      <c r="D5" s="23"/>
      <c r="E5" s="23"/>
      <c r="F5" s="24"/>
      <c r="G5" s="23"/>
      <c r="H5" s="23"/>
      <c r="I5" s="24"/>
    </row>
    <row r="6" spans="1:9" ht="13.15" x14ac:dyDescent="0.4">
      <c r="A6" s="23"/>
      <c r="B6" s="23"/>
      <c r="C6" s="23"/>
      <c r="D6" s="23"/>
      <c r="E6" s="23"/>
      <c r="F6" s="24"/>
      <c r="G6" s="23"/>
      <c r="H6" s="23"/>
      <c r="I6" s="24"/>
    </row>
    <row r="7" spans="1:9" ht="13.15" x14ac:dyDescent="0.4">
      <c r="A7" s="23"/>
      <c r="B7" s="23"/>
      <c r="C7" s="23"/>
      <c r="D7" s="23"/>
      <c r="E7" s="23"/>
      <c r="F7" s="24"/>
      <c r="G7" s="23"/>
      <c r="H7" s="23"/>
      <c r="I7" s="24"/>
    </row>
    <row r="8" spans="1:9" ht="13.15" x14ac:dyDescent="0.4">
      <c r="A8" s="23"/>
      <c r="B8" s="23"/>
      <c r="C8" s="23"/>
      <c r="D8" s="23"/>
      <c r="E8" s="23"/>
      <c r="F8" s="24"/>
      <c r="G8" s="23"/>
      <c r="H8" s="23"/>
      <c r="I8" s="24"/>
    </row>
    <row r="9" spans="1:9" ht="13.15" x14ac:dyDescent="0.4">
      <c r="A9" s="23"/>
      <c r="B9" s="23"/>
      <c r="C9" s="23"/>
      <c r="D9" s="23"/>
      <c r="E9" s="23"/>
      <c r="F9" s="24"/>
      <c r="G9" s="23"/>
      <c r="H9" s="23"/>
      <c r="I9" s="24"/>
    </row>
    <row r="10" spans="1:9" ht="13.15" x14ac:dyDescent="0.4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 x14ac:dyDescent="0.4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 x14ac:dyDescent="0.4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 x14ac:dyDescent="0.4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 x14ac:dyDescent="0.4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 x14ac:dyDescent="0.4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 x14ac:dyDescent="0.4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 x14ac:dyDescent="0.4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 x14ac:dyDescent="0.4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 x14ac:dyDescent="0.4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 x14ac:dyDescent="0.4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 x14ac:dyDescent="0.4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 x14ac:dyDescent="0.4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 x14ac:dyDescent="0.4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 x14ac:dyDescent="0.4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 x14ac:dyDescent="0.4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 x14ac:dyDescent="0.4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 x14ac:dyDescent="0.4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 x14ac:dyDescent="0.4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 x14ac:dyDescent="0.4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 x14ac:dyDescent="0.4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 x14ac:dyDescent="0.4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 x14ac:dyDescent="0.4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 x14ac:dyDescent="0.4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 x14ac:dyDescent="0.4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 x14ac:dyDescent="0.4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 x14ac:dyDescent="0.4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 x14ac:dyDescent="0.4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 x14ac:dyDescent="0.4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 x14ac:dyDescent="0.4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 x14ac:dyDescent="0.4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 x14ac:dyDescent="0.4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 x14ac:dyDescent="0.4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 x14ac:dyDescent="0.4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 x14ac:dyDescent="0.4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 x14ac:dyDescent="0.4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 x14ac:dyDescent="0.4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 x14ac:dyDescent="0.4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 x14ac:dyDescent="0.4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 x14ac:dyDescent="0.4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 x14ac:dyDescent="0.4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 x14ac:dyDescent="0.4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 x14ac:dyDescent="0.4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 x14ac:dyDescent="0.4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 x14ac:dyDescent="0.4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 x14ac:dyDescent="0.4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 x14ac:dyDescent="0.4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 x14ac:dyDescent="0.4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 x14ac:dyDescent="0.4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 x14ac:dyDescent="0.4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 x14ac:dyDescent="0.4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 x14ac:dyDescent="0.4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 x14ac:dyDescent="0.4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 x14ac:dyDescent="0.4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 x14ac:dyDescent="0.4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 x14ac:dyDescent="0.4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 x14ac:dyDescent="0.4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 x14ac:dyDescent="0.4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 x14ac:dyDescent="0.4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 x14ac:dyDescent="0.4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 x14ac:dyDescent="0.4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 x14ac:dyDescent="0.4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 x14ac:dyDescent="0.4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 x14ac:dyDescent="0.4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 x14ac:dyDescent="0.4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 x14ac:dyDescent="0.4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 x14ac:dyDescent="0.4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 x14ac:dyDescent="0.4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 x14ac:dyDescent="0.4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 x14ac:dyDescent="0.4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 x14ac:dyDescent="0.4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 x14ac:dyDescent="0.4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 x14ac:dyDescent="0.4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 x14ac:dyDescent="0.4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 x14ac:dyDescent="0.4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 x14ac:dyDescent="0.4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 x14ac:dyDescent="0.4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 x14ac:dyDescent="0.4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 x14ac:dyDescent="0.4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 x14ac:dyDescent="0.4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 x14ac:dyDescent="0.4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 x14ac:dyDescent="0.4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 x14ac:dyDescent="0.4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 x14ac:dyDescent="0.4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 x14ac:dyDescent="0.4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 x14ac:dyDescent="0.4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 x14ac:dyDescent="0.4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 x14ac:dyDescent="0.4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 x14ac:dyDescent="0.4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 x14ac:dyDescent="0.4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 x14ac:dyDescent="0.4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 x14ac:dyDescent="0.4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 x14ac:dyDescent="0.4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 x14ac:dyDescent="0.4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 x14ac:dyDescent="0.4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 x14ac:dyDescent="0.4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 x14ac:dyDescent="0.4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 x14ac:dyDescent="0.4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 x14ac:dyDescent="0.4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 x14ac:dyDescent="0.4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 x14ac:dyDescent="0.4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 x14ac:dyDescent="0.4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 x14ac:dyDescent="0.4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 x14ac:dyDescent="0.4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 x14ac:dyDescent="0.4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 x14ac:dyDescent="0.4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 x14ac:dyDescent="0.4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 x14ac:dyDescent="0.4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 x14ac:dyDescent="0.4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 x14ac:dyDescent="0.4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 x14ac:dyDescent="0.4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 x14ac:dyDescent="0.4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 x14ac:dyDescent="0.4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 x14ac:dyDescent="0.4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 x14ac:dyDescent="0.4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 x14ac:dyDescent="0.4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 x14ac:dyDescent="0.4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 x14ac:dyDescent="0.4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 x14ac:dyDescent="0.4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 x14ac:dyDescent="0.4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 x14ac:dyDescent="0.4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 x14ac:dyDescent="0.4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 x14ac:dyDescent="0.4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 x14ac:dyDescent="0.4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 x14ac:dyDescent="0.4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 x14ac:dyDescent="0.4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 x14ac:dyDescent="0.4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 x14ac:dyDescent="0.4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 x14ac:dyDescent="0.4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 x14ac:dyDescent="0.4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 x14ac:dyDescent="0.4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 x14ac:dyDescent="0.4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 x14ac:dyDescent="0.4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 x14ac:dyDescent="0.4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 x14ac:dyDescent="0.4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 x14ac:dyDescent="0.4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 x14ac:dyDescent="0.4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 x14ac:dyDescent="0.4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 x14ac:dyDescent="0.4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 x14ac:dyDescent="0.4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 x14ac:dyDescent="0.4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 x14ac:dyDescent="0.4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 x14ac:dyDescent="0.4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 x14ac:dyDescent="0.4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 x14ac:dyDescent="0.4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 x14ac:dyDescent="0.4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 x14ac:dyDescent="0.4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 x14ac:dyDescent="0.4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 x14ac:dyDescent="0.4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 x14ac:dyDescent="0.4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 x14ac:dyDescent="0.4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 x14ac:dyDescent="0.4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 x14ac:dyDescent="0.4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 x14ac:dyDescent="0.4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 x14ac:dyDescent="0.4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 x14ac:dyDescent="0.4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 x14ac:dyDescent="0.4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 x14ac:dyDescent="0.4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 x14ac:dyDescent="0.4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 x14ac:dyDescent="0.4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 x14ac:dyDescent="0.4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 x14ac:dyDescent="0.4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 x14ac:dyDescent="0.4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 x14ac:dyDescent="0.4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 x14ac:dyDescent="0.4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 x14ac:dyDescent="0.4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 x14ac:dyDescent="0.4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 x14ac:dyDescent="0.4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 x14ac:dyDescent="0.4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 x14ac:dyDescent="0.4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 x14ac:dyDescent="0.4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 x14ac:dyDescent="0.4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 x14ac:dyDescent="0.4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 x14ac:dyDescent="0.4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 x14ac:dyDescent="0.4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 x14ac:dyDescent="0.4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 x14ac:dyDescent="0.4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 x14ac:dyDescent="0.4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 x14ac:dyDescent="0.4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 x14ac:dyDescent="0.4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 x14ac:dyDescent="0.4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 x14ac:dyDescent="0.4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 x14ac:dyDescent="0.4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 x14ac:dyDescent="0.4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 x14ac:dyDescent="0.4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 x14ac:dyDescent="0.4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 x14ac:dyDescent="0.4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 x14ac:dyDescent="0.4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 x14ac:dyDescent="0.4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 x14ac:dyDescent="0.4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 x14ac:dyDescent="0.4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 x14ac:dyDescent="0.4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 x14ac:dyDescent="0.4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 x14ac:dyDescent="0.4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 x14ac:dyDescent="0.4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 x14ac:dyDescent="0.4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 x14ac:dyDescent="0.4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 x14ac:dyDescent="0.4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 x14ac:dyDescent="0.4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 x14ac:dyDescent="0.4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 x14ac:dyDescent="0.4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 x14ac:dyDescent="0.4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 x14ac:dyDescent="0.4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 x14ac:dyDescent="0.4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 x14ac:dyDescent="0.4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 x14ac:dyDescent="0.4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 x14ac:dyDescent="0.4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 x14ac:dyDescent="0.4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 x14ac:dyDescent="0.4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 x14ac:dyDescent="0.4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 x14ac:dyDescent="0.4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 x14ac:dyDescent="0.4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 x14ac:dyDescent="0.4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 x14ac:dyDescent="0.4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 x14ac:dyDescent="0.4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 x14ac:dyDescent="0.4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 x14ac:dyDescent="0.4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 x14ac:dyDescent="0.4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 x14ac:dyDescent="0.4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 x14ac:dyDescent="0.4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 x14ac:dyDescent="0.4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 x14ac:dyDescent="0.4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 x14ac:dyDescent="0.4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 x14ac:dyDescent="0.4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 x14ac:dyDescent="0.4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 x14ac:dyDescent="0.4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 x14ac:dyDescent="0.4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 x14ac:dyDescent="0.4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 x14ac:dyDescent="0.4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 x14ac:dyDescent="0.4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 x14ac:dyDescent="0.4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 x14ac:dyDescent="0.4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 x14ac:dyDescent="0.4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 x14ac:dyDescent="0.4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 x14ac:dyDescent="0.4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 x14ac:dyDescent="0.4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 x14ac:dyDescent="0.4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 x14ac:dyDescent="0.4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 x14ac:dyDescent="0.4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 x14ac:dyDescent="0.4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 x14ac:dyDescent="0.4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 x14ac:dyDescent="0.4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 x14ac:dyDescent="0.4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 x14ac:dyDescent="0.4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 x14ac:dyDescent="0.4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 x14ac:dyDescent="0.4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 x14ac:dyDescent="0.4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 x14ac:dyDescent="0.4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 x14ac:dyDescent="0.4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 x14ac:dyDescent="0.4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 x14ac:dyDescent="0.4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 x14ac:dyDescent="0.4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 x14ac:dyDescent="0.4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 x14ac:dyDescent="0.4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 x14ac:dyDescent="0.4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 x14ac:dyDescent="0.4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 x14ac:dyDescent="0.4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 x14ac:dyDescent="0.4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 x14ac:dyDescent="0.4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 x14ac:dyDescent="0.4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 x14ac:dyDescent="0.4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 x14ac:dyDescent="0.4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 x14ac:dyDescent="0.4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 x14ac:dyDescent="0.4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 x14ac:dyDescent="0.4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 x14ac:dyDescent="0.4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 x14ac:dyDescent="0.4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 x14ac:dyDescent="0.4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 x14ac:dyDescent="0.4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 x14ac:dyDescent="0.4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 x14ac:dyDescent="0.4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 x14ac:dyDescent="0.4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 x14ac:dyDescent="0.4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 x14ac:dyDescent="0.4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 x14ac:dyDescent="0.4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 x14ac:dyDescent="0.4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 x14ac:dyDescent="0.4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 x14ac:dyDescent="0.4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 x14ac:dyDescent="0.4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 x14ac:dyDescent="0.4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 x14ac:dyDescent="0.4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 x14ac:dyDescent="0.4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 x14ac:dyDescent="0.4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 x14ac:dyDescent="0.4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 x14ac:dyDescent="0.4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 x14ac:dyDescent="0.4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 x14ac:dyDescent="0.4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 x14ac:dyDescent="0.4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 x14ac:dyDescent="0.4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 x14ac:dyDescent="0.4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 x14ac:dyDescent="0.4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 x14ac:dyDescent="0.4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 x14ac:dyDescent="0.4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 x14ac:dyDescent="0.4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 x14ac:dyDescent="0.4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 x14ac:dyDescent="0.4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 x14ac:dyDescent="0.4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 x14ac:dyDescent="0.4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 x14ac:dyDescent="0.4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 x14ac:dyDescent="0.4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 x14ac:dyDescent="0.4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activeCell="J20" sqref="J20"/>
      <selection pane="bottomLeft" activeCell="G4" sqref="G4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35">
      <c r="A1" s="43" t="str" cm="1">
        <f t="array" ref="A1">portfolio</f>
        <v>PureSky Energy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 x14ac:dyDescent="0.35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35">
      <c r="A4" s="13" t="str" cm="1">
        <f t="array" ref="A4">Sites[Site]</f>
        <v>MA: Sandwich - 180 Cotuit Road</v>
      </c>
      <c r="B4" s="10" t="str" cm="1">
        <f t="array" ref="B4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SUM(Apr!G4+May!G4+Jun!G4)</f>
        <v>0</v>
      </c>
      <c r="H4" s="16">
        <f>SUM(Apr!H4, May!H4, Jun!H4)</f>
        <v>0</v>
      </c>
      <c r="I4" s="17" t="str">
        <f>IFERROR(H4/G4, "")</f>
        <v/>
      </c>
    </row>
    <row r="5" spans="1:9" ht="15.75" x14ac:dyDescent="0.35">
      <c r="A5" s="19"/>
      <c r="B5" s="11"/>
      <c r="C5" s="12"/>
      <c r="D5" s="20"/>
      <c r="E5" s="20"/>
      <c r="F5" s="21"/>
      <c r="G5" s="22"/>
      <c r="H5" s="22"/>
      <c r="I5" s="21"/>
    </row>
    <row r="6" spans="1:9" ht="13.15" x14ac:dyDescent="0.4">
      <c r="A6" s="23"/>
      <c r="B6" s="23"/>
      <c r="C6" s="23"/>
      <c r="D6" s="23"/>
      <c r="E6" s="23"/>
      <c r="F6" s="23"/>
      <c r="G6" s="23"/>
      <c r="H6" s="23"/>
      <c r="I6" s="23"/>
    </row>
    <row r="7" spans="1:9" ht="13.15" x14ac:dyDescent="0.4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4">
      <c r="A8" s="23"/>
      <c r="B8" s="23"/>
      <c r="C8" s="23"/>
      <c r="D8" s="23"/>
      <c r="E8" s="23"/>
      <c r="F8" s="23"/>
      <c r="G8" s="23"/>
      <c r="H8" s="23"/>
      <c r="I8" s="23"/>
    </row>
    <row r="9" spans="1:9" ht="13.15" x14ac:dyDescent="0.4">
      <c r="A9" s="23"/>
      <c r="B9" s="23"/>
      <c r="C9" s="23"/>
      <c r="D9" s="23"/>
      <c r="E9" s="23"/>
      <c r="F9" s="23"/>
      <c r="G9" s="23"/>
      <c r="H9" s="23"/>
      <c r="I9" s="23"/>
    </row>
    <row r="10" spans="1:9" ht="13.15" x14ac:dyDescent="0.4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 x14ac:dyDescent="0.4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 x14ac:dyDescent="0.4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 x14ac:dyDescent="0.4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 x14ac:dyDescent="0.4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 x14ac:dyDescent="0.4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 x14ac:dyDescent="0.4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 x14ac:dyDescent="0.4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 x14ac:dyDescent="0.4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 x14ac:dyDescent="0.4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 x14ac:dyDescent="0.4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 x14ac:dyDescent="0.4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 x14ac:dyDescent="0.4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 x14ac:dyDescent="0.4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 x14ac:dyDescent="0.4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 x14ac:dyDescent="0.4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 x14ac:dyDescent="0.4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 x14ac:dyDescent="0.4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 x14ac:dyDescent="0.4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 x14ac:dyDescent="0.4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 x14ac:dyDescent="0.4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 x14ac:dyDescent="0.4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 x14ac:dyDescent="0.4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 x14ac:dyDescent="0.4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 x14ac:dyDescent="0.4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 x14ac:dyDescent="0.4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 x14ac:dyDescent="0.4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 x14ac:dyDescent="0.4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 x14ac:dyDescent="0.4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 x14ac:dyDescent="0.4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 x14ac:dyDescent="0.4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 x14ac:dyDescent="0.4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 x14ac:dyDescent="0.4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 x14ac:dyDescent="0.4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 x14ac:dyDescent="0.4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 x14ac:dyDescent="0.4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 x14ac:dyDescent="0.4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 x14ac:dyDescent="0.4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 x14ac:dyDescent="0.4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 x14ac:dyDescent="0.4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 x14ac:dyDescent="0.4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 x14ac:dyDescent="0.4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 x14ac:dyDescent="0.4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 x14ac:dyDescent="0.4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 x14ac:dyDescent="0.4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 x14ac:dyDescent="0.4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 x14ac:dyDescent="0.4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 x14ac:dyDescent="0.4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 x14ac:dyDescent="0.4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 x14ac:dyDescent="0.4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 x14ac:dyDescent="0.4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 x14ac:dyDescent="0.4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 x14ac:dyDescent="0.4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 x14ac:dyDescent="0.4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 x14ac:dyDescent="0.4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 x14ac:dyDescent="0.4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 x14ac:dyDescent="0.4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 x14ac:dyDescent="0.4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 x14ac:dyDescent="0.4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 x14ac:dyDescent="0.4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 x14ac:dyDescent="0.4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 x14ac:dyDescent="0.4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 x14ac:dyDescent="0.4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 x14ac:dyDescent="0.4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 x14ac:dyDescent="0.4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 x14ac:dyDescent="0.4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 x14ac:dyDescent="0.4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 x14ac:dyDescent="0.4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 x14ac:dyDescent="0.4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 x14ac:dyDescent="0.4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 x14ac:dyDescent="0.4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 x14ac:dyDescent="0.4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 x14ac:dyDescent="0.4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 x14ac:dyDescent="0.4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 x14ac:dyDescent="0.4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 x14ac:dyDescent="0.4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 x14ac:dyDescent="0.4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 x14ac:dyDescent="0.4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 x14ac:dyDescent="0.4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 x14ac:dyDescent="0.4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 x14ac:dyDescent="0.4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 x14ac:dyDescent="0.4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 x14ac:dyDescent="0.4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 x14ac:dyDescent="0.4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 x14ac:dyDescent="0.4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 x14ac:dyDescent="0.4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 x14ac:dyDescent="0.4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 x14ac:dyDescent="0.4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 x14ac:dyDescent="0.4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 x14ac:dyDescent="0.4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 x14ac:dyDescent="0.4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 x14ac:dyDescent="0.4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 x14ac:dyDescent="0.4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 x14ac:dyDescent="0.4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 x14ac:dyDescent="0.4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 x14ac:dyDescent="0.4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 x14ac:dyDescent="0.4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 x14ac:dyDescent="0.4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 x14ac:dyDescent="0.4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 x14ac:dyDescent="0.4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 x14ac:dyDescent="0.4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 x14ac:dyDescent="0.4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 x14ac:dyDescent="0.4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 x14ac:dyDescent="0.4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 x14ac:dyDescent="0.4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 x14ac:dyDescent="0.4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 x14ac:dyDescent="0.4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 x14ac:dyDescent="0.4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 x14ac:dyDescent="0.4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 x14ac:dyDescent="0.4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 x14ac:dyDescent="0.4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 x14ac:dyDescent="0.4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 x14ac:dyDescent="0.4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 x14ac:dyDescent="0.4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 x14ac:dyDescent="0.4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 x14ac:dyDescent="0.4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 x14ac:dyDescent="0.4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 x14ac:dyDescent="0.4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 x14ac:dyDescent="0.4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 x14ac:dyDescent="0.4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 x14ac:dyDescent="0.4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 x14ac:dyDescent="0.4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 x14ac:dyDescent="0.4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 x14ac:dyDescent="0.4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 x14ac:dyDescent="0.4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 x14ac:dyDescent="0.4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 x14ac:dyDescent="0.4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 x14ac:dyDescent="0.4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 x14ac:dyDescent="0.4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 x14ac:dyDescent="0.4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 x14ac:dyDescent="0.4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 x14ac:dyDescent="0.4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 x14ac:dyDescent="0.4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 x14ac:dyDescent="0.4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 x14ac:dyDescent="0.4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 x14ac:dyDescent="0.4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 x14ac:dyDescent="0.4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 x14ac:dyDescent="0.4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 x14ac:dyDescent="0.4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 x14ac:dyDescent="0.4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 x14ac:dyDescent="0.4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 x14ac:dyDescent="0.4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 x14ac:dyDescent="0.4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 x14ac:dyDescent="0.4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 x14ac:dyDescent="0.4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 x14ac:dyDescent="0.4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 x14ac:dyDescent="0.4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 x14ac:dyDescent="0.4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 x14ac:dyDescent="0.4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 x14ac:dyDescent="0.4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 x14ac:dyDescent="0.4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 x14ac:dyDescent="0.4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 x14ac:dyDescent="0.4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 x14ac:dyDescent="0.4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 x14ac:dyDescent="0.4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 x14ac:dyDescent="0.4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 x14ac:dyDescent="0.4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 x14ac:dyDescent="0.4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 x14ac:dyDescent="0.4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 x14ac:dyDescent="0.4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 x14ac:dyDescent="0.4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 x14ac:dyDescent="0.4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 x14ac:dyDescent="0.4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 x14ac:dyDescent="0.4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 x14ac:dyDescent="0.4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 x14ac:dyDescent="0.4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 x14ac:dyDescent="0.4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 x14ac:dyDescent="0.4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 x14ac:dyDescent="0.4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 x14ac:dyDescent="0.4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 x14ac:dyDescent="0.4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 x14ac:dyDescent="0.4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 x14ac:dyDescent="0.4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 x14ac:dyDescent="0.4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 x14ac:dyDescent="0.4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 x14ac:dyDescent="0.4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 x14ac:dyDescent="0.4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 x14ac:dyDescent="0.4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 x14ac:dyDescent="0.4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 x14ac:dyDescent="0.4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 x14ac:dyDescent="0.4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 x14ac:dyDescent="0.4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 x14ac:dyDescent="0.4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 x14ac:dyDescent="0.4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 x14ac:dyDescent="0.4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 x14ac:dyDescent="0.4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 x14ac:dyDescent="0.4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 x14ac:dyDescent="0.4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 x14ac:dyDescent="0.4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 x14ac:dyDescent="0.4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 x14ac:dyDescent="0.4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 x14ac:dyDescent="0.4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 x14ac:dyDescent="0.4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 x14ac:dyDescent="0.4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 x14ac:dyDescent="0.4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 x14ac:dyDescent="0.4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 x14ac:dyDescent="0.4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 x14ac:dyDescent="0.4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 x14ac:dyDescent="0.4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 x14ac:dyDescent="0.4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 x14ac:dyDescent="0.4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 x14ac:dyDescent="0.4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 x14ac:dyDescent="0.4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 x14ac:dyDescent="0.4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 x14ac:dyDescent="0.4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 x14ac:dyDescent="0.4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 x14ac:dyDescent="0.4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 x14ac:dyDescent="0.4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 x14ac:dyDescent="0.4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 x14ac:dyDescent="0.4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 x14ac:dyDescent="0.4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 x14ac:dyDescent="0.4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 x14ac:dyDescent="0.4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 x14ac:dyDescent="0.4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 x14ac:dyDescent="0.4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 x14ac:dyDescent="0.4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 x14ac:dyDescent="0.4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 x14ac:dyDescent="0.4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 x14ac:dyDescent="0.4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 x14ac:dyDescent="0.4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 x14ac:dyDescent="0.4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 x14ac:dyDescent="0.4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 x14ac:dyDescent="0.4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 x14ac:dyDescent="0.4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 x14ac:dyDescent="0.4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 x14ac:dyDescent="0.4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 x14ac:dyDescent="0.4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 x14ac:dyDescent="0.4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 x14ac:dyDescent="0.4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 x14ac:dyDescent="0.4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 x14ac:dyDescent="0.4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 x14ac:dyDescent="0.4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 x14ac:dyDescent="0.4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 x14ac:dyDescent="0.4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 x14ac:dyDescent="0.4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 x14ac:dyDescent="0.4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 x14ac:dyDescent="0.4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 x14ac:dyDescent="0.4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 x14ac:dyDescent="0.4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 x14ac:dyDescent="0.4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 x14ac:dyDescent="0.4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 x14ac:dyDescent="0.4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 x14ac:dyDescent="0.4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 x14ac:dyDescent="0.4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 x14ac:dyDescent="0.4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 x14ac:dyDescent="0.4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 x14ac:dyDescent="0.4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 x14ac:dyDescent="0.4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 x14ac:dyDescent="0.4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 x14ac:dyDescent="0.4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 x14ac:dyDescent="0.4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 x14ac:dyDescent="0.4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 x14ac:dyDescent="0.4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 x14ac:dyDescent="0.4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 x14ac:dyDescent="0.4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 x14ac:dyDescent="0.4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 x14ac:dyDescent="0.4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 x14ac:dyDescent="0.4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 x14ac:dyDescent="0.4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 x14ac:dyDescent="0.4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 x14ac:dyDescent="0.4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 x14ac:dyDescent="0.4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 x14ac:dyDescent="0.4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 x14ac:dyDescent="0.4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 x14ac:dyDescent="0.4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 x14ac:dyDescent="0.4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 x14ac:dyDescent="0.4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 x14ac:dyDescent="0.4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 x14ac:dyDescent="0.4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 x14ac:dyDescent="0.4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 x14ac:dyDescent="0.4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 x14ac:dyDescent="0.4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 x14ac:dyDescent="0.4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 x14ac:dyDescent="0.4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 x14ac:dyDescent="0.4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 x14ac:dyDescent="0.4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 x14ac:dyDescent="0.4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 x14ac:dyDescent="0.4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 x14ac:dyDescent="0.4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 x14ac:dyDescent="0.4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 x14ac:dyDescent="0.4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 x14ac:dyDescent="0.4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 x14ac:dyDescent="0.4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 x14ac:dyDescent="0.4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 x14ac:dyDescent="0.4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 x14ac:dyDescent="0.4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 x14ac:dyDescent="0.4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 x14ac:dyDescent="0.4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 x14ac:dyDescent="0.4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 x14ac:dyDescent="0.4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 x14ac:dyDescent="0.4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 x14ac:dyDescent="0.4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 x14ac:dyDescent="0.4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 x14ac:dyDescent="0.4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 x14ac:dyDescent="0.4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 x14ac:dyDescent="0.4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 x14ac:dyDescent="0.4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 x14ac:dyDescent="0.4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 x14ac:dyDescent="0.4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 x14ac:dyDescent="0.4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 x14ac:dyDescent="0.4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 x14ac:dyDescent="0.4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 x14ac:dyDescent="0.4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 x14ac:dyDescent="0.4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 x14ac:dyDescent="0.4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 x14ac:dyDescent="0.4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 x14ac:dyDescent="0.4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 x14ac:dyDescent="0.4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 x14ac:dyDescent="0.4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 x14ac:dyDescent="0.4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 x14ac:dyDescent="0.4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 x14ac:dyDescent="0.4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 x14ac:dyDescent="0.4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 x14ac:dyDescent="0.4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 x14ac:dyDescent="0.4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 x14ac:dyDescent="0.4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 x14ac:dyDescent="0.4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 x14ac:dyDescent="0.4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 x14ac:dyDescent="0.4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 x14ac:dyDescent="0.4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 x14ac:dyDescent="0.4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 x14ac:dyDescent="0.4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 x14ac:dyDescent="0.4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E17" sqref="E17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35">
      <c r="A1" s="43" t="str" cm="1">
        <f t="array" ref="A1">portfolio</f>
        <v>PureSky Energy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 x14ac:dyDescent="0.35">
      <c r="A2" s="45" t="s">
        <v>2</v>
      </c>
      <c r="B2" s="45"/>
      <c r="C2" s="6">
        <f>SUM(C4:C89)</f>
        <v>559052</v>
      </c>
      <c r="D2" s="6">
        <f>SUM(D4:D89)</f>
        <v>431285.5</v>
      </c>
      <c r="E2" s="6">
        <f>C2-D2</f>
        <v>127766.5</v>
      </c>
      <c r="F2" s="7">
        <f>IFERROR(E2/D2, 0)</f>
        <v>0.29624575832018468</v>
      </c>
      <c r="G2" s="6">
        <f>SUM(G4:G89)</f>
        <v>0</v>
      </c>
      <c r="H2" s="8">
        <f>C2-G2</f>
        <v>559052</v>
      </c>
      <c r="I2" s="7">
        <f>IFERROR(H2/G2, 0)</f>
        <v>0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35">
      <c r="A4" s="13" t="str" cm="1">
        <f t="array" ref="A4">Sites[Site]</f>
        <v>MA: Sandwich - 180 Cotuit Road</v>
      </c>
      <c r="B4" s="10" t="str" cm="1">
        <f t="array" ref="B4">Sites[State]</f>
        <v>MA</v>
      </c>
      <c r="C4" s="26">
        <f>SUM(Jul!C4, Aug!C4, Sep!C4)</f>
        <v>559052</v>
      </c>
      <c r="D4" s="14">
        <f>SUM(Jul!D4, Aug!D4, Sep!D4)</f>
        <v>431285.5</v>
      </c>
      <c r="E4" s="14">
        <f>IF(AND(ISNUMBER(C4),ISNUMBER(D4)), C4-D4, "")</f>
        <v>127766.5</v>
      </c>
      <c r="F4" s="15">
        <f>IFERROR(E4/D4, "")</f>
        <v>0.29624575832018468</v>
      </c>
      <c r="G4" s="16"/>
      <c r="H4" s="16">
        <f>SUM(Jul!H4, Aug!H4, Sep!H4)</f>
        <v>-694518.4</v>
      </c>
      <c r="I4" s="17" t="str">
        <f>IFERROR(H4/G4, "")</f>
        <v/>
      </c>
    </row>
    <row r="5" spans="1:9" ht="13.15" x14ac:dyDescent="0.4">
      <c r="A5" s="23"/>
      <c r="B5" s="23"/>
      <c r="C5" s="23"/>
      <c r="D5" s="23"/>
      <c r="E5" s="23"/>
      <c r="F5" s="23"/>
      <c r="G5" s="23"/>
      <c r="H5" s="23"/>
      <c r="I5" s="23"/>
    </row>
    <row r="6" spans="1:9" ht="13.15" x14ac:dyDescent="0.4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4">
      <c r="A7" s="23"/>
      <c r="B7" s="23"/>
      <c r="C7" s="23"/>
      <c r="D7" s="23"/>
      <c r="E7" s="23"/>
      <c r="F7" s="23"/>
      <c r="G7" s="23"/>
      <c r="H7" s="23"/>
      <c r="I7" s="23"/>
    </row>
    <row r="8" spans="1:9" ht="13.15" x14ac:dyDescent="0.4">
      <c r="A8" s="23"/>
      <c r="B8" s="23"/>
      <c r="C8" s="23"/>
      <c r="D8" s="23"/>
      <c r="E8" s="23"/>
      <c r="F8" s="23"/>
      <c r="G8" s="23"/>
      <c r="H8" s="23"/>
      <c r="I8" s="23"/>
    </row>
    <row r="9" spans="1:9" ht="13.15" x14ac:dyDescent="0.4">
      <c r="A9" s="23"/>
      <c r="B9" s="23"/>
      <c r="C9" s="23"/>
      <c r="D9" s="23"/>
      <c r="E9" s="23"/>
      <c r="F9" s="23"/>
      <c r="G9" s="23"/>
      <c r="H9" s="23"/>
      <c r="I9" s="23"/>
    </row>
    <row r="10" spans="1:9" ht="13.15" x14ac:dyDescent="0.4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 x14ac:dyDescent="0.4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 x14ac:dyDescent="0.4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 x14ac:dyDescent="0.4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 x14ac:dyDescent="0.4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 x14ac:dyDescent="0.4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 x14ac:dyDescent="0.4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 x14ac:dyDescent="0.4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 x14ac:dyDescent="0.4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 x14ac:dyDescent="0.4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 x14ac:dyDescent="0.4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 x14ac:dyDescent="0.4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 x14ac:dyDescent="0.4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 x14ac:dyDescent="0.4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 x14ac:dyDescent="0.4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 x14ac:dyDescent="0.4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 x14ac:dyDescent="0.4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 x14ac:dyDescent="0.4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 x14ac:dyDescent="0.4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 x14ac:dyDescent="0.4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 x14ac:dyDescent="0.4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 x14ac:dyDescent="0.4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 x14ac:dyDescent="0.4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 x14ac:dyDescent="0.4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 x14ac:dyDescent="0.4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 x14ac:dyDescent="0.4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 x14ac:dyDescent="0.4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 x14ac:dyDescent="0.4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 x14ac:dyDescent="0.4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 x14ac:dyDescent="0.4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 x14ac:dyDescent="0.4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 x14ac:dyDescent="0.4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 x14ac:dyDescent="0.4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 x14ac:dyDescent="0.4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 x14ac:dyDescent="0.4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 x14ac:dyDescent="0.4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 x14ac:dyDescent="0.4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 x14ac:dyDescent="0.4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 x14ac:dyDescent="0.4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 x14ac:dyDescent="0.4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 x14ac:dyDescent="0.4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 x14ac:dyDescent="0.4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 x14ac:dyDescent="0.4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 x14ac:dyDescent="0.4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 x14ac:dyDescent="0.4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 x14ac:dyDescent="0.4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 x14ac:dyDescent="0.4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 x14ac:dyDescent="0.4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 x14ac:dyDescent="0.4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 x14ac:dyDescent="0.4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 x14ac:dyDescent="0.4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 x14ac:dyDescent="0.4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 x14ac:dyDescent="0.4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 x14ac:dyDescent="0.4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 x14ac:dyDescent="0.4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 x14ac:dyDescent="0.4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 x14ac:dyDescent="0.4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 x14ac:dyDescent="0.4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 x14ac:dyDescent="0.4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 x14ac:dyDescent="0.4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 x14ac:dyDescent="0.4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 x14ac:dyDescent="0.4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 x14ac:dyDescent="0.4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 x14ac:dyDescent="0.4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 x14ac:dyDescent="0.4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 x14ac:dyDescent="0.4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 x14ac:dyDescent="0.4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 x14ac:dyDescent="0.4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 x14ac:dyDescent="0.4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 x14ac:dyDescent="0.4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 x14ac:dyDescent="0.4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 x14ac:dyDescent="0.4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 x14ac:dyDescent="0.4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 x14ac:dyDescent="0.4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 x14ac:dyDescent="0.4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 x14ac:dyDescent="0.4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 x14ac:dyDescent="0.4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 x14ac:dyDescent="0.4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 x14ac:dyDescent="0.4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 x14ac:dyDescent="0.4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 x14ac:dyDescent="0.4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 x14ac:dyDescent="0.4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 x14ac:dyDescent="0.4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 x14ac:dyDescent="0.4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 x14ac:dyDescent="0.4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 x14ac:dyDescent="0.4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 x14ac:dyDescent="0.4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 x14ac:dyDescent="0.4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 x14ac:dyDescent="0.4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 x14ac:dyDescent="0.4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 x14ac:dyDescent="0.4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 x14ac:dyDescent="0.4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 x14ac:dyDescent="0.4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 x14ac:dyDescent="0.4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 x14ac:dyDescent="0.4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 x14ac:dyDescent="0.4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 x14ac:dyDescent="0.4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 x14ac:dyDescent="0.4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 x14ac:dyDescent="0.4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 x14ac:dyDescent="0.4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 x14ac:dyDescent="0.4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 x14ac:dyDescent="0.4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 x14ac:dyDescent="0.4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 x14ac:dyDescent="0.4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 x14ac:dyDescent="0.4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 x14ac:dyDescent="0.4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 x14ac:dyDescent="0.4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 x14ac:dyDescent="0.4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 x14ac:dyDescent="0.4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 x14ac:dyDescent="0.4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 x14ac:dyDescent="0.4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 x14ac:dyDescent="0.4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 x14ac:dyDescent="0.4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 x14ac:dyDescent="0.4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 x14ac:dyDescent="0.4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 x14ac:dyDescent="0.4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 x14ac:dyDescent="0.4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 x14ac:dyDescent="0.4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 x14ac:dyDescent="0.4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 x14ac:dyDescent="0.4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 x14ac:dyDescent="0.4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 x14ac:dyDescent="0.4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 x14ac:dyDescent="0.4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 x14ac:dyDescent="0.4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 x14ac:dyDescent="0.4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 x14ac:dyDescent="0.4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 x14ac:dyDescent="0.4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 x14ac:dyDescent="0.4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 x14ac:dyDescent="0.4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 x14ac:dyDescent="0.4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 x14ac:dyDescent="0.4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 x14ac:dyDescent="0.4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 x14ac:dyDescent="0.4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 x14ac:dyDescent="0.4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 x14ac:dyDescent="0.4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 x14ac:dyDescent="0.4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 x14ac:dyDescent="0.4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 x14ac:dyDescent="0.4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 x14ac:dyDescent="0.4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 x14ac:dyDescent="0.4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 x14ac:dyDescent="0.4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 x14ac:dyDescent="0.4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 x14ac:dyDescent="0.4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 x14ac:dyDescent="0.4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 x14ac:dyDescent="0.4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 x14ac:dyDescent="0.4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 x14ac:dyDescent="0.4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 x14ac:dyDescent="0.4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 x14ac:dyDescent="0.4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 x14ac:dyDescent="0.4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 x14ac:dyDescent="0.4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 x14ac:dyDescent="0.4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 x14ac:dyDescent="0.4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 x14ac:dyDescent="0.4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 x14ac:dyDescent="0.4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 x14ac:dyDescent="0.4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 x14ac:dyDescent="0.4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 x14ac:dyDescent="0.4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 x14ac:dyDescent="0.4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 x14ac:dyDescent="0.4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 x14ac:dyDescent="0.4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 x14ac:dyDescent="0.4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 x14ac:dyDescent="0.4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 x14ac:dyDescent="0.4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 x14ac:dyDescent="0.4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 x14ac:dyDescent="0.4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 x14ac:dyDescent="0.4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 x14ac:dyDescent="0.4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 x14ac:dyDescent="0.4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 x14ac:dyDescent="0.4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 x14ac:dyDescent="0.4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 x14ac:dyDescent="0.4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 x14ac:dyDescent="0.4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 x14ac:dyDescent="0.4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 x14ac:dyDescent="0.4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 x14ac:dyDescent="0.4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 x14ac:dyDescent="0.4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 x14ac:dyDescent="0.4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 x14ac:dyDescent="0.4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 x14ac:dyDescent="0.4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 x14ac:dyDescent="0.4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 x14ac:dyDescent="0.4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 x14ac:dyDescent="0.4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 x14ac:dyDescent="0.4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 x14ac:dyDescent="0.4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 x14ac:dyDescent="0.4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 x14ac:dyDescent="0.4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 x14ac:dyDescent="0.4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 x14ac:dyDescent="0.4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 x14ac:dyDescent="0.4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 x14ac:dyDescent="0.4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 x14ac:dyDescent="0.4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 x14ac:dyDescent="0.4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 x14ac:dyDescent="0.4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 x14ac:dyDescent="0.4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 x14ac:dyDescent="0.4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 x14ac:dyDescent="0.4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 x14ac:dyDescent="0.4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 x14ac:dyDescent="0.4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 x14ac:dyDescent="0.4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 x14ac:dyDescent="0.4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 x14ac:dyDescent="0.4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 x14ac:dyDescent="0.4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 x14ac:dyDescent="0.4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 x14ac:dyDescent="0.4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 x14ac:dyDescent="0.4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 x14ac:dyDescent="0.4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 x14ac:dyDescent="0.4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 x14ac:dyDescent="0.4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 x14ac:dyDescent="0.4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 x14ac:dyDescent="0.4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 x14ac:dyDescent="0.4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 x14ac:dyDescent="0.4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 x14ac:dyDescent="0.4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 x14ac:dyDescent="0.4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 x14ac:dyDescent="0.4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 x14ac:dyDescent="0.4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 x14ac:dyDescent="0.4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 x14ac:dyDescent="0.4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 x14ac:dyDescent="0.4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 x14ac:dyDescent="0.4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 x14ac:dyDescent="0.4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 x14ac:dyDescent="0.4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 x14ac:dyDescent="0.4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 x14ac:dyDescent="0.4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 x14ac:dyDescent="0.4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 x14ac:dyDescent="0.4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 x14ac:dyDescent="0.4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 x14ac:dyDescent="0.4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 x14ac:dyDescent="0.4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 x14ac:dyDescent="0.4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 x14ac:dyDescent="0.4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 x14ac:dyDescent="0.4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 x14ac:dyDescent="0.4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 x14ac:dyDescent="0.4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 x14ac:dyDescent="0.4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 x14ac:dyDescent="0.4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 x14ac:dyDescent="0.4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 x14ac:dyDescent="0.4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 x14ac:dyDescent="0.4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 x14ac:dyDescent="0.4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 x14ac:dyDescent="0.4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 x14ac:dyDescent="0.4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 x14ac:dyDescent="0.4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 x14ac:dyDescent="0.4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 x14ac:dyDescent="0.4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 x14ac:dyDescent="0.4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 x14ac:dyDescent="0.4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 x14ac:dyDescent="0.4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 x14ac:dyDescent="0.4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 x14ac:dyDescent="0.4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 x14ac:dyDescent="0.4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 x14ac:dyDescent="0.4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 x14ac:dyDescent="0.4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 x14ac:dyDescent="0.4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 x14ac:dyDescent="0.4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 x14ac:dyDescent="0.4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 x14ac:dyDescent="0.4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 x14ac:dyDescent="0.4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 x14ac:dyDescent="0.4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 x14ac:dyDescent="0.4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 x14ac:dyDescent="0.4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 x14ac:dyDescent="0.4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 x14ac:dyDescent="0.4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 x14ac:dyDescent="0.4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 x14ac:dyDescent="0.4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 x14ac:dyDescent="0.4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 x14ac:dyDescent="0.4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 x14ac:dyDescent="0.4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 x14ac:dyDescent="0.4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 x14ac:dyDescent="0.4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 x14ac:dyDescent="0.4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 x14ac:dyDescent="0.4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 x14ac:dyDescent="0.4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 x14ac:dyDescent="0.4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 x14ac:dyDescent="0.4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 x14ac:dyDescent="0.4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 x14ac:dyDescent="0.4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 x14ac:dyDescent="0.4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 x14ac:dyDescent="0.4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 x14ac:dyDescent="0.4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 x14ac:dyDescent="0.4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 x14ac:dyDescent="0.4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 x14ac:dyDescent="0.4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 x14ac:dyDescent="0.4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 x14ac:dyDescent="0.4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 x14ac:dyDescent="0.4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 x14ac:dyDescent="0.4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 x14ac:dyDescent="0.4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 x14ac:dyDescent="0.4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 x14ac:dyDescent="0.4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 x14ac:dyDescent="0.4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 x14ac:dyDescent="0.4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 x14ac:dyDescent="0.4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 x14ac:dyDescent="0.4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 x14ac:dyDescent="0.4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 x14ac:dyDescent="0.4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 x14ac:dyDescent="0.4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 x14ac:dyDescent="0.4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 x14ac:dyDescent="0.4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 x14ac:dyDescent="0.4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 x14ac:dyDescent="0.4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 x14ac:dyDescent="0.4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 x14ac:dyDescent="0.4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 x14ac:dyDescent="0.4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 x14ac:dyDescent="0.4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 x14ac:dyDescent="0.4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 x14ac:dyDescent="0.4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 x14ac:dyDescent="0.4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 x14ac:dyDescent="0.4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 x14ac:dyDescent="0.4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 x14ac:dyDescent="0.4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 x14ac:dyDescent="0.4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 x14ac:dyDescent="0.4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 x14ac:dyDescent="0.4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 x14ac:dyDescent="0.4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 x14ac:dyDescent="0.4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 x14ac:dyDescent="0.4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 x14ac:dyDescent="0.4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 x14ac:dyDescent="0.4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 x14ac:dyDescent="0.4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 x14ac:dyDescent="0.4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E29" sqref="E29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35">
      <c r="A1" s="43" t="str" cm="1">
        <f t="array" ref="A1">portfolio</f>
        <v>PureSky Energy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 x14ac:dyDescent="0.35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35">
      <c r="A4" s="13" t="str" cm="1">
        <f t="array" ref="A4">Sites[Site]</f>
        <v>MA: Sandwich - 180 Cotuit Road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15" x14ac:dyDescent="0.4">
      <c r="A5" s="23"/>
      <c r="B5" s="23"/>
      <c r="C5" s="23"/>
      <c r="D5" s="23"/>
      <c r="E5" s="23"/>
      <c r="F5" s="23"/>
      <c r="G5" s="23"/>
      <c r="H5" s="23"/>
      <c r="I5" s="23"/>
    </row>
    <row r="6" spans="1:9" ht="13.15" x14ac:dyDescent="0.4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4">
      <c r="A7" s="23"/>
      <c r="B7" s="23"/>
      <c r="C7" s="23"/>
      <c r="D7" s="23"/>
      <c r="E7" s="23"/>
      <c r="F7" s="23"/>
      <c r="G7" s="23"/>
      <c r="H7" s="23"/>
      <c r="I7" s="23"/>
    </row>
    <row r="8" spans="1:9" ht="13.15" x14ac:dyDescent="0.4">
      <c r="A8" s="23"/>
      <c r="B8" s="23"/>
      <c r="C8" s="23"/>
      <c r="D8" s="23"/>
      <c r="E8" s="23"/>
      <c r="F8" s="23"/>
      <c r="G8" s="23"/>
      <c r="H8" s="23"/>
      <c r="I8" s="23"/>
    </row>
    <row r="9" spans="1:9" ht="13.15" x14ac:dyDescent="0.4">
      <c r="A9" s="23"/>
      <c r="B9" s="23"/>
      <c r="C9" s="23"/>
      <c r="D9" s="23"/>
      <c r="E9" s="23"/>
      <c r="F9" s="23"/>
      <c r="G9" s="23"/>
      <c r="H9" s="23"/>
      <c r="I9" s="23"/>
    </row>
    <row r="10" spans="1:9" ht="13.15" x14ac:dyDescent="0.4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 x14ac:dyDescent="0.4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 x14ac:dyDescent="0.4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 x14ac:dyDescent="0.4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 x14ac:dyDescent="0.4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 x14ac:dyDescent="0.4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 x14ac:dyDescent="0.4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 x14ac:dyDescent="0.4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 x14ac:dyDescent="0.4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 x14ac:dyDescent="0.4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 x14ac:dyDescent="0.4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 x14ac:dyDescent="0.4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 x14ac:dyDescent="0.4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 x14ac:dyDescent="0.4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 x14ac:dyDescent="0.4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 x14ac:dyDescent="0.4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 x14ac:dyDescent="0.4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 x14ac:dyDescent="0.4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 x14ac:dyDescent="0.4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 x14ac:dyDescent="0.4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 x14ac:dyDescent="0.4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 x14ac:dyDescent="0.4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 x14ac:dyDescent="0.4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 x14ac:dyDescent="0.4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 x14ac:dyDescent="0.4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 x14ac:dyDescent="0.4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 x14ac:dyDescent="0.4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 x14ac:dyDescent="0.4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 x14ac:dyDescent="0.4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 x14ac:dyDescent="0.4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 x14ac:dyDescent="0.4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 x14ac:dyDescent="0.4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 x14ac:dyDescent="0.4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 x14ac:dyDescent="0.4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 x14ac:dyDescent="0.4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 x14ac:dyDescent="0.4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 x14ac:dyDescent="0.4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 x14ac:dyDescent="0.4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 x14ac:dyDescent="0.4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 x14ac:dyDescent="0.4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 x14ac:dyDescent="0.4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 x14ac:dyDescent="0.4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 x14ac:dyDescent="0.4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 x14ac:dyDescent="0.4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 x14ac:dyDescent="0.4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 x14ac:dyDescent="0.4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 x14ac:dyDescent="0.4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 x14ac:dyDescent="0.4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 x14ac:dyDescent="0.4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 x14ac:dyDescent="0.4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 x14ac:dyDescent="0.4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 x14ac:dyDescent="0.4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 x14ac:dyDescent="0.4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 x14ac:dyDescent="0.4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 x14ac:dyDescent="0.4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 x14ac:dyDescent="0.4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 x14ac:dyDescent="0.4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 x14ac:dyDescent="0.4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 x14ac:dyDescent="0.4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 x14ac:dyDescent="0.4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 x14ac:dyDescent="0.4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 x14ac:dyDescent="0.4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 x14ac:dyDescent="0.4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 x14ac:dyDescent="0.4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 x14ac:dyDescent="0.4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 x14ac:dyDescent="0.4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 x14ac:dyDescent="0.4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 x14ac:dyDescent="0.4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 x14ac:dyDescent="0.4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 x14ac:dyDescent="0.4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 x14ac:dyDescent="0.4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 x14ac:dyDescent="0.4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 x14ac:dyDescent="0.4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 x14ac:dyDescent="0.4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 x14ac:dyDescent="0.4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 x14ac:dyDescent="0.4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 x14ac:dyDescent="0.4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 x14ac:dyDescent="0.4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 x14ac:dyDescent="0.4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 x14ac:dyDescent="0.4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 x14ac:dyDescent="0.4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 x14ac:dyDescent="0.4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 x14ac:dyDescent="0.4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 x14ac:dyDescent="0.4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 x14ac:dyDescent="0.4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 x14ac:dyDescent="0.4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 x14ac:dyDescent="0.4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 x14ac:dyDescent="0.4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 x14ac:dyDescent="0.4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 x14ac:dyDescent="0.4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 x14ac:dyDescent="0.4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 x14ac:dyDescent="0.4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 x14ac:dyDescent="0.4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 x14ac:dyDescent="0.4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 x14ac:dyDescent="0.4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 x14ac:dyDescent="0.4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 x14ac:dyDescent="0.4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 x14ac:dyDescent="0.4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 x14ac:dyDescent="0.4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 x14ac:dyDescent="0.4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 x14ac:dyDescent="0.4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 x14ac:dyDescent="0.4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 x14ac:dyDescent="0.4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 x14ac:dyDescent="0.4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 x14ac:dyDescent="0.4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 x14ac:dyDescent="0.4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 x14ac:dyDescent="0.4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 x14ac:dyDescent="0.4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 x14ac:dyDescent="0.4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 x14ac:dyDescent="0.4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 x14ac:dyDescent="0.4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 x14ac:dyDescent="0.4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 x14ac:dyDescent="0.4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 x14ac:dyDescent="0.4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 x14ac:dyDescent="0.4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 x14ac:dyDescent="0.4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 x14ac:dyDescent="0.4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 x14ac:dyDescent="0.4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 x14ac:dyDescent="0.4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 x14ac:dyDescent="0.4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 x14ac:dyDescent="0.4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 x14ac:dyDescent="0.4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 x14ac:dyDescent="0.4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 x14ac:dyDescent="0.4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 x14ac:dyDescent="0.4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 x14ac:dyDescent="0.4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 x14ac:dyDescent="0.4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 x14ac:dyDescent="0.4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 x14ac:dyDescent="0.4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 x14ac:dyDescent="0.4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 x14ac:dyDescent="0.4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 x14ac:dyDescent="0.4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 x14ac:dyDescent="0.4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 x14ac:dyDescent="0.4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 x14ac:dyDescent="0.4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 x14ac:dyDescent="0.4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 x14ac:dyDescent="0.4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 x14ac:dyDescent="0.4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 x14ac:dyDescent="0.4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 x14ac:dyDescent="0.4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 x14ac:dyDescent="0.4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 x14ac:dyDescent="0.4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 x14ac:dyDescent="0.4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 x14ac:dyDescent="0.4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 x14ac:dyDescent="0.4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 x14ac:dyDescent="0.4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 x14ac:dyDescent="0.4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 x14ac:dyDescent="0.4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 x14ac:dyDescent="0.4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 x14ac:dyDescent="0.4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 x14ac:dyDescent="0.4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 x14ac:dyDescent="0.4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 x14ac:dyDescent="0.4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 x14ac:dyDescent="0.4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 x14ac:dyDescent="0.4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 x14ac:dyDescent="0.4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 x14ac:dyDescent="0.4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 x14ac:dyDescent="0.4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 x14ac:dyDescent="0.4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 x14ac:dyDescent="0.4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 x14ac:dyDescent="0.4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 x14ac:dyDescent="0.4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 x14ac:dyDescent="0.4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 x14ac:dyDescent="0.4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 x14ac:dyDescent="0.4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 x14ac:dyDescent="0.4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 x14ac:dyDescent="0.4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 x14ac:dyDescent="0.4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 x14ac:dyDescent="0.4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 x14ac:dyDescent="0.4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 x14ac:dyDescent="0.4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 x14ac:dyDescent="0.4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 x14ac:dyDescent="0.4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 x14ac:dyDescent="0.4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 x14ac:dyDescent="0.4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 x14ac:dyDescent="0.4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 x14ac:dyDescent="0.4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 x14ac:dyDescent="0.4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 x14ac:dyDescent="0.4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 x14ac:dyDescent="0.4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 x14ac:dyDescent="0.4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 x14ac:dyDescent="0.4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 x14ac:dyDescent="0.4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 x14ac:dyDescent="0.4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 x14ac:dyDescent="0.4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 x14ac:dyDescent="0.4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 x14ac:dyDescent="0.4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 x14ac:dyDescent="0.4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 x14ac:dyDescent="0.4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 x14ac:dyDescent="0.4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 x14ac:dyDescent="0.4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 x14ac:dyDescent="0.4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 x14ac:dyDescent="0.4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 x14ac:dyDescent="0.4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 x14ac:dyDescent="0.4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 x14ac:dyDescent="0.4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 x14ac:dyDescent="0.4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 x14ac:dyDescent="0.4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 x14ac:dyDescent="0.4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 x14ac:dyDescent="0.4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 x14ac:dyDescent="0.4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 x14ac:dyDescent="0.4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 x14ac:dyDescent="0.4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 x14ac:dyDescent="0.4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 x14ac:dyDescent="0.4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 x14ac:dyDescent="0.4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 x14ac:dyDescent="0.4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 x14ac:dyDescent="0.4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 x14ac:dyDescent="0.4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 x14ac:dyDescent="0.4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 x14ac:dyDescent="0.4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 x14ac:dyDescent="0.4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 x14ac:dyDescent="0.4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 x14ac:dyDescent="0.4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 x14ac:dyDescent="0.4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 x14ac:dyDescent="0.4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 x14ac:dyDescent="0.4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 x14ac:dyDescent="0.4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 x14ac:dyDescent="0.4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 x14ac:dyDescent="0.4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 x14ac:dyDescent="0.4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 x14ac:dyDescent="0.4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 x14ac:dyDescent="0.4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 x14ac:dyDescent="0.4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 x14ac:dyDescent="0.4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 x14ac:dyDescent="0.4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 x14ac:dyDescent="0.4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 x14ac:dyDescent="0.4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 x14ac:dyDescent="0.4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 x14ac:dyDescent="0.4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 x14ac:dyDescent="0.4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 x14ac:dyDescent="0.4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 x14ac:dyDescent="0.4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 x14ac:dyDescent="0.4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 x14ac:dyDescent="0.4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 x14ac:dyDescent="0.4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 x14ac:dyDescent="0.4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 x14ac:dyDescent="0.4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 x14ac:dyDescent="0.4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 x14ac:dyDescent="0.4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 x14ac:dyDescent="0.4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 x14ac:dyDescent="0.4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 x14ac:dyDescent="0.4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 x14ac:dyDescent="0.4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 x14ac:dyDescent="0.4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 x14ac:dyDescent="0.4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 x14ac:dyDescent="0.4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 x14ac:dyDescent="0.4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 x14ac:dyDescent="0.4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 x14ac:dyDescent="0.4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 x14ac:dyDescent="0.4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 x14ac:dyDescent="0.4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 x14ac:dyDescent="0.4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 x14ac:dyDescent="0.4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 x14ac:dyDescent="0.4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 x14ac:dyDescent="0.4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 x14ac:dyDescent="0.4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 x14ac:dyDescent="0.4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 x14ac:dyDescent="0.4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 x14ac:dyDescent="0.4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 x14ac:dyDescent="0.4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 x14ac:dyDescent="0.4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 x14ac:dyDescent="0.4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 x14ac:dyDescent="0.4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 x14ac:dyDescent="0.4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 x14ac:dyDescent="0.4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 x14ac:dyDescent="0.4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 x14ac:dyDescent="0.4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 x14ac:dyDescent="0.4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 x14ac:dyDescent="0.4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 x14ac:dyDescent="0.4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 x14ac:dyDescent="0.4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 x14ac:dyDescent="0.4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 x14ac:dyDescent="0.4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 x14ac:dyDescent="0.4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 x14ac:dyDescent="0.4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 x14ac:dyDescent="0.4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 x14ac:dyDescent="0.4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 x14ac:dyDescent="0.4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 x14ac:dyDescent="0.4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 x14ac:dyDescent="0.4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 x14ac:dyDescent="0.4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 x14ac:dyDescent="0.4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 x14ac:dyDescent="0.4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 x14ac:dyDescent="0.4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 x14ac:dyDescent="0.4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 x14ac:dyDescent="0.4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 x14ac:dyDescent="0.4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 x14ac:dyDescent="0.4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 x14ac:dyDescent="0.4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 x14ac:dyDescent="0.4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 x14ac:dyDescent="0.4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 x14ac:dyDescent="0.4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 x14ac:dyDescent="0.4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 x14ac:dyDescent="0.4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 x14ac:dyDescent="0.4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 x14ac:dyDescent="0.4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 x14ac:dyDescent="0.4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 x14ac:dyDescent="0.4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 x14ac:dyDescent="0.4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 x14ac:dyDescent="0.4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 x14ac:dyDescent="0.4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 x14ac:dyDescent="0.4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 x14ac:dyDescent="0.4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 x14ac:dyDescent="0.4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 x14ac:dyDescent="0.4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 x14ac:dyDescent="0.4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 x14ac:dyDescent="0.4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 x14ac:dyDescent="0.4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 x14ac:dyDescent="0.4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 x14ac:dyDescent="0.4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 x14ac:dyDescent="0.4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 x14ac:dyDescent="0.4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 x14ac:dyDescent="0.4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 x14ac:dyDescent="0.4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 x14ac:dyDescent="0.4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 x14ac:dyDescent="0.4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 x14ac:dyDescent="0.4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 x14ac:dyDescent="0.4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 x14ac:dyDescent="0.4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 x14ac:dyDescent="0.4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 x14ac:dyDescent="0.4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activeCell="J20" sqref="J20"/>
      <selection pane="bottomLeft" activeCell="G4" sqref="G4"/>
    </sheetView>
  </sheetViews>
  <sheetFormatPr defaultRowHeight="13.5" x14ac:dyDescent="0.35"/>
  <cols>
    <col min="1" max="1" width="35.86328125" bestFit="1" customWidth="1"/>
    <col min="2" max="2" width="8.4648437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43" t="str" cm="1">
        <f t="array" ref="A1">portfolio</f>
        <v>PureSky Energy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 x14ac:dyDescent="0.35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35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3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 x14ac:dyDescent="0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activeCell="J20" sqref="J20"/>
      <selection pane="bottomLeft" activeCell="F35" sqref="F35"/>
    </sheetView>
  </sheetViews>
  <sheetFormatPr defaultRowHeight="13.5" x14ac:dyDescent="0.35"/>
  <cols>
    <col min="1" max="1" width="35.86328125" bestFit="1" customWidth="1"/>
    <col min="2" max="2" width="8.4648437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43" t="str" cm="1">
        <f t="array" ref="A1">portfolio</f>
        <v>PureSky Energy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 x14ac:dyDescent="0.35">
      <c r="A2" s="45" t="s">
        <v>2</v>
      </c>
      <c r="B2" s="45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 x14ac:dyDescent="0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 x14ac:dyDescent="0.4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activeCell="F35" sqref="F35"/>
      <selection pane="bottomLeft" activeCell="F35" sqref="F35"/>
    </sheetView>
  </sheetViews>
  <sheetFormatPr defaultRowHeight="13.5" x14ac:dyDescent="0.35"/>
  <cols>
    <col min="1" max="1" width="35.86328125" bestFit="1" customWidth="1"/>
    <col min="2" max="2" width="8.4648437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43" t="str" cm="1">
        <f t="array" ref="A1">portfolio</f>
        <v>PureSky Energy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 x14ac:dyDescent="0.35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3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5" activePane="bottomLeft" state="frozen"/>
      <selection activeCell="F35" sqref="F35"/>
      <selection pane="bottomLeft" activeCell="F35" sqref="F35"/>
    </sheetView>
  </sheetViews>
  <sheetFormatPr defaultRowHeight="13.5" x14ac:dyDescent="0.35"/>
  <cols>
    <col min="1" max="1" width="35.86328125" bestFit="1" customWidth="1"/>
    <col min="2" max="2" width="8.4648437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43" t="str" cm="1">
        <f t="array" ref="A1">portfolio</f>
        <v>PureSky Energy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 x14ac:dyDescent="0.35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3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5" activePane="bottomLeft" state="frozen"/>
      <selection activeCell="F35" sqref="F35"/>
      <selection pane="bottomLeft" activeCell="F35" sqref="F35"/>
    </sheetView>
  </sheetViews>
  <sheetFormatPr defaultRowHeight="13.5" x14ac:dyDescent="0.35"/>
  <cols>
    <col min="1" max="1" width="35.86328125" bestFit="1" customWidth="1"/>
    <col min="2" max="2" width="8.4648437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43" t="str" cm="1">
        <f t="array" ref="A1">portfolio</f>
        <v>PureSky Energy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 x14ac:dyDescent="0.35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3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5" activePane="bottomLeft" state="frozen"/>
      <selection activeCell="F35" sqref="F35"/>
      <selection pane="bottomLeft" activeCell="F35" sqref="F35"/>
    </sheetView>
  </sheetViews>
  <sheetFormatPr defaultRowHeight="13.5" x14ac:dyDescent="0.35"/>
  <cols>
    <col min="1" max="1" width="35.86328125" bestFit="1" customWidth="1"/>
    <col min="2" max="2" width="8.4648437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43" t="str" cm="1">
        <f t="array" ref="A1">portfolio</f>
        <v>PureSky Energy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 x14ac:dyDescent="0.35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3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workbookViewId="0">
      <pane ySplit="2" topLeftCell="A3" activePane="bottomLeft" state="frozen"/>
      <selection activeCell="F35" sqref="F35"/>
      <selection pane="bottomLeft" activeCell="F16" sqref="F16"/>
    </sheetView>
  </sheetViews>
  <sheetFormatPr defaultRowHeight="13.5" x14ac:dyDescent="0.35"/>
  <cols>
    <col min="1" max="1" width="35.86328125" bestFit="1" customWidth="1"/>
    <col min="2" max="2" width="8.4648437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43" t="str" cm="1">
        <f t="array" ref="A1">portfolio</f>
        <v>PureSky Energy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 x14ac:dyDescent="0.35">
      <c r="A2" s="45" t="s">
        <v>2</v>
      </c>
      <c r="B2" s="45"/>
      <c r="C2" s="6">
        <f>SUM(C4:C88)</f>
        <v>90643</v>
      </c>
      <c r="D2" s="6">
        <f>SUM(D4:D88)</f>
        <v>214201.2</v>
      </c>
      <c r="E2" s="6">
        <f>C2-D2</f>
        <v>-123558.20000000001</v>
      </c>
      <c r="F2" s="7">
        <f>IFERROR(E2/D2, 0)</f>
        <v>-0.5768324360461099</v>
      </c>
      <c r="G2" s="6">
        <f>SUM(G4:G88)</f>
        <v>648371.4</v>
      </c>
      <c r="H2" s="8">
        <f>C2-G2</f>
        <v>-557728.4</v>
      </c>
      <c r="I2" s="7">
        <f>IFERROR(H2/G2, 0)</f>
        <v>-0.86019895387119172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5" x14ac:dyDescent="0.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>
        <v>90643</v>
      </c>
      <c r="D4" s="14">
        <v>214201.2</v>
      </c>
      <c r="E4" s="14">
        <f>IF(AND(ISNUMBER(C4),ISNUMBER(D4)), C4-D4, "")</f>
        <v>-123558.20000000001</v>
      </c>
      <c r="F4" s="15">
        <f>IFERROR(E4/D4, "")</f>
        <v>-0.5768324360461099</v>
      </c>
      <c r="G4" s="16">
        <v>648371.4</v>
      </c>
      <c r="H4" s="16">
        <f>IF(AND(ISNUMBER(C4),ISNUMBER(G4)), C4-G4, "")</f>
        <v>-557728.4</v>
      </c>
      <c r="I4" s="17">
        <f>IFERROR(H4/G4, "")</f>
        <v>-0.86019895387119172</v>
      </c>
      <c r="J4" s="18" t="s">
        <v>34</v>
      </c>
      <c r="K4" s="18" t="s">
        <v>35</v>
      </c>
    </row>
    <row r="5" spans="1:11" ht="15.75" x14ac:dyDescent="0.3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 x14ac:dyDescent="0.4">
      <c r="C330" s="23"/>
      <c r="D330" s="23"/>
      <c r="E330" s="23"/>
      <c r="F330" s="24"/>
      <c r="G330" s="23"/>
      <c r="H330" s="23"/>
      <c r="I330" s="24"/>
      <c r="J330" s="23"/>
      <c r="K330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88 I4:I88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tabSelected="1" zoomScale="80" zoomScaleNormal="80" workbookViewId="0">
      <pane ySplit="2" topLeftCell="A3" activePane="bottomLeft" state="frozen"/>
      <selection activeCell="F35" sqref="F35"/>
      <selection pane="bottomLeft" activeCell="J15" sqref="J15:J16"/>
    </sheetView>
  </sheetViews>
  <sheetFormatPr defaultRowHeight="13.5" x14ac:dyDescent="0.35"/>
  <cols>
    <col min="1" max="1" width="35.86328125" bestFit="1" customWidth="1"/>
    <col min="2" max="2" width="8.4648437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43" t="str" cm="1">
        <f t="array" ref="A1">portfolio</f>
        <v>PureSky Energy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 x14ac:dyDescent="0.35">
      <c r="A2" s="45" t="s">
        <v>2</v>
      </c>
      <c r="B2" s="45"/>
      <c r="C2" s="6">
        <f>SUM(C4:C30)</f>
        <v>468409</v>
      </c>
      <c r="D2" s="6">
        <f>SUM(D4:D30)</f>
        <v>217084.3</v>
      </c>
      <c r="E2" s="6">
        <f>C2-D2</f>
        <v>251324.7</v>
      </c>
      <c r="F2" s="7">
        <f>IFERROR(E2/D2, 0)</f>
        <v>1.157728587465791</v>
      </c>
      <c r="G2" s="6">
        <f>SUM(G4:G30)</f>
        <v>605199</v>
      </c>
      <c r="H2" s="8">
        <f>C2-G2</f>
        <v>-136790</v>
      </c>
      <c r="I2" s="7">
        <f>IFERROR(H2/G2, 0)</f>
        <v>-0.22602482819700628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5" x14ac:dyDescent="0.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>
        <v>468409</v>
      </c>
      <c r="D4" s="14">
        <v>217084.3</v>
      </c>
      <c r="E4" s="14">
        <f>IF(AND(ISNUMBER(C4),ISNUMBER(D4)), C4-D4, "")</f>
        <v>251324.7</v>
      </c>
      <c r="F4" s="15">
        <f>IFERROR(E4/D4, "")</f>
        <v>1.157728587465791</v>
      </c>
      <c r="G4" s="16">
        <v>605199</v>
      </c>
      <c r="H4" s="16">
        <f>IF(AND(ISNUMBER(C4),ISNUMBER(G4)), C4-G4, "")</f>
        <v>-136790</v>
      </c>
      <c r="I4" s="17">
        <f>IFERROR(H4/G4, "")</f>
        <v>-0.22602482819700628</v>
      </c>
      <c r="J4" s="18" t="s">
        <v>55</v>
      </c>
      <c r="K4" s="18" t="s">
        <v>56</v>
      </c>
    </row>
    <row r="5" spans="1:11" ht="14.25" x14ac:dyDescent="0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25" x14ac:dyDescent="0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25" x14ac:dyDescent="0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25" x14ac:dyDescent="0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 x14ac:dyDescent="0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 x14ac:dyDescent="0.4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activeCell="F35" sqref="F35"/>
      <selection pane="bottomLeft" activeCell="F35" sqref="F35"/>
    </sheetView>
  </sheetViews>
  <sheetFormatPr defaultRowHeight="13.5" x14ac:dyDescent="0.35"/>
  <cols>
    <col min="1" max="1" width="35.86328125" bestFit="1" customWidth="1"/>
    <col min="2" max="2" width="8.4648437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43" t="str" cm="1">
        <f t="array" ref="A1">portfolio</f>
        <v>PureSky Energy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 x14ac:dyDescent="0.35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3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J20" sqref="J20"/>
    </sheetView>
  </sheetViews>
  <sheetFormatPr defaultRowHeight="13.5" x14ac:dyDescent="0.35"/>
  <cols>
    <col min="1" max="1" width="35.86328125" bestFit="1" customWidth="1"/>
    <col min="2" max="2" width="8.4648437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43" t="str" cm="1">
        <f t="array" ref="A1">portfolio</f>
        <v>PureSky Energy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 x14ac:dyDescent="0.35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3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J20" sqref="J20"/>
    </sheetView>
  </sheetViews>
  <sheetFormatPr defaultRowHeight="13.5" x14ac:dyDescent="0.35"/>
  <cols>
    <col min="1" max="1" width="35.86328125" bestFit="1" customWidth="1"/>
    <col min="2" max="2" width="8.4648437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43" t="str" cm="1">
        <f t="array" ref="A1">portfolio</f>
        <v>PureSky Energy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 x14ac:dyDescent="0.35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3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J20" sqref="J20"/>
    </sheetView>
  </sheetViews>
  <sheetFormatPr defaultRowHeight="13.5" x14ac:dyDescent="0.35"/>
  <cols>
    <col min="1" max="1" width="35.86328125" bestFit="1" customWidth="1"/>
    <col min="2" max="2" width="8.4648437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43" t="str" cm="1">
        <f t="array" ref="A1">portfolio</f>
        <v>PureSky Energy</v>
      </c>
      <c r="B1" s="43"/>
      <c r="C1" s="43"/>
      <c r="D1" s="44" t="s">
        <v>44</v>
      </c>
      <c r="E1" s="44"/>
      <c r="F1" s="44"/>
      <c r="G1" s="42" t="s">
        <v>45</v>
      </c>
      <c r="H1" s="42"/>
      <c r="I1" s="42"/>
      <c r="J1" s="5"/>
      <c r="K1" s="5"/>
    </row>
    <row r="2" spans="1:11" ht="19.5" customHeight="1" x14ac:dyDescent="0.35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3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activeCell="A16" sqref="A16:XFD24"/>
      <selection pane="bottomLeft" activeCell="E21" sqref="E21"/>
    </sheetView>
  </sheetViews>
  <sheetFormatPr defaultRowHeight="12.75" customHeight="1" x14ac:dyDescent="0.35"/>
  <cols>
    <col min="1" max="2" width="41.86328125" customWidth="1"/>
    <col min="4" max="4" width="9.1328125" customWidth="1"/>
    <col min="5" max="5" width="18.33203125" customWidth="1"/>
    <col min="6" max="14" width="9.1328125" customWidth="1"/>
  </cols>
  <sheetData>
    <row r="1" spans="1:7" ht="12.75" customHeight="1" x14ac:dyDescent="0.35">
      <c r="A1" t="s">
        <v>46</v>
      </c>
      <c r="B1" t="s">
        <v>47</v>
      </c>
    </row>
    <row r="3" spans="1:7" x14ac:dyDescent="0.3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7" ht="14.25" x14ac:dyDescent="0.45">
      <c r="A4" t="s">
        <v>51</v>
      </c>
      <c r="B4" t="s">
        <v>52</v>
      </c>
      <c r="C4" s="4" t="s">
        <v>53</v>
      </c>
      <c r="E4" t="s">
        <v>54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2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3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4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6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7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8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9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0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1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2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3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4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5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7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8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9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sharepoint/v3"/>
    <ds:schemaRef ds:uri="http://purl.org/dc/dcmitype/"/>
    <ds:schemaRef ds:uri="http://purl.org/dc/terms/"/>
    <ds:schemaRef ds:uri="7f39bfab-6331-41a1-b6d4-5b974a316951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ddcd8467-55ca-498e-a9f8-86795db5db7a"/>
    <ds:schemaRef ds:uri="http://www.w3.org/XML/1998/namespace"/>
    <ds:schemaRef ds:uri="http://purl.org/dc/elements/1.1/"/>
  </ds:schemaRefs>
</ds:datastoreItem>
</file>

<file path=customXml/itemProps20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 [AGS]</cp:lastModifiedBy>
  <cp:revision/>
  <dcterms:created xsi:type="dcterms:W3CDTF">2021-01-01T16:39:53Z</dcterms:created>
  <dcterms:modified xsi:type="dcterms:W3CDTF">2024-09-12T08:38:47Z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2024-08-27T10:39:12Z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ed6f9183-2800-4176-bca1-5c02a6e24db1</vt:lpwstr>
  </property>
  <property fmtid="{D5CDD505-2E9C-101B-9397-08002B2CF9AE}" pid="9" name="MSIP_Label_9d817c99-0b37-4a07-8277-96aa1f96b74b_ContentBits">
    <vt:lpwstr>0</vt:lpwstr>
  </property>
</Properties>
</file>