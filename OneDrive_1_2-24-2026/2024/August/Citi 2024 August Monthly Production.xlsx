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15" documentId="13_ncr:1_{5E279EBC-5DEA-4FB7-B510-97B8F0571901}" xr6:coauthVersionLast="47" xr6:coauthVersionMax="47" xr10:uidLastSave="{89165409-D73A-44B2-85FA-385ECE11D08E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Apr!$A$2:$K$2</definedName>
    <definedName name="_xlnm._FilterDatabase" localSheetId="12" hidden="1">Aug!$A$2:$K$2</definedName>
    <definedName name="_xlnm._FilterDatabase" localSheetId="16" hidden="1">Dec!$A$2:$I$2</definedName>
    <definedName name="_xlnm._FilterDatabase" localSheetId="6" hidden="1">Feb!$A$2:$K$2</definedName>
    <definedName name="_xlnm._FilterDatabase" localSheetId="5" hidden="1">Jan!$A$3:$M$3</definedName>
    <definedName name="_xlnm._FilterDatabase" localSheetId="11" hidden="1">Jul!$A$2:$K$2</definedName>
    <definedName name="_xlnm._FilterDatabase" localSheetId="10" hidden="1">Jun!$A$2:$L$2</definedName>
    <definedName name="_xlnm._FilterDatabase" localSheetId="7" hidden="1">Mar!$A$2:$L$2</definedName>
    <definedName name="_xlnm._FilterDatabase" localSheetId="9" hidden="1">May!$A$2:$K$2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6" l="1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D2" i="27"/>
  <c r="F2" i="27"/>
  <c r="G4" i="27"/>
  <c r="H4" i="27"/>
  <c r="G5" i="27"/>
  <c r="H5" i="27"/>
  <c r="G6" i="27"/>
  <c r="H6" i="27"/>
  <c r="G7" i="27"/>
  <c r="H7" i="27"/>
  <c r="G8" i="27"/>
  <c r="H8" i="27"/>
  <c r="G9" i="27"/>
  <c r="H9" i="27"/>
  <c r="G10" i="27"/>
  <c r="H10" i="27"/>
  <c r="G11" i="27"/>
  <c r="H11" i="27"/>
  <c r="G12" i="27"/>
  <c r="H12" i="27"/>
  <c r="G13" i="27"/>
  <c r="H13" i="27"/>
  <c r="G14" i="27"/>
  <c r="H14" i="27"/>
  <c r="G15" i="27"/>
  <c r="H15" i="27"/>
  <c r="G16" i="27"/>
  <c r="H16" i="27"/>
  <c r="G17" i="27"/>
  <c r="H17" i="27"/>
  <c r="G18" i="27"/>
  <c r="H18" i="27"/>
  <c r="G19" i="27"/>
  <c r="H19" i="27"/>
  <c r="G20" i="27"/>
  <c r="H20" i="27"/>
  <c r="G21" i="27"/>
  <c r="H21" i="27"/>
  <c r="G22" i="27"/>
  <c r="H22" i="27"/>
  <c r="J22" i="27"/>
  <c r="E22" i="29"/>
  <c r="E2" i="19"/>
  <c r="E2" i="20"/>
  <c r="E2" i="21"/>
  <c r="E2" i="4"/>
  <c r="E2" i="3"/>
  <c r="E2" i="72"/>
  <c r="F2" i="4"/>
  <c r="D2" i="19"/>
  <c r="D2" i="20"/>
  <c r="D2" i="21"/>
  <c r="D2" i="4"/>
  <c r="D2" i="3"/>
  <c r="D2" i="72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4" i="19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4" i="2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4" i="3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4" i="20"/>
  <c r="E22" i="72"/>
  <c r="E21" i="72"/>
  <c r="E20" i="72"/>
  <c r="E19" i="72"/>
  <c r="E18" i="72"/>
  <c r="E17" i="72"/>
  <c r="E16" i="72"/>
  <c r="E15" i="72"/>
  <c r="E14" i="72"/>
  <c r="E13" i="72"/>
  <c r="E12" i="72"/>
  <c r="E11" i="72"/>
  <c r="E10" i="72"/>
  <c r="E9" i="72"/>
  <c r="E8" i="72"/>
  <c r="E7" i="72"/>
  <c r="E6" i="72"/>
  <c r="E5" i="72"/>
  <c r="E4" i="72"/>
  <c r="D22" i="29"/>
  <c r="C22" i="29"/>
  <c r="D4" i="29"/>
  <c r="C21" i="29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D2" i="26"/>
  <c r="H22" i="29" l="1"/>
  <c r="K22" i="27"/>
  <c r="G22" i="29" s="1"/>
  <c r="I22" i="29"/>
  <c r="F22" i="29"/>
  <c r="J22" i="26"/>
  <c r="K22" i="26" s="1"/>
  <c r="G22" i="26"/>
  <c r="H22" i="26"/>
  <c r="H22" i="19"/>
  <c r="K22" i="19"/>
  <c r="L22" i="19" s="1"/>
  <c r="J22" i="20"/>
  <c r="K22" i="20"/>
  <c r="G22" i="20"/>
  <c r="H22" i="20" s="1"/>
  <c r="G21" i="20"/>
  <c r="G5" i="20"/>
  <c r="H5" i="20"/>
  <c r="J5" i="20"/>
  <c r="K5" i="20"/>
  <c r="G6" i="20"/>
  <c r="H6" i="20"/>
  <c r="J6" i="20"/>
  <c r="K6" i="20"/>
  <c r="G7" i="20"/>
  <c r="H7" i="20"/>
  <c r="J7" i="20"/>
  <c r="K7" i="20"/>
  <c r="G8" i="20"/>
  <c r="H8" i="20"/>
  <c r="J8" i="20"/>
  <c r="K8" i="20"/>
  <c r="G9" i="20"/>
  <c r="H9" i="20"/>
  <c r="J9" i="20"/>
  <c r="K9" i="20"/>
  <c r="G10" i="20"/>
  <c r="H10" i="20"/>
  <c r="J10" i="20"/>
  <c r="K10" i="20"/>
  <c r="G11" i="20"/>
  <c r="H11" i="20"/>
  <c r="J11" i="20"/>
  <c r="K11" i="20"/>
  <c r="G12" i="20"/>
  <c r="H12" i="20"/>
  <c r="J12" i="20"/>
  <c r="K12" i="20"/>
  <c r="G13" i="20"/>
  <c r="H13" i="20"/>
  <c r="J13" i="20"/>
  <c r="K13" i="20"/>
  <c r="G14" i="20"/>
  <c r="H14" i="20"/>
  <c r="J14" i="20"/>
  <c r="K14" i="20"/>
  <c r="G15" i="20"/>
  <c r="H15" i="20"/>
  <c r="J15" i="20"/>
  <c r="K15" i="20"/>
  <c r="G16" i="20"/>
  <c r="H16" i="20"/>
  <c r="J16" i="20"/>
  <c r="K16" i="20"/>
  <c r="G17" i="20"/>
  <c r="H17" i="20"/>
  <c r="J17" i="20"/>
  <c r="K17" i="20"/>
  <c r="G18" i="20"/>
  <c r="H18" i="20"/>
  <c r="J18" i="20"/>
  <c r="K18" i="20"/>
  <c r="G19" i="20"/>
  <c r="H19" i="20"/>
  <c r="J19" i="20"/>
  <c r="K19" i="20"/>
  <c r="G20" i="20"/>
  <c r="H20" i="20"/>
  <c r="J20" i="20"/>
  <c r="K20" i="20"/>
  <c r="H21" i="20"/>
  <c r="J21" i="20"/>
  <c r="K21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D22" i="18"/>
  <c r="C22" i="18"/>
  <c r="E22" i="18" s="1"/>
  <c r="F22" i="18" s="1"/>
  <c r="G22" i="21"/>
  <c r="H22" i="21" s="1"/>
  <c r="J22" i="21"/>
  <c r="H22" i="18" s="1"/>
  <c r="K22" i="21"/>
  <c r="H22" i="4"/>
  <c r="I22" i="4" s="1"/>
  <c r="K22" i="4"/>
  <c r="L22" i="4" s="1"/>
  <c r="J22" i="3"/>
  <c r="K22" i="3" s="1"/>
  <c r="J23" i="3"/>
  <c r="G22" i="3"/>
  <c r="H22" i="3" s="1"/>
  <c r="G22" i="1"/>
  <c r="G22" i="34" s="1"/>
  <c r="D22" i="1"/>
  <c r="C22" i="1"/>
  <c r="D22" i="34"/>
  <c r="C22" i="34"/>
  <c r="J22" i="72"/>
  <c r="G22" i="72"/>
  <c r="H22" i="72" s="1"/>
  <c r="G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C17" i="29"/>
  <c r="D17" i="29"/>
  <c r="C18" i="29"/>
  <c r="D18" i="29"/>
  <c r="C19" i="29"/>
  <c r="D19" i="29"/>
  <c r="C20" i="29"/>
  <c r="D20" i="29"/>
  <c r="D21" i="29"/>
  <c r="C16" i="18"/>
  <c r="D16" i="18"/>
  <c r="C17" i="18"/>
  <c r="D17" i="18"/>
  <c r="E17" i="18"/>
  <c r="F17" i="18"/>
  <c r="C18" i="18"/>
  <c r="D18" i="18"/>
  <c r="C19" i="18"/>
  <c r="D19" i="18"/>
  <c r="C20" i="18"/>
  <c r="D20" i="18"/>
  <c r="C21" i="18"/>
  <c r="D21" i="18"/>
  <c r="C16" i="1"/>
  <c r="D16" i="1"/>
  <c r="E16" i="1"/>
  <c r="F16" i="1" s="1"/>
  <c r="G16" i="1"/>
  <c r="C17" i="1"/>
  <c r="D17" i="1"/>
  <c r="G17" i="1"/>
  <c r="C18" i="1"/>
  <c r="D18" i="1"/>
  <c r="G18" i="1"/>
  <c r="C19" i="1"/>
  <c r="D19" i="1"/>
  <c r="G19" i="1"/>
  <c r="C20" i="1"/>
  <c r="D20" i="1"/>
  <c r="G20" i="1"/>
  <c r="C21" i="1"/>
  <c r="D21" i="1"/>
  <c r="G21" i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J16" i="27"/>
  <c r="K16" i="27"/>
  <c r="G16" i="29" s="1"/>
  <c r="J17" i="27"/>
  <c r="K17" i="27"/>
  <c r="G17" i="29" s="1"/>
  <c r="J18" i="27"/>
  <c r="K18" i="27"/>
  <c r="G18" i="29" s="1"/>
  <c r="J19" i="27"/>
  <c r="K19" i="27"/>
  <c r="G19" i="29" s="1"/>
  <c r="J20" i="27"/>
  <c r="K20" i="27"/>
  <c r="G20" i="29" s="1"/>
  <c r="E21" i="29"/>
  <c r="F21" i="29" s="1"/>
  <c r="J21" i="27"/>
  <c r="K21" i="27"/>
  <c r="G21" i="29" s="1"/>
  <c r="G16" i="26"/>
  <c r="H16" i="26"/>
  <c r="J16" i="26"/>
  <c r="G17" i="26"/>
  <c r="H17" i="26" s="1"/>
  <c r="J17" i="26"/>
  <c r="G18" i="26"/>
  <c r="H18" i="26" s="1"/>
  <c r="J18" i="26"/>
  <c r="H18" i="29" s="1"/>
  <c r="I18" i="29" s="1"/>
  <c r="G19" i="26"/>
  <c r="H19" i="26" s="1"/>
  <c r="J19" i="26"/>
  <c r="K19" i="26" s="1"/>
  <c r="G20" i="26"/>
  <c r="H20" i="26" s="1"/>
  <c r="J20" i="26"/>
  <c r="K20" i="26" s="1"/>
  <c r="G21" i="26"/>
  <c r="H21" i="26" s="1"/>
  <c r="J21" i="26"/>
  <c r="H21" i="29" s="1"/>
  <c r="K21" i="26"/>
  <c r="H16" i="19"/>
  <c r="I16" i="19"/>
  <c r="K16" i="19"/>
  <c r="L16" i="19" s="1"/>
  <c r="H17" i="19"/>
  <c r="I17" i="19"/>
  <c r="K17" i="19"/>
  <c r="L17" i="19"/>
  <c r="H18" i="19"/>
  <c r="I18" i="19"/>
  <c r="K18" i="19"/>
  <c r="L18" i="19" s="1"/>
  <c r="H19" i="19"/>
  <c r="I19" i="19"/>
  <c r="K19" i="19"/>
  <c r="L19" i="19" s="1"/>
  <c r="H20" i="19"/>
  <c r="I20" i="19"/>
  <c r="K20" i="19"/>
  <c r="L20" i="19"/>
  <c r="H21" i="19"/>
  <c r="I21" i="19"/>
  <c r="K21" i="19"/>
  <c r="L21" i="19"/>
  <c r="G16" i="21"/>
  <c r="H16" i="21" s="1"/>
  <c r="J16" i="21"/>
  <c r="K16" i="21" s="1"/>
  <c r="G17" i="21"/>
  <c r="H17" i="21" s="1"/>
  <c r="J17" i="21"/>
  <c r="G18" i="21"/>
  <c r="H18" i="21" s="1"/>
  <c r="J18" i="21"/>
  <c r="K18" i="21" s="1"/>
  <c r="G19" i="21"/>
  <c r="H19" i="21" s="1"/>
  <c r="J19" i="21"/>
  <c r="H19" i="18" s="1"/>
  <c r="I19" i="18" s="1"/>
  <c r="G20" i="21"/>
  <c r="H20" i="21" s="1"/>
  <c r="J20" i="21"/>
  <c r="K20" i="21" s="1"/>
  <c r="G21" i="21"/>
  <c r="H21" i="21" s="1"/>
  <c r="J21" i="21"/>
  <c r="H21" i="18" s="1"/>
  <c r="I21" i="18" s="1"/>
  <c r="H16" i="4"/>
  <c r="I16" i="4"/>
  <c r="K16" i="4"/>
  <c r="L16" i="4"/>
  <c r="H17" i="4"/>
  <c r="I17" i="4" s="1"/>
  <c r="K17" i="4"/>
  <c r="L17" i="4" s="1"/>
  <c r="H18" i="4"/>
  <c r="I18" i="4"/>
  <c r="K18" i="4"/>
  <c r="L18" i="4"/>
  <c r="H19" i="4"/>
  <c r="I19" i="4" s="1"/>
  <c r="K19" i="4"/>
  <c r="L19" i="4" s="1"/>
  <c r="H20" i="4"/>
  <c r="I20" i="4" s="1"/>
  <c r="K20" i="4"/>
  <c r="L20" i="4" s="1"/>
  <c r="H21" i="4"/>
  <c r="I21" i="4" s="1"/>
  <c r="K21" i="4"/>
  <c r="L21" i="4" s="1"/>
  <c r="G16" i="3"/>
  <c r="H16" i="3"/>
  <c r="J16" i="3"/>
  <c r="K16" i="3"/>
  <c r="G17" i="3"/>
  <c r="H17" i="3"/>
  <c r="J17" i="3"/>
  <c r="K17" i="3"/>
  <c r="G18" i="3"/>
  <c r="H18" i="3"/>
  <c r="J18" i="3"/>
  <c r="K18" i="3"/>
  <c r="G19" i="3"/>
  <c r="H19" i="3"/>
  <c r="J19" i="3"/>
  <c r="K19" i="3"/>
  <c r="G20" i="3"/>
  <c r="H20" i="3"/>
  <c r="J20" i="3"/>
  <c r="K20" i="3"/>
  <c r="G21" i="3"/>
  <c r="H21" i="3"/>
  <c r="J21" i="3"/>
  <c r="K21" i="3"/>
  <c r="G16" i="72"/>
  <c r="H16" i="72" s="1"/>
  <c r="J16" i="72"/>
  <c r="G17" i="72"/>
  <c r="H17" i="72" s="1"/>
  <c r="J17" i="72"/>
  <c r="G18" i="72"/>
  <c r="H18" i="72"/>
  <c r="J18" i="72"/>
  <c r="G19" i="72"/>
  <c r="H19" i="72" s="1"/>
  <c r="J19" i="72"/>
  <c r="G20" i="72"/>
  <c r="H20" i="72" s="1"/>
  <c r="J20" i="72"/>
  <c r="H21" i="72"/>
  <c r="J21" i="72"/>
  <c r="K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A4" i="26" a="1"/>
  <c r="A4" i="26" s="1"/>
  <c r="A4" i="72" a="1"/>
  <c r="A4" i="72" s="1"/>
  <c r="A4" i="30" a="1"/>
  <c r="A4" i="30" s="1"/>
  <c r="B4" i="72" a="1"/>
  <c r="B4" i="72" s="1"/>
  <c r="G4" i="3"/>
  <c r="H4" i="3" s="1"/>
  <c r="J4" i="3"/>
  <c r="K4" i="3"/>
  <c r="G5" i="3"/>
  <c r="H5" i="3" s="1"/>
  <c r="J5" i="3"/>
  <c r="K5" i="3" s="1"/>
  <c r="G6" i="3"/>
  <c r="H6" i="3" s="1"/>
  <c r="J6" i="3"/>
  <c r="K6" i="3"/>
  <c r="G7" i="3"/>
  <c r="H7" i="3" s="1"/>
  <c r="J7" i="3"/>
  <c r="K7" i="3" s="1"/>
  <c r="G8" i="3"/>
  <c r="H8" i="3" s="1"/>
  <c r="J8" i="3"/>
  <c r="K8" i="3"/>
  <c r="G9" i="3"/>
  <c r="H9" i="3" s="1"/>
  <c r="J9" i="3"/>
  <c r="K9" i="3" s="1"/>
  <c r="G10" i="3"/>
  <c r="H10" i="3" s="1"/>
  <c r="J10" i="3"/>
  <c r="K10" i="3"/>
  <c r="G11" i="3"/>
  <c r="H11" i="3" s="1"/>
  <c r="J11" i="3"/>
  <c r="K11" i="3" s="1"/>
  <c r="G12" i="3"/>
  <c r="H12" i="3" s="1"/>
  <c r="J12" i="3"/>
  <c r="K12" i="3"/>
  <c r="G13" i="3"/>
  <c r="H13" i="3" s="1"/>
  <c r="J13" i="3"/>
  <c r="K13" i="3" s="1"/>
  <c r="G14" i="3"/>
  <c r="H14" i="3" s="1"/>
  <c r="J14" i="3"/>
  <c r="K14" i="3"/>
  <c r="G15" i="3"/>
  <c r="H15" i="3" s="1"/>
  <c r="J15" i="3"/>
  <c r="K15" i="3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E14" i="18" s="1"/>
  <c r="F14" i="18" s="1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E11" i="30"/>
  <c r="F11" i="30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J15" i="27"/>
  <c r="K15" i="27" s="1"/>
  <c r="G15" i="29" s="1"/>
  <c r="J14" i="27"/>
  <c r="K14" i="27" s="1"/>
  <c r="G14" i="29" s="1"/>
  <c r="J13" i="27"/>
  <c r="K13" i="27" s="1"/>
  <c r="G13" i="29" s="1"/>
  <c r="J12" i="27"/>
  <c r="K12" i="27" s="1"/>
  <c r="G12" i="29" s="1"/>
  <c r="J11" i="27"/>
  <c r="K11" i="27" s="1"/>
  <c r="G11" i="29" s="1"/>
  <c r="J10" i="27"/>
  <c r="K10" i="27" s="1"/>
  <c r="G10" i="29" s="1"/>
  <c r="J9" i="27"/>
  <c r="K9" i="27" s="1"/>
  <c r="G9" i="29" s="1"/>
  <c r="J8" i="27"/>
  <c r="K8" i="27" s="1"/>
  <c r="G8" i="29" s="1"/>
  <c r="J7" i="27"/>
  <c r="K7" i="27" s="1"/>
  <c r="G7" i="29" s="1"/>
  <c r="J6" i="27"/>
  <c r="K6" i="27" s="1"/>
  <c r="G6" i="29" s="1"/>
  <c r="J5" i="27"/>
  <c r="K5" i="27" s="1"/>
  <c r="G5" i="29" s="1"/>
  <c r="J4" i="27"/>
  <c r="K4" i="27" s="1"/>
  <c r="G4" i="29" s="1"/>
  <c r="I2" i="27"/>
  <c r="C2" i="27"/>
  <c r="A1" i="27" a="1"/>
  <c r="A1" i="27" s="1"/>
  <c r="J15" i="26"/>
  <c r="G15" i="26"/>
  <c r="H15" i="26" s="1"/>
  <c r="J14" i="26"/>
  <c r="K14" i="26" s="1"/>
  <c r="G14" i="26"/>
  <c r="H14" i="26" s="1"/>
  <c r="J13" i="26"/>
  <c r="K13" i="26" s="1"/>
  <c r="G13" i="26"/>
  <c r="H13" i="26" s="1"/>
  <c r="J12" i="26"/>
  <c r="G12" i="26"/>
  <c r="H12" i="26" s="1"/>
  <c r="J11" i="26"/>
  <c r="K11" i="26" s="1"/>
  <c r="G11" i="26"/>
  <c r="H11" i="26" s="1"/>
  <c r="J10" i="26"/>
  <c r="K10" i="26" s="1"/>
  <c r="G10" i="26"/>
  <c r="H10" i="26" s="1"/>
  <c r="J9" i="26"/>
  <c r="G9" i="26"/>
  <c r="H9" i="26" s="1"/>
  <c r="J8" i="26"/>
  <c r="K8" i="26" s="1"/>
  <c r="G8" i="26"/>
  <c r="H8" i="26" s="1"/>
  <c r="J7" i="26"/>
  <c r="G7" i="26"/>
  <c r="H7" i="26" s="1"/>
  <c r="J6" i="26"/>
  <c r="G6" i="26"/>
  <c r="H6" i="26" s="1"/>
  <c r="J5" i="26"/>
  <c r="K5" i="26" s="1"/>
  <c r="G5" i="26"/>
  <c r="H5" i="26" s="1"/>
  <c r="J4" i="26"/>
  <c r="K4" i="26" s="1"/>
  <c r="G4" i="26"/>
  <c r="H4" i="26" s="1"/>
  <c r="I2" i="26"/>
  <c r="F2" i="26"/>
  <c r="C2" i="26"/>
  <c r="E2" i="26" s="1"/>
  <c r="A1" i="26" a="1"/>
  <c r="A1" i="26" s="1"/>
  <c r="K15" i="19"/>
  <c r="L15" i="19" s="1"/>
  <c r="H15" i="19"/>
  <c r="I15" i="19" s="1"/>
  <c r="K14" i="19"/>
  <c r="L14" i="19" s="1"/>
  <c r="H14" i="19"/>
  <c r="I14" i="19" s="1"/>
  <c r="K13" i="19"/>
  <c r="L13" i="19" s="1"/>
  <c r="H13" i="19"/>
  <c r="I13" i="19" s="1"/>
  <c r="K12" i="19"/>
  <c r="L12" i="19" s="1"/>
  <c r="H12" i="19"/>
  <c r="I12" i="19" s="1"/>
  <c r="K11" i="19"/>
  <c r="L11" i="19" s="1"/>
  <c r="H11" i="19"/>
  <c r="I11" i="19" s="1"/>
  <c r="K10" i="19"/>
  <c r="L10" i="19" s="1"/>
  <c r="H10" i="19"/>
  <c r="I10" i="19" s="1"/>
  <c r="K9" i="19"/>
  <c r="L9" i="19" s="1"/>
  <c r="H9" i="19"/>
  <c r="I9" i="19" s="1"/>
  <c r="K8" i="19"/>
  <c r="L8" i="19" s="1"/>
  <c r="H8" i="19"/>
  <c r="I8" i="19" s="1"/>
  <c r="K7" i="19"/>
  <c r="L7" i="19" s="1"/>
  <c r="H7" i="19"/>
  <c r="I7" i="19" s="1"/>
  <c r="K6" i="19"/>
  <c r="L6" i="19" s="1"/>
  <c r="H6" i="19"/>
  <c r="I6" i="19" s="1"/>
  <c r="K5" i="19"/>
  <c r="L5" i="19" s="1"/>
  <c r="H5" i="19"/>
  <c r="I5" i="19" s="1"/>
  <c r="K4" i="19"/>
  <c r="L4" i="19" s="1"/>
  <c r="H4" i="19"/>
  <c r="I4" i="19" s="1"/>
  <c r="J2" i="19"/>
  <c r="G2" i="19"/>
  <c r="C2" i="19"/>
  <c r="A1" i="19" a="1"/>
  <c r="A1" i="19" s="1"/>
  <c r="J4" i="20"/>
  <c r="K4" i="20" s="1"/>
  <c r="G4" i="20"/>
  <c r="H4" i="20" s="1"/>
  <c r="I2" i="20"/>
  <c r="F2" i="20"/>
  <c r="C2" i="20"/>
  <c r="A1" i="20" a="1"/>
  <c r="A1" i="20" s="1"/>
  <c r="J15" i="21"/>
  <c r="K15" i="21" s="1"/>
  <c r="G15" i="21"/>
  <c r="H15" i="21" s="1"/>
  <c r="J14" i="21"/>
  <c r="K14" i="21" s="1"/>
  <c r="G14" i="21"/>
  <c r="H14" i="21" s="1"/>
  <c r="J13" i="21"/>
  <c r="K13" i="21" s="1"/>
  <c r="G13" i="21"/>
  <c r="H13" i="21" s="1"/>
  <c r="J12" i="21"/>
  <c r="K12" i="21" s="1"/>
  <c r="G12" i="21"/>
  <c r="H12" i="21" s="1"/>
  <c r="J11" i="21"/>
  <c r="K11" i="21" s="1"/>
  <c r="G11" i="21"/>
  <c r="H11" i="21" s="1"/>
  <c r="J10" i="21"/>
  <c r="K10" i="21" s="1"/>
  <c r="G10" i="21"/>
  <c r="H10" i="21" s="1"/>
  <c r="J9" i="21"/>
  <c r="K9" i="21" s="1"/>
  <c r="G9" i="21"/>
  <c r="H9" i="21" s="1"/>
  <c r="J8" i="21"/>
  <c r="K8" i="21" s="1"/>
  <c r="G8" i="21"/>
  <c r="H8" i="21" s="1"/>
  <c r="J7" i="21"/>
  <c r="K7" i="21" s="1"/>
  <c r="G7" i="21"/>
  <c r="H7" i="21" s="1"/>
  <c r="J6" i="21"/>
  <c r="K6" i="21" s="1"/>
  <c r="G6" i="21"/>
  <c r="H6" i="21" s="1"/>
  <c r="J5" i="21"/>
  <c r="K5" i="21" s="1"/>
  <c r="G5" i="21"/>
  <c r="H5" i="21" s="1"/>
  <c r="J4" i="21"/>
  <c r="K4" i="21" s="1"/>
  <c r="G4" i="21"/>
  <c r="H4" i="21" s="1"/>
  <c r="I2" i="21"/>
  <c r="F2" i="21"/>
  <c r="C2" i="21"/>
  <c r="A1" i="21" a="1"/>
  <c r="A1" i="21" s="1"/>
  <c r="K15" i="4"/>
  <c r="L15" i="4" s="1"/>
  <c r="H15" i="4"/>
  <c r="I15" i="4" s="1"/>
  <c r="K14" i="4"/>
  <c r="L14" i="4" s="1"/>
  <c r="H14" i="4"/>
  <c r="I14" i="4" s="1"/>
  <c r="K13" i="4"/>
  <c r="L13" i="4" s="1"/>
  <c r="H13" i="4"/>
  <c r="I13" i="4" s="1"/>
  <c r="K12" i="4"/>
  <c r="L12" i="4" s="1"/>
  <c r="H12" i="4"/>
  <c r="I12" i="4" s="1"/>
  <c r="K11" i="4"/>
  <c r="L11" i="4" s="1"/>
  <c r="H11" i="4"/>
  <c r="I11" i="4" s="1"/>
  <c r="K10" i="4"/>
  <c r="L10" i="4" s="1"/>
  <c r="H10" i="4"/>
  <c r="I10" i="4" s="1"/>
  <c r="K9" i="4"/>
  <c r="L9" i="4" s="1"/>
  <c r="H9" i="4"/>
  <c r="I9" i="4" s="1"/>
  <c r="K8" i="4"/>
  <c r="L8" i="4" s="1"/>
  <c r="H8" i="4"/>
  <c r="I8" i="4" s="1"/>
  <c r="K7" i="4"/>
  <c r="L7" i="4" s="1"/>
  <c r="H7" i="4"/>
  <c r="I7" i="4" s="1"/>
  <c r="K6" i="4"/>
  <c r="L6" i="4" s="1"/>
  <c r="H6" i="4"/>
  <c r="I6" i="4" s="1"/>
  <c r="K5" i="4"/>
  <c r="L5" i="4" s="1"/>
  <c r="H5" i="4"/>
  <c r="I5" i="4" s="1"/>
  <c r="K4" i="4"/>
  <c r="L4" i="4" s="1"/>
  <c r="H4" i="4"/>
  <c r="I4" i="4" s="1"/>
  <c r="J2" i="4"/>
  <c r="G2" i="4"/>
  <c r="C2" i="4"/>
  <c r="A1" i="4" a="1"/>
  <c r="A1" i="4" s="1"/>
  <c r="I2" i="3"/>
  <c r="F2" i="3"/>
  <c r="C2" i="3"/>
  <c r="L2" i="3" s="1"/>
  <c r="A1" i="3" a="1"/>
  <c r="A1" i="3" s="1"/>
  <c r="G5" i="72"/>
  <c r="H5" i="72" s="1"/>
  <c r="G6" i="72"/>
  <c r="H6" i="72" s="1"/>
  <c r="G7" i="72"/>
  <c r="H7" i="72" s="1"/>
  <c r="G8" i="72"/>
  <c r="H8" i="72" s="1"/>
  <c r="G9" i="72"/>
  <c r="H9" i="72" s="1"/>
  <c r="G10" i="72"/>
  <c r="H10" i="72" s="1"/>
  <c r="G11" i="72"/>
  <c r="H11" i="72" s="1"/>
  <c r="G12" i="72"/>
  <c r="H12" i="72" s="1"/>
  <c r="G13" i="72"/>
  <c r="H13" i="72" s="1"/>
  <c r="G14" i="72"/>
  <c r="H14" i="72" s="1"/>
  <c r="G15" i="72"/>
  <c r="H15" i="72" s="1"/>
  <c r="J6" i="72"/>
  <c r="K6" i="72" s="1"/>
  <c r="J7" i="72"/>
  <c r="K7" i="72" s="1"/>
  <c r="J8" i="72"/>
  <c r="K8" i="72" s="1"/>
  <c r="J9" i="72"/>
  <c r="K9" i="72" s="1"/>
  <c r="J10" i="72"/>
  <c r="K10" i="72" s="1"/>
  <c r="J11" i="72"/>
  <c r="K11" i="72" s="1"/>
  <c r="J12" i="72"/>
  <c r="K12" i="72" s="1"/>
  <c r="J13" i="72"/>
  <c r="K13" i="72" s="1"/>
  <c r="J14" i="72"/>
  <c r="K14" i="72" s="1"/>
  <c r="J15" i="72"/>
  <c r="K15" i="72" s="1"/>
  <c r="J5" i="72"/>
  <c r="K5" i="72" s="1"/>
  <c r="J4" i="72"/>
  <c r="K4" i="72" s="1"/>
  <c r="I2" i="72"/>
  <c r="F2" i="72"/>
  <c r="C2" i="72"/>
  <c r="L2" i="72" s="1"/>
  <c r="G4" i="72"/>
  <c r="H4" i="72" s="1"/>
  <c r="A1" i="72" a="1"/>
  <c r="A1" i="72" s="1"/>
  <c r="G2" i="27" l="1"/>
  <c r="H2" i="27" s="1"/>
  <c r="E2" i="27"/>
  <c r="G19" i="34"/>
  <c r="H16" i="29"/>
  <c r="H15" i="29"/>
  <c r="E18" i="29"/>
  <c r="F18" i="29" s="1"/>
  <c r="G15" i="34"/>
  <c r="G14" i="34"/>
  <c r="G18" i="34"/>
  <c r="I15" i="29"/>
  <c r="I21" i="29"/>
  <c r="H6" i="29"/>
  <c r="I6" i="29" s="1"/>
  <c r="G6" i="34"/>
  <c r="G2" i="29"/>
  <c r="H17" i="29"/>
  <c r="I17" i="29" s="1"/>
  <c r="G11" i="34"/>
  <c r="I16" i="29"/>
  <c r="G17" i="34"/>
  <c r="H9" i="29"/>
  <c r="I9" i="29" s="1"/>
  <c r="G13" i="34"/>
  <c r="G12" i="34"/>
  <c r="H12" i="29"/>
  <c r="I12" i="29" s="1"/>
  <c r="G10" i="34"/>
  <c r="H7" i="29"/>
  <c r="I7" i="29" s="1"/>
  <c r="G9" i="34"/>
  <c r="G5" i="34"/>
  <c r="G20" i="34"/>
  <c r="K22" i="72"/>
  <c r="H22" i="1"/>
  <c r="E9" i="29"/>
  <c r="F9" i="29" s="1"/>
  <c r="E16" i="29"/>
  <c r="F16" i="29" s="1"/>
  <c r="H13" i="29"/>
  <c r="I13" i="29" s="1"/>
  <c r="E8" i="29"/>
  <c r="F8" i="29" s="1"/>
  <c r="E14" i="29"/>
  <c r="F14" i="29" s="1"/>
  <c r="E10" i="29"/>
  <c r="F10" i="29" s="1"/>
  <c r="E19" i="29"/>
  <c r="F19" i="29" s="1"/>
  <c r="H20" i="29"/>
  <c r="I20" i="29" s="1"/>
  <c r="K16" i="26"/>
  <c r="B4" i="26"/>
  <c r="E6" i="29"/>
  <c r="F6" i="29" s="1"/>
  <c r="E12" i="29"/>
  <c r="F12" i="29" s="1"/>
  <c r="K18" i="26"/>
  <c r="E17" i="29"/>
  <c r="F17" i="29" s="1"/>
  <c r="K17" i="26"/>
  <c r="E20" i="29"/>
  <c r="F20" i="29" s="1"/>
  <c r="E5" i="29"/>
  <c r="F5" i="29" s="1"/>
  <c r="H19" i="29"/>
  <c r="I19" i="29" s="1"/>
  <c r="E11" i="29"/>
  <c r="F11" i="29" s="1"/>
  <c r="H10" i="29"/>
  <c r="I10" i="29" s="1"/>
  <c r="D2" i="29"/>
  <c r="G8" i="34"/>
  <c r="E19" i="18"/>
  <c r="F19" i="18" s="1"/>
  <c r="G21" i="34"/>
  <c r="I21" i="34" s="1"/>
  <c r="H17" i="18"/>
  <c r="I17" i="18" s="1"/>
  <c r="G16" i="34"/>
  <c r="G2" i="18"/>
  <c r="G7" i="34"/>
  <c r="G4" i="34"/>
  <c r="D2" i="18"/>
  <c r="E7" i="18"/>
  <c r="F7" i="18" s="1"/>
  <c r="E11" i="18"/>
  <c r="F11" i="18" s="1"/>
  <c r="E15" i="18"/>
  <c r="F15" i="18" s="1"/>
  <c r="E4" i="18"/>
  <c r="F4" i="18" s="1"/>
  <c r="E8" i="18"/>
  <c r="F8" i="18" s="1"/>
  <c r="E12" i="18"/>
  <c r="F12" i="18" s="1"/>
  <c r="E20" i="18"/>
  <c r="F20" i="18" s="1"/>
  <c r="E16" i="18"/>
  <c r="F16" i="18" s="1"/>
  <c r="E5" i="18"/>
  <c r="F5" i="18" s="1"/>
  <c r="E9" i="18"/>
  <c r="F9" i="18" s="1"/>
  <c r="E13" i="18"/>
  <c r="F13" i="18" s="1"/>
  <c r="E21" i="18"/>
  <c r="F21" i="18" s="1"/>
  <c r="E18" i="18"/>
  <c r="F18" i="18" s="1"/>
  <c r="K21" i="21"/>
  <c r="K19" i="21"/>
  <c r="K17" i="21"/>
  <c r="H20" i="18"/>
  <c r="I20" i="18" s="1"/>
  <c r="H18" i="18"/>
  <c r="I18" i="18" s="1"/>
  <c r="H16" i="18"/>
  <c r="I16" i="18" s="1"/>
  <c r="H22" i="34"/>
  <c r="I22" i="34" s="1"/>
  <c r="I22" i="1"/>
  <c r="E22" i="34"/>
  <c r="F22" i="34" s="1"/>
  <c r="E22" i="1"/>
  <c r="F22" i="1" s="1"/>
  <c r="H21" i="34"/>
  <c r="E20" i="1"/>
  <c r="F20" i="1" s="1"/>
  <c r="E20" i="34"/>
  <c r="F20" i="34" s="1"/>
  <c r="H17" i="34"/>
  <c r="H18" i="34"/>
  <c r="E17" i="1"/>
  <c r="F17" i="1" s="1"/>
  <c r="H16" i="1"/>
  <c r="I16" i="1" s="1"/>
  <c r="H2" i="32"/>
  <c r="I2" i="32" s="1"/>
  <c r="J2" i="32"/>
  <c r="H2" i="31"/>
  <c r="I2" i="31" s="1"/>
  <c r="J2" i="31"/>
  <c r="H2" i="28"/>
  <c r="I2" i="28" s="1"/>
  <c r="J2" i="28"/>
  <c r="E2" i="28"/>
  <c r="F2" i="28" s="1"/>
  <c r="J2" i="27"/>
  <c r="K2" i="27" s="1"/>
  <c r="L2" i="27"/>
  <c r="J2" i="26"/>
  <c r="K2" i="26" s="1"/>
  <c r="L2" i="26"/>
  <c r="K2" i="19"/>
  <c r="L2" i="19" s="1"/>
  <c r="M2" i="19"/>
  <c r="G2" i="20"/>
  <c r="H2" i="20" s="1"/>
  <c r="L2" i="20"/>
  <c r="J2" i="20"/>
  <c r="K2" i="20" s="1"/>
  <c r="J2" i="21"/>
  <c r="K2" i="21" s="1"/>
  <c r="L2" i="21"/>
  <c r="K2" i="4"/>
  <c r="L2" i="4" s="1"/>
  <c r="M2" i="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18" i="34"/>
  <c r="K20" i="72"/>
  <c r="K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K18" i="72"/>
  <c r="K19" i="72"/>
  <c r="H18" i="1"/>
  <c r="I18" i="1" s="1"/>
  <c r="K17" i="72"/>
  <c r="H16" i="34"/>
  <c r="I16" i="34" s="1"/>
  <c r="H2" i="33"/>
  <c r="I2" i="33" s="1"/>
  <c r="E4" i="30"/>
  <c r="F4" i="30" s="1"/>
  <c r="D4" i="34"/>
  <c r="D2" i="34" s="1"/>
  <c r="J2" i="33"/>
  <c r="J2" i="3"/>
  <c r="K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K6" i="26"/>
  <c r="K9" i="26"/>
  <c r="K12" i="26"/>
  <c r="K15" i="26"/>
  <c r="H14" i="29"/>
  <c r="I14" i="29" s="1"/>
  <c r="H4" i="29"/>
  <c r="I4" i="29" s="1"/>
  <c r="E15" i="29"/>
  <c r="F15" i="29" s="1"/>
  <c r="H5" i="29"/>
  <c r="I5" i="29" s="1"/>
  <c r="K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H10" i="34"/>
  <c r="H11" i="34"/>
  <c r="H12" i="34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G2" i="3"/>
  <c r="H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G2" i="26"/>
  <c r="H2" i="26" s="1"/>
  <c r="H2" i="19"/>
  <c r="I2" i="19" s="1"/>
  <c r="G2" i="21"/>
  <c r="H2" i="21" s="1"/>
  <c r="H2" i="4"/>
  <c r="I2" i="4" s="1"/>
  <c r="J2" i="72"/>
  <c r="I6" i="34" l="1"/>
  <c r="I5" i="34"/>
  <c r="I11" i="34"/>
  <c r="I10" i="34"/>
  <c r="I12" i="34"/>
  <c r="I9" i="34"/>
  <c r="I17" i="34"/>
  <c r="E2" i="29"/>
  <c r="F2" i="29" s="1"/>
  <c r="G2" i="34"/>
  <c r="I7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K2" i="72"/>
  <c r="G2" i="72"/>
  <c r="H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<sst xmlns="http://schemas.openxmlformats.org/spreadsheetml/2006/main" count="396" uniqueCount="171">
  <si>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</si>
  <si>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</si>
  <si>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</si>
  <si>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</si>
  <si>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</si>
  <si>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</si>
  <si>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</si>
  <si>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</si>
  <si>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</si>
  <si>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</si>
  <si>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</si>
  <si>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</si>
  <si>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</si>
  <si>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</si>
  <si>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</si>
  <si>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</si>
  <si>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</si>
  <si>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</si>
  <si>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PPA Modeled Output</t>
  </si>
  <si>
    <t>Production VS Acual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</si>
  <si>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</si>
  <si>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</si>
  <si>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</si>
  <si>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</si>
  <si>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</si>
  <si>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</si>
  <si>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</si>
  <si>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</si>
  <si>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</si>
  <si>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</si>
  <si>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</si>
  <si>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</si>
  <si>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</si>
  <si>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</si>
  <si>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</si>
  <si>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</si>
  <si>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</si>
  <si>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</si>
  <si>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</si>
  <si>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</si>
  <si>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</si>
  <si>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</si>
  <si>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</si>
  <si>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</si>
  <si>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</si>
  <si>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</si>
  <si>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Q1 Production Vs PPA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</si>
  <si>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</si>
  <si>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</si>
  <si>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</si>
  <si>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</si>
  <si>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</si>
  <si>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</si>
  <si>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</si>
  <si>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</si>
  <si>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</si>
  <si>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</si>
  <si>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</si>
  <si>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</si>
  <si>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</si>
  <si>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</si>
  <si>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</si>
  <si>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</si>
  <si>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</si>
  <si>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</si>
  <si>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</si>
  <si>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</si>
  <si>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</si>
  <si>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</si>
  <si>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1. Inverter 2 tripped offline at 17:30 on 05/04 and back online at 07:00AM on 05/05</t>
  </si>
  <si>
    <t>1. SR084272</t>
  </si>
  <si>
    <t>1. Inverter 2.3 derating approximately 40kW during the peak hours on 05/08.</t>
  </si>
  <si>
    <t>1. SR084482</t>
  </si>
  <si>
    <t>1. Inverter 1 has heavy evening shading based on previous history</t>
  </si>
  <si>
    <t>1. SR085819</t>
  </si>
  <si>
    <t>1. Site is underperforming due damaged array1B, and site was taken offline since 05/29 for repair work.</t>
  </si>
  <si>
    <t>1. SR085283</t>
  </si>
  <si>
    <t>Q2 Production Vs PPA</t>
  </si>
  <si>
    <t>June Actual v. Expected</t>
  </si>
  <si>
    <t>June Actual v. Forecasted</t>
  </si>
  <si>
    <t>1. Inverters 5.1 &amp; 5.2 tripped offline due to ground fault at 10:40 on 06/06. Inverters 5.1 &amp; 5.2 again tripped offline at 12:15 on 06/30 and is still offline</t>
  </si>
  <si>
    <t>1. SR087140,
    SR085709,
    SR085708</t>
  </si>
  <si>
    <t>1. Inverter 3 tripped offline on are fault at 17:30 on 06/19 and back online at 10:25 on 06/24
2. Inverter 1 &amp; 4 tripped offline at 16:20 on 06/24 and back online the next day</t>
  </si>
  <si>
    <t>1. SR086466
2. SR086881</t>
  </si>
  <si>
    <t>1. Inverter 1 having heavy evening shading based on previous history</t>
  </si>
  <si>
    <t>1. Site tripped offline at 16:50 on 06/29 due to utility outage and was reenergized at 14:10 on 07/03</t>
  </si>
  <si>
    <t>1. SR087130</t>
  </si>
  <si>
    <t>1. Weather station reporting errenous values from 06/08 due to vehicle strike.
2. Inverter 3 is offline from 06/19</t>
  </si>
  <si>
    <t>1. SR086110
2. SR086446</t>
  </si>
  <si>
    <t>1. Site was offline from 05/28 and was renergized at 13:50 on 06/21</t>
  </si>
  <si>
    <t>1. Inverter 5.5 is still offline</t>
  </si>
  <si>
    <t xml:space="preserve"> - </t>
  </si>
  <si>
    <t>1. Expected value is unavailable</t>
  </si>
  <si>
    <t>July Actual v. Expected</t>
  </si>
  <si>
    <t>July Actual v. Forecasted</t>
  </si>
  <si>
    <t>1. Inverter 5.1 was offline for whole month
2. Inverter 5.2 was offline for whole month</t>
  </si>
  <si>
    <t>1. SR085709, SR087140
2. SR085708, SR087823</t>
  </si>
  <si>
    <t>1. Inverter 4 was offline on 07/17/2024
2. Inverters 3 &amp; 4 were offline on 07/28/2024
3. Inverter 2 was offline from 07/29 late noon to 08/05</t>
  </si>
  <si>
    <t>1. SR087818
2. SR088317
3. SR088445</t>
  </si>
  <si>
    <t>1. Site has tripped offline at 4:45PM PDT on 06/29/2024 and back online at 5:30PM on 07/03</t>
  </si>
  <si>
    <t xml:space="preserve">1.  Inverter 3 is offline from 06/19
2. Weather station reporting errenous values from 06/08 due to vehicle strike.
</t>
  </si>
  <si>
    <t>1. SR086446
2. SR086110, SR088423, SR087347</t>
  </si>
  <si>
    <t>1. Inverter 9 has produced 50% of its rated capacity till 07/11</t>
  </si>
  <si>
    <t>1. SR087396</t>
  </si>
  <si>
    <t>1. Inverter 5.5 was offline for whole month</t>
  </si>
  <si>
    <t>1. SR087816</t>
  </si>
  <si>
    <t>August Actual v. Expected</t>
  </si>
  <si>
    <t>August Actual v. Forecasted</t>
  </si>
  <si>
    <t>1.SR085709,SR087140
2.SR085708,SR087823</t>
  </si>
  <si>
    <t>1.Inverters 3 &amp; 4 are offline on 08/18 and back online on 08/19</t>
  </si>
  <si>
    <t>1.SR089239</t>
  </si>
  <si>
    <t>1.Inverter 5 is offline on 08/24
2.Meter is failing to capture full production of inverters due to drop in phase B currents on 08/26 and back to normal production on 08/27</t>
  </si>
  <si>
    <t>1.SR089498
2.SR089523</t>
  </si>
  <si>
    <t>1. Inverter 3 is offline throughout the month</t>
  </si>
  <si>
    <t>1. SR086446</t>
  </si>
  <si>
    <t>1. Inverters 3.2, 4.2, 6.3 and 6.4 are tripped offline on 08/18 at 11:00 and back online online on 08/19 07:00</t>
  </si>
  <si>
    <t>1.SR089232</t>
  </si>
  <si>
    <t>1.Inverter 43 has tripped offline on 08/24 at 17:35 and back online on 08/27 at 17:15</t>
  </si>
  <si>
    <t>1.SR089503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</si>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</sst>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  <font>
      <sz val="12"/>
      <name val="Calibri"/>
      <family val="2"/>
    </font>
    <font>
      <b/>
      <sz val="9"/>
      <color rgb="FF000000"/>
      <name val="Arial"/>
      <charset val="1"/>
    </font>
    <font>
      <b/>
      <sz val="10"/>
      <color theme="8" tint="0.39997558519241921"/>
      <name val="Arial"/>
      <family val="2"/>
    </font>
    <font>
      <b/>
      <sz val="11"/>
      <color theme="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9C4DD"/>
        <bgColor indexed="64"/>
      </patternFill>
    </fill>
    <fill>
      <patternFill patternType="solid">
        <fgColor rgb="FFAEF8F8"/>
        <bgColor theme="4" tint="0.79998168889431442"/>
      </patternFill>
    </fill>
    <fill>
      <patternFill patternType="solid">
        <fgColor rgb="FF36FFFC"/>
        <bgColor indexed="64"/>
      </patternFill>
    </fill>
    <fill>
      <patternFill patternType="solid">
        <fgColor rgb="FFAEF8F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9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3" fontId="23" fillId="0" borderId="0" xfId="0" applyNumberFormat="1" applyFont="1"/>
    <xf numFmtId="49" fontId="28" fillId="0" borderId="0" xfId="0" applyNumberFormat="1" applyFont="1" applyAlignment="1">
      <alignment vertical="top" wrapText="1"/>
    </xf>
    <xf numFmtId="49" fontId="30" fillId="38" borderId="0" xfId="2" applyNumberFormat="1" applyFont="1" applyFill="1" applyAlignment="1">
      <alignment vertical="top" wrapText="1"/>
    </xf>
    <xf numFmtId="9" fontId="25" fillId="36" borderId="12" xfId="2" applyFont="1" applyFill="1" applyBorder="1" applyAlignment="1">
      <alignment horizontal="center" vertical="center"/>
    </xf>
    <xf numFmtId="0" fontId="38" fillId="46" borderId="1" xfId="0" applyFont="1" applyFill="1" applyBorder="1" applyAlignment="1">
      <alignment horizontal="center" vertical="center" wrapText="1"/>
    </xf>
    <xf numFmtId="9" fontId="38" fillId="46" borderId="13" xfId="2" applyFont="1" applyFill="1" applyBorder="1" applyAlignment="1">
      <alignment horizontal="center" vertical="center" wrapText="1"/>
    </xf>
    <xf numFmtId="164" fontId="28" fillId="47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Alignment="1">
      <alignment horizontal="center" vertical="center"/>
    </xf>
    <xf numFmtId="9" fontId="32" fillId="0" borderId="0" xfId="0" applyNumberFormat="1" applyFont="1"/>
    <xf numFmtId="0" fontId="3" fillId="48" borderId="1" xfId="0" applyFont="1" applyFill="1" applyBorder="1" applyAlignment="1">
      <alignment horizontal="center" vertical="center" wrapText="1"/>
    </xf>
    <xf numFmtId="0" fontId="3" fillId="48" borderId="11" xfId="0" applyFont="1" applyFill="1" applyBorder="1" applyAlignment="1">
      <alignment horizontal="center" vertical="center" wrapText="1"/>
    </xf>
    <xf numFmtId="0" fontId="39" fillId="48" borderId="1" xfId="0" applyFont="1" applyFill="1" applyBorder="1" applyAlignment="1">
      <alignment horizontal="center" vertical="center" wrapText="1"/>
    </xf>
    <xf numFmtId="0" fontId="29" fillId="46" borderId="1" xfId="0" applyFont="1" applyFill="1" applyBorder="1" applyAlignment="1">
      <alignment horizontal="center" vertical="center" wrapText="1"/>
    </xf>
    <xf numFmtId="164" fontId="28" fillId="49" borderId="0" xfId="1" applyNumberFormat="1" applyFont="1" applyFill="1" applyBorder="1" applyAlignment="1">
      <alignment horizontal="center" vertical="center"/>
    </xf>
    <xf numFmtId="9" fontId="28" fillId="49" borderId="0" xfId="1" applyNumberFormat="1" applyFont="1" applyFill="1" applyBorder="1" applyAlignment="1">
      <alignment horizontal="center" vertical="center"/>
    </xf>
    <xf numFmtId="9" fontId="28" fillId="0" borderId="0" xfId="1" applyNumberFormat="1" applyFont="1" applyBorder="1" applyAlignment="1">
      <alignment horizontal="center" vertical="center"/>
    </xf>
    <xf numFmtId="9" fontId="28" fillId="0" borderId="0" xfId="1" applyNumberFormat="1" applyFont="1" applyFill="1" applyBorder="1" applyAlignment="1">
      <alignment horizontal="center" vertical="center"/>
    </xf>
    <xf numFmtId="9" fontId="28" fillId="47" borderId="0" xfId="1" applyNumberFormat="1" applyFont="1" applyFill="1" applyBorder="1" applyAlignment="1">
      <alignment horizontal="center" vertical="center"/>
    </xf>
    <xf numFmtId="9" fontId="29" fillId="46" borderId="1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0</v>
      </c>
      <c r="E1" s="88"/>
      <c r="F1" s="88"/>
      <c r="G1" s="86" t="s">
        <v>1</v>
      </c>
      <c r="H1" s="86"/>
      <c r="I1" s="86"/>
    </row>
    <row r="2" spans="1:9" ht="19.5" customHeight="1">
      <c r="A2" s="89" t="s">
        <v>2</v>
      </c>
      <c r="B2" s="89"/>
      <c r="C2" s="6">
        <f>SUM(C4:C100)</f>
        <v>3998283.12</v>
      </c>
      <c r="D2" s="6">
        <f>SUM(D4:D100)</f>
        <v>4194441.3499999996</v>
      </c>
      <c r="E2" s="6">
        <f>C2-D2</f>
        <v>-196158.22999999952</v>
      </c>
      <c r="F2" s="7">
        <f>IFERROR(E2/D2, 0)</f>
        <v>-4.6766235031513677E-2</v>
      </c>
      <c r="G2" s="6">
        <f>SUM(G4:G100)</f>
        <v>14740223.627905613</v>
      </c>
      <c r="H2" s="8">
        <f>C2-G2</f>
        <v>-10741940.507905614</v>
      </c>
      <c r="I2" s="7">
        <f>IFERROR(H2/G2, 0)</f>
        <v>-0.72875017225446925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461871.5</v>
      </c>
      <c r="D4" s="14">
        <f>SUM('1st Qtr'!D4, '2nd Qtr'!D4, '3rd Qtr'!D4, '4th Qtr'!D4)</f>
        <v>483886</v>
      </c>
      <c r="E4" s="14">
        <f>IF(AND(ISNUMBER(C4),ISNUMBER(D4)), C4-D4, "")</f>
        <v>-22014.5</v>
      </c>
      <c r="F4" s="15">
        <f>IFERROR(E4/D4, "")</f>
        <v>-4.5495219948500268E-2</v>
      </c>
      <c r="G4" s="16">
        <f>SUM('1st Qtr'!G4,'2nd Qtr'!G4,'3rd Qtr'!G4,'4th Qtr'!G4)</f>
        <v>408707.08165815362</v>
      </c>
      <c r="H4" s="16">
        <f>SUM('1st Qtr'!H4, '2nd Qtr'!H4, '3rd Qtr'!H4, '4th Qtr'!H4)</f>
        <v>-19219.764000000003</v>
      </c>
      <c r="I4" s="17">
        <f>IFERROR(H4/G4, "")</f>
        <v>-4.7025767016377736E-2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1430803.2083000618</v>
      </c>
      <c r="H5" s="22">
        <f>SUM(Jan!J5, Feb!J5, Mar!K5)</f>
        <v>-12055.933000000005</v>
      </c>
      <c r="I5" s="21">
        <f>IFERROR(H5/G5, "")</f>
        <v>-8.4259896330003813E-3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612284.43955936877</v>
      </c>
      <c r="H6" s="16">
        <f>SUM(Jan!J6, Feb!J6, Mar!K6)</f>
        <v>-23438.829999999994</v>
      </c>
      <c r="I6" s="17">
        <f t="shared" ref="I6:I15" si="2">IFERROR(H6/G6, "")</f>
        <v>-3.8280949972969713E-2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941082.86296598683</v>
      </c>
      <c r="H7" s="22">
        <f>SUM(Jan!J7, Feb!J7, Mar!K7)</f>
        <v>-15943.910999999986</v>
      </c>
      <c r="I7" s="21">
        <f t="shared" si="2"/>
        <v>-1.6942090465604662E-2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SUM('1st Qtr'!G8,'2nd Qtr'!G8,'3rd Qtr'!G8,'4th Qtr'!G8)</f>
        <v>498092.22617652139</v>
      </c>
      <c r="H8" s="16">
        <f>SUM(Jan!J8, Feb!J8, Mar!K8)</f>
        <v>-25538.638000000003</v>
      </c>
      <c r="I8" s="17">
        <f t="shared" si="2"/>
        <v>-5.1272910231988315E-2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SUM(Jan!F9, Feb!F9, Mar!G9)</f>
        <v>265872</v>
      </c>
      <c r="E9" s="20">
        <f t="shared" si="0"/>
        <v>5041</v>
      </c>
      <c r="F9" s="21">
        <f t="shared" si="1"/>
        <v>1.8960251549617863E-2</v>
      </c>
      <c r="G9" s="22">
        <f>SUM('1st Qtr'!G9,'2nd Qtr'!G9,'3rd Qtr'!G9,'4th Qtr'!G9)</f>
        <v>1014642.0968605963</v>
      </c>
      <c r="H9" s="22">
        <f>SUM(Jan!J9, Feb!J9, Mar!K9)</f>
        <v>-14907.300999999999</v>
      </c>
      <c r="I9" s="21">
        <f t="shared" si="2"/>
        <v>-1.4692176725295228E-2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385062.74925146566</v>
      </c>
      <c r="H10" s="16">
        <f>SUM(Jan!J10, Feb!J10, Mar!K10)</f>
        <v>-1747.5489999999991</v>
      </c>
      <c r="I10" s="17">
        <f t="shared" si="2"/>
        <v>-4.5383486286250975E-3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SUM(Jan!F11, Feb!F11, Mar!G11)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SUM('1st Qtr'!G11,'2nd Qtr'!G11,'3rd Qtr'!G11,'4th Qtr'!G11)</f>
        <v>242329.25289190159</v>
      </c>
      <c r="H11" s="22">
        <f>SUM(Jan!J11, Feb!J11, Mar!K11)</f>
        <v>-2931.1799999999985</v>
      </c>
      <c r="I11" s="21">
        <f>IFERROR(H11/G11, 0)</f>
        <v>-1.2095857041690057E-2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SUM(Jan!F12, Feb!F12, Mar!G12)</f>
        <v>76672</v>
      </c>
      <c r="E12" s="14">
        <f t="shared" si="0"/>
        <v>-13200</v>
      </c>
      <c r="F12" s="15">
        <f t="shared" si="1"/>
        <v>-0.1721619365609349</v>
      </c>
      <c r="G12" s="16">
        <f>SUM('1st Qtr'!G12,'2nd Qtr'!G12,'3rd Qtr'!G12,'4th Qtr'!G12)</f>
        <v>273969.94433038554</v>
      </c>
      <c r="H12" s="16">
        <f>SUM(Jan!J12, Feb!J12, Mar!K12)</f>
        <v>-13216.069000000001</v>
      </c>
      <c r="I12" s="17">
        <f t="shared" si="2"/>
        <v>-4.8239119923543489E-2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SUM(Jan!F13, Feb!F13, Mar!G13)</f>
        <v>174957</v>
      </c>
      <c r="E13" s="20">
        <f t="shared" si="0"/>
        <v>-20874</v>
      </c>
      <c r="F13" s="21">
        <f t="shared" si="1"/>
        <v>-0.11930931600336082</v>
      </c>
      <c r="G13" s="22">
        <f>SUM('1st Qtr'!G13,'2nd Qtr'!G13,'3rd Qtr'!G13,'4th Qtr'!G13)</f>
        <v>503406.49645108095</v>
      </c>
      <c r="H13" s="22">
        <f>SUM(Jan!J13, Feb!J13, Mar!K13)</f>
        <v>-24742.415999999997</v>
      </c>
      <c r="I13" s="21">
        <f t="shared" si="2"/>
        <v>-4.914997357886574E-2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925839.73801445391</v>
      </c>
      <c r="H14" s="16">
        <f>SUM(Jan!J14, Feb!J14, Mar!K14)</f>
        <v>-37017.828999999991</v>
      </c>
      <c r="I14" s="17">
        <f t="shared" si="2"/>
        <v>-3.9982977053229576E-2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SUM(Jan!F15, Feb!F15, Mar!G15)</f>
        <v>375511</v>
      </c>
      <c r="E15" s="20">
        <f t="shared" si="0"/>
        <v>-5736</v>
      </c>
      <c r="F15" s="21">
        <f t="shared" si="1"/>
        <v>-1.5275185014553501E-2</v>
      </c>
      <c r="G15" s="22">
        <f>SUM('1st Qtr'!G15,'2nd Qtr'!G15,'3rd Qtr'!G15,'4th Qtr'!G15)</f>
        <v>1340935.7452714629</v>
      </c>
      <c r="H15" s="22">
        <f>SUM(Jan!J15, Feb!J15, Mar!K15)</f>
        <v>-11520.01999999999</v>
      </c>
      <c r="I15" s="21">
        <f t="shared" si="2"/>
        <v>-8.5910305848904359E-3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SUM(Jan!F16, Feb!F16, Mar!G16)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SUM('1st Qtr'!G16,'2nd Qtr'!G16,'3rd Qtr'!G16,'4th Qtr'!G16)</f>
        <v>759394.92229860509</v>
      </c>
      <c r="H16" s="39">
        <f>SUM(Jan!J16, Feb!J16, Mar!K16)</f>
        <v>-3945.1810000000114</v>
      </c>
      <c r="I16" s="40">
        <f t="shared" ref="I16:I21" si="5">IFERROR(H16/G16, "")</f>
        <v>-5.1951637865293877E-3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SUM(Jan!F17, Feb!F17, Mar!G17)</f>
        <v>404674</v>
      </c>
      <c r="E17" s="20">
        <f t="shared" si="3"/>
        <v>-65058.5</v>
      </c>
      <c r="F17" s="43">
        <f t="shared" si="4"/>
        <v>-0.16076767966313626</v>
      </c>
      <c r="G17" s="44">
        <f>SUM('1st Qtr'!G17,'2nd Qtr'!G17,'3rd Qtr'!G17,'4th Qtr'!G17)</f>
        <v>1564941.9272596068</v>
      </c>
      <c r="H17" s="44">
        <f>SUM(Jan!J17, Feb!J17, Mar!K17)</f>
        <v>-60477.778999999995</v>
      </c>
      <c r="I17" s="43">
        <f t="shared" si="5"/>
        <v>-3.8645382264058538E-2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SUM(Jan!F18, Feb!F18, Mar!G18)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SUM('1st Qtr'!G18,'2nd Qtr'!G18,'3rd Qtr'!G18,'4th Qtr'!G18)</f>
        <v>251058.20068395766</v>
      </c>
      <c r="H18" s="39">
        <f>SUM(Jan!J18, Feb!J18, Mar!K18)</f>
        <v>-10260.123</v>
      </c>
      <c r="I18" s="40">
        <f t="shared" si="5"/>
        <v>-4.0867507900751117E-2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SUM(Jan!F19, Feb!F19, Mar!G19)</f>
        <v>148699</v>
      </c>
      <c r="E19" s="20">
        <f t="shared" si="3"/>
        <v>-39276</v>
      </c>
      <c r="F19" s="43">
        <f t="shared" si="4"/>
        <v>-0.26413089529855616</v>
      </c>
      <c r="G19" s="44">
        <f>SUM('1st Qtr'!G19,'2nd Qtr'!G19,'3rd Qtr'!G19,'4th Qtr'!G19)</f>
        <v>510983.87832326483</v>
      </c>
      <c r="H19" s="44">
        <f>SUM(Jan!J19, Feb!J19, Mar!K19)</f>
        <v>-24509.623000000003</v>
      </c>
      <c r="I19" s="43">
        <f t="shared" si="5"/>
        <v>-4.7965550460076216E-2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SUM(Jan!F20, Feb!F20, Mar!G20)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SUM('1st Qtr'!G20,'2nd Qtr'!G20,'3rd Qtr'!G20,'4th Qtr'!G20)</f>
        <v>311957.50179889449</v>
      </c>
      <c r="H20" s="39">
        <f>SUM(Jan!J20, Feb!J20, Mar!K20)</f>
        <v>-8645.6299999999974</v>
      </c>
      <c r="I20" s="40">
        <f t="shared" si="5"/>
        <v>-2.7714127565919094E-2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2204548.1727166669</v>
      </c>
      <c r="H21" s="44">
        <f>SUM(Jan!J21, Feb!J21, Mar!K21)</f>
        <v>6850.5810000000201</v>
      </c>
      <c r="I21" s="43">
        <f t="shared" si="5"/>
        <v>3.1074762097659412E-3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560183.18309317646</v>
      </c>
      <c r="H22" s="39">
        <f>SUM(Jan!J22, Feb!J22, Mar!K22)</f>
        <v>29908.895000000004</v>
      </c>
      <c r="I22" s="40">
        <f>IFERROR(H22/G22, 0)</f>
        <v>5.3391276108738867E-2</v>
      </c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10</v>
      </c>
      <c r="E1" s="88"/>
      <c r="F1" s="88"/>
      <c r="G1" s="86" t="s">
        <v>11</v>
      </c>
      <c r="H1" s="86"/>
      <c r="I1" s="86"/>
    </row>
    <row r="2" spans="1:9" ht="19.5" customHeight="1">
      <c r="A2" s="89" t="s">
        <v>2</v>
      </c>
      <c r="B2" s="89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SUM(Jan!F4, Feb!F4, Mar!G4)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SUM(Jan!I4, Feb!I4, Mar!J4)</f>
        <v>98098.310999999987</v>
      </c>
      <c r="H4" s="16">
        <f>SUM(Jan!J4, Feb!J4, Mar!K4)</f>
        <v>-3778.5609999999942</v>
      </c>
      <c r="I4" s="17">
        <f>IFERROR(H4/G4, "")</f>
        <v>-3.8518104557376066E-2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SUM(Jan!I5, Feb!I5, Mar!J5)</f>
        <v>374931.43299999996</v>
      </c>
      <c r="H5" s="22">
        <f>SUM(Jan!J5, Feb!J5, Mar!K5)</f>
        <v>-12055.933000000005</v>
      </c>
      <c r="I5" s="21">
        <f>IFERROR(H5/G5, "")</f>
        <v>-3.215503406458857E-2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SUM(Jan!I6, Feb!I6, Mar!J6)</f>
        <v>178228.83</v>
      </c>
      <c r="H6" s="16">
        <f>SUM(Jan!J6, Feb!J6, Mar!K6)</f>
        <v>-23438.829999999994</v>
      </c>
      <c r="I6" s="17">
        <f t="shared" ref="I6:I15" si="2">IFERROR(H6/G6, "")</f>
        <v>-0.13150975630598033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SUM(Jan!I7, Feb!I7, Mar!J7)</f>
        <v>242294.91099999996</v>
      </c>
      <c r="H7" s="22">
        <f>SUM(Jan!J7, Feb!J7, Mar!K7)</f>
        <v>-15943.910999999986</v>
      </c>
      <c r="I7" s="21">
        <f t="shared" si="2"/>
        <v>-6.5803738651366017E-2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SUM(Jan!I8, Feb!I8, Mar!J8)</f>
        <v>134522.13800000001</v>
      </c>
      <c r="H8" s="16">
        <f>SUM(Jan!J8, Feb!J8, Mar!K8)</f>
        <v>-25538.638000000003</v>
      </c>
      <c r="I8" s="17">
        <f t="shared" si="2"/>
        <v>-0.18984710159750806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SUM(Jan!F9, Feb!F9, Mar!G9)</f>
        <v>265872</v>
      </c>
      <c r="E9" s="20">
        <f t="shared" si="0"/>
        <v>5041</v>
      </c>
      <c r="F9" s="21">
        <f t="shared" si="1"/>
        <v>1.8960251549617863E-2</v>
      </c>
      <c r="G9" s="22">
        <f>SUM(Jan!I9, Feb!I9, Mar!J9)</f>
        <v>285820.30099999998</v>
      </c>
      <c r="H9" s="22">
        <f>SUM(Jan!J9, Feb!J9, Mar!K9)</f>
        <v>-14907.300999999999</v>
      </c>
      <c r="I9" s="21">
        <f t="shared" si="2"/>
        <v>-5.2156200759161615E-2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SUM(Jan!I10, Feb!I10, Mar!J10)</f>
        <v>108885.549</v>
      </c>
      <c r="H10" s="16">
        <f>SUM(Jan!J10, Feb!J10, Mar!K10)</f>
        <v>-1747.5489999999991</v>
      </c>
      <c r="I10" s="17">
        <f t="shared" si="2"/>
        <v>-1.6049411662515466E-2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SUM(Jan!F11, Feb!F11, Mar!G11)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SUM(Jan!I11, Feb!I11, Mar!J11)</f>
        <v>63843.049999999996</v>
      </c>
      <c r="H11" s="22">
        <f>SUM(Jan!J11, Feb!J11, Mar!K11)</f>
        <v>-2931.1799999999985</v>
      </c>
      <c r="I11" s="21">
        <f>IFERROR(H11/G11, 0)</f>
        <v>-4.5912280193380464E-2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SUM(Jan!F12, Feb!F12, Mar!G12)</f>
        <v>76672</v>
      </c>
      <c r="E12" s="14">
        <f t="shared" si="0"/>
        <v>-13200</v>
      </c>
      <c r="F12" s="15">
        <f t="shared" si="1"/>
        <v>-0.1721619365609349</v>
      </c>
      <c r="G12" s="16">
        <f>SUM(Jan!I12, Feb!I12, Mar!J12)</f>
        <v>76688.069000000003</v>
      </c>
      <c r="H12" s="16">
        <f>SUM(Jan!J12, Feb!J12, Mar!K12)</f>
        <v>-13216.069000000001</v>
      </c>
      <c r="I12" s="17">
        <f t="shared" si="2"/>
        <v>-0.1723353993957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SUM(Jan!F13, Feb!F13, Mar!G13)</f>
        <v>174957</v>
      </c>
      <c r="E13" s="20">
        <f t="shared" si="0"/>
        <v>-20874</v>
      </c>
      <c r="F13" s="21">
        <f t="shared" si="1"/>
        <v>-0.11930931600336082</v>
      </c>
      <c r="G13" s="22">
        <f>SUM(Jan!I13, Feb!I13, Mar!J13)</f>
        <v>178825.416</v>
      </c>
      <c r="H13" s="22">
        <f>SUM(Jan!J13, Feb!J13, Mar!K13)</f>
        <v>-24742.415999999997</v>
      </c>
      <c r="I13" s="21">
        <f t="shared" si="2"/>
        <v>-0.13836073503108751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SUM(Jan!I14, Feb!I14, Mar!J14)</f>
        <v>238992.829</v>
      </c>
      <c r="H14" s="16">
        <f>SUM(Jan!J14, Feb!J14, Mar!K14)</f>
        <v>-37017.828999999991</v>
      </c>
      <c r="I14" s="17">
        <f t="shared" si="2"/>
        <v>-0.1548909611844462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SUM(Jan!F15, Feb!F15, Mar!G15)</f>
        <v>375511</v>
      </c>
      <c r="E15" s="20">
        <f t="shared" si="0"/>
        <v>-5736</v>
      </c>
      <c r="F15" s="21">
        <f t="shared" si="1"/>
        <v>-1.5275185014553501E-2</v>
      </c>
      <c r="G15" s="22">
        <f>SUM(Jan!I15, Feb!I15, Mar!J15)</f>
        <v>381295.02</v>
      </c>
      <c r="H15" s="22">
        <f>SUM(Jan!J15, Feb!J15, Mar!K15)</f>
        <v>-11520.01999999999</v>
      </c>
      <c r="I15" s="21">
        <f t="shared" si="2"/>
        <v>-3.0212878206486906E-2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SUM(Jan!F16, Feb!F16, Mar!G16)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SUM(Jan!I16, Feb!I16, Mar!J16)</f>
        <v>194549.68100000001</v>
      </c>
      <c r="H16" s="39">
        <f>SUM(Jan!J16, Feb!J16, Mar!K16)</f>
        <v>-3945.1810000000114</v>
      </c>
      <c r="I16" s="40">
        <f t="shared" ref="I16:I21" si="5">IFERROR(H16/G16, "")</f>
        <v>-2.0278527210743722E-2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SUM(Jan!F17, Feb!F17, Mar!G17)</f>
        <v>404674</v>
      </c>
      <c r="E17" s="20">
        <f t="shared" si="3"/>
        <v>-65058.5</v>
      </c>
      <c r="F17" s="43">
        <f t="shared" si="4"/>
        <v>-0.16076767966313626</v>
      </c>
      <c r="G17" s="44">
        <f>SUM(Jan!I17, Feb!I17, Mar!J17)</f>
        <v>400093.27899999998</v>
      </c>
      <c r="H17" s="44">
        <f>SUM(Jan!J17, Feb!J17, Mar!K17)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SUM(Jan!F18, Feb!F18, Mar!G18)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SUM(Jan!I18, Feb!I18, Mar!J18)</f>
        <v>83179.993000000002</v>
      </c>
      <c r="H18" s="39">
        <f>SUM(Jan!J18, Feb!J18, Mar!K18)</f>
        <v>-10260.123</v>
      </c>
      <c r="I18" s="40">
        <f t="shared" si="5"/>
        <v>-0.12334844750467819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SUM(Jan!F19, Feb!F19, Mar!G19)</f>
        <v>148699</v>
      </c>
      <c r="E19" s="20">
        <f t="shared" si="3"/>
        <v>-39276</v>
      </c>
      <c r="F19" s="43">
        <f t="shared" si="4"/>
        <v>-0.26413089529855616</v>
      </c>
      <c r="G19" s="44">
        <f>SUM(Jan!I19, Feb!I19, Mar!J19)</f>
        <v>133932.62299999999</v>
      </c>
      <c r="H19" s="44">
        <f>SUM(Jan!J19, Feb!J19, Mar!K19)</f>
        <v>-24509.623000000003</v>
      </c>
      <c r="I19" s="43">
        <f t="shared" si="5"/>
        <v>-0.18299964901008475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SUM(Jan!F20, Feb!F20, Mar!G20)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SUM(Jan!I20, Feb!I20, Mar!J20)</f>
        <v>87508.76</v>
      </c>
      <c r="H20" s="39">
        <f>SUM(Jan!J20, Feb!J20, Mar!K20)</f>
        <v>-8645.6299999999974</v>
      </c>
      <c r="I20" s="40">
        <f t="shared" si="5"/>
        <v>-9.8797308977981155E-2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SUM(Jan!I21, Feb!I21, Mar!J21)</f>
        <v>493007.66899999999</v>
      </c>
      <c r="H21" s="44">
        <f>SUM(Jan!J21, Feb!J21, Mar!K21)</f>
        <v>6850.5810000000201</v>
      </c>
      <c r="I21" s="43">
        <f t="shared" si="5"/>
        <v>1.3895485670426803E-2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SUM(Jan!I22, Feb!I22, Mar!J22)</f>
        <v>133950.60499999998</v>
      </c>
      <c r="H22" s="39">
        <f>SUM(Jan!J22, Feb!J22, Mar!K22)</f>
        <v>29908.895000000004</v>
      </c>
      <c r="I22" s="40">
        <f>IFERROR(H22/G22, 0)</f>
        <v>0.22328301540706</v>
      </c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4" activePane="bottomLeft" state="frozen"/>
      <selection pane="bottomLeft" activeCell="A14" sqref="A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12</v>
      </c>
      <c r="E1" s="88"/>
      <c r="F1" s="88"/>
      <c r="G1" s="86" t="s">
        <v>13</v>
      </c>
      <c r="H1" s="86"/>
      <c r="I1" s="86"/>
    </row>
    <row r="2" spans="1:9" ht="19.5" customHeight="1">
      <c r="A2" s="89" t="s">
        <v>2</v>
      </c>
      <c r="B2" s="89"/>
      <c r="C2" s="6">
        <f>SUM(C4:C100)</f>
        <v>7381762.75</v>
      </c>
      <c r="D2" s="6">
        <f>SUM(D4:D100)</f>
        <v>7509406.7349999994</v>
      </c>
      <c r="E2" s="6">
        <f>C2-D2</f>
        <v>-127643.9849999994</v>
      </c>
      <c r="F2" s="7">
        <f>IFERROR(E2/D2, 0)</f>
        <v>-1.699787872789919E-2</v>
      </c>
      <c r="G2" s="6">
        <f>SUM(G4:G100)</f>
        <v>8131944.0549999997</v>
      </c>
      <c r="H2" s="8">
        <f>C2-G2</f>
        <v>-750181.3049999997</v>
      </c>
      <c r="I2" s="7">
        <f>IFERROR(H2/G2, 0)</f>
        <v>-9.2251164042224804E-2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220659.25</v>
      </c>
      <c r="D4" s="14">
        <f>SUM(Apr!F4, May!F4, Jun!G4)</f>
        <v>215282</v>
      </c>
      <c r="E4" s="14">
        <f>IF(AND(ISNUMBER(C4),ISNUMBER(D4)), C4-D4, "")</f>
        <v>5377.25</v>
      </c>
      <c r="F4" s="15">
        <f>IFERROR(E4/D4, "")</f>
        <v>2.4977703663102348E-2</v>
      </c>
      <c r="G4" s="16">
        <f>SUM(Apr!I4+May!I4+Jun!J4)</f>
        <v>231981.46000000002</v>
      </c>
      <c r="H4" s="16">
        <f>SUM(Apr!J4, May!J4, Jun!K4)</f>
        <v>-11322.210000000006</v>
      </c>
      <c r="I4" s="17">
        <f>IFERROR(H4/G4, "")</f>
        <v>-4.8806529625255418E-2</v>
      </c>
    </row>
    <row r="5" spans="1:9" ht="15.75">
      <c r="A5" s="19" t="str">
        <v>CA: Antioch MC CUP - Citi</v>
      </c>
      <c r="B5" s="11" t="str">
        <v>CA</v>
      </c>
      <c r="C5" s="12">
        <f>SUM(Apr!C5, May!C5, Jun!C5)</f>
        <v>757441</v>
      </c>
      <c r="D5" s="20">
        <f>SUM(Apr!F5, May!F5, Jun!G5)</f>
        <v>734291</v>
      </c>
      <c r="E5" s="20">
        <f t="shared" ref="E5:E15" si="0">IF(AND(ISNUMBER(C5),ISNUMBER(D5)), C5-D5, "")</f>
        <v>23150</v>
      </c>
      <c r="F5" s="21">
        <f>IFERROR(E5/D5, "")</f>
        <v>3.1527010408679938E-2</v>
      </c>
      <c r="G5" s="22">
        <f>SUM(Apr!I5+May!I5+Jun!J5)</f>
        <v>787180.74399999995</v>
      </c>
      <c r="H5" s="22">
        <f>SUM(Apr!J5, May!J5, Jun!K5)</f>
        <v>-29739.744000000006</v>
      </c>
      <c r="I5" s="21">
        <f>IFERROR(H5/G5, "")</f>
        <v>-3.7780070494204072E-2</v>
      </c>
    </row>
    <row r="6" spans="1:9" ht="15.75">
      <c r="A6" s="13" t="str">
        <v>CA: Clovis - Citi</v>
      </c>
      <c r="B6" s="10" t="str">
        <v>CA</v>
      </c>
      <c r="C6" s="26">
        <f>SUM(Apr!C6, May!C6, Jun!C6)</f>
        <v>316814.5</v>
      </c>
      <c r="D6" s="14">
        <f>SUM(Apr!F6, May!F6, Jun!G6)</f>
        <v>312002</v>
      </c>
      <c r="E6" s="14">
        <f t="shared" si="0"/>
        <v>4812.5</v>
      </c>
      <c r="F6" s="15">
        <f t="shared" ref="F6:F15" si="1">IFERROR(E6/D6, "")</f>
        <v>1.5424580611662745E-2</v>
      </c>
      <c r="G6" s="16">
        <f>SUM(Apr!I6+May!I6+Jun!J6)</f>
        <v>323891.82999999996</v>
      </c>
      <c r="H6" s="16">
        <f>SUM(Apr!J6, May!J6, Jun!K6)</f>
        <v>-7077.3299999999872</v>
      </c>
      <c r="I6" s="17">
        <f t="shared" ref="I6:I15" si="2">IFERROR(H6/G6, "")</f>
        <v>-2.185090621149656E-2</v>
      </c>
    </row>
    <row r="7" spans="1:9" ht="15.75">
      <c r="A7" s="19" t="str">
        <v>CA: Elk Grove MOB - Citi</v>
      </c>
      <c r="B7" s="11" t="str">
        <v>CA</v>
      </c>
      <c r="C7" s="12">
        <f>SUM(Apr!C7, May!C7, Jun!C7)</f>
        <v>486584.5</v>
      </c>
      <c r="D7" s="20">
        <f>SUM(Apr!F7, May!F7, Jun!G7)</f>
        <v>506248</v>
      </c>
      <c r="E7" s="20">
        <f t="shared" si="0"/>
        <v>-19663.5</v>
      </c>
      <c r="F7" s="21">
        <f t="shared" si="1"/>
        <v>-3.8841634929915769E-2</v>
      </c>
      <c r="G7" s="22">
        <f>SUM(Apr!I7+May!I7+Jun!J7)</f>
        <v>522356.97200000001</v>
      </c>
      <c r="H7" s="22">
        <f>SUM(Apr!J7, May!J7, Jun!K7)</f>
        <v>-35772.472000000009</v>
      </c>
      <c r="I7" s="21">
        <f t="shared" si="2"/>
        <v>-6.8482807577037577E-2</v>
      </c>
    </row>
    <row r="8" spans="1:9" ht="15.75">
      <c r="A8" s="13" t="str">
        <v>CA: Elk Grove Promenade - Citi</v>
      </c>
      <c r="B8" s="10" t="str">
        <v>CA</v>
      </c>
      <c r="C8" s="26">
        <f>SUM(Apr!C8, May!C8, Jun!C8)</f>
        <v>256185.75</v>
      </c>
      <c r="D8" s="14">
        <f>SUM(Apr!F8, May!F8, Jun!G8)</f>
        <v>267090.73499999999</v>
      </c>
      <c r="E8" s="14">
        <f t="shared" si="0"/>
        <v>-10904.984999999986</v>
      </c>
      <c r="F8" s="15">
        <f t="shared" si="1"/>
        <v>-4.0828765550403635E-2</v>
      </c>
      <c r="G8" s="16">
        <f>SUM(Apr!I8+May!I8+Jun!J8)</f>
        <v>273326.74099999998</v>
      </c>
      <c r="H8" s="16">
        <f>SUM(Apr!J8, May!J8, Jun!K8)</f>
        <v>-17140.990999999995</v>
      </c>
      <c r="I8" s="17">
        <f t="shared" si="2"/>
        <v>-6.2712455200276199E-2</v>
      </c>
    </row>
    <row r="9" spans="1:9" ht="15.75">
      <c r="A9" s="19" t="str">
        <v>CA: Fresno Sequioa - Citi</v>
      </c>
      <c r="B9" s="11" t="str">
        <v>CA</v>
      </c>
      <c r="C9" s="12">
        <f>SUM(Apr!C9, May!C9, Jun!C9)</f>
        <v>523930.25</v>
      </c>
      <c r="D9" s="20">
        <f>SUM(Apr!F9, May!F9, Jun!G9)</f>
        <v>527508</v>
      </c>
      <c r="E9" s="20">
        <f t="shared" si="0"/>
        <v>-3577.75</v>
      </c>
      <c r="F9" s="21">
        <f t="shared" si="1"/>
        <v>-6.7823615945161019E-3</v>
      </c>
      <c r="G9" s="22">
        <f>SUM(Apr!I9+May!I9+Jun!J9)</f>
        <v>542861.36300000001</v>
      </c>
      <c r="H9" s="22">
        <f>SUM(Apr!J9, May!J9, Jun!K9)</f>
        <v>-18931.113000000012</v>
      </c>
      <c r="I9" s="21">
        <f t="shared" si="2"/>
        <v>-3.4872831795177903E-2</v>
      </c>
    </row>
    <row r="10" spans="1:9" ht="15.75">
      <c r="A10" s="13" t="str">
        <v>CA: Fresno MOB - Citi</v>
      </c>
      <c r="B10" s="10" t="str">
        <v>CA</v>
      </c>
      <c r="C10" s="26">
        <f>SUM(Apr!C10, May!C10, Jun!C10)</f>
        <v>203098.5</v>
      </c>
      <c r="D10" s="14">
        <f>SUM(Apr!F10, May!F10, Jun!G10)</f>
        <v>215736</v>
      </c>
      <c r="E10" s="14">
        <f t="shared" si="0"/>
        <v>-12637.5</v>
      </c>
      <c r="F10" s="15">
        <f t="shared" si="1"/>
        <v>-5.8578540438313495E-2</v>
      </c>
      <c r="G10" s="16">
        <f>SUM(Apr!I10+May!I10+Jun!J10)</f>
        <v>206652.109</v>
      </c>
      <c r="H10" s="16">
        <f>SUM(Apr!J10, May!J10, Jun!K10)</f>
        <v>-3553.6090000000113</v>
      </c>
      <c r="I10" s="17">
        <f t="shared" si="2"/>
        <v>-1.7196093556441815E-2</v>
      </c>
    </row>
    <row r="11" spans="1:9" ht="15.75">
      <c r="A11" s="19" t="str">
        <v>CA: Modesto Bangs - Citi</v>
      </c>
      <c r="B11" s="11" t="str">
        <v>CA</v>
      </c>
      <c r="C11" s="12">
        <f>SUM(Apr!C11, May!C11, Jun!C11)</f>
        <v>130541.38</v>
      </c>
      <c r="D11" s="20">
        <f>SUM(Apr!F11, May!F11, Jun!G11)</f>
        <v>153691</v>
      </c>
      <c r="E11" s="20">
        <f t="shared" si="0"/>
        <v>-23149.619999999995</v>
      </c>
      <c r="F11" s="21">
        <f t="shared" si="1"/>
        <v>-0.15062443474243772</v>
      </c>
      <c r="G11" s="22">
        <f>SUM(Apr!I11+May!I11+Jun!J11)</f>
        <v>134261.63199999998</v>
      </c>
      <c r="H11" s="22">
        <f>SUM(Apr!J11, May!J11, Jun!K11)</f>
        <v>-3720.2520000000004</v>
      </c>
      <c r="I11" s="21">
        <f t="shared" si="2"/>
        <v>-2.770897347650296E-2</v>
      </c>
    </row>
    <row r="12" spans="1:9" ht="15.75">
      <c r="A12" s="13" t="str">
        <v>CA: Napa Data Center - Citi</v>
      </c>
      <c r="B12" s="10" t="str">
        <v>CA</v>
      </c>
      <c r="C12" s="26">
        <f>SUM(Apr!C12, May!C12, Jun!C12)</f>
        <v>128313.87</v>
      </c>
      <c r="D12" s="14">
        <f>SUM(Apr!F12, May!F12, Jun!G12)</f>
        <v>149198</v>
      </c>
      <c r="E12" s="14">
        <f t="shared" si="0"/>
        <v>-20884.130000000005</v>
      </c>
      <c r="F12" s="15">
        <f t="shared" si="1"/>
        <v>-0.13997593801525493</v>
      </c>
      <c r="G12" s="16">
        <f>SUM(Apr!I12+May!I12+Jun!J12)</f>
        <v>145949.20699999999</v>
      </c>
      <c r="H12" s="16">
        <f>SUM(Apr!J12, May!J12, Jun!K12)</f>
        <v>-17635.337</v>
      </c>
      <c r="I12" s="17">
        <f t="shared" si="2"/>
        <v>-0.12083201657957621</v>
      </c>
    </row>
    <row r="13" spans="1:9" ht="15.75">
      <c r="A13" s="19" t="str">
        <v>CA: Petaluma MOB - Citi</v>
      </c>
      <c r="B13" s="11" t="str">
        <v>CA</v>
      </c>
      <c r="C13" s="12">
        <f>SUM(Apr!C13, May!C13, Jun!C13)</f>
        <v>325444.5</v>
      </c>
      <c r="D13" s="20">
        <f>SUM(Apr!F13, May!F13, Jun!G13)</f>
        <v>341582</v>
      </c>
      <c r="E13" s="20">
        <f t="shared" si="0"/>
        <v>-16137.5</v>
      </c>
      <c r="F13" s="21">
        <f t="shared" si="1"/>
        <v>-4.7243414465633432E-2</v>
      </c>
      <c r="G13" s="22">
        <f>SUM(Apr!I13+May!I13+Jun!J13)</f>
        <v>298577.28000000003</v>
      </c>
      <c r="H13" s="22">
        <f>SUM(Apr!J13, May!J13, Jun!K13)</f>
        <v>26867.22</v>
      </c>
      <c r="I13" s="21">
        <f t="shared" si="2"/>
        <v>8.9984140789279077E-2</v>
      </c>
    </row>
    <row r="14" spans="1:9" ht="15.75">
      <c r="A14" s="13" t="str">
        <v>CA: Pleasanton Tec Ctr - Citi</v>
      </c>
      <c r="B14" s="10" t="str">
        <v>CA</v>
      </c>
      <c r="C14" s="26">
        <f>SUM(Apr!C14, May!C14, Jun!C14)</f>
        <v>308543</v>
      </c>
      <c r="D14" s="14">
        <f>SUM(Apr!F14, May!F14, Jun!G14)</f>
        <v>487317</v>
      </c>
      <c r="E14" s="14">
        <f t="shared" si="0"/>
        <v>-178774</v>
      </c>
      <c r="F14" s="15">
        <f t="shared" si="1"/>
        <v>-0.36685360863667799</v>
      </c>
      <c r="G14" s="16">
        <f>SUM(Apr!I14+May!I14+Jun!J14)</f>
        <v>506725.60100000002</v>
      </c>
      <c r="H14" s="16">
        <f>SUM(Apr!J14, May!J14, Jun!K14)</f>
        <v>-198182.601</v>
      </c>
      <c r="I14" s="17">
        <f t="shared" si="2"/>
        <v>-0.39110437800832565</v>
      </c>
    </row>
    <row r="15" spans="1:9" ht="15.75">
      <c r="A15" s="19" t="str">
        <v>CA: Rancho Cordova - Citi</v>
      </c>
      <c r="B15" s="11" t="str">
        <v>CA</v>
      </c>
      <c r="C15" s="12">
        <f>SUM(Apr!C15, May!C15, Jun!C15)</f>
        <v>677515.5</v>
      </c>
      <c r="D15" s="20">
        <f>SUM(Apr!F15, May!F15, Jun!G15)</f>
        <v>677829</v>
      </c>
      <c r="E15" s="20">
        <f t="shared" si="0"/>
        <v>-313.5</v>
      </c>
      <c r="F15" s="21">
        <f t="shared" si="1"/>
        <v>-4.6250603028197377E-4</v>
      </c>
      <c r="G15" s="22">
        <f>SUM(Apr!I15+May!I15+Jun!J15)</f>
        <v>720547.41500000004</v>
      </c>
      <c r="H15" s="22">
        <f>SUM(Apr!J15, May!J15, Jun!K15)</f>
        <v>-43031.914999999979</v>
      </c>
      <c r="I15" s="21">
        <f t="shared" si="2"/>
        <v>-5.9721142709255264E-2</v>
      </c>
    </row>
    <row r="16" spans="1:9" ht="15.75">
      <c r="A16" s="13" t="str">
        <v>CA: S Sacramento Wyndham - Citi</v>
      </c>
      <c r="B16" s="10" t="str">
        <v>CA</v>
      </c>
      <c r="C16" s="37">
        <f>SUM(Apr!C16, May!C16, Jun!C16)</f>
        <v>425085.25</v>
      </c>
      <c r="D16" s="14">
        <f>SUM(Apr!F16, May!F16, Jun!G16)</f>
        <v>437275</v>
      </c>
      <c r="E16" s="14">
        <f t="shared" ref="E16:E22" si="3">IF(AND(ISNUMBER(C16),ISNUMBER(D16)), C16-D16, "")</f>
        <v>-12189.75</v>
      </c>
      <c r="F16" s="38">
        <f t="shared" ref="F16:F22" si="4">IFERROR(E16/D16, "")</f>
        <v>-2.7876622262878053E-2</v>
      </c>
      <c r="G16" s="16">
        <f>SUM(Apr!I16+May!I16+Jun!J16)</f>
        <v>421749.32799999998</v>
      </c>
      <c r="H16" s="39">
        <f>SUM(Apr!J16, May!J16, Jun!K16)</f>
        <v>3335.9220000000059</v>
      </c>
      <c r="I16" s="40">
        <f t="shared" ref="I16:I21" si="5">IFERROR(H16/G16, "")</f>
        <v>7.9097268887646129E-3</v>
      </c>
    </row>
    <row r="17" spans="1:9" ht="15.75">
      <c r="A17" s="19" t="str">
        <v>CA: Sacramento Point West - Citi</v>
      </c>
      <c r="B17" s="11" t="str">
        <v>CA</v>
      </c>
      <c r="C17" s="42">
        <f>SUM(Apr!C17, May!C17, Jun!C17)</f>
        <v>759841</v>
      </c>
      <c r="D17" s="20">
        <f>SUM(Apr!F17, May!F17, Jun!G17)</f>
        <v>840410</v>
      </c>
      <c r="E17" s="20">
        <f t="shared" si="3"/>
        <v>-80569</v>
      </c>
      <c r="F17" s="43">
        <f t="shared" si="4"/>
        <v>-9.5868683142751751E-2</v>
      </c>
      <c r="G17" s="22">
        <f>SUM(Apr!I17+May!I17+Jun!J17)</f>
        <v>870637.326</v>
      </c>
      <c r="H17" s="44">
        <f>SUM(Apr!J17, May!J17, Jun!K17)</f>
        <v>-110796.326</v>
      </c>
      <c r="I17" s="43">
        <f t="shared" si="5"/>
        <v>-0.12725887426517249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101222.38</v>
      </c>
      <c r="D18" s="14">
        <f>SUM(Apr!F18, May!F18, Jun!G18)</f>
        <v>110171</v>
      </c>
      <c r="E18" s="14">
        <f t="shared" si="3"/>
        <v>-8948.6199999999953</v>
      </c>
      <c r="F18" s="38">
        <f t="shared" si="4"/>
        <v>-8.1224823229343435E-2</v>
      </c>
      <c r="G18" s="16">
        <f>SUM(Apr!I18+May!I18+Jun!J18)</f>
        <v>110217.15299999999</v>
      </c>
      <c r="H18" s="39">
        <f>SUM(Apr!J18, May!J18, Jun!K18)</f>
        <v>-8994.773000000001</v>
      </c>
      <c r="I18" s="40">
        <f t="shared" si="5"/>
        <v>-8.1609556726619514E-2</v>
      </c>
    </row>
    <row r="19" spans="1:9" ht="15.75">
      <c r="A19" s="19" t="str">
        <v>CA: San Jose MOB - Citi</v>
      </c>
      <c r="B19" s="11" t="str">
        <v>CA</v>
      </c>
      <c r="C19" s="42">
        <f>SUM(Apr!C19, May!C19, Jun!C19)</f>
        <v>242719</v>
      </c>
      <c r="D19" s="20">
        <f>SUM(Apr!F19, May!F19, Jun!G19)</f>
        <v>269342</v>
      </c>
      <c r="E19" s="20">
        <f t="shared" si="3"/>
        <v>-26623</v>
      </c>
      <c r="F19" s="43">
        <f t="shared" si="4"/>
        <v>-9.8844591634427603E-2</v>
      </c>
      <c r="G19" s="22">
        <f>SUM(Apr!I19+May!I19+Jun!J19)</f>
        <v>282146.80900000001</v>
      </c>
      <c r="H19" s="44">
        <f>SUM(Apr!J19, May!J19, Jun!K19)</f>
        <v>-39427.809000000008</v>
      </c>
      <c r="I19" s="43">
        <f t="shared" si="5"/>
        <v>-0.13974217585427312</v>
      </c>
    </row>
    <row r="20" spans="1:9" ht="15.75">
      <c r="A20" s="13" t="str">
        <v>CA: Selma - Citi</v>
      </c>
      <c r="B20" s="10" t="str">
        <v>CA</v>
      </c>
      <c r="C20" s="37">
        <f>SUM(Apr!C20, May!C20, Jun!C20)</f>
        <v>155678.12</v>
      </c>
      <c r="D20" s="14">
        <f>SUM(Apr!F20, May!F20, Jun!G20)</f>
        <v>162068</v>
      </c>
      <c r="E20" s="14">
        <f t="shared" si="3"/>
        <v>-6389.8800000000047</v>
      </c>
      <c r="F20" s="38">
        <f t="shared" si="4"/>
        <v>-3.9427154034109166E-2</v>
      </c>
      <c r="G20" s="16">
        <f>SUM(Apr!I20+May!I20+Jun!J20)</f>
        <v>166943.29699999999</v>
      </c>
      <c r="H20" s="39">
        <f>SUM(Apr!J20, May!J20, Jun!K20)</f>
        <v>-11265.176999999996</v>
      </c>
      <c r="I20" s="40">
        <f t="shared" si="5"/>
        <v>-6.7479061468397841E-2</v>
      </c>
    </row>
    <row r="21" spans="1:9" ht="15.75">
      <c r="A21" s="19" t="str">
        <v>CA: Vacaville Hospital</v>
      </c>
      <c r="B21" s="11" t="str">
        <v>CA</v>
      </c>
      <c r="C21" s="42">
        <f>SUM(Apr!C21, May!C21, Jun!C21)</f>
        <v>1030002</v>
      </c>
      <c r="D21" s="20">
        <f>SUM(Apr!F21, May!F21, Jun!G21)</f>
        <v>1102366</v>
      </c>
      <c r="E21" s="20">
        <f t="shared" si="3"/>
        <v>-72364</v>
      </c>
      <c r="F21" s="43">
        <f t="shared" si="4"/>
        <v>-6.5644259710477285E-2</v>
      </c>
      <c r="G21" s="22">
        <f>SUM(Apr!I21+May!I21+Jun!J21)</f>
        <v>1268327.1580000001</v>
      </c>
      <c r="H21" s="44">
        <f>SUM(Apr!J21, May!J21, Jun!K21)</f>
        <v>-238325.158</v>
      </c>
      <c r="I21" s="43">
        <f t="shared" si="5"/>
        <v>-0.18790511304339663</v>
      </c>
    </row>
    <row r="22" spans="1:9" ht="15.75">
      <c r="A22" s="13" t="str">
        <v>CA: Manteca - KP Manteca Hospital</v>
      </c>
      <c r="B22" s="10" t="str">
        <v>CA</v>
      </c>
      <c r="C22" s="37">
        <f>SUM(Apr!C22, May!C22, Jun!C22)</f>
        <v>332143</v>
      </c>
      <c r="D22" s="14">
        <f>SUM(Apr!F22, May!F22, Jun!G22)</f>
        <v>0</v>
      </c>
      <c r="E22" s="14">
        <f t="shared" si="3"/>
        <v>332143</v>
      </c>
      <c r="F22" s="38" t="str">
        <f t="shared" si="4"/>
        <v/>
      </c>
      <c r="G22" s="16">
        <f>SUM(Apr!I22+May!I22+Jun!J22)</f>
        <v>317610.63</v>
      </c>
      <c r="H22" s="39">
        <f>SUM(Apr!J22, May!J22, Jun!K22)</f>
        <v>14532.37000000001</v>
      </c>
      <c r="I22" s="40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42"/>
  <sheetViews>
    <sheetView workbookViewId="0">
      <pane ySplit="2" topLeftCell="A3" activePane="bottomLeft" state="frozen"/>
      <selection pane="bottomLeft" activeCell="D22" sqref="D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14</v>
      </c>
      <c r="E1" s="88"/>
      <c r="F1" s="88"/>
      <c r="G1" s="86" t="s">
        <v>15</v>
      </c>
      <c r="H1" s="86"/>
      <c r="I1" s="86"/>
    </row>
    <row r="2" spans="1:11" ht="19.5" customHeight="1">
      <c r="A2" s="89" t="s">
        <v>2</v>
      </c>
      <c r="B2" s="89"/>
      <c r="C2" s="6">
        <f>SUM(C4:C100)</f>
        <v>4691895</v>
      </c>
      <c r="D2" s="6">
        <f>SUM(D4:D100)</f>
        <v>5584956.0460000001</v>
      </c>
      <c r="E2" s="6">
        <f>C2-D2</f>
        <v>-893061.04600000009</v>
      </c>
      <c r="F2" s="7">
        <f>IFERROR(E2/D2, 0)</f>
        <v>-0.15990475818330194</v>
      </c>
      <c r="G2" s="6">
        <f>SUM(G4:G100)</f>
        <v>2719631.105905612</v>
      </c>
      <c r="H2" s="8">
        <f>C2-G2</f>
        <v>1972263.894094388</v>
      </c>
      <c r="I2" s="7">
        <f>IFERROR(H2/G2, 0)</f>
        <v>0.72519537293556668</v>
      </c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11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146892.5</v>
      </c>
      <c r="D4" s="14">
        <f>SUM(Jul!F4, Aug!F4, Sep!D4)</f>
        <v>153773</v>
      </c>
      <c r="E4" s="14">
        <f>IF(AND(ISNUMBER(C4),ISNUMBER(D4)), C4-D4, "")</f>
        <v>-6880.5</v>
      </c>
      <c r="F4" s="15">
        <f>IFERROR(E4/D4, "")</f>
        <v>-4.4744526022123518E-2</v>
      </c>
      <c r="G4" s="16">
        <f>SUM(Jul!I4, Aug!K4, Sep!I4)</f>
        <v>78627.310658153612</v>
      </c>
      <c r="H4" s="16">
        <f>SUM(Jul!J4, Aug!J4, Sep!H4)</f>
        <v>-4118.9930000000022</v>
      </c>
      <c r="I4" s="17">
        <f>IFERROR(H4/G4, "")</f>
        <v>-5.2386288752874502E-2</v>
      </c>
    </row>
    <row r="5" spans="1:11" ht="15.75">
      <c r="A5" s="19" t="str">
        <v>CA: Antioch MC CUP - Citi</v>
      </c>
      <c r="B5" s="11" t="str">
        <v>CA</v>
      </c>
      <c r="C5" s="12">
        <f>SUM(Jul!C5, Aug!C5, Sep!C5)</f>
        <v>487866</v>
      </c>
      <c r="D5" s="20">
        <f>SUM(Jul!F5, Aug!F5, Sep!D5)</f>
        <v>524198</v>
      </c>
      <c r="E5" s="20">
        <f t="shared" ref="E5:E15" si="0">IF(AND(ISNUMBER(C5),ISNUMBER(D5)), C5-D5, "")</f>
        <v>-36332</v>
      </c>
      <c r="F5" s="21">
        <f>IFERROR(E5/D5, "")</f>
        <v>-6.9309688323877613E-2</v>
      </c>
      <c r="G5" s="22">
        <f>SUM(Jul!I5, Aug!K5, Sep!I5)</f>
        <v>268691.03130006185</v>
      </c>
      <c r="H5" s="22">
        <f>SUM(Jul!J5, Aug!J5, Sep!H5)</f>
        <v>-21622.495999999985</v>
      </c>
      <c r="I5" s="21">
        <f>IFERROR(H5/G5, "")</f>
        <v>-8.0473456428298007E-2</v>
      </c>
    </row>
    <row r="6" spans="1:11" ht="15.75">
      <c r="A6" s="13" t="str">
        <v>CA: Clovis - Citi</v>
      </c>
      <c r="B6" s="10" t="str">
        <v>CA</v>
      </c>
      <c r="C6" s="26">
        <f>SUM(Jul!C6, Aug!C6, Sep!C6)</f>
        <v>193244.5</v>
      </c>
      <c r="D6" s="14">
        <f>SUM(Jul!F6, Aug!F6, Sep!D6)</f>
        <v>214885</v>
      </c>
      <c r="E6" s="14">
        <f t="shared" si="0"/>
        <v>-21640.5</v>
      </c>
      <c r="F6" s="15">
        <f t="shared" ref="F6:F15" si="1">IFERROR(E6/D6, "")</f>
        <v>-0.1007073550969123</v>
      </c>
      <c r="G6" s="16">
        <f>SUM(Jul!I6, Aug!K6, Sep!I6)</f>
        <v>110163.77955936884</v>
      </c>
      <c r="H6" s="16">
        <f>SUM(Jul!J6, Aug!J6, Sep!H6)</f>
        <v>-19025.680000000008</v>
      </c>
      <c r="I6" s="17">
        <f t="shared" ref="I6:I15" si="2">IFERROR(H6/G6, "")</f>
        <v>-0.17270358802229363</v>
      </c>
    </row>
    <row r="7" spans="1:11" ht="15.75">
      <c r="A7" s="19" t="str">
        <v>CA: Elk Grove MOB - Citi</v>
      </c>
      <c r="B7" s="11" t="str">
        <v>CA</v>
      </c>
      <c r="C7" s="12">
        <f>SUM(Jul!C7, Aug!C7, Sep!C7)</f>
        <v>268083</v>
      </c>
      <c r="D7" s="20">
        <f>SUM(Jul!F7, Aug!F7, Sep!D7)</f>
        <v>360303</v>
      </c>
      <c r="E7" s="20">
        <f t="shared" si="0"/>
        <v>-92220</v>
      </c>
      <c r="F7" s="21">
        <f t="shared" si="1"/>
        <v>-0.25595124103879235</v>
      </c>
      <c r="G7" s="22">
        <f>SUM(Jul!I7, Aug!K7, Sep!I7)</f>
        <v>176430.97996598689</v>
      </c>
      <c r="H7" s="22">
        <f>SUM(Jul!J7, Aug!J7, Sep!H7)</f>
        <v>-69875.684000000008</v>
      </c>
      <c r="I7" s="21">
        <f t="shared" si="2"/>
        <v>-0.3960511017592882</v>
      </c>
    </row>
    <row r="8" spans="1:11" ht="15.75">
      <c r="A8" s="13" t="str">
        <v>CA: Elk Grove Promenade - Citi</v>
      </c>
      <c r="B8" s="10" t="str">
        <v>CA</v>
      </c>
      <c r="C8" s="26">
        <f>SUM(Jul!C8, Aug!C8, Sep!C8)</f>
        <v>152075.75</v>
      </c>
      <c r="D8" s="14">
        <f>SUM(Jul!F8, Aug!F8, Sep!D8)</f>
        <v>190345.03000000003</v>
      </c>
      <c r="E8" s="14">
        <f t="shared" si="0"/>
        <v>-38269.280000000028</v>
      </c>
      <c r="F8" s="15">
        <f t="shared" si="1"/>
        <v>-0.20105216301155865</v>
      </c>
      <c r="G8" s="16">
        <f>SUM(Jul!I8, Aug!K8, Sep!I8)</f>
        <v>90243.347176521464</v>
      </c>
      <c r="H8" s="16">
        <f>SUM(Jul!J8, Aug!J8, Sep!H8)</f>
        <v>-22765.659999999989</v>
      </c>
      <c r="I8" s="17">
        <f t="shared" si="2"/>
        <v>-0.25226967651664089</v>
      </c>
    </row>
    <row r="9" spans="1:11" ht="15.75">
      <c r="A9" s="19" t="str">
        <v>CA: Fresno Sequioa - Citi</v>
      </c>
      <c r="B9" s="11" t="str">
        <v>CA</v>
      </c>
      <c r="C9" s="12">
        <f>SUM(Jul!C9, Aug!C9, Sep!C9)</f>
        <v>313908</v>
      </c>
      <c r="D9" s="20">
        <f>SUM(Jul!F9, Aug!F9, Sep!D9)</f>
        <v>363493</v>
      </c>
      <c r="E9" s="20">
        <f t="shared" si="0"/>
        <v>-49585</v>
      </c>
      <c r="F9" s="21">
        <f t="shared" si="1"/>
        <v>-0.13641253064020489</v>
      </c>
      <c r="G9" s="22">
        <f>SUM(Jul!I9, Aug!K9, Sep!I9)</f>
        <v>185960.43286059637</v>
      </c>
      <c r="H9" s="22">
        <f>SUM(Jul!J9, Aug!J9, Sep!H9)</f>
        <v>-40940.288</v>
      </c>
      <c r="I9" s="21">
        <f t="shared" si="2"/>
        <v>-0.22015590827695339</v>
      </c>
    </row>
    <row r="10" spans="1:11" ht="15.75">
      <c r="A10" s="13" t="str">
        <v>CA: Fresno MOB - Citi</v>
      </c>
      <c r="B10" s="10" t="str">
        <v>CA</v>
      </c>
      <c r="C10" s="26">
        <f>SUM(Jul!C10, Aug!C10, Sep!C10)</f>
        <v>122536.5</v>
      </c>
      <c r="D10" s="14">
        <f>SUM(Jul!F10, Aug!F10, Sep!D10)</f>
        <v>148121</v>
      </c>
      <c r="E10" s="14">
        <f t="shared" si="0"/>
        <v>-25584.5</v>
      </c>
      <c r="F10" s="15">
        <f t="shared" si="1"/>
        <v>-0.17272702722773947</v>
      </c>
      <c r="G10" s="16">
        <f>SUM(Jul!I10, Aug!K10, Sep!I10)</f>
        <v>69525.091251465637</v>
      </c>
      <c r="H10" s="16">
        <f>SUM(Jul!J10, Aug!J10, Sep!H10)</f>
        <v>-567701.32999999996</v>
      </c>
      <c r="I10" s="17">
        <f t="shared" si="2"/>
        <v>-8.1654165392847631</v>
      </c>
    </row>
    <row r="11" spans="1:11" ht="15.75">
      <c r="A11" s="19" t="str">
        <v>CA: Modesto Bangs - Citi</v>
      </c>
      <c r="B11" s="11" t="str">
        <v>CA</v>
      </c>
      <c r="C11" s="12">
        <f>SUM(Jul!C11, Aug!C11, Sep!C11)</f>
        <v>74163.25</v>
      </c>
      <c r="D11" s="20">
        <f>SUM(Jul!F11, Aug!F11, Sep!D11)</f>
        <v>102753</v>
      </c>
      <c r="E11" s="20">
        <f t="shared" si="0"/>
        <v>-28589.75</v>
      </c>
      <c r="F11" s="21">
        <f t="shared" si="1"/>
        <v>-0.27823761836637373</v>
      </c>
      <c r="G11" s="22">
        <f>SUM(Jul!I11, Aug!K11, Sep!I11)</f>
        <v>44224.570891901611</v>
      </c>
      <c r="H11" s="22">
        <f>SUM(Jul!J11, Aug!J11, Sep!H11)</f>
        <v>-8552.851999999999</v>
      </c>
      <c r="I11" s="21">
        <f t="shared" si="2"/>
        <v>-0.19339592962712487</v>
      </c>
      <c r="K11" s="20"/>
    </row>
    <row r="12" spans="1:11" ht="15.75">
      <c r="A12" s="13" t="str">
        <v>CA: Napa Data Center - Citi</v>
      </c>
      <c r="B12" s="10" t="str">
        <v>CA</v>
      </c>
      <c r="C12" s="26">
        <f>SUM(Jul!C12, Aug!C12, Sep!C12)</f>
        <v>81102</v>
      </c>
      <c r="D12" s="14">
        <f>SUM(Jul!F12, Aug!F12, Sep!D12)</f>
        <v>102554</v>
      </c>
      <c r="E12" s="14">
        <f t="shared" si="0"/>
        <v>-21452</v>
      </c>
      <c r="F12" s="15">
        <f t="shared" si="1"/>
        <v>-0.20917760399399341</v>
      </c>
      <c r="G12" s="16">
        <f>SUM(Jul!I12, Aug!K12, Sep!I12)</f>
        <v>51332.668330385539</v>
      </c>
      <c r="H12" s="16">
        <f>SUM(Jul!J12, Aug!J12, Sep!H12)</f>
        <v>-22406.737999999998</v>
      </c>
      <c r="I12" s="17">
        <f t="shared" si="2"/>
        <v>-0.43650055079518812</v>
      </c>
    </row>
    <row r="13" spans="1:11" ht="15.75">
      <c r="A13" s="19" t="str">
        <v>CA: Petaluma MOB - Citi</v>
      </c>
      <c r="B13" s="11" t="str">
        <v>CA</v>
      </c>
      <c r="C13" s="12">
        <f>SUM(Jul!C13, Aug!C13, Sep!C13)</f>
        <v>194651.5</v>
      </c>
      <c r="D13" s="20">
        <f>SUM(Jul!F13, Aug!F13, Sep!D13)</f>
        <v>240235</v>
      </c>
      <c r="E13" s="20">
        <f t="shared" si="0"/>
        <v>-45583.5</v>
      </c>
      <c r="F13" s="21">
        <f t="shared" si="1"/>
        <v>-0.18974545757279332</v>
      </c>
      <c r="G13" s="22">
        <f>SUM(Jul!I13, Aug!K13, Sep!I13)</f>
        <v>26003.800451080951</v>
      </c>
      <c r="H13" s="22">
        <f>SUM(Jul!J13, Aug!J13, Sep!H13)</f>
        <v>147766.88299999997</v>
      </c>
      <c r="I13" s="21">
        <f t="shared" si="2"/>
        <v>5.6825110344152581</v>
      </c>
    </row>
    <row r="14" spans="1:11" ht="15.75">
      <c r="A14" s="13" t="str">
        <v>CA: Pleasanton Tec Ctr - Citi</v>
      </c>
      <c r="B14" s="10" t="str">
        <v>CA</v>
      </c>
      <c r="C14" s="26">
        <f>SUM(Jul!C14, Aug!C14, Sep!C14)</f>
        <v>286242</v>
      </c>
      <c r="D14" s="14">
        <f>SUM(Jul!F14, Aug!F14, Sep!D14)</f>
        <v>349209</v>
      </c>
      <c r="E14" s="14">
        <f t="shared" si="0"/>
        <v>-62967</v>
      </c>
      <c r="F14" s="15">
        <f t="shared" si="1"/>
        <v>-0.18031322216781354</v>
      </c>
      <c r="G14" s="16">
        <f>SUM(Jul!I14, Aug!K14, Sep!I14)</f>
        <v>180121.30801445385</v>
      </c>
      <c r="H14" s="16">
        <f>SUM(Jul!J14, Aug!J14, Sep!H14)</f>
        <v>-56073.072000000015</v>
      </c>
      <c r="I14" s="17">
        <f t="shared" si="2"/>
        <v>-0.31130726629800193</v>
      </c>
    </row>
    <row r="15" spans="1:11" ht="15.75">
      <c r="A15" s="19" t="str">
        <v>CA: Rancho Cordova - Citi</v>
      </c>
      <c r="B15" s="11" t="str">
        <v>CA</v>
      </c>
      <c r="C15" s="12">
        <f>SUM(Jul!C15, Aug!C15, Sep!C15)</f>
        <v>432688.5</v>
      </c>
      <c r="D15" s="20">
        <f>SUM(Jul!F15, Aug!F15, Sep!D15)</f>
        <v>483278</v>
      </c>
      <c r="E15" s="20">
        <f t="shared" si="0"/>
        <v>-50589.5</v>
      </c>
      <c r="F15" s="21">
        <f t="shared" si="1"/>
        <v>-0.10467991507993329</v>
      </c>
      <c r="G15" s="22">
        <f>SUM(Jul!I15, Aug!K15, Sep!I15)</f>
        <v>239093.31027146298</v>
      </c>
      <c r="H15" s="22">
        <f>SUM(Jul!J15, Aug!J15, Sep!H15)</f>
        <v>-36411.486999999994</v>
      </c>
      <c r="I15" s="21">
        <f t="shared" si="2"/>
        <v>-0.15228986105323872</v>
      </c>
    </row>
    <row r="16" spans="1:11" ht="15.75">
      <c r="A16" s="13" t="str">
        <v>CA: S Sacramento Wyndham - Citi</v>
      </c>
      <c r="B16" s="10" t="str">
        <v>CA</v>
      </c>
      <c r="C16" s="37">
        <f>SUM(Jul!C16, Aug!C16, Sep!C16)</f>
        <v>267318.75</v>
      </c>
      <c r="D16" s="14">
        <f>SUM(Jul!F16, Aug!F16, Sep!D16)</f>
        <v>312268</v>
      </c>
      <c r="E16" s="14">
        <f t="shared" ref="E16:E20" si="3">IF(AND(ISNUMBER(C16),ISNUMBER(D16)), C16-D16, "")</f>
        <v>-44949.25</v>
      </c>
      <c r="F16" s="15">
        <f t="shared" ref="F16:F22" si="4">IFERROR(E16/D16, "")</f>
        <v>-0.14394446437034855</v>
      </c>
      <c r="G16" s="16">
        <f>SUM(Jul!I16, Aug!K16, Sep!I16)</f>
        <v>143095.91329860513</v>
      </c>
      <c r="H16" s="16">
        <f>SUM(Jul!J16, Aug!J16, Sep!H16)</f>
        <v>-3233.3469999999943</v>
      </c>
      <c r="I16" s="17">
        <f t="shared" ref="I16:I22" si="5">IFERROR(H16/G16, "")</f>
        <v>-2.2595662765384595E-2</v>
      </c>
    </row>
    <row r="17" spans="1:9" ht="15.75">
      <c r="A17" s="19" t="str">
        <v>CA: Sacramento Point West - Citi</v>
      </c>
      <c r="B17" s="11" t="str">
        <v>CA</v>
      </c>
      <c r="C17" s="42">
        <f>SUM(Jul!C17, Aug!C17, Sep!C17)</f>
        <v>477334</v>
      </c>
      <c r="D17" s="20">
        <f>SUM(Jul!F17, Aug!F17, Sep!D17)</f>
        <v>597235</v>
      </c>
      <c r="E17" s="20">
        <f t="shared" si="3"/>
        <v>-119901</v>
      </c>
      <c r="F17" s="21">
        <f t="shared" si="4"/>
        <v>-0.20076016978241396</v>
      </c>
      <c r="G17" s="22">
        <f>SUM(Jul!I17, Aug!K17, Sep!I17)</f>
        <v>294211.32225960674</v>
      </c>
      <c r="H17" s="22">
        <f>SUM(Jul!J17, Aug!J17, Sep!H17)</f>
        <v>-90707.890000000014</v>
      </c>
      <c r="I17" s="21">
        <f t="shared" si="5"/>
        <v>-0.30830863103208861</v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92867.5</v>
      </c>
      <c r="D18" s="14">
        <f>SUM(Jul!F18, Aug!F18, Sep!D18)</f>
        <v>123404</v>
      </c>
      <c r="E18" s="14">
        <f t="shared" si="3"/>
        <v>-30536.5</v>
      </c>
      <c r="F18" s="15">
        <f t="shared" si="4"/>
        <v>-0.24745146024440051</v>
      </c>
      <c r="G18" s="16">
        <f>SUM(Jul!I18, Aug!K18, Sep!I18)</f>
        <v>57661.054683957664</v>
      </c>
      <c r="H18" s="16">
        <f>SUM(Jul!J18, Aug!J18, Sep!H18)</f>
        <v>-17632.373</v>
      </c>
      <c r="I18" s="17">
        <f t="shared" si="5"/>
        <v>-0.30579345273241493</v>
      </c>
    </row>
    <row r="19" spans="1:9" ht="15.75">
      <c r="A19" s="19" t="str">
        <v>CA: San Jose MOB - Citi</v>
      </c>
      <c r="B19" s="11" t="str">
        <v>CA</v>
      </c>
      <c r="C19" s="42">
        <f>SUM(Jul!C19, Aug!C19, Sep!C19)</f>
        <v>147003</v>
      </c>
      <c r="D19" s="20">
        <f>SUM(Jul!F19, Aug!F19, Sep!D19)</f>
        <v>192843</v>
      </c>
      <c r="E19" s="20">
        <f t="shared" si="3"/>
        <v>-45840</v>
      </c>
      <c r="F19" s="21">
        <f t="shared" si="4"/>
        <v>-0.23770632068573919</v>
      </c>
      <c r="G19" s="22">
        <f>SUM(Jul!I19, Aug!K19, Sep!I19)</f>
        <v>94904.446323264798</v>
      </c>
      <c r="H19" s="22">
        <f>SUM(Jul!J19, Aug!J19, Sep!H19)</f>
        <v>-33272.111999999994</v>
      </c>
      <c r="I19" s="21">
        <f t="shared" si="5"/>
        <v>-0.35058538655468341</v>
      </c>
    </row>
    <row r="20" spans="1:9" ht="15.75">
      <c r="A20" s="13" t="str">
        <v>CA: Selma - Citi</v>
      </c>
      <c r="B20" s="10" t="str">
        <v>CA</v>
      </c>
      <c r="C20" s="37">
        <f>SUM(Jul!C20, Aug!C20, Sep!C20)</f>
        <v>91984</v>
      </c>
      <c r="D20" s="14">
        <f>SUM(Jul!F20, Aug!F20, Sep!D20)</f>
        <v>111286</v>
      </c>
      <c r="E20" s="14">
        <f t="shared" si="3"/>
        <v>-19302</v>
      </c>
      <c r="F20" s="15">
        <f t="shared" si="4"/>
        <v>-0.17344499757381882</v>
      </c>
      <c r="G20" s="16">
        <f>SUM(Jul!I20, Aug!K20, Sep!I20)</f>
        <v>57505.444798894532</v>
      </c>
      <c r="H20" s="16">
        <f>SUM(Jul!J20, Aug!J20, Sep!H20)</f>
        <v>-17860.801999999996</v>
      </c>
      <c r="I20" s="17">
        <f t="shared" si="5"/>
        <v>-0.31059323273582168</v>
      </c>
    </row>
    <row r="21" spans="1:9" ht="15.75">
      <c r="A21" s="19" t="str">
        <v>CA: Vacaville Hospital</v>
      </c>
      <c r="B21" s="11" t="str">
        <v>CA</v>
      </c>
      <c r="C21" s="42">
        <f>SUM(Jul!C21, Aug!C21, Sep!C21)</f>
        <v>664465.75</v>
      </c>
      <c r="D21" s="20">
        <f>SUM(Jul!F21, Aug!F21, Sep!D21)</f>
        <v>771284</v>
      </c>
      <c r="E21" s="20">
        <f>SUM(Jul!G21, Aug!G21, Sep!E21)</f>
        <v>-106818.25</v>
      </c>
      <c r="F21" s="21">
        <f t="shared" si="4"/>
        <v>-0.13849405666395259</v>
      </c>
      <c r="G21" s="22">
        <f>SUM(Jul!I21, Aug!K21, Sep!I21)</f>
        <v>443213.34571666707</v>
      </c>
      <c r="H21" s="22">
        <f>SUM(Jul!J21, Aug!J21, Sep!H21)</f>
        <v>-176659.99900000001</v>
      </c>
      <c r="I21" s="21">
        <f t="shared" si="5"/>
        <v>-0.3985890783914558</v>
      </c>
    </row>
    <row r="22" spans="1:9" ht="15.75">
      <c r="A22" s="13" t="str">
        <v>CA: Manteca - KP Manteca Hospital</v>
      </c>
      <c r="B22" s="10" t="str">
        <v>CA</v>
      </c>
      <c r="C22" s="37">
        <f>SUM(Jul!C22, Aug!C22, Sep!C22)</f>
        <v>197468.5</v>
      </c>
      <c r="D22" s="14">
        <f>SUM(Jul!F22, Aug!F22, Sep!D22)</f>
        <v>243489.016</v>
      </c>
      <c r="E22" s="14">
        <f>SUM(Jul!G22, Aug!G22, Sep!E22)</f>
        <v>-46020.516000000003</v>
      </c>
      <c r="F22" s="15">
        <f t="shared" si="4"/>
        <v>-0.18900448470332643</v>
      </c>
      <c r="G22" s="16">
        <f>SUM(Jul!I22, Aug!K22, Sep!I22)</f>
        <v>108621.94809317647</v>
      </c>
      <c r="H22" s="16">
        <f>SUM(Jul!J22, Aug!J22, Sep!H22)</f>
        <v>-9253.7250000000058</v>
      </c>
      <c r="I22" s="17">
        <f t="shared" si="5"/>
        <v>-8.5192036806982258E-2</v>
      </c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">
    <cfRule type="cellIs" dxfId="32" priority="7" stopIfTrue="1" operator="lessThanOrEqual">
      <formula>-0.1</formula>
    </cfRule>
    <cfRule type="expression" dxfId="31" priority="8">
      <formula>AND(ISNUMBER(F2), F2&gt;=0.1)</formula>
    </cfRule>
  </conditionalFormatting>
  <conditionalFormatting sqref="F4:F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conditionalFormatting sqref="I4:I100">
    <cfRule type="cellIs" dxfId="28" priority="3" stopIfTrue="1" operator="lessThanOrEqual">
      <formula>-0.1</formula>
    </cfRule>
    <cfRule type="expression" dxfId="27" priority="4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22" activePane="bottomLeft" state="frozen"/>
      <selection pane="bottomLeft" activeCell="A22" sqref="A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16</v>
      </c>
      <c r="E1" s="88"/>
      <c r="F1" s="88"/>
      <c r="G1" s="86" t="s">
        <v>17</v>
      </c>
      <c r="H1" s="86"/>
      <c r="I1" s="86"/>
    </row>
    <row r="2" spans="1:9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topLeftCell="B1" workbookViewId="0">
      <pane ySplit="3" topLeftCell="A4" activePane="bottomLeft" state="frozen"/>
      <selection pane="bottomLeft" activeCell="E2" sqref="E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8.140625" customWidth="1"/>
    <col min="5" max="5" width="26.42578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20</v>
      </c>
      <c r="G1" s="88"/>
      <c r="H1" s="88"/>
      <c r="I1" s="86" t="s">
        <v>21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SUM(C4:C99)</f>
        <v>761476.62</v>
      </c>
      <c r="D2" s="6">
        <f>SUM(D4:D22)</f>
        <v>909284</v>
      </c>
      <c r="E2" s="7">
        <f>C2/D2</f>
        <v>0.83744640838285944</v>
      </c>
      <c r="F2" s="6">
        <f>SUM(F4:F99)</f>
        <v>875402.63500000001</v>
      </c>
      <c r="G2" s="6">
        <f>C2-F2</f>
        <v>-113926.01500000001</v>
      </c>
      <c r="H2" s="7">
        <f>IFERROR(G2/F2, 0)</f>
        <v>-0.13014127493459055</v>
      </c>
      <c r="I2" s="6">
        <f>SUM(I4:I99)</f>
        <v>819042.32600000012</v>
      </c>
      <c r="J2" s="8">
        <f>C2-I2</f>
        <v>-57565.706000000122</v>
      </c>
      <c r="K2" s="7">
        <f>IFERROR(J2/I2, 0)</f>
        <v>-7.028416502128379E-2</v>
      </c>
      <c r="L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2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4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79">
        <v>26935</v>
      </c>
      <c r="E4" s="80">
        <f>C4/D4</f>
        <v>0.88298682012251717</v>
      </c>
      <c r="F4" s="14">
        <v>26802</v>
      </c>
      <c r="G4" s="14">
        <f>IF(AND(ISNUMBER(C4),ISNUMBER(F4)), C4-F4, "")</f>
        <v>-3018.75</v>
      </c>
      <c r="H4" s="15">
        <f>IFERROR(G4/F4, "")</f>
        <v>-0.11263152003581822</v>
      </c>
      <c r="I4" s="16">
        <v>25333.654999999999</v>
      </c>
      <c r="J4" s="16">
        <f>IF(AND(ISNUMBER(C4),ISNUMBER(I4)), C4-I4, "")</f>
        <v>-1550.4049999999988</v>
      </c>
      <c r="K4" s="17">
        <f>IFERROR(J4/I4, "")</f>
        <v>-6.1199420296834346E-2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77142</v>
      </c>
      <c r="D5" s="12">
        <v>88103</v>
      </c>
      <c r="E5" s="81">
        <f t="shared" ref="E5:E22" si="0">C5/D5</f>
        <v>0.87558879947334367</v>
      </c>
      <c r="F5" s="20">
        <v>87662</v>
      </c>
      <c r="G5" s="20">
        <f t="shared" ref="G5:G6" si="1">IF(AND(ISNUMBER(C5),ISNUMBER(F5)), C5-F5, "")</f>
        <v>-10520</v>
      </c>
      <c r="H5" s="21">
        <f>IFERROR(G5/F5, "")</f>
        <v>-0.12000638817275444</v>
      </c>
      <c r="I5" s="22">
        <v>82559.584000000003</v>
      </c>
      <c r="J5" s="22">
        <f t="shared" ref="J5:J6" si="2">IF(AND(ISNUMBER(C5),ISNUMBER(I5)), C5-I5, "")</f>
        <v>-5417.5840000000026</v>
      </c>
      <c r="K5" s="21">
        <f t="shared" ref="K5:K6" si="3">IFERROR(J5/I5, "")</f>
        <v>-6.5620291885191695E-2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32833</v>
      </c>
      <c r="D6" s="79">
        <v>30338</v>
      </c>
      <c r="E6" s="80">
        <f t="shared" si="0"/>
        <v>1.0822400949304503</v>
      </c>
      <c r="F6" s="14">
        <v>29586</v>
      </c>
      <c r="G6" s="14">
        <f t="shared" si="1"/>
        <v>3247</v>
      </c>
      <c r="H6" s="15">
        <f t="shared" ref="H6:H15" si="4">IFERROR(G6/F6, "")</f>
        <v>0.10974785371459474</v>
      </c>
      <c r="I6" s="16">
        <v>39905.663</v>
      </c>
      <c r="J6" s="16">
        <f t="shared" si="2"/>
        <v>-7072.6630000000005</v>
      </c>
      <c r="K6" s="17">
        <f t="shared" si="3"/>
        <v>-0.1772345694394302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45130</v>
      </c>
      <c r="D7" s="12">
        <v>55259</v>
      </c>
      <c r="E7" s="81">
        <f t="shared" si="0"/>
        <v>0.81669954215602891</v>
      </c>
      <c r="F7" s="20">
        <v>54986</v>
      </c>
      <c r="G7" s="20">
        <f t="shared" ref="G7:G15" si="5">IF(AND(ISNUMBER(C7),ISNUMBER(F7)), C7-F7, "")</f>
        <v>-9856</v>
      </c>
      <c r="H7" s="21">
        <f t="shared" si="4"/>
        <v>-0.17924562615938602</v>
      </c>
      <c r="I7" s="22">
        <v>50117.35</v>
      </c>
      <c r="J7" s="22">
        <f t="shared" ref="J7:J15" si="6">IF(AND(ISNUMBER(C7),ISNUMBER(I7)), C7-I7, "")</f>
        <v>-4987.3499999999985</v>
      </c>
      <c r="K7" s="21">
        <f t="shared" ref="K7:K15" si="7">IFERROR(J7/I7, "")</f>
        <v>-9.9513441951739237E-2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22326</v>
      </c>
      <c r="D8" s="79">
        <v>30535</v>
      </c>
      <c r="E8" s="80">
        <f t="shared" si="0"/>
        <v>0.73116096282953991</v>
      </c>
      <c r="F8" s="14">
        <v>30384.634999999998</v>
      </c>
      <c r="G8" s="14">
        <f t="shared" si="5"/>
        <v>-8058.6349999999984</v>
      </c>
      <c r="H8" s="15">
        <f t="shared" si="4"/>
        <v>-0.26522072751573283</v>
      </c>
      <c r="I8" s="16">
        <v>28265.13</v>
      </c>
      <c r="J8" s="16">
        <f t="shared" si="6"/>
        <v>-5939.130000000001</v>
      </c>
      <c r="K8" s="17">
        <f t="shared" si="7"/>
        <v>-0.21012215404634618</v>
      </c>
      <c r="L8" s="18" t="s">
        <v>24</v>
      </c>
      <c r="M8" s="18" t="s">
        <v>25</v>
      </c>
    </row>
    <row r="9" spans="1:13" ht="15.75">
      <c r="A9" s="32" t="str">
        <v>CA: Fresno Sequioa - Citi</v>
      </c>
      <c r="B9" s="33" t="str">
        <v>CA</v>
      </c>
      <c r="C9" s="12">
        <v>54028.75</v>
      </c>
      <c r="D9" s="12">
        <v>54436</v>
      </c>
      <c r="E9" s="81">
        <f t="shared" si="0"/>
        <v>0.99251873760011755</v>
      </c>
      <c r="F9" s="20">
        <v>54179</v>
      </c>
      <c r="G9" s="20">
        <f t="shared" si="5"/>
        <v>-150.25</v>
      </c>
      <c r="H9" s="21">
        <f t="shared" si="4"/>
        <v>-2.7732147141881539E-3</v>
      </c>
      <c r="I9" s="22">
        <v>60597.623</v>
      </c>
      <c r="J9" s="22">
        <f t="shared" si="6"/>
        <v>-6568.8729999999996</v>
      </c>
      <c r="K9" s="21">
        <f t="shared" si="7"/>
        <v>-0.10840149621050317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23116</v>
      </c>
      <c r="D10" s="79">
        <v>21918</v>
      </c>
      <c r="E10" s="80">
        <f t="shared" si="0"/>
        <v>1.0546582717401223</v>
      </c>
      <c r="F10" s="14">
        <v>21868</v>
      </c>
      <c r="G10" s="14">
        <f t="shared" si="5"/>
        <v>1248</v>
      </c>
      <c r="H10" s="15">
        <f t="shared" si="4"/>
        <v>5.7069690872507774E-2</v>
      </c>
      <c r="I10" s="16">
        <v>24310.019</v>
      </c>
      <c r="J10" s="16">
        <f t="shared" si="6"/>
        <v>-1194.0190000000002</v>
      </c>
      <c r="K10" s="17">
        <f t="shared" si="7"/>
        <v>-4.9116333475510664E-2</v>
      </c>
      <c r="L10" s="45"/>
      <c r="M10" s="45"/>
    </row>
    <row r="11" spans="1:13" ht="15.75">
      <c r="A11" s="32" t="str">
        <v>CA: Modesto Bangs - Citi</v>
      </c>
      <c r="B11" s="33" t="str">
        <v>CA</v>
      </c>
      <c r="C11" s="12">
        <v>12386.25</v>
      </c>
      <c r="D11" s="12">
        <v>12108</v>
      </c>
      <c r="E11" s="81">
        <f t="shared" si="0"/>
        <v>1.0229806739345888</v>
      </c>
      <c r="F11" s="20">
        <v>12166</v>
      </c>
      <c r="G11" s="20">
        <f t="shared" si="5"/>
        <v>220.25</v>
      </c>
      <c r="H11" s="21">
        <f t="shared" si="4"/>
        <v>1.8103731711326648E-2</v>
      </c>
      <c r="I11" s="22">
        <v>13154.418</v>
      </c>
      <c r="J11" s="22">
        <f t="shared" si="6"/>
        <v>-768.16799999999967</v>
      </c>
      <c r="K11" s="21">
        <f t="shared" si="7"/>
        <v>-5.8396198144228022E-2</v>
      </c>
      <c r="L11" s="46"/>
      <c r="M11" s="47"/>
    </row>
    <row r="12" spans="1:13" ht="28.5">
      <c r="A12" s="30" t="str">
        <v>CA: Napa Data Center - Citi</v>
      </c>
      <c r="B12" s="31" t="str">
        <v>CA</v>
      </c>
      <c r="C12" s="26">
        <v>13910.87</v>
      </c>
      <c r="D12" s="79">
        <v>18607</v>
      </c>
      <c r="E12" s="80">
        <f t="shared" si="0"/>
        <v>0.7476148761218897</v>
      </c>
      <c r="F12" s="14">
        <v>18187</v>
      </c>
      <c r="G12" s="14">
        <f t="shared" si="5"/>
        <v>-4276.1299999999992</v>
      </c>
      <c r="H12" s="15">
        <f t="shared" si="4"/>
        <v>-0.23512014075988338</v>
      </c>
      <c r="I12" s="16">
        <v>17420.203000000001</v>
      </c>
      <c r="J12" s="16">
        <f t="shared" si="6"/>
        <v>-3509.3330000000005</v>
      </c>
      <c r="K12" s="17">
        <f t="shared" si="7"/>
        <v>-0.20145190041700434</v>
      </c>
      <c r="L12" s="45" t="s">
        <v>26</v>
      </c>
      <c r="M12" s="45" t="s">
        <v>27</v>
      </c>
    </row>
    <row r="13" spans="1:13" ht="15.75">
      <c r="A13" s="32" t="str">
        <v>CA: Petaluma MOB - Citi</v>
      </c>
      <c r="B13" s="33" t="str">
        <v>CA</v>
      </c>
      <c r="C13" s="12">
        <v>33858.75</v>
      </c>
      <c r="D13" s="12">
        <v>45402</v>
      </c>
      <c r="E13" s="81">
        <f t="shared" si="0"/>
        <v>0.74575459230870889</v>
      </c>
      <c r="F13" s="20">
        <v>43911</v>
      </c>
      <c r="G13" s="20">
        <f t="shared" si="5"/>
        <v>-10052.25</v>
      </c>
      <c r="H13" s="21">
        <f t="shared" si="4"/>
        <v>-0.22892327662772427</v>
      </c>
      <c r="I13" s="22">
        <v>41451.396000000001</v>
      </c>
      <c r="J13" s="22">
        <f t="shared" si="6"/>
        <v>-7592.6460000000006</v>
      </c>
      <c r="K13" s="21">
        <f t="shared" si="7"/>
        <v>-0.18316985029888982</v>
      </c>
      <c r="L13" s="46" t="s">
        <v>28</v>
      </c>
      <c r="M13" s="46" t="s">
        <v>29</v>
      </c>
    </row>
    <row r="14" spans="1:13" ht="15.75">
      <c r="A14" s="30" t="str">
        <v>CA: Pleasanton Tec Ctr - Citi</v>
      </c>
      <c r="B14" s="31" t="str">
        <v>CA</v>
      </c>
      <c r="C14" s="26">
        <v>45268</v>
      </c>
      <c r="D14" s="79">
        <v>61178</v>
      </c>
      <c r="E14" s="80">
        <f t="shared" si="0"/>
        <v>0.73993919382784656</v>
      </c>
      <c r="F14" s="14">
        <v>60582</v>
      </c>
      <c r="G14" s="14">
        <f t="shared" si="5"/>
        <v>-15314</v>
      </c>
      <c r="H14" s="15">
        <f t="shared" si="4"/>
        <v>-0.25278135419761644</v>
      </c>
      <c r="I14" s="16">
        <v>54214.860999999997</v>
      </c>
      <c r="J14" s="16">
        <f t="shared" si="6"/>
        <v>-8946.8609999999971</v>
      </c>
      <c r="K14" s="17">
        <f t="shared" si="7"/>
        <v>-0.16502598798510243</v>
      </c>
      <c r="L14" s="45"/>
      <c r="M14" s="45"/>
    </row>
    <row r="15" spans="1:13" ht="15.75">
      <c r="A15" s="32" t="str">
        <v>CA: Rancho Cordova - Citi</v>
      </c>
      <c r="B15" s="33" t="str">
        <v>CA</v>
      </c>
      <c r="C15" s="12">
        <v>81162.5</v>
      </c>
      <c r="D15" s="12">
        <v>89790</v>
      </c>
      <c r="E15" s="81">
        <f t="shared" si="0"/>
        <v>0.90391468983182988</v>
      </c>
      <c r="F15" s="20">
        <v>89248</v>
      </c>
      <c r="G15" s="20">
        <f t="shared" si="5"/>
        <v>-8085.5</v>
      </c>
      <c r="H15" s="21">
        <f t="shared" si="4"/>
        <v>-9.0595867694514165E-2</v>
      </c>
      <c r="I15" s="22">
        <v>85149.357999999993</v>
      </c>
      <c r="J15" s="22">
        <f t="shared" si="6"/>
        <v>-3986.8579999999929</v>
      </c>
      <c r="K15" s="21">
        <f t="shared" si="7"/>
        <v>-4.6821938457833036E-2</v>
      </c>
      <c r="L15" s="46"/>
      <c r="M15" s="47"/>
    </row>
    <row r="16" spans="1:13" ht="15.75">
      <c r="A16" s="30" t="str">
        <v>CA: S Sacramento Wyndham - Citi</v>
      </c>
      <c r="B16" s="31" t="str">
        <v>CA</v>
      </c>
      <c r="C16" s="37">
        <v>38853.75</v>
      </c>
      <c r="D16" s="79">
        <v>47416</v>
      </c>
      <c r="E16" s="80">
        <f t="shared" si="0"/>
        <v>0.81942276868567576</v>
      </c>
      <c r="F16" s="14">
        <v>47087</v>
      </c>
      <c r="G16" s="14">
        <f t="shared" ref="G16:G21" si="8">IF(AND(ISNUMBER(C16),ISNUMBER(F16)), C16-F16, "")</f>
        <v>-8233.25</v>
      </c>
      <c r="H16" s="38">
        <f t="shared" ref="H16:H21" si="9">IFERROR(G16/F16, "")</f>
        <v>-0.17485186994287172</v>
      </c>
      <c r="I16" s="39">
        <v>39156.317000000003</v>
      </c>
      <c r="J16" s="39">
        <f t="shared" ref="J16:J21" si="10">IF(AND(ISNUMBER(C16),ISNUMBER(I16)), C16-I16, "")</f>
        <v>-302.56700000000274</v>
      </c>
      <c r="K16" s="40">
        <f t="shared" ref="K16:K21" si="11">IFERROR(J16/I16, "")</f>
        <v>-7.7271567701324593E-3</v>
      </c>
      <c r="L16" s="48"/>
      <c r="M16" s="48"/>
    </row>
    <row r="17" spans="1:13" ht="43.15">
      <c r="A17" s="32" t="str">
        <v>CA: Sacramento Point West - Citi</v>
      </c>
      <c r="B17" s="33" t="str">
        <v>CA</v>
      </c>
      <c r="C17" s="42">
        <v>61132.5</v>
      </c>
      <c r="D17" s="12">
        <v>90699</v>
      </c>
      <c r="E17" s="81">
        <f t="shared" si="0"/>
        <v>0.67401514900936066</v>
      </c>
      <c r="F17" s="20">
        <v>90683</v>
      </c>
      <c r="G17" s="20">
        <f t="shared" si="8"/>
        <v>-29550.5</v>
      </c>
      <c r="H17" s="43">
        <f t="shared" si="9"/>
        <v>-0.32586592856433949</v>
      </c>
      <c r="I17" s="44">
        <v>84913.76</v>
      </c>
      <c r="J17" s="44">
        <f t="shared" si="10"/>
        <v>-23781.259999999995</v>
      </c>
      <c r="K17" s="43">
        <f t="shared" si="11"/>
        <v>-0.28006367872533255</v>
      </c>
      <c r="L17" s="55" t="s">
        <v>30</v>
      </c>
      <c r="M17" s="47" t="s">
        <v>31</v>
      </c>
    </row>
    <row r="18" spans="1:13" ht="15.75">
      <c r="A18" s="30" t="str">
        <v>CA: San Jose FHC - Citi</v>
      </c>
      <c r="B18" s="31" t="str">
        <v>CA</v>
      </c>
      <c r="C18" s="37">
        <v>16855.75</v>
      </c>
      <c r="D18" s="79">
        <v>22812</v>
      </c>
      <c r="E18" s="80">
        <f t="shared" si="0"/>
        <v>0.73889838681395759</v>
      </c>
      <c r="F18" s="14">
        <v>23498</v>
      </c>
      <c r="G18" s="14">
        <f t="shared" si="8"/>
        <v>-6642.25</v>
      </c>
      <c r="H18" s="38">
        <f t="shared" si="9"/>
        <v>-0.28267299344625074</v>
      </c>
      <c r="I18" s="39">
        <v>19495.032999999999</v>
      </c>
      <c r="J18" s="39">
        <f t="shared" si="10"/>
        <v>-2639.2829999999994</v>
      </c>
      <c r="K18" s="40">
        <f t="shared" si="11"/>
        <v>-0.13538233046335441</v>
      </c>
      <c r="L18" s="48" t="s">
        <v>32</v>
      </c>
      <c r="M18" s="48" t="s">
        <v>33</v>
      </c>
    </row>
    <row r="19" spans="1:13" ht="15.75">
      <c r="A19" s="32" t="str">
        <v>CA: San Jose MOB - Citi</v>
      </c>
      <c r="B19" s="33" t="str">
        <v>CA</v>
      </c>
      <c r="C19" s="42">
        <v>22890.75</v>
      </c>
      <c r="D19" s="12">
        <v>37720</v>
      </c>
      <c r="E19" s="81">
        <f t="shared" si="0"/>
        <v>0.60685975609756093</v>
      </c>
      <c r="F19" s="20">
        <v>38233</v>
      </c>
      <c r="G19" s="20">
        <f t="shared" si="8"/>
        <v>-15342.25</v>
      </c>
      <c r="H19" s="43">
        <f t="shared" si="9"/>
        <v>-0.40128292312923391</v>
      </c>
      <c r="I19" s="44">
        <v>30904.094000000001</v>
      </c>
      <c r="J19" s="44">
        <f t="shared" si="10"/>
        <v>-8013.344000000001</v>
      </c>
      <c r="K19" s="43">
        <f t="shared" si="11"/>
        <v>-0.25929716625894295</v>
      </c>
      <c r="L19" s="46" t="s">
        <v>34</v>
      </c>
      <c r="M19" s="47" t="s">
        <v>35</v>
      </c>
    </row>
    <row r="20" spans="1:13" ht="15.75">
      <c r="A20" s="30" t="str">
        <v>CA: Selma - Citi</v>
      </c>
      <c r="B20" s="31" t="str">
        <v>CA</v>
      </c>
      <c r="C20" s="37">
        <v>16830.5</v>
      </c>
      <c r="D20" s="79">
        <v>15404</v>
      </c>
      <c r="E20" s="80">
        <f t="shared" si="0"/>
        <v>1.0926058166709947</v>
      </c>
      <c r="F20" s="14">
        <v>15271</v>
      </c>
      <c r="G20" s="14">
        <f t="shared" si="8"/>
        <v>1559.5</v>
      </c>
      <c r="H20" s="38">
        <f t="shared" si="9"/>
        <v>0.10212166852203523</v>
      </c>
      <c r="I20" s="39">
        <v>19231.669999999998</v>
      </c>
      <c r="J20" s="39">
        <f t="shared" si="10"/>
        <v>-2401.1699999999983</v>
      </c>
      <c r="K20" s="40">
        <f t="shared" si="11"/>
        <v>-0.12485499179218437</v>
      </c>
      <c r="L20" s="48"/>
      <c r="M20" s="48"/>
    </row>
    <row r="21" spans="1:13" ht="15.75">
      <c r="A21" s="32" t="str">
        <v>CA: Vacaville Hospital</v>
      </c>
      <c r="B21" s="33" t="str">
        <v>CA</v>
      </c>
      <c r="C21" s="42">
        <v>105587</v>
      </c>
      <c r="D21" s="12">
        <v>130651</v>
      </c>
      <c r="E21" s="81">
        <f t="shared" si="0"/>
        <v>0.80816067232550837</v>
      </c>
      <c r="F21" s="20">
        <v>131069</v>
      </c>
      <c r="G21" s="20">
        <f t="shared" si="8"/>
        <v>-25482</v>
      </c>
      <c r="H21" s="43">
        <f t="shared" si="9"/>
        <v>-0.19441668129000755</v>
      </c>
      <c r="I21" s="44">
        <v>102862.192</v>
      </c>
      <c r="J21" s="44">
        <f t="shared" si="10"/>
        <v>2724.8080000000045</v>
      </c>
      <c r="K21" s="43">
        <f t="shared" si="11"/>
        <v>2.6489888529694222E-2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34381</v>
      </c>
      <c r="D22" s="79">
        <v>29973</v>
      </c>
      <c r="E22" s="80">
        <f t="shared" si="0"/>
        <v>1.1470656924565443</v>
      </c>
      <c r="F22" s="14">
        <v>0</v>
      </c>
      <c r="G22" s="14">
        <f>IF(AND(ISNUMBER(C22),ISNUMBER(F22)), C22-F22, "")</f>
        <v>34381</v>
      </c>
      <c r="H22" s="38">
        <f>IFERROR(G22/F22, 0)</f>
        <v>0</v>
      </c>
      <c r="I22" s="39">
        <v>0</v>
      </c>
      <c r="J22" s="39">
        <f>IF(AND(ISNUMBER(C22),ISNUMBER(I22)), C22-I22, "")</f>
        <v>34381</v>
      </c>
      <c r="K22" s="40">
        <f>IFERROR(J22/I22, 0)</f>
        <v>0</v>
      </c>
      <c r="L22" s="48"/>
      <c r="M22" s="48"/>
    </row>
    <row r="23" spans="1:13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3.9">
      <c r="A25" s="23"/>
      <c r="M25" s="23"/>
    </row>
    <row r="26" spans="1:13" ht="13.9">
      <c r="A26" s="23"/>
      <c r="M26" s="23"/>
    </row>
    <row r="27" spans="1:13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35"/>
      <c r="C29" s="35"/>
      <c r="D29" s="35"/>
      <c r="E29" s="35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35"/>
      <c r="C30" s="35"/>
      <c r="D30" s="35"/>
      <c r="E30" s="35"/>
      <c r="F30" s="23"/>
      <c r="G30" s="23"/>
      <c r="H30" s="23"/>
      <c r="I30" s="23"/>
      <c r="J30" s="23"/>
      <c r="K30" s="23"/>
      <c r="L30" s="23"/>
      <c r="M30" s="23"/>
    </row>
    <row r="31" spans="1:13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</sheetData>
  <mergeCells count="4">
    <mergeCell ref="F1:H1"/>
    <mergeCell ref="A1:C1"/>
    <mergeCell ref="I1:K1"/>
    <mergeCell ref="A2:B2"/>
  </mergeCells>
  <conditionalFormatting sqref="H2 K2 H4:H24 K4:K24 H27:H28 K27:K28 I29:I30 L29:L30 H31:H99 K31:K99">
    <cfRule type="cellIs" dxfId="24" priority="2" stopIfTrue="1" operator="lessThanOrEqual">
      <formula>-0.1</formula>
    </cfRule>
    <cfRule type="expression" dxfId="23" priority="3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workbookViewId="0">
      <pane ySplit="2" topLeftCell="A3" activePane="bottomLeft" state="frozen"/>
      <selection pane="bottomLeft" activeCell="E3" sqref="E3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85546875" customWidth="1"/>
    <col min="5" max="5" width="28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36</v>
      </c>
      <c r="G1" s="88"/>
      <c r="H1" s="88"/>
      <c r="I1" s="86" t="s">
        <v>37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SUM(C4:C100)</f>
        <v>1148130.9000000001</v>
      </c>
      <c r="D2" s="6">
        <f>SUM(D4:D22)</f>
        <v>1192647</v>
      </c>
      <c r="E2" s="7">
        <f>C2/D2</f>
        <v>0.96267453823302296</v>
      </c>
      <c r="F2" s="6">
        <f>SUM(F4:F100)</f>
        <v>1139799.1600000001</v>
      </c>
      <c r="G2" s="6">
        <f>C2-F2</f>
        <v>8331.7399999999907</v>
      </c>
      <c r="H2" s="7">
        <f>IFERROR(G2/F2, 0)</f>
        <v>7.3098316724500741E-3</v>
      </c>
      <c r="I2" s="6">
        <f>SUM(I4:I100)</f>
        <v>1229355.344</v>
      </c>
      <c r="J2" s="8">
        <f>C2-I2</f>
        <v>-81224.443999999901</v>
      </c>
      <c r="K2" s="7">
        <f>IFERROR(J2/I2, 0)</f>
        <v>-6.6070761717858445E-2</v>
      </c>
      <c r="L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79">
        <v>33838</v>
      </c>
      <c r="E4" s="80">
        <f>C4/D4</f>
        <v>0.99175483184585378</v>
      </c>
      <c r="F4" s="14">
        <v>33671</v>
      </c>
      <c r="G4" s="14">
        <f>IF(AND(ISNUMBER(C4),ISNUMBER(F4)), C4-F4, "")</f>
        <v>-112</v>
      </c>
      <c r="H4" s="15">
        <f>IFERROR(G4/F4, "")</f>
        <v>-3.3263045350598436E-3</v>
      </c>
      <c r="I4" s="16">
        <v>34392.864999999998</v>
      </c>
      <c r="J4" s="16">
        <f>IF(AND(ISNUMBER(C4),ISNUMBER(I4)), C4-I4, "")</f>
        <v>-833.86499999999796</v>
      </c>
      <c r="K4" s="17">
        <f>IFERROR(J4/I4, "")</f>
        <v>-2.4245290411252392E-2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110890</v>
      </c>
      <c r="D5" s="12">
        <v>111656</v>
      </c>
      <c r="E5" s="81">
        <f t="shared" ref="E5:E22" si="0">C5/D5</f>
        <v>0.99313964318979719</v>
      </c>
      <c r="F5" s="20">
        <v>111096</v>
      </c>
      <c r="G5" s="20">
        <f t="shared" ref="G5:G15" si="1">IF(AND(ISNUMBER(C5),ISNUMBER(F5)), C5-F5, "")</f>
        <v>-206</v>
      </c>
      <c r="H5" s="21">
        <f>IFERROR(G5/F5, "")</f>
        <v>-1.8542521782962482E-3</v>
      </c>
      <c r="I5" s="22">
        <v>113606.749</v>
      </c>
      <c r="J5" s="22">
        <f t="shared" ref="J5:J15" si="2">IF(AND(ISNUMBER(C5),ISNUMBER(I5)), C5-I5, "")</f>
        <v>-2716.7489999999962</v>
      </c>
      <c r="K5" s="21">
        <f t="shared" ref="K5:K15" si="3">IFERROR(J5/I5, "")</f>
        <v>-2.3913623300672007E-2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48875.75</v>
      </c>
      <c r="D6" s="79">
        <v>46788</v>
      </c>
      <c r="E6" s="80">
        <f t="shared" si="0"/>
        <v>1.0446214841412329</v>
      </c>
      <c r="F6" s="14">
        <v>45628</v>
      </c>
      <c r="G6" s="14">
        <f t="shared" si="1"/>
        <v>3247.75</v>
      </c>
      <c r="H6" s="15">
        <f t="shared" ref="H6:H15" si="4">IFERROR(G6/F6, "")</f>
        <v>7.1178881388621024E-2</v>
      </c>
      <c r="I6" s="16">
        <v>55784.006000000001</v>
      </c>
      <c r="J6" s="16">
        <f t="shared" si="2"/>
        <v>-6908.2560000000012</v>
      </c>
      <c r="K6" s="17">
        <f t="shared" si="3"/>
        <v>-0.12383936714763728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72294.5</v>
      </c>
      <c r="D7" s="12">
        <v>74269</v>
      </c>
      <c r="E7" s="81">
        <f t="shared" si="0"/>
        <v>0.97341421050505594</v>
      </c>
      <c r="F7" s="20">
        <v>73903</v>
      </c>
      <c r="G7" s="20">
        <f t="shared" si="1"/>
        <v>-1608.5</v>
      </c>
      <c r="H7" s="21">
        <f t="shared" si="4"/>
        <v>-2.1765016305156759E-2</v>
      </c>
      <c r="I7" s="22">
        <v>76074.414999999994</v>
      </c>
      <c r="J7" s="22">
        <f t="shared" si="2"/>
        <v>-3779.9149999999936</v>
      </c>
      <c r="K7" s="21">
        <f t="shared" si="3"/>
        <v>-4.9687072848341902E-2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34178.25</v>
      </c>
      <c r="D8" s="79">
        <v>40582</v>
      </c>
      <c r="E8" s="80">
        <f t="shared" si="0"/>
        <v>0.84220220787541278</v>
      </c>
      <c r="F8" s="14">
        <v>40382.160000000003</v>
      </c>
      <c r="G8" s="14">
        <f t="shared" si="1"/>
        <v>-6203.9100000000035</v>
      </c>
      <c r="H8" s="15">
        <f t="shared" si="4"/>
        <v>-0.15362996927356048</v>
      </c>
      <c r="I8" s="16">
        <v>42366.747000000003</v>
      </c>
      <c r="J8" s="16">
        <f t="shared" si="2"/>
        <v>-8188.497000000003</v>
      </c>
      <c r="K8" s="17">
        <f t="shared" si="3"/>
        <v>-0.19327650999497323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87690.75</v>
      </c>
      <c r="D9" s="12">
        <v>83832</v>
      </c>
      <c r="E9" s="81">
        <f t="shared" si="0"/>
        <v>1.0460295591182365</v>
      </c>
      <c r="F9" s="20">
        <v>83436</v>
      </c>
      <c r="G9" s="20">
        <f t="shared" si="1"/>
        <v>4254.75</v>
      </c>
      <c r="H9" s="21">
        <f t="shared" si="4"/>
        <v>5.0994175176182946E-2</v>
      </c>
      <c r="I9" s="22">
        <v>90443.702999999994</v>
      </c>
      <c r="J9" s="22">
        <f t="shared" si="2"/>
        <v>-2752.9529999999941</v>
      </c>
      <c r="K9" s="21">
        <f t="shared" si="3"/>
        <v>-3.0438304809346364E-2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33643.129999999997</v>
      </c>
      <c r="D10" s="79">
        <v>33738</v>
      </c>
      <c r="E10" s="80">
        <f t="shared" si="0"/>
        <v>0.99718803722805138</v>
      </c>
      <c r="F10" s="14">
        <v>33625</v>
      </c>
      <c r="G10" s="14">
        <f t="shared" si="1"/>
        <v>18.129999999997381</v>
      </c>
      <c r="H10" s="15">
        <f t="shared" si="4"/>
        <v>5.3918215613375114E-4</v>
      </c>
      <c r="I10" s="16">
        <v>33875.379000000001</v>
      </c>
      <c r="J10" s="16">
        <f t="shared" si="2"/>
        <v>-232.24900000000343</v>
      </c>
      <c r="K10" s="17">
        <f t="shared" si="3"/>
        <v>-6.8559823345446091E-3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18676.37</v>
      </c>
      <c r="D11" s="12">
        <v>20448</v>
      </c>
      <c r="E11" s="81">
        <f t="shared" si="0"/>
        <v>0.91335925273865415</v>
      </c>
      <c r="F11" s="20">
        <v>20450</v>
      </c>
      <c r="G11" s="20">
        <f t="shared" si="1"/>
        <v>-1773.630000000001</v>
      </c>
      <c r="H11" s="21">
        <f t="shared" si="4"/>
        <v>-8.6730073349633299E-2</v>
      </c>
      <c r="I11" s="22">
        <v>19457.063999999998</v>
      </c>
      <c r="J11" s="22">
        <f t="shared" si="2"/>
        <v>-780.69399999999951</v>
      </c>
      <c r="K11" s="21">
        <f t="shared" si="3"/>
        <v>-4.0123936478802739E-2</v>
      </c>
      <c r="L11" s="11"/>
      <c r="M11" s="11"/>
    </row>
    <row r="12" spans="1:13" ht="15.75">
      <c r="A12" s="30" t="str">
        <v>CA: Napa Data Center - Citi</v>
      </c>
      <c r="B12" s="31" t="str">
        <v>CA</v>
      </c>
      <c r="C12" s="26">
        <v>19292</v>
      </c>
      <c r="D12" s="79">
        <v>22694</v>
      </c>
      <c r="E12" s="80">
        <f t="shared" si="0"/>
        <v>0.85009253547193087</v>
      </c>
      <c r="F12" s="14">
        <v>22187</v>
      </c>
      <c r="G12" s="14">
        <f t="shared" si="1"/>
        <v>-2895</v>
      </c>
      <c r="H12" s="15">
        <f t="shared" si="4"/>
        <v>-0.13048181367467435</v>
      </c>
      <c r="I12" s="16">
        <v>23401.866000000002</v>
      </c>
      <c r="J12" s="16">
        <f t="shared" si="2"/>
        <v>-4109.8660000000018</v>
      </c>
      <c r="K12" s="17">
        <f t="shared" si="3"/>
        <v>-0.17562129447284253</v>
      </c>
      <c r="L12" s="58" t="s">
        <v>38</v>
      </c>
      <c r="M12" s="58" t="s">
        <v>39</v>
      </c>
    </row>
    <row r="13" spans="1:13" ht="15.75">
      <c r="A13" s="32" t="str">
        <v>CA: Petaluma MOB - Citi</v>
      </c>
      <c r="B13" s="33" t="str">
        <v>CA</v>
      </c>
      <c r="C13" s="12">
        <v>45005</v>
      </c>
      <c r="D13" s="12">
        <v>52699</v>
      </c>
      <c r="E13" s="81">
        <f t="shared" si="0"/>
        <v>0.85400102468737549</v>
      </c>
      <c r="F13" s="20">
        <v>50968</v>
      </c>
      <c r="G13" s="20">
        <f t="shared" si="1"/>
        <v>-5963</v>
      </c>
      <c r="H13" s="21">
        <f t="shared" si="4"/>
        <v>-0.11699497724062156</v>
      </c>
      <c r="I13" s="22">
        <v>53496.512999999999</v>
      </c>
      <c r="J13" s="22">
        <f t="shared" si="2"/>
        <v>-8491.512999999999</v>
      </c>
      <c r="K13" s="21">
        <f t="shared" si="3"/>
        <v>-0.15873021480858013</v>
      </c>
      <c r="L13" s="59" t="s">
        <v>40</v>
      </c>
      <c r="M13" s="59" t="s">
        <v>41</v>
      </c>
    </row>
    <row r="14" spans="1:13" ht="15.75">
      <c r="A14" s="30" t="str">
        <v>CA: Pleasanton Tec Ctr - Citi</v>
      </c>
      <c r="B14" s="31" t="str">
        <v>CA</v>
      </c>
      <c r="C14" s="26">
        <v>61506.5</v>
      </c>
      <c r="D14" s="79">
        <v>71770</v>
      </c>
      <c r="E14" s="80">
        <f t="shared" si="0"/>
        <v>0.85699456597464119</v>
      </c>
      <c r="F14" s="14">
        <v>71319</v>
      </c>
      <c r="G14" s="14">
        <f t="shared" si="1"/>
        <v>-9812.5</v>
      </c>
      <c r="H14" s="15">
        <f t="shared" si="4"/>
        <v>-0.13758605701145557</v>
      </c>
      <c r="I14" s="16">
        <v>73097.040999999997</v>
      </c>
      <c r="J14" s="16">
        <f t="shared" si="2"/>
        <v>-11590.540999999997</v>
      </c>
      <c r="K14" s="17">
        <f t="shared" si="3"/>
        <v>-0.15856375089109281</v>
      </c>
      <c r="L14" s="18" t="s">
        <v>42</v>
      </c>
      <c r="M14" s="18"/>
    </row>
    <row r="15" spans="1:13" ht="15.75">
      <c r="A15" s="32" t="str">
        <v>CA: Rancho Cordova - Citi</v>
      </c>
      <c r="B15" s="33" t="str">
        <v>CA</v>
      </c>
      <c r="C15" s="12">
        <v>122166.5</v>
      </c>
      <c r="D15" s="12">
        <v>116945</v>
      </c>
      <c r="E15" s="81">
        <f t="shared" si="0"/>
        <v>1.0446491940655864</v>
      </c>
      <c r="F15" s="20">
        <v>116239</v>
      </c>
      <c r="G15" s="20">
        <f t="shared" si="1"/>
        <v>5927.5</v>
      </c>
      <c r="H15" s="21">
        <f t="shared" si="4"/>
        <v>5.0994072557403278E-2</v>
      </c>
      <c r="I15" s="22">
        <v>124611.564</v>
      </c>
      <c r="J15" s="22">
        <f t="shared" si="2"/>
        <v>-2445.0639999999985</v>
      </c>
      <c r="K15" s="21">
        <f t="shared" si="3"/>
        <v>-1.9621485530829215E-2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59864.25</v>
      </c>
      <c r="D16" s="79">
        <v>63883</v>
      </c>
      <c r="E16" s="80">
        <f t="shared" si="0"/>
        <v>0.93709202761297994</v>
      </c>
      <c r="F16" s="14">
        <v>63439</v>
      </c>
      <c r="G16" s="14">
        <f t="shared" ref="G16:G22" si="5">IF(AND(ISNUMBER(C16),ISNUMBER(F16)), C16-F16, "")</f>
        <v>-3574.75</v>
      </c>
      <c r="H16" s="38">
        <f t="shared" ref="H16:H22" si="6">IFERROR(G16/F16, "")</f>
        <v>-5.6349406516496163E-2</v>
      </c>
      <c r="I16" s="39">
        <v>60517.139000000003</v>
      </c>
      <c r="J16" s="39">
        <f t="shared" ref="J16:J23" si="7">IF(AND(ISNUMBER(C16),ISNUMBER(I16)), C16-I16, "")</f>
        <v>-652.88900000000285</v>
      </c>
      <c r="K16" s="40">
        <f t="shared" ref="K16:K22" si="8">IFERROR(J16/I16, "")</f>
        <v>-1.0788497453589186E-2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112885.5</v>
      </c>
      <c r="D17" s="12">
        <v>122199</v>
      </c>
      <c r="E17" s="81">
        <f t="shared" si="0"/>
        <v>0.9237841553531535</v>
      </c>
      <c r="F17" s="20">
        <v>122195</v>
      </c>
      <c r="G17" s="20">
        <f t="shared" si="5"/>
        <v>-9309.5</v>
      </c>
      <c r="H17" s="43">
        <f t="shared" si="6"/>
        <v>-7.6185604975653673E-2</v>
      </c>
      <c r="I17" s="44">
        <v>126300.285</v>
      </c>
      <c r="J17" s="44">
        <f t="shared" si="7"/>
        <v>-13414.785000000003</v>
      </c>
      <c r="K17" s="43">
        <f t="shared" si="8"/>
        <v>-0.10621341828326043</v>
      </c>
      <c r="L17" s="11"/>
      <c r="M17" s="11"/>
    </row>
    <row r="18" spans="1:13" ht="31.9" customHeight="1">
      <c r="A18" s="30" t="str">
        <v>CA: San Jose FHC - Citi</v>
      </c>
      <c r="B18" s="31" t="str">
        <v>CA</v>
      </c>
      <c r="C18" s="37">
        <v>22462.87</v>
      </c>
      <c r="D18" s="79">
        <v>25813</v>
      </c>
      <c r="E18" s="80">
        <f t="shared" si="0"/>
        <v>0.87021539534343162</v>
      </c>
      <c r="F18" s="14">
        <v>26589</v>
      </c>
      <c r="G18" s="14">
        <f t="shared" si="5"/>
        <v>-4126.130000000001</v>
      </c>
      <c r="H18" s="38">
        <f t="shared" si="6"/>
        <v>-0.15518184211516045</v>
      </c>
      <c r="I18" s="39">
        <v>26197.633999999998</v>
      </c>
      <c r="J18" s="39">
        <f t="shared" si="7"/>
        <v>-3734.7639999999992</v>
      </c>
      <c r="K18" s="40">
        <f t="shared" si="8"/>
        <v>-0.14256111830556911</v>
      </c>
      <c r="L18" s="41" t="s">
        <v>43</v>
      </c>
      <c r="M18" s="41" t="s">
        <v>33</v>
      </c>
    </row>
    <row r="19" spans="1:13" ht="15.75">
      <c r="A19" s="32" t="str">
        <v>CA: San Jose MOB - Citi</v>
      </c>
      <c r="B19" s="33" t="str">
        <v>CA</v>
      </c>
      <c r="C19" s="42">
        <v>35183</v>
      </c>
      <c r="D19" s="12">
        <v>41784</v>
      </c>
      <c r="E19" s="81">
        <f t="shared" si="0"/>
        <v>0.84202086923224195</v>
      </c>
      <c r="F19" s="20">
        <v>42352</v>
      </c>
      <c r="G19" s="20">
        <f t="shared" si="5"/>
        <v>-7169</v>
      </c>
      <c r="H19" s="43">
        <f t="shared" si="6"/>
        <v>-0.16927181715149225</v>
      </c>
      <c r="I19" s="44">
        <v>42492.879000000001</v>
      </c>
      <c r="J19" s="44">
        <f t="shared" si="7"/>
        <v>-7309.8790000000008</v>
      </c>
      <c r="K19" s="43">
        <f t="shared" si="8"/>
        <v>-0.17202597639948097</v>
      </c>
      <c r="L19" s="57" t="s">
        <v>44</v>
      </c>
      <c r="M19" s="57" t="s">
        <v>45</v>
      </c>
    </row>
    <row r="20" spans="1:13" ht="15.75">
      <c r="A20" s="30" t="str">
        <v>CA: Selma - Citi</v>
      </c>
      <c r="B20" s="31" t="str">
        <v>CA</v>
      </c>
      <c r="C20" s="37">
        <v>24445.75</v>
      </c>
      <c r="D20" s="79">
        <v>23767</v>
      </c>
      <c r="E20" s="80">
        <f t="shared" si="0"/>
        <v>1.0285585054908066</v>
      </c>
      <c r="F20" s="14">
        <v>23641</v>
      </c>
      <c r="G20" s="14">
        <f t="shared" si="5"/>
        <v>804.75</v>
      </c>
      <c r="H20" s="38">
        <f t="shared" si="6"/>
        <v>3.4040438221733429E-2</v>
      </c>
      <c r="I20" s="39">
        <v>27180.012999999999</v>
      </c>
      <c r="J20" s="39">
        <f t="shared" si="7"/>
        <v>-2734.262999999999</v>
      </c>
      <c r="K20" s="40">
        <f t="shared" si="8"/>
        <v>-0.10059829625541383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153862.75</v>
      </c>
      <c r="D21" s="12">
        <v>157635</v>
      </c>
      <c r="E21" s="81">
        <f t="shared" si="0"/>
        <v>0.9760697180194754</v>
      </c>
      <c r="F21" s="20">
        <v>158679</v>
      </c>
      <c r="G21" s="20">
        <f t="shared" si="5"/>
        <v>-4816.25</v>
      </c>
      <c r="H21" s="43">
        <f t="shared" si="6"/>
        <v>-3.0352157500362367E-2</v>
      </c>
      <c r="I21" s="44">
        <v>151744.47899999999</v>
      </c>
      <c r="J21" s="44">
        <f t="shared" si="7"/>
        <v>2118.2710000000079</v>
      </c>
      <c r="K21" s="17">
        <f t="shared" si="8"/>
        <v>1.3959460100027811E-2</v>
      </c>
      <c r="L21" s="11"/>
      <c r="M21" s="11"/>
    </row>
    <row r="22" spans="1:13" ht="15.75">
      <c r="A22" s="30" t="str">
        <v>CA: Manteca - KP Manteca Hospital</v>
      </c>
      <c r="B22" s="31" t="str">
        <v>CA</v>
      </c>
      <c r="C22" s="37">
        <v>51649.03</v>
      </c>
      <c r="D22" s="79">
        <v>48307</v>
      </c>
      <c r="E22" s="80">
        <f t="shared" si="0"/>
        <v>1.0691831411596662</v>
      </c>
      <c r="F22" s="14">
        <v>0</v>
      </c>
      <c r="G22" s="14">
        <f t="shared" si="5"/>
        <v>51649.03</v>
      </c>
      <c r="H22" s="38" t="str">
        <f t="shared" si="6"/>
        <v/>
      </c>
      <c r="I22" s="39">
        <v>54315.002999999997</v>
      </c>
      <c r="J22" s="39">
        <f t="shared" si="7"/>
        <v>-2665.9729999999981</v>
      </c>
      <c r="K22" s="43">
        <f t="shared" si="8"/>
        <v>-4.9083546952947754E-2</v>
      </c>
      <c r="L22" s="41"/>
      <c r="M22" s="41"/>
    </row>
    <row r="23" spans="1:13">
      <c r="A23" s="23"/>
      <c r="B23" s="35"/>
      <c r="C23" s="23"/>
      <c r="D23" s="23"/>
      <c r="E23" s="23"/>
      <c r="F23" s="23"/>
      <c r="G23" s="23"/>
      <c r="H23" s="23"/>
      <c r="I23" s="23"/>
      <c r="J23" s="44" t="str">
        <f t="shared" si="7"/>
        <v/>
      </c>
      <c r="K23" s="23"/>
      <c r="L23" s="35"/>
      <c r="M23" s="35"/>
    </row>
    <row r="24" spans="1:13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2" priority="1" stopIfTrue="1" operator="lessThanOrEqual">
      <formula>-0.1</formula>
    </cfRule>
    <cfRule type="expression" dxfId="21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2"/>
  <sheetViews>
    <sheetView workbookViewId="0">
      <pane ySplit="2" topLeftCell="A3" activePane="bottomLeft" state="frozen"/>
      <selection pane="bottomLeft" activeCell="F2" sqref="F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42578125" customWidth="1"/>
    <col min="5" max="5" width="23.28515625" customWidth="1"/>
    <col min="6" max="6" width="23.1406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0.5703125" bestFit="1" customWidth="1"/>
  </cols>
  <sheetData>
    <row r="1" spans="1:14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77" t="s">
        <v>46</v>
      </c>
      <c r="G1" s="88" t="s">
        <v>47</v>
      </c>
      <c r="H1" s="88"/>
      <c r="I1" s="88"/>
      <c r="J1" s="86" t="s">
        <v>48</v>
      </c>
      <c r="K1" s="86"/>
      <c r="L1" s="86"/>
      <c r="M1" s="5"/>
      <c r="N1" s="5"/>
    </row>
    <row r="2" spans="1:14" ht="19.5" customHeight="1">
      <c r="A2" s="89" t="s">
        <v>2</v>
      </c>
      <c r="B2" s="89"/>
      <c r="C2" s="6">
        <f>SUM(C4:C100)</f>
        <v>1721123.8499999999</v>
      </c>
      <c r="D2" s="6">
        <f>SUM(D4:D22)</f>
        <v>1908971</v>
      </c>
      <c r="E2" s="7">
        <f>C2/D2</f>
        <v>0.90159769320749239</v>
      </c>
      <c r="F2" s="7">
        <f>AVERAGE(F4:F22)</f>
        <v>0.90062068586618116</v>
      </c>
      <c r="G2" s="6">
        <f>SUM(G4:G100)</f>
        <v>1810184.5549999999</v>
      </c>
      <c r="H2" s="6">
        <f>C2-G2</f>
        <v>-89060.705000000075</v>
      </c>
      <c r="I2" s="7">
        <f>IFERROR(H2/G2, 0)</f>
        <v>-4.9199792780245041E-2</v>
      </c>
      <c r="J2" s="6">
        <f>SUM(J4:J100)</f>
        <v>1840250.797</v>
      </c>
      <c r="K2" s="8">
        <f>C2-J2</f>
        <v>-119126.94700000016</v>
      </c>
      <c r="L2" s="7">
        <f>IFERROR(K2/J2, 0)</f>
        <v>-6.473408254690198E-2</v>
      </c>
      <c r="M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78"/>
      <c r="F3" s="78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79">
        <v>54627</v>
      </c>
      <c r="E4" s="80">
        <f>C4/D4</f>
        <v>0.67690885459571271</v>
      </c>
      <c r="F4" s="80">
        <f>(SUM(C4,Feb!C4,Jan!C4))/(SUM(Jan!D4,Feb!D4,Mar!D4))</f>
        <v>0.81732885615251305</v>
      </c>
      <c r="G4" s="14">
        <v>54358</v>
      </c>
      <c r="H4" s="14">
        <f>IF(AND(ISNUMBER(C4),ISNUMBER(G4)), C4-G4, "")</f>
        <v>-17380.5</v>
      </c>
      <c r="I4" s="15">
        <f>IFERROR(H4/G4, "")</f>
        <v>-0.31974134442032454</v>
      </c>
      <c r="J4" s="16">
        <v>38371.790999999997</v>
      </c>
      <c r="K4" s="16">
        <f>IF(AND(ISNUMBER(C4),ISNUMBER(J4)), C4-J4, "")</f>
        <v>-1394.2909999999974</v>
      </c>
      <c r="L4" s="17">
        <f>IFERROR(K4/J4, "")</f>
        <v>-3.6336354484991264E-2</v>
      </c>
      <c r="M4" s="18" t="s">
        <v>49</v>
      </c>
      <c r="N4" s="18" t="s">
        <v>50</v>
      </c>
    </row>
    <row r="5" spans="1:14" ht="15.75">
      <c r="A5" s="32" t="str">
        <v>CA: Antioch MC CUP - Citi</v>
      </c>
      <c r="B5" s="33" t="str">
        <v>CA</v>
      </c>
      <c r="C5" s="12">
        <v>174843.5</v>
      </c>
      <c r="D5" s="12">
        <v>182925</v>
      </c>
      <c r="E5" s="81">
        <f t="shared" ref="E5:E22" si="0">C5/D5</f>
        <v>0.95582069154024873</v>
      </c>
      <c r="F5" s="81">
        <f>(SUM(C5,Feb!C5,Jan!C5))/(SUM(Jan!D5,Feb!D5,Mar!D5))</f>
        <v>0.94823797179918679</v>
      </c>
      <c r="G5" s="20">
        <v>182008</v>
      </c>
      <c r="H5" s="20">
        <f t="shared" ref="H5:H15" si="1">IF(AND(ISNUMBER(C5),ISNUMBER(G5)), C5-G5, "")</f>
        <v>-7164.5</v>
      </c>
      <c r="I5" s="21">
        <f>IFERROR(H5/G5, "")</f>
        <v>-3.9363654344863962E-2</v>
      </c>
      <c r="J5" s="22">
        <v>178765.1</v>
      </c>
      <c r="K5" s="22">
        <f t="shared" ref="K5:K15" si="2">IF(AND(ISNUMBER(C5),ISNUMBER(J5)), C5-J5, "")</f>
        <v>-3921.6000000000058</v>
      </c>
      <c r="L5" s="21">
        <f t="shared" ref="L5:L15" si="3">IFERROR(K5/J5, "")</f>
        <v>-2.1937167825263466E-2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73081.25</v>
      </c>
      <c r="D6" s="79">
        <v>75057</v>
      </c>
      <c r="E6" s="80">
        <f t="shared" si="0"/>
        <v>0.97367667239564593</v>
      </c>
      <c r="F6" s="80">
        <f>(SUM(C6,Feb!C6,Jan!C6))/(SUM(Jan!D6,Feb!D6,Mar!D6))</f>
        <v>1.0171306913387173</v>
      </c>
      <c r="G6" s="14">
        <v>73197</v>
      </c>
      <c r="H6" s="14">
        <f t="shared" si="1"/>
        <v>-115.75</v>
      </c>
      <c r="I6" s="15">
        <f t="shared" ref="I6:I15" si="4">IFERROR(H6/G6, "")</f>
        <v>-1.581348962389169E-3</v>
      </c>
      <c r="J6" s="16">
        <v>82539.160999999993</v>
      </c>
      <c r="K6" s="16">
        <f t="shared" si="2"/>
        <v>-9457.9109999999928</v>
      </c>
      <c r="L6" s="17">
        <f t="shared" si="3"/>
        <v>-0.11458695345837104</v>
      </c>
      <c r="M6" s="18"/>
      <c r="N6" s="18"/>
    </row>
    <row r="7" spans="1:14" ht="15.75">
      <c r="A7" s="32" t="str">
        <v>CA: Elk Grove MOB - Citi</v>
      </c>
      <c r="B7" s="33" t="str">
        <v>CA</v>
      </c>
      <c r="C7" s="12">
        <v>108926.5</v>
      </c>
      <c r="D7" s="12">
        <v>116624</v>
      </c>
      <c r="E7" s="81">
        <f t="shared" si="0"/>
        <v>0.93399729043764579</v>
      </c>
      <c r="F7" s="81">
        <f>(SUM(C7,Feb!C7,Jan!C7))/(SUM(Jan!D7,Feb!D7,Mar!D7))</f>
        <v>0.91955783418375636</v>
      </c>
      <c r="G7" s="20">
        <v>116050</v>
      </c>
      <c r="H7" s="20">
        <f t="shared" si="1"/>
        <v>-7123.5</v>
      </c>
      <c r="I7" s="21">
        <f t="shared" si="4"/>
        <v>-6.138302455838001E-2</v>
      </c>
      <c r="J7" s="22">
        <v>116103.14599999999</v>
      </c>
      <c r="K7" s="22">
        <f t="shared" si="2"/>
        <v>-7176.6459999999934</v>
      </c>
      <c r="L7" s="21">
        <f t="shared" si="3"/>
        <v>-6.1812674740096996E-2</v>
      </c>
      <c r="M7" s="11"/>
      <c r="N7" s="19"/>
    </row>
    <row r="8" spans="1:14" ht="15.75">
      <c r="A8" s="30" t="str">
        <v>CA: Elk Grove Promenade - Citi</v>
      </c>
      <c r="B8" s="31" t="str">
        <v>CA</v>
      </c>
      <c r="C8" s="26">
        <v>52479.25</v>
      </c>
      <c r="D8" s="79">
        <v>62941</v>
      </c>
      <c r="E8" s="80">
        <f t="shared" si="0"/>
        <v>0.83378481434994678</v>
      </c>
      <c r="F8" s="80">
        <f>(SUM(C8,Feb!C8,Jan!C8))/(SUM(Jan!D8,Feb!D8,Mar!D8))</f>
        <v>0.81295782422533536</v>
      </c>
      <c r="G8" s="14">
        <v>62631.555</v>
      </c>
      <c r="H8" s="14">
        <f t="shared" si="1"/>
        <v>-10152.305</v>
      </c>
      <c r="I8" s="15">
        <f t="shared" si="4"/>
        <v>-0.16209568802818325</v>
      </c>
      <c r="J8" s="16">
        <v>63890.260999999999</v>
      </c>
      <c r="K8" s="16">
        <f t="shared" si="2"/>
        <v>-11411.010999999999</v>
      </c>
      <c r="L8" s="17">
        <f t="shared" si="3"/>
        <v>-0.17860329291814911</v>
      </c>
      <c r="M8" s="18"/>
      <c r="N8" s="18"/>
    </row>
    <row r="9" spans="1:14" ht="15.75">
      <c r="A9" s="32" t="str">
        <v>CA: Fresno Sequioa - Citi</v>
      </c>
      <c r="B9" s="33" t="str">
        <v>CA</v>
      </c>
      <c r="C9" s="12">
        <v>129193.5</v>
      </c>
      <c r="D9" s="12">
        <v>128865</v>
      </c>
      <c r="E9" s="81">
        <f t="shared" si="0"/>
        <v>1.0025491793737633</v>
      </c>
      <c r="F9" s="81">
        <f>(SUM(C9,Feb!C9,Jan!C9))/(SUM(Jan!D9,Feb!D9,Mar!D9))</f>
        <v>1.0141502547420198</v>
      </c>
      <c r="G9" s="20">
        <v>128257</v>
      </c>
      <c r="H9" s="20">
        <f t="shared" si="1"/>
        <v>936.5</v>
      </c>
      <c r="I9" s="21">
        <f t="shared" si="4"/>
        <v>7.3017457136842438E-3</v>
      </c>
      <c r="J9" s="22">
        <v>134778.97500000001</v>
      </c>
      <c r="K9" s="22">
        <f t="shared" si="2"/>
        <v>-5585.4750000000058</v>
      </c>
      <c r="L9" s="21">
        <f t="shared" si="3"/>
        <v>-4.1441738223636185E-2</v>
      </c>
      <c r="M9" s="11"/>
      <c r="N9" s="19"/>
    </row>
    <row r="10" spans="1:14" ht="15.75">
      <c r="A10" s="30" t="str">
        <v>CA: Fresno MOB - Citi</v>
      </c>
      <c r="B10" s="31" t="str">
        <v>CA</v>
      </c>
      <c r="C10" s="26">
        <v>50378.87</v>
      </c>
      <c r="D10" s="79">
        <v>52132</v>
      </c>
      <c r="E10" s="80">
        <f t="shared" si="0"/>
        <v>0.96637132663239478</v>
      </c>
      <c r="F10" s="80">
        <f>(SUM(C10,Feb!C10,Jan!C10))/(SUM(Jan!D10,Feb!D10,Mar!D10))</f>
        <v>0.99396964411622812</v>
      </c>
      <c r="G10" s="14">
        <v>52087</v>
      </c>
      <c r="H10" s="14">
        <f t="shared" si="1"/>
        <v>-1708.1299999999974</v>
      </c>
      <c r="I10" s="15">
        <f t="shared" si="4"/>
        <v>-3.2793787317372806E-2</v>
      </c>
      <c r="J10" s="16">
        <v>50700.150999999998</v>
      </c>
      <c r="K10" s="16">
        <f t="shared" si="2"/>
        <v>-321.2809999999954</v>
      </c>
      <c r="L10" s="17">
        <f t="shared" si="3"/>
        <v>-6.3368844798903142E-3</v>
      </c>
      <c r="M10" s="18"/>
      <c r="N10" s="18"/>
    </row>
    <row r="11" spans="1:14" ht="15.75">
      <c r="A11" s="32" t="str">
        <v>CA: Modesto Bangs - Citi</v>
      </c>
      <c r="B11" s="33" t="str">
        <v>CA</v>
      </c>
      <c r="C11" s="12">
        <v>29849.25</v>
      </c>
      <c r="D11" s="12">
        <v>30868</v>
      </c>
      <c r="E11" s="81">
        <f t="shared" si="0"/>
        <v>0.96699656602306594</v>
      </c>
      <c r="F11" s="81">
        <f>(SUM(C11,Feb!C11,Jan!C11))/(SUM(Jan!D11,Feb!D11,Mar!D11))</f>
        <v>0.9603914921796165</v>
      </c>
      <c r="G11" s="20">
        <v>30872</v>
      </c>
      <c r="H11" s="20">
        <f t="shared" si="1"/>
        <v>-1022.75</v>
      </c>
      <c r="I11" s="21">
        <f t="shared" si="4"/>
        <v>-3.3128725058305261E-2</v>
      </c>
      <c r="J11" s="22">
        <v>31231.567999999999</v>
      </c>
      <c r="K11" s="22">
        <f t="shared" si="2"/>
        <v>-1382.3179999999993</v>
      </c>
      <c r="L11" s="21">
        <f t="shared" si="3"/>
        <v>-4.4260281776438481E-2</v>
      </c>
      <c r="M11" s="11"/>
      <c r="N11" s="19"/>
    </row>
    <row r="12" spans="1:14" ht="15.75">
      <c r="A12" s="30" t="str">
        <v>CA: Napa Data Center - Citi</v>
      </c>
      <c r="B12" s="31" t="str">
        <v>CA</v>
      </c>
      <c r="C12" s="26">
        <v>30269.13</v>
      </c>
      <c r="D12" s="79">
        <v>37239</v>
      </c>
      <c r="E12" s="80">
        <f t="shared" si="0"/>
        <v>0.81283412551357448</v>
      </c>
      <c r="F12" s="80">
        <f>(SUM(C12,Feb!C12,Jan!C12))/(SUM(Jan!D12,Feb!D12,Mar!D12))</f>
        <v>0.80814871403106703</v>
      </c>
      <c r="G12" s="14">
        <v>36298</v>
      </c>
      <c r="H12" s="14">
        <f t="shared" si="1"/>
        <v>-6028.869999999999</v>
      </c>
      <c r="I12" s="15">
        <f t="shared" si="4"/>
        <v>-0.16609372417213067</v>
      </c>
      <c r="J12" s="16">
        <v>35866</v>
      </c>
      <c r="K12" s="16">
        <f t="shared" si="2"/>
        <v>-5596.869999999999</v>
      </c>
      <c r="L12" s="17">
        <f t="shared" si="3"/>
        <v>-0.15604946188590862</v>
      </c>
      <c r="M12" s="18"/>
      <c r="N12" s="18"/>
    </row>
    <row r="13" spans="1:14" ht="15.75">
      <c r="A13" s="32" t="str">
        <v>CA: Petaluma MOB - Citi</v>
      </c>
      <c r="B13" s="33" t="str">
        <v>CA</v>
      </c>
      <c r="C13" s="12">
        <v>75219.25</v>
      </c>
      <c r="D13" s="12">
        <v>82799</v>
      </c>
      <c r="E13" s="81">
        <f t="shared" si="0"/>
        <v>0.9084560200002415</v>
      </c>
      <c r="F13" s="81">
        <f>(SUM(C13,Feb!C13,Jan!C13))/(SUM(Jan!D13,Feb!D13,Mar!D13))</f>
        <v>0.85175787728026531</v>
      </c>
      <c r="G13" s="20">
        <v>80078</v>
      </c>
      <c r="H13" s="20">
        <f t="shared" si="1"/>
        <v>-4858.75</v>
      </c>
      <c r="I13" s="21">
        <f t="shared" si="4"/>
        <v>-6.0675216663752841E-2</v>
      </c>
      <c r="J13" s="22">
        <v>83877.506999999998</v>
      </c>
      <c r="K13" s="22">
        <f t="shared" si="2"/>
        <v>-8658.2569999999978</v>
      </c>
      <c r="L13" s="21">
        <f t="shared" si="3"/>
        <v>-0.1032250159747833</v>
      </c>
      <c r="M13" s="11"/>
      <c r="N13" s="19"/>
    </row>
    <row r="14" spans="1:14" ht="15.75">
      <c r="A14" s="30" t="str">
        <v>CA: Pleasanton Tec Ctr - Citi</v>
      </c>
      <c r="B14" s="31" t="str">
        <v>CA</v>
      </c>
      <c r="C14" s="26">
        <v>95200.5</v>
      </c>
      <c r="D14" s="79">
        <v>119386</v>
      </c>
      <c r="E14" s="80">
        <f t="shared" si="0"/>
        <v>0.79741762015646722</v>
      </c>
      <c r="F14" s="80">
        <f>(SUM(C14,Feb!C14,Jan!C14))/(SUM(Jan!D14,Feb!D14,Mar!D14))</f>
        <v>0.80042721155294172</v>
      </c>
      <c r="G14" s="14">
        <v>118899</v>
      </c>
      <c r="H14" s="14">
        <f t="shared" si="1"/>
        <v>-23698.5</v>
      </c>
      <c r="I14" s="15">
        <f t="shared" si="4"/>
        <v>-0.19931622637700905</v>
      </c>
      <c r="J14" s="16">
        <v>111680.927</v>
      </c>
      <c r="K14" s="16">
        <f t="shared" si="2"/>
        <v>-16480.426999999996</v>
      </c>
      <c r="L14" s="17">
        <f t="shared" si="3"/>
        <v>-0.14756706845744572</v>
      </c>
      <c r="M14" s="18" t="s">
        <v>51</v>
      </c>
      <c r="N14" s="18" t="s">
        <v>52</v>
      </c>
    </row>
    <row r="15" spans="1:14" ht="15.75">
      <c r="A15" s="32" t="str">
        <v>CA: Rancho Cordova - Citi</v>
      </c>
      <c r="B15" s="33" t="str">
        <v>CA</v>
      </c>
      <c r="C15" s="12">
        <v>166446</v>
      </c>
      <c r="D15" s="12">
        <v>171056</v>
      </c>
      <c r="E15" s="81">
        <f t="shared" si="0"/>
        <v>0.97304976148162003</v>
      </c>
      <c r="F15" s="81">
        <f>(SUM(C15,Feb!C15,Jan!C15))/(SUM(Jan!D15,Feb!D15,Mar!D15))</f>
        <v>0.97878191910341961</v>
      </c>
      <c r="G15" s="20">
        <v>170024</v>
      </c>
      <c r="H15" s="20">
        <f t="shared" si="1"/>
        <v>-3578</v>
      </c>
      <c r="I15" s="21">
        <f t="shared" si="4"/>
        <v>-2.1044087893473864E-2</v>
      </c>
      <c r="J15" s="22">
        <v>171534.098</v>
      </c>
      <c r="K15" s="22">
        <f t="shared" si="2"/>
        <v>-5088.0979999999981</v>
      </c>
      <c r="L15" s="21">
        <f t="shared" si="3"/>
        <v>-2.9662312387593037E-2</v>
      </c>
      <c r="M15" s="57" t="s">
        <v>53</v>
      </c>
      <c r="N15" s="60" t="s">
        <v>54</v>
      </c>
    </row>
    <row r="16" spans="1:14" ht="15.75">
      <c r="A16" s="30" t="str">
        <v>CA: S Sacramento Wyndham - Citi</v>
      </c>
      <c r="B16" s="31" t="str">
        <v>CA</v>
      </c>
      <c r="C16" s="37">
        <v>91886.5</v>
      </c>
      <c r="D16" s="79">
        <v>100686</v>
      </c>
      <c r="E16" s="80">
        <f t="shared" si="0"/>
        <v>0.91260453290427668</v>
      </c>
      <c r="F16" s="80">
        <f>(SUM(C16,Feb!C16,Jan!C16))/(SUM(Jan!D16,Feb!D16,Mar!D16))</f>
        <v>0.89914144868740709</v>
      </c>
      <c r="G16" s="14">
        <v>99985</v>
      </c>
      <c r="H16" s="14">
        <f t="shared" ref="H16:H22" si="5">IF(AND(ISNUMBER(C16),ISNUMBER(G16)), C16-G16, "")</f>
        <v>-8098.5</v>
      </c>
      <c r="I16" s="38">
        <f t="shared" ref="I16:I22" si="6">IFERROR(H16/G16, "")</f>
        <v>-8.0997149572435867E-2</v>
      </c>
      <c r="J16" s="39">
        <v>94876.225000000006</v>
      </c>
      <c r="K16" s="39">
        <f t="shared" ref="K16:K22" si="7">IF(AND(ISNUMBER(C16),ISNUMBER(J16)), C16-J16, "")</f>
        <v>-2989.7250000000058</v>
      </c>
      <c r="L16" s="40">
        <f t="shared" ref="L16:L22" si="8">IFERROR(K16/J16, "")</f>
        <v>-3.1511846092105854E-2</v>
      </c>
      <c r="M16" s="41"/>
      <c r="N16" s="41"/>
    </row>
    <row r="17" spans="1:14" ht="15.75">
      <c r="A17" s="32" t="str">
        <v>CA: Sacramento Point West - Citi</v>
      </c>
      <c r="B17" s="33" t="str">
        <v>CA</v>
      </c>
      <c r="C17" s="42">
        <v>165597.5</v>
      </c>
      <c r="D17" s="12">
        <v>191839</v>
      </c>
      <c r="E17" s="81">
        <f t="shared" si="0"/>
        <v>0.86321081740417749</v>
      </c>
      <c r="F17" s="81">
        <f>(SUM(C17,Feb!C17,Jan!C17))/(SUM(Jan!D17,Feb!D17,Mar!D17))</f>
        <v>0.83910168825681863</v>
      </c>
      <c r="G17" s="20">
        <v>191796</v>
      </c>
      <c r="H17" s="20">
        <f t="shared" si="5"/>
        <v>-26198.5</v>
      </c>
      <c r="I17" s="43">
        <f t="shared" si="6"/>
        <v>-0.13659565371540594</v>
      </c>
      <c r="J17" s="44">
        <v>188879.234</v>
      </c>
      <c r="K17" s="44">
        <f t="shared" si="7"/>
        <v>-23281.733999999997</v>
      </c>
      <c r="L17" s="43">
        <f t="shared" si="8"/>
        <v>-0.1232625392794636</v>
      </c>
      <c r="M17" s="57" t="s">
        <v>55</v>
      </c>
      <c r="N17" s="60" t="s">
        <v>56</v>
      </c>
    </row>
    <row r="18" spans="1:14" ht="12.75" customHeight="1">
      <c r="A18" s="30" t="str">
        <v>CA: San Jose FHC - Citi</v>
      </c>
      <c r="B18" s="31" t="str">
        <v>CA</v>
      </c>
      <c r="C18" s="37">
        <v>33601.25</v>
      </c>
      <c r="D18" s="79">
        <v>41968</v>
      </c>
      <c r="E18" s="80">
        <f t="shared" si="0"/>
        <v>0.80063977316050328</v>
      </c>
      <c r="F18" s="80">
        <f>(SUM(C18,Feb!C18,Jan!C18))/(SUM(Jan!D18,Feb!D18,Mar!D18))</f>
        <v>0.80491726733853608</v>
      </c>
      <c r="G18" s="14">
        <v>43230</v>
      </c>
      <c r="H18" s="14">
        <f t="shared" si="5"/>
        <v>-9628.75</v>
      </c>
      <c r="I18" s="38">
        <f t="shared" si="6"/>
        <v>-0.22273305574832292</v>
      </c>
      <c r="J18" s="39">
        <v>37487.326000000001</v>
      </c>
      <c r="K18" s="39">
        <f t="shared" si="7"/>
        <v>-3886.0760000000009</v>
      </c>
      <c r="L18" s="40">
        <f t="shared" si="8"/>
        <v>-0.1036637289093386</v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42">
        <v>51349.25</v>
      </c>
      <c r="D19" s="12">
        <v>67200</v>
      </c>
      <c r="E19" s="81">
        <f t="shared" si="0"/>
        <v>0.76412574404761902</v>
      </c>
      <c r="F19" s="81">
        <f>(SUM(C19,Feb!C19,Jan!C19))/(SUM(Jan!D19,Feb!D19,Mar!D19))</f>
        <v>0.74587604973279531</v>
      </c>
      <c r="G19" s="20">
        <v>68114</v>
      </c>
      <c r="H19" s="20">
        <f t="shared" si="5"/>
        <v>-16764.75</v>
      </c>
      <c r="I19" s="43">
        <f t="shared" si="6"/>
        <v>-0.24612781513345275</v>
      </c>
      <c r="J19" s="44">
        <v>60535.65</v>
      </c>
      <c r="K19" s="44">
        <f t="shared" si="7"/>
        <v>-9186.4000000000015</v>
      </c>
      <c r="L19" s="43">
        <f t="shared" si="8"/>
        <v>-0.15175190156544122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37586.879999999997</v>
      </c>
      <c r="D20" s="79">
        <v>38029</v>
      </c>
      <c r="E20" s="80">
        <f t="shared" si="0"/>
        <v>0.98837413552814946</v>
      </c>
      <c r="F20" s="80">
        <f>(SUM(C20,Feb!C20,Jan!C20))/(SUM(Jan!D20,Feb!D20,Mar!D20))</f>
        <v>1.0215431347150259</v>
      </c>
      <c r="G20" s="14">
        <v>37834</v>
      </c>
      <c r="H20" s="14">
        <f t="shared" si="5"/>
        <v>-247.12000000000262</v>
      </c>
      <c r="I20" s="38">
        <f t="shared" si="6"/>
        <v>-6.5316910715230384E-3</v>
      </c>
      <c r="J20" s="39">
        <v>41097.076999999997</v>
      </c>
      <c r="K20" s="39">
        <f t="shared" si="7"/>
        <v>-3510.1970000000001</v>
      </c>
      <c r="L20" s="40">
        <f t="shared" si="8"/>
        <v>-8.5412327499593224E-2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240408.5</v>
      </c>
      <c r="D21" s="12">
        <v>264914</v>
      </c>
      <c r="E21" s="81">
        <f t="shared" si="0"/>
        <v>0.90749639505650892</v>
      </c>
      <c r="F21" s="81">
        <f>(SUM(C21,Feb!C21,Jan!C21))/(SUM(Jan!D21,Feb!D21,Mar!D21))</f>
        <v>0.90357601229211859</v>
      </c>
      <c r="G21" s="20">
        <v>264466</v>
      </c>
      <c r="H21" s="20">
        <f t="shared" si="5"/>
        <v>-24057.5</v>
      </c>
      <c r="I21" s="43">
        <f t="shared" si="6"/>
        <v>-9.0966324593709583E-2</v>
      </c>
      <c r="J21" s="44">
        <v>238400.99799999999</v>
      </c>
      <c r="K21" s="44">
        <f t="shared" si="7"/>
        <v>2007.5020000000077</v>
      </c>
      <c r="L21" s="43">
        <f t="shared" si="8"/>
        <v>8.4206946147096576E-3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77829.47</v>
      </c>
      <c r="D22" s="79">
        <v>89816</v>
      </c>
      <c r="E22" s="80">
        <f t="shared" si="0"/>
        <v>0.8665434889106618</v>
      </c>
      <c r="F22" s="80">
        <f>(SUM(C22,Feb!C22,Jan!C22))/(SUM(Jan!D22,Feb!D22,Mar!D22))</f>
        <v>0.9747971397296783</v>
      </c>
      <c r="G22" s="14">
        <v>0</v>
      </c>
      <c r="H22" s="14">
        <f t="shared" si="5"/>
        <v>77829.47</v>
      </c>
      <c r="I22" s="38" t="str">
        <f t="shared" si="6"/>
        <v/>
      </c>
      <c r="J22" s="39">
        <v>79635.601999999999</v>
      </c>
      <c r="K22" s="39">
        <f t="shared" si="7"/>
        <v>-1806.1319999999978</v>
      </c>
      <c r="L22" s="40">
        <f t="shared" si="8"/>
        <v>-2.2679956635475649E-2</v>
      </c>
      <c r="M22" s="41"/>
      <c r="N22" s="41"/>
    </row>
    <row r="23" spans="1:14">
      <c r="A23" s="23"/>
      <c r="B23" s="35"/>
      <c r="C23" s="23"/>
      <c r="D23" s="23"/>
      <c r="E23" s="82"/>
      <c r="F23" s="23"/>
      <c r="G23" s="23"/>
      <c r="H23" s="23"/>
      <c r="I23" s="23"/>
      <c r="J23" s="23"/>
      <c r="K23" s="23"/>
      <c r="L23" s="23"/>
      <c r="M23" s="23"/>
      <c r="N23" s="23"/>
    </row>
    <row r="24" spans="1:14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3.9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20" priority="1" stopIfTrue="1" operator="lessThanOrEqual">
      <formula>-0.1</formula>
    </cfRule>
    <cfRule type="expression" dxfId="19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2"/>
  <sheetViews>
    <sheetView workbookViewId="0">
      <pane ySplit="2" topLeftCell="A12" activePane="bottomLeft" state="frozen"/>
      <selection pane="bottomLeft" activeCell="H22" sqref="H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42578125" customWidth="1"/>
    <col min="5" max="5" width="23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57</v>
      </c>
      <c r="G1" s="88"/>
      <c r="H1" s="88"/>
      <c r="I1" s="86" t="s">
        <v>58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SUM(C4:C100)</f>
        <v>2211322.0399999996</v>
      </c>
      <c r="D2" s="6">
        <f>SUM(D4:D22)</f>
        <v>2792829</v>
      </c>
      <c r="E2" s="7">
        <f>C2/D2</f>
        <v>0.79178569113970088</v>
      </c>
      <c r="F2" s="6">
        <f>SUM(F4:F100)</f>
        <v>2229750.719</v>
      </c>
      <c r="G2" s="6">
        <f>C2-F2</f>
        <v>-18428.679000000469</v>
      </c>
      <c r="H2" s="7">
        <f>IFERROR(G2/F2, 0)</f>
        <v>-8.2649055084800579E-3</v>
      </c>
      <c r="I2" s="6">
        <f>SUM(I4:I100)</f>
        <v>2387855.8090000004</v>
      </c>
      <c r="J2" s="8">
        <f>C2-I2</f>
        <v>-176533.76900000079</v>
      </c>
      <c r="K2" s="7">
        <f>IFERROR(J2/I2, 0)</f>
        <v>-7.3929827896069902E-2</v>
      </c>
      <c r="L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79">
        <v>65020</v>
      </c>
      <c r="E4" s="80">
        <f>C4/D4</f>
        <v>0.96127729929252537</v>
      </c>
      <c r="F4" s="14">
        <v>64700</v>
      </c>
      <c r="G4" s="14">
        <f>IF(AND(ISNUMBER(C4),ISNUMBER(F4)), C4-F4, "")</f>
        <v>-2197.75</v>
      </c>
      <c r="H4" s="15">
        <f>IFERROR(G4/F4, "")</f>
        <v>-3.3968315301391036E-2</v>
      </c>
      <c r="I4" s="16">
        <v>67484.096000000005</v>
      </c>
      <c r="J4" s="16">
        <f>IF(AND(ISNUMBER(C4),ISNUMBER(I4)), C4-I4, "")</f>
        <v>-4981.846000000005</v>
      </c>
      <c r="K4" s="17">
        <f>IFERROR(J4/I4, "")</f>
        <v>-7.3822519605211939E-2</v>
      </c>
      <c r="L4" s="18" t="s">
        <v>59</v>
      </c>
      <c r="M4" s="18" t="s">
        <v>60</v>
      </c>
    </row>
    <row r="5" spans="1:13" ht="15.75">
      <c r="A5" s="32" t="str">
        <v>CA: Antioch MC CUP - Citi</v>
      </c>
      <c r="B5" s="33" t="str">
        <v>CA</v>
      </c>
      <c r="C5" s="12">
        <v>221879</v>
      </c>
      <c r="D5" s="12">
        <v>220973</v>
      </c>
      <c r="E5" s="81">
        <f t="shared" ref="E5:E22" si="0">C5/D5</f>
        <v>1.0041000484222053</v>
      </c>
      <c r="F5" s="20">
        <v>219865</v>
      </c>
      <c r="G5" s="20">
        <f t="shared" ref="G5:G15" si="1">IF(AND(ISNUMBER(C5),ISNUMBER(F5)), C5-F5, "")</f>
        <v>2014</v>
      </c>
      <c r="H5" s="21">
        <f>IFERROR(G5/F5, "")</f>
        <v>9.1601664657858239E-3</v>
      </c>
      <c r="I5" s="22">
        <v>226738.63099999999</v>
      </c>
      <c r="J5" s="22">
        <f t="shared" ref="J5:J15" si="2">IF(AND(ISNUMBER(C5),ISNUMBER(I5)), C5-I5, "")</f>
        <v>-4859.6309999999939</v>
      </c>
      <c r="K5" s="21">
        <f t="shared" ref="K5:K15" si="3">IFERROR(J5/I5, "")</f>
        <v>-2.1432743853869323E-2</v>
      </c>
      <c r="L5" s="61"/>
      <c r="M5" s="19"/>
    </row>
    <row r="6" spans="1:13" ht="15.75">
      <c r="A6" s="30" t="str">
        <v>CA: Clovis - Citi</v>
      </c>
      <c r="B6" s="31" t="str">
        <v>CA</v>
      </c>
      <c r="C6" s="26">
        <v>91839.5</v>
      </c>
      <c r="D6" s="79">
        <v>97023</v>
      </c>
      <c r="E6" s="80">
        <f t="shared" si="0"/>
        <v>0.94657452356657701</v>
      </c>
      <c r="F6" s="14">
        <v>94619</v>
      </c>
      <c r="G6" s="14">
        <f t="shared" si="1"/>
        <v>-2779.5</v>
      </c>
      <c r="H6" s="15">
        <f t="shared" ref="H6:H15" si="4">IFERROR(G6/F6, "")</f>
        <v>-2.9375706781935976E-2</v>
      </c>
      <c r="I6" s="16">
        <v>96503.218999999997</v>
      </c>
      <c r="J6" s="16">
        <f t="shared" si="2"/>
        <v>-4663.7189999999973</v>
      </c>
      <c r="K6" s="17">
        <f t="shared" si="3"/>
        <v>-4.832708222924665E-2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145618</v>
      </c>
      <c r="D7" s="12">
        <v>144992</v>
      </c>
      <c r="E7" s="81">
        <f t="shared" si="0"/>
        <v>1.0043174795850807</v>
      </c>
      <c r="F7" s="20">
        <v>144278</v>
      </c>
      <c r="G7" s="20">
        <f t="shared" si="1"/>
        <v>1340</v>
      </c>
      <c r="H7" s="21">
        <f t="shared" si="4"/>
        <v>9.2876252789753123E-3</v>
      </c>
      <c r="I7" s="22">
        <v>150577.356</v>
      </c>
      <c r="J7" s="22">
        <f t="shared" si="2"/>
        <v>-4959.3559999999998</v>
      </c>
      <c r="K7" s="21">
        <f t="shared" si="3"/>
        <v>-3.2935602880422472E-2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75083</v>
      </c>
      <c r="D8" s="79">
        <v>77224</v>
      </c>
      <c r="E8" s="80">
        <f t="shared" si="0"/>
        <v>0.97227545840671292</v>
      </c>
      <c r="F8" s="14">
        <v>76843.718999999997</v>
      </c>
      <c r="G8" s="14">
        <f t="shared" si="1"/>
        <v>-1760.7189999999973</v>
      </c>
      <c r="H8" s="15">
        <f t="shared" si="4"/>
        <v>-2.2912985249972054E-2</v>
      </c>
      <c r="I8" s="16">
        <v>79394.687999999995</v>
      </c>
      <c r="J8" s="16">
        <f t="shared" si="2"/>
        <v>-4311.6879999999946</v>
      </c>
      <c r="K8" s="17">
        <f t="shared" si="3"/>
        <v>-5.4307008549488792E-2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153497</v>
      </c>
      <c r="D9" s="12">
        <v>162121</v>
      </c>
      <c r="E9" s="81">
        <f t="shared" si="0"/>
        <v>0.94680516404413984</v>
      </c>
      <c r="F9" s="20">
        <v>161355</v>
      </c>
      <c r="G9" s="20">
        <f t="shared" si="1"/>
        <v>-7858</v>
      </c>
      <c r="H9" s="21">
        <f t="shared" si="4"/>
        <v>-4.8700071271420162E-2</v>
      </c>
      <c r="I9" s="22">
        <v>159164.07800000001</v>
      </c>
      <c r="J9" s="22">
        <f t="shared" si="2"/>
        <v>-5667.0780000000086</v>
      </c>
      <c r="K9" s="21">
        <f t="shared" si="3"/>
        <v>-3.5605257613467334E-2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60510.13</v>
      </c>
      <c r="D10" s="79">
        <v>66110</v>
      </c>
      <c r="E10" s="80">
        <f t="shared" si="0"/>
        <v>0.91529466041446073</v>
      </c>
      <c r="F10" s="14">
        <v>66181</v>
      </c>
      <c r="G10" s="14">
        <f t="shared" si="1"/>
        <v>-5670.8700000000026</v>
      </c>
      <c r="H10" s="15">
        <f t="shared" si="4"/>
        <v>-8.5687281848264643E-2</v>
      </c>
      <c r="I10" s="16">
        <v>60075.309000000001</v>
      </c>
      <c r="J10" s="16">
        <f t="shared" si="2"/>
        <v>434.82099999999627</v>
      </c>
      <c r="K10" s="17">
        <f t="shared" si="3"/>
        <v>7.2379319763464928E-3</v>
      </c>
      <c r="L10" s="18" t="s">
        <v>42</v>
      </c>
      <c r="M10" s="18"/>
    </row>
    <row r="11" spans="1:13" ht="15.75">
      <c r="A11" s="32" t="str">
        <v>CA: Modesto Bangs - Citi</v>
      </c>
      <c r="B11" s="33" t="str">
        <v>CA</v>
      </c>
      <c r="C11" s="12">
        <v>37677.379999999997</v>
      </c>
      <c r="D11" s="12">
        <v>45978</v>
      </c>
      <c r="E11" s="81">
        <f t="shared" si="0"/>
        <v>0.81946539649397532</v>
      </c>
      <c r="F11" s="20">
        <v>45983</v>
      </c>
      <c r="G11" s="20">
        <f t="shared" si="1"/>
        <v>-8305.6200000000026</v>
      </c>
      <c r="H11" s="21">
        <f t="shared" si="4"/>
        <v>-0.18062370876193382</v>
      </c>
      <c r="I11" s="22">
        <v>39150.417999999998</v>
      </c>
      <c r="J11" s="22">
        <f t="shared" si="2"/>
        <v>-1473.0380000000005</v>
      </c>
      <c r="K11" s="21">
        <f t="shared" si="3"/>
        <v>-3.7625089979882224E-2</v>
      </c>
      <c r="L11" s="11"/>
      <c r="M11" s="19"/>
    </row>
    <row r="12" spans="1:13" ht="28.5">
      <c r="A12" s="30" t="str">
        <v>CA: Napa Data Center - Citi</v>
      </c>
      <c r="B12" s="31" t="str">
        <v>CA</v>
      </c>
      <c r="C12" s="26">
        <v>31030</v>
      </c>
      <c r="D12" s="79">
        <v>45541</v>
      </c>
      <c r="E12" s="80">
        <f t="shared" si="0"/>
        <v>0.68136404558529673</v>
      </c>
      <c r="F12" s="14">
        <v>44146</v>
      </c>
      <c r="G12" s="14">
        <f t="shared" si="1"/>
        <v>-13116</v>
      </c>
      <c r="H12" s="15">
        <f t="shared" si="4"/>
        <v>-0.29710506048113078</v>
      </c>
      <c r="I12" s="16">
        <v>35666.853000000003</v>
      </c>
      <c r="J12" s="16">
        <f t="shared" si="2"/>
        <v>-4636.8530000000028</v>
      </c>
      <c r="K12" s="17">
        <f t="shared" si="3"/>
        <v>-0.13000454511644194</v>
      </c>
      <c r="L12" s="18" t="s">
        <v>61</v>
      </c>
      <c r="M12" s="63" t="s">
        <v>62</v>
      </c>
    </row>
    <row r="13" spans="1:13" ht="15.75">
      <c r="A13" s="32" t="str">
        <v>CA: Petaluma MOB - Citi</v>
      </c>
      <c r="B13" s="33" t="str">
        <v>CA</v>
      </c>
      <c r="C13" s="12">
        <v>95155.5</v>
      </c>
      <c r="D13" s="12">
        <v>105601</v>
      </c>
      <c r="E13" s="81">
        <f t="shared" si="0"/>
        <v>0.90108521699605115</v>
      </c>
      <c r="F13" s="20">
        <v>102132</v>
      </c>
      <c r="G13" s="20">
        <f t="shared" si="1"/>
        <v>-6976.5</v>
      </c>
      <c r="H13" s="21">
        <f t="shared" si="4"/>
        <v>-6.8308659381976264E-2</v>
      </c>
      <c r="I13" s="22">
        <v>105431.193</v>
      </c>
      <c r="J13" s="22">
        <f t="shared" si="2"/>
        <v>-10275.692999999999</v>
      </c>
      <c r="K13" s="21">
        <f t="shared" si="3"/>
        <v>-9.7463499251118205E-2</v>
      </c>
      <c r="L13" s="11"/>
      <c r="M13" s="19"/>
    </row>
    <row r="14" spans="1:13" ht="15.75">
      <c r="A14" s="30" t="str">
        <v>CA: Pleasanton Tec Ctr - Citi</v>
      </c>
      <c r="B14" s="31" t="str">
        <v>CA</v>
      </c>
      <c r="C14" s="26">
        <v>123761.5</v>
      </c>
      <c r="D14" s="79">
        <v>145619</v>
      </c>
      <c r="E14" s="80">
        <f t="shared" si="0"/>
        <v>0.849899394996532</v>
      </c>
      <c r="F14" s="14">
        <v>144905</v>
      </c>
      <c r="G14" s="14">
        <f t="shared" si="1"/>
        <v>-21143.5</v>
      </c>
      <c r="H14" s="15">
        <f t="shared" si="4"/>
        <v>-0.14591283944653394</v>
      </c>
      <c r="I14" s="16">
        <v>146238.96299999999</v>
      </c>
      <c r="J14" s="16">
        <f t="shared" si="2"/>
        <v>-22477.462999999989</v>
      </c>
      <c r="K14" s="17">
        <f t="shared" si="3"/>
        <v>-0.15370365420329185</v>
      </c>
      <c r="L14" s="18" t="s">
        <v>63</v>
      </c>
      <c r="M14" s="63" t="s">
        <v>64</v>
      </c>
    </row>
    <row r="15" spans="1:13" ht="15.75">
      <c r="A15" s="32" t="str">
        <v>CA: Rancho Cordova - Citi</v>
      </c>
      <c r="B15" s="33" t="str">
        <v>CA</v>
      </c>
      <c r="C15" s="12">
        <v>204774</v>
      </c>
      <c r="D15" s="12">
        <v>200365</v>
      </c>
      <c r="E15" s="81">
        <f t="shared" si="0"/>
        <v>1.0220048411648741</v>
      </c>
      <c r="F15" s="20">
        <v>200167</v>
      </c>
      <c r="G15" s="20">
        <f t="shared" si="1"/>
        <v>4607</v>
      </c>
      <c r="H15" s="21">
        <f t="shared" si="4"/>
        <v>2.3015781822178481E-2</v>
      </c>
      <c r="I15" s="22">
        <v>216950.073</v>
      </c>
      <c r="J15" s="22">
        <f t="shared" si="2"/>
        <v>-12176.073000000004</v>
      </c>
      <c r="K15" s="21">
        <f t="shared" si="3"/>
        <v>-5.6123848365794302E-2</v>
      </c>
      <c r="L15" s="61" t="s">
        <v>65</v>
      </c>
      <c r="M15" s="62" t="s">
        <v>66</v>
      </c>
    </row>
    <row r="16" spans="1:13" ht="15.75">
      <c r="A16" s="30" t="str">
        <v>CA: S Sacramento Wyndham - Citi</v>
      </c>
      <c r="B16" s="31" t="str">
        <v>CA</v>
      </c>
      <c r="C16" s="26">
        <v>122802</v>
      </c>
      <c r="D16" s="79">
        <v>125049</v>
      </c>
      <c r="E16" s="80">
        <f t="shared" si="0"/>
        <v>0.9820310438308183</v>
      </c>
      <c r="F16" s="14">
        <v>121854</v>
      </c>
      <c r="G16" s="14">
        <f t="shared" ref="G16:G22" si="5">IF(AND(ISNUMBER(C16),ISNUMBER(F16)), C16-F16, "")</f>
        <v>948</v>
      </c>
      <c r="H16" s="38">
        <f t="shared" ref="H16:H22" si="6">IFERROR(G16/F16, "")</f>
        <v>7.7798020582007981E-3</v>
      </c>
      <c r="I16" s="16">
        <v>121199.493</v>
      </c>
      <c r="J16" s="39">
        <f t="shared" ref="J16:J22" si="7">IF(AND(ISNUMBER(C16),ISNUMBER(I16)), C16-I16, "")</f>
        <v>1602.5069999999978</v>
      </c>
      <c r="K16" s="40">
        <f t="shared" ref="K16:K22" si="8">IFERROR(J16/I16, "")</f>
        <v>1.3222060260598596E-2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12">
        <v>218060</v>
      </c>
      <c r="D17" s="12">
        <v>239197</v>
      </c>
      <c r="E17" s="81">
        <f t="shared" si="0"/>
        <v>0.91163350710920288</v>
      </c>
      <c r="F17" s="20">
        <v>238931</v>
      </c>
      <c r="G17" s="20">
        <f t="shared" si="5"/>
        <v>-20871</v>
      </c>
      <c r="H17" s="43">
        <f t="shared" si="6"/>
        <v>-8.7351578489187259E-2</v>
      </c>
      <c r="I17" s="22">
        <v>250283.52600000001</v>
      </c>
      <c r="J17" s="44">
        <f t="shared" si="7"/>
        <v>-32223.526000000013</v>
      </c>
      <c r="K17" s="43">
        <f t="shared" si="8"/>
        <v>-0.12874809027582587</v>
      </c>
      <c r="L17" s="11"/>
      <c r="M17" s="19"/>
    </row>
    <row r="18" spans="1:13" ht="12.75" customHeight="1">
      <c r="A18" s="30" t="str">
        <v>CA: San Jose FHC - Citi</v>
      </c>
      <c r="B18" s="31" t="str">
        <v>CA</v>
      </c>
      <c r="C18" s="26">
        <v>45501.75</v>
      </c>
      <c r="D18" s="79">
        <v>492327</v>
      </c>
      <c r="E18" s="80">
        <f t="shared" si="0"/>
        <v>9.242180501983438E-2</v>
      </c>
      <c r="F18" s="14">
        <v>50719</v>
      </c>
      <c r="G18" s="14">
        <f t="shared" si="5"/>
        <v>-5217.25</v>
      </c>
      <c r="H18" s="38">
        <f t="shared" si="6"/>
        <v>-0.1028657899406534</v>
      </c>
      <c r="I18" s="16">
        <v>49915.099000000002</v>
      </c>
      <c r="J18" s="39">
        <f t="shared" si="7"/>
        <v>-4413.349000000002</v>
      </c>
      <c r="K18" s="40">
        <f t="shared" si="8"/>
        <v>-8.8417114027961791E-2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12">
        <v>70757.75</v>
      </c>
      <c r="D19" s="12">
        <v>78444</v>
      </c>
      <c r="E19" s="81">
        <f t="shared" si="0"/>
        <v>0.90201608790984655</v>
      </c>
      <c r="F19" s="20">
        <v>79511</v>
      </c>
      <c r="G19" s="20">
        <f t="shared" si="5"/>
        <v>-8753.25</v>
      </c>
      <c r="H19" s="43">
        <f t="shared" si="6"/>
        <v>-0.11008854120813473</v>
      </c>
      <c r="I19" s="22">
        <v>82585.209000000003</v>
      </c>
      <c r="J19" s="44">
        <f t="shared" si="7"/>
        <v>-11827.459000000003</v>
      </c>
      <c r="K19" s="43">
        <f t="shared" si="8"/>
        <v>-0.14321522150534247</v>
      </c>
      <c r="L19" s="11"/>
      <c r="M19" s="19"/>
    </row>
    <row r="20" spans="1:13" ht="15.75">
      <c r="A20" s="30" t="str">
        <v>CA: Selma - Citi</v>
      </c>
      <c r="B20" s="31" t="str">
        <v>CA</v>
      </c>
      <c r="C20" s="26">
        <v>46182.75</v>
      </c>
      <c r="D20" s="79">
        <v>49331</v>
      </c>
      <c r="E20" s="80">
        <f t="shared" si="0"/>
        <v>0.93618110316028458</v>
      </c>
      <c r="F20" s="14">
        <v>49047</v>
      </c>
      <c r="G20" s="14">
        <f t="shared" si="5"/>
        <v>-2864.25</v>
      </c>
      <c r="H20" s="38">
        <f t="shared" si="6"/>
        <v>-5.8398067160070954E-2</v>
      </c>
      <c r="I20" s="16">
        <v>48660.5</v>
      </c>
      <c r="J20" s="39">
        <f t="shared" si="7"/>
        <v>-2477.75</v>
      </c>
      <c r="K20" s="40">
        <f t="shared" si="8"/>
        <v>-5.0919123313570555E-2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12">
        <v>307394</v>
      </c>
      <c r="D21" s="12">
        <v>326133</v>
      </c>
      <c r="E21" s="81">
        <f t="shared" si="0"/>
        <v>0.94254184642461813</v>
      </c>
      <c r="F21" s="20">
        <v>324514</v>
      </c>
      <c r="G21" s="20">
        <f t="shared" si="5"/>
        <v>-17120</v>
      </c>
      <c r="H21" s="43">
        <f t="shared" si="6"/>
        <v>-5.2755813308516739E-2</v>
      </c>
      <c r="I21" s="22">
        <v>357482.12199999997</v>
      </c>
      <c r="J21" s="44">
        <f t="shared" si="7"/>
        <v>-50088.121999999974</v>
      </c>
      <c r="K21" s="43">
        <f t="shared" si="8"/>
        <v>-0.14011364182290487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26">
        <v>97296.53</v>
      </c>
      <c r="D22" s="79">
        <v>105781</v>
      </c>
      <c r="E22" s="80">
        <f t="shared" si="0"/>
        <v>0.91979211767708757</v>
      </c>
      <c r="F22" s="14">
        <v>0</v>
      </c>
      <c r="G22" s="14">
        <f t="shared" si="5"/>
        <v>97296.53</v>
      </c>
      <c r="H22" s="38" t="str">
        <f t="shared" si="6"/>
        <v/>
      </c>
      <c r="I22" s="16">
        <v>94354.982999999993</v>
      </c>
      <c r="J22" s="39">
        <f t="shared" si="7"/>
        <v>2941.5470000000059</v>
      </c>
      <c r="K22" s="40">
        <f t="shared" si="8"/>
        <v>3.1175322240267971E-2</v>
      </c>
      <c r="L22" s="41"/>
      <c r="M22" s="41"/>
    </row>
    <row r="23" spans="1:13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18" priority="1" stopIfTrue="1" operator="lessThanOrEqual">
      <formula>-0.1</formula>
    </cfRule>
    <cfRule type="expression" dxfId="17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2"/>
  <sheetViews>
    <sheetView workbookViewId="0">
      <pane ySplit="2" topLeftCell="A9" activePane="bottomLeft" state="frozen"/>
      <selection pane="bottomLeft" activeCell="H22" sqref="H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140625" customWidth="1"/>
    <col min="5" max="5" width="22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67</v>
      </c>
      <c r="G1" s="88"/>
      <c r="H1" s="88"/>
      <c r="I1" s="86" t="s">
        <v>68</v>
      </c>
      <c r="J1" s="86"/>
      <c r="K1" s="86"/>
      <c r="L1" s="5"/>
      <c r="M1" s="65"/>
    </row>
    <row r="2" spans="1:13" ht="19.5" customHeight="1">
      <c r="A2" s="89" t="s">
        <v>2</v>
      </c>
      <c r="B2" s="89"/>
      <c r="C2" s="6">
        <f>SUM(C4:C100)</f>
        <v>2707257.21</v>
      </c>
      <c r="D2" s="6">
        <f>SUM(D4:D22)</f>
        <v>2778689</v>
      </c>
      <c r="E2" s="7">
        <f>C2/D2</f>
        <v>0.97429298852804325</v>
      </c>
      <c r="F2" s="6">
        <f>SUM(F4:F100)</f>
        <v>2638371.5</v>
      </c>
      <c r="G2" s="6">
        <f>C2-F2</f>
        <v>68885.709999999963</v>
      </c>
      <c r="H2" s="7">
        <f>IFERROR(G2/F2, 0)</f>
        <v>2.6109177574120991E-2</v>
      </c>
      <c r="I2" s="6">
        <f>SUM(I4:I100)</f>
        <v>2970779.139</v>
      </c>
      <c r="J2" s="8">
        <f>C2-I2</f>
        <v>-263521.929</v>
      </c>
      <c r="K2" s="7">
        <f>IFERROR(J2/I2, 0)</f>
        <v>-8.8704651766440185E-2</v>
      </c>
      <c r="L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77462.25</v>
      </c>
      <c r="D4" s="79">
        <v>74449</v>
      </c>
      <c r="E4" s="80">
        <f>C4/D4</f>
        <v>1.0404740157691843</v>
      </c>
      <c r="F4" s="14">
        <v>74083</v>
      </c>
      <c r="G4" s="14">
        <f>IF(AND(ISNUMBER(C4),ISNUMBER(F4)), C4-F4, "")</f>
        <v>3379.25</v>
      </c>
      <c r="H4" s="15">
        <f>IFERROR(G4/F4, "")</f>
        <v>4.5614378467394676E-2</v>
      </c>
      <c r="I4" s="16">
        <v>84214.240999999995</v>
      </c>
      <c r="J4" s="16">
        <f>IF(AND(ISNUMBER(C4),ISNUMBER(I4)), C4-I4, "")</f>
        <v>-6751.9909999999945</v>
      </c>
      <c r="K4" s="17">
        <f>IFERROR(J4/I4, "")</f>
        <v>-8.0176356395588663E-2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272662.5</v>
      </c>
      <c r="D5" s="12">
        <v>254349</v>
      </c>
      <c r="E5" s="81">
        <f t="shared" ref="E5:E22" si="0">C5/D5</f>
        <v>1.0720014625573524</v>
      </c>
      <c r="F5" s="20">
        <v>253074</v>
      </c>
      <c r="G5" s="20">
        <f t="shared" ref="G5:G15" si="1">IF(AND(ISNUMBER(C5),ISNUMBER(F5)), C5-F5, "")</f>
        <v>19588.5</v>
      </c>
      <c r="H5" s="21">
        <f>IFERROR(G5/F5, "")</f>
        <v>7.7402261789041943E-2</v>
      </c>
      <c r="I5" s="22">
        <v>284824.228</v>
      </c>
      <c r="J5" s="22">
        <f t="shared" ref="J5:J15" si="2">IF(AND(ISNUMBER(C5),ISNUMBER(I5)), C5-I5, "")</f>
        <v>-12161.728000000003</v>
      </c>
      <c r="K5" s="21">
        <f t="shared" ref="K5:K15" si="3">IFERROR(J5/I5, "")</f>
        <v>-4.2699064210225832E-2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114407</v>
      </c>
      <c r="D6" s="79">
        <v>108547</v>
      </c>
      <c r="E6" s="80">
        <f t="shared" si="0"/>
        <v>1.0539858310225063</v>
      </c>
      <c r="F6" s="14">
        <v>105858</v>
      </c>
      <c r="G6" s="14">
        <f t="shared" si="1"/>
        <v>8549</v>
      </c>
      <c r="H6" s="15">
        <f t="shared" ref="H6:H15" si="4">IFERROR(G6/F6, "")</f>
        <v>8.0759130155491313E-2</v>
      </c>
      <c r="I6" s="16">
        <v>116144.681</v>
      </c>
      <c r="J6" s="16">
        <f t="shared" si="2"/>
        <v>-1737.6809999999969</v>
      </c>
      <c r="K6" s="17">
        <f t="shared" si="3"/>
        <v>-1.4961348079297724E-2</v>
      </c>
      <c r="L6" s="18" t="s">
        <v>69</v>
      </c>
      <c r="M6" s="18" t="s">
        <v>70</v>
      </c>
    </row>
    <row r="7" spans="1:13" ht="15.75">
      <c r="A7" s="32" t="str">
        <v>CA: Elk Grove MOB - Citi</v>
      </c>
      <c r="B7" s="33" t="str">
        <v>CA</v>
      </c>
      <c r="C7" s="12">
        <v>183481</v>
      </c>
      <c r="D7" s="12">
        <v>181339</v>
      </c>
      <c r="E7" s="81">
        <f t="shared" si="0"/>
        <v>1.0118121308709103</v>
      </c>
      <c r="F7" s="20">
        <v>180446</v>
      </c>
      <c r="G7" s="20">
        <f t="shared" si="1"/>
        <v>3035</v>
      </c>
      <c r="H7" s="21">
        <f t="shared" si="4"/>
        <v>1.6819436285647783E-2</v>
      </c>
      <c r="I7" s="22">
        <v>187871.61600000001</v>
      </c>
      <c r="J7" s="22">
        <f t="shared" si="2"/>
        <v>-4390.6160000000091</v>
      </c>
      <c r="K7" s="21">
        <f t="shared" si="3"/>
        <v>-2.3370299854130222E-2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92595</v>
      </c>
      <c r="D8" s="79">
        <v>95545</v>
      </c>
      <c r="E8" s="80">
        <f t="shared" si="0"/>
        <v>0.96912449631063902</v>
      </c>
      <c r="F8" s="14">
        <v>95074.5</v>
      </c>
      <c r="G8" s="14">
        <f t="shared" si="1"/>
        <v>-2479.5</v>
      </c>
      <c r="H8" s="15">
        <f t="shared" si="4"/>
        <v>-2.6079548143824054E-2</v>
      </c>
      <c r="I8" s="16">
        <v>98927.736999999994</v>
      </c>
      <c r="J8" s="16">
        <f t="shared" si="2"/>
        <v>-6332.7369999999937</v>
      </c>
      <c r="K8" s="17">
        <f t="shared" si="3"/>
        <v>-6.4013765926941135E-2</v>
      </c>
      <c r="L8" s="18" t="s">
        <v>71</v>
      </c>
      <c r="M8" s="18" t="s">
        <v>72</v>
      </c>
    </row>
    <row r="9" spans="1:13" ht="15.75">
      <c r="A9" s="32" t="str">
        <v>CA: Fresno Sequioa - Citi</v>
      </c>
      <c r="B9" s="33" t="str">
        <v>CA</v>
      </c>
      <c r="C9" s="12">
        <v>190314</v>
      </c>
      <c r="D9" s="12">
        <v>179936</v>
      </c>
      <c r="E9" s="81">
        <f t="shared" si="0"/>
        <v>1.0576760626000357</v>
      </c>
      <c r="F9" s="20">
        <v>179087</v>
      </c>
      <c r="G9" s="20">
        <f t="shared" si="1"/>
        <v>11227</v>
      </c>
      <c r="H9" s="21">
        <f t="shared" si="4"/>
        <v>6.2690200852099823E-2</v>
      </c>
      <c r="I9" s="22">
        <v>194677.74400000001</v>
      </c>
      <c r="J9" s="22">
        <f t="shared" si="2"/>
        <v>-4363.7440000000061</v>
      </c>
      <c r="K9" s="21">
        <f t="shared" si="3"/>
        <v>-2.241521763268433E-2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74528.5</v>
      </c>
      <c r="D10" s="79">
        <v>72873</v>
      </c>
      <c r="E10" s="80">
        <f t="shared" si="0"/>
        <v>1.0227176045997832</v>
      </c>
      <c r="F10" s="14">
        <v>73156</v>
      </c>
      <c r="G10" s="14">
        <f t="shared" si="1"/>
        <v>1372.5</v>
      </c>
      <c r="H10" s="15">
        <f t="shared" si="4"/>
        <v>1.876127727049046E-2</v>
      </c>
      <c r="I10" s="16">
        <v>74872.587</v>
      </c>
      <c r="J10" s="16">
        <f t="shared" si="2"/>
        <v>-344.08699999999953</v>
      </c>
      <c r="K10" s="17">
        <f t="shared" si="3"/>
        <v>-4.5956339133840741E-3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47610.62</v>
      </c>
      <c r="D11" s="12">
        <v>52922</v>
      </c>
      <c r="E11" s="81">
        <f t="shared" si="0"/>
        <v>0.89963757983447346</v>
      </c>
      <c r="F11" s="20">
        <v>52928</v>
      </c>
      <c r="G11" s="20">
        <f t="shared" si="1"/>
        <v>-5317.3799999999974</v>
      </c>
      <c r="H11" s="21">
        <f t="shared" si="4"/>
        <v>-0.10046440447400237</v>
      </c>
      <c r="I11" s="22">
        <v>48752.074000000001</v>
      </c>
      <c r="J11" s="22">
        <f t="shared" si="2"/>
        <v>-1141.4539999999979</v>
      </c>
      <c r="K11" s="21">
        <f t="shared" si="3"/>
        <v>-2.3413444933645243E-2</v>
      </c>
      <c r="L11" s="57" t="s">
        <v>73</v>
      </c>
      <c r="M11" s="57" t="s">
        <v>74</v>
      </c>
    </row>
    <row r="12" spans="1:13" ht="15.75">
      <c r="A12" s="30" t="str">
        <v>CA: Napa Data Center - Citi</v>
      </c>
      <c r="B12" s="31" t="str">
        <v>CA</v>
      </c>
      <c r="C12" s="26">
        <v>49680</v>
      </c>
      <c r="D12" s="79">
        <v>53542</v>
      </c>
      <c r="E12" s="80">
        <f t="shared" si="0"/>
        <v>0.92786970976056182</v>
      </c>
      <c r="F12" s="14">
        <v>52066</v>
      </c>
      <c r="G12" s="14">
        <f t="shared" si="1"/>
        <v>-2386</v>
      </c>
      <c r="H12" s="15">
        <f t="shared" si="4"/>
        <v>-4.5826451042907078E-2</v>
      </c>
      <c r="I12" s="16">
        <v>55682.618000000002</v>
      </c>
      <c r="J12" s="16">
        <f t="shared" si="2"/>
        <v>-6002.6180000000022</v>
      </c>
      <c r="K12" s="17">
        <f t="shared" si="3"/>
        <v>-0.10780057072747552</v>
      </c>
      <c r="L12" s="18"/>
      <c r="M12" s="18"/>
    </row>
    <row r="13" spans="1:13" ht="15.75">
      <c r="A13" s="32" t="str">
        <v>CA: Petaluma MOB - Citi</v>
      </c>
      <c r="B13" s="33" t="str">
        <v>CA</v>
      </c>
      <c r="C13" s="12">
        <v>116666</v>
      </c>
      <c r="D13" s="12">
        <v>123235</v>
      </c>
      <c r="E13" s="81">
        <f t="shared" si="0"/>
        <v>0.94669533817503149</v>
      </c>
      <c r="F13" s="20">
        <v>119186</v>
      </c>
      <c r="G13" s="20">
        <f t="shared" si="1"/>
        <v>-2520</v>
      </c>
      <c r="H13" s="21">
        <f t="shared" si="4"/>
        <v>-2.1143422885238201E-2</v>
      </c>
      <c r="I13" s="22">
        <v>128517.622</v>
      </c>
      <c r="J13" s="22">
        <f t="shared" si="2"/>
        <v>-11851.622000000003</v>
      </c>
      <c r="K13" s="21">
        <f t="shared" si="3"/>
        <v>-9.2217874993049606E-2</v>
      </c>
      <c r="L13" s="57"/>
      <c r="M13" s="11"/>
    </row>
    <row r="14" spans="1:13" ht="28.5">
      <c r="A14" s="30" t="str">
        <v>CA: Pleasanton Tec Ctr - Citi</v>
      </c>
      <c r="B14" s="31" t="str">
        <v>CA</v>
      </c>
      <c r="C14" s="26">
        <v>133140.5</v>
      </c>
      <c r="D14" s="79">
        <v>167398</v>
      </c>
      <c r="E14" s="80">
        <f t="shared" si="0"/>
        <v>0.79535299107516222</v>
      </c>
      <c r="F14" s="14">
        <v>166675</v>
      </c>
      <c r="G14" s="14">
        <f t="shared" si="1"/>
        <v>-33534.5</v>
      </c>
      <c r="H14" s="15">
        <f t="shared" si="4"/>
        <v>-0.20119694015299236</v>
      </c>
      <c r="I14" s="16">
        <v>179070.981</v>
      </c>
      <c r="J14" s="16">
        <f t="shared" si="2"/>
        <v>-45930.481</v>
      </c>
      <c r="K14" s="17">
        <f t="shared" si="3"/>
        <v>-0.25649315563865704</v>
      </c>
      <c r="L14" s="18" t="s">
        <v>75</v>
      </c>
      <c r="M14" s="18" t="s">
        <v>76</v>
      </c>
    </row>
    <row r="15" spans="1:13" ht="15.75">
      <c r="A15" s="32" t="str">
        <v>CA: Rancho Cordova - Citi</v>
      </c>
      <c r="B15" s="33" t="str">
        <v>CA</v>
      </c>
      <c r="C15" s="12">
        <v>239784</v>
      </c>
      <c r="D15" s="12">
        <v>241188</v>
      </c>
      <c r="E15" s="81">
        <f t="shared" si="0"/>
        <v>0.99417881486641124</v>
      </c>
      <c r="F15" s="20">
        <v>240949</v>
      </c>
      <c r="G15" s="20">
        <f t="shared" si="1"/>
        <v>-1165</v>
      </c>
      <c r="H15" s="21">
        <f t="shared" si="4"/>
        <v>-4.8350480807141764E-3</v>
      </c>
      <c r="I15" s="22">
        <v>256798.96599999999</v>
      </c>
      <c r="J15" s="22">
        <f t="shared" si="2"/>
        <v>-17014.965999999986</v>
      </c>
      <c r="K15" s="21">
        <f t="shared" si="3"/>
        <v>-6.6257922549423295E-2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153563.75</v>
      </c>
      <c r="D16" s="79">
        <v>157421</v>
      </c>
      <c r="E16" s="80">
        <f t="shared" si="0"/>
        <v>0.97549723353301021</v>
      </c>
      <c r="F16" s="14">
        <v>157119</v>
      </c>
      <c r="G16" s="14">
        <f t="shared" ref="G16:G20" si="5">IF(AND(ISNUMBER(C16),ISNUMBER(F16)), C16-F16, "")</f>
        <v>-3555.25</v>
      </c>
      <c r="H16" s="38">
        <f t="shared" ref="H16:H22" si="6">IFERROR(G16/F16, "")</f>
        <v>-2.2627753486211089E-2</v>
      </c>
      <c r="I16" s="39">
        <v>150885.58799999999</v>
      </c>
      <c r="J16" s="39">
        <f t="shared" ref="J16:J22" si="7">IF(AND(ISNUMBER(C16),ISNUMBER(I16)), C16-I16, "")</f>
        <v>2678.1620000000112</v>
      </c>
      <c r="K16" s="40">
        <f t="shared" ref="K16:K22" si="8">IFERROR(J16/I16, "")</f>
        <v>1.7749620990972388E-2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275734.5</v>
      </c>
      <c r="D17" s="12">
        <v>300484</v>
      </c>
      <c r="E17" s="81">
        <f t="shared" si="0"/>
        <v>0.9176345495933228</v>
      </c>
      <c r="F17" s="20">
        <v>299681</v>
      </c>
      <c r="G17" s="20">
        <f t="shared" si="5"/>
        <v>-23946.5</v>
      </c>
      <c r="H17" s="43">
        <f t="shared" si="6"/>
        <v>-7.9906634054210973E-2</v>
      </c>
      <c r="I17" s="44">
        <v>314439.22200000001</v>
      </c>
      <c r="J17" s="44">
        <f t="shared" si="7"/>
        <v>-38704.722000000009</v>
      </c>
      <c r="K17" s="43">
        <f t="shared" si="8"/>
        <v>-0.12309126626703079</v>
      </c>
      <c r="L17" s="11"/>
      <c r="M17" s="11"/>
    </row>
    <row r="18" spans="1:13" ht="12.75" customHeight="1">
      <c r="A18" s="30" t="str">
        <v>CA: San Jose FHC - Citi</v>
      </c>
      <c r="B18" s="31" t="str">
        <v>CA</v>
      </c>
      <c r="C18" s="37">
        <v>55720.63</v>
      </c>
      <c r="D18" s="79">
        <v>57716</v>
      </c>
      <c r="E18" s="80">
        <f t="shared" si="0"/>
        <v>0.96542778432323784</v>
      </c>
      <c r="F18" s="14">
        <v>59452</v>
      </c>
      <c r="G18" s="14">
        <f t="shared" si="5"/>
        <v>-3731.3700000000026</v>
      </c>
      <c r="H18" s="38">
        <f t="shared" si="6"/>
        <v>-6.2762732961044246E-2</v>
      </c>
      <c r="I18" s="39">
        <v>60302.053999999996</v>
      </c>
      <c r="J18" s="39">
        <f t="shared" si="7"/>
        <v>-4581.4239999999991</v>
      </c>
      <c r="K18" s="40">
        <f t="shared" si="8"/>
        <v>-7.5974592838910587E-2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>
        <v>87601.25</v>
      </c>
      <c r="D19" s="12">
        <v>91386</v>
      </c>
      <c r="E19" s="81">
        <f t="shared" si="0"/>
        <v>0.95858501302168819</v>
      </c>
      <c r="F19" s="20">
        <v>92629</v>
      </c>
      <c r="G19" s="20">
        <f t="shared" si="5"/>
        <v>-5027.75</v>
      </c>
      <c r="H19" s="43">
        <f t="shared" si="6"/>
        <v>-5.4278357749732803E-2</v>
      </c>
      <c r="I19" s="44">
        <v>100998.231</v>
      </c>
      <c r="J19" s="44">
        <f t="shared" si="7"/>
        <v>-13396.981</v>
      </c>
      <c r="K19" s="43">
        <f t="shared" si="8"/>
        <v>-0.13264569950735078</v>
      </c>
      <c r="L19" s="11"/>
      <c r="M19" s="11"/>
    </row>
    <row r="20" spans="1:13" ht="15.75">
      <c r="A20" s="30" t="str">
        <v>CA: Selma - Citi</v>
      </c>
      <c r="B20" s="31" t="str">
        <v>CA</v>
      </c>
      <c r="C20" s="37">
        <v>56601.120000000003</v>
      </c>
      <c r="D20" s="79">
        <v>55270</v>
      </c>
      <c r="E20" s="80">
        <f t="shared" si="0"/>
        <v>1.0240839515107654</v>
      </c>
      <c r="F20" s="14">
        <v>55045</v>
      </c>
      <c r="G20" s="14">
        <f t="shared" si="5"/>
        <v>1556.1200000000026</v>
      </c>
      <c r="H20" s="38">
        <f t="shared" si="6"/>
        <v>2.8269960941048281E-2</v>
      </c>
      <c r="I20" s="39">
        <v>60163.661999999997</v>
      </c>
      <c r="J20" s="39">
        <f t="shared" si="7"/>
        <v>-3562.541999999994</v>
      </c>
      <c r="K20" s="40">
        <f t="shared" si="8"/>
        <v>-5.9214181477184588E-2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364586</v>
      </c>
      <c r="D21" s="12">
        <v>384708</v>
      </c>
      <c r="E21" s="81">
        <f t="shared" si="0"/>
        <v>0.94769539494889632</v>
      </c>
      <c r="F21" s="20">
        <v>381863</v>
      </c>
      <c r="G21" s="20">
        <f>IF(AND(ISNUMBER(C21),ISNUMBER(F21)), C21-F21, "")</f>
        <v>-17277</v>
      </c>
      <c r="H21" s="43">
        <f t="shared" si="6"/>
        <v>-4.5243974933418529E-2</v>
      </c>
      <c r="I21" s="44">
        <v>460908.55900000001</v>
      </c>
      <c r="J21" s="44">
        <f t="shared" si="7"/>
        <v>-96322.559000000008</v>
      </c>
      <c r="K21" s="43">
        <f t="shared" si="8"/>
        <v>-0.20898409699525672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121118.59</v>
      </c>
      <c r="D22" s="79">
        <v>126381</v>
      </c>
      <c r="E22" s="80">
        <f t="shared" si="0"/>
        <v>0.9583607504292575</v>
      </c>
      <c r="F22" s="14">
        <v>0</v>
      </c>
      <c r="G22" s="14">
        <f t="shared" ref="G22" si="9">IF(AND(ISNUMBER(C22),ISNUMBER(F22)), C22-F22, "")</f>
        <v>121118.59</v>
      </c>
      <c r="H22" s="38" t="str">
        <f t="shared" si="6"/>
        <v/>
      </c>
      <c r="I22" s="39">
        <v>112726.728</v>
      </c>
      <c r="J22" s="39">
        <f t="shared" si="7"/>
        <v>8391.8619999999937</v>
      </c>
      <c r="K22" s="40">
        <f t="shared" si="8"/>
        <v>7.4444296830827858E-2</v>
      </c>
      <c r="L22" s="41"/>
      <c r="M22" s="41"/>
    </row>
    <row r="23" spans="1:13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>
      <c r="A31" s="23"/>
      <c r="B31" s="35"/>
      <c r="C31" s="23"/>
      <c r="D31" s="23"/>
      <c r="E31" s="23"/>
      <c r="F31" s="23"/>
      <c r="G31" s="23"/>
      <c r="H31" s="23"/>
      <c r="I31" s="23"/>
      <c r="J31" s="64"/>
      <c r="K31" s="23"/>
      <c r="L31" s="23"/>
      <c r="M31" s="23"/>
    </row>
    <row r="32" spans="1:13">
      <c r="A32" s="23"/>
      <c r="B32" s="35"/>
      <c r="C32" s="23"/>
      <c r="D32" s="23"/>
      <c r="E32" s="23"/>
      <c r="F32" s="23"/>
      <c r="G32" s="23"/>
      <c r="H32" s="64"/>
      <c r="I32" s="64"/>
      <c r="J32" s="64"/>
      <c r="K32" s="23"/>
      <c r="L32" s="23"/>
      <c r="M32" s="23"/>
    </row>
    <row r="33" spans="1:13">
      <c r="A33" s="23"/>
      <c r="B33" s="35"/>
      <c r="C33" s="23"/>
      <c r="D33" s="23"/>
      <c r="E33" s="23"/>
      <c r="F33" s="23"/>
      <c r="G33" s="23"/>
      <c r="H33" s="64"/>
      <c r="I33" s="64"/>
      <c r="J33" s="64"/>
      <c r="K33" s="24"/>
      <c r="L33" s="23"/>
      <c r="M33" s="23"/>
    </row>
    <row r="34" spans="1:13">
      <c r="A34" s="23"/>
      <c r="B34" s="35"/>
      <c r="C34" s="23"/>
      <c r="D34" s="23"/>
      <c r="E34" s="23"/>
      <c r="F34" s="23"/>
      <c r="G34" s="23"/>
      <c r="H34" s="64"/>
      <c r="I34" s="64"/>
      <c r="J34" s="64"/>
      <c r="K34" s="24"/>
      <c r="L34" s="23"/>
      <c r="M34" s="23"/>
    </row>
    <row r="35" spans="1:13">
      <c r="A35" s="23"/>
      <c r="B35" s="35"/>
      <c r="C35" s="23"/>
      <c r="D35" s="23"/>
      <c r="E35" s="23"/>
      <c r="F35" s="23"/>
      <c r="G35" s="23"/>
      <c r="H35" s="64"/>
      <c r="I35" s="64"/>
      <c r="J35" s="64"/>
      <c r="K35" s="24"/>
      <c r="L35" s="23"/>
      <c r="M35" s="23"/>
    </row>
    <row r="36" spans="1:13">
      <c r="A36" s="23"/>
      <c r="B36" s="35"/>
      <c r="C36" s="23"/>
      <c r="D36" s="23"/>
      <c r="E36" s="23"/>
      <c r="F36" s="23"/>
      <c r="G36" s="23"/>
      <c r="H36" s="64"/>
      <c r="I36" s="64"/>
      <c r="J36" s="64"/>
      <c r="K36" s="24"/>
      <c r="L36" s="23"/>
      <c r="M36" s="23"/>
    </row>
    <row r="37" spans="1:13">
      <c r="A37" s="23"/>
      <c r="B37" s="35"/>
      <c r="C37" s="23"/>
      <c r="D37" s="23"/>
      <c r="E37" s="23"/>
      <c r="F37" s="23"/>
      <c r="G37" s="23"/>
      <c r="H37" s="64"/>
      <c r="I37" s="64"/>
      <c r="J37" s="64"/>
      <c r="K37" s="24"/>
      <c r="L37" s="23"/>
      <c r="M37" s="23"/>
    </row>
    <row r="38" spans="1:13">
      <c r="A38" s="23"/>
      <c r="B38" s="35"/>
      <c r="C38" s="23"/>
      <c r="D38" s="23"/>
      <c r="E38" s="23"/>
      <c r="F38" s="23"/>
      <c r="G38" s="23"/>
      <c r="H38" s="64"/>
      <c r="I38" s="64"/>
      <c r="J38" s="64"/>
      <c r="K38" s="24"/>
      <c r="L38" s="23"/>
      <c r="M38" s="23"/>
    </row>
    <row r="39" spans="1:13">
      <c r="A39" s="23"/>
      <c r="B39" s="35"/>
      <c r="C39" s="23"/>
      <c r="D39" s="23"/>
      <c r="E39" s="23"/>
      <c r="F39" s="23"/>
      <c r="G39" s="23"/>
      <c r="H39" s="64"/>
      <c r="I39" s="64"/>
      <c r="J39" s="64"/>
      <c r="K39" s="24"/>
      <c r="L39" s="23"/>
      <c r="M39" s="23"/>
    </row>
    <row r="40" spans="1:13">
      <c r="A40" s="23"/>
      <c r="B40" s="35"/>
      <c r="C40" s="23"/>
      <c r="D40" s="23"/>
      <c r="E40" s="23"/>
      <c r="F40" s="23"/>
      <c r="G40" s="23"/>
      <c r="H40" s="64"/>
      <c r="I40" s="64"/>
      <c r="J40" s="64"/>
      <c r="K40" s="24"/>
      <c r="L40" s="23"/>
      <c r="M40" s="23"/>
    </row>
    <row r="41" spans="1:13">
      <c r="A41" s="23"/>
      <c r="B41" s="35"/>
      <c r="C41" s="23"/>
      <c r="D41" s="23"/>
      <c r="E41" s="23"/>
      <c r="F41" s="23"/>
      <c r="G41" s="23"/>
      <c r="H41" s="64"/>
      <c r="I41" s="64"/>
      <c r="J41" s="64"/>
      <c r="K41" s="24"/>
      <c r="L41" s="23"/>
      <c r="M41" s="23"/>
    </row>
    <row r="42" spans="1:13">
      <c r="A42" s="23"/>
      <c r="B42" s="35"/>
      <c r="C42" s="23"/>
      <c r="D42" s="23"/>
      <c r="E42" s="23"/>
      <c r="F42" s="23"/>
      <c r="G42" s="23"/>
      <c r="H42" s="64"/>
      <c r="I42" s="64"/>
      <c r="J42" s="64"/>
      <c r="K42" s="24"/>
      <c r="L42" s="23"/>
      <c r="M42" s="23"/>
    </row>
    <row r="43" spans="1:13">
      <c r="A43" s="23"/>
      <c r="B43" s="35"/>
      <c r="C43" s="23"/>
      <c r="D43" s="23"/>
      <c r="E43" s="23"/>
      <c r="F43" s="23"/>
      <c r="G43" s="23"/>
      <c r="H43" s="64"/>
      <c r="I43" s="64"/>
      <c r="J43" s="64"/>
      <c r="K43" s="24"/>
      <c r="L43" s="23"/>
      <c r="M43" s="23"/>
    </row>
    <row r="44" spans="1:13">
      <c r="A44" s="23"/>
      <c r="B44" s="35"/>
      <c r="C44" s="23"/>
      <c r="D44" s="23"/>
      <c r="E44" s="23"/>
      <c r="F44" s="23"/>
      <c r="G44" s="23"/>
      <c r="H44" s="64"/>
      <c r="I44" s="64"/>
      <c r="J44" s="64"/>
      <c r="K44" s="24"/>
      <c r="L44" s="23"/>
      <c r="M44" s="23"/>
    </row>
    <row r="45" spans="1:13">
      <c r="A45" s="23"/>
      <c r="B45" s="35"/>
      <c r="C45" s="23"/>
      <c r="D45" s="23"/>
      <c r="E45" s="23"/>
      <c r="F45" s="23"/>
      <c r="G45" s="23"/>
      <c r="H45" s="64"/>
      <c r="I45" s="64"/>
      <c r="J45" s="64"/>
      <c r="K45" s="24"/>
      <c r="L45" s="23"/>
      <c r="M45" s="23"/>
    </row>
    <row r="46" spans="1:13">
      <c r="A46" s="23"/>
      <c r="B46" s="35"/>
      <c r="C46" s="23"/>
      <c r="D46" s="23"/>
      <c r="E46" s="23"/>
      <c r="F46" s="23"/>
      <c r="G46" s="23"/>
      <c r="H46" s="64"/>
      <c r="I46" s="64"/>
      <c r="J46" s="64"/>
      <c r="K46" s="24"/>
      <c r="L46" s="23"/>
      <c r="M46" s="23"/>
    </row>
    <row r="47" spans="1:13">
      <c r="A47" s="23"/>
      <c r="B47" s="35"/>
      <c r="C47" s="23"/>
      <c r="D47" s="23"/>
      <c r="E47" s="23"/>
      <c r="F47" s="23"/>
      <c r="G47" s="23"/>
      <c r="H47" s="64"/>
      <c r="I47" s="64"/>
      <c r="J47" s="64"/>
      <c r="K47" s="24"/>
      <c r="L47" s="23"/>
      <c r="M47" s="23"/>
    </row>
    <row r="48" spans="1:13">
      <c r="A48" s="23"/>
      <c r="B48" s="35"/>
      <c r="C48" s="23"/>
      <c r="D48" s="23"/>
      <c r="E48" s="23"/>
      <c r="F48" s="23"/>
      <c r="G48" s="23"/>
      <c r="H48" s="64"/>
      <c r="I48" s="64"/>
      <c r="J48" s="64"/>
      <c r="K48" s="24"/>
      <c r="L48" s="23"/>
      <c r="M48" s="23"/>
    </row>
    <row r="49" spans="1:13">
      <c r="A49" s="23"/>
      <c r="B49" s="35"/>
      <c r="C49" s="23"/>
      <c r="D49" s="23"/>
      <c r="E49" s="23"/>
      <c r="F49" s="23"/>
      <c r="G49" s="23"/>
      <c r="H49" s="64"/>
      <c r="I49" s="64"/>
      <c r="J49" s="64"/>
      <c r="K49" s="24"/>
      <c r="L49" s="23"/>
      <c r="M49" s="23"/>
    </row>
    <row r="50" spans="1:13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22 K4:K100 H50:H100">
    <cfRule type="cellIs" dxfId="16" priority="1" stopIfTrue="1" operator="lessThanOrEqual">
      <formula>-0.1</formula>
    </cfRule>
    <cfRule type="expression" dxfId="15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workbookViewId="0">
      <pane ySplit="2" topLeftCell="A7" activePane="bottomLeft" state="frozen"/>
      <selection pane="bottomLeft" activeCell="J18" sqref="J18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85546875" customWidth="1"/>
    <col min="5" max="5" width="28.855468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2.5703125" customWidth="1"/>
  </cols>
  <sheetData>
    <row r="1" spans="1:14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77" t="s">
        <v>77</v>
      </c>
      <c r="G1" s="88" t="s">
        <v>78</v>
      </c>
      <c r="H1" s="88"/>
      <c r="I1" s="88"/>
      <c r="J1" s="86" t="s">
        <v>79</v>
      </c>
      <c r="K1" s="86"/>
      <c r="L1" s="86"/>
      <c r="M1" s="5"/>
      <c r="N1" s="5"/>
    </row>
    <row r="2" spans="1:14" ht="19.5" customHeight="1">
      <c r="A2" s="89" t="s">
        <v>2</v>
      </c>
      <c r="B2" s="89"/>
      <c r="C2" s="6">
        <f>SUM(C4:C100)</f>
        <v>2463183.5</v>
      </c>
      <c r="D2" s="6">
        <f>SUM(D4:D22)</f>
        <v>2847464</v>
      </c>
      <c r="E2" s="7">
        <f>C2/D2</f>
        <v>0.86504465025721133</v>
      </c>
      <c r="F2" s="7">
        <v>0.89</v>
      </c>
      <c r="G2" s="6">
        <f>SUM(G4:G100)</f>
        <v>2641284.5159999998</v>
      </c>
      <c r="H2" s="6">
        <f>C2-G2</f>
        <v>-178101.01599999983</v>
      </c>
      <c r="I2" s="7">
        <f>IFERROR(H2/G2, 0)</f>
        <v>-6.7429697528276364E-2</v>
      </c>
      <c r="J2" s="6">
        <f>SUM(J4:J100)</f>
        <v>2773309.1069999998</v>
      </c>
      <c r="K2" s="8">
        <f>C2-J2</f>
        <v>-310125.60699999984</v>
      </c>
      <c r="L2" s="7">
        <f>IFERROR(K2/J2, 0)</f>
        <v>-0.11182511398286764</v>
      </c>
      <c r="M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84"/>
      <c r="F3" s="84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80694.75</v>
      </c>
      <c r="D4" s="79">
        <v>76877</v>
      </c>
      <c r="E4" s="80">
        <f>C4/D4</f>
        <v>1.0496604966374858</v>
      </c>
      <c r="F4" s="80">
        <f>(SUM(C4,May!C4,Apr!C4))/(SUM(Apr!D4,May!D4,Jun!D4))</f>
        <v>1.01993681417729</v>
      </c>
      <c r="G4" s="14">
        <v>76499</v>
      </c>
      <c r="H4" s="14">
        <f>IF(AND(ISNUMBER(C4),ISNUMBER(G4)), C4-G4, "")</f>
        <v>4195.75</v>
      </c>
      <c r="I4" s="15">
        <f>IFERROR(H4/G4, "")</f>
        <v>5.4847122184603719E-2</v>
      </c>
      <c r="J4" s="16">
        <v>80283.123000000007</v>
      </c>
      <c r="K4" s="16">
        <f>IF(AND(ISNUMBER(C4),ISNUMBER(J4)), C4-J4, "")</f>
        <v>411.62699999999313</v>
      </c>
      <c r="L4" s="17">
        <f>IFERROR(K4/J4, "")</f>
        <v>5.1271921746242118E-3</v>
      </c>
      <c r="M4" s="18"/>
      <c r="N4" s="18"/>
    </row>
    <row r="5" spans="1:14" ht="15.75">
      <c r="A5" s="32" t="str">
        <v>CA: Antioch MC CUP - Citi</v>
      </c>
      <c r="B5" s="33" t="str">
        <v>CA</v>
      </c>
      <c r="C5" s="12">
        <v>262899.5</v>
      </c>
      <c r="D5" s="12">
        <v>262669</v>
      </c>
      <c r="E5" s="81">
        <f t="shared" ref="E5:E22" si="0">C5/D5</f>
        <v>1.0008775302757462</v>
      </c>
      <c r="F5" s="81">
        <f>(SUM(C5,May!C5,Apr!C5))/(SUM(Apr!D5,May!D5,Jun!D5))</f>
        <v>1.0263553349566594</v>
      </c>
      <c r="G5" s="20">
        <v>261352</v>
      </c>
      <c r="H5" s="20">
        <f t="shared" ref="H5:H15" si="1">IF(AND(ISNUMBER(C5),ISNUMBER(G5)), C5-G5, "")</f>
        <v>1547.5</v>
      </c>
      <c r="I5" s="21">
        <f>IFERROR(H5/G5, "")</f>
        <v>5.9211331843643826E-3</v>
      </c>
      <c r="J5" s="22">
        <v>275617.88500000001</v>
      </c>
      <c r="K5" s="22">
        <f t="shared" ref="K5:K15" si="2">IF(AND(ISNUMBER(C5),ISNUMBER(J5)), C5-J5, "")</f>
        <v>-12718.385000000009</v>
      </c>
      <c r="L5" s="21">
        <f t="shared" ref="L5:L15" si="3">IFERROR(K5/J5, "")</f>
        <v>-4.614499164304961E-2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110568</v>
      </c>
      <c r="D6" s="79">
        <v>114359</v>
      </c>
      <c r="E6" s="80">
        <f t="shared" si="0"/>
        <v>0.96685000743273375</v>
      </c>
      <c r="F6" s="80">
        <f>(SUM(C6,May!C6,Apr!C6))/(SUM(Apr!D6,May!D6,Jun!D6))</f>
        <v>0.99026502755298829</v>
      </c>
      <c r="G6" s="14">
        <v>111525</v>
      </c>
      <c r="H6" s="14">
        <f t="shared" si="1"/>
        <v>-957</v>
      </c>
      <c r="I6" s="15">
        <f t="shared" ref="I6:I15" si="4">IFERROR(H6/G6, "")</f>
        <v>-8.5810356422326827E-3</v>
      </c>
      <c r="J6" s="16">
        <v>111243.93</v>
      </c>
      <c r="K6" s="16">
        <f t="shared" si="2"/>
        <v>-675.92999999999302</v>
      </c>
      <c r="L6" s="17">
        <f t="shared" si="3"/>
        <v>-6.0761068042093896E-3</v>
      </c>
      <c r="M6" s="18"/>
      <c r="N6" s="18"/>
    </row>
    <row r="7" spans="1:14" ht="42.75">
      <c r="A7" s="32" t="str">
        <v>CA: Elk Grove MOB - Citi</v>
      </c>
      <c r="B7" s="33" t="str">
        <v>CA</v>
      </c>
      <c r="C7" s="12">
        <v>157485.5</v>
      </c>
      <c r="D7" s="12">
        <v>182422</v>
      </c>
      <c r="E7" s="81">
        <f t="shared" si="0"/>
        <v>0.86330322000635884</v>
      </c>
      <c r="F7" s="81">
        <f>(SUM(C7,May!C7,Apr!C7))/(SUM(Apr!D7,May!D7,Jun!D7))</f>
        <v>0.95642580977409475</v>
      </c>
      <c r="G7" s="20">
        <v>181524</v>
      </c>
      <c r="H7" s="20">
        <f t="shared" si="1"/>
        <v>-24038.5</v>
      </c>
      <c r="I7" s="21">
        <f t="shared" si="4"/>
        <v>-0.13242601529274367</v>
      </c>
      <c r="J7" s="22">
        <v>183908</v>
      </c>
      <c r="K7" s="22">
        <f t="shared" si="2"/>
        <v>-26422.5</v>
      </c>
      <c r="L7" s="21">
        <f t="shared" si="3"/>
        <v>-0.14367237966809493</v>
      </c>
      <c r="M7" s="67" t="s">
        <v>80</v>
      </c>
      <c r="N7" s="67" t="s">
        <v>81</v>
      </c>
    </row>
    <row r="8" spans="1:14" ht="15.75">
      <c r="A8" s="30" t="str">
        <v>CA: Elk Grove Promenade - Citi</v>
      </c>
      <c r="B8" s="31" t="str">
        <v>CA</v>
      </c>
      <c r="C8" s="26">
        <v>88507.75</v>
      </c>
      <c r="D8" s="79">
        <v>95644</v>
      </c>
      <c r="E8" s="80">
        <f t="shared" si="0"/>
        <v>0.92538737401196103</v>
      </c>
      <c r="F8" s="80">
        <f>(SUM(C8,May!C8,Apr!C8))/(SUM(Apr!D8,May!D8,Jun!D8))</f>
        <v>0.95444613338400153</v>
      </c>
      <c r="G8" s="14">
        <v>95172.516000000003</v>
      </c>
      <c r="H8" s="14">
        <f t="shared" si="1"/>
        <v>-6664.7660000000033</v>
      </c>
      <c r="I8" s="15">
        <f t="shared" si="4"/>
        <v>-7.0028263201531868E-2</v>
      </c>
      <c r="J8" s="16">
        <v>95004.316000000006</v>
      </c>
      <c r="K8" s="16">
        <f t="shared" si="2"/>
        <v>-6496.5660000000062</v>
      </c>
      <c r="L8" s="17">
        <f t="shared" si="3"/>
        <v>-6.8381798570077659E-2</v>
      </c>
      <c r="M8" s="58"/>
      <c r="N8" s="58"/>
    </row>
    <row r="9" spans="1:14" ht="15.75">
      <c r="A9" s="32" t="str">
        <v>CA: Fresno Sequioa - Citi</v>
      </c>
      <c r="B9" s="33" t="str">
        <v>CA</v>
      </c>
      <c r="C9" s="12">
        <v>180119.25</v>
      </c>
      <c r="D9" s="12">
        <v>187953</v>
      </c>
      <c r="E9" s="81">
        <f t="shared" si="0"/>
        <v>0.95832069719557544</v>
      </c>
      <c r="F9" s="81">
        <f>(SUM(C9,May!C9,Apr!C9))/(SUM(Apr!D9,May!D9,Jun!D9))</f>
        <v>0.98852899001905625</v>
      </c>
      <c r="G9" s="20">
        <v>187066</v>
      </c>
      <c r="H9" s="20">
        <f t="shared" si="1"/>
        <v>-6946.75</v>
      </c>
      <c r="I9" s="21">
        <f t="shared" si="4"/>
        <v>-3.7135289149284212E-2</v>
      </c>
      <c r="J9" s="22">
        <v>189019.541</v>
      </c>
      <c r="K9" s="22">
        <f t="shared" si="2"/>
        <v>-8900.2909999999974</v>
      </c>
      <c r="L9" s="21">
        <f t="shared" si="3"/>
        <v>-4.708661841475955E-2</v>
      </c>
      <c r="M9" s="59"/>
      <c r="N9" s="59"/>
    </row>
    <row r="10" spans="1:14" ht="42.75">
      <c r="A10" s="30" t="str">
        <v>CA: Fresno MOB - Citi</v>
      </c>
      <c r="B10" s="31" t="str">
        <v>CA</v>
      </c>
      <c r="C10" s="26">
        <v>68059.87</v>
      </c>
      <c r="D10" s="79">
        <v>75912</v>
      </c>
      <c r="E10" s="80">
        <f t="shared" si="0"/>
        <v>0.89656273053008739</v>
      </c>
      <c r="F10" s="80">
        <f>(SUM(C10,May!C10,Apr!C10))/(SUM(Apr!D10,May!D10,Jun!D10))</f>
        <v>0.94510574931943503</v>
      </c>
      <c r="G10" s="14">
        <v>76399</v>
      </c>
      <c r="H10" s="14">
        <f t="shared" si="1"/>
        <v>-8339.1300000000047</v>
      </c>
      <c r="I10" s="15">
        <f t="shared" si="4"/>
        <v>-0.10915234492598076</v>
      </c>
      <c r="J10" s="16">
        <v>71704.213000000003</v>
      </c>
      <c r="K10" s="16">
        <f t="shared" si="2"/>
        <v>-3644.343000000008</v>
      </c>
      <c r="L10" s="17">
        <f t="shared" si="3"/>
        <v>-5.0824670511340916E-2</v>
      </c>
      <c r="M10" s="58" t="s">
        <v>82</v>
      </c>
      <c r="N10" s="58" t="s">
        <v>83</v>
      </c>
    </row>
    <row r="11" spans="1:14" ht="15.75">
      <c r="A11" s="32" t="str">
        <v>CA: Modesto Bangs - Citi</v>
      </c>
      <c r="B11" s="33" t="str">
        <v>CA</v>
      </c>
      <c r="C11" s="12">
        <v>45253.38</v>
      </c>
      <c r="D11" s="12">
        <v>54773</v>
      </c>
      <c r="E11" s="81">
        <f t="shared" si="0"/>
        <v>0.82619867452942142</v>
      </c>
      <c r="F11" s="81">
        <f>(SUM(C11,May!C11,Apr!C11))/(SUM(Apr!D11,May!D11,Jun!D11))</f>
        <v>0.84947505417347224</v>
      </c>
      <c r="G11" s="20">
        <v>54780</v>
      </c>
      <c r="H11" s="20">
        <f t="shared" si="1"/>
        <v>-9526.6200000000026</v>
      </c>
      <c r="I11" s="21">
        <f t="shared" si="4"/>
        <v>-0.17390690032858713</v>
      </c>
      <c r="J11" s="22">
        <v>46359.14</v>
      </c>
      <c r="K11" s="22">
        <f t="shared" si="2"/>
        <v>-1105.760000000002</v>
      </c>
      <c r="L11" s="21">
        <f t="shared" si="3"/>
        <v>-2.3852038670260107E-2</v>
      </c>
      <c r="M11" s="59" t="s">
        <v>84</v>
      </c>
      <c r="N11" s="59" t="s">
        <v>74</v>
      </c>
    </row>
    <row r="12" spans="1:14" ht="28.5">
      <c r="A12" s="30" t="str">
        <v>CA: Napa Data Center - Citi</v>
      </c>
      <c r="B12" s="31" t="str">
        <v>CA</v>
      </c>
      <c r="C12" s="26">
        <v>47603.87</v>
      </c>
      <c r="D12" s="79">
        <v>54497</v>
      </c>
      <c r="E12" s="80">
        <f t="shared" si="0"/>
        <v>0.87351358790392142</v>
      </c>
      <c r="F12" s="80">
        <f>(SUM(C12,May!C12,Apr!C12))/(SUM(Apr!D12,May!D12,Jun!D12))</f>
        <v>0.83548554499283756</v>
      </c>
      <c r="G12" s="14">
        <v>52986</v>
      </c>
      <c r="H12" s="14">
        <f t="shared" si="1"/>
        <v>-5382.1299999999974</v>
      </c>
      <c r="I12" s="15">
        <f t="shared" si="4"/>
        <v>-0.10157645415770199</v>
      </c>
      <c r="J12" s="16">
        <v>54599.735999999997</v>
      </c>
      <c r="K12" s="16">
        <f t="shared" si="2"/>
        <v>-6995.8659999999945</v>
      </c>
      <c r="L12" s="17">
        <f t="shared" si="3"/>
        <v>-0.12813003344924589</v>
      </c>
      <c r="M12" s="58" t="s">
        <v>85</v>
      </c>
      <c r="N12" s="58" t="s">
        <v>86</v>
      </c>
    </row>
    <row r="13" spans="1:14" ht="37.5" customHeight="1">
      <c r="A13" s="32" t="str">
        <v>CA: Petaluma MOB - Citi</v>
      </c>
      <c r="B13" s="33" t="str">
        <v>CA</v>
      </c>
      <c r="C13" s="12">
        <v>113623</v>
      </c>
      <c r="D13" s="12">
        <v>124350</v>
      </c>
      <c r="E13" s="81">
        <f t="shared" si="0"/>
        <v>0.91373542420587051</v>
      </c>
      <c r="F13" s="81">
        <f>(SUM(C13,May!C13,Apr!C13))/(SUM(Apr!D13,May!D13,Jun!D13))</f>
        <v>0.92145356837473735</v>
      </c>
      <c r="G13" s="20">
        <v>120264</v>
      </c>
      <c r="H13" s="20">
        <f t="shared" si="1"/>
        <v>-6641</v>
      </c>
      <c r="I13" s="21">
        <f t="shared" si="4"/>
        <v>-5.5220182265682163E-2</v>
      </c>
      <c r="J13" s="22">
        <v>64628.464999999997</v>
      </c>
      <c r="K13" s="22">
        <f t="shared" si="2"/>
        <v>48994.535000000003</v>
      </c>
      <c r="L13" s="21">
        <f t="shared" si="3"/>
        <v>0.75809529129308584</v>
      </c>
      <c r="M13" s="67" t="s">
        <v>87</v>
      </c>
      <c r="N13" s="67" t="s">
        <v>88</v>
      </c>
    </row>
    <row r="14" spans="1:14" ht="15.75">
      <c r="A14" s="30" t="str">
        <v>CA: Pleasanton Tec Ctr - Citi</v>
      </c>
      <c r="B14" s="31" t="str">
        <v>CA</v>
      </c>
      <c r="C14" s="26">
        <v>51641</v>
      </c>
      <c r="D14" s="79">
        <v>176505</v>
      </c>
      <c r="E14" s="80">
        <f t="shared" si="0"/>
        <v>0.29257528115350839</v>
      </c>
      <c r="F14" s="80">
        <f>(SUM(C14,May!C14,Apr!C14))/(SUM(Apr!D14,May!D14,Jun!D14))</f>
        <v>0.63029445050477817</v>
      </c>
      <c r="G14" s="14">
        <v>175737</v>
      </c>
      <c r="H14" s="14">
        <f t="shared" si="1"/>
        <v>-124096</v>
      </c>
      <c r="I14" s="15">
        <f t="shared" si="4"/>
        <v>-0.7061461160711745</v>
      </c>
      <c r="J14" s="16">
        <v>181415.65700000001</v>
      </c>
      <c r="K14" s="16">
        <f t="shared" si="2"/>
        <v>-129774.65700000001</v>
      </c>
      <c r="L14" s="17">
        <f t="shared" si="3"/>
        <v>-0.71534430459880316</v>
      </c>
      <c r="M14" s="58" t="s">
        <v>89</v>
      </c>
      <c r="N14" s="58" t="s">
        <v>76</v>
      </c>
    </row>
    <row r="15" spans="1:14" ht="15.75">
      <c r="A15" s="32" t="str">
        <v>CA: Rancho Cordova - Citi</v>
      </c>
      <c r="B15" s="33" t="str">
        <v>CA</v>
      </c>
      <c r="C15" s="12">
        <v>232957.5</v>
      </c>
      <c r="D15" s="12">
        <v>236948</v>
      </c>
      <c r="E15" s="81">
        <f t="shared" si="0"/>
        <v>0.98315875213126935</v>
      </c>
      <c r="F15" s="81">
        <f>(SUM(C15,May!C15,Apr!C15))/(SUM(Apr!D15,May!D15,Jun!D15))</f>
        <v>0.99854753345978853</v>
      </c>
      <c r="G15" s="20">
        <v>236713</v>
      </c>
      <c r="H15" s="20">
        <f t="shared" si="1"/>
        <v>-3755.5</v>
      </c>
      <c r="I15" s="21">
        <f t="shared" si="4"/>
        <v>-1.5865203854456663E-2</v>
      </c>
      <c r="J15" s="22">
        <v>246798.37599999999</v>
      </c>
      <c r="K15" s="22">
        <f t="shared" si="2"/>
        <v>-13840.875999999989</v>
      </c>
      <c r="L15" s="21">
        <f t="shared" si="3"/>
        <v>-5.6081714249205557E-2</v>
      </c>
      <c r="M15" s="59"/>
      <c r="N15" s="59"/>
    </row>
    <row r="16" spans="1:14" ht="15.75">
      <c r="A16" s="30" t="str">
        <v>CA: S Sacramento Wyndham - Citi</v>
      </c>
      <c r="B16" s="31" t="str">
        <v>CA</v>
      </c>
      <c r="C16" s="37">
        <v>148719.5</v>
      </c>
      <c r="D16" s="79">
        <v>158605</v>
      </c>
      <c r="E16" s="80">
        <f t="shared" si="0"/>
        <v>0.93767220453327449</v>
      </c>
      <c r="F16" s="80">
        <f>(SUM(C16,May!C16,Apr!C16))/(SUM(Apr!D16,May!D16,Jun!D16))</f>
        <v>0.96374822875928134</v>
      </c>
      <c r="G16" s="14">
        <v>158302</v>
      </c>
      <c r="H16" s="14">
        <f t="shared" ref="H16:H21" si="5">IF(AND(ISNUMBER(C16),ISNUMBER(G16)), C16-G16, "")</f>
        <v>-9582.5</v>
      </c>
      <c r="I16" s="38">
        <f t="shared" ref="I16:I21" si="6">IFERROR(H16/G16, "")</f>
        <v>-6.0533031799977259E-2</v>
      </c>
      <c r="J16" s="39">
        <v>149664.247</v>
      </c>
      <c r="K16" s="39">
        <f t="shared" ref="K16:K21" si="7">IF(AND(ISNUMBER(C16),ISNUMBER(J16)), C16-J16, "")</f>
        <v>-944.74700000000303</v>
      </c>
      <c r="L16" s="40">
        <f t="shared" ref="L16:L21" si="8">IFERROR(K16/J16, "")</f>
        <v>-6.3124428107402498E-3</v>
      </c>
      <c r="M16" s="68"/>
      <c r="N16" s="68"/>
    </row>
    <row r="17" spans="1:14" ht="15.75">
      <c r="A17" s="32" t="str">
        <v>CA: Sacramento Point West - Citi</v>
      </c>
      <c r="B17" s="33" t="str">
        <v>CA</v>
      </c>
      <c r="C17" s="42">
        <v>266046.5</v>
      </c>
      <c r="D17" s="12">
        <v>302720</v>
      </c>
      <c r="E17" s="81">
        <f t="shared" si="0"/>
        <v>0.87885339587737843</v>
      </c>
      <c r="F17" s="81">
        <f>(SUM(C17,May!C17,Apr!C17))/(SUM(Apr!D17,May!D17,Jun!D17))</f>
        <v>0.90199441833521088</v>
      </c>
      <c r="G17" s="20">
        <v>301798</v>
      </c>
      <c r="H17" s="20">
        <f t="shared" si="5"/>
        <v>-35751.5</v>
      </c>
      <c r="I17" s="43">
        <f t="shared" si="6"/>
        <v>-0.11846168629348107</v>
      </c>
      <c r="J17" s="44">
        <v>305914.57799999998</v>
      </c>
      <c r="K17" s="44">
        <f t="shared" si="7"/>
        <v>-39868.07799999998</v>
      </c>
      <c r="L17" s="43">
        <f t="shared" si="8"/>
        <v>-0.13032421750100442</v>
      </c>
      <c r="M17" s="59" t="s">
        <v>90</v>
      </c>
      <c r="N17" s="59" t="s">
        <v>56</v>
      </c>
    </row>
    <row r="18" spans="1:14" ht="12.75" customHeight="1">
      <c r="A18" s="30" t="str">
        <v>CA: San Jose FHC - Citi</v>
      </c>
      <c r="B18" s="31" t="str">
        <v>CA</v>
      </c>
      <c r="C18" s="37"/>
      <c r="D18" s="79">
        <v>60463</v>
      </c>
      <c r="E18" s="80">
        <f t="shared" si="0"/>
        <v>0</v>
      </c>
      <c r="F18" s="80">
        <f>(SUM(C18,May!C18,Apr!C18))/(SUM(Apr!D18,May!D18,Jun!D18))</f>
        <v>0.16580079475058396</v>
      </c>
      <c r="G18" s="14" t="s">
        <v>91</v>
      </c>
      <c r="H18" s="14" t="str">
        <f t="shared" si="5"/>
        <v/>
      </c>
      <c r="I18" s="38" t="str">
        <f t="shared" si="6"/>
        <v/>
      </c>
      <c r="J18" s="39"/>
      <c r="K18" s="39" t="str">
        <f t="shared" si="7"/>
        <v/>
      </c>
      <c r="L18" s="40" t="str">
        <f t="shared" si="8"/>
        <v/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66">
        <v>84360</v>
      </c>
      <c r="D19" s="12">
        <v>95898</v>
      </c>
      <c r="E19" s="81">
        <f t="shared" si="0"/>
        <v>0.87968466495651632</v>
      </c>
      <c r="F19" s="81">
        <f>(SUM(C19,May!C19,Apr!C19))/(SUM(Apr!D19,May!D19,Jun!D19))</f>
        <v>0.91341145833333337</v>
      </c>
      <c r="G19" s="20">
        <v>97202</v>
      </c>
      <c r="H19" s="20">
        <f t="shared" si="5"/>
        <v>-12842</v>
      </c>
      <c r="I19" s="43">
        <f t="shared" si="6"/>
        <v>-0.13211662311475073</v>
      </c>
      <c r="J19" s="44">
        <v>98563.369000000006</v>
      </c>
      <c r="K19" s="44">
        <f t="shared" si="7"/>
        <v>-14203.369000000006</v>
      </c>
      <c r="L19" s="43">
        <f t="shared" si="8"/>
        <v>-0.14410393175582306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52894.25</v>
      </c>
      <c r="D20" s="79">
        <v>58141</v>
      </c>
      <c r="E20" s="80">
        <f t="shared" si="0"/>
        <v>0.90975817409401283</v>
      </c>
      <c r="F20" s="80">
        <f>(SUM(C20,May!C20,Apr!C20))/(SUM(Apr!D20,May!D20,Jun!D20))</f>
        <v>0.95659460987329636</v>
      </c>
      <c r="G20" s="14">
        <v>57976</v>
      </c>
      <c r="H20" s="14">
        <f t="shared" si="5"/>
        <v>-5081.75</v>
      </c>
      <c r="I20" s="38">
        <f t="shared" si="6"/>
        <v>-8.7652649372154001E-2</v>
      </c>
      <c r="J20" s="39">
        <v>58119.135000000002</v>
      </c>
      <c r="K20" s="39">
        <f t="shared" si="7"/>
        <v>-5224.885000000002</v>
      </c>
      <c r="L20" s="40">
        <f t="shared" si="8"/>
        <v>-8.9899565779841734E-2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358022</v>
      </c>
      <c r="D21" s="12">
        <v>398845</v>
      </c>
      <c r="E21" s="81">
        <f t="shared" si="0"/>
        <v>0.89764695558424956</v>
      </c>
      <c r="F21" s="81">
        <f>(SUM(C21,May!C21,Apr!C21))/(SUM(Apr!D21,May!D21,Jun!D21))</f>
        <v>0.92819229944326598</v>
      </c>
      <c r="G21" s="20">
        <v>395989</v>
      </c>
      <c r="H21" s="20">
        <f t="shared" si="5"/>
        <v>-37967</v>
      </c>
      <c r="I21" s="43">
        <f t="shared" si="6"/>
        <v>-9.5878925929760675E-2</v>
      </c>
      <c r="J21" s="44">
        <v>449936.47700000001</v>
      </c>
      <c r="K21" s="44">
        <f t="shared" si="7"/>
        <v>-91914.477000000014</v>
      </c>
      <c r="L21" s="43">
        <f t="shared" si="8"/>
        <v>-0.20428323040810051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113727.88</v>
      </c>
      <c r="D22" s="79">
        <v>129883</v>
      </c>
      <c r="E22" s="80">
        <f t="shared" si="0"/>
        <v>0.87561790226588554</v>
      </c>
      <c r="F22" s="80">
        <f>(SUM(C22,May!C22,Apr!C22))/(SUM(Apr!D22,May!D22,Jun!D22))</f>
        <v>0.9174080570094878</v>
      </c>
      <c r="G22" s="14">
        <v>0</v>
      </c>
      <c r="H22" s="14">
        <f>IF(AND(ISNUMBER(C22),ISNUMBER(G22)), C22-G22, "")</f>
        <v>113727.88</v>
      </c>
      <c r="I22" s="38"/>
      <c r="J22" s="39">
        <v>110528.91899999999</v>
      </c>
      <c r="K22" s="39">
        <f>IF(AND(ISNUMBER(C22),ISNUMBER(J22)), C22-J22, "")</f>
        <v>3198.9610000000102</v>
      </c>
      <c r="L22" s="40">
        <f>IFERROR(K22/J22, "")</f>
        <v>2.8942298802361491E-2</v>
      </c>
      <c r="M22" s="41" t="s">
        <v>92</v>
      </c>
      <c r="N22" s="41"/>
    </row>
    <row r="23" spans="1:14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 ht="13.9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14" priority="1" stopIfTrue="1" operator="lessThanOrEqual">
      <formula>-0.1</formula>
    </cfRule>
    <cfRule type="expression" dxfId="13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42"/>
  <sheetViews>
    <sheetView topLeftCell="B1" zoomScale="70" zoomScaleNormal="70" workbookViewId="0">
      <pane ySplit="2" topLeftCell="A3" activePane="bottomLeft" state="frozen"/>
      <selection pane="bottomLeft" activeCell="E4" sqref="E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4" width="22.7109375" bestFit="1" customWidth="1"/>
    <col min="5" max="5" width="22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3.85546875" customWidth="1"/>
  </cols>
  <sheetData>
    <row r="1" spans="1:13" ht="19.5" customHeight="1" thickBot="1">
      <c r="A1" s="87" t="str" cm="1">
        <f t="array" ref="A1">portfolio</f>
        <v>CITI</v>
      </c>
      <c r="B1" s="87"/>
      <c r="C1" s="87"/>
      <c r="D1" s="75" t="s">
        <v>18</v>
      </c>
      <c r="E1" s="76" t="s">
        <v>19</v>
      </c>
      <c r="F1" s="88" t="s">
        <v>93</v>
      </c>
      <c r="G1" s="88"/>
      <c r="H1" s="88"/>
      <c r="I1" s="86" t="s">
        <v>94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SUM(C4:C100)</f>
        <v>2488838.19</v>
      </c>
      <c r="D2" s="6">
        <f>SUM(D3:D22)</f>
        <v>2915073.2800000003</v>
      </c>
      <c r="E2" s="69">
        <f>C2/D2</f>
        <v>0.85378237558405379</v>
      </c>
      <c r="F2" s="6">
        <f>SUM(F4:F100)</f>
        <v>2897291.0700000003</v>
      </c>
      <c r="G2" s="6">
        <f>C2-F2</f>
        <v>-408452.88000000035</v>
      </c>
      <c r="H2" s="7">
        <f>IFERROR(G2/F2, 0)</f>
        <v>-0.14097750972600773</v>
      </c>
      <c r="I2" s="6">
        <f>SUM(I4:I100)</f>
        <v>2719631.1350000002</v>
      </c>
      <c r="J2" s="8">
        <f>C2-I2</f>
        <v>-230792.9450000003</v>
      </c>
      <c r="K2" s="7">
        <f>IFERROR(J2/I2, 0)</f>
        <v>-8.486185572368081E-2</v>
      </c>
      <c r="L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79455.25</v>
      </c>
      <c r="D4" s="72">
        <v>80327.740000000005</v>
      </c>
      <c r="E4" s="83">
        <f>C4/D4</f>
        <v>0.98913837237298097</v>
      </c>
      <c r="F4" s="14">
        <v>79932</v>
      </c>
      <c r="G4" s="14">
        <f t="shared" ref="G4:G22" si="0">IF(AND(ISNUMBER(C4),ISNUMBER(F4)), C4-F4, "")</f>
        <v>-476.75</v>
      </c>
      <c r="H4" s="15">
        <f t="shared" ref="H4:H22" si="1">IFERROR(G4/F4, "")</f>
        <v>-5.9644447780613525E-3</v>
      </c>
      <c r="I4" s="16">
        <v>78627.379000000001</v>
      </c>
      <c r="J4" s="16">
        <f t="shared" ref="J4:J22" si="2">IF(AND(ISNUMBER(C4),ISNUMBER(I4)), C4-I4, "")</f>
        <v>827.87099999999919</v>
      </c>
      <c r="K4" s="17">
        <f>IFERROR(J4/I4, "")</f>
        <v>1.0529042307260416E-2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259277</v>
      </c>
      <c r="D5" s="12">
        <v>274546.09999999998</v>
      </c>
      <c r="E5" s="81">
        <f t="shared" ref="E4:E22" si="3">C5/D5</f>
        <v>0.94438420360005126</v>
      </c>
      <c r="F5" s="20">
        <v>273170</v>
      </c>
      <c r="G5" s="20">
        <f t="shared" si="0"/>
        <v>-13893</v>
      </c>
      <c r="H5" s="21">
        <f t="shared" si="1"/>
        <v>-5.0858439799392322E-2</v>
      </c>
      <c r="I5" s="22">
        <v>268691.08199999999</v>
      </c>
      <c r="J5" s="22">
        <f t="shared" si="2"/>
        <v>-9414.0819999999949</v>
      </c>
      <c r="K5" s="21">
        <f t="shared" ref="K5:K15" si="4">IFERROR(J5/I5, "")</f>
        <v>-3.5036823440236078E-2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101802.25</v>
      </c>
      <c r="D6" s="72">
        <v>112979.5</v>
      </c>
      <c r="E6" s="83">
        <f t="shared" si="3"/>
        <v>0.90106833540598075</v>
      </c>
      <c r="F6" s="14">
        <v>110180</v>
      </c>
      <c r="G6" s="14">
        <f t="shared" si="0"/>
        <v>-8377.75</v>
      </c>
      <c r="H6" s="15">
        <f t="shared" si="1"/>
        <v>-7.6036939553457972E-2</v>
      </c>
      <c r="I6" s="16">
        <v>110163.88400000001</v>
      </c>
      <c r="J6" s="16">
        <f t="shared" si="2"/>
        <v>-8361.6340000000055</v>
      </c>
      <c r="K6" s="17">
        <f t="shared" si="4"/>
        <v>-7.5901771945513508E-2</v>
      </c>
      <c r="L6" s="18"/>
      <c r="M6" s="18"/>
    </row>
    <row r="7" spans="1:13" ht="28.5">
      <c r="A7" s="32" t="str">
        <v>CA: Elk Grove MOB - Citi</v>
      </c>
      <c r="B7" s="33" t="str">
        <v>CA</v>
      </c>
      <c r="C7" s="12">
        <v>141774</v>
      </c>
      <c r="D7" s="12">
        <v>188726</v>
      </c>
      <c r="E7" s="81">
        <f t="shared" si="3"/>
        <v>0.75121604866314129</v>
      </c>
      <c r="F7" s="20">
        <v>187993</v>
      </c>
      <c r="G7" s="20">
        <f t="shared" si="0"/>
        <v>-46219</v>
      </c>
      <c r="H7" s="21">
        <f t="shared" si="1"/>
        <v>-0.24585489885261685</v>
      </c>
      <c r="I7" s="22">
        <v>176431.198</v>
      </c>
      <c r="J7" s="22">
        <f t="shared" si="2"/>
        <v>-34657.198000000004</v>
      </c>
      <c r="K7" s="21">
        <f t="shared" si="4"/>
        <v>-0.19643463510348097</v>
      </c>
      <c r="L7" s="85" t="s">
        <v>95</v>
      </c>
      <c r="M7" s="85" t="s">
        <v>96</v>
      </c>
    </row>
    <row r="8" spans="1:13" ht="15.75">
      <c r="A8" s="30" t="str">
        <v>CA: Elk Grove Promenade - Citi</v>
      </c>
      <c r="B8" s="31" t="str">
        <v>CA</v>
      </c>
      <c r="C8" s="26">
        <v>82859.75</v>
      </c>
      <c r="D8" s="72">
        <v>99091</v>
      </c>
      <c r="E8" s="83">
        <f t="shared" si="3"/>
        <v>0.8361985447719773</v>
      </c>
      <c r="F8" s="14">
        <v>98799.07</v>
      </c>
      <c r="G8" s="14">
        <f t="shared" si="0"/>
        <v>-15939.320000000007</v>
      </c>
      <c r="H8" s="15">
        <f t="shared" si="1"/>
        <v>-0.16133066839596774</v>
      </c>
      <c r="I8" s="16">
        <v>90243.528999999995</v>
      </c>
      <c r="J8" s="16">
        <f t="shared" si="2"/>
        <v>-7383.778999999995</v>
      </c>
      <c r="K8" s="17">
        <f t="shared" si="4"/>
        <v>-8.1820592366240411E-2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167337</v>
      </c>
      <c r="D9" s="12">
        <v>186171.84</v>
      </c>
      <c r="E9" s="81">
        <f t="shared" si="3"/>
        <v>0.89883088656157673</v>
      </c>
      <c r="F9" s="20">
        <v>185293</v>
      </c>
      <c r="G9" s="20">
        <f t="shared" si="0"/>
        <v>-17956</v>
      </c>
      <c r="H9" s="21">
        <f t="shared" si="1"/>
        <v>-9.6905981337665217E-2</v>
      </c>
      <c r="I9" s="22">
        <v>185960.565</v>
      </c>
      <c r="J9" s="22">
        <f t="shared" si="2"/>
        <v>-18623.565000000002</v>
      </c>
      <c r="K9" s="21">
        <f t="shared" si="4"/>
        <v>-0.10014792652409936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64033.5</v>
      </c>
      <c r="D10" s="72">
        <v>74906.91</v>
      </c>
      <c r="E10" s="83">
        <f t="shared" si="3"/>
        <v>0.85484102868480349</v>
      </c>
      <c r="F10" s="14">
        <v>75398</v>
      </c>
      <c r="G10" s="14">
        <f t="shared" si="0"/>
        <v>-11364.5</v>
      </c>
      <c r="H10" s="15">
        <f t="shared" si="1"/>
        <v>-0.15072680972970107</v>
      </c>
      <c r="I10" s="16">
        <v>69525.997000000003</v>
      </c>
      <c r="J10" s="16">
        <f t="shared" si="2"/>
        <v>-5492.497000000003</v>
      </c>
      <c r="K10" s="17">
        <f t="shared" si="4"/>
        <v>-7.8999183571578313E-2</v>
      </c>
      <c r="L10" s="18"/>
      <c r="M10" s="18"/>
    </row>
    <row r="11" spans="1:13" ht="42.75">
      <c r="A11" s="32" t="str">
        <v>CA: Modesto Bangs - Citi</v>
      </c>
      <c r="B11" s="33" t="str">
        <v>CA</v>
      </c>
      <c r="C11" s="12">
        <v>40141</v>
      </c>
      <c r="D11" s="12">
        <v>53492.84</v>
      </c>
      <c r="E11" s="81">
        <f t="shared" si="3"/>
        <v>0.75039949271715622</v>
      </c>
      <c r="F11" s="20">
        <v>53499</v>
      </c>
      <c r="G11" s="20">
        <f t="shared" si="0"/>
        <v>-13358</v>
      </c>
      <c r="H11" s="21">
        <f t="shared" si="1"/>
        <v>-0.24968691003570159</v>
      </c>
      <c r="I11" s="22">
        <v>44224.686999999998</v>
      </c>
      <c r="J11" s="22">
        <f t="shared" si="2"/>
        <v>-4083.6869999999981</v>
      </c>
      <c r="K11" s="21">
        <f t="shared" si="4"/>
        <v>-9.2339534251536889E-2</v>
      </c>
      <c r="L11" s="85" t="s">
        <v>97</v>
      </c>
      <c r="M11" s="85" t="s">
        <v>98</v>
      </c>
    </row>
    <row r="12" spans="1:13" ht="28.5">
      <c r="A12" s="30" t="str">
        <v>CA: Napa Data Center - Citi</v>
      </c>
      <c r="B12" s="31" t="str">
        <v>CA</v>
      </c>
      <c r="C12" s="26">
        <v>42057.25</v>
      </c>
      <c r="D12" s="72">
        <v>55305.5</v>
      </c>
      <c r="E12" s="83">
        <f t="shared" si="3"/>
        <v>0.76045330030467129</v>
      </c>
      <c r="F12" s="14">
        <v>53725</v>
      </c>
      <c r="G12" s="14">
        <f t="shared" si="0"/>
        <v>-11667.75</v>
      </c>
      <c r="H12" s="15">
        <f t="shared" si="1"/>
        <v>-0.21717543043275941</v>
      </c>
      <c r="I12" s="16">
        <v>51332.92</v>
      </c>
      <c r="J12" s="16">
        <f t="shared" si="2"/>
        <v>-9275.6699999999983</v>
      </c>
      <c r="K12" s="17">
        <f t="shared" si="4"/>
        <v>-0.18069632508729289</v>
      </c>
      <c r="L12" s="18" t="s">
        <v>99</v>
      </c>
      <c r="M12" s="18" t="s">
        <v>86</v>
      </c>
    </row>
    <row r="13" spans="1:13" ht="49.5" customHeight="1">
      <c r="A13" s="32" t="str">
        <v>CA: Petaluma MOB - Citi</v>
      </c>
      <c r="B13" s="33" t="str">
        <v>CA</v>
      </c>
      <c r="C13" s="12">
        <v>104255.5</v>
      </c>
      <c r="D13" s="12">
        <v>129113.11</v>
      </c>
      <c r="E13" s="81">
        <f t="shared" si="3"/>
        <v>0.80747415967286362</v>
      </c>
      <c r="F13" s="20">
        <v>124871</v>
      </c>
      <c r="G13" s="20">
        <f t="shared" si="0"/>
        <v>-20615.5</v>
      </c>
      <c r="H13" s="21">
        <f t="shared" si="1"/>
        <v>-0.16509437739747421</v>
      </c>
      <c r="I13" s="22">
        <v>26000.472000000002</v>
      </c>
      <c r="J13" s="22">
        <f t="shared" si="2"/>
        <v>78255.027999999991</v>
      </c>
      <c r="K13" s="21">
        <f t="shared" si="4"/>
        <v>3.0097541306173206</v>
      </c>
      <c r="L13" s="85" t="s">
        <v>100</v>
      </c>
      <c r="M13" s="85" t="s">
        <v>101</v>
      </c>
    </row>
    <row r="14" spans="1:13" ht="15.75">
      <c r="A14" s="30" t="str">
        <v>CA: Pleasanton Tec Ctr - Citi</v>
      </c>
      <c r="B14" s="31" t="str">
        <v>CA</v>
      </c>
      <c r="C14" s="26">
        <v>153727.5</v>
      </c>
      <c r="D14" s="72">
        <v>182147.62</v>
      </c>
      <c r="E14" s="83">
        <f t="shared" si="3"/>
        <v>0.84397204860541142</v>
      </c>
      <c r="F14" s="14">
        <v>181352</v>
      </c>
      <c r="G14" s="14">
        <f t="shared" si="0"/>
        <v>-27624.5</v>
      </c>
      <c r="H14" s="15">
        <f t="shared" si="1"/>
        <v>-0.15232531210022499</v>
      </c>
      <c r="I14" s="16">
        <v>180121.49100000001</v>
      </c>
      <c r="J14" s="16">
        <f t="shared" si="2"/>
        <v>-26393.991000000009</v>
      </c>
      <c r="K14" s="17">
        <f t="shared" si="4"/>
        <v>-0.1465343799535837</v>
      </c>
      <c r="L14" s="18" t="s">
        <v>102</v>
      </c>
      <c r="M14" s="18" t="s">
        <v>103</v>
      </c>
    </row>
    <row r="15" spans="1:13" ht="15.75">
      <c r="A15" s="32" t="str">
        <v>CA: Rancho Cordova - Citi</v>
      </c>
      <c r="B15" s="33" t="str">
        <v>CA</v>
      </c>
      <c r="C15" s="12">
        <v>221250</v>
      </c>
      <c r="D15" s="12">
        <v>247104.12</v>
      </c>
      <c r="E15" s="81">
        <f t="shared" si="3"/>
        <v>0.89537155430674331</v>
      </c>
      <c r="F15" s="20">
        <v>246860</v>
      </c>
      <c r="G15" s="20">
        <f t="shared" si="0"/>
        <v>-25610</v>
      </c>
      <c r="H15" s="21">
        <f t="shared" si="1"/>
        <v>-0.1037430122336547</v>
      </c>
      <c r="I15" s="22">
        <v>239093.391</v>
      </c>
      <c r="J15" s="22">
        <f t="shared" si="2"/>
        <v>-17843.391000000003</v>
      </c>
      <c r="K15" s="21">
        <f t="shared" si="4"/>
        <v>-7.4629377773139716E-2</v>
      </c>
      <c r="L15" s="11"/>
      <c r="M15" s="19"/>
    </row>
    <row r="16" spans="1:13" ht="15.75">
      <c r="A16" s="30" t="str">
        <v>CA: S Sacramento Wyndham - Citi</v>
      </c>
      <c r="B16" s="31" t="str">
        <v>CA</v>
      </c>
      <c r="C16" s="37">
        <v>140589.25</v>
      </c>
      <c r="D16" s="73">
        <v>163638.9</v>
      </c>
      <c r="E16" s="83">
        <f t="shared" si="3"/>
        <v>0.8591432110580064</v>
      </c>
      <c r="F16" s="14">
        <v>163325</v>
      </c>
      <c r="G16" s="14">
        <f t="shared" si="0"/>
        <v>-22735.75</v>
      </c>
      <c r="H16" s="38">
        <f t="shared" si="1"/>
        <v>-0.13920557171284248</v>
      </c>
      <c r="I16" s="39">
        <v>143095.91899999999</v>
      </c>
      <c r="J16" s="39">
        <f t="shared" si="2"/>
        <v>-2506.6689999999944</v>
      </c>
      <c r="K16" s="40">
        <f t="shared" ref="K16:K22" si="5">IFERROR(J16/I16, "")</f>
        <v>-1.7517403833158893E-2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251900.5</v>
      </c>
      <c r="D17" s="42">
        <v>313298.95</v>
      </c>
      <c r="E17" s="81">
        <f t="shared" si="3"/>
        <v>0.80402599498019378</v>
      </c>
      <c r="F17" s="20">
        <v>312119</v>
      </c>
      <c r="G17" s="20">
        <f t="shared" si="0"/>
        <v>-60218.5</v>
      </c>
      <c r="H17" s="43">
        <f t="shared" si="1"/>
        <v>-0.19293442565175462</v>
      </c>
      <c r="I17" s="44">
        <v>294211.49900000001</v>
      </c>
      <c r="J17" s="44">
        <f t="shared" si="2"/>
        <v>-42310.999000000011</v>
      </c>
      <c r="K17" s="43">
        <f t="shared" si="5"/>
        <v>-0.14381150683712743</v>
      </c>
      <c r="L17" s="57" t="s">
        <v>104</v>
      </c>
      <c r="M17" s="57" t="s">
        <v>105</v>
      </c>
    </row>
    <row r="18" spans="1:13" ht="12.75" customHeight="1">
      <c r="A18" s="30" t="str">
        <v>CA: San Jose FHC - Citi</v>
      </c>
      <c r="B18" s="31" t="str">
        <v>CA</v>
      </c>
      <c r="C18" s="37">
        <v>50137.75</v>
      </c>
      <c r="D18" s="73">
        <v>62467.42</v>
      </c>
      <c r="E18" s="83">
        <f t="shared" si="3"/>
        <v>0.80262239099998045</v>
      </c>
      <c r="F18" s="14">
        <v>64347</v>
      </c>
      <c r="G18" s="14">
        <f t="shared" si="0"/>
        <v>-14209.25</v>
      </c>
      <c r="H18" s="38">
        <f t="shared" si="1"/>
        <v>-0.22082226055604767</v>
      </c>
      <c r="I18" s="39">
        <v>57661.245999999999</v>
      </c>
      <c r="J18" s="39">
        <f t="shared" si="2"/>
        <v>-7523.4959999999992</v>
      </c>
      <c r="K18" s="40">
        <f t="shared" si="5"/>
        <v>-0.13047751344117675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>
        <v>79362</v>
      </c>
      <c r="D19" s="42">
        <v>99033.09</v>
      </c>
      <c r="E19" s="81">
        <f t="shared" si="3"/>
        <v>0.80136851228210693</v>
      </c>
      <c r="F19" s="20">
        <v>100380</v>
      </c>
      <c r="G19" s="20">
        <f t="shared" si="0"/>
        <v>-21018</v>
      </c>
      <c r="H19" s="43">
        <f t="shared" si="1"/>
        <v>-0.20938433950986252</v>
      </c>
      <c r="I19" s="44">
        <v>94904.653999999995</v>
      </c>
      <c r="J19" s="44">
        <f t="shared" si="2"/>
        <v>-15542.653999999995</v>
      </c>
      <c r="K19" s="43">
        <f t="shared" si="5"/>
        <v>-0.16377125193459949</v>
      </c>
      <c r="L19" s="11"/>
      <c r="M19" s="19"/>
    </row>
    <row r="20" spans="1:13" ht="15.75">
      <c r="A20" s="30" t="str">
        <v>CA: Selma - Citi</v>
      </c>
      <c r="B20" s="31" t="str">
        <v>CA</v>
      </c>
      <c r="C20" s="37">
        <v>50227.88</v>
      </c>
      <c r="D20" s="73">
        <v>57266.58</v>
      </c>
      <c r="E20" s="83">
        <f t="shared" si="3"/>
        <v>0.8770888710308874</v>
      </c>
      <c r="F20" s="14">
        <v>57074</v>
      </c>
      <c r="G20" s="14">
        <f t="shared" si="0"/>
        <v>-6846.1200000000026</v>
      </c>
      <c r="H20" s="38">
        <f t="shared" si="1"/>
        <v>-0.11995164172828263</v>
      </c>
      <c r="I20" s="39">
        <v>57505.646999999997</v>
      </c>
      <c r="J20" s="39">
        <f t="shared" si="2"/>
        <v>-7277.7669999999998</v>
      </c>
      <c r="K20" s="40">
        <f t="shared" si="5"/>
        <v>-0.12655743182926019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353013.25</v>
      </c>
      <c r="D21" s="42">
        <v>405264.06</v>
      </c>
      <c r="E21" s="81">
        <f t="shared" si="3"/>
        <v>0.87106971686559131</v>
      </c>
      <c r="F21" s="20">
        <v>401698</v>
      </c>
      <c r="G21" s="20">
        <f t="shared" si="0"/>
        <v>-48684.75</v>
      </c>
      <c r="H21" s="43">
        <f t="shared" si="1"/>
        <v>-0.12119739207066005</v>
      </c>
      <c r="I21" s="44">
        <v>443213.56300000002</v>
      </c>
      <c r="J21" s="44">
        <f t="shared" si="2"/>
        <v>-90200.313000000024</v>
      </c>
      <c r="K21" s="43">
        <f t="shared" si="5"/>
        <v>-0.20351433378856237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105637.56</v>
      </c>
      <c r="D22" s="73">
        <v>130192</v>
      </c>
      <c r="E22" s="83">
        <f t="shared" si="3"/>
        <v>0.81139824259555116</v>
      </c>
      <c r="F22" s="14">
        <v>127276</v>
      </c>
      <c r="G22" s="14">
        <f t="shared" si="0"/>
        <v>-21638.440000000002</v>
      </c>
      <c r="H22" s="38">
        <f t="shared" si="1"/>
        <v>-0.17001194255004873</v>
      </c>
      <c r="I22" s="39">
        <v>108622.012</v>
      </c>
      <c r="J22" s="39">
        <f t="shared" si="2"/>
        <v>-2984.4520000000048</v>
      </c>
      <c r="K22" s="40">
        <f t="shared" si="5"/>
        <v>-2.7475572814836136E-2</v>
      </c>
      <c r="L22" s="41"/>
      <c r="M22" s="41"/>
    </row>
    <row r="23" spans="1:13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2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2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2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2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2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2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2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2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2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2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2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2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2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2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2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2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2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2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2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2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2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2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2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2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2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2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2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2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2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2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2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2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2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2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2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2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2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2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2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2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2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2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2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2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2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2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2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2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2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2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2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2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2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2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2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2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2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2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2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2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2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2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2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2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2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2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2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2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2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2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2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2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2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2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2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2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2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2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2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2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2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2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2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2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2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2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2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2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2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2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2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2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2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2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2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2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2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2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2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2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2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2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2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2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2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2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2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2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2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2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2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2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2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2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2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2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2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2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2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2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2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2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2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2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2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2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2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2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2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2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2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2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2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2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2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2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2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2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2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2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2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2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2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2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2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2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2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2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2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2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2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2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2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2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2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2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2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2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2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2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2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2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2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2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2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2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2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2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2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2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2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2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2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2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2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2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2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2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2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2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2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2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2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2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2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2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2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2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2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2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2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2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2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2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2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2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2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2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2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2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2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2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2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2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2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2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2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2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2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2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2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2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2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2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2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2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2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2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2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2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2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2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2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2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2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2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2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2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2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2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2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2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2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2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2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2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2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2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2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2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2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2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2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2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2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2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2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2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2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2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2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2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2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2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2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2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2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2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2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2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2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2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2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2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2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2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2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2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2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2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2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2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2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2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2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2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2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2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2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2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2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2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2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2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2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2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2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2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2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2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2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2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2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2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2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2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2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2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2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2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2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2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2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2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2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2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2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2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2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2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3.9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sortState xmlns:xlrd2="http://schemas.microsoft.com/office/spreadsheetml/2017/richdata2" ref="A3:M15">
    <sortCondition ref="A3:A15"/>
  </sortState>
  <mergeCells count="4">
    <mergeCell ref="I1:K1"/>
    <mergeCell ref="A1:C1"/>
    <mergeCell ref="F1:H1"/>
    <mergeCell ref="A2:B2"/>
  </mergeCells>
  <conditionalFormatting sqref="H2 K2 H4:H100 K4:K100">
    <cfRule type="cellIs" dxfId="12" priority="1" stopIfTrue="1" operator="lessThanOrEqual">
      <formula>-0.1</formula>
    </cfRule>
    <cfRule type="expression" dxfId="11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3"/>
  <sheetViews>
    <sheetView tabSelected="1" zoomScale="80" zoomScaleNormal="80" workbookViewId="0">
      <pane ySplit="2" topLeftCell="A3" activePane="bottomLeft" state="frozen"/>
      <selection pane="bottomLeft" activeCell="D27" sqref="D27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1" style="1" customWidth="1"/>
    <col min="12" max="12" width="71.5703125" customWidth="1"/>
    <col min="13" max="13" width="20.5703125" bestFit="1" customWidth="1"/>
  </cols>
  <sheetData>
    <row r="1" spans="1:13" ht="28.5" customHeight="1">
      <c r="A1" s="87" t="str" cm="1">
        <f t="array" ref="A1">portfolio</f>
        <v>CITI</v>
      </c>
      <c r="B1" s="87"/>
      <c r="C1" s="87"/>
      <c r="D1" s="75" t="s">
        <v>18</v>
      </c>
      <c r="E1" s="76" t="s">
        <v>19</v>
      </c>
      <c r="F1" s="90" t="s">
        <v>106</v>
      </c>
      <c r="G1" s="91"/>
      <c r="H1" s="92"/>
      <c r="I1" s="86" t="s">
        <v>107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SUM(C4:C81)</f>
        <v>2203056.81</v>
      </c>
      <c r="D2" s="6">
        <f>SUM(D3:D22)</f>
        <v>2706105.8999999994</v>
      </c>
      <c r="E2" s="69">
        <f>C2/D2</f>
        <v>0.81410591137619581</v>
      </c>
      <c r="F2" s="6">
        <f>SUM(F4:F81)</f>
        <v>2687664.9759999998</v>
      </c>
      <c r="G2" s="6">
        <f>C2-F2</f>
        <v>-484608.16599999974</v>
      </c>
      <c r="H2" s="7">
        <f>IFERROR(G2/F2, 0)</f>
        <v>-0.18030824910373791</v>
      </c>
      <c r="I2" s="6">
        <f>SUM(I4:I81)</f>
        <v>3042611.5099999993</v>
      </c>
      <c r="J2" s="8">
        <f>C2-I2</f>
        <v>-839554.69999999925</v>
      </c>
      <c r="K2" s="7">
        <f>IFERROR(J2/I2, 0)</f>
        <v>-0.27593226977570967</v>
      </c>
      <c r="L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 customHeight="1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67437.25</v>
      </c>
      <c r="D4" s="72">
        <v>74035.850000000006</v>
      </c>
      <c r="E4" s="83">
        <f t="shared" ref="E4:E22" si="0">C4/D4</f>
        <v>0.91087290819244993</v>
      </c>
      <c r="F4" s="14">
        <v>73841</v>
      </c>
      <c r="G4" s="14">
        <f t="shared" ref="G4:G22" si="1">IF(AND(ISNUMBER(C4),ISNUMBER(F4)), C4-F4, "")</f>
        <v>-6403.75</v>
      </c>
      <c r="H4" s="15">
        <f>IFERROR(G4/F4, "")</f>
        <v>-8.6723500494305328E-2</v>
      </c>
      <c r="I4" s="16">
        <v>72384.114000000001</v>
      </c>
      <c r="J4" s="16">
        <f t="shared" ref="J4:J22" si="2">IF(AND(ISNUMBER(C4),ISNUMBER(I4)), C4-I4, "")</f>
        <v>-4946.8640000000014</v>
      </c>
      <c r="K4" s="17">
        <f>IFERROR(J4/I4, "")</f>
        <v>-6.8341846389112407E-2</v>
      </c>
      <c r="L4" s="18"/>
      <c r="M4" s="18"/>
    </row>
    <row r="5" spans="1:13" ht="15.6" customHeight="1">
      <c r="A5" s="32" t="str">
        <v>CA: Antioch MC CUP - Citi</v>
      </c>
      <c r="B5" s="33" t="str">
        <v>CA</v>
      </c>
      <c r="C5" s="12">
        <v>228589</v>
      </c>
      <c r="D5" s="12">
        <v>252292.95</v>
      </c>
      <c r="E5" s="81">
        <f t="shared" si="0"/>
        <v>0.90604592795795513</v>
      </c>
      <c r="F5" s="20">
        <v>251028</v>
      </c>
      <c r="G5" s="20">
        <f t="shared" si="1"/>
        <v>-22439</v>
      </c>
      <c r="H5" s="21">
        <f>IFERROR(G5/F5, "")</f>
        <v>-8.9388434756282165E-2</v>
      </c>
      <c r="I5" s="22">
        <v>240797.41399999999</v>
      </c>
      <c r="J5" s="22">
        <f t="shared" si="2"/>
        <v>-12208.41399999999</v>
      </c>
      <c r="K5" s="21">
        <f t="shared" ref="K5:K15" si="3">IFERROR(J5/I5, "")</f>
        <v>-5.0699938164618291E-2</v>
      </c>
      <c r="L5" s="11"/>
      <c r="M5" s="19"/>
    </row>
    <row r="6" spans="1:13" ht="15.6" customHeight="1">
      <c r="A6" s="30" t="str">
        <v>CA: Clovis - Citi</v>
      </c>
      <c r="B6" s="31" t="str">
        <v>CA</v>
      </c>
      <c r="C6" s="26">
        <v>91442.25</v>
      </c>
      <c r="D6" s="72">
        <v>107365</v>
      </c>
      <c r="E6" s="83">
        <f t="shared" si="0"/>
        <v>0.85169515205141344</v>
      </c>
      <c r="F6" s="14">
        <v>104705</v>
      </c>
      <c r="G6" s="14">
        <f t="shared" si="1"/>
        <v>-13262.75</v>
      </c>
      <c r="H6" s="15">
        <f t="shared" ref="H6:H15" si="4">IFERROR(G6/F6, "")</f>
        <v>-0.12666778090826608</v>
      </c>
      <c r="I6" s="16">
        <v>102106.296</v>
      </c>
      <c r="J6" s="16">
        <f t="shared" si="2"/>
        <v>-10664.046000000002</v>
      </c>
      <c r="K6" s="17">
        <f t="shared" si="3"/>
        <v>-0.10444063116342994</v>
      </c>
      <c r="L6" s="18"/>
      <c r="M6" s="18"/>
    </row>
    <row r="7" spans="1:13" ht="39.75" customHeight="1">
      <c r="A7" s="32" t="str">
        <v>CA: Elk Grove MOB - Citi</v>
      </c>
      <c r="B7" s="33" t="str">
        <v>CA</v>
      </c>
      <c r="C7" s="12">
        <v>126309</v>
      </c>
      <c r="D7" s="12">
        <v>172569.48</v>
      </c>
      <c r="E7" s="81">
        <f t="shared" si="0"/>
        <v>0.73193127776707678</v>
      </c>
      <c r="F7" s="20">
        <v>172310</v>
      </c>
      <c r="G7" s="20">
        <f t="shared" si="1"/>
        <v>-46001</v>
      </c>
      <c r="H7" s="21">
        <f t="shared" si="4"/>
        <v>-0.26696651384133246</v>
      </c>
      <c r="I7" s="22">
        <v>161527.486</v>
      </c>
      <c r="J7" s="22">
        <f t="shared" si="2"/>
        <v>-35218.486000000004</v>
      </c>
      <c r="K7" s="21">
        <f t="shared" si="3"/>
        <v>-0.21803401310907547</v>
      </c>
      <c r="L7" s="85" t="s">
        <v>95</v>
      </c>
      <c r="M7" s="85" t="s">
        <v>108</v>
      </c>
    </row>
    <row r="8" spans="1:13" ht="15.6" customHeight="1">
      <c r="A8" s="30" t="str">
        <v>CA: Elk Grove Promenade - Citi</v>
      </c>
      <c r="B8" s="31" t="str">
        <v>CA</v>
      </c>
      <c r="C8" s="26">
        <v>69216</v>
      </c>
      <c r="D8" s="72">
        <v>91788.1</v>
      </c>
      <c r="E8" s="83">
        <f t="shared" si="0"/>
        <v>0.75408467982232985</v>
      </c>
      <c r="F8" s="14">
        <v>91545.96</v>
      </c>
      <c r="G8" s="14">
        <f t="shared" si="1"/>
        <v>-22329.960000000006</v>
      </c>
      <c r="H8" s="15">
        <f t="shared" si="4"/>
        <v>-0.24392075849114483</v>
      </c>
      <c r="I8" s="16">
        <v>84597.880999999994</v>
      </c>
      <c r="J8" s="16">
        <f t="shared" si="2"/>
        <v>-15381.880999999994</v>
      </c>
      <c r="K8" s="17">
        <f t="shared" si="3"/>
        <v>-0.18182347853369984</v>
      </c>
      <c r="L8" s="18"/>
      <c r="M8" s="18"/>
    </row>
    <row r="9" spans="1:13" ht="15.6" customHeight="1">
      <c r="A9" s="32" t="str">
        <v>CA: Fresno Sequioa - Citi</v>
      </c>
      <c r="B9" s="33" t="str">
        <v>CA</v>
      </c>
      <c r="C9" s="12">
        <v>146571</v>
      </c>
      <c r="D9" s="12">
        <v>179045.64</v>
      </c>
      <c r="E9" s="81">
        <f t="shared" si="0"/>
        <v>0.81862367606382369</v>
      </c>
      <c r="F9" s="20">
        <v>178200</v>
      </c>
      <c r="G9" s="20">
        <f t="shared" si="1"/>
        <v>-31629</v>
      </c>
      <c r="H9" s="21">
        <f t="shared" si="4"/>
        <v>-0.17749158249158248</v>
      </c>
      <c r="I9" s="22">
        <v>168887.723</v>
      </c>
      <c r="J9" s="22">
        <f t="shared" si="2"/>
        <v>-22316.722999999998</v>
      </c>
      <c r="K9" s="21">
        <f t="shared" si="3"/>
        <v>-0.13213940364392265</v>
      </c>
      <c r="L9" s="11"/>
      <c r="M9" s="19"/>
    </row>
    <row r="10" spans="1:13" ht="15.6" customHeight="1">
      <c r="A10" s="30" t="str">
        <v>CA: Fresno MOB - Citi</v>
      </c>
      <c r="B10" s="31" t="str">
        <v>CA</v>
      </c>
      <c r="C10" s="26">
        <v>58503</v>
      </c>
      <c r="D10" s="72">
        <v>72217.94</v>
      </c>
      <c r="E10" s="83">
        <f t="shared" si="0"/>
        <v>0.81008957054161335</v>
      </c>
      <c r="F10" s="14">
        <v>72723</v>
      </c>
      <c r="G10" s="14">
        <f t="shared" si="1"/>
        <v>-14220</v>
      </c>
      <c r="H10" s="15">
        <f t="shared" si="4"/>
        <v>-0.1955364877686564</v>
      </c>
      <c r="I10" s="16">
        <v>620711.83299999998</v>
      </c>
      <c r="J10" s="16">
        <f t="shared" si="2"/>
        <v>-562208.83299999998</v>
      </c>
      <c r="K10" s="17">
        <f t="shared" si="3"/>
        <v>-0.90574853436054925</v>
      </c>
      <c r="L10" s="18"/>
      <c r="M10" s="18"/>
    </row>
    <row r="11" spans="1:13" ht="15.6" customHeight="1">
      <c r="A11" s="32" t="str">
        <v>CA: Modesto Bangs - Citi</v>
      </c>
      <c r="B11" s="33" t="str">
        <v>CA</v>
      </c>
      <c r="C11" s="12">
        <v>34022.25</v>
      </c>
      <c r="D11" s="12">
        <v>49247.69</v>
      </c>
      <c r="E11" s="81">
        <f t="shared" si="0"/>
        <v>0.69083950942673655</v>
      </c>
      <c r="F11" s="20">
        <v>49254</v>
      </c>
      <c r="G11" s="20">
        <f t="shared" si="1"/>
        <v>-15231.75</v>
      </c>
      <c r="H11" s="21">
        <f t="shared" si="4"/>
        <v>-0.30924899500548181</v>
      </c>
      <c r="I11" s="22">
        <v>38491.415000000001</v>
      </c>
      <c r="J11" s="22">
        <f t="shared" si="2"/>
        <v>-4469.1650000000009</v>
      </c>
      <c r="K11" s="21">
        <f t="shared" si="3"/>
        <v>-0.11610809839025146</v>
      </c>
      <c r="L11" s="85" t="s">
        <v>109</v>
      </c>
      <c r="M11" s="57" t="s">
        <v>110</v>
      </c>
    </row>
    <row r="12" spans="1:13" ht="46.5" customHeight="1">
      <c r="A12" s="30" t="str">
        <v>CA: Napa Data Center - Citi</v>
      </c>
      <c r="B12" s="31" t="str">
        <v>CA</v>
      </c>
      <c r="C12" s="26">
        <v>39044.75</v>
      </c>
      <c r="D12" s="72">
        <v>50232.52</v>
      </c>
      <c r="E12" s="83">
        <f t="shared" si="0"/>
        <v>0.77728033552766218</v>
      </c>
      <c r="F12" s="14">
        <v>48829</v>
      </c>
      <c r="G12" s="14">
        <f t="shared" si="1"/>
        <v>-9784.25</v>
      </c>
      <c r="H12" s="15">
        <f t="shared" si="4"/>
        <v>-0.20037784922894181</v>
      </c>
      <c r="I12" s="16">
        <v>52175.817999999999</v>
      </c>
      <c r="J12" s="16">
        <f t="shared" si="2"/>
        <v>-13131.067999999999</v>
      </c>
      <c r="K12" s="17">
        <f t="shared" si="3"/>
        <v>-0.25166961445626018</v>
      </c>
      <c r="L12" s="18" t="s">
        <v>111</v>
      </c>
      <c r="M12" s="18" t="s">
        <v>112</v>
      </c>
    </row>
    <row r="13" spans="1:13" ht="15.6" customHeight="1">
      <c r="A13" s="32" t="str">
        <v>CA: Petaluma MOB - Citi</v>
      </c>
      <c r="B13" s="33" t="str">
        <v>CA</v>
      </c>
      <c r="C13" s="12">
        <v>90396</v>
      </c>
      <c r="D13" s="12">
        <v>119282.68</v>
      </c>
      <c r="E13" s="81">
        <f t="shared" si="0"/>
        <v>0.75783005546153059</v>
      </c>
      <c r="F13" s="20">
        <v>115364</v>
      </c>
      <c r="G13" s="20">
        <f t="shared" si="1"/>
        <v>-24968</v>
      </c>
      <c r="H13" s="21">
        <f t="shared" si="4"/>
        <v>-0.2164280018029888</v>
      </c>
      <c r="I13" s="22">
        <v>20884.145</v>
      </c>
      <c r="J13" s="22">
        <f t="shared" si="2"/>
        <v>69511.854999999996</v>
      </c>
      <c r="K13" s="21">
        <f t="shared" si="3"/>
        <v>3.3284510809516021</v>
      </c>
      <c r="L13" s="57" t="s">
        <v>113</v>
      </c>
      <c r="M13" s="57" t="s">
        <v>114</v>
      </c>
    </row>
    <row r="14" spans="1:13" ht="15.6" customHeight="1">
      <c r="A14" s="30" t="str">
        <v>CA: Pleasanton Tec Ctr - Citi</v>
      </c>
      <c r="B14" s="31" t="str">
        <v>CA</v>
      </c>
      <c r="C14" s="26">
        <v>132514.5</v>
      </c>
      <c r="D14" s="72">
        <v>168585.54</v>
      </c>
      <c r="E14" s="83">
        <f t="shared" si="0"/>
        <v>0.78603716546508073</v>
      </c>
      <c r="F14" s="14">
        <v>167857</v>
      </c>
      <c r="G14" s="14">
        <f t="shared" si="1"/>
        <v>-35342.5</v>
      </c>
      <c r="H14" s="15">
        <f t="shared" si="4"/>
        <v>-0.21055124302233449</v>
      </c>
      <c r="I14" s="16">
        <v>162193.58100000001</v>
      </c>
      <c r="J14" s="16">
        <f t="shared" si="2"/>
        <v>-29679.081000000006</v>
      </c>
      <c r="K14" s="17">
        <f t="shared" si="3"/>
        <v>-0.1829855461419278</v>
      </c>
      <c r="L14" s="18"/>
      <c r="M14" s="18"/>
    </row>
    <row r="15" spans="1:13" ht="32.25" customHeight="1">
      <c r="A15" s="32" t="str">
        <v>CA: Rancho Cordova - Citi</v>
      </c>
      <c r="B15" s="33" t="str">
        <v>CA</v>
      </c>
      <c r="C15" s="12">
        <v>211438.5</v>
      </c>
      <c r="D15" s="12">
        <v>236651.99</v>
      </c>
      <c r="E15" s="81">
        <f t="shared" si="0"/>
        <v>0.89345751962618192</v>
      </c>
      <c r="F15" s="20">
        <v>236418</v>
      </c>
      <c r="G15" s="20">
        <f t="shared" si="1"/>
        <v>-24979.5</v>
      </c>
      <c r="H15" s="21">
        <f t="shared" si="4"/>
        <v>-0.1056581986143187</v>
      </c>
      <c r="I15" s="22">
        <v>230006.59599999999</v>
      </c>
      <c r="J15" s="22">
        <f t="shared" si="2"/>
        <v>-18568.09599999999</v>
      </c>
      <c r="K15" s="21">
        <f t="shared" si="3"/>
        <v>-8.0728537019868735E-2</v>
      </c>
    </row>
    <row r="16" spans="1:13" ht="15.6" customHeight="1">
      <c r="A16" s="30" t="str">
        <v>CA: S Sacramento Wyndham - Citi</v>
      </c>
      <c r="B16" s="31" t="str">
        <v>CA</v>
      </c>
      <c r="C16" s="37">
        <v>126729.5</v>
      </c>
      <c r="D16" s="73">
        <v>149229.20000000001</v>
      </c>
      <c r="E16" s="83">
        <f t="shared" si="0"/>
        <v>0.84922722898735625</v>
      </c>
      <c r="F16" s="14">
        <v>148943</v>
      </c>
      <c r="G16" s="14">
        <f t="shared" si="1"/>
        <v>-22213.5</v>
      </c>
      <c r="H16" s="38">
        <f t="shared" ref="H16:H22" si="5">IFERROR(G16/F16, "")</f>
        <v>-0.14914094653659454</v>
      </c>
      <c r="I16" s="39">
        <v>127456.178</v>
      </c>
      <c r="J16" s="39">
        <f t="shared" si="2"/>
        <v>-726.67799999999988</v>
      </c>
      <c r="K16" s="40">
        <f t="shared" ref="K16:K20" si="6">IFERROR(J16/I16, "")</f>
        <v>-5.7013948747152918E-3</v>
      </c>
      <c r="L16" s="41"/>
      <c r="M16" s="41"/>
    </row>
    <row r="17" spans="1:13" ht="52.5" customHeight="1">
      <c r="A17" s="32" t="str">
        <v>CA: Sacramento Point West - Citi</v>
      </c>
      <c r="B17" s="33" t="str">
        <v>CA</v>
      </c>
      <c r="C17" s="42">
        <v>225433.5</v>
      </c>
      <c r="D17" s="42">
        <v>286044</v>
      </c>
      <c r="E17" s="81">
        <f t="shared" si="0"/>
        <v>0.7881077736292319</v>
      </c>
      <c r="F17" s="20">
        <v>285116</v>
      </c>
      <c r="G17" s="20">
        <f t="shared" si="1"/>
        <v>-59682.5</v>
      </c>
      <c r="H17" s="43">
        <f t="shared" si="5"/>
        <v>-0.20932708090742014</v>
      </c>
      <c r="I17" s="44">
        <v>273830.391</v>
      </c>
      <c r="J17" s="44">
        <f t="shared" si="2"/>
        <v>-48396.891000000003</v>
      </c>
      <c r="K17" s="43">
        <f t="shared" si="6"/>
        <v>-0.17674039328965499</v>
      </c>
      <c r="L17" s="85" t="s">
        <v>115</v>
      </c>
      <c r="M17" s="57" t="s">
        <v>116</v>
      </c>
    </row>
    <row r="18" spans="1:13" ht="12.75" customHeight="1">
      <c r="A18" s="30" t="str">
        <v>CA: San Jose FHC - Citi</v>
      </c>
      <c r="B18" s="31" t="str">
        <v>CA</v>
      </c>
      <c r="C18" s="37">
        <v>42729.75</v>
      </c>
      <c r="D18" s="73">
        <v>57332.05</v>
      </c>
      <c r="E18" s="83">
        <f t="shared" si="0"/>
        <v>0.74530301986410741</v>
      </c>
      <c r="F18" s="14">
        <v>59057</v>
      </c>
      <c r="G18" s="14">
        <f t="shared" si="1"/>
        <v>-16327.25</v>
      </c>
      <c r="H18" s="38">
        <f t="shared" si="5"/>
        <v>-0.27646595661818241</v>
      </c>
      <c r="I18" s="39">
        <v>52838.627</v>
      </c>
      <c r="J18" s="39">
        <f t="shared" si="2"/>
        <v>-10108.877</v>
      </c>
      <c r="K18" s="40">
        <f t="shared" si="6"/>
        <v>-0.19131604233395391</v>
      </c>
      <c r="L18" s="41"/>
      <c r="M18" s="41"/>
    </row>
    <row r="19" spans="1:13" ht="15.6" customHeight="1">
      <c r="A19" s="32" t="str">
        <v>CA: San Jose MOB - Citi</v>
      </c>
      <c r="B19" s="33" t="str">
        <v>CA</v>
      </c>
      <c r="C19" s="42">
        <v>67641</v>
      </c>
      <c r="D19" s="42">
        <v>91222.65</v>
      </c>
      <c r="E19" s="81">
        <f t="shared" si="0"/>
        <v>0.74149347777114571</v>
      </c>
      <c r="F19" s="20">
        <v>92463</v>
      </c>
      <c r="G19" s="20">
        <f t="shared" si="1"/>
        <v>-24822</v>
      </c>
      <c r="H19" s="43">
        <f t="shared" si="5"/>
        <v>-0.26845332727685667</v>
      </c>
      <c r="I19" s="44">
        <v>85370.457999999999</v>
      </c>
      <c r="J19" s="44">
        <f t="shared" si="2"/>
        <v>-17729.457999999999</v>
      </c>
      <c r="K19" s="43">
        <f t="shared" si="6"/>
        <v>-0.20767673520036636</v>
      </c>
      <c r="L19" s="11"/>
      <c r="M19" s="19"/>
    </row>
    <row r="20" spans="1:13" ht="15.6" customHeight="1">
      <c r="A20" s="30" t="str">
        <v>CA: Selma - Citi</v>
      </c>
      <c r="B20" s="31" t="str">
        <v>CA</v>
      </c>
      <c r="C20" s="37">
        <v>41756.120000000003</v>
      </c>
      <c r="D20" s="73">
        <v>54360.78</v>
      </c>
      <c r="E20" s="83">
        <f t="shared" si="0"/>
        <v>0.76812952279198354</v>
      </c>
      <c r="F20" s="14">
        <v>54212</v>
      </c>
      <c r="G20" s="14">
        <f t="shared" si="1"/>
        <v>-12455.879999999997</v>
      </c>
      <c r="H20" s="38">
        <f t="shared" si="5"/>
        <v>-0.22976241422563265</v>
      </c>
      <c r="I20" s="39">
        <v>52339.154999999999</v>
      </c>
      <c r="J20" s="39">
        <f t="shared" si="2"/>
        <v>-10583.034999999996</v>
      </c>
      <c r="K20" s="40">
        <f t="shared" si="6"/>
        <v>-0.20220110546301323</v>
      </c>
      <c r="L20" s="41"/>
      <c r="M20" s="41"/>
    </row>
    <row r="21" spans="1:13" ht="15.6" customHeight="1">
      <c r="A21" s="32" t="str">
        <v>CA: Vacaville Hospital</v>
      </c>
      <c r="B21" s="33" t="str">
        <v>CA</v>
      </c>
      <c r="C21" s="42">
        <v>311452.5</v>
      </c>
      <c r="D21" s="42">
        <v>372752.84</v>
      </c>
      <c r="E21" s="81">
        <f t="shared" si="0"/>
        <v>0.83554695384748778</v>
      </c>
      <c r="F21" s="20">
        <v>369586</v>
      </c>
      <c r="G21" s="20">
        <f t="shared" si="1"/>
        <v>-58133.5</v>
      </c>
      <c r="H21" s="43">
        <f t="shared" si="5"/>
        <v>-0.15729356631474137</v>
      </c>
      <c r="I21" s="44">
        <v>397912.18599999999</v>
      </c>
      <c r="J21" s="44">
        <f t="shared" si="2"/>
        <v>-86459.685999999987</v>
      </c>
      <c r="K21" s="43">
        <f>IFERROR(J21/I21, "")</f>
        <v>-0.21728333296130817</v>
      </c>
      <c r="L21" s="57" t="s">
        <v>117</v>
      </c>
      <c r="M21" s="57" t="s">
        <v>118</v>
      </c>
    </row>
    <row r="22" spans="1:13" ht="15.6" customHeight="1">
      <c r="A22" s="30" t="str">
        <v>CA: Manteca - KP Manteca Hospital</v>
      </c>
      <c r="B22" s="31" t="str">
        <v>CA</v>
      </c>
      <c r="C22" s="37">
        <v>91830.94</v>
      </c>
      <c r="D22" s="73">
        <v>121849</v>
      </c>
      <c r="E22" s="83">
        <f t="shared" si="0"/>
        <v>0.7536454135856675</v>
      </c>
      <c r="F22" s="14">
        <v>116213.016</v>
      </c>
      <c r="G22" s="14">
        <f t="shared" si="1"/>
        <v>-24382.076000000001</v>
      </c>
      <c r="H22" s="43">
        <f t="shared" si="5"/>
        <v>-0.20980503595225514</v>
      </c>
      <c r="I22" s="39">
        <v>98100.213000000003</v>
      </c>
      <c r="J22" s="39">
        <f t="shared" si="2"/>
        <v>-6269.273000000001</v>
      </c>
      <c r="K22" s="43">
        <f>IFERROR(J22/I22, "")</f>
        <v>-6.3906823525449435E-2</v>
      </c>
      <c r="L22" s="41"/>
      <c r="M22" s="41"/>
    </row>
    <row r="23" spans="1:13" ht="14.45" customHeight="1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 customHeight="1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 customHeight="1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 customHeight="1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 customHeight="1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 customHeight="1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 customHeight="1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 customHeight="1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 customHeight="1">
      <c r="A31" s="23"/>
      <c r="B31" s="35"/>
      <c r="C31" s="23"/>
      <c r="D31" s="23"/>
      <c r="E31" s="23"/>
      <c r="F31" s="23"/>
      <c r="G31" s="23"/>
      <c r="H31" s="24"/>
      <c r="I31" s="23"/>
      <c r="J31" s="23"/>
      <c r="K31" s="24"/>
      <c r="L31" s="23"/>
      <c r="M31" s="23"/>
    </row>
    <row r="32" spans="1:13" ht="14.45" customHeight="1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4.45" customHeight="1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 customHeight="1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 customHeight="1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 customHeight="1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 customHeight="1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 customHeight="1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 customHeight="1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 customHeight="1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 customHeight="1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 customHeight="1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 customHeight="1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 customHeight="1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 customHeight="1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 customHeight="1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 customHeight="1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 customHeight="1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 customHeight="1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 customHeight="1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 customHeight="1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 customHeight="1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 customHeight="1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 customHeight="1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 customHeight="1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 customHeight="1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 customHeight="1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 customHeight="1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 customHeight="1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 customHeight="1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 customHeight="1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 customHeight="1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 customHeight="1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 customHeight="1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 customHeight="1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 customHeight="1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 customHeight="1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 customHeight="1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 customHeight="1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 customHeight="1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 customHeight="1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 customHeight="1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 customHeight="1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 customHeight="1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 customHeight="1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 customHeight="1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 customHeight="1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 customHeight="1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 customHeight="1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 customHeight="1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 customHeight="1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 customHeight="1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 customHeight="1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 customHeight="1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 customHeight="1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 customHeight="1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 customHeight="1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 customHeight="1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 customHeight="1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 customHeight="1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 customHeight="1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 customHeight="1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 customHeight="1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 customHeight="1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 customHeight="1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 customHeight="1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 customHeight="1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 customHeight="1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 customHeight="1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 customHeight="1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 customHeight="1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 customHeight="1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 customHeight="1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 customHeight="1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 customHeight="1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 customHeight="1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 customHeight="1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 customHeight="1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 customHeight="1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 customHeight="1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 customHeight="1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 customHeight="1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 customHeight="1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 customHeight="1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 customHeight="1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 customHeight="1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 customHeight="1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 customHeight="1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 customHeight="1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 customHeight="1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 customHeight="1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 customHeight="1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 customHeight="1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 customHeight="1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 customHeight="1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 customHeight="1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 customHeight="1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 customHeight="1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 customHeight="1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 customHeight="1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 customHeight="1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 customHeight="1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 customHeight="1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 customHeight="1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 customHeight="1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 customHeight="1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 customHeight="1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 customHeight="1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 customHeight="1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 customHeight="1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 customHeight="1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 customHeight="1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 customHeight="1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 customHeight="1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 customHeight="1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 customHeight="1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 customHeight="1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 customHeight="1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 customHeight="1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 customHeight="1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 customHeight="1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 customHeight="1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 customHeight="1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 customHeight="1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 customHeight="1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 customHeight="1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 customHeight="1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 customHeight="1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 customHeight="1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 customHeight="1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 customHeight="1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 customHeight="1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 customHeight="1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 customHeight="1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 customHeight="1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 customHeight="1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 customHeight="1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 customHeight="1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 customHeight="1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 customHeight="1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 customHeight="1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 customHeight="1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 customHeight="1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 customHeight="1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 customHeight="1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 customHeight="1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 customHeight="1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 customHeight="1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 customHeight="1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 customHeight="1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 customHeight="1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 customHeight="1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 customHeight="1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 customHeight="1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 customHeight="1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 customHeight="1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 customHeight="1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 customHeight="1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 customHeight="1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 customHeight="1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 customHeight="1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 customHeight="1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 customHeight="1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 customHeight="1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 customHeight="1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 customHeight="1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 customHeight="1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 customHeight="1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 customHeight="1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 customHeight="1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 customHeight="1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 customHeight="1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 customHeight="1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 customHeight="1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 customHeight="1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 customHeight="1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 customHeight="1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 customHeight="1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 customHeight="1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 customHeight="1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 customHeight="1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 customHeight="1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 customHeight="1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 customHeight="1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 customHeight="1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 customHeight="1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 customHeight="1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 customHeight="1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 customHeight="1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 customHeight="1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 customHeight="1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 customHeight="1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 customHeight="1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 customHeight="1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 customHeight="1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 customHeight="1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 customHeight="1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 customHeight="1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 customHeight="1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 customHeight="1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 customHeight="1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 customHeight="1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 customHeight="1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 customHeight="1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 customHeight="1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 customHeight="1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 customHeight="1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 customHeight="1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 customHeight="1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 customHeight="1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 customHeight="1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 customHeight="1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 customHeight="1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 customHeight="1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 customHeight="1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 customHeight="1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 customHeight="1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 customHeight="1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 customHeight="1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 customHeight="1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 customHeight="1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 customHeight="1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 customHeight="1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 customHeight="1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 customHeight="1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 customHeight="1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 customHeight="1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 customHeight="1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 customHeight="1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 customHeight="1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 customHeight="1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 customHeight="1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 customHeight="1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 customHeight="1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 customHeight="1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 customHeight="1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 customHeight="1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 customHeight="1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 customHeight="1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 customHeight="1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 customHeight="1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 customHeight="1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 customHeight="1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 customHeight="1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 customHeight="1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 customHeight="1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 customHeight="1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 customHeight="1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 customHeight="1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 customHeight="1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 customHeight="1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 customHeight="1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 customHeight="1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 customHeight="1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 customHeight="1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 customHeight="1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 customHeight="1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 customHeight="1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 customHeight="1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 customHeight="1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 customHeight="1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 customHeight="1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 customHeight="1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 customHeight="1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 customHeight="1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 customHeight="1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 customHeight="1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 customHeight="1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 customHeight="1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 customHeight="1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 customHeight="1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 customHeight="1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 customHeight="1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 customHeight="1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 customHeight="1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 customHeight="1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 customHeight="1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 customHeight="1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 customHeight="1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 customHeight="1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 customHeight="1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 customHeight="1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 customHeight="1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 customHeight="1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 customHeight="1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 customHeight="1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 customHeight="1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 customHeight="1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 customHeight="1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 customHeight="1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 customHeight="1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 customHeight="1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 customHeight="1"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</sheetData>
  <mergeCells count="4">
    <mergeCell ref="I1:K1"/>
    <mergeCell ref="A1:C1"/>
    <mergeCell ref="F1:H1"/>
    <mergeCell ref="A2:B2"/>
  </mergeCells>
  <conditionalFormatting sqref="H2 K2 H4:H81 K4:K81">
    <cfRule type="cellIs" dxfId="10" priority="1" stopIfTrue="1" operator="lessThanOrEqual">
      <formula>-0.1</formula>
    </cfRule>
    <cfRule type="expression" dxfId="9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119</v>
      </c>
      <c r="E1" s="88"/>
      <c r="F1" s="88"/>
      <c r="G1" s="86" t="s">
        <v>120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121</v>
      </c>
      <c r="E1" s="88"/>
      <c r="F1" s="88"/>
      <c r="G1" s="86" t="s">
        <v>122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123</v>
      </c>
      <c r="E1" s="88"/>
      <c r="F1" s="88"/>
      <c r="G1" s="86" t="s">
        <v>124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125</v>
      </c>
      <c r="E1" s="88"/>
      <c r="F1" s="88"/>
      <c r="G1" s="86" t="s">
        <v>126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127</v>
      </c>
      <c r="B1" t="s">
        <v>128</v>
      </c>
    </row>
    <row r="3" spans="1:6">
      <c r="A3" t="s">
        <v>129</v>
      </c>
      <c r="B3" t="s">
        <v>3</v>
      </c>
      <c r="C3" t="s">
        <v>4</v>
      </c>
      <c r="D3" t="s">
        <v>130</v>
      </c>
      <c r="E3" s="2" t="s">
        <v>131</v>
      </c>
    </row>
    <row r="4" spans="1:6" ht="14.25">
      <c r="A4" t="s">
        <v>132</v>
      </c>
      <c r="B4" t="s">
        <v>133</v>
      </c>
      <c r="C4" s="4" t="s">
        <v>134</v>
      </c>
      <c r="F4" s="3"/>
    </row>
    <row r="5" spans="1:6" ht="14.25">
      <c r="A5" t="s">
        <v>135</v>
      </c>
      <c r="B5" t="s">
        <v>136</v>
      </c>
      <c r="C5" s="4" t="s">
        <v>134</v>
      </c>
      <c r="F5" s="3"/>
    </row>
    <row r="6" spans="1:6" ht="14.25">
      <c r="A6" t="s">
        <v>137</v>
      </c>
      <c r="B6" t="s">
        <v>138</v>
      </c>
      <c r="C6" s="4" t="s">
        <v>134</v>
      </c>
      <c r="F6" s="3"/>
    </row>
    <row r="7" spans="1:6" ht="12.75" customHeight="1">
      <c r="A7" t="s">
        <v>139</v>
      </c>
      <c r="B7" t="s">
        <v>140</v>
      </c>
      <c r="C7" s="4" t="s">
        <v>134</v>
      </c>
    </row>
    <row r="8" spans="1:6" ht="12.75" customHeight="1">
      <c r="A8" t="s">
        <v>141</v>
      </c>
      <c r="B8" t="s">
        <v>142</v>
      </c>
      <c r="C8" s="4" t="s">
        <v>134</v>
      </c>
    </row>
    <row r="9" spans="1:6" ht="12.75" customHeight="1">
      <c r="A9" t="s">
        <v>143</v>
      </c>
      <c r="B9" t="s">
        <v>144</v>
      </c>
      <c r="C9" s="4" t="s">
        <v>134</v>
      </c>
    </row>
    <row r="10" spans="1:6" ht="12.75" customHeight="1">
      <c r="A10" t="s">
        <v>145</v>
      </c>
      <c r="B10" t="s">
        <v>146</v>
      </c>
      <c r="C10" s="4" t="s">
        <v>134</v>
      </c>
    </row>
    <row r="11" spans="1:6" ht="12.75" customHeight="1">
      <c r="A11" t="s">
        <v>147</v>
      </c>
      <c r="B11" t="s">
        <v>148</v>
      </c>
      <c r="C11" s="4" t="s">
        <v>134</v>
      </c>
    </row>
    <row r="12" spans="1:6" ht="12.75" customHeight="1">
      <c r="A12" t="s">
        <v>149</v>
      </c>
      <c r="B12" t="s">
        <v>150</v>
      </c>
      <c r="C12" s="4" t="s">
        <v>134</v>
      </c>
    </row>
    <row r="13" spans="1:6" ht="12.75" customHeight="1">
      <c r="A13" t="s">
        <v>151</v>
      </c>
      <c r="B13" t="s">
        <v>152</v>
      </c>
      <c r="C13" s="4" t="s">
        <v>134</v>
      </c>
    </row>
    <row r="14" spans="1:6" ht="12.75" customHeight="1">
      <c r="A14" t="s">
        <v>153</v>
      </c>
      <c r="B14" t="s">
        <v>154</v>
      </c>
      <c r="C14" s="4" t="s">
        <v>134</v>
      </c>
    </row>
    <row r="15" spans="1:6" ht="12.75" customHeight="1">
      <c r="A15" t="s">
        <v>155</v>
      </c>
      <c r="B15" t="s">
        <v>156</v>
      </c>
      <c r="C15" s="4" t="s">
        <v>134</v>
      </c>
    </row>
    <row r="16" spans="1:6" ht="12.75" customHeight="1">
      <c r="A16" t="s">
        <v>157</v>
      </c>
      <c r="B16" t="s">
        <v>158</v>
      </c>
      <c r="C16" s="4" t="s">
        <v>134</v>
      </c>
    </row>
    <row r="17" spans="1:3" ht="12.75" customHeight="1">
      <c r="A17" t="s">
        <v>159</v>
      </c>
      <c r="B17" t="s">
        <v>160</v>
      </c>
      <c r="C17" s="4" t="s">
        <v>134</v>
      </c>
    </row>
    <row r="18" spans="1:3" ht="12.75" customHeight="1">
      <c r="A18" t="s">
        <v>161</v>
      </c>
      <c r="B18" t="s">
        <v>162</v>
      </c>
      <c r="C18" s="4" t="s">
        <v>134</v>
      </c>
    </row>
    <row r="19" spans="1:3" ht="12.75" customHeight="1">
      <c r="A19" t="s">
        <v>163</v>
      </c>
      <c r="B19" t="s">
        <v>164</v>
      </c>
      <c r="C19" s="4" t="s">
        <v>134</v>
      </c>
    </row>
    <row r="20" spans="1:3" ht="12.75" customHeight="1">
      <c r="A20" t="s">
        <v>165</v>
      </c>
      <c r="B20" t="s">
        <v>166</v>
      </c>
      <c r="C20" s="4" t="s">
        <v>134</v>
      </c>
    </row>
    <row r="21" spans="1:3" ht="12.75" customHeight="1">
      <c r="A21" t="s">
        <v>167</v>
      </c>
      <c r="B21" t="s">
        <v>168</v>
      </c>
      <c r="C21" s="4" t="s">
        <v>134</v>
      </c>
    </row>
    <row r="22" spans="1:3" ht="12.75" customHeight="1">
      <c r="A22" s="56" t="s">
        <v>169</v>
      </c>
      <c r="B22" t="s">
        <v>170</v>
      </c>
      <c r="C22" s="4" t="s">
        <v>134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62FD1-3D01-4ADA-B477-F8AAEC0EEBEC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2026-02-09T19:48:12Z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2024-09-10T16:35:56Z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e59ab839-781c-4451-9f2d-26f144318f70</vt:lpwstr>
  </property>
  <property fmtid="{D5CDD505-2E9C-101B-9397-08002B2CF9AE}" pid="9" name="MSIP_Label_9d817c99-0b37-4a07-8277-96aa1f96b74b_ContentBits">
    <vt:lpwstr>0</vt:lpwstr>
  </property>
</Properties>
</file>