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45CA2E9F-4A3A-4113-89E6-4E8E9EEED279}" xr6:coauthVersionLast="47" xr6:coauthVersionMax="47" xr10:uidLastSave="{F3B87082-8453-4020-895B-96C30C91DD94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E4" i="18" l="1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<sst xmlns="http://schemas.openxmlformats.org/spreadsheetml/2006/main" count="257" uniqueCount="71">
  <si>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</si>
  <si>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</si>
  <si>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</si>
  <si>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</si>
  <si>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</si>
  <si>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</si>
  <si>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</si>
  <si>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</si>
  <si>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</si>
  <si>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</si>
  <si>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</si>
  <si>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</si>
  <si>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</si>
  <si>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</si>
  <si>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</si>
  <si>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</si>
  <si>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</si>
  <si>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</si>
  <si>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</si>
  <si>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</si>
  <si>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</si>
  <si>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</si>
  <si>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</si>
  <si>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 Inverter 22 was offline on 01/10, 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</si>
  <si>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</si>
  <si>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</si>
  <si>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</si>
  <si>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</si>
  <si>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</si>
  <si>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</si>
  <si>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</si>
  <si>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</si>
  <si>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</si>
  <si>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 Actual v. Expected</t>
  </si>
  <si>
    <t>April Actual v. Forecasted</t>
  </si>
  <si>
    <t>1. Site is offline due to storm from 04/04/24 at 05:00AM and back online at 13:00 on 04/08/24.
2. Inverter 31 is offline from 13:00 to 15:15 on 04/08/24.
3. Inverter 22 is offline due to "Insolation fault" on 04/13 from 07:00AM to 11:15AM.
4. Inverter 20 is derating about 43kW and reporting "fan fail" from 04/13 and need to replace fan.
5. Inverter 5 is offline from 07:00AM to 11:45AM on 04/17/24.
6. Inverter 33 is derating about 17kW and reporting "potential fan fault" on 04/18/24.</t>
  </si>
  <si>
    <t>1. SR083080
2. SR083205
3. SR083378
4. SR083431
5. SR083539
6. SR083601</t>
  </si>
  <si>
    <t>May Actual v. Expected</t>
  </si>
  <si>
    <t>May Actual v. Forecasted</t>
  </si>
  <si>
    <t>1. Inverter 20 tripped offline at 15:15 on 05/21/24 and back online at 07:00AM on 05/31/24.
2. Inverter 32 late started on 05/06/24  due to an insulation fault
3. The weather station stopped communicating on 05/24 at 15:00, and a technician reset the Weather Station DAS and restored communication on 05/31 at 8:30 AM. Due to this, the expected energy values are low compared to the previous month.</t>
  </si>
  <si>
    <t>1. SR084988
2. SR081601
3. SR085273</t>
  </si>
  <si>
    <t>June Actual v. Expected</t>
  </si>
  <si>
    <t>June Actual v. Forecasted</t>
  </si>
  <si>
    <t>1. Site was offline from 6pm of 06/23 and back online at 2pm of 06/24, it was offline due to the recloser being open from the customer's end
2. Inverters 21, 22 &amp; 31 have started late i.e., at 10am on 06/27</t>
  </si>
  <si>
    <t>1. SR086772
2. SR086893</t>
  </si>
  <si>
    <t>July Actual v. Expected</t>
  </si>
  <si>
    <t>July Actual v. Forecasted</t>
  </si>
  <si>
    <t>1. Inverter 20 was underperforming approximately 30kW down compared its peers.
2. PAD 1 was tripped offline at 15:30 on 07/01  and back online at 10:15AM on 07/02
3. Site was offline from 05:45am to 11:30am on 07/14
4.  Site was offline from 10:00am to 15:30 on 07/17</t>
  </si>
  <si>
    <t>1. SR083431
2. SR087219
3. 	SR087653
4. SR087820</t>
  </si>
  <si>
    <t>August Actual v. Expected</t>
  </si>
  <si>
    <t>August Actual v. Forecasted</t>
  </si>
  <si>
    <t xml:space="preserve">1.Inverter 21 started late production at 14:30 on 08/05 and at 13:00 on 08/06
</t>
  </si>
  <si>
    <t>1.SR088651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</si>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</sst>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5676521.0049999999</v>
      </c>
      <c r="D2" s="6">
        <f>SUM(D4:D60)</f>
        <v>5775035.6440000003</v>
      </c>
      <c r="E2" s="6">
        <f>C2-D2</f>
        <v>-98514.639000000432</v>
      </c>
      <c r="F2" s="7">
        <f>IFERROR(E2/D2, 0)</f>
        <v>-1.7058706659646795E-2</v>
      </c>
      <c r="G2" s="6">
        <f>SUM(G4:G60)</f>
        <v>6173800.1199999992</v>
      </c>
      <c r="H2" s="8">
        <f>C2-G2</f>
        <v>-497279.11499999929</v>
      </c>
      <c r="I2" s="7">
        <f>IFERROR(H2/G2, 0)</f>
        <v>-8.0546682000453132E-2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5676521.0049999999</v>
      </c>
      <c r="D4" s="14">
        <f>SUM('1st Qtr'!D4, '2nd Qtr'!D4, '3rd Qtr'!D4, '4th Qtr'!D4)</f>
        <v>5775035.6440000003</v>
      </c>
      <c r="E4" s="14">
        <f>IF(AND(ISNUMBER(C4),ISNUMBER(D4)), C4-D4, "")</f>
        <v>-98514.639000000432</v>
      </c>
      <c r="F4" s="15">
        <f>IFERROR(E4/D4, "")</f>
        <v>-1.7058706659646795E-2</v>
      </c>
      <c r="G4" s="16">
        <f>SUM('1st Qtr'!G4,'2nd Qtr'!G4,'3rd Qtr'!G4,'4th Qtr'!G4)</f>
        <v>6173800.1199999992</v>
      </c>
      <c r="H4" s="16">
        <f>SUM('1st Qtr'!H4, '2nd Qtr'!H4, '3rd Qtr'!H4, '4th Qtr'!H4)</f>
        <v>-497279.11499999987</v>
      </c>
      <c r="I4" s="17">
        <f>IFERROR(H4/G4, "")</f>
        <v>-8.0546682000453215E-2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F27" sqref="F27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1751112.92</v>
      </c>
      <c r="H4" s="16">
        <f>SUM(Jan!H4, Feb!H4, Mar!H4)</f>
        <v>-305712.91499999992</v>
      </c>
      <c r="I4" s="17">
        <f>IFERROR(H4/G4, "")</f>
        <v>-0.17458206807131543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2464875</v>
      </c>
      <c r="D2" s="6">
        <f>SUM(D4:D90)</f>
        <v>2288937.7000000002</v>
      </c>
      <c r="E2" s="6">
        <f>C2-D2</f>
        <v>175937.29999999981</v>
      </c>
      <c r="F2" s="7">
        <f>IFERROR(E2/D2, 0)</f>
        <v>7.6864171532497277E-2</v>
      </c>
      <c r="G2" s="6">
        <f>SUM(G4:G90)</f>
        <v>2585592.6</v>
      </c>
      <c r="H2" s="8">
        <f>C2-G2</f>
        <v>-120717.60000000009</v>
      </c>
      <c r="I2" s="7">
        <f>IFERROR(H2/G2, 0)</f>
        <v>-4.6688561840716937E-2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2464875</v>
      </c>
      <c r="D4" s="14">
        <f>SUM(Apr!D4, May!D4, Jun!D4)</f>
        <v>2288937.7000000002</v>
      </c>
      <c r="E4" s="14">
        <f>IF(AND(ISNUMBER(C4),ISNUMBER(D4)), C4-D4, "")</f>
        <v>175937.29999999981</v>
      </c>
      <c r="F4" s="15">
        <f>IFERROR(E4/D4, "")</f>
        <v>7.6864171532497277E-2</v>
      </c>
      <c r="G4" s="16">
        <f>SUM(Apr!G4,May!G4,Jun!G4)</f>
        <v>2585592.6</v>
      </c>
      <c r="H4" s="16">
        <f>SUM(Apr!H4, May!H4, Jun!H4)</f>
        <v>-120717.59999999998</v>
      </c>
      <c r="I4" s="17">
        <f>IFERROR(H4/G4, "")</f>
        <v>-4.6688561840716888E-2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1766246</v>
      </c>
      <c r="D2" s="6">
        <f>SUM(D4:D89)</f>
        <v>1784297.99</v>
      </c>
      <c r="E2" s="6">
        <f>C2-D2</f>
        <v>-18051.989999999991</v>
      </c>
      <c r="F2" s="7">
        <f>IFERROR(E2/D2, 0)</f>
        <v>-1.0117138561591941E-2</v>
      </c>
      <c r="G2" s="6">
        <f>SUM(G4:G89)</f>
        <v>1837094.6</v>
      </c>
      <c r="H2" s="8">
        <f>C2-G2</f>
        <v>-70848.600000000093</v>
      </c>
      <c r="I2" s="7">
        <f>IFERROR(H2/G2, 0)</f>
        <v>-3.8565569786117762E-2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1766246</v>
      </c>
      <c r="D4" s="14">
        <f>SUM(Jul!D4, Aug!D4, Sep!D4)</f>
        <v>1784297.99</v>
      </c>
      <c r="E4" s="14">
        <f>IF(AND(ISNUMBER(C4),ISNUMBER(D4)), C4-D4, "")</f>
        <v>-18051.989999999991</v>
      </c>
      <c r="F4" s="15">
        <f>IFERROR(E4/D4, "")</f>
        <v>-1.0117138561591941E-2</v>
      </c>
      <c r="G4" s="16">
        <f>SUM(Jul!G4, Aug!G4, Sep!G4)</f>
        <v>1837094.6</v>
      </c>
      <c r="H4" s="16">
        <f>SUM(Jul!H4, Aug!H4, Sep!H4)</f>
        <v>-70848.599999999977</v>
      </c>
      <c r="I4" s="17">
        <f>IFERROR(H4/G4, "")</f>
        <v>-3.8565569786117693E-2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23</v>
      </c>
      <c r="K4" s="18" t="s">
        <v>24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11" activePane="bottomLeft" state="frozen"/>
      <selection pane="bottomLeft" activeCell="J11" sqref="J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27</v>
      </c>
      <c r="K4" s="18" t="s">
        <v>28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759786.62</v>
      </c>
      <c r="H2" s="8">
        <f>C2-G2</f>
        <v>-151633.61499999999</v>
      </c>
      <c r="I2" s="7">
        <f>IFERROR(H2/G2, 0)</f>
        <v>-0.19957394748541371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759786.62</v>
      </c>
      <c r="H4" s="16">
        <f>IF(AND(ISNUMBER(C4),ISNUMBER(G4)), C4-G4, "")</f>
        <v>-151633.61499999999</v>
      </c>
      <c r="I4" s="17">
        <f>IFERROR(H4/G4, "")</f>
        <v>-0.19957394748541371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B4" sqref="B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698240</v>
      </c>
      <c r="D2" s="6">
        <f>SUM(D4:D90)</f>
        <v>705102</v>
      </c>
      <c r="E2" s="6">
        <f>C2-D2</f>
        <v>-6862</v>
      </c>
      <c r="F2" s="7">
        <f>IFERROR(E2/D2, 0)</f>
        <v>-9.7319253100969783E-3</v>
      </c>
      <c r="G2" s="6">
        <f>SUM(G4:G90)</f>
        <v>788000</v>
      </c>
      <c r="H2" s="8">
        <f>C2-G2</f>
        <v>-89760</v>
      </c>
      <c r="I2" s="7">
        <f>IFERROR(H2/G2, 0)</f>
        <v>-0.11390862944162436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29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698240</v>
      </c>
      <c r="D4" s="14">
        <v>705102</v>
      </c>
      <c r="E4" s="14">
        <f>IF(AND(ISNUMBER(C4),ISNUMBER(D4)), C4-D4, "")</f>
        <v>-6862</v>
      </c>
      <c r="F4" s="15">
        <f>IFERROR(E4/D4, "")</f>
        <v>-9.7319253100969783E-3</v>
      </c>
      <c r="G4" s="16">
        <v>788000</v>
      </c>
      <c r="H4" s="16">
        <f>IF(AND(ISNUMBER(C4),ISNUMBER(G4)), C4-G4, "")</f>
        <v>-89760</v>
      </c>
      <c r="I4" s="17">
        <f>IFERROR(H4/G4, "")</f>
        <v>-0.11390862944162436</v>
      </c>
      <c r="J4" s="18" t="s">
        <v>35</v>
      </c>
      <c r="K4" s="18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872100</v>
      </c>
      <c r="D2" s="6">
        <f>SUM(D4:D90)</f>
        <v>680511</v>
      </c>
      <c r="E2" s="6">
        <f>C2-D2</f>
        <v>191589</v>
      </c>
      <c r="F2" s="7">
        <f>IFERROR(E2/D2, 0)</f>
        <v>0.28153696266482098</v>
      </c>
      <c r="G2" s="6">
        <f>SUM(G4:G90)</f>
        <v>917000</v>
      </c>
      <c r="H2" s="8">
        <f>C2-G2</f>
        <v>-44900</v>
      </c>
      <c r="I2" s="7">
        <f>IFERROR(H2/G2, 0)</f>
        <v>-4.896401308615049E-2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2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872100</v>
      </c>
      <c r="D4" s="14">
        <v>680511</v>
      </c>
      <c r="E4" s="14">
        <f>IF(AND(ISNUMBER(C4),ISNUMBER(D4)), C4-D4, "")</f>
        <v>191589</v>
      </c>
      <c r="F4" s="15">
        <f>IFERROR(E4/D4, "")</f>
        <v>0.28153696266482098</v>
      </c>
      <c r="G4" s="16">
        <v>917000</v>
      </c>
      <c r="H4" s="16">
        <f>IF(AND(ISNUMBER(C4),ISNUMBER(G4)), C4-G4, "")</f>
        <v>-44900</v>
      </c>
      <c r="I4" s="17">
        <f>IFERROR(H4/G4, "")</f>
        <v>-4.896401308615049E-2</v>
      </c>
      <c r="J4" s="18" t="s">
        <v>39</v>
      </c>
      <c r="K4" s="18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I14" sqref="I1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894535</v>
      </c>
      <c r="D2" s="6">
        <f>SUM(D4:D90)</f>
        <v>903324.7</v>
      </c>
      <c r="E2" s="6">
        <f>C2-D2</f>
        <v>-8789.6999999999534</v>
      </c>
      <c r="F2" s="7">
        <f>IFERROR(E2/D2, 0)</f>
        <v>-9.7303881981749794E-3</v>
      </c>
      <c r="G2" s="6">
        <f>SUM(G4:G90)</f>
        <v>880592.6</v>
      </c>
      <c r="H2" s="8">
        <f>C2-G2</f>
        <v>13942.400000000023</v>
      </c>
      <c r="I2" s="7">
        <f>IFERROR(H2/G2, 0)</f>
        <v>1.5832974294810134E-2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894535</v>
      </c>
      <c r="D4" s="14">
        <v>903324.7</v>
      </c>
      <c r="E4" s="14">
        <f>IF(AND(ISNUMBER(C4),ISNUMBER(D4)), C4-D4, "")</f>
        <v>-8789.6999999999534</v>
      </c>
      <c r="F4" s="15">
        <f>IFERROR(E4/D4, "")</f>
        <v>-9.7303881981749794E-3</v>
      </c>
      <c r="G4" s="16">
        <v>880592.6</v>
      </c>
      <c r="H4" s="16">
        <f>IF(AND(ISNUMBER(C4),ISNUMBER(G4)), C4-G4, "")</f>
        <v>13942.400000000023</v>
      </c>
      <c r="I4" s="17">
        <f>IFERROR(H4/G4, "")</f>
        <v>1.5832974294810134E-2</v>
      </c>
      <c r="J4" s="18" t="s">
        <v>43</v>
      </c>
      <c r="K4" s="18" t="s">
        <v>44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B1" workbookViewId="0">
      <pane ySplit="2" topLeftCell="A3" activePane="bottomLeft" state="frozen"/>
      <selection pane="bottomLeft" activeCell="G17" sqref="G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916545</v>
      </c>
      <c r="D2" s="6">
        <f>SUM(D4:D90)</f>
        <v>922407.79</v>
      </c>
      <c r="E2" s="6">
        <f>C2-D2</f>
        <v>-5862.7900000000373</v>
      </c>
      <c r="F2" s="7">
        <f>IFERROR(E2/D2, 0)</f>
        <v>-6.3559632340052519E-3</v>
      </c>
      <c r="G2" s="6">
        <f>SUM(G4:G90)</f>
        <v>935829.2</v>
      </c>
      <c r="H2" s="8">
        <f>C2-G2</f>
        <v>-19284.199999999953</v>
      </c>
      <c r="I2" s="7">
        <f>IFERROR(H2/G2, 0)</f>
        <v>-2.0606538030657682E-2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82.5" customHeight="1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916545</v>
      </c>
      <c r="D4" s="14">
        <v>922407.79</v>
      </c>
      <c r="E4" s="14">
        <f>IF(AND(ISNUMBER(C4),ISNUMBER(D4)), C4-D4, "")</f>
        <v>-5862.7900000000373</v>
      </c>
      <c r="F4" s="15">
        <f>IFERROR(E4/D4, "")</f>
        <v>-6.3559632340052519E-3</v>
      </c>
      <c r="G4" s="16">
        <v>935829.2</v>
      </c>
      <c r="H4" s="16">
        <f>IF(AND(ISNUMBER(C4),ISNUMBER(G4)), C4-G4, "")</f>
        <v>-19284.199999999953</v>
      </c>
      <c r="I4" s="17">
        <f>IFERROR(H4/G4, "")</f>
        <v>-2.0606538030657682E-2</v>
      </c>
      <c r="J4" s="18" t="s">
        <v>47</v>
      </c>
      <c r="K4" s="18" t="s">
        <v>48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849701</v>
      </c>
      <c r="D2" s="6">
        <f>SUM(D4:D30)</f>
        <v>861890.2</v>
      </c>
      <c r="E2" s="6">
        <f>C2-D2</f>
        <v>-12189.199999999953</v>
      </c>
      <c r="F2" s="7">
        <f>IFERROR(E2/D2, 0)</f>
        <v>-1.414240468217408E-2</v>
      </c>
      <c r="G2" s="6">
        <f>SUM(G4:G30)</f>
        <v>901265.4</v>
      </c>
      <c r="H2" s="8">
        <f>C2-G2</f>
        <v>-51564.400000000023</v>
      </c>
      <c r="I2" s="7">
        <f>IFERROR(H2/G2, 0)</f>
        <v>-5.7213335827604191E-2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0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849701</v>
      </c>
      <c r="D4" s="14">
        <v>861890.2</v>
      </c>
      <c r="E4" s="14">
        <f>IF(AND(ISNUMBER(C4),ISNUMBER(D4)), C4-D4, "")</f>
        <v>-12189.199999999953</v>
      </c>
      <c r="F4" s="15">
        <f>IFERROR(E4/D4, "")</f>
        <v>-1.414240468217408E-2</v>
      </c>
      <c r="G4" s="16">
        <v>901265.4</v>
      </c>
      <c r="H4" s="16">
        <f>IF(AND(ISNUMBER(C4),ISNUMBER(G4)), C4-G4, "")</f>
        <v>-51564.400000000023</v>
      </c>
      <c r="I4" s="17">
        <f>IFERROR(H4/G4, "")</f>
        <v>-5.7213335827604191E-2</v>
      </c>
      <c r="J4" s="18" t="s">
        <v>51</v>
      </c>
      <c r="K4" s="18" t="s">
        <v>52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55</v>
      </c>
      <c r="E1" s="45"/>
      <c r="F1" s="45"/>
      <c r="G1" s="43" t="s">
        <v>56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57</v>
      </c>
      <c r="E1" s="45"/>
      <c r="F1" s="45"/>
      <c r="G1" s="43" t="s">
        <v>58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59</v>
      </c>
      <c r="E1" s="45"/>
      <c r="F1" s="45"/>
      <c r="G1" s="43" t="s">
        <v>60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9" sqref="B2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61</v>
      </c>
      <c r="B1" t="s">
        <v>62</v>
      </c>
    </row>
    <row r="3" spans="1:7" ht="13.15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7" ht="14.45">
      <c r="A4" t="s">
        <v>66</v>
      </c>
      <c r="B4" t="s">
        <v>67</v>
      </c>
      <c r="C4" s="4" t="s">
        <v>68</v>
      </c>
      <c r="D4" t="s">
        <v>69</v>
      </c>
      <c r="E4" t="s">
        <v>70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2024-09-17T15:33:10Z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