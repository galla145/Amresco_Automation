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0" documentId="13_ncr:1_{68CA334E-0787-4B1F-9AD7-7C4E43608861}" xr6:coauthVersionLast="47" xr6:coauthVersionMax="47" xr10:uidLastSave="{8E721A32-7093-4235-BD25-184739525AD3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<sst xmlns="http://schemas.openxmlformats.org/spreadsheetml/2006/main" count="243" uniqueCount="57">
  <si>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</si>
  <si>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</si>
  <si>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</si>
  <si>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</si>
  <si>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</si>
  <si>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</si>
  <si>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</si>
  <si>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</si>
  <si>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</si>
  <si>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</si>
  <si>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</si>
  <si>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</si>
  <si>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</si>
  <si>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</si>
  <si>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</si>
  <si>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</si>
  <si>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</si>
  <si>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</si>
  <si>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</si>
  <si>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</si>
  <si>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</si>
  <si>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</si>
  <si>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</si>
  <si>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</si>
  <si>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</si>
  <si>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</si>
  <si>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</si>
  <si>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</si>
  <si>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</si>
  <si>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</si>
  <si>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</si>
  <si>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</si>
  <si>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</si>
  <si>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</si>
  <si>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1.Inverter 11 started production at mid off the day through out the month
2.Inverter 7 has starting production after 08:00AM</t>
  </si>
  <si>
    <t>1.SR087760
2.SR088469</t>
  </si>
  <si>
    <t>August Actual v. Expected</t>
  </si>
  <si>
    <t>August Actual v. Forecasted</t>
  </si>
  <si>
    <t>1.Inverter 11 started production at mid off the day on 08/01.
2. Inverters 11 tripped offline on 08/15 at 05:20pm and back online on 08/21 at 09:50
3.Inverter 9 and 12 were underproducing approximately 20kW and back to normal production on 08/15</t>
  </si>
  <si>
    <t>1.SR087760
2.SR089142
3.SR089115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</si>
  <si>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</si>
  <si>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</si>
  <si>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</si>
  <si>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</si>
  <si>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</si>
  <si>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</si>
  <si>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</si>
  <si>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</si>
  <si>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</si>
  <si>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AB CarVal</t>
  </si>
  <si>
    <t>Site DAS Name</t>
  </si>
  <si>
    <t>Update</t>
  </si>
  <si>
    <t>DAS</t>
  </si>
  <si>
    <t>001 - Fairhaven</t>
  </si>
  <si>
    <t>MA: Fairhaven - 279 Mill Rd</t>
  </si>
  <si>
    <t>MA</t>
  </si>
  <si>
    <t>PowerFactors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</si>
</sst>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1143135</v>
      </c>
      <c r="D2" s="6">
        <f>SUM(D4:D60)</f>
        <v>1177073.8259999999</v>
      </c>
      <c r="E2" s="6">
        <f>C2-D2</f>
        <v>-33938.825999999885</v>
      </c>
      <c r="F2" s="7">
        <f>IFERROR(E2/D2, 0)</f>
        <v>-2.8833217807019598E-2</v>
      </c>
      <c r="G2" s="6">
        <f>SUM(G4:G60)</f>
        <v>391768</v>
      </c>
      <c r="H2" s="8">
        <f>C2-G2</f>
        <v>751367</v>
      </c>
      <c r="I2" s="7">
        <f>IFERROR(H2/G2, 0)</f>
        <v>1.9178876273713015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SUM('1st Qtr'!C4, '2nd Qtr'!C4, '3rd Qtr'!C4, '4th Qtr'!C4)</f>
        <v>1143135</v>
      </c>
      <c r="D4" s="14">
        <f>SUM('1st Qtr'!D4, '2nd Qtr'!D4, '3rd Qtr'!D4, '4th Qtr'!D4)</f>
        <v>1177073.8259999999</v>
      </c>
      <c r="E4" s="14">
        <f>IF(AND(ISNUMBER(C4),ISNUMBER(D4)), C4-D4, "")</f>
        <v>-33938.825999999885</v>
      </c>
      <c r="F4" s="15">
        <f>IFERROR(E4/D4, "")</f>
        <v>-2.8833217807019598E-2</v>
      </c>
      <c r="G4" s="16">
        <f>SUM('1st Qtr'!G4,'2nd Qtr'!G4,'3rd Qtr'!G4,'4th Qtr'!G4)</f>
        <v>391768</v>
      </c>
      <c r="H4" s="16">
        <f>SUM('1st Qtr'!H4, '2nd Qtr'!H4, '3rd Qtr'!H4, '4th Qtr'!H4)</f>
        <v>-56094.780000000028</v>
      </c>
      <c r="I4" s="17">
        <f>IFERROR(H4/G4, "")</f>
        <v>-0.14318366992709977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B32" sqref="B32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0</v>
      </c>
      <c r="D2" s="6">
        <f>SUM(D4:D68)</f>
        <v>0</v>
      </c>
      <c r="E2" s="6">
        <f>C2-D2</f>
        <v>0</v>
      </c>
      <c r="F2" s="7">
        <f>IFERROR(E2/D2, 0)</f>
        <v>0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384286</v>
      </c>
      <c r="D2" s="6">
        <f>SUM(D4:D90)</f>
        <v>411687</v>
      </c>
      <c r="E2" s="6">
        <f>C2-D2</f>
        <v>-27401</v>
      </c>
      <c r="F2" s="7">
        <f>IFERROR(E2/D2, 0)</f>
        <v>-6.6557846130676945E-2</v>
      </c>
      <c r="G2" s="6">
        <f>SUM(G4:G90)</f>
        <v>391768</v>
      </c>
      <c r="H2" s="8">
        <f>C2-G2</f>
        <v>-7482</v>
      </c>
      <c r="I2" s="7">
        <f>IFERROR(H2/G2, 0)</f>
        <v>-1.9098037614098139E-2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SUM(Apr!C4, May!C4, Jun!C4)</f>
        <v>384286</v>
      </c>
      <c r="D4" s="14">
        <f>SUM(Apr!D4, May!D4, Jun!D4)</f>
        <v>411687</v>
      </c>
      <c r="E4" s="14">
        <f>IF(AND(ISNUMBER(C4),ISNUMBER(D4)), C4-D4, "")</f>
        <v>-27401</v>
      </c>
      <c r="F4" s="15">
        <f>IFERROR(E4/D4, "")</f>
        <v>-6.6557846130676945E-2</v>
      </c>
      <c r="G4" s="16">
        <f>SUM(Apr!G4+May!G4+Jun!G4)</f>
        <v>391768</v>
      </c>
      <c r="H4" s="16">
        <f>SUM(Apr!H4, May!H4, Jun!H4)</f>
        <v>-7482</v>
      </c>
      <c r="I4" s="17">
        <f>IFERROR(H4/G4, "")</f>
        <v>-1.9098037614098139E-2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758849</v>
      </c>
      <c r="D2" s="6">
        <f>SUM(D4:D89)</f>
        <v>765386.826</v>
      </c>
      <c r="E2" s="6">
        <f>C2-D2</f>
        <v>-6537.8260000000009</v>
      </c>
      <c r="F2" s="7">
        <f>IFERROR(E2/D2, 0)</f>
        <v>-8.5418585451325774E-3</v>
      </c>
      <c r="G2" s="6">
        <f>SUM(G4:G89)</f>
        <v>0</v>
      </c>
      <c r="H2" s="8">
        <f>C2-G2</f>
        <v>758849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SUM(Jul!C4, Aug!C4, Sep!C4)</f>
        <v>758849</v>
      </c>
      <c r="D4" s="14">
        <f>SUM(Jul!D4, Aug!D4, Sep!D4)</f>
        <v>765386.826</v>
      </c>
      <c r="E4" s="14">
        <f>IF(AND(ISNUMBER(C4),ISNUMBER(D4)), C4-D4, "")</f>
        <v>-6537.8260000000009</v>
      </c>
      <c r="F4" s="15">
        <f>IFERROR(E4/D4, "")</f>
        <v>-8.5418585451325774E-3</v>
      </c>
      <c r="G4" s="16"/>
      <c r="H4" s="16">
        <f>SUM(Jul!H4, Aug!H4, Sep!H4)</f>
        <v>-48612.780000000028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35" sqref="F3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384286</v>
      </c>
      <c r="D2" s="6">
        <f>SUM(D4:D90)</f>
        <v>411687</v>
      </c>
      <c r="E2" s="6">
        <f>C2-D2</f>
        <v>-27401</v>
      </c>
      <c r="F2" s="7">
        <f>IFERROR(E2/D2, 0)</f>
        <v>-6.6557846130676945E-2</v>
      </c>
      <c r="G2" s="6">
        <f>SUM(G4:G90)</f>
        <v>391768</v>
      </c>
      <c r="H2" s="8">
        <f>C2-G2</f>
        <v>-7482</v>
      </c>
      <c r="I2" s="7">
        <f>IFERROR(H2/G2, 0)</f>
        <v>-1.9098037614098139E-2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>
        <v>384286</v>
      </c>
      <c r="D4" s="14">
        <v>411687</v>
      </c>
      <c r="E4" s="14">
        <f>IF(AND(ISNUMBER(C4),ISNUMBER(D4)), C4-D4, "")</f>
        <v>-27401</v>
      </c>
      <c r="F4" s="15">
        <f>IFERROR(E4/D4, "")</f>
        <v>-6.6557846130676945E-2</v>
      </c>
      <c r="G4" s="16">
        <v>391768</v>
      </c>
      <c r="H4" s="16">
        <f>IF(AND(ISNUMBER(C4),ISNUMBER(G4)), C4-G4, "")</f>
        <v>-7482</v>
      </c>
      <c r="I4" s="17">
        <f>IFERROR(H4/G4, "")</f>
        <v>-1.9098037614098139E-2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362724</v>
      </c>
      <c r="D2" s="6">
        <f>SUM(D4:D90)</f>
        <v>372410</v>
      </c>
      <c r="E2" s="6">
        <f>C2-D2</f>
        <v>-9686</v>
      </c>
      <c r="F2" s="7">
        <f>IFERROR(E2/D2, 0)</f>
        <v>-2.6008968609865471E-2</v>
      </c>
      <c r="G2" s="6">
        <f>SUM(G4:G90)</f>
        <v>420082</v>
      </c>
      <c r="H2" s="8">
        <f>C2-G2</f>
        <v>-57358</v>
      </c>
      <c r="I2" s="7">
        <f>IFERROR(H2/G2, 0)</f>
        <v>-0.13654000885541395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>
        <v>362724</v>
      </c>
      <c r="D4" s="14">
        <v>372410</v>
      </c>
      <c r="E4" s="14">
        <f>IF(AND(ISNUMBER(C4),ISNUMBER(D4)), C4-D4, "")</f>
        <v>-9686</v>
      </c>
      <c r="F4" s="15">
        <f>IFERROR(E4/D4, "")</f>
        <v>-2.6008968609865471E-2</v>
      </c>
      <c r="G4" s="16">
        <v>420082</v>
      </c>
      <c r="H4" s="16">
        <f>IF(AND(ISNUMBER(C4),ISNUMBER(G4)), C4-G4, "")</f>
        <v>-57358</v>
      </c>
      <c r="I4" s="17">
        <f>IFERROR(H4/G4, "")</f>
        <v>-0.13654000885541395</v>
      </c>
      <c r="J4" s="18" t="s">
        <v>34</v>
      </c>
      <c r="K4" s="18" t="s">
        <v>35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workbookViewId="0">
      <pane ySplit="2" topLeftCell="A3" activePane="bottomLeft" state="frozen"/>
      <selection pane="bottomLeft" activeCell="J4" sqref="J4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396125</v>
      </c>
      <c r="D2" s="6">
        <f>SUM(D4:D30)</f>
        <v>392976.826</v>
      </c>
      <c r="E2" s="6">
        <f>C2-D2</f>
        <v>3148.1739999999991</v>
      </c>
      <c r="F2" s="7">
        <f>IFERROR(E2/D2, 0)</f>
        <v>8.0110932546439747E-3</v>
      </c>
      <c r="G2" s="6">
        <f>SUM(G4:G30)</f>
        <v>387379.78</v>
      </c>
      <c r="H2" s="8">
        <f>C2-G2</f>
        <v>8745.2199999999721</v>
      </c>
      <c r="I2" s="7">
        <f>IFERROR(H2/G2, 0)</f>
        <v>2.2575313559215639E-2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76.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>
        <v>396125</v>
      </c>
      <c r="D4" s="14">
        <v>392976.826</v>
      </c>
      <c r="E4" s="14">
        <f>IF(AND(ISNUMBER(C4),ISNUMBER(D4)), C4-D4, "")</f>
        <v>3148.1739999999991</v>
      </c>
      <c r="F4" s="15">
        <f>IFERROR(E4/D4, "")</f>
        <v>8.0110932546439747E-3</v>
      </c>
      <c r="G4" s="16">
        <v>387379.78</v>
      </c>
      <c r="H4" s="16">
        <f>IF(AND(ISNUMBER(C4),ISNUMBER(G4)), C4-G4, "")</f>
        <v>8745.2199999999721</v>
      </c>
      <c r="I4" s="17">
        <f>IFERROR(H4/G4, "")</f>
        <v>2.2575313559215639E-2</v>
      </c>
      <c r="J4" s="18" t="s">
        <v>38</v>
      </c>
      <c r="K4" s="18" t="s">
        <v>39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4" sqref="A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53</v>
      </c>
      <c r="B4" t="s">
        <v>54</v>
      </c>
      <c r="C4" s="4" t="s">
        <v>55</v>
      </c>
      <c r="E4" t="s">
        <v>56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2024-10-05T08:33:57Z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2024-09-09T14:52:17Z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be06981d-8400-4fea-a654-3857d71c3441</vt:lpwstr>
  </property>
  <property fmtid="{D5CDD505-2E9C-101B-9397-08002B2CF9AE}" pid="9" name="MSIP_Label_9d817c99-0b37-4a07-8277-96aa1f96b74b_ContentBits">
    <vt:lpwstr>0</vt:lpwstr>
  </property>
</Properties>
</file>