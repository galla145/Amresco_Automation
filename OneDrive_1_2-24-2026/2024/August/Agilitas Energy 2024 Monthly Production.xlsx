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26" documentId="13_ncr:1_{A7549EF6-782C-4F34-973C-DC7827513A70}" xr6:coauthVersionLast="47" xr6:coauthVersionMax="47" xr10:uidLastSave="{25B1D894-5A09-4C7B-BD83-8C8E8849289F}"/>
  <bookViews>
    <workbookView xWindow="-98" yWindow="-98" windowWidth="21795" windowHeight="12975" tabRatio="866" firstSheet="9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6" l="1"/>
  <c r="G4" i="18"/>
  <c r="G5" i="18"/>
  <c r="G6" i="18"/>
  <c r="G7" i="18"/>
  <c r="G8" i="18"/>
  <c r="E4" i="4"/>
  <c r="E4" i="72"/>
  <c r="F4" i="72" s="1"/>
  <c r="E5" i="72"/>
  <c r="E6" i="72"/>
  <c r="E7" i="72"/>
  <c r="F7" i="72" s="1"/>
  <c r="E8" i="72"/>
  <c r="F8" i="72" s="1"/>
  <c r="F5" i="72"/>
  <c r="F6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F6" i="26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8" i="29" l="1"/>
  <c r="F8" i="29" s="1"/>
  <c r="E7" i="18"/>
  <c r="F7" i="18" s="1"/>
  <c r="E5" i="18"/>
  <c r="F5" i="18" s="1"/>
  <c r="D2" i="18"/>
  <c r="H6" i="29"/>
  <c r="I6" i="29" s="1"/>
  <c r="E4" i="18"/>
  <c r="F4" i="18" s="1"/>
  <c r="E8" i="18"/>
  <c r="F8" i="18" s="1"/>
  <c r="E6" i="30"/>
  <c r="F6" i="30" s="1"/>
  <c r="H7" i="29"/>
  <c r="I7" i="29" s="1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<sst xmlns="http://schemas.openxmlformats.org/spreadsheetml/2006/main" count="306" uniqueCount="105">
  <si>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</si>
  <si>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</si>
  <si>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</si>
  <si>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</si>
  <si>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</si>
  <si>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</si>
  <si>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</si>
  <si>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</si>
  <si>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</si>
  <si>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</si>
  <si>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</si>
  <si>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</si>
  <si>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</si>
  <si>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</si>
  <si>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</si>
  <si>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</si>
  <si>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</si>
  <si>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</si>
  <si>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</si>
  <si>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</si>
  <si>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</si>
  <si>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</si>
  <si>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</si>
  <si>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</si>
  <si>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</si>
  <si>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</si>
  <si>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</si>
  <si>
    <t>February Actual v. Expected</t>
  </si>
  <si>
    <t>February Actual v. Forecasted</t>
  </si>
  <si>
    <t>1. Site relay tripped open at 15:00 on 02/29 and back online next day.</t>
  </si>
  <si>
    <t>1. SR081475</t>
  </si>
  <si>
    <t>1. Inverter 11 tripped offline twice this month and self-resolved itself each time.</t>
  </si>
  <si>
    <t>1. SR081067</t>
  </si>
  <si>
    <t>March Actual v. Expected</t>
  </si>
  <si>
    <t>March Actual v. Forecasted</t>
  </si>
  <si>
    <t>1. inverters 13, 14, 15 are offline on 03/22 and back online at 16:15 on 03/22.
2. Inverters 7, 8, and 9 tripped offline on an AC disconnected fault at 16:15 on 03/25 and back online at 16:30 on 03/25.</t>
  </si>
  <si>
    <t>1. SR082379
2. SR082723</t>
  </si>
  <si>
    <t>1. Site has not started on 03/24 and has started on 10:45am on 03/24.</t>
  </si>
  <si>
    <t>1. SR082614</t>
  </si>
  <si>
    <t>1. Inverter 11 tripped offline at 10:00am on 03/21 and back online on 03/22
2.  Inverter 22 is offline on 03/24 and back online on 03/25.</t>
  </si>
  <si>
    <t>1. SR082351
2. SR082691</t>
  </si>
  <si>
    <t>April Actual v. Expected</t>
  </si>
  <si>
    <t>April Actual v. Forecasted</t>
  </si>
  <si>
    <t>1. Inverter 1 tripped offline on 04/28 at 07:00 and back online on 04/29 at 07:00 and again tripped offline at 14:00 on 04/29 and back online on 04/30, again inverter tripped offline at 18:00 on 04/30</t>
  </si>
  <si>
    <t>1. SR083899</t>
  </si>
  <si>
    <t>1. Inverter 12 tripped offline on 04/02 at 01:35 PM and back online on 04/03 at 12:00 PM.
2. Site tripped offline on 04/04 at 09:15 and back online on 04/06 at 08:20 AM. Inverters 11 and 22 are offline after site re-energized and back online on 04/07.
3. Inverter 21 is derating by 5kW during peak hours from 04/25</t>
  </si>
  <si>
    <t>1. SR083024
2. SR083071
3. 	SR083818</t>
  </si>
  <si>
    <t>May Actual v. Expected</t>
  </si>
  <si>
    <t>May Actual v. Forecasted</t>
  </si>
  <si>
    <t xml:space="preserve">1. Inverter 13 is overheating on high irradiance days and is about 7 kW down for multiple days.  </t>
  </si>
  <si>
    <t>1. SR085127</t>
  </si>
  <si>
    <t>1. Inverter 21 is derating by 5kW during peak hours from 04/25
2. Inverter 5 is derating by 8kW during peak hours from 05/21</t>
  </si>
  <si>
    <t>1. 	SR083818
2. 	SR084975</t>
  </si>
  <si>
    <t>June Actual v. Expected</t>
  </si>
  <si>
    <t>June Actual v. Forecasted</t>
  </si>
  <si>
    <t>1. Inverter 13 is derating due to overheating on sunny days. Issue occurred throughout the month</t>
  </si>
  <si>
    <t>1. Site tripped offline at 19:50 on 06/19 and back online at 10:45 on 06/20</t>
  </si>
  <si>
    <t>1. SR086453</t>
  </si>
  <si>
    <t>1. Inverter 21 is derating by 5kW during peak hours from 04/25 throughout the month
2. Inverter 5 is derating by 8kW during peak hours from 05/21 throughout the month</t>
  </si>
  <si>
    <t>July Actual v. Expected</t>
  </si>
  <si>
    <t>July Actual v. Forecasted</t>
  </si>
  <si>
    <t xml:space="preserve">1. Inverters 25, 26 and 27 are offline on 07/05 and back online on 07/08 at 10:15 AM
2. Site tripped offline at 17:30 on 07/23 and back online on 07/24 at 06:00 AM </t>
  </si>
  <si>
    <t>1. SR087391
2. SR088075</t>
  </si>
  <si>
    <t xml:space="preserve">1. Inverter 1 stopped communicating, as per meter offline on 07/11 at 13:00 and back online on 07/12 at 08:30 AM 
2. Inverter 2 tripped offline at 15:15 on 07/11 and back online on 07/12 at 13:00
again tripped offline on 07/14 at 10:00 AM, back online on 07/15 at 07:30 AM
  Inverter 2 tripped offline at 17:30 on 07/18 and back online on 07/19 at 07:45
3. Inverter 1 tripped offline at 13:00 on 07/22 and back online on 07/24 at 12:15
4. Inverter 2 and 3 are offline on 07/23 and back online on 07/24 </t>
  </si>
  <si>
    <t>1. SR087558
2. SR087558, SR087578
3. SR087988, SR087990
4. SR088071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</si>
  <si>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</si>
  <si>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</si>
  <si>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</si>
  <si>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</si>
  <si>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</si>
  <si>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</si>
  <si>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</si>
  <si>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</si>
  <si>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</si>
  <si>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</si>
  <si>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</si>
  <si>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</si>
  <si>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</si>
  <si>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</si>
  <si>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</si>
  <si>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</si>
  <si>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</si>
  <si>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</si>
  <si>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</si>
  <si>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</si>
  <si>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</si>
  <si>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</si>
  <si>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</si>
  <si>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</si>
  <si>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</si>
  <si>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</si>
  <si>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</si>
  <si>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</si>
  <si>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</si>
  <si>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</si>
  <si>
    <t>1. Inverter 9 tripped offline at 11:30AM and later stopped communication at 13:30 on 8/10 and back online on 8/11</t>
  </si>
  <si>
    <t>1.	SR088882</t>
  </si>
  <si>
    <t>1.Inverter 1,2,3 tripped offline at 14:30 on 8/7 back online on 8/8</t>
  </si>
  <si>
    <t>1.SR088748</t>
  </si>
  <si>
    <t>1.	SR088490
2.SR089238</t>
  </si>
  <si>
    <t>1.Inverter 2 having multiple trippings through out the month 
2.Inverter 1 tripped offline at 15:45pm on 8/18 and back online on 8/19 at 13:00 again inverter 1 offline on 8/24 back online on 8/26</t>
  </si>
  <si>
    <t xml:space="preserve">1. Inverter 5 is under-performing vs its peers (about 15 amps lower). Possibly fan issue. </t>
  </si>
  <si>
    <t>1.	SR089574</t>
  </si>
  <si>
    <t>1. Inverter 2 is offline on 8/10 and back online on 8/11 at 02:00PM
2. Inverter 13 is offline on 8/26 back online on 8/27 and again inverter offline on 8/30 back online on 8/31</t>
  </si>
  <si>
    <t>1.SR088890
2.	SR089571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</si>
</sst>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35" fillId="4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H26" sqref="H26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8" t="str" cm="1">
        <f t="array" ref="A1">portfolio</f>
        <v>Agilitas Energy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 x14ac:dyDescent="0.35">
      <c r="A2" s="60" t="s">
        <v>2</v>
      </c>
      <c r="B2" s="60"/>
      <c r="C2" s="5">
        <f>SUM(C4:C80)</f>
        <v>4526610.7257722309</v>
      </c>
      <c r="D2" s="5">
        <f>SUM(D4:D80)</f>
        <v>3901195.1910000001</v>
      </c>
      <c r="E2" s="5">
        <f>C2-D2</f>
        <v>625415.53477223078</v>
      </c>
      <c r="F2" s="6">
        <f>IFERROR(E2/D2, 0)</f>
        <v>0.16031382798150043</v>
      </c>
      <c r="G2" s="5">
        <f>SUM(G4:G80)</f>
        <v>4257604.3499999996</v>
      </c>
      <c r="H2" s="7">
        <f>C2-G2</f>
        <v>269006.37577223126</v>
      </c>
      <c r="I2" s="6">
        <f>IFERROR(H2/G2, 0)</f>
        <v>6.3182567861720468E-2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 x14ac:dyDescent="0.5">
      <c r="A4" s="51" t="str" cm="1">
        <f t="array" ref="A4:A8">Sites[Site]</f>
        <v>Rowley - Central Street Solar</v>
      </c>
      <c r="B4" s="31" t="str" cm="1">
        <f t="array" ref="B4:B8">Sites[State]</f>
        <v>MA</v>
      </c>
      <c r="C4" s="23">
        <f>SUM('1st Qtr'!C4, '2nd Qtr'!C4, '3rd Qtr'!C4, '4th Qtr'!C4)</f>
        <v>602432.74710556504</v>
      </c>
      <c r="D4" s="12">
        <f>SUM('1st Qtr'!D4, '2nd Qtr'!D4, '3rd Qtr'!D4, '4th Qtr'!D4)</f>
        <v>617488.65</v>
      </c>
      <c r="E4" s="12">
        <f>IF(AND(ISNUMBER(C4),ISNUMBER(D4)), C4-D4, "")</f>
        <v>-15055.902894434985</v>
      </c>
      <c r="F4" s="13">
        <f>IFERROR(E4/D4, "")</f>
        <v>-2.4382477142591986E-2</v>
      </c>
      <c r="G4" s="14">
        <f>SUM('1st Qtr'!G4, '2nd Qtr'!G4, '3rd Qtr'!G4, '4th Qtr'!G4)</f>
        <v>420655.77</v>
      </c>
      <c r="H4" s="14">
        <f>SUM('1st Qtr'!H4, '2nd Qtr'!H4, '3rd Qtr'!H4, '4th Qtr'!H4)</f>
        <v>345.75710556509875</v>
      </c>
      <c r="I4" s="15">
        <f>IFERROR(H4/G4, "")</f>
        <v>8.2194784958042712E-4</v>
      </c>
    </row>
    <row r="5" spans="1:9" ht="15.75" x14ac:dyDescent="0.35">
      <c r="A5" s="52" t="str">
        <v>Auburn - Leicester Street Solar</v>
      </c>
      <c r="B5" s="29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SUM('1st Qtr'!G5, '2nd Qtr'!G5, '3rd Qtr'!G5, '4th Qtr'!G5)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75" x14ac:dyDescent="0.35">
      <c r="A6" s="53" t="str">
        <v>Rochester - Old Middleboro</v>
      </c>
      <c r="B6" s="27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SUM('1st Qtr'!G6, '2nd Qtr'!G6, '3rd Qtr'!G6, '4th Qtr'!G6)</f>
        <v>3836948.58</v>
      </c>
      <c r="H6" s="14">
        <f>SUM(Jan!H6, Feb!H6, Mar!H6)</f>
        <v>585028.85200000007</v>
      </c>
      <c r="I6" s="15">
        <f t="shared" ref="I6:I8" si="2">IFERROR(H6/G6, "")</f>
        <v>0.15247242432422695</v>
      </c>
    </row>
    <row r="7" spans="1:9" ht="15.75" x14ac:dyDescent="0.35">
      <c r="A7" s="52" t="str">
        <v>Dover - Littleworth Road</v>
      </c>
      <c r="B7" s="29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SUM('1st Qtr'!G7, '2nd Qtr'!G7, '3rd Qtr'!G7, '4th Qtr'!G7)</f>
        <v>0</v>
      </c>
      <c r="H7" s="19">
        <f>SUM(Jan!H7, Feb!H7, Mar!H7)</f>
        <v>76761</v>
      </c>
      <c r="I7" s="18" t="str">
        <f t="shared" si="2"/>
        <v/>
      </c>
    </row>
    <row r="8" spans="1:9" ht="15.75" x14ac:dyDescent="0.35">
      <c r="A8" s="53" t="str">
        <v>Milton - Landfill</v>
      </c>
      <c r="B8" s="27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SUM('1st Qtr'!G8, '2nd Qtr'!G8, '3rd Qtr'!G8, '4th Qtr'!G8)</f>
        <v>0</v>
      </c>
      <c r="H8" s="14">
        <f>SUM(Jan!H8, Feb!H8, Mar!H8)</f>
        <v>231101</v>
      </c>
      <c r="I8" s="15" t="str">
        <f t="shared" si="2"/>
        <v/>
      </c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 x14ac:dyDescent="0.4">
      <c r="A322" s="20"/>
      <c r="B322" s="20"/>
      <c r="C322" s="20"/>
      <c r="D322" s="20"/>
      <c r="E322" s="20"/>
      <c r="F322" s="21"/>
      <c r="G322" s="20"/>
      <c r="H322" s="20"/>
      <c r="I322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G19" sqref="G19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8" t="str" cm="1">
        <f t="array" ref="A1">portfolio</f>
        <v>Agilitas Energy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 x14ac:dyDescent="0.35">
      <c r="A2" s="60" t="s">
        <v>2</v>
      </c>
      <c r="B2" s="60"/>
      <c r="C2" s="5">
        <f>SUM(C4:C80)</f>
        <v>4081355.2196509624</v>
      </c>
      <c r="D2" s="5">
        <f>SUM(D4:D80)</f>
        <v>3449243.358</v>
      </c>
      <c r="E2" s="5">
        <f>C2-D2</f>
        <v>632111.86165096238</v>
      </c>
      <c r="F2" s="6">
        <f>IFERROR(E2/D2, 0)</f>
        <v>0.18326102163388217</v>
      </c>
      <c r="G2" s="5">
        <f>SUM(G4:G80)</f>
        <v>1712996.49</v>
      </c>
      <c r="H2" s="7">
        <f>C2-G2</f>
        <v>2368358.7296509622</v>
      </c>
      <c r="I2" s="6">
        <f>IFERROR(H2/G2, 0)</f>
        <v>1.3825823599037044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 x14ac:dyDescent="0.3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SUM(Jan!C4, Feb!C4, Mar!C4)</f>
        <v>157177.24098429648</v>
      </c>
      <c r="D4" s="12">
        <f>SUM(Jan!D4, Feb!D4, Mar!D4)</f>
        <v>165536.81700000001</v>
      </c>
      <c r="E4" s="12">
        <f>IF(AND(ISNUMBER(C4),ISNUMBER(D4)), C4-D4, "")</f>
        <v>-8359.5760157035256</v>
      </c>
      <c r="F4" s="13">
        <f>IFERROR(E4/D4, "")</f>
        <v>-5.0499799181855265E-2</v>
      </c>
      <c r="G4" s="14">
        <f>SUM(Jan!G4, Feb!G4, Mar!G4)</f>
        <v>163392.03</v>
      </c>
      <c r="H4" s="14">
        <f>SUM(Jan!H4, Feb!H4, Mar!H4)</f>
        <v>-6214.7890157034926</v>
      </c>
      <c r="I4" s="15">
        <f>IFERROR(H4/G4, "")</f>
        <v>-3.8036059749692153E-2</v>
      </c>
    </row>
    <row r="5" spans="1:9" ht="15.75" x14ac:dyDescent="0.35">
      <c r="A5" s="49" t="str">
        <v>Auburn - Leicester Street Solar</v>
      </c>
      <c r="B5" s="10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SUM(Jan!G5, Feb!G5, Mar!G5)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75" x14ac:dyDescent="0.35">
      <c r="A6" s="48" t="str">
        <v>Rochester - Old Middleboro</v>
      </c>
      <c r="B6" s="9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SUM(Jan!G6, Feb!G6, Mar!G6)</f>
        <v>1549604.46</v>
      </c>
      <c r="H6" s="14">
        <f>SUM(Jan!H6, Feb!H6, Mar!H6)</f>
        <v>585028.85200000007</v>
      </c>
      <c r="I6" s="15">
        <f t="shared" ref="I6:I8" si="2">IFERROR(H6/G6, "")</f>
        <v>0.37753431091699369</v>
      </c>
    </row>
    <row r="7" spans="1:9" ht="15.75" x14ac:dyDescent="0.35">
      <c r="A7" s="49" t="str">
        <v>Dover - Littleworth Road</v>
      </c>
      <c r="B7" s="10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SUM(Jan!G7, Feb!G7, Mar!G7)</f>
        <v>0</v>
      </c>
      <c r="H7" s="19">
        <f>SUM(Jan!H7, Feb!H7, Mar!H7)</f>
        <v>76761</v>
      </c>
      <c r="I7" s="18" t="str">
        <f t="shared" si="2"/>
        <v/>
      </c>
    </row>
    <row r="8" spans="1:9" ht="15.75" x14ac:dyDescent="0.35">
      <c r="A8" s="48" t="str">
        <v>Milton - Landfill</v>
      </c>
      <c r="B8" s="9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SUM(Jan!G8, Feb!G8, Mar!G8)</f>
        <v>0</v>
      </c>
      <c r="H8" s="14">
        <f>SUM(Jan!H8, Feb!H8, Mar!H8)</f>
        <v>231101</v>
      </c>
      <c r="I8" s="15" t="str">
        <f t="shared" si="2"/>
        <v/>
      </c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 x14ac:dyDescent="0.4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G5" sqref="G5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8" t="str" cm="1">
        <f t="array" ref="A1">portfolio</f>
        <v>Agilitas Energy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 x14ac:dyDescent="0.35">
      <c r="A2" s="60" t="s">
        <v>2</v>
      </c>
      <c r="B2" s="60"/>
      <c r="C2" s="5">
        <f>SUM(C4:C80)</f>
        <v>7162125.6251099482</v>
      </c>
      <c r="D2" s="5">
        <f>SUM(D4:D80)</f>
        <v>6142431.2199999997</v>
      </c>
      <c r="E2" s="5">
        <f>C2-D2</f>
        <v>1019694.4051099485</v>
      </c>
      <c r="F2" s="6">
        <f>IFERROR(E2/D2, 0)</f>
        <v>0.16600827401856499</v>
      </c>
      <c r="G2" s="5">
        <f>SUM(G4:G80)</f>
        <v>2544607.8600000003</v>
      </c>
      <c r="H2" s="7">
        <f>C2-G2</f>
        <v>4617517.7651099479</v>
      </c>
      <c r="I2" s="6">
        <f>IFERROR(H2/G2, 0)</f>
        <v>1.8146284296669379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 x14ac:dyDescent="0.3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SUM(Apr!C4, May!C4, Jun!C4)</f>
        <v>265030.19762126857</v>
      </c>
      <c r="D4" s="12">
        <f>SUM(Apr!D4, May!D4, Jun!D4)</f>
        <v>268035.71999999997</v>
      </c>
      <c r="E4" s="12">
        <f>IF(AND(ISNUMBER(C4),ISNUMBER(D4)), C4-D4, "")</f>
        <v>-3005.5223787314026</v>
      </c>
      <c r="F4" s="13">
        <f>IFERROR(E4/D4, "")</f>
        <v>-1.121314121390762E-2</v>
      </c>
      <c r="G4" s="14">
        <f>SUM(Apr!G4+May!G4+Jun!G4)</f>
        <v>257263.74</v>
      </c>
      <c r="H4" s="14">
        <f>SUM(Apr!H4, May!H4, Jun!H4)</f>
        <v>7766.4576212685934</v>
      </c>
      <c r="I4" s="15">
        <f>IFERROR(H4/G4, "")</f>
        <v>3.0188699041958238E-2</v>
      </c>
    </row>
    <row r="5" spans="1:9" ht="15.75" x14ac:dyDescent="0.35">
      <c r="A5" s="49" t="str">
        <v>Auburn - Leicester Street Solar</v>
      </c>
      <c r="B5" s="10" t="str">
        <v>MA</v>
      </c>
      <c r="C5" s="11">
        <f>SUM(Apr!C5, May!C5, Jun!C5)</f>
        <v>2706720</v>
      </c>
      <c r="D5" s="17">
        <f>SUM(Apr!D5, May!D5, Jun!D5)</f>
        <v>2809460.8</v>
      </c>
      <c r="E5" s="17">
        <f t="shared" ref="E5:E8" si="0">IF(AND(ISNUMBER(C5),ISNUMBER(D5)), C5-D5, "")</f>
        <v>-102740.79999999981</v>
      </c>
      <c r="F5" s="18">
        <f>IFERROR(E5/D5, "")</f>
        <v>-3.6569579472331422E-2</v>
      </c>
      <c r="G5" s="19">
        <f>SUM(Apr!G5+May!G5+Jun!G5)</f>
        <v>0</v>
      </c>
      <c r="H5" s="19">
        <f>SUM(Apr!H5, May!H5, Jun!H5)</f>
        <v>2706720</v>
      </c>
      <c r="I5" s="18" t="str">
        <f>IFERROR(H5/G5, "")</f>
        <v/>
      </c>
    </row>
    <row r="6" spans="1:9" ht="15.75" x14ac:dyDescent="0.35">
      <c r="A6" s="48" t="str">
        <v>Rochester - Old Middleboro</v>
      </c>
      <c r="B6" s="9" t="str">
        <v>MA</v>
      </c>
      <c r="C6" s="23">
        <f>SUM(Apr!C6, May!C6, Jun!C6)</f>
        <v>3706056.42748868</v>
      </c>
      <c r="D6" s="12">
        <f>SUM(Apr!D6, May!D6, Jun!D6)</f>
        <v>3064934.7</v>
      </c>
      <c r="E6" s="12">
        <f t="shared" si="0"/>
        <v>641121.72748867981</v>
      </c>
      <c r="F6" s="13">
        <f t="shared" ref="F6:F8" si="1">IFERROR(E6/D6, "")</f>
        <v>0.20917957158717926</v>
      </c>
      <c r="G6" s="14">
        <f>SUM(Apr!G6+May!G6+Jun!G6)</f>
        <v>2287344.12</v>
      </c>
      <c r="H6" s="14">
        <f>SUM(Apr!H6, May!H6, Jun!H6)</f>
        <v>1418712.3074886799</v>
      </c>
      <c r="I6" s="15">
        <f t="shared" ref="I6:I8" si="2">IFERROR(H6/G6, "")</f>
        <v>0.62024436772927716</v>
      </c>
    </row>
    <row r="7" spans="1:9" ht="15.75" x14ac:dyDescent="0.35">
      <c r="A7" s="49" t="str">
        <v>Dover - Littleworth Road</v>
      </c>
      <c r="B7" s="10" t="str">
        <v>NH</v>
      </c>
      <c r="C7" s="11">
        <f>SUM(Apr!C7, May!C7, Jun!C7)</f>
        <v>128040</v>
      </c>
      <c r="D7" s="17">
        <f>SUM(Apr!D7, May!D7, Jun!D7)</f>
        <v>0</v>
      </c>
      <c r="E7" s="17">
        <f t="shared" si="0"/>
        <v>128040</v>
      </c>
      <c r="F7" s="18" t="str">
        <f t="shared" si="1"/>
        <v/>
      </c>
      <c r="G7" s="19">
        <f>SUM(Apr!G7+May!G7+Jun!G7)</f>
        <v>0</v>
      </c>
      <c r="H7" s="19">
        <f>SUM(Apr!H7, May!H7, Jun!H7)</f>
        <v>128040</v>
      </c>
      <c r="I7" s="18" t="str">
        <f t="shared" si="2"/>
        <v/>
      </c>
    </row>
    <row r="8" spans="1:9" ht="15.75" x14ac:dyDescent="0.35">
      <c r="A8" s="48" t="str">
        <v>Milton - Landfill</v>
      </c>
      <c r="B8" s="9" t="str">
        <v>NH</v>
      </c>
      <c r="C8" s="23">
        <f>SUM(Apr!C8, May!C8, Jun!C8)</f>
        <v>356279</v>
      </c>
      <c r="D8" s="12">
        <f>SUM(Apr!D8, May!D8, Jun!D8)</f>
        <v>0</v>
      </c>
      <c r="E8" s="12">
        <f t="shared" si="0"/>
        <v>356279</v>
      </c>
      <c r="F8" s="13" t="str">
        <f t="shared" si="1"/>
        <v/>
      </c>
      <c r="G8" s="14">
        <f>SUM(Apr!G8+May!G8+Jun!G8)</f>
        <v>0</v>
      </c>
      <c r="H8" s="14">
        <f>SUM(Apr!H8, May!H8, Jun!H8)</f>
        <v>356279</v>
      </c>
      <c r="I8" s="15" t="str">
        <f t="shared" si="2"/>
        <v/>
      </c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 x14ac:dyDescent="0.4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8" t="str" cm="1">
        <f t="array" ref="A1">portfolio</f>
        <v>Agilitas Energy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 x14ac:dyDescent="0.35">
      <c r="A2" s="60" t="s">
        <v>2</v>
      </c>
      <c r="B2" s="60"/>
      <c r="C2" s="5">
        <f>SUM(C4:C80)</f>
        <v>4571092.0254327599</v>
      </c>
      <c r="D2" s="5">
        <f>SUM(D4:D80)</f>
        <v>13530905.59</v>
      </c>
      <c r="E2" s="5">
        <f>C2-D2</f>
        <v>-8959813.56456724</v>
      </c>
      <c r="F2" s="6">
        <f>IFERROR(E2/D2, 0)</f>
        <v>-0.66217397682450607</v>
      </c>
      <c r="G2" s="5">
        <f>SUM(G4:G80)</f>
        <v>0</v>
      </c>
      <c r="H2" s="7">
        <f>C2-G2</f>
        <v>4571092.0254327599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 x14ac:dyDescent="0.3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SUM(Jul!C4, Aug!C4, Sep!C4)</f>
        <v>180225.30849999998</v>
      </c>
      <c r="D4" s="12">
        <f>SUM(Jul!D4, Aug!D4, Sep!D4)</f>
        <v>183916.11300000001</v>
      </c>
      <c r="E4" s="12">
        <f>IF(AND(ISNUMBER(C4),ISNUMBER(D4)), C4-D4, "")</f>
        <v>-3690.8045000000275</v>
      </c>
      <c r="F4" s="13">
        <f>IFERROR(E4/D4, "")</f>
        <v>-2.0067869202955738E-2</v>
      </c>
      <c r="G4" s="14"/>
      <c r="H4" s="14">
        <f>SUM(Jul!H4, Aug!H4, Sep!H4)</f>
        <v>-1205.911500000002</v>
      </c>
      <c r="I4" s="15" t="str">
        <f>IFERROR(H4/G4, "")</f>
        <v/>
      </c>
    </row>
    <row r="5" spans="1:9" ht="15.75" x14ac:dyDescent="0.35">
      <c r="A5" s="49" t="str">
        <v>Auburn - Leicester Street Solar</v>
      </c>
      <c r="B5" s="10" t="str">
        <v>MA</v>
      </c>
      <c r="C5" s="11">
        <f>SUM(Jul!C5, Aug!C5, Sep!C5)</f>
        <v>1869887.4</v>
      </c>
      <c r="D5" s="17">
        <f>SUM(Jul!D5, Aug!D5, Sep!D5)</f>
        <v>1956515.202</v>
      </c>
      <c r="E5" s="17">
        <f t="shared" ref="E5:E8" si="0">IF(AND(ISNUMBER(C5),ISNUMBER(D5)), C5-D5, "")</f>
        <v>-86627.802000000142</v>
      </c>
      <c r="F5" s="18">
        <f>IFERROR(E5/D5, "")</f>
        <v>-4.4276580070242738E-2</v>
      </c>
      <c r="G5" s="19"/>
      <c r="H5" s="19">
        <f>SUM(Jul!H5, Aug!H5, Sep!H5)</f>
        <v>1869887.4</v>
      </c>
      <c r="I5" s="18" t="str">
        <f>IFERROR(H5/G5, "")</f>
        <v/>
      </c>
    </row>
    <row r="6" spans="1:9" ht="15.75" x14ac:dyDescent="0.35">
      <c r="A6" s="48" t="str">
        <v>Rochester - Old Middleboro</v>
      </c>
      <c r="B6" s="9" t="str">
        <v>MA</v>
      </c>
      <c r="C6" s="23">
        <f>SUM(Jul!C6, Aug!C6, Sep!C6)</f>
        <v>2171986.3169327602</v>
      </c>
      <c r="D6" s="12">
        <f>SUM(Jul!D6, Aug!D6, Sep!D6)</f>
        <v>11390474.275</v>
      </c>
      <c r="E6" s="12">
        <f t="shared" si="0"/>
        <v>-9218487.9580672402</v>
      </c>
      <c r="F6" s="13">
        <f t="shared" ref="F6:F8" si="1">IFERROR(E6/D6, "")</f>
        <v>-0.80931555047713233</v>
      </c>
      <c r="G6" s="14"/>
      <c r="H6" s="14">
        <f>SUM(Jul!H6, Aug!H6, Sep!H6)</f>
        <v>597959.97693275986</v>
      </c>
      <c r="I6" s="15" t="str">
        <f t="shared" ref="I6:I8" si="2">IFERROR(H6/G6, "")</f>
        <v/>
      </c>
    </row>
    <row r="7" spans="1:9" ht="15.75" x14ac:dyDescent="0.35">
      <c r="A7" s="49" t="str">
        <v>Dover - Littleworth Road</v>
      </c>
      <c r="B7" s="10" t="str">
        <v>NH</v>
      </c>
      <c r="C7" s="11">
        <f>SUM(Jul!C7, Aug!C7, Sep!C7)</f>
        <v>87548</v>
      </c>
      <c r="D7" s="17">
        <f>SUM(Jul!D7, Aug!D7, Sep!D7)</f>
        <v>0</v>
      </c>
      <c r="E7" s="17">
        <f t="shared" si="0"/>
        <v>87548</v>
      </c>
      <c r="F7" s="18" t="str">
        <f t="shared" si="1"/>
        <v/>
      </c>
      <c r="G7" s="19"/>
      <c r="H7" s="19">
        <f>SUM(Jul!H7, Aug!H7, Sep!H7)</f>
        <v>87548</v>
      </c>
      <c r="I7" s="18" t="str">
        <f t="shared" si="2"/>
        <v/>
      </c>
    </row>
    <row r="8" spans="1:9" ht="15.75" x14ac:dyDescent="0.35">
      <c r="A8" s="48" t="str">
        <v>Milton - Landfill</v>
      </c>
      <c r="B8" s="9" t="str">
        <v>NH</v>
      </c>
      <c r="C8" s="23">
        <f>SUM(Jul!C8, Aug!C8, Sep!C8)</f>
        <v>261445</v>
      </c>
      <c r="D8" s="12">
        <f>SUM(Jul!D8, Aug!D8, Sep!D8)</f>
        <v>0</v>
      </c>
      <c r="E8" s="12">
        <f t="shared" si="0"/>
        <v>261445</v>
      </c>
      <c r="F8" s="13" t="str">
        <f t="shared" si="1"/>
        <v/>
      </c>
      <c r="G8" s="14"/>
      <c r="H8" s="14">
        <f>SUM(Jul!H8, Aug!H8, Sep!H8)</f>
        <v>261445</v>
      </c>
      <c r="I8" s="15" t="str">
        <f t="shared" si="2"/>
        <v/>
      </c>
    </row>
    <row r="9" spans="1:9" ht="15.75" x14ac:dyDescent="0.4">
      <c r="A9" s="16"/>
      <c r="B9" s="20"/>
      <c r="C9" s="20"/>
      <c r="D9" s="20"/>
      <c r="E9" s="20"/>
      <c r="F9" s="20"/>
      <c r="G9" s="20"/>
      <c r="H9" s="20"/>
      <c r="I9" s="20"/>
    </row>
    <row r="10" spans="1:9" ht="15.75" x14ac:dyDescent="0.4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5.75" x14ac:dyDescent="0.4">
      <c r="A11" s="16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 x14ac:dyDescent="0.4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8" t="str" cm="1">
        <f t="array" ref="A1">portfolio</f>
        <v>Agilitas Energy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 x14ac:dyDescent="0.35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 x14ac:dyDescent="0.3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 x14ac:dyDescent="0.35">
      <c r="A5" s="49" t="str">
        <v>Auburn - Leicester Street Solar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.75" x14ac:dyDescent="0.35">
      <c r="A6" s="48" t="str">
        <v>Rochester - Old Middleboro</v>
      </c>
      <c r="B6" s="9" t="str">
        <v>MA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SUM(Oct!H6, Nov!H6, Dec!H6)</f>
        <v>0</v>
      </c>
      <c r="I6" s="15" t="str">
        <f t="shared" ref="I6:I8" si="2">IFERROR(H6/G6, "")</f>
        <v/>
      </c>
    </row>
    <row r="7" spans="1:9" ht="15.75" x14ac:dyDescent="0.35">
      <c r="A7" s="49" t="str">
        <v>Dover - Littleworth Road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9"/>
      <c r="H7" s="19">
        <f>SUM(Oct!H7, Nov!H7, Dec!H7)</f>
        <v>0</v>
      </c>
      <c r="I7" s="18" t="str">
        <f t="shared" si="2"/>
        <v/>
      </c>
    </row>
    <row r="8" spans="1:9" ht="15.75" x14ac:dyDescent="0.35">
      <c r="A8" s="48" t="str">
        <v>Milton - Landfill</v>
      </c>
      <c r="B8" s="9" t="str">
        <v>NH</v>
      </c>
      <c r="C8" s="23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/>
      <c r="H8" s="14">
        <f>SUM(Oct!H8, Nov!H8, Dec!H8)</f>
        <v>0</v>
      </c>
      <c r="I8" s="15" t="str">
        <f t="shared" si="2"/>
        <v/>
      </c>
    </row>
    <row r="9" spans="1:9" ht="14.25" x14ac:dyDescent="0.4">
      <c r="A9" s="20"/>
      <c r="B9" s="10"/>
      <c r="C9" s="45"/>
      <c r="D9" s="17"/>
      <c r="E9" s="17"/>
      <c r="F9" s="18"/>
      <c r="G9" s="19"/>
      <c r="H9" s="19"/>
      <c r="I9" s="18"/>
    </row>
    <row r="10" spans="1:9" ht="14.25" x14ac:dyDescent="0.4">
      <c r="A10" s="20"/>
      <c r="B10" s="10"/>
      <c r="C10" s="45"/>
      <c r="D10" s="17"/>
      <c r="E10" s="17"/>
      <c r="F10" s="18"/>
      <c r="G10" s="19"/>
      <c r="H10" s="19"/>
      <c r="I10" s="18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 x14ac:dyDescent="0.4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F29" sqref="F29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SUM(C4:C79)</f>
        <v>643797.64335669298</v>
      </c>
      <c r="D2" s="5">
        <f>SUM(D4:D79)</f>
        <v>502858.5</v>
      </c>
      <c r="E2" s="5">
        <f>C2-D2</f>
        <v>140939.14335669298</v>
      </c>
      <c r="F2" s="6">
        <f>IFERROR(E2/D2, 0)</f>
        <v>0.28027594911231085</v>
      </c>
      <c r="G2" s="5">
        <f>SUM(G4:G79)</f>
        <v>459223.17</v>
      </c>
      <c r="H2" s="7">
        <f>C2-G2</f>
        <v>184574.47335669299</v>
      </c>
      <c r="I2" s="6">
        <f>IFERROR(H2/G2, 0)</f>
        <v>0.40192761475143557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 x14ac:dyDescent="0.5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12">
        <v>23660.310023359001</v>
      </c>
      <c r="D4" s="12">
        <v>29500.5</v>
      </c>
      <c r="E4" s="12">
        <f>IF(AND(ISNUMBER(C4),ISNUMBER(D4)), C4-D4, "")</f>
        <v>-5840.1899766409988</v>
      </c>
      <c r="F4" s="44">
        <f>IFERROR(E4/D4, "")</f>
        <v>-0.1979691861711157</v>
      </c>
      <c r="G4" s="14">
        <v>37551.17</v>
      </c>
      <c r="H4" s="14">
        <f>IF(AND(ISNUMBER(C4),ISNUMBER(G4)), C4-G4, "")</f>
        <v>-13890.859976640997</v>
      </c>
      <c r="I4" s="15">
        <f>IFERROR(H4/G4, "")</f>
        <v>-0.36991816704089375</v>
      </c>
      <c r="J4" s="40" t="s">
        <v>22</v>
      </c>
      <c r="K4" s="40" t="s">
        <v>22</v>
      </c>
    </row>
    <row r="5" spans="1:11" ht="42.75" x14ac:dyDescent="0.35">
      <c r="A5" s="52" t="str">
        <v>Auburn - Leicester Street Solar</v>
      </c>
      <c r="B5" s="30" t="str">
        <v>MA</v>
      </c>
      <c r="C5" s="17">
        <v>172284.33333333401</v>
      </c>
      <c r="D5" s="17">
        <v>0</v>
      </c>
      <c r="E5" s="17">
        <f t="shared" ref="E5:E8" si="0">IF(AND(ISNUMBER(C5),ISNUMBER(D5)), C5-D5, "")</f>
        <v>172284.33333333401</v>
      </c>
      <c r="F5" s="44" t="str">
        <f t="shared" ref="F5:F8" si="1">IFERROR(E5/D5, "")</f>
        <v/>
      </c>
      <c r="G5" s="19">
        <v>0</v>
      </c>
      <c r="H5" s="19">
        <f t="shared" ref="H5:H6" si="2">IF(AND(ISNUMBER(C5),ISNUMBER(G5)), C5-G5, "")</f>
        <v>172284.33333333401</v>
      </c>
      <c r="I5" s="18" t="str">
        <f t="shared" ref="I5:I6" si="3">IFERROR(H5/G5, "")</f>
        <v/>
      </c>
      <c r="J5" s="41" t="s">
        <v>23</v>
      </c>
      <c r="K5" s="41" t="s">
        <v>24</v>
      </c>
    </row>
    <row r="6" spans="1:11" ht="28.5" x14ac:dyDescent="0.35">
      <c r="A6" s="53" t="str">
        <v>Rochester - Old Middleboro</v>
      </c>
      <c r="B6" s="28" t="str">
        <v>MA</v>
      </c>
      <c r="C6" s="12">
        <v>406951</v>
      </c>
      <c r="D6" s="12">
        <v>473358</v>
      </c>
      <c r="E6" s="12">
        <f t="shared" si="0"/>
        <v>-66407</v>
      </c>
      <c r="F6" s="44">
        <f t="shared" si="1"/>
        <v>-0.14028916802927172</v>
      </c>
      <c r="G6" s="14">
        <v>421672</v>
      </c>
      <c r="H6" s="14">
        <f t="shared" si="2"/>
        <v>-14721</v>
      </c>
      <c r="I6" s="15">
        <f t="shared" si="3"/>
        <v>-3.4911020888273352E-2</v>
      </c>
      <c r="J6" s="40" t="s">
        <v>25</v>
      </c>
      <c r="K6" s="40" t="s">
        <v>26</v>
      </c>
    </row>
    <row r="7" spans="1:11" ht="15.75" x14ac:dyDescent="0.35">
      <c r="A7" s="52" t="str">
        <v>Dover - Littleworth Road</v>
      </c>
      <c r="B7" s="30" t="str">
        <v>NH</v>
      </c>
      <c r="C7" s="17">
        <v>10197</v>
      </c>
      <c r="D7" s="17">
        <v>0</v>
      </c>
      <c r="E7" s="17">
        <f t="shared" si="0"/>
        <v>10197</v>
      </c>
      <c r="F7" s="44" t="str">
        <f t="shared" si="1"/>
        <v/>
      </c>
      <c r="G7" s="19">
        <v>0</v>
      </c>
      <c r="H7" s="19">
        <f t="shared" ref="H7:H8" si="4">IF(AND(ISNUMBER(C7),ISNUMBER(G7)), C7-G7, "")</f>
        <v>10197</v>
      </c>
      <c r="I7" s="18" t="str">
        <f t="shared" ref="I7:I8" si="5">IFERROR(H7/G7, "")</f>
        <v/>
      </c>
      <c r="J7" s="41" t="s">
        <v>22</v>
      </c>
      <c r="K7" s="41" t="s">
        <v>22</v>
      </c>
    </row>
    <row r="8" spans="1:11" ht="15.75" x14ac:dyDescent="0.35">
      <c r="A8" s="53" t="str">
        <v>Milton - Landfill</v>
      </c>
      <c r="B8" s="28" t="str">
        <v>NH</v>
      </c>
      <c r="C8" s="12">
        <v>30705</v>
      </c>
      <c r="D8" s="12">
        <v>0</v>
      </c>
      <c r="E8" s="12">
        <f t="shared" si="0"/>
        <v>30705</v>
      </c>
      <c r="F8" s="44" t="str">
        <f t="shared" si="1"/>
        <v/>
      </c>
      <c r="G8" s="14">
        <v>0</v>
      </c>
      <c r="H8" s="14">
        <f t="shared" si="4"/>
        <v>30705</v>
      </c>
      <c r="I8" s="15" t="str">
        <f t="shared" si="5"/>
        <v/>
      </c>
      <c r="J8" s="40" t="s">
        <v>22</v>
      </c>
      <c r="K8" s="40" t="s">
        <v>22</v>
      </c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D1:F1"/>
    <mergeCell ref="A1:C1"/>
    <mergeCell ref="G1:I1"/>
    <mergeCell ref="A2:B2"/>
  </mergeCells>
  <conditionalFormatting sqref="F2 I2 I4:I79 F9:F79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C7" sqref="C7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27</v>
      </c>
      <c r="E1" s="59"/>
      <c r="F1" s="59"/>
      <c r="G1" s="57" t="s">
        <v>28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SUM(C4:C80)</f>
        <v>1572309.9732942695</v>
      </c>
      <c r="D2" s="5">
        <f>SUM(D4:D80)</f>
        <v>1222939.1599999999</v>
      </c>
      <c r="E2" s="5">
        <f>C2-D2</f>
        <v>349370.81329426961</v>
      </c>
      <c r="F2" s="6">
        <f>IFERROR(E2/D2, 0)</f>
        <v>0.28568127076270061</v>
      </c>
      <c r="G2" s="5">
        <f>SUM(G4:G80)</f>
        <v>544279.55999999994</v>
      </c>
      <c r="H2" s="7">
        <f>C2-G2</f>
        <v>1028030.4132942696</v>
      </c>
      <c r="I2" s="6">
        <f>IFERROR(H2/G2, 0)</f>
        <v>1.8887911449297667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 x14ac:dyDescent="0.5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23">
        <v>65179.6399609375</v>
      </c>
      <c r="D4" s="12">
        <v>66094.16</v>
      </c>
      <c r="E4" s="12">
        <f>IF(AND(ISNUMBER(C4),ISNUMBER(D4)), C4-D4, "")</f>
        <v>-914.5200390625032</v>
      </c>
      <c r="F4" s="13">
        <f>IFERROR(E4/D4, "")</f>
        <v>-1.3836623978011116E-2</v>
      </c>
      <c r="G4" s="14">
        <v>53397.96</v>
      </c>
      <c r="H4" s="14">
        <f>IF(AND(ISNUMBER(C4),ISNUMBER(G4)), C4-G4, "")</f>
        <v>11781.679960937501</v>
      </c>
      <c r="I4" s="15">
        <f>IFERROR(H4/G4, "")</f>
        <v>0.22063913978993768</v>
      </c>
      <c r="J4" s="40"/>
      <c r="K4" s="40"/>
    </row>
    <row r="5" spans="1:11" ht="15.75" x14ac:dyDescent="0.35">
      <c r="A5" s="52" t="str">
        <v>Auburn - Leicester Street Solar</v>
      </c>
      <c r="B5" s="30" t="str">
        <v>MA</v>
      </c>
      <c r="C5" s="11">
        <v>610539.33333333198</v>
      </c>
      <c r="D5" s="17">
        <v>467792.3</v>
      </c>
      <c r="E5" s="17">
        <f t="shared" ref="E5:E8" si="0">IF(AND(ISNUMBER(C5),ISNUMBER(D5)), C5-D5, "")</f>
        <v>142747.03333333199</v>
      </c>
      <c r="F5" s="13">
        <f t="shared" ref="F5:F8" si="1">IFERROR(E5/D5, "")</f>
        <v>0.30515045530533957</v>
      </c>
      <c r="G5" s="19">
        <v>0</v>
      </c>
      <c r="H5" s="19">
        <f t="shared" ref="H5:H8" si="2">IF(AND(ISNUMBER(C5),ISNUMBER(G5)), C5-G5, "")</f>
        <v>610539.33333333198</v>
      </c>
      <c r="I5" s="18" t="str">
        <f t="shared" ref="I5:I8" si="3">IFERROR(H5/G5, "")</f>
        <v/>
      </c>
      <c r="J5" s="41"/>
      <c r="K5" s="41"/>
    </row>
    <row r="6" spans="1:11" ht="15.75" x14ac:dyDescent="0.35">
      <c r="A6" s="53" t="str">
        <v>Rochester - Old Middleboro</v>
      </c>
      <c r="B6" s="28" t="str">
        <v>MA</v>
      </c>
      <c r="C6" s="23">
        <v>761805</v>
      </c>
      <c r="D6" s="12">
        <v>689052.7</v>
      </c>
      <c r="E6" s="12">
        <f t="shared" si="0"/>
        <v>72752.300000000047</v>
      </c>
      <c r="F6" s="13">
        <f t="shared" si="1"/>
        <v>0.10558307078689344</v>
      </c>
      <c r="G6" s="14">
        <v>490881.6</v>
      </c>
      <c r="H6" s="14">
        <f t="shared" si="2"/>
        <v>270923.40000000002</v>
      </c>
      <c r="I6" s="15">
        <f t="shared" si="3"/>
        <v>0.55191190706679583</v>
      </c>
      <c r="J6" s="40" t="s">
        <v>29</v>
      </c>
      <c r="K6" s="40" t="s">
        <v>30</v>
      </c>
    </row>
    <row r="7" spans="1:11" ht="15.75" x14ac:dyDescent="0.35">
      <c r="A7" s="52" t="str">
        <v>Dover - Littleworth Road</v>
      </c>
      <c r="B7" s="30" t="str">
        <v>NH</v>
      </c>
      <c r="C7" s="11">
        <v>33324</v>
      </c>
      <c r="D7" s="17">
        <v>0</v>
      </c>
      <c r="E7" s="17">
        <f t="shared" si="0"/>
        <v>33324</v>
      </c>
      <c r="F7" s="13" t="str">
        <f t="shared" si="1"/>
        <v/>
      </c>
      <c r="G7" s="19">
        <v>0</v>
      </c>
      <c r="H7" s="19">
        <f t="shared" si="2"/>
        <v>33324</v>
      </c>
      <c r="I7" s="18" t="str">
        <f t="shared" si="3"/>
        <v/>
      </c>
      <c r="J7" s="41"/>
      <c r="K7" s="42"/>
    </row>
    <row r="8" spans="1:11" ht="15.75" x14ac:dyDescent="0.35">
      <c r="A8" s="53" t="str">
        <v>Milton - Landfill</v>
      </c>
      <c r="B8" s="28" t="str">
        <v>NH</v>
      </c>
      <c r="C8" s="23">
        <v>101462</v>
      </c>
      <c r="D8" s="12">
        <v>0</v>
      </c>
      <c r="E8" s="12">
        <f t="shared" si="0"/>
        <v>101462</v>
      </c>
      <c r="F8" s="13" t="str">
        <f t="shared" si="1"/>
        <v/>
      </c>
      <c r="G8" s="14">
        <v>0</v>
      </c>
      <c r="H8" s="14">
        <f t="shared" si="2"/>
        <v>101462</v>
      </c>
      <c r="I8" s="15" t="str">
        <f t="shared" si="3"/>
        <v/>
      </c>
      <c r="J8" s="40" t="s">
        <v>31</v>
      </c>
      <c r="K8" s="40" t="s">
        <v>32</v>
      </c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 x14ac:dyDescent="0.4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D4" activePane="bottomRight" state="frozen"/>
      <selection pane="topRight" activeCell="F27" sqref="F27"/>
      <selection pane="bottomLeft" activeCell="F27" sqref="F27"/>
      <selection pane="bottomRight" activeCell="D34" sqref="D34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33</v>
      </c>
      <c r="E1" s="59"/>
      <c r="F1" s="59"/>
      <c r="G1" s="57" t="s">
        <v>34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SUM(C4:C80)</f>
        <v>1865247.6030000001</v>
      </c>
      <c r="D2" s="5">
        <f>SUM(D4:D80)</f>
        <v>1723445.6979999999</v>
      </c>
      <c r="E2" s="5">
        <f>C2-D2</f>
        <v>141801.90500000026</v>
      </c>
      <c r="F2" s="6">
        <f>IFERROR(E2/D2, 0)</f>
        <v>8.2278139174652584E-2</v>
      </c>
      <c r="G2" s="5">
        <f>SUM(G4:G80)</f>
        <v>709493.76000000001</v>
      </c>
      <c r="H2" s="7">
        <f>C2-G2</f>
        <v>1155753.8430000001</v>
      </c>
      <c r="I2" s="6">
        <f>IFERROR(H2/G2, 0)</f>
        <v>1.6289838024791086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 x14ac:dyDescent="0.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68337.290999999997</v>
      </c>
      <c r="D4" s="12">
        <v>69942.157000000007</v>
      </c>
      <c r="E4" s="12">
        <f>IF(AND(ISNUMBER(C4),ISNUMBER(D4)), C4-D4, "")</f>
        <v>-1604.8660000000091</v>
      </c>
      <c r="F4" s="13">
        <f>IFERROR(E4/D4, "")</f>
        <v>-2.2945617762403423E-2</v>
      </c>
      <c r="G4" s="14">
        <v>72442.899999999994</v>
      </c>
      <c r="H4" s="14">
        <f>IF(AND(ISNUMBER(C4),ISNUMBER(G4)), C4-G4, "")</f>
        <v>-4105.6089999999967</v>
      </c>
      <c r="I4" s="15">
        <f>IFERROR(H4/G4, "")</f>
        <v>-5.6673725099354075E-2</v>
      </c>
      <c r="J4" s="40"/>
      <c r="K4" s="40"/>
    </row>
    <row r="5" spans="1:11" ht="42.75" x14ac:dyDescent="0.45">
      <c r="A5" s="29" t="str">
        <v>Auburn - Leicester Street Solar</v>
      </c>
      <c r="B5" s="30" t="str">
        <v>MA</v>
      </c>
      <c r="C5" s="11">
        <v>698859</v>
      </c>
      <c r="D5" s="17">
        <v>855536.28700000001</v>
      </c>
      <c r="E5" s="17">
        <f t="shared" ref="E5:E8" si="0">IF(AND(ISNUMBER(C5),ISNUMBER(D5)), C5-D5, "")</f>
        <v>-156677.28700000001</v>
      </c>
      <c r="F5" s="18">
        <f>IFERROR(E5/D5, "")</f>
        <v>-0.18313342096733298</v>
      </c>
      <c r="G5" s="19">
        <v>0</v>
      </c>
      <c r="H5" s="19">
        <f t="shared" ref="H5:H8" si="1">IF(AND(ISNUMBER(C5),ISNUMBER(G5)), C5-G5, "")</f>
        <v>698859</v>
      </c>
      <c r="I5" s="18" t="str">
        <f t="shared" ref="I5:I8" si="2">IFERROR(H5/G5, "")</f>
        <v/>
      </c>
      <c r="J5" s="55" t="s">
        <v>35</v>
      </c>
      <c r="K5" s="54" t="s">
        <v>36</v>
      </c>
    </row>
    <row r="6" spans="1:11" ht="15.75" x14ac:dyDescent="0.35">
      <c r="A6" s="27" t="str">
        <v>Rochester - Old Middleboro</v>
      </c>
      <c r="B6" s="28" t="str">
        <v>MA</v>
      </c>
      <c r="C6" s="23">
        <v>965877.31200000003</v>
      </c>
      <c r="D6" s="12">
        <v>797967.25399999996</v>
      </c>
      <c r="E6" s="12">
        <f t="shared" si="0"/>
        <v>167910.05800000008</v>
      </c>
      <c r="F6" s="13">
        <f t="shared" ref="F6:F8" si="3">IFERROR(E6/D6, "")</f>
        <v>0.21042224121141703</v>
      </c>
      <c r="G6" s="14">
        <v>637050.86</v>
      </c>
      <c r="H6" s="14">
        <f t="shared" si="1"/>
        <v>328826.45200000005</v>
      </c>
      <c r="I6" s="15">
        <f t="shared" si="2"/>
        <v>0.51616985808637017</v>
      </c>
      <c r="J6" s="40"/>
      <c r="K6" s="40"/>
    </row>
    <row r="7" spans="1:11" ht="15.75" x14ac:dyDescent="0.35">
      <c r="A7" s="29" t="str">
        <v>Dover - Littleworth Road</v>
      </c>
      <c r="B7" s="30" t="str">
        <v>NH</v>
      </c>
      <c r="C7" s="11">
        <v>33240</v>
      </c>
      <c r="D7" s="17">
        <v>0</v>
      </c>
      <c r="E7" s="17">
        <f t="shared" si="0"/>
        <v>33240</v>
      </c>
      <c r="F7" s="18" t="str">
        <f t="shared" si="3"/>
        <v/>
      </c>
      <c r="G7" s="19">
        <v>0</v>
      </c>
      <c r="H7" s="19">
        <f t="shared" si="1"/>
        <v>33240</v>
      </c>
      <c r="I7" s="18" t="str">
        <f t="shared" si="2"/>
        <v/>
      </c>
      <c r="J7" s="41" t="s">
        <v>37</v>
      </c>
      <c r="K7" s="42" t="s">
        <v>38</v>
      </c>
    </row>
    <row r="8" spans="1:11" ht="28.5" x14ac:dyDescent="0.35">
      <c r="A8" s="27" t="str">
        <v>Milton - Landfill</v>
      </c>
      <c r="B8" s="28" t="str">
        <v>NH</v>
      </c>
      <c r="C8" s="23">
        <v>98934</v>
      </c>
      <c r="D8" s="12">
        <v>0</v>
      </c>
      <c r="E8" s="12">
        <f t="shared" si="0"/>
        <v>98934</v>
      </c>
      <c r="F8" s="13" t="str">
        <f t="shared" si="3"/>
        <v/>
      </c>
      <c r="G8" s="14">
        <v>0</v>
      </c>
      <c r="H8" s="14">
        <f t="shared" si="1"/>
        <v>98934</v>
      </c>
      <c r="I8" s="15" t="str">
        <f t="shared" si="2"/>
        <v/>
      </c>
      <c r="J8" s="40" t="s">
        <v>39</v>
      </c>
      <c r="K8" s="40" t="s">
        <v>40</v>
      </c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 x14ac:dyDescent="0.4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J6" sqref="J6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41</v>
      </c>
      <c r="E1" s="59"/>
      <c r="F1" s="59"/>
      <c r="G1" s="57" t="s">
        <v>42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SUM(C4:C80)</f>
        <v>2086903.6251099487</v>
      </c>
      <c r="D2" s="5">
        <f>SUM(D4:D80)</f>
        <v>1814581.2999999998</v>
      </c>
      <c r="E2" s="5">
        <f>C2-D2</f>
        <v>272322.32510994887</v>
      </c>
      <c r="F2" s="6">
        <f>IFERROR(E2/D2, 0)</f>
        <v>0.15007446903037572</v>
      </c>
      <c r="G2" s="5">
        <f>SUM(G4:G80)</f>
        <v>780206.34000000008</v>
      </c>
      <c r="H2" s="7">
        <f>C2-G2</f>
        <v>1306697.2851099486</v>
      </c>
      <c r="I2" s="6">
        <f>IFERROR(H2/G2, 0)</f>
        <v>1.6748098779996436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56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 x14ac:dyDescent="0.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79228.397621268596</v>
      </c>
      <c r="D4" s="12">
        <v>79840.2</v>
      </c>
      <c r="E4" s="12">
        <f>IF(AND(ISNUMBER(C4),ISNUMBER(D4)), C4-D4, "")</f>
        <v>-611.8023787314014</v>
      </c>
      <c r="F4" s="13">
        <f>IFERROR(E4/D4, "")</f>
        <v>-7.6628362495509963E-3</v>
      </c>
      <c r="G4" s="14">
        <v>82261.440000000002</v>
      </c>
      <c r="H4" s="14">
        <f>IF(AND(ISNUMBER(C4),ISNUMBER(G4)), C4-G4, "")</f>
        <v>-3033.0423787314066</v>
      </c>
      <c r="I4" s="15">
        <f>IFERROR(H4/G4, "")</f>
        <v>-3.6870766895539475E-2</v>
      </c>
      <c r="J4" s="40"/>
      <c r="K4" s="40"/>
    </row>
    <row r="5" spans="1:11" ht="15.75" x14ac:dyDescent="0.35">
      <c r="A5" s="29" t="str">
        <v>Auburn - Leicester Street Solar</v>
      </c>
      <c r="B5" s="30" t="str">
        <v>MA</v>
      </c>
      <c r="C5" s="11">
        <v>806444</v>
      </c>
      <c r="D5" s="17">
        <v>847614.4</v>
      </c>
      <c r="E5" s="17">
        <f t="shared" ref="E5:E8" si="0">IF(AND(ISNUMBER(C5),ISNUMBER(D5)), C5-D5, "")</f>
        <v>-41170.400000000023</v>
      </c>
      <c r="F5" s="18">
        <f>IFERROR(E5/D5, "")</f>
        <v>-4.8572086552564495E-2</v>
      </c>
      <c r="G5" s="19">
        <v>0</v>
      </c>
      <c r="H5" s="19">
        <f t="shared" ref="H5:H8" si="1">IF(AND(ISNUMBER(C5),ISNUMBER(G5)), C5-G5, "")</f>
        <v>806444</v>
      </c>
      <c r="I5" s="18" t="str">
        <f t="shared" ref="I5:I8" si="2">IFERROR(H5/G5, "")</f>
        <v/>
      </c>
      <c r="J5" s="41"/>
      <c r="K5" s="41"/>
    </row>
    <row r="6" spans="1:11" ht="85.5" customHeight="1" x14ac:dyDescent="0.35">
      <c r="A6" s="27" t="str">
        <v>Rochester - Old Middleboro</v>
      </c>
      <c r="B6" s="28" t="str">
        <v>MA</v>
      </c>
      <c r="C6" s="23">
        <v>1051496.22748868</v>
      </c>
      <c r="D6" s="12">
        <v>887126.7</v>
      </c>
      <c r="E6" s="12">
        <f t="shared" si="0"/>
        <v>164369.52748868009</v>
      </c>
      <c r="F6" s="13">
        <f t="shared" ref="F6:F8" si="3">IFERROR(E6/D6, "")</f>
        <v>0.1852830350937246</v>
      </c>
      <c r="G6" s="14">
        <v>697944.9</v>
      </c>
      <c r="H6" s="14">
        <f t="shared" si="1"/>
        <v>353551.32748868002</v>
      </c>
      <c r="I6" s="15">
        <f t="shared" si="2"/>
        <v>0.50656051428799032</v>
      </c>
      <c r="J6" s="40" t="s">
        <v>43</v>
      </c>
      <c r="K6" s="40" t="s">
        <v>44</v>
      </c>
    </row>
    <row r="7" spans="1:11" ht="15.75" x14ac:dyDescent="0.35">
      <c r="A7" s="29" t="str">
        <v>Dover - Littleworth Road</v>
      </c>
      <c r="B7" s="30" t="str">
        <v>NH</v>
      </c>
      <c r="C7" s="11">
        <v>39653</v>
      </c>
      <c r="D7" s="17">
        <v>0</v>
      </c>
      <c r="E7" s="17">
        <f t="shared" si="0"/>
        <v>39653</v>
      </c>
      <c r="F7" s="18" t="str">
        <f t="shared" si="3"/>
        <v/>
      </c>
      <c r="G7" s="19">
        <v>0</v>
      </c>
      <c r="H7" s="19">
        <f t="shared" si="1"/>
        <v>39653</v>
      </c>
      <c r="I7" s="18" t="str">
        <f t="shared" si="2"/>
        <v/>
      </c>
      <c r="J7" s="41"/>
      <c r="K7" s="42"/>
    </row>
    <row r="8" spans="1:11" ht="76.5" customHeight="1" x14ac:dyDescent="0.35">
      <c r="A8" s="27" t="str">
        <v>Milton - Landfill</v>
      </c>
      <c r="B8" s="28" t="str">
        <v>NH</v>
      </c>
      <c r="C8" s="23">
        <v>110082</v>
      </c>
      <c r="D8" s="12">
        <v>0</v>
      </c>
      <c r="E8" s="12">
        <f t="shared" si="0"/>
        <v>110082</v>
      </c>
      <c r="F8" s="13" t="str">
        <f t="shared" si="3"/>
        <v/>
      </c>
      <c r="G8" s="14">
        <v>0</v>
      </c>
      <c r="H8" s="14">
        <f t="shared" si="1"/>
        <v>110082</v>
      </c>
      <c r="I8" s="15" t="str">
        <f t="shared" si="2"/>
        <v/>
      </c>
      <c r="J8" s="40" t="s">
        <v>45</v>
      </c>
      <c r="K8" s="40" t="s">
        <v>46</v>
      </c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 x14ac:dyDescent="0.4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J6" sqref="J6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47</v>
      </c>
      <c r="E1" s="59"/>
      <c r="F1" s="59"/>
      <c r="G1" s="57" t="s">
        <v>48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SUM(C4:C80)</f>
        <v>2378796</v>
      </c>
      <c r="D2" s="5">
        <f>SUM(D4:D80)</f>
        <v>2044259.92</v>
      </c>
      <c r="E2" s="5">
        <f>C2-D2</f>
        <v>334536.08000000007</v>
      </c>
      <c r="F2" s="6">
        <f>IFERROR(E2/D2, 0)</f>
        <v>0.16364654842912543</v>
      </c>
      <c r="G2" s="5">
        <f>SUM(G4:G80)</f>
        <v>881066.60000000009</v>
      </c>
      <c r="H2" s="7">
        <f>C2-G2</f>
        <v>1497729.4</v>
      </c>
      <c r="I2" s="6">
        <f>IFERROR(H2/G2, 0)</f>
        <v>1.6999048653075712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5" x14ac:dyDescent="0.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90222.8</v>
      </c>
      <c r="D4" s="12">
        <v>90753.52</v>
      </c>
      <c r="E4" s="12">
        <f>IF(AND(ISNUMBER(C4),ISNUMBER(D4)), C4-D4, "")</f>
        <v>-530.72000000000116</v>
      </c>
      <c r="F4" s="13">
        <f>IFERROR(E4/D4, "")</f>
        <v>-5.847927441271712E-3</v>
      </c>
      <c r="G4" s="14">
        <v>88730.3</v>
      </c>
      <c r="H4" s="14">
        <f>IF(AND(ISNUMBER(C4),ISNUMBER(G4)), C4-G4, "")</f>
        <v>1492.5</v>
      </c>
      <c r="I4" s="15">
        <f>IFERROR(H4/G4, "")</f>
        <v>1.6820635115625666E-2</v>
      </c>
      <c r="J4" s="40" t="s">
        <v>49</v>
      </c>
      <c r="K4" s="40" t="s">
        <v>50</v>
      </c>
    </row>
    <row r="5" spans="1:11" ht="15.75" x14ac:dyDescent="0.35">
      <c r="A5" s="29" t="str">
        <v>Auburn - Leicester Street Solar</v>
      </c>
      <c r="B5" s="30" t="str">
        <v>MA</v>
      </c>
      <c r="C5" s="11">
        <v>891783</v>
      </c>
      <c r="D5" s="17">
        <v>932322.4</v>
      </c>
      <c r="E5" s="17">
        <f t="shared" ref="E5:E8" si="0">IF(AND(ISNUMBER(C5),ISNUMBER(D5)), C5-D5, "")</f>
        <v>-40539.400000000023</v>
      </c>
      <c r="F5" s="18">
        <f>IFERROR(E5/D5, "")</f>
        <v>-4.3482168829151825E-2</v>
      </c>
      <c r="G5" s="19">
        <v>0</v>
      </c>
      <c r="H5" s="19">
        <f t="shared" ref="H5:H8" si="1">IF(AND(ISNUMBER(C5),ISNUMBER(G5)), C5-G5, "")</f>
        <v>891783</v>
      </c>
      <c r="I5" s="18" t="str">
        <f t="shared" ref="I5:I8" si="2">IFERROR(H5/G5, "")</f>
        <v/>
      </c>
      <c r="J5" s="41"/>
      <c r="K5" s="41"/>
    </row>
    <row r="6" spans="1:11" ht="15.75" x14ac:dyDescent="0.35">
      <c r="A6" s="27" t="str">
        <v>Rochester - Old Middleboro</v>
      </c>
      <c r="B6" s="28" t="str">
        <v>MA</v>
      </c>
      <c r="C6" s="23">
        <v>1235742.2</v>
      </c>
      <c r="D6" s="12">
        <v>1021184</v>
      </c>
      <c r="E6" s="12">
        <f t="shared" si="0"/>
        <v>214558.19999999995</v>
      </c>
      <c r="F6" s="13">
        <f t="shared" ref="F6:F8" si="3">IFERROR(E6/D6, "")</f>
        <v>0.21010728722737523</v>
      </c>
      <c r="G6" s="14">
        <v>792336.3</v>
      </c>
      <c r="H6" s="14">
        <f t="shared" si="1"/>
        <v>443405.89999999991</v>
      </c>
      <c r="I6" s="15">
        <f t="shared" si="2"/>
        <v>0.55961830853893713</v>
      </c>
      <c r="J6" s="40"/>
      <c r="K6" s="40"/>
    </row>
    <row r="7" spans="1:11" ht="15.75" x14ac:dyDescent="0.35">
      <c r="A7" s="29" t="str">
        <v>Dover - Littleworth Road</v>
      </c>
      <c r="B7" s="30" t="str">
        <v>NH</v>
      </c>
      <c r="C7" s="11">
        <v>42525</v>
      </c>
      <c r="D7" s="17">
        <v>0</v>
      </c>
      <c r="E7" s="17">
        <f t="shared" si="0"/>
        <v>42525</v>
      </c>
      <c r="F7" s="18" t="str">
        <f t="shared" si="3"/>
        <v/>
      </c>
      <c r="G7" s="19">
        <v>0</v>
      </c>
      <c r="H7" s="19">
        <f t="shared" si="1"/>
        <v>42525</v>
      </c>
      <c r="I7" s="18" t="str">
        <f t="shared" si="2"/>
        <v/>
      </c>
      <c r="J7" s="41"/>
      <c r="K7" s="42"/>
    </row>
    <row r="8" spans="1:11" ht="28.5" x14ac:dyDescent="0.35">
      <c r="A8" s="27" t="str">
        <v>Milton - Landfill</v>
      </c>
      <c r="B8" s="28" t="str">
        <v>NH</v>
      </c>
      <c r="C8" s="23">
        <v>118523</v>
      </c>
      <c r="D8" s="12">
        <v>0</v>
      </c>
      <c r="E8" s="12">
        <f t="shared" si="0"/>
        <v>118523</v>
      </c>
      <c r="F8" s="13" t="str">
        <f t="shared" si="3"/>
        <v/>
      </c>
      <c r="G8" s="14">
        <v>0</v>
      </c>
      <c r="H8" s="14">
        <f t="shared" si="1"/>
        <v>118523</v>
      </c>
      <c r="I8" s="15" t="str">
        <f t="shared" si="2"/>
        <v/>
      </c>
      <c r="J8" s="40" t="s">
        <v>51</v>
      </c>
      <c r="K8" s="40" t="s">
        <v>52</v>
      </c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 x14ac:dyDescent="0.4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K8" sqref="K8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53</v>
      </c>
      <c r="E1" s="59"/>
      <c r="F1" s="59"/>
      <c r="G1" s="57" t="s">
        <v>54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SUM(C4:C80)</f>
        <v>2696426</v>
      </c>
      <c r="D2" s="5">
        <f>SUM(D4:D80)</f>
        <v>2283590</v>
      </c>
      <c r="E2" s="5">
        <f>C2-D2</f>
        <v>412836</v>
      </c>
      <c r="F2" s="6">
        <f>IFERROR(E2/D2, 0)</f>
        <v>0.18078376591244488</v>
      </c>
      <c r="G2" s="5">
        <f>SUM(G4:G80)</f>
        <v>883334.92</v>
      </c>
      <c r="H2" s="7">
        <f>C2-G2</f>
        <v>1813091.08</v>
      </c>
      <c r="I2" s="6">
        <f>IFERROR(H2/G2, 0)</f>
        <v>2.0525522527740665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5" x14ac:dyDescent="0.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95579</v>
      </c>
      <c r="D4" s="12">
        <v>97442</v>
      </c>
      <c r="E4" s="12">
        <f>IF(AND(ISNUMBER(C4),ISNUMBER(D4)), C4-D4, "")</f>
        <v>-1863</v>
      </c>
      <c r="F4" s="13">
        <f>IFERROR(E4/D4, "")</f>
        <v>-1.9119065700621909E-2</v>
      </c>
      <c r="G4" s="14">
        <v>86272</v>
      </c>
      <c r="H4" s="14">
        <f>IF(AND(ISNUMBER(C4),ISNUMBER(G4)), C4-G4, "")</f>
        <v>9307</v>
      </c>
      <c r="I4" s="15">
        <f>IFERROR(H4/G4, "")</f>
        <v>0.10787972922848665</v>
      </c>
      <c r="J4" s="40" t="s">
        <v>55</v>
      </c>
      <c r="K4" s="40" t="s">
        <v>50</v>
      </c>
    </row>
    <row r="5" spans="1:11" ht="15.75" x14ac:dyDescent="0.35">
      <c r="A5" s="29" t="str">
        <v>Auburn - Leicester Street Solar</v>
      </c>
      <c r="B5" s="30" t="str">
        <v>MA</v>
      </c>
      <c r="C5" s="11">
        <v>1008493</v>
      </c>
      <c r="D5" s="17">
        <v>1029524</v>
      </c>
      <c r="E5" s="17">
        <f t="shared" ref="E5:E8" si="0">IF(AND(ISNUMBER(C5),ISNUMBER(D5)), C5-D5, "")</f>
        <v>-21031</v>
      </c>
      <c r="F5" s="18">
        <f>IFERROR(E5/D5, "")</f>
        <v>-2.0427887062370573E-2</v>
      </c>
      <c r="G5" s="19">
        <v>0</v>
      </c>
      <c r="H5" s="19">
        <f t="shared" ref="H5:H8" si="1">IF(AND(ISNUMBER(C5),ISNUMBER(G5)), C5-G5, "")</f>
        <v>1008493</v>
      </c>
      <c r="I5" s="18" t="str">
        <f t="shared" ref="I5:I8" si="2">IFERROR(H5/G5, "")</f>
        <v/>
      </c>
      <c r="J5" s="41" t="s">
        <v>56</v>
      </c>
      <c r="K5" s="41" t="s">
        <v>57</v>
      </c>
    </row>
    <row r="6" spans="1:11" ht="15.75" x14ac:dyDescent="0.35">
      <c r="A6" s="27" t="str">
        <v>Rochester - Old Middleboro</v>
      </c>
      <c r="B6" s="28" t="str">
        <v>MA</v>
      </c>
      <c r="C6" s="23">
        <v>1418818</v>
      </c>
      <c r="D6" s="12">
        <v>1156624</v>
      </c>
      <c r="E6" s="12">
        <f t="shared" si="0"/>
        <v>262194</v>
      </c>
      <c r="F6" s="13">
        <f t="shared" ref="F6:F8" si="3">IFERROR(E6/D6, "")</f>
        <v>0.22668905365961625</v>
      </c>
      <c r="G6" s="14">
        <v>797062.92</v>
      </c>
      <c r="H6" s="14">
        <f t="shared" si="1"/>
        <v>621755.07999999996</v>
      </c>
      <c r="I6" s="15">
        <f t="shared" si="2"/>
        <v>0.78005771489156706</v>
      </c>
      <c r="J6" s="40"/>
      <c r="K6" s="40"/>
    </row>
    <row r="7" spans="1:11" ht="15.75" x14ac:dyDescent="0.35">
      <c r="A7" s="29" t="str">
        <v>Dover - Littleworth Road</v>
      </c>
      <c r="B7" s="30" t="str">
        <v>NH</v>
      </c>
      <c r="C7" s="11">
        <v>45862</v>
      </c>
      <c r="D7" s="17">
        <v>0</v>
      </c>
      <c r="E7" s="17">
        <f t="shared" si="0"/>
        <v>45862</v>
      </c>
      <c r="F7" s="18" t="str">
        <f t="shared" si="3"/>
        <v/>
      </c>
      <c r="G7" s="19">
        <v>0</v>
      </c>
      <c r="H7" s="19">
        <f t="shared" si="1"/>
        <v>45862</v>
      </c>
      <c r="I7" s="18" t="str">
        <f t="shared" si="2"/>
        <v/>
      </c>
      <c r="J7" s="41"/>
      <c r="K7" s="42"/>
    </row>
    <row r="8" spans="1:11" ht="35" customHeight="1" x14ac:dyDescent="0.35">
      <c r="A8" s="27" t="str">
        <v>Milton - Landfill</v>
      </c>
      <c r="B8" s="28" t="str">
        <v>NH</v>
      </c>
      <c r="C8" s="23">
        <v>127674</v>
      </c>
      <c r="D8" s="12">
        <v>0</v>
      </c>
      <c r="E8" s="12">
        <f t="shared" si="0"/>
        <v>127674</v>
      </c>
      <c r="F8" s="13" t="str">
        <f t="shared" si="3"/>
        <v/>
      </c>
      <c r="G8" s="14">
        <v>0</v>
      </c>
      <c r="H8" s="14">
        <f t="shared" si="1"/>
        <v>127674</v>
      </c>
      <c r="I8" s="15" t="str">
        <f t="shared" si="2"/>
        <v/>
      </c>
      <c r="J8" s="40" t="s">
        <v>58</v>
      </c>
      <c r="K8" s="40" t="s">
        <v>52</v>
      </c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 x14ac:dyDescent="0.4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F15" sqref="F15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7.33203125" customWidth="1"/>
    <col min="4" max="4" width="16.6640625" customWidth="1"/>
    <col min="5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6.53125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59</v>
      </c>
      <c r="E1" s="59"/>
      <c r="F1" s="59"/>
      <c r="G1" s="57" t="s">
        <v>60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SUM(C4:C80)</f>
        <v>2397003.7419999996</v>
      </c>
      <c r="D2" s="5">
        <f>SUM(D4:D80)</f>
        <v>11418182.1</v>
      </c>
      <c r="E2" s="5">
        <f>C2-D2</f>
        <v>-9021178.3579999991</v>
      </c>
      <c r="F2" s="6">
        <f>IFERROR(E2/D2, 0)</f>
        <v>-0.79007133350938585</v>
      </c>
      <c r="G2" s="5">
        <f>SUM(G4:G80)</f>
        <v>903589.68</v>
      </c>
      <c r="H2" s="7">
        <f>C2-G2</f>
        <v>1493414.0619999995</v>
      </c>
      <c r="I2" s="6">
        <f>IFERROR(H2/G2, 0)</f>
        <v>1.6527568818625722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 x14ac:dyDescent="0.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93398.466</v>
      </c>
      <c r="D4" s="12">
        <v>95319.722999999998</v>
      </c>
      <c r="E4" s="12">
        <f>IF(AND(ISNUMBER(C4),ISNUMBER(D4)), C4-D4, "")</f>
        <v>-1921.2569999999978</v>
      </c>
      <c r="F4" s="13">
        <f>IFERROR(E4/D4, "")</f>
        <v>-2.0155923029696571E-2</v>
      </c>
      <c r="G4" s="14">
        <v>92363.64</v>
      </c>
      <c r="H4" s="14">
        <f>IF(AND(ISNUMBER(C4),ISNUMBER(G4)), C4-G4, "")</f>
        <v>1034.8260000000009</v>
      </c>
      <c r="I4" s="15">
        <f>IFERROR(H4/G4, "")</f>
        <v>1.1203824362054169E-2</v>
      </c>
      <c r="J4" s="40"/>
      <c r="K4" s="40"/>
    </row>
    <row r="5" spans="1:11" ht="42.75" x14ac:dyDescent="0.35">
      <c r="A5" s="29" t="str">
        <v>Auburn - Leicester Street Solar</v>
      </c>
      <c r="B5" s="30" t="str">
        <v>MA</v>
      </c>
      <c r="C5" s="11">
        <v>964199.4</v>
      </c>
      <c r="D5" s="17">
        <v>991770.10199999996</v>
      </c>
      <c r="E5" s="17">
        <f t="shared" ref="E5:E8" si="0">IF(AND(ISNUMBER(C5),ISNUMBER(D5)), C5-D5, "")</f>
        <v>-27570.701999999932</v>
      </c>
      <c r="F5" s="18">
        <f>IFERROR(E5/D5, "")</f>
        <v>-2.7799488958581184E-2</v>
      </c>
      <c r="G5" s="19">
        <v>0</v>
      </c>
      <c r="H5" s="19">
        <f t="shared" ref="H5:H8" si="1">IF(AND(ISNUMBER(C5),ISNUMBER(G5)), C5-G5, "")</f>
        <v>964199.4</v>
      </c>
      <c r="I5" s="18" t="str">
        <f t="shared" ref="I5:I8" si="2">IFERROR(H5/G5, "")</f>
        <v/>
      </c>
      <c r="J5" s="41" t="s">
        <v>61</v>
      </c>
      <c r="K5" s="41" t="s">
        <v>62</v>
      </c>
    </row>
    <row r="6" spans="1:11" ht="99.75" x14ac:dyDescent="0.35">
      <c r="A6" s="27" t="str">
        <v>Rochester - Old Middleboro</v>
      </c>
      <c r="B6" s="28" t="str">
        <v>MA</v>
      </c>
      <c r="C6" s="23">
        <v>1152335.8759999999</v>
      </c>
      <c r="D6" s="12">
        <v>10331092.275</v>
      </c>
      <c r="E6" s="12">
        <f>IF(AND(ISNUMBER(C6),ISNUMBER(D6)), C6-D6, "")</f>
        <v>-9178756.3990000002</v>
      </c>
      <c r="F6" s="13">
        <f t="shared" ref="F6:F8" si="3">IFERROR(E6/D6, "")</f>
        <v>-0.88845943436314911</v>
      </c>
      <c r="G6" s="14">
        <v>811226.04</v>
      </c>
      <c r="H6" s="14">
        <f t="shared" si="1"/>
        <v>341109.83599999989</v>
      </c>
      <c r="I6" s="15">
        <f t="shared" si="2"/>
        <v>0.42048679305215581</v>
      </c>
      <c r="J6" s="40" t="s">
        <v>63</v>
      </c>
      <c r="K6" s="40" t="s">
        <v>64</v>
      </c>
    </row>
    <row r="7" spans="1:11" ht="15.75" x14ac:dyDescent="0.35">
      <c r="A7" s="29" t="str">
        <v>Dover - Littleworth Road</v>
      </c>
      <c r="B7" s="30" t="str">
        <v>NH</v>
      </c>
      <c r="C7" s="11">
        <v>47158</v>
      </c>
      <c r="D7" s="17">
        <v>0</v>
      </c>
      <c r="E7" s="17">
        <f t="shared" si="0"/>
        <v>47158</v>
      </c>
      <c r="F7" s="18" t="str">
        <f t="shared" si="3"/>
        <v/>
      </c>
      <c r="G7" s="19">
        <v>0</v>
      </c>
      <c r="H7" s="19">
        <f t="shared" si="1"/>
        <v>47158</v>
      </c>
      <c r="I7" s="18" t="str">
        <f t="shared" si="2"/>
        <v/>
      </c>
      <c r="J7" s="41"/>
      <c r="K7" s="42"/>
    </row>
    <row r="8" spans="1:11" ht="15.75" x14ac:dyDescent="0.35">
      <c r="A8" s="27" t="str">
        <v>Milton - Landfill</v>
      </c>
      <c r="B8" s="28" t="str">
        <v>NH</v>
      </c>
      <c r="C8" s="23">
        <v>139912</v>
      </c>
      <c r="D8" s="12">
        <v>0</v>
      </c>
      <c r="E8" s="12">
        <f t="shared" si="0"/>
        <v>139912</v>
      </c>
      <c r="F8" s="13" t="str">
        <f t="shared" si="3"/>
        <v/>
      </c>
      <c r="G8" s="14">
        <v>0</v>
      </c>
      <c r="H8" s="14">
        <f t="shared" si="1"/>
        <v>139912</v>
      </c>
      <c r="I8" s="15" t="str">
        <f t="shared" si="2"/>
        <v/>
      </c>
      <c r="J8" s="40"/>
      <c r="K8" s="40"/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 x14ac:dyDescent="0.4">
      <c r="C322" s="20"/>
      <c r="D322" s="20"/>
      <c r="E322" s="20"/>
      <c r="F322" s="21"/>
      <c r="G322" s="20"/>
      <c r="H322" s="20"/>
      <c r="I322" s="21"/>
      <c r="J322" s="20"/>
      <c r="K322" s="20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0 I4:I80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tabSelected="1" zoomScale="80" zoomScaleNormal="80"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H14" sqref="H14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65</v>
      </c>
      <c r="E1" s="59"/>
      <c r="F1" s="59"/>
      <c r="G1" s="57" t="s">
        <v>66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SUM(C4:C80)</f>
        <v>2174088.2834327603</v>
      </c>
      <c r="D2" s="5">
        <f>SUM(D4:D80)</f>
        <v>2112723.4900000002</v>
      </c>
      <c r="E2" s="5">
        <f>C2-D2</f>
        <v>61364.793432760052</v>
      </c>
      <c r="F2" s="6">
        <f>IFERROR(E2/D2, 0)</f>
        <v>2.9045350100575653E-2</v>
      </c>
      <c r="G2" s="5">
        <f>SUM(G4:G80)</f>
        <v>851867.88</v>
      </c>
      <c r="H2" s="7">
        <f>C2-G2</f>
        <v>1322220.4034327604</v>
      </c>
      <c r="I2" s="6">
        <f>IFERROR(H2/G2, 0)</f>
        <v>1.5521425733680208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5" x14ac:dyDescent="0.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86826.842499999999</v>
      </c>
      <c r="D4" s="12">
        <v>88596.39</v>
      </c>
      <c r="E4" s="12">
        <f>IF(AND(ISNUMBER(C4),ISNUMBER(D4)), C4-D4, "")</f>
        <v>-1769.5475000000006</v>
      </c>
      <c r="F4" s="13">
        <f>IFERROR(E4/D4, "")</f>
        <v>-1.9973133216827463E-2</v>
      </c>
      <c r="G4" s="14">
        <v>89067.58</v>
      </c>
      <c r="H4" s="14">
        <f>IF(AND(ISNUMBER(C4),ISNUMBER(G4)), C4-G4, "")</f>
        <v>-2240.7375000000029</v>
      </c>
      <c r="I4" s="15">
        <f>IFERROR(H4/G4, "")</f>
        <v>-2.515772293352983E-2</v>
      </c>
      <c r="J4" s="40" t="s">
        <v>95</v>
      </c>
      <c r="K4" s="40" t="s">
        <v>96</v>
      </c>
    </row>
    <row r="5" spans="1:11" ht="15.75" x14ac:dyDescent="0.35">
      <c r="A5" s="29" t="str">
        <v>Auburn - Leicester Street Solar</v>
      </c>
      <c r="B5" s="30" t="str">
        <v>MA</v>
      </c>
      <c r="C5" s="11">
        <v>905688</v>
      </c>
      <c r="D5" s="17">
        <v>964745.1</v>
      </c>
      <c r="E5" s="17">
        <f t="shared" ref="E5:E8" si="0">IF(AND(ISNUMBER(C5),ISNUMBER(D5)), C5-D5, "")</f>
        <v>-59057.099999999977</v>
      </c>
      <c r="F5" s="18">
        <f>IFERROR(E5/D5, "")</f>
        <v>-6.1215237061064083E-2</v>
      </c>
      <c r="G5" s="19">
        <v>0</v>
      </c>
      <c r="H5" s="19">
        <f t="shared" ref="H5:H8" si="1">IF(AND(ISNUMBER(C5),ISNUMBER(G5)), C5-G5, "")</f>
        <v>905688</v>
      </c>
      <c r="I5" s="18" t="str">
        <f t="shared" ref="I5:I8" si="2">IFERROR(H5/G5, "")</f>
        <v/>
      </c>
      <c r="J5" s="41" t="s">
        <v>97</v>
      </c>
      <c r="K5" s="41" t="s">
        <v>98</v>
      </c>
    </row>
    <row r="6" spans="1:11" ht="42.75" x14ac:dyDescent="0.35">
      <c r="A6" s="27" t="str">
        <v>Rochester - Old Middleboro</v>
      </c>
      <c r="B6" s="28" t="str">
        <v>MA</v>
      </c>
      <c r="C6" s="23">
        <v>1019650.44093276</v>
      </c>
      <c r="D6" s="12">
        <v>1059382</v>
      </c>
      <c r="E6" s="12">
        <f t="shared" si="0"/>
        <v>-39731.559067239985</v>
      </c>
      <c r="F6" s="13">
        <f t="shared" ref="F6:F8" si="3">IFERROR(E6/D6, "")</f>
        <v>-3.7504468706510009E-2</v>
      </c>
      <c r="G6" s="14">
        <v>762800.3</v>
      </c>
      <c r="H6" s="14">
        <f t="shared" si="1"/>
        <v>256850.14093275997</v>
      </c>
      <c r="I6" s="15">
        <f t="shared" si="2"/>
        <v>0.33672003135389428</v>
      </c>
      <c r="J6" s="40" t="s">
        <v>100</v>
      </c>
      <c r="K6" s="40" t="s">
        <v>99</v>
      </c>
    </row>
    <row r="7" spans="1:11" ht="15.75" x14ac:dyDescent="0.35">
      <c r="A7" s="29" t="str">
        <v>Dover - Littleworth Road</v>
      </c>
      <c r="B7" s="30" t="str">
        <v>NH</v>
      </c>
      <c r="C7" s="11">
        <v>40390</v>
      </c>
      <c r="D7" s="17">
        <v>0</v>
      </c>
      <c r="E7" s="17">
        <f t="shared" si="0"/>
        <v>40390</v>
      </c>
      <c r="F7" s="18" t="str">
        <f t="shared" si="3"/>
        <v/>
      </c>
      <c r="G7" s="19">
        <v>0</v>
      </c>
      <c r="H7" s="19">
        <f t="shared" si="1"/>
        <v>40390</v>
      </c>
      <c r="I7" s="18" t="str">
        <f t="shared" si="2"/>
        <v/>
      </c>
      <c r="J7" s="41" t="s">
        <v>101</v>
      </c>
      <c r="K7" s="42" t="s">
        <v>102</v>
      </c>
    </row>
    <row r="8" spans="1:11" ht="42.75" x14ac:dyDescent="0.35">
      <c r="A8" s="27" t="str">
        <v>Milton - Landfill</v>
      </c>
      <c r="B8" s="28" t="str">
        <v>NH</v>
      </c>
      <c r="C8" s="23">
        <v>121533</v>
      </c>
      <c r="D8" s="12">
        <v>0</v>
      </c>
      <c r="E8" s="12">
        <f t="shared" si="0"/>
        <v>121533</v>
      </c>
      <c r="F8" s="13" t="str">
        <f t="shared" si="3"/>
        <v/>
      </c>
      <c r="G8" s="14">
        <v>0</v>
      </c>
      <c r="H8" s="14">
        <f t="shared" si="1"/>
        <v>121533</v>
      </c>
      <c r="I8" s="15" t="str">
        <f t="shared" si="2"/>
        <v/>
      </c>
      <c r="J8" s="40" t="s">
        <v>103</v>
      </c>
      <c r="K8" s="40" t="s">
        <v>104</v>
      </c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 x14ac:dyDescent="0.4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F4" activePane="bottomRight" state="frozen"/>
      <selection pane="topRight" activeCell="F27" sqref="F27"/>
      <selection pane="bottomLeft" activeCell="F27" sqref="F27"/>
      <selection pane="bottomRight" activeCell="F4" sqref="F4:J5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67</v>
      </c>
      <c r="E1" s="59"/>
      <c r="F1" s="59"/>
      <c r="G1" s="57" t="s">
        <v>68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 x14ac:dyDescent="0.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 x14ac:dyDescent="0.3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 x14ac:dyDescent="0.3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 x14ac:dyDescent="0.3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 x14ac:dyDescent="0.3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 x14ac:dyDescent="0.4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69</v>
      </c>
      <c r="E1" s="59"/>
      <c r="F1" s="59"/>
      <c r="G1" s="57" t="s">
        <v>70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 x14ac:dyDescent="0.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 x14ac:dyDescent="0.3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 x14ac:dyDescent="0.3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 x14ac:dyDescent="0.3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 x14ac:dyDescent="0.3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 x14ac:dyDescent="0.4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71</v>
      </c>
      <c r="E1" s="59"/>
      <c r="F1" s="59"/>
      <c r="G1" s="57" t="s">
        <v>72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 x14ac:dyDescent="0.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 x14ac:dyDescent="0.3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 x14ac:dyDescent="0.3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 x14ac:dyDescent="0.3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 x14ac:dyDescent="0.3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 x14ac:dyDescent="0.4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RowHeight="13.5" x14ac:dyDescent="0.35"/>
  <cols>
    <col min="1" max="1" width="35.86328125" bestFit="1" customWidth="1"/>
    <col min="2" max="2" width="8.46484375" style="33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8" t="str" cm="1">
        <f t="array" ref="A1">portfolio</f>
        <v>Agilitas Energy</v>
      </c>
      <c r="B1" s="58"/>
      <c r="C1" s="58"/>
      <c r="D1" s="59" t="s">
        <v>73</v>
      </c>
      <c r="E1" s="59"/>
      <c r="F1" s="59"/>
      <c r="G1" s="57" t="s">
        <v>74</v>
      </c>
      <c r="H1" s="57"/>
      <c r="I1" s="57"/>
      <c r="J1" s="4"/>
      <c r="K1" s="4"/>
    </row>
    <row r="2" spans="1:11" ht="19.5" customHeight="1" x14ac:dyDescent="0.35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 x14ac:dyDescent="0.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 x14ac:dyDescent="0.3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 x14ac:dyDescent="0.3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 x14ac:dyDescent="0.3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 x14ac:dyDescent="0.3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 x14ac:dyDescent="0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x14ac:dyDescent="0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 x14ac:dyDescent="0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 x14ac:dyDescent="0.4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12" sqref="B12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75</v>
      </c>
      <c r="B1" t="s">
        <v>76</v>
      </c>
    </row>
    <row r="3" spans="1:12" x14ac:dyDescent="0.35">
      <c r="A3" t="s">
        <v>77</v>
      </c>
      <c r="B3" t="s">
        <v>3</v>
      </c>
      <c r="C3" t="s">
        <v>4</v>
      </c>
      <c r="D3" t="s">
        <v>78</v>
      </c>
      <c r="E3" s="2" t="s">
        <v>79</v>
      </c>
    </row>
    <row r="4" spans="1:12" ht="14.25" x14ac:dyDescent="0.45">
      <c r="A4" s="50" t="s">
        <v>80</v>
      </c>
      <c r="B4" t="s">
        <v>81</v>
      </c>
      <c r="C4" s="47" t="s">
        <v>82</v>
      </c>
      <c r="D4" s="46" t="s">
        <v>83</v>
      </c>
      <c r="E4" t="s">
        <v>84</v>
      </c>
      <c r="G4" s="3"/>
    </row>
    <row r="5" spans="1:12" ht="14.25" x14ac:dyDescent="0.45">
      <c r="A5" s="50" t="s">
        <v>85</v>
      </c>
      <c r="B5" t="s">
        <v>86</v>
      </c>
      <c r="C5" s="47" t="s">
        <v>82</v>
      </c>
      <c r="D5" s="46" t="s">
        <v>83</v>
      </c>
      <c r="E5" t="s">
        <v>84</v>
      </c>
      <c r="G5" s="3"/>
    </row>
    <row r="6" spans="1:12" ht="14.25" x14ac:dyDescent="0.45">
      <c r="A6" s="50" t="s">
        <v>87</v>
      </c>
      <c r="B6" t="s">
        <v>88</v>
      </c>
      <c r="C6" s="47" t="s">
        <v>82</v>
      </c>
      <c r="D6" s="46" t="s">
        <v>83</v>
      </c>
      <c r="E6" t="s">
        <v>84</v>
      </c>
      <c r="G6" s="3"/>
    </row>
    <row r="7" spans="1:12" ht="12.75" customHeight="1" x14ac:dyDescent="0.35">
      <c r="A7" s="50" t="s">
        <v>89</v>
      </c>
      <c r="B7" t="s">
        <v>90</v>
      </c>
      <c r="C7" s="47" t="s">
        <v>91</v>
      </c>
      <c r="D7" s="46"/>
      <c r="E7" t="s">
        <v>92</v>
      </c>
    </row>
    <row r="8" spans="1:12" ht="12.75" customHeight="1" x14ac:dyDescent="0.35">
      <c r="A8" s="50" t="s">
        <v>93</v>
      </c>
      <c r="B8" t="s">
        <v>94</v>
      </c>
      <c r="C8" s="47" t="s">
        <v>91</v>
      </c>
      <c r="D8" s="46"/>
      <c r="E8" t="s">
        <v>92</v>
      </c>
    </row>
    <row r="9" spans="1:12" ht="12.75" customHeight="1" x14ac:dyDescent="0.35">
      <c r="K9" s="43"/>
      <c r="L9" s="43"/>
    </row>
    <row r="10" spans="1:12" ht="12.75" customHeight="1" x14ac:dyDescent="0.35">
      <c r="K10" s="43"/>
      <c r="L10" s="43"/>
    </row>
    <row r="11" spans="1:12" ht="12.75" customHeight="1" x14ac:dyDescent="0.35">
      <c r="K11" s="43"/>
      <c r="L11" s="43"/>
    </row>
    <row r="12" spans="1:12" ht="12.75" customHeight="1" x14ac:dyDescent="0.35">
      <c r="K12" s="43"/>
      <c r="L12" s="43"/>
    </row>
    <row r="13" spans="1:12" ht="12.75" customHeight="1" x14ac:dyDescent="0.35">
      <c r="K13" s="43"/>
      <c r="L13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2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3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4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7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0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8D732231-4216-4543-A665-18A2886B0EB7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  <ds:schemaRef ds:uri="7f39bfab-6331-41a1-b6d4-5b974a316951"/>
    <ds:schemaRef ds:uri="http://schemas.openxmlformats.org/package/2006/metadata/core-properties"/>
    <ds:schemaRef ds:uri="ddcd8467-55ca-498e-a9f8-86795db5db7a"/>
    <ds:schemaRef ds:uri="http://purl.org/dc/terms/"/>
  </ds:schemaRefs>
</ds:datastoreItem>
</file>

<file path=customXml/itemProps12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3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5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6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7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9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2024-09-11T04:26:59Z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