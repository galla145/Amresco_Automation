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96" documentId="13_ncr:1_{AF252C97-FD28-4432-BAA8-A05C2EB50BF6}" xr6:coauthVersionLast="47" xr6:coauthVersionMax="47" xr10:uidLastSave="{BE2EEAAE-688A-456B-8C12-48AD644C832E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13" i="29"/>
  <c r="G14" i="29"/>
  <c r="G15" i="29"/>
  <c r="G16" i="29"/>
  <c r="G17" i="29"/>
  <c r="G4" i="29"/>
  <c r="H15" i="26"/>
  <c r="E15" i="26"/>
  <c r="H14" i="26"/>
  <c r="E14" i="26"/>
  <c r="E12" i="19"/>
  <c r="E13" i="19"/>
  <c r="E14" i="19"/>
  <c r="E15" i="19"/>
  <c r="E5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E17" i="18" l="1"/>
  <c r="F17" i="18" s="1"/>
  <c r="C16" i="30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F15" i="26"/>
  <c r="I14" i="26"/>
  <c r="F14" i="26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F15" i="19"/>
  <c r="H14" i="19"/>
  <c r="I14" i="19" s="1"/>
  <c r="F14" i="19"/>
  <c r="H13" i="19"/>
  <c r="I13" i="19" s="1"/>
  <c r="F13" i="19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6" i="29" l="1"/>
  <c r="I6" i="29" s="1"/>
  <c r="E11" i="29"/>
  <c r="F11" i="29" s="1"/>
  <c r="E7" i="18"/>
  <c r="F7" i="18" s="1"/>
  <c r="E11" i="18"/>
  <c r="F11" i="18" s="1"/>
  <c r="E9" i="18"/>
  <c r="F9" i="18" s="1"/>
  <c r="D4" i="34"/>
  <c r="D2" i="34" s="1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<sst xmlns="http://schemas.openxmlformats.org/spreadsheetml/2006/main" count="453" uniqueCount="212">
  <si>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</si>
  <si>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</si>
  <si>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</si>
  <si>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</si>
  <si>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</si>
  <si>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</si>
  <si>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</si>
  <si>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</si>
  <si>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</si>
  <si>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</si>
  <si>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</si>
  <si>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</si>
  <si>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</si>
  <si>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</si>
  <si>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</si>
  <si>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</si>
  <si>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</si>
  <si>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</si>
  <si>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</si>
  <si>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</si>
  <si>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</si>
  <si>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</si>
  <si>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</si>
  <si>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</si>
  <si>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</si>
  <si>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</si>
  <si>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</si>
  <si>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</si>
  <si>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</si>
  <si>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</si>
  <si>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</si>
  <si>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</si>
  <si>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</si>
  <si>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</si>
  <si>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</si>
  <si>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</si>
  <si>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</si>
  <si>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</si>
  <si>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</si>
  <si>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</si>
  <si>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</si>
  <si>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</si>
  <si>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</si>
  <si>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 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</si>
  <si>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</si>
  <si>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</si>
  <si>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</si>
  <si>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 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</si>
  <si>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</si>
  <si>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</si>
  <si>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</si>
  <si>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</si>
  <si>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</si>
  <si>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</si>
  <si>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</si>
  <si>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</si>
  <si>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</si>
  <si>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</si>
  <si>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</si>
  <si>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</si>
  <si>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</si>
  <si>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</si>
  <si>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</si>
  <si>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</si>
  <si>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</si>
  <si>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</si>
  <si>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</si>
  <si>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</si>
  <si>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</si>
  <si>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</si>
  <si>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</si>
  <si>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1. SR074295</t>
  </si>
  <si>
    <t>April Actual v. Expected</t>
  </si>
  <si>
    <t>April Actual v. Forecasted</t>
  </si>
  <si>
    <t>1. Inverter 5 has tripping events on daily bases.</t>
  </si>
  <si>
    <t>1.  SR082780</t>
  </si>
  <si>
    <t>1. Inverter 4 is offline throughout the month, breaker need to be replaced</t>
  </si>
  <si>
    <t>1. SR081269</t>
  </si>
  <si>
    <t xml:space="preserve">1. Inverter 6 tripped offline on 04/28 at 6:30AM and back online  on 04/28 at 7:45am </t>
  </si>
  <si>
    <t>1. SR083896</t>
  </si>
  <si>
    <t>1. Site was offline from 13:15 to 15:00 on 04/29.
2. Site is offline on 04/03 at 18:45 and back online on 9:30am on 04/05 and again offline on 04/07 10:00am and back online on 04/07 at 12:30pm.</t>
  </si>
  <si>
    <t>1. SR083973
2. SR082599</t>
  </si>
  <si>
    <t xml:space="preserve">1. Site tripped offline on 04/09 at 17:52 and back online on 04/10 at 16:00
2. Site tripped offline on 04/17 at 10:52 and back online on 12:00pm </t>
  </si>
  <si>
    <t>1. SR083278
2. SR083540</t>
  </si>
  <si>
    <t>1. Inverter 1.3 is offline on 04/08 and back online on 04/08 at 15:15
2. All inverters tripped offline at 15:02 on 04/19 and back online on 04/22 at 8:30am</t>
  </si>
  <si>
    <t>1. SR083167
2. SR083639</t>
  </si>
  <si>
    <t>1. All inverters tripped offline at 15:02 on 04/19 and back online on 04/22 at 8:30am</t>
  </si>
  <si>
    <t>1. SR083640</t>
  </si>
  <si>
    <t>1.  Site is offline on 04/13 at 21:00 on 04/13/2024 and back online on 04/13 at 23:00.</t>
  </si>
  <si>
    <t>1. SR083388</t>
  </si>
  <si>
    <t xml:space="preserve">1. Inverter 6 tripping on and off on 04/02, 04/06, 04/20, 04/22, 04/27, 04/29 &amp; 04/30  with fault "Fault to stop DC wrong polarity." </t>
  </si>
  <si>
    <t>1. SR083891</t>
  </si>
  <si>
    <t>1. Inverter 6 tripping on &amp; off 04/12, 04/14, 04/17, 04/18, 04/20, 04/21 &amp; 04/27</t>
  </si>
  <si>
    <t>May Actual v. Expected</t>
  </si>
  <si>
    <t>May Actual v. Forecasted</t>
  </si>
  <si>
    <t>1. Site tripped offline at 15:15 on 05/15 and back online at 18:00 on 05/19.</t>
  </si>
  <si>
    <t>1. SR084815</t>
  </si>
  <si>
    <t>1. Site tripped offline at 16:15 on 05/22 and back online at 08:45AM on 05/23.</t>
  </si>
  <si>
    <t>1. SR085032</t>
  </si>
  <si>
    <t>1. Inverter 4.7 tripped offline at 14:53 on 05/03 additionally it stopped communicating, later data got backfilled and issue resolved on 05/15.
2. Inverter 4.7 tripped offline at 14:30 on 05/19 and back online at 07:00AM on 05/20
inverter tripped offline at 13:15 on 05/20 and back online at 07:00AM on 05/21 inverter again tripped offline at 14:00 on 05/26 and back online at 07:00AM on 05/27.
3. Site tripped offline at 16:15 on 05/22 and back online at 08:45AM on 05/23.
4. Inverter 3.2 tripped offline at 13:15 on 05/26 and back online at 15:30 on 5/29.</t>
  </si>
  <si>
    <t>1. SR084244
2. SR084914
3. SR085033
4. SR085171</t>
  </si>
  <si>
    <t>1. Inverter 6 is offline from 08:00AM to 13:00 on 05/08.</t>
  </si>
  <si>
    <t>1. Site is offline from 13:00 to 14:45 on 05/16 and again site is offline 10:00AM from 12:15PM on 05/22 but inverters still not communicating.</t>
  </si>
  <si>
    <t>1. SR084785</t>
  </si>
  <si>
    <t>June Actual v. Expected</t>
  </si>
  <si>
    <t>June Actual v. Forecasted</t>
  </si>
  <si>
    <t>1.Weather station stopped communicating from 06/21 at 10:00 throghout the month</t>
  </si>
  <si>
    <t>1.SR086598</t>
  </si>
  <si>
    <t>1. Meter was replaced on 06/14.
2. Site tripped offline at 11:30 on 06/26 and back online at 16:23 on same day</t>
  </si>
  <si>
    <t>1. SR084901	
2. SR086820</t>
  </si>
  <si>
    <t>1. Inverter 1 was offline on 06/16 and back online on 06/17</t>
  </si>
  <si>
    <t xml:space="preserve">1. SR086284	</t>
  </si>
  <si>
    <t>1. Inverter 2 primary unit was offline from 06/06 and was being RMA'd</t>
  </si>
  <si>
    <t>1. SR085732</t>
  </si>
  <si>
    <t>1. SEL relay opened at 22:30 and was remotely reclosed at 23:00 on 06/28</t>
  </si>
  <si>
    <t>1. SR083540</t>
  </si>
  <si>
    <t>1. Site tripped offline at 11:30 on 06/27 due to utility outage and was still offline</t>
  </si>
  <si>
    <t>1. SR087032</t>
  </si>
  <si>
    <t>1. Site tripped offline at 11:30 on 06/27 due to utility outage and was still offline
2. Inverters 3.6, 3.10, 4.5 and 4.7 are derating compared to peers thorughout the month from 06/13</t>
  </si>
  <si>
    <t>1. SR087033
2. SR086289, SR086502</t>
  </si>
  <si>
    <t>1. Inverter 2 tripped offline at 13:07 on 06/29 and back online on 06/30</t>
  </si>
  <si>
    <t>1. SR087133</t>
  </si>
  <si>
    <t>1. Inverter 6 tripping on and off throughout the month</t>
  </si>
  <si>
    <t>July Actual v. Expected</t>
  </si>
  <si>
    <t>July Actual v. Forecasted</t>
  </si>
  <si>
    <t>1.Inverter 2 is underproducing compared to its rated capacity on 7/25
2. Inverters 1, 5, 6, 7 are down strings. 100kW inverters producing roughly 60-65 kW through out the month</t>
  </si>
  <si>
    <t>1.SR088244
2.SR088370</t>
  </si>
  <si>
    <t>1.Weather station stopped communicating from 06/21 at 10:00 and not communicated till 07/03</t>
  </si>
  <si>
    <t>1.Inverter tripped offline from 7/16 at 11:15AM and back online on 7/17 at 07:30AM</t>
  </si>
  <si>
    <t>1.SR087755</t>
  </si>
  <si>
    <t>1.Inverter 3 started to underperform by 15kW through out the month.</t>
  </si>
  <si>
    <t>1.SR087481</t>
  </si>
  <si>
    <t>1.Inverter 2 primary unit was offline from 06/06 and was being RMA'd</t>
  </si>
  <si>
    <t>1.SR085732</t>
  </si>
  <si>
    <t>1.Site tripped offline from 06/27 at 11:30 due to utility outage and back online on 7/9 at 16:45.</t>
  </si>
  <si>
    <t>1.SR087032</t>
  </si>
  <si>
    <t>1.Site tripped offline from 06/27 at 11:30 due to utility outage and back online on 7/10 at 19:30.
2.Inverters 3.6, 3.10, 4.5 and 4.7 are derating compared to peers thorughout the month from 06/13</t>
  </si>
  <si>
    <t>1.SR087033
2. SR086289, SR088216</t>
  </si>
  <si>
    <t>1.Inverter 6 having multilpe tripping events</t>
  </si>
  <si>
    <t>1.SR088483</t>
  </si>
  <si>
    <t>1.Inverter 6 has a history of tripping intermittently
2.Inverter 2 tripped offline from 7/20 at 14:45 through out the month</t>
  </si>
  <si>
    <t>1.SR087629
2.SR087961</t>
  </si>
  <si>
    <t>August Actual v. Expected</t>
  </si>
  <si>
    <t>August Actual v. Forecasted</t>
  </si>
  <si>
    <t xml:space="preserve">1.Site offline from 12:00 to 13:00 </t>
  </si>
  <si>
    <t>1.SR089164</t>
  </si>
  <si>
    <t>1. Inverters 12, 14, 16, and 19 have been RMA’d.
Weather station stopped communications on 08/22 and regained communications on 08/27</t>
  </si>
  <si>
    <t>1 SR089438</t>
  </si>
  <si>
    <t>1.Site tripped offline from 09:45AM to 18:00PM on 8/27</t>
  </si>
  <si>
    <t>1.SR089606</t>
  </si>
  <si>
    <t>1.Inverter 12 tripped offline at 11:45 from 8/17 and back online on 8/19</t>
  </si>
  <si>
    <t>1.	SR089195</t>
  </si>
  <si>
    <t>1.Inverter 2 back online on 8/13 at 12:30.
2.Inverter 7 offline on 8/4</t>
  </si>
  <si>
    <t>1.SR085732
2.SR088588</t>
  </si>
  <si>
    <t>1. Site was tripped offline on 08/05 at 07:00am and back online at 09:00am on 08/05</t>
  </si>
  <si>
    <t>1. 	SR088603</t>
  </si>
  <si>
    <t>1.Site offline from 8/13 at 12:15 and back online on 8/16 at 14:45.</t>
  </si>
  <si>
    <t>1.SR088990</t>
  </si>
  <si>
    <t>1.Inverter 04.6 has started derating on 8/4 from 13:00 and is producing only 45kW.
2.Inverter 3.6 is underperforming by 15 Kw
3.Inverter 4.6, 4.8 are being RMAD</t>
  </si>
  <si>
    <t>1.SR088597
2.	SR089161
3.	SR088420</t>
  </si>
  <si>
    <t>1.Site had a brief outage from 23:45 on 08/06 to 00:02 on 08/07.</t>
  </si>
  <si>
    <t>1.SR088714</t>
  </si>
  <si>
    <t>1. Site tripped offline at 11:55 from 8/14 due to on going roof fire investigations. Per Catalyze the site is to remain off</t>
  </si>
  <si>
    <t>1.SR089036</t>
  </si>
  <si>
    <t>1.Inverter 2 back online on 08/05
2.Inverter 4 being RMAD
3.Site is offline. Meter has voltage - possible main breaker trip. Per Catalyze the site is to remain off from 08/14</t>
  </si>
  <si>
    <t>1.SR087961
2.SR088579
3.SR089026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</si>
  <si>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</si>
  <si>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</si>
  <si>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</si>
  <si>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</si>
  <si>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</si>
  <si>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</si>
  <si>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</si>
  <si>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</si>
  <si>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</si>
  <si>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</si>
  <si>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</si>
  <si>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</si>
  <si>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</si>
  <si>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</si>
  <si>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</si>
  <si>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</si>
  <si>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</si>
  <si>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</si>
  <si>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</si>
  <si>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</si>
  <si>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</si>
  <si>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</si>
  <si>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</si>
  <si>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AEF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</si>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</sst>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24" fillId="0" borderId="12" xfId="0" applyFont="1" applyBorder="1"/>
    <xf numFmtId="49" fontId="29" fillId="0" borderId="13" xfId="0" applyNumberFormat="1" applyFont="1" applyBorder="1" applyAlignment="1">
      <alignment vertical="center" wrapText="1"/>
    </xf>
    <xf numFmtId="3" fontId="31" fillId="0" borderId="1" xfId="1" applyNumberFormat="1" applyFont="1" applyBorder="1" applyAlignment="1">
      <alignment vertical="center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7" totalsRowShown="0">
  <autoFilter ref="A3:E1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0</v>
      </c>
      <c r="E1" s="76"/>
      <c r="F1" s="76"/>
      <c r="G1" s="74" t="s">
        <v>1</v>
      </c>
      <c r="H1" s="74"/>
      <c r="I1" s="74"/>
    </row>
    <row r="2" spans="1:9" ht="19.5" customHeight="1">
      <c r="A2" s="77" t="s">
        <v>2</v>
      </c>
      <c r="B2" s="77"/>
      <c r="C2" s="5">
        <f>SUM(C4:C92)</f>
        <v>6519568.3468271438</v>
      </c>
      <c r="D2" s="5">
        <f>SUM(D4:D92)</f>
        <v>8004927.2800000012</v>
      </c>
      <c r="E2" s="5">
        <f>C2-D2</f>
        <v>-1485358.9331728574</v>
      </c>
      <c r="F2" s="6">
        <f>IFERROR(E2/D2, 0)</f>
        <v>-0.18555558110864651</v>
      </c>
      <c r="G2" s="5">
        <f>SUM(G4:G92)</f>
        <v>36167559.293000005</v>
      </c>
      <c r="H2" s="7">
        <f>C2-G2</f>
        <v>-29647990.946172863</v>
      </c>
      <c r="I2" s="6">
        <f>IFERROR(H2/G2, 0)</f>
        <v>-0.81973988639899842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17">Sites[Site]</f>
        <v>Fresno - 3150 Shaw Ave</v>
      </c>
      <c r="B4" s="35" t="str" cm="1">
        <f t="array" ref="B4:B17">Sites[State]</f>
        <v>CA</v>
      </c>
      <c r="C4" s="36">
        <f>SUM('1st Qtr'!C4, '2nd Qtr'!C4, '3rd Qtr'!C4, '4th Qtr'!C4)</f>
        <v>788625.81249999988</v>
      </c>
      <c r="D4" s="37">
        <f>SUM('1st Qtr'!D4, '2nd Qtr'!D4, '3rd Qtr'!D4, '4th Qtr'!D4)</f>
        <v>826970.07699999993</v>
      </c>
      <c r="E4" s="37">
        <f>IF(AND(ISNUMBER(C4),ISNUMBER(D4)), C4-D4, "")</f>
        <v>-38344.264500000048</v>
      </c>
      <c r="F4" s="38">
        <f>IFERROR(E4/D4, "")</f>
        <v>-4.6367172847537087E-2</v>
      </c>
      <c r="G4" s="39">
        <f>SUM('1st Qtr'!G4, '2nd Qtr'!G4, '3rd Qtr'!G4, '4th Qtr'!G4)</f>
        <v>868243.73300000001</v>
      </c>
      <c r="H4" s="39">
        <f>SUM('1st Qtr'!H4, '2nd Qtr'!H4, '3rd Qtr'!H4, '4th Qtr'!H4)</f>
        <v>-79617.920500000095</v>
      </c>
      <c r="I4" s="40">
        <f>IFERROR(H4/G4, "")</f>
        <v>-9.1699965659297306E-2</v>
      </c>
    </row>
    <row r="5" spans="1:9" ht="15.75">
      <c r="A5" s="41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SUM('1st Qtr'!G5, '2nd Qtr'!G5, '3rd Qtr'!G5, '4th Qtr'!G5)</f>
        <v>6704685.0800000001</v>
      </c>
      <c r="H5" s="46">
        <f>SUM(Jan!H5, Feb!H5, Mar!H5)</f>
        <v>-1198363.4500000002</v>
      </c>
      <c r="I5" s="45">
        <f>IFERROR(H5/G5, "")</f>
        <v>-0.17873523300515706</v>
      </c>
    </row>
    <row r="6" spans="1:9" ht="15.75">
      <c r="A6" s="34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SUM('1st Qtr'!G6, '2nd Qtr'!G6, '3rd Qtr'!G6, '4th Qtr'!G6)</f>
        <v>5720274</v>
      </c>
      <c r="H6" s="39">
        <f>SUM(Jan!H6, Feb!H6, Mar!H6)</f>
        <v>-471279.3</v>
      </c>
      <c r="I6" s="40">
        <f t="shared" ref="I6:I15" si="2">IFERROR(H6/G6, "")</f>
        <v>-8.2387539478004021E-2</v>
      </c>
    </row>
    <row r="7" spans="1:9" ht="15.75">
      <c r="A7" s="41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SUM('1st Qtr'!G7, '2nd Qtr'!G7, '3rd Qtr'!G7, '4th Qtr'!G7)</f>
        <v>463763.95999999996</v>
      </c>
      <c r="H7" s="46">
        <f>SUM(Jan!H7, Feb!H7, Mar!H7)</f>
        <v>-17768.789999999997</v>
      </c>
      <c r="I7" s="45">
        <f t="shared" si="2"/>
        <v>-3.8314296781492028E-2</v>
      </c>
    </row>
    <row r="8" spans="1:9" ht="15.75">
      <c r="A8" s="34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SUM('1st Qtr'!G8, '2nd Qtr'!G8, '3rd Qtr'!G8, '4th Qtr'!G8)</f>
        <v>135581.389</v>
      </c>
      <c r="H8" s="39">
        <f>SUM(Jan!H8, Feb!H8, Mar!H8)</f>
        <v>-9322.2040000003508</v>
      </c>
      <c r="I8" s="40">
        <f t="shared" si="2"/>
        <v>-6.875725399155154E-2</v>
      </c>
    </row>
    <row r="9" spans="1:9" ht="15.75">
      <c r="A9" s="41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SUM('1st Qtr'!G9, '2nd Qtr'!G9, '3rd Qtr'!G9, '4th Qtr'!G9)</f>
        <v>132178.74100000001</v>
      </c>
      <c r="H9" s="46">
        <f>SUM(Jan!H9, Feb!H9, Mar!H9)</f>
        <v>-6768.8868291059707</v>
      </c>
      <c r="I9" s="45">
        <f t="shared" si="2"/>
        <v>-5.1210102153310497E-2</v>
      </c>
    </row>
    <row r="10" spans="1:9" ht="15.75">
      <c r="A10" s="34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SUM('1st Qtr'!G10, '2nd Qtr'!G10, '3rd Qtr'!G10, '4th Qtr'!G10)</f>
        <v>194769.71000000002</v>
      </c>
      <c r="H10" s="39">
        <f>SUM(Jan!H10, Feb!H10, Mar!H10)</f>
        <v>-8334.25</v>
      </c>
      <c r="I10" s="40">
        <f t="shared" si="2"/>
        <v>-4.2790277810651353E-2</v>
      </c>
    </row>
    <row r="11" spans="1:9" ht="15.75">
      <c r="A11" s="41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SUM('1st Qtr'!G11, '2nd Qtr'!G11, '3rd Qtr'!G11, '4th Qtr'!G11)</f>
        <v>444604.87</v>
      </c>
      <c r="H11" s="46">
        <f>SUM(Jan!H11, Feb!H11, Mar!H11)</f>
        <v>-11927.27</v>
      </c>
      <c r="I11" s="45">
        <f t="shared" si="2"/>
        <v>-2.6826674210743577E-2</v>
      </c>
    </row>
    <row r="12" spans="1:9" ht="15.75">
      <c r="A12" s="34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SUM('1st Qtr'!G12, '2nd Qtr'!G12, '3rd Qtr'!G12, '4th Qtr'!G12)</f>
        <v>7307527</v>
      </c>
      <c r="H12" s="39">
        <f>SUM(Jan!H12, Feb!H12, Mar!H12)</f>
        <v>-509052</v>
      </c>
      <c r="I12" s="40">
        <f t="shared" si="2"/>
        <v>-6.9661323180879114E-2</v>
      </c>
    </row>
    <row r="13" spans="1:9" ht="15.75">
      <c r="A13" s="41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SUM('1st Qtr'!G13, '2nd Qtr'!G13, '3rd Qtr'!G13, '4th Qtr'!G13)</f>
        <v>5346561.1100000003</v>
      </c>
      <c r="H13" s="46">
        <f>SUM(Jan!H13, Feb!H13, Mar!H13)</f>
        <v>-32019.999999999942</v>
      </c>
      <c r="I13" s="45">
        <f t="shared" si="2"/>
        <v>-5.9888962907598637E-3</v>
      </c>
    </row>
    <row r="14" spans="1:9" ht="15.75">
      <c r="A14" s="34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SUM('1st Qtr'!G14, '2nd Qtr'!G14, '3rd Qtr'!G14, '4th Qtr'!G14)</f>
        <v>5858113.6799999997</v>
      </c>
      <c r="H14" s="39">
        <f>SUM(Jan!H14, Feb!H14, Mar!H14)</f>
        <v>-167958.09999999998</v>
      </c>
      <c r="I14" s="40">
        <f t="shared" si="2"/>
        <v>-2.8671020942017632E-2</v>
      </c>
    </row>
    <row r="15" spans="1:9" ht="15.75">
      <c r="A15" s="41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SUM('1st Qtr'!G15, '2nd Qtr'!G15, '3rd Qtr'!G15, '4th Qtr'!G15)</f>
        <v>948337.18</v>
      </c>
      <c r="H15" s="46">
        <f>SUM(Jan!H15, Feb!H15, Mar!H15)</f>
        <v>-40178.804843750004</v>
      </c>
      <c r="I15" s="45">
        <f t="shared" si="2"/>
        <v>-4.2367636417829785E-2</v>
      </c>
    </row>
    <row r="16" spans="1:9" ht="15.75">
      <c r="A16" s="34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SUM('1st Qtr'!G16, '2nd Qtr'!G16, '3rd Qtr'!G16, '4th Qtr'!G16)</f>
        <v>1098100.57</v>
      </c>
      <c r="H16" s="39">
        <f>SUM(Jan!H16, Feb!H16, Mar!H16)</f>
        <v>-28355.72</v>
      </c>
      <c r="I16" s="40">
        <f t="shared" ref="I16:I17" si="5">IFERROR(H16/G16, "")</f>
        <v>-2.5822516420331152E-2</v>
      </c>
    </row>
    <row r="17" spans="1:9" ht="15.75">
      <c r="A17" s="41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SUM('1st Qtr'!G17, '2nd Qtr'!G17, '3rd Qtr'!G17, '4th Qtr'!G17)</f>
        <v>944818.27</v>
      </c>
      <c r="H17" s="46">
        <f>SUM(Jan!H17, Feb!H17, Mar!H17)</f>
        <v>-10606.319999999992</v>
      </c>
      <c r="I17" s="45">
        <f t="shared" si="5"/>
        <v>-1.1225777841912385E-2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10</v>
      </c>
      <c r="E1" s="76"/>
      <c r="F1" s="76"/>
      <c r="G1" s="74" t="s">
        <v>11</v>
      </c>
      <c r="H1" s="74"/>
      <c r="I1" s="74"/>
    </row>
    <row r="2" spans="1:9" ht="19.5" customHeight="1">
      <c r="A2" s="77" t="s">
        <v>2</v>
      </c>
      <c r="B2" s="77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SUM(Jan!C4, Feb!C4, Mar!C4)</f>
        <v>192358.5656249999</v>
      </c>
      <c r="D4" s="37">
        <f>SUM(Jan!D4, Feb!D4, Mar!D4)</f>
        <v>190192.12</v>
      </c>
      <c r="E4" s="37">
        <f>IF(AND(ISNUMBER(C4),ISNUMBER(D4)), C4-D4, "")</f>
        <v>2166.4456249999057</v>
      </c>
      <c r="F4" s="38">
        <f>IFERROR(E4/D4, "")</f>
        <v>1.1390827469612862E-2</v>
      </c>
      <c r="G4" s="39">
        <f>SUM(Jan!G4, Feb!G4, Mar!G4)</f>
        <v>217612.88</v>
      </c>
      <c r="H4" s="39">
        <f>SUM(Jan!H4, Feb!H4, Mar!H4)</f>
        <v>-25254.314375000096</v>
      </c>
      <c r="I4" s="40">
        <f>IFERROR(H4/G4, "")</f>
        <v>-0.11605156080375434</v>
      </c>
    </row>
    <row r="5" spans="1:9" ht="15.75">
      <c r="A5" s="56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SUM(Jan!G5, Feb!G5, Mar!G5)</f>
        <v>1896484.4500000002</v>
      </c>
      <c r="H5" s="46">
        <f>SUM(Jan!H5, Feb!H5, Mar!H5)</f>
        <v>-1198363.4500000002</v>
      </c>
      <c r="I5" s="45">
        <f>IFERROR(H5/G5, "")</f>
        <v>-0.63188677871838073</v>
      </c>
    </row>
    <row r="6" spans="1:9" ht="15.75">
      <c r="A6" s="55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SUM(Jan!G6, Feb!G6, Mar!G6)</f>
        <v>1492708.2999999998</v>
      </c>
      <c r="H6" s="39">
        <f>SUM(Jan!H6, Feb!H6, Mar!H6)</f>
        <v>-471279.3</v>
      </c>
      <c r="I6" s="40">
        <f t="shared" ref="I6:I15" si="2">IFERROR(H6/G6, "")</f>
        <v>-0.31572096169090774</v>
      </c>
    </row>
    <row r="7" spans="1:9" ht="15.75">
      <c r="A7" s="56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SUM(Jan!G7, Feb!G7, Mar!G7)</f>
        <v>124156.29</v>
      </c>
      <c r="H7" s="46">
        <f>SUM(Jan!H7, Feb!H7, Mar!H7)</f>
        <v>-17768.789999999997</v>
      </c>
      <c r="I7" s="45">
        <f t="shared" si="2"/>
        <v>-0.14311630929049182</v>
      </c>
    </row>
    <row r="8" spans="1:9" ht="15.75">
      <c r="A8" s="55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SUM(Jan!G8, Feb!G8, Mar!G8)</f>
        <v>36054.828999999998</v>
      </c>
      <c r="H8" s="39">
        <f>SUM(Jan!H8, Feb!H8, Mar!H8)</f>
        <v>-9322.2040000003508</v>
      </c>
      <c r="I8" s="40">
        <f t="shared" si="2"/>
        <v>-0.25855632264960543</v>
      </c>
    </row>
    <row r="9" spans="1:9" ht="15.75">
      <c r="A9" s="56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SUM(Jan!G9, Feb!G9, Mar!G9)</f>
        <v>27861.181</v>
      </c>
      <c r="H9" s="46">
        <f>SUM(Jan!H9, Feb!H9, Mar!H9)</f>
        <v>-6768.8868291059707</v>
      </c>
      <c r="I9" s="45">
        <f t="shared" si="2"/>
        <v>-0.24295046319486494</v>
      </c>
    </row>
    <row r="10" spans="1:9" ht="15.75">
      <c r="A10" s="55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SUM(Jan!G10, Feb!G10, Mar!G10)</f>
        <v>46444.25</v>
      </c>
      <c r="H10" s="39">
        <f>SUM(Jan!H10, Feb!H10, Mar!H10)</f>
        <v>-8334.25</v>
      </c>
      <c r="I10" s="40">
        <f t="shared" si="2"/>
        <v>-0.17944632543318065</v>
      </c>
    </row>
    <row r="11" spans="1:9" ht="15.75">
      <c r="A11" s="56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SUM(Jan!G11, Feb!G11, Mar!G11)</f>
        <v>102799.02</v>
      </c>
      <c r="H11" s="46">
        <f>SUM(Jan!H11, Feb!H11, Mar!H11)</f>
        <v>-11927.27</v>
      </c>
      <c r="I11" s="45">
        <f t="shared" si="2"/>
        <v>-0.11602513331352769</v>
      </c>
    </row>
    <row r="12" spans="1:9" ht="15.75">
      <c r="A12" s="55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SUM(Jan!G12, Feb!G12, Mar!G12)</f>
        <v>1513702</v>
      </c>
      <c r="H12" s="39">
        <f>SUM(Jan!H12, Feb!H12, Mar!H12)</f>
        <v>-509052</v>
      </c>
      <c r="I12" s="40">
        <f t="shared" si="2"/>
        <v>-0.33629604770291643</v>
      </c>
    </row>
    <row r="13" spans="1:9" ht="15.75">
      <c r="A13" s="56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SUM(Jan!G13, Feb!G13, Mar!G13)</f>
        <v>1025700</v>
      </c>
      <c r="H13" s="46">
        <f>SUM(Jan!H13, Feb!H13, Mar!H13)</f>
        <v>-32019.999999999942</v>
      </c>
      <c r="I13" s="45">
        <f t="shared" si="2"/>
        <v>-3.1217704981963482E-2</v>
      </c>
    </row>
    <row r="14" spans="1:9" ht="15.75">
      <c r="A14" s="55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SUM(Jan!G14, Feb!G14, Mar!G14)</f>
        <v>1119615.1000000001</v>
      </c>
      <c r="H14" s="39">
        <f>SUM(Jan!H14, Feb!H14, Mar!H14)</f>
        <v>-167958.09999999998</v>
      </c>
      <c r="I14" s="40">
        <f t="shared" si="2"/>
        <v>-0.15001414325333765</v>
      </c>
    </row>
    <row r="15" spans="1:9" ht="15.75">
      <c r="A15" s="56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SUM(Jan!G15, Feb!G15, Mar!G15)</f>
        <v>268566.67000000004</v>
      </c>
      <c r="H15" s="46">
        <f>SUM(Jan!H15, Feb!H15, Mar!H15)</f>
        <v>-40178.804843750004</v>
      </c>
      <c r="I15" s="45">
        <f t="shared" si="2"/>
        <v>-0.14960458363560153</v>
      </c>
    </row>
    <row r="16" spans="1:9" ht="15.75">
      <c r="A16" s="55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SUM(Jan!G16, Feb!G16, Mar!G16)</f>
        <v>330854.96999999997</v>
      </c>
      <c r="H16" s="39">
        <f>SUM(Jan!H16, Feb!H16, Mar!H16)</f>
        <v>-28355.72</v>
      </c>
      <c r="I16" s="40">
        <f t="shared" ref="I16:I17" si="5">IFERROR(H16/G16, "")</f>
        <v>-8.570437977703646E-2</v>
      </c>
    </row>
    <row r="17" spans="1:9" ht="15.75">
      <c r="A17" s="56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SUM(Jan!G17, Feb!G17, Mar!G17)</f>
        <v>257930.57</v>
      </c>
      <c r="H17" s="46">
        <f>SUM(Jan!H17, Feb!H17, Mar!H17)</f>
        <v>-10606.319999999992</v>
      </c>
      <c r="I17" s="45">
        <f t="shared" si="5"/>
        <v>-4.1120833408773504E-2</v>
      </c>
    </row>
    <row r="18" spans="1:9" ht="14.25">
      <c r="A18" s="13"/>
      <c r="B18" s="8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F4" activePane="bottomRight" state="frozen"/>
      <selection pane="bottomRight" activeCell="G4" sqref="G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12</v>
      </c>
      <c r="E1" s="76"/>
      <c r="F1" s="76"/>
      <c r="G1" s="74" t="s">
        <v>13</v>
      </c>
      <c r="H1" s="74"/>
      <c r="I1" s="74"/>
    </row>
    <row r="2" spans="1:9" ht="19.5" customHeight="1">
      <c r="A2" s="77" t="s">
        <v>2</v>
      </c>
      <c r="B2" s="77"/>
      <c r="C2" s="5">
        <f>SUM(C4:C92)</f>
        <v>12687067.289289543</v>
      </c>
      <c r="D2" s="5">
        <f>SUM(D4:D92)</f>
        <v>13892911.389999999</v>
      </c>
      <c r="E2" s="5">
        <f>C2-D2</f>
        <v>-1205844.1007104553</v>
      </c>
      <c r="F2" s="6">
        <f>IFERROR(E2/D2, 0)</f>
        <v>-8.6795637491678804E-2</v>
      </c>
      <c r="G2" s="5">
        <f>SUM(G4:G92)</f>
        <v>16400042.040000001</v>
      </c>
      <c r="H2" s="7">
        <f>C2-G2</f>
        <v>-3712974.7507104576</v>
      </c>
      <c r="I2" s="6">
        <f>IFERROR(H2/G2, 0)</f>
        <v>-0.22640031907567337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SUM(Apr!C4, May!C4, Jun!C4)</f>
        <v>362194.62187500001</v>
      </c>
      <c r="D4" s="37">
        <f>SUM(Apr!D4, May!D4, Jun!D4)</f>
        <v>382377.8</v>
      </c>
      <c r="E4" s="37">
        <f>IF(AND(ISNUMBER(C4),ISNUMBER(D4)), C4-D4, "")</f>
        <v>-20183.178124999977</v>
      </c>
      <c r="F4" s="38">
        <f>IFERROR(E4/D4, "")</f>
        <v>-5.2783341828421988E-2</v>
      </c>
      <c r="G4" s="39">
        <f>SUM(Apr!G4+May!G4+Jun!G4)</f>
        <v>392007.1</v>
      </c>
      <c r="H4" s="39">
        <f>SUM(Apr!H4, May!H4, Jun!H4)</f>
        <v>-29812.478124999994</v>
      </c>
      <c r="I4" s="40">
        <f>IFERROR(H4/G4, "")</f>
        <v>-7.6050862662946653E-2</v>
      </c>
    </row>
    <row r="5" spans="1:9" ht="15.75">
      <c r="A5" s="56" t="str">
        <v>Adelanto - 1 Sheep Creek Road</v>
      </c>
      <c r="B5" s="42" t="str">
        <v>CA</v>
      </c>
      <c r="C5" s="43">
        <f>SUM(Apr!C5, May!C5, Jun!C5)</f>
        <v>1292585</v>
      </c>
      <c r="D5" s="44">
        <f>SUM(Apr!D5, May!D5, Jun!D5)</f>
        <v>1527342</v>
      </c>
      <c r="E5" s="44">
        <f t="shared" ref="E5:E15" si="0">IF(AND(ISNUMBER(C5),ISNUMBER(D5)), C5-D5, "")</f>
        <v>-234757</v>
      </c>
      <c r="F5" s="45">
        <f>IFERROR(E5/D5, "")</f>
        <v>-0.1537029689486703</v>
      </c>
      <c r="G5" s="46">
        <f>SUM(Apr!G5+May!G5+Jun!G5)</f>
        <v>2950734</v>
      </c>
      <c r="H5" s="46">
        <f>SUM(Apr!H5, May!H5, Jun!H5)</f>
        <v>-1658149</v>
      </c>
      <c r="I5" s="45">
        <f>IFERROR(H5/G5, "")</f>
        <v>-0.56194458734674158</v>
      </c>
    </row>
    <row r="6" spans="1:9" ht="15.75">
      <c r="A6" s="55" t="str">
        <v>Blackstone - 83 Federal Street</v>
      </c>
      <c r="B6" s="35" t="str">
        <v>MA</v>
      </c>
      <c r="C6" s="36">
        <f>SUM(Apr!C6, May!C6, Jun!C6)</f>
        <v>2014135</v>
      </c>
      <c r="D6" s="37">
        <f>SUM(Apr!D6, May!D6, Jun!D6)</f>
        <v>2344243.4</v>
      </c>
      <c r="E6" s="37">
        <f t="shared" si="0"/>
        <v>-330108.39999999991</v>
      </c>
      <c r="F6" s="38">
        <f t="shared" ref="F6:F15" si="1">IFERROR(E6/D6, "")</f>
        <v>-0.14081660633021295</v>
      </c>
      <c r="G6" s="39">
        <f>SUM(Apr!G6+May!G6+Jun!G6)</f>
        <v>2445554.4000000004</v>
      </c>
      <c r="H6" s="39">
        <f>SUM(Apr!H6, May!H6, Jun!H6)</f>
        <v>-431419.4</v>
      </c>
      <c r="I6" s="40">
        <f t="shared" ref="I6:I15" si="2">IFERROR(H6/G6, "")</f>
        <v>-0.17640965173377454</v>
      </c>
    </row>
    <row r="7" spans="1:9" ht="15.75">
      <c r="A7" s="56" t="str">
        <v>Charlton - 299 Worcester Road</v>
      </c>
      <c r="B7" s="42" t="str">
        <v>MA</v>
      </c>
      <c r="C7" s="43">
        <f>SUM(Apr!C7, May!C7, Jun!C7)</f>
        <v>189047.25</v>
      </c>
      <c r="D7" s="44">
        <f>SUM(Apr!D7, May!D7, Jun!D7)</f>
        <v>198845.99</v>
      </c>
      <c r="E7" s="44">
        <f t="shared" si="0"/>
        <v>-9798.7399999999907</v>
      </c>
      <c r="F7" s="45">
        <f t="shared" si="1"/>
        <v>-4.9278036735867753E-2</v>
      </c>
      <c r="G7" s="46">
        <f>SUM(Apr!G7+May!G7+Jun!G7)</f>
        <v>206105.8</v>
      </c>
      <c r="H7" s="46">
        <f>SUM(Apr!H7, May!H7, Jun!H7)</f>
        <v>-17058.550000000003</v>
      </c>
      <c r="I7" s="45">
        <f t="shared" si="2"/>
        <v>-8.2765987177459366E-2</v>
      </c>
    </row>
    <row r="8" spans="1:9" ht="15.75">
      <c r="A8" s="55" t="str">
        <v>Wareham - 8 Thatcher Drive</v>
      </c>
      <c r="B8" s="35" t="str">
        <v>MA</v>
      </c>
      <c r="C8" s="36">
        <f>SUM(Apr!C8, May!C8, Jun!C8)</f>
        <v>57729.125</v>
      </c>
      <c r="D8" s="37">
        <f>SUM(Apr!D8, May!D8, Jun!D8)</f>
        <v>59578.270000000004</v>
      </c>
      <c r="E8" s="37">
        <f t="shared" si="0"/>
        <v>-1849.1450000000041</v>
      </c>
      <c r="F8" s="38">
        <f t="shared" si="1"/>
        <v>-3.1037238912778164E-2</v>
      </c>
      <c r="G8" s="39">
        <f>SUM(Apr!G8+May!G8+Jun!G8)</f>
        <v>59234.58</v>
      </c>
      <c r="H8" s="39">
        <f>SUM(Apr!H8, May!H8, Jun!H8)</f>
        <v>-1505.4550000000017</v>
      </c>
      <c r="I8" s="40">
        <f t="shared" si="2"/>
        <v>-2.5415137576733079E-2</v>
      </c>
    </row>
    <row r="9" spans="1:9" ht="15.75">
      <c r="A9" s="56" t="str">
        <v>West Yarmouth - 42 Mid Tech</v>
      </c>
      <c r="B9" s="42" t="str">
        <v>MA</v>
      </c>
      <c r="C9" s="43">
        <f>SUM(Apr!C9, May!C9, Jun!C9)</f>
        <v>55410.907570793097</v>
      </c>
      <c r="D9" s="44">
        <f>SUM(Apr!D9, May!D9, Jun!D9)</f>
        <v>59560.35</v>
      </c>
      <c r="E9" s="44">
        <f t="shared" si="0"/>
        <v>-4149.4424292069016</v>
      </c>
      <c r="F9" s="45">
        <f t="shared" si="1"/>
        <v>-6.9667865101647353E-2</v>
      </c>
      <c r="G9" s="46">
        <f>SUM(Apr!G9+May!G9+Jun!G9)</f>
        <v>61214.37</v>
      </c>
      <c r="H9" s="46">
        <f>SUM(Apr!H9, May!H9, Jun!H9)</f>
        <v>-5803.4624292069038</v>
      </c>
      <c r="I9" s="45">
        <f t="shared" si="2"/>
        <v>-9.4805556754188655E-2</v>
      </c>
    </row>
    <row r="10" spans="1:9" ht="15.75">
      <c r="A10" s="55" t="str">
        <v>Harrison - 130 Union Street</v>
      </c>
      <c r="B10" s="35" t="str">
        <v>NY</v>
      </c>
      <c r="C10" s="36">
        <f>SUM(Apr!C10, May!C10, Jun!C10)</f>
        <v>82236.0625</v>
      </c>
      <c r="D10" s="37">
        <f>SUM(Apr!D10, May!D10, Jun!D10)</f>
        <v>88062.58</v>
      </c>
      <c r="E10" s="37">
        <f t="shared" si="0"/>
        <v>-5826.5175000000017</v>
      </c>
      <c r="F10" s="38">
        <f t="shared" si="1"/>
        <v>-6.6163374954492607E-2</v>
      </c>
      <c r="G10" s="39">
        <f>SUM(Apr!G10+May!G10+Jun!G10)</f>
        <v>87265.510000000009</v>
      </c>
      <c r="H10" s="39">
        <f>SUM(Apr!H10, May!H10, Jun!H10)</f>
        <v>-5029.447500000002</v>
      </c>
      <c r="I10" s="40">
        <f t="shared" si="2"/>
        <v>-5.7633852137001222E-2</v>
      </c>
    </row>
    <row r="11" spans="1:9" ht="15.75">
      <c r="A11" s="56" t="str">
        <v>Staten Island - Ellis Storage</v>
      </c>
      <c r="B11" s="42" t="str">
        <v>NY</v>
      </c>
      <c r="C11" s="43">
        <f>SUM(Apr!C11, May!C11, Jun!C11)</f>
        <v>191765.875</v>
      </c>
      <c r="D11" s="44">
        <f>SUM(Apr!D11, May!D11, Jun!D11)</f>
        <v>207822.32</v>
      </c>
      <c r="E11" s="44">
        <f t="shared" si="0"/>
        <v>-16056.445000000007</v>
      </c>
      <c r="F11" s="45">
        <f t="shared" si="1"/>
        <v>-7.7260445365059952E-2</v>
      </c>
      <c r="G11" s="46">
        <f>SUM(Apr!G11+May!G11+Jun!G11)</f>
        <v>204052.08000000002</v>
      </c>
      <c r="H11" s="46">
        <f>SUM(Apr!H11, May!H11, Jun!H11)</f>
        <v>-12286.205000000009</v>
      </c>
      <c r="I11" s="45">
        <f t="shared" si="2"/>
        <v>-6.0211123552379411E-2</v>
      </c>
    </row>
    <row r="12" spans="1:9" ht="15.75">
      <c r="A12" s="55" t="str">
        <v>Amherst - 595 Scholles Road</v>
      </c>
      <c r="B12" s="35" t="str">
        <v>NY</v>
      </c>
      <c r="C12" s="36">
        <f>SUM(Apr!C12, May!C12, Jun!C12)</f>
        <v>2867321</v>
      </c>
      <c r="D12" s="37">
        <f>SUM(Apr!D12, May!D12, Jun!D12)</f>
        <v>2878595.31</v>
      </c>
      <c r="E12" s="37">
        <f t="shared" si="0"/>
        <v>-11274.310000000056</v>
      </c>
      <c r="F12" s="38">
        <f t="shared" si="1"/>
        <v>-3.9166012536857968E-3</v>
      </c>
      <c r="G12" s="39">
        <f>SUM(Apr!G12+May!G12+Jun!G12)</f>
        <v>3401178</v>
      </c>
      <c r="H12" s="39">
        <f>SUM(Apr!H12, May!H12, Jun!H12)</f>
        <v>-533857</v>
      </c>
      <c r="I12" s="40">
        <f t="shared" si="2"/>
        <v>-0.15696238185710951</v>
      </c>
    </row>
    <row r="13" spans="1:9" ht="15.75">
      <c r="A13" s="56" t="str">
        <v>Lancaster 1 - Gunnville Road</v>
      </c>
      <c r="B13" s="42" t="str">
        <v>NY</v>
      </c>
      <c r="C13" s="43">
        <f>SUM(Apr!C13, May!C13, Jun!C13)</f>
        <v>2083516</v>
      </c>
      <c r="D13" s="44">
        <f>SUM(Apr!D13, May!D13, Jun!D13)</f>
        <v>2359960.67</v>
      </c>
      <c r="E13" s="44">
        <f t="shared" si="0"/>
        <v>-276444.66999999993</v>
      </c>
      <c r="F13" s="45">
        <f t="shared" si="1"/>
        <v>-0.11713952419385021</v>
      </c>
      <c r="G13" s="46">
        <f>SUM(Apr!G13+May!G13+Jun!G13)</f>
        <v>2540431.6</v>
      </c>
      <c r="H13" s="46">
        <f>SUM(Apr!H13, May!H13, Jun!H13)</f>
        <v>-456915.6</v>
      </c>
      <c r="I13" s="45">
        <f t="shared" si="2"/>
        <v>-0.17985746988818749</v>
      </c>
    </row>
    <row r="14" spans="1:9" ht="15.75">
      <c r="A14" s="55" t="str">
        <v>Lancaster 2 - Shisler Road</v>
      </c>
      <c r="B14" s="35" t="str">
        <v>NY</v>
      </c>
      <c r="C14" s="36">
        <f>SUM(Apr!C14, May!C14, Jun!C14)</f>
        <v>2235309</v>
      </c>
      <c r="D14" s="37">
        <f>SUM(Apr!D14, May!D14, Jun!D14)</f>
        <v>2491591.1</v>
      </c>
      <c r="E14" s="37">
        <f t="shared" si="0"/>
        <v>-256282.10000000009</v>
      </c>
      <c r="F14" s="38">
        <f t="shared" si="1"/>
        <v>-0.10285881178496747</v>
      </c>
      <c r="G14" s="39">
        <f>SUM(Apr!G14+May!G14+Jun!G14)</f>
        <v>2787145.4</v>
      </c>
      <c r="H14" s="39">
        <f>SUM(Apr!H14, May!H14, Jun!H14)</f>
        <v>-551836.4</v>
      </c>
      <c r="I14" s="40">
        <f t="shared" si="2"/>
        <v>-0.19799340213825947</v>
      </c>
    </row>
    <row r="15" spans="1:9" ht="15.75">
      <c r="A15" s="56" t="str">
        <v>Fullerton - 200 W Orangethorpe</v>
      </c>
      <c r="B15" s="42" t="str">
        <v>CA</v>
      </c>
      <c r="C15" s="43">
        <f>SUM(Apr!C15, May!C15, Jun!C15)</f>
        <v>354761.19734374998</v>
      </c>
      <c r="D15" s="44">
        <f>SUM(Apr!D15, May!D15, Jun!D15)</f>
        <v>367438.7</v>
      </c>
      <c r="E15" s="44">
        <f t="shared" si="0"/>
        <v>-12677.502656250028</v>
      </c>
      <c r="F15" s="45">
        <f t="shared" si="1"/>
        <v>-3.4502360955038287E-2</v>
      </c>
      <c r="G15" s="46">
        <f>SUM(Apr!G15+May!G15+Jun!G15)</f>
        <v>393892.4</v>
      </c>
      <c r="H15" s="46">
        <f>SUM(Apr!H15, May!H15, Jun!H15)</f>
        <v>-39131.202656249996</v>
      </c>
      <c r="I15" s="45">
        <f t="shared" si="2"/>
        <v>-9.9344903979487781E-2</v>
      </c>
    </row>
    <row r="16" spans="1:9" ht="15.75">
      <c r="A16" s="55" t="str">
        <v>El Paso - 10500 Railroad Drive</v>
      </c>
      <c r="B16" s="35" t="str">
        <v>TX</v>
      </c>
      <c r="C16" s="36">
        <f>SUM(Apr!C16, May!C16, Jun!C16)</f>
        <v>503296.5</v>
      </c>
      <c r="D16" s="37">
        <f>SUM(Apr!D16, May!D16, Jun!D16)</f>
        <v>500389.6</v>
      </c>
      <c r="E16" s="37">
        <f t="shared" ref="E16:E17" si="3">IF(AND(ISNUMBER(C16),ISNUMBER(D16)), C16-D16, "")</f>
        <v>2906.9000000000233</v>
      </c>
      <c r="F16" s="38">
        <f t="shared" ref="F16:F17" si="4">IFERROR(E16/D16, "")</f>
        <v>5.8092734141557368E-3</v>
      </c>
      <c r="G16" s="39">
        <f>SUM(Apr!G16+May!G16+Jun!G16)</f>
        <v>463380.80000000005</v>
      </c>
      <c r="H16" s="39">
        <f>SUM(Apr!H16, May!H16, Jun!H16)</f>
        <v>39915.700000000012</v>
      </c>
      <c r="I16" s="40">
        <f t="shared" ref="I16:I17" si="5">IFERROR(H16/G16, "")</f>
        <v>8.6140168086377353E-2</v>
      </c>
    </row>
    <row r="17" spans="1:9" ht="15.75">
      <c r="A17" s="56" t="str">
        <v>Friona - 900 Millard Ave</v>
      </c>
      <c r="B17" s="42" t="str">
        <v>TX</v>
      </c>
      <c r="C17" s="43">
        <f>SUM(Apr!C17, May!C17, Jun!C17)</f>
        <v>397759.75</v>
      </c>
      <c r="D17" s="44">
        <f>SUM(Apr!D17, May!D17, Jun!D17)</f>
        <v>427103.30000000005</v>
      </c>
      <c r="E17" s="44">
        <f t="shared" si="3"/>
        <v>-29343.550000000047</v>
      </c>
      <c r="F17" s="65">
        <f t="shared" si="4"/>
        <v>-6.8703636801682511E-2</v>
      </c>
      <c r="G17" s="46">
        <f>SUM(Apr!G17+May!G17+Jun!G17)</f>
        <v>407846</v>
      </c>
      <c r="H17" s="46">
        <f>SUM(Apr!H17, May!H17, Jun!H17)</f>
        <v>-10086.25</v>
      </c>
      <c r="I17" s="66">
        <f t="shared" si="5"/>
        <v>-2.4730535545279344E-2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F18:F92 I18:I9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J9" sqref="J9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14</v>
      </c>
      <c r="E1" s="76"/>
      <c r="F1" s="76"/>
      <c r="G1" s="74" t="s">
        <v>15</v>
      </c>
      <c r="H1" s="74"/>
      <c r="I1" s="74"/>
    </row>
    <row r="2" spans="1:9" ht="19.5" customHeight="1">
      <c r="A2" s="77" t="s">
        <v>2</v>
      </c>
      <c r="B2" s="77"/>
      <c r="C2" s="5">
        <f>SUM(C4:C92)</f>
        <v>20375722.06825592</v>
      </c>
      <c r="D2" s="5">
        <f>SUM(D4:D92)</f>
        <v>9245548.8050000016</v>
      </c>
      <c r="E2" s="5">
        <f>C2-D2</f>
        <v>11130173.263255918</v>
      </c>
      <c r="F2" s="6">
        <f>IFERROR(E2/D2, 0)</f>
        <v>1.2038412751914425</v>
      </c>
      <c r="G2" s="5">
        <f>SUM(G4:G92)</f>
        <v>11307026.742999999</v>
      </c>
      <c r="H2" s="7">
        <f>C2-G2</f>
        <v>9068695.3252559211</v>
      </c>
      <c r="I2" s="6">
        <f>IFERROR(H2/G2, 0)</f>
        <v>0.80204067182119354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SUM(Jul!C4, Aug!C4, Sep!C4)</f>
        <v>234072.625</v>
      </c>
      <c r="D4" s="37">
        <f>SUM(Jul!D4, Aug!D4, Sep!D4)</f>
        <v>254400.15700000001</v>
      </c>
      <c r="E4" s="37">
        <f>IF(AND(ISNUMBER(C4),ISNUMBER(D4)), C4-D4, "")</f>
        <v>-20327.532000000007</v>
      </c>
      <c r="F4" s="38">
        <f>IFERROR(E4/D4, "")</f>
        <v>-7.9903771443034163E-2</v>
      </c>
      <c r="G4" s="39">
        <f>SUM(Jul!G4,Aug!G4,Sep!G4)</f>
        <v>258623.753</v>
      </c>
      <c r="H4" s="39">
        <f>SUM(Jul!H4, Aug!H4, Sep!H4)</f>
        <v>-24551.127999999997</v>
      </c>
      <c r="I4" s="40">
        <f>IFERROR(H4/G4, "")</f>
        <v>-9.4929903828284465E-2</v>
      </c>
    </row>
    <row r="5" spans="1:9" ht="15.75">
      <c r="A5" s="56" t="str">
        <v>Adelanto - 1 Sheep Creek Road</v>
      </c>
      <c r="B5" s="42" t="str">
        <v>CA</v>
      </c>
      <c r="C5" s="43">
        <f>SUM(Jul!C5, Aug!C5, Sep!C5)</f>
        <v>1434045</v>
      </c>
      <c r="D5" s="44">
        <f>SUM(Jul!D5, Aug!D5, Sep!D5)</f>
        <v>1018095.18</v>
      </c>
      <c r="E5" s="44">
        <f t="shared" ref="E5:E15" si="0">IF(AND(ISNUMBER(C5),ISNUMBER(D5)), C5-D5, "")</f>
        <v>415949.81999999995</v>
      </c>
      <c r="F5" s="45">
        <f>IFERROR(E5/D5, "")</f>
        <v>0.40855690918799942</v>
      </c>
      <c r="G5" s="46">
        <f>SUM(Jul!G5,Aug!G5,Sep!G5)</f>
        <v>1857466.63</v>
      </c>
      <c r="H5" s="46">
        <f>SUM(Jul!H5, Aug!H5, Sep!H5)</f>
        <v>-423421.63</v>
      </c>
      <c r="I5" s="45">
        <f>IFERROR(H5/G5, "")</f>
        <v>-0.22795652054325199</v>
      </c>
    </row>
    <row r="6" spans="1:9" ht="15.75">
      <c r="A6" s="55" t="str">
        <v>Blackstone - 83 Federal Street</v>
      </c>
      <c r="B6" s="35" t="str">
        <v>MA</v>
      </c>
      <c r="C6" s="36">
        <f>SUM(Jul!C6, Aug!C6, Sep!C6)</f>
        <v>13019101</v>
      </c>
      <c r="D6" s="37">
        <f>SUM(Jul!D6, Aug!D6, Sep!D6)</f>
        <v>1542224.5</v>
      </c>
      <c r="E6" s="37">
        <f t="shared" si="0"/>
        <v>11476876.5</v>
      </c>
      <c r="F6" s="38">
        <f t="shared" ref="F6:F15" si="1">IFERROR(E6/D6, "")</f>
        <v>7.4417677192911924</v>
      </c>
      <c r="G6" s="39">
        <f>SUM(Jul!G6,Aug!G6,Sep!G6)</f>
        <v>1782011.3</v>
      </c>
      <c r="H6" s="39">
        <f>SUM(Jul!H6, Aug!H6, Sep!H6)</f>
        <v>11237089.699999999</v>
      </c>
      <c r="I6" s="40">
        <f t="shared" ref="I6:I15" si="2">IFERROR(H6/G6, "")</f>
        <v>6.3058464893011612</v>
      </c>
    </row>
    <row r="7" spans="1:9" ht="15.75">
      <c r="A7" s="56" t="str">
        <v>Charlton - 299 Worcester Road</v>
      </c>
      <c r="B7" s="42" t="str">
        <v>MA</v>
      </c>
      <c r="C7" s="43">
        <f>SUM(Jul!C7, Aug!C7, Sep!C7)</f>
        <v>124062</v>
      </c>
      <c r="D7" s="44">
        <f>SUM(Jul!D7, Aug!D7, Sep!D7)</f>
        <v>132334.62</v>
      </c>
      <c r="E7" s="44">
        <f t="shared" si="0"/>
        <v>-8272.6199999999953</v>
      </c>
      <c r="F7" s="45">
        <f t="shared" si="1"/>
        <v>-6.2512893451464144E-2</v>
      </c>
      <c r="G7" s="46">
        <f>SUM(Jul!G7,Aug!G7,Sep!G7)</f>
        <v>133501.87</v>
      </c>
      <c r="H7" s="46">
        <f>SUM(Jul!H7, Aug!H7, Sep!H7)</f>
        <v>-9439.8699999999953</v>
      </c>
      <c r="I7" s="45">
        <f t="shared" si="2"/>
        <v>-7.0709646239412199E-2</v>
      </c>
    </row>
    <row r="8" spans="1:9" ht="15.75">
      <c r="A8" s="55" t="str">
        <v>Wareham - 8 Thatcher Drive</v>
      </c>
      <c r="B8" s="35" t="str">
        <v>MA</v>
      </c>
      <c r="C8" s="36">
        <f>SUM(Jul!C8, Aug!C8, Sep!C8)</f>
        <v>38246.75</v>
      </c>
      <c r="D8" s="37">
        <f>SUM(Jul!D8, Aug!D8, Sep!D8)</f>
        <v>40194.76</v>
      </c>
      <c r="E8" s="37">
        <f t="shared" si="0"/>
        <v>-1948.010000000002</v>
      </c>
      <c r="F8" s="38">
        <f t="shared" si="1"/>
        <v>-4.8464277433177903E-2</v>
      </c>
      <c r="G8" s="39">
        <f>SUM(Jul!G8,Aug!G8,Sep!G8)</f>
        <v>40291.979999999996</v>
      </c>
      <c r="H8" s="39">
        <f>SUM(Jul!H8, Aug!H8, Sep!H8)</f>
        <v>-2045.2299999999996</v>
      </c>
      <c r="I8" s="40">
        <f t="shared" si="2"/>
        <v>-5.0760225732267308E-2</v>
      </c>
    </row>
    <row r="9" spans="1:9" ht="15.75">
      <c r="A9" s="56" t="str">
        <v>West Yarmouth - 42 Mid Tech</v>
      </c>
      <c r="B9" s="42" t="str">
        <v>MA</v>
      </c>
      <c r="C9" s="43">
        <f>SUM(Jul!C9, Aug!C9, Sep!C9)</f>
        <v>35975.004755923299</v>
      </c>
      <c r="D9" s="44">
        <f>SUM(Jul!D9, Aug!D9, Sep!D9)</f>
        <v>37533.51</v>
      </c>
      <c r="E9" s="44">
        <f t="shared" si="0"/>
        <v>-1558.5052440767031</v>
      </c>
      <c r="F9" s="45">
        <f t="shared" si="1"/>
        <v>-4.1523034858096219E-2</v>
      </c>
      <c r="G9" s="46">
        <f>SUM(Jul!G9,Aug!G9,Sep!G9)</f>
        <v>43103.19</v>
      </c>
      <c r="H9" s="46">
        <f>SUM(Jul!H9, Aug!H9, Sep!H9)</f>
        <v>-7128.1852440766997</v>
      </c>
      <c r="I9" s="45">
        <f t="shared" si="2"/>
        <v>-0.16537488858891186</v>
      </c>
    </row>
    <row r="10" spans="1:9" ht="15.75">
      <c r="A10" s="55" t="str">
        <v>Harrison - 130 Union Street</v>
      </c>
      <c r="B10" s="35" t="str">
        <v>NY</v>
      </c>
      <c r="C10" s="36">
        <f>SUM(Jul!C10, Aug!C10, Sep!C10)</f>
        <v>54964.4375</v>
      </c>
      <c r="D10" s="37">
        <f>SUM(Jul!D10, Aug!D10, Sep!D10)</f>
        <v>60683.61</v>
      </c>
      <c r="E10" s="37">
        <f t="shared" si="0"/>
        <v>-5719.1725000000006</v>
      </c>
      <c r="F10" s="38">
        <f t="shared" si="1"/>
        <v>-9.424575268346759E-2</v>
      </c>
      <c r="G10" s="39">
        <f>SUM(Jul!G10,Aug!G10,Sep!G10)</f>
        <v>61059.95</v>
      </c>
      <c r="H10" s="39">
        <f>SUM(Jul!H10, Aug!H10, Sep!H10)</f>
        <v>-6095.5125000000007</v>
      </c>
      <c r="I10" s="40">
        <f t="shared" si="2"/>
        <v>-9.9828324458175952E-2</v>
      </c>
    </row>
    <row r="11" spans="1:9" ht="15.75">
      <c r="A11" s="56" t="str">
        <v>Staten Island - Ellis Storage</v>
      </c>
      <c r="B11" s="42" t="str">
        <v>NY</v>
      </c>
      <c r="C11" s="43">
        <f>SUM(Jul!C11, Aug!C11, Sep!C11)</f>
        <v>126572.125</v>
      </c>
      <c r="D11" s="44">
        <f>SUM(Jul!D11, Aug!D11, Sep!D11)</f>
        <v>141497.35999999999</v>
      </c>
      <c r="E11" s="44">
        <f t="shared" si="0"/>
        <v>-14925.234999999986</v>
      </c>
      <c r="F11" s="45">
        <f t="shared" si="1"/>
        <v>-0.10548066055790714</v>
      </c>
      <c r="G11" s="46">
        <f>SUM(Jul!G11,Aug!G11,Sep!G11)</f>
        <v>137753.76999999999</v>
      </c>
      <c r="H11" s="46">
        <f>SUM(Jul!H11, Aug!H11, Sep!H11)</f>
        <v>-11181.644999999997</v>
      </c>
      <c r="I11" s="45">
        <f t="shared" si="2"/>
        <v>-8.1171244895874697E-2</v>
      </c>
    </row>
    <row r="12" spans="1:9" ht="15.75">
      <c r="A12" s="55" t="str">
        <v>Amherst - 595 Scholles Road</v>
      </c>
      <c r="B12" s="35" t="str">
        <v>NY</v>
      </c>
      <c r="C12" s="36">
        <f>SUM(Jul!C12, Aug!C12, Sep!C12)</f>
        <v>2130054</v>
      </c>
      <c r="D12" s="37">
        <f>SUM(Jul!D12, Aug!D12, Sep!D12)</f>
        <v>2197308.87</v>
      </c>
      <c r="E12" s="37">
        <f t="shared" si="0"/>
        <v>-67254.870000000112</v>
      </c>
      <c r="F12" s="38">
        <f t="shared" si="1"/>
        <v>-3.0607836211938702E-2</v>
      </c>
      <c r="G12" s="39">
        <f>SUM(Jul!G12,Aug!G12,Sep!G12)</f>
        <v>2392647</v>
      </c>
      <c r="H12" s="39">
        <f>SUM(Jul!H12, Aug!H12, Sep!H12)</f>
        <v>-262593</v>
      </c>
      <c r="I12" s="40">
        <f t="shared" si="2"/>
        <v>-0.109749996551936</v>
      </c>
    </row>
    <row r="13" spans="1:9" ht="15.75">
      <c r="A13" s="56" t="str">
        <v>Lancaster 1 - Gunnville Road</v>
      </c>
      <c r="B13" s="42" t="str">
        <v>NY</v>
      </c>
      <c r="C13" s="43">
        <f>SUM(Jul!C13, Aug!C13, Sep!C13)</f>
        <v>1237166</v>
      </c>
      <c r="D13" s="44">
        <f>SUM(Jul!D13, Aug!D13, Sep!D13)</f>
        <v>1512936.2760000001</v>
      </c>
      <c r="E13" s="44">
        <f t="shared" si="0"/>
        <v>-275770.27600000007</v>
      </c>
      <c r="F13" s="45">
        <f t="shared" si="1"/>
        <v>-0.18227487857525604</v>
      </c>
      <c r="G13" s="46">
        <f>SUM(Jul!G13,Aug!G13,Sep!G13)</f>
        <v>1780429.51</v>
      </c>
      <c r="H13" s="46">
        <f>SUM(Jul!H13, Aug!H13, Sep!H13)</f>
        <v>-543263.51</v>
      </c>
      <c r="I13" s="45">
        <f t="shared" si="2"/>
        <v>-0.305130591775015</v>
      </c>
    </row>
    <row r="14" spans="1:9" ht="15.75">
      <c r="A14" s="55" t="str">
        <v>Lancaster 2 - Shisler Road</v>
      </c>
      <c r="B14" s="35" t="str">
        <v>NY</v>
      </c>
      <c r="C14" s="36">
        <f>SUM(Jul!C14, Aug!C14, Sep!C14)</f>
        <v>1271081</v>
      </c>
      <c r="D14" s="37">
        <f>SUM(Jul!D14, Aug!D14, Sep!D14)</f>
        <v>1594916.9240000001</v>
      </c>
      <c r="E14" s="37">
        <f t="shared" si="0"/>
        <v>-323835.92400000012</v>
      </c>
      <c r="F14" s="38">
        <f t="shared" si="1"/>
        <v>-0.20304250279558766</v>
      </c>
      <c r="G14" s="39">
        <f>SUM(Jul!G14,Aug!G14,Sep!G14)</f>
        <v>1951353.1800000002</v>
      </c>
      <c r="H14" s="39">
        <f>SUM(Jul!H14, Aug!H14, Sep!H14)</f>
        <v>-680272.18</v>
      </c>
      <c r="I14" s="40">
        <f t="shared" si="2"/>
        <v>-0.34861561042476175</v>
      </c>
    </row>
    <row r="15" spans="1:9" ht="15.75">
      <c r="A15" s="56" t="str">
        <v>Fullerton - 200 W Orangethorpe</v>
      </c>
      <c r="B15" s="42" t="str">
        <v>CA</v>
      </c>
      <c r="C15" s="43">
        <f>SUM(Jul!C15, Aug!C15, Sep!C15)</f>
        <v>261751.00099999999</v>
      </c>
      <c r="D15" s="44">
        <f>SUM(Jul!D15, Aug!D15, Sep!D15)</f>
        <v>270904.19800000003</v>
      </c>
      <c r="E15" s="44">
        <f t="shared" si="0"/>
        <v>-9153.1970000000438</v>
      </c>
      <c r="F15" s="45">
        <f t="shared" si="1"/>
        <v>-3.3787579031905747E-2</v>
      </c>
      <c r="G15" s="46">
        <f>SUM(Jul!G15,Aug!G15,Sep!G15)</f>
        <v>285878.11</v>
      </c>
      <c r="H15" s="46">
        <f>SUM(Jul!H15, Aug!H15, Sep!H15)</f>
        <v>-24127.109000000026</v>
      </c>
      <c r="I15" s="45">
        <f t="shared" si="2"/>
        <v>-8.4396489818685402E-2</v>
      </c>
    </row>
    <row r="16" spans="1:9" ht="15.75">
      <c r="A16" s="55" t="str">
        <v>El Paso - 10500 Railroad Drive</v>
      </c>
      <c r="B16" s="35" t="str">
        <v>TX</v>
      </c>
      <c r="C16" s="36">
        <f>SUM(Jul!C16, Aug!C16, Sep!C16)</f>
        <v>226910</v>
      </c>
      <c r="D16" s="37">
        <f>SUM(Jul!D16, Aug!D16, Sep!D16)</f>
        <v>231586.27</v>
      </c>
      <c r="E16" s="37">
        <f t="shared" ref="E16:E17" si="3">IF(AND(ISNUMBER(C16),ISNUMBER(D16)), C16-D16, "")</f>
        <v>-4676.2699999999895</v>
      </c>
      <c r="F16" s="38">
        <f t="shared" ref="F16:F17" si="4">IFERROR(E16/D16, "")</f>
        <v>-2.0192345599762844E-2</v>
      </c>
      <c r="G16" s="39">
        <f>SUM(Jul!G16,Aug!G16,Sep!G16)</f>
        <v>303864.80000000005</v>
      </c>
      <c r="H16" s="39">
        <f>SUM(Jul!H16, Aug!H16, Sep!H16)</f>
        <v>-76954.800000000017</v>
      </c>
      <c r="I16" s="40">
        <f t="shared" ref="I16:I17" si="5">IFERROR(H16/G16, "")</f>
        <v>-0.25325342060021433</v>
      </c>
    </row>
    <row r="17" spans="1:9" ht="15.75">
      <c r="A17" s="56" t="str">
        <v>Friona - 900 Millard Ave</v>
      </c>
      <c r="B17" s="42" t="str">
        <v>TX</v>
      </c>
      <c r="C17" s="43">
        <f>SUM(Jul!C17, Aug!C17, Sep!C17)</f>
        <v>181721.125</v>
      </c>
      <c r="D17" s="44">
        <f>SUM(Jul!D17, Aug!D17, Sep!D17)</f>
        <v>210932.57</v>
      </c>
      <c r="E17" s="44">
        <f t="shared" si="3"/>
        <v>-29211.445000000007</v>
      </c>
      <c r="F17" s="45">
        <f t="shared" si="4"/>
        <v>-0.13848712410795547</v>
      </c>
      <c r="G17" s="46">
        <f>SUM(Jul!G17,Aug!G17,Sep!G17)</f>
        <v>279041.7</v>
      </c>
      <c r="H17" s="46">
        <f>SUM(Jul!H17, Aug!H17, Sep!H17)</f>
        <v>-97320.575000000012</v>
      </c>
      <c r="I17" s="45">
        <f t="shared" si="5"/>
        <v>-0.348767137671538</v>
      </c>
    </row>
    <row r="18" spans="1:9" ht="15.75">
      <c r="A18" s="9"/>
      <c r="B18" s="13"/>
      <c r="C18" s="13"/>
      <c r="D18" s="13"/>
      <c r="E18" s="13"/>
      <c r="F18" s="13"/>
      <c r="G18" s="13"/>
      <c r="H18" s="13"/>
      <c r="I18" s="13"/>
    </row>
    <row r="19" spans="1:9" ht="15.75">
      <c r="A19" s="9"/>
      <c r="B19" s="13"/>
      <c r="C19" s="13"/>
      <c r="D19" s="13"/>
      <c r="E19" s="13"/>
      <c r="F19" s="13"/>
      <c r="G19" s="13"/>
      <c r="H19" s="13"/>
      <c r="I19" s="13"/>
    </row>
    <row r="20" spans="1:9" ht="15.75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Catalyze</v>
      </c>
      <c r="B1" s="75"/>
      <c r="C1" s="75"/>
      <c r="D1" s="76" t="s">
        <v>16</v>
      </c>
      <c r="E1" s="76"/>
      <c r="F1" s="76"/>
      <c r="G1" s="74" t="s">
        <v>17</v>
      </c>
      <c r="H1" s="74"/>
      <c r="I1" s="74"/>
    </row>
    <row r="2" spans="1:9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SUM(Oct!C16, Nov!C16, Dec!C16)</f>
        <v>0</v>
      </c>
      <c r="D16" s="37">
        <f>SUM(Oct!D16, Nov!D16, Dec!D16)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SUM(Oct!H16, Nov!H16, Dec!H16)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5.75">
      <c r="A18" s="9"/>
      <c r="B18" s="8"/>
      <c r="C18" s="23"/>
      <c r="D18" s="10"/>
      <c r="E18" s="10"/>
      <c r="F18" s="11"/>
      <c r="G18" s="12"/>
      <c r="H18" s="12"/>
      <c r="I18" s="11"/>
    </row>
    <row r="19" spans="1:9" ht="14.25">
      <c r="A19" s="13"/>
      <c r="B19" s="8"/>
      <c r="C19" s="23"/>
      <c r="D19" s="10"/>
      <c r="E19" s="10"/>
      <c r="F19" s="11"/>
      <c r="G19" s="12"/>
      <c r="H19" s="12"/>
      <c r="I19" s="11"/>
    </row>
    <row r="20" spans="1:9" ht="14.25">
      <c r="A20" s="13"/>
      <c r="B20" s="8"/>
      <c r="C20" s="23"/>
      <c r="D20" s="10"/>
      <c r="E20" s="10"/>
      <c r="F20" s="11"/>
      <c r="G20" s="12"/>
      <c r="H20" s="12"/>
      <c r="I20" s="11"/>
    </row>
    <row r="21" spans="1:9" ht="14.25">
      <c r="A21" s="13"/>
      <c r="B21" s="8"/>
      <c r="C21" s="23"/>
      <c r="D21" s="10"/>
      <c r="E21" s="10"/>
      <c r="F21" s="11"/>
      <c r="G21" s="12"/>
      <c r="H21" s="12"/>
      <c r="I21" s="11"/>
    </row>
    <row r="22" spans="1:9" ht="14.25">
      <c r="A22" s="13"/>
      <c r="B22" s="8"/>
      <c r="C22" s="23"/>
      <c r="D22" s="10"/>
      <c r="E22" s="10"/>
      <c r="F22" s="11"/>
      <c r="G22" s="12"/>
      <c r="H22" s="12"/>
      <c r="I22" s="11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E4" activePane="bottomRight" state="frozen"/>
      <selection pane="bottomRight" activeCell="F8" sqref="F8"/>
      <selection pane="bottomLeft" activeCell="A18" sqref="A18:XFD24"/>
      <selection pane="topRight" activeCell="A18" sqref="A18:XFD24"/>
    </sheetView>
  </sheetViews>
  <sheetFormatPr defaultRowHeight="13.5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75" t="str" cm="1">
        <f t="array" ref="A1">portfolio</f>
        <v>Catalyze</v>
      </c>
      <c r="B1" s="75"/>
      <c r="C1" s="75"/>
      <c r="D1" s="76" t="s">
        <v>18</v>
      </c>
      <c r="E1" s="76"/>
      <c r="F1" s="76"/>
      <c r="G1" s="74" t="s">
        <v>19</v>
      </c>
      <c r="H1" s="74"/>
      <c r="I1" s="74"/>
      <c r="J1" s="4"/>
      <c r="K1" s="4"/>
    </row>
    <row r="2" spans="1:11" ht="15">
      <c r="A2" s="77" t="s">
        <v>2</v>
      </c>
      <c r="B2" s="77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7">
        <v>40368.4375</v>
      </c>
      <c r="D4" s="37">
        <v>39837.75</v>
      </c>
      <c r="E4" s="37">
        <f>IF(AND(ISNUMBER(C4),ISNUMBER(D4)), C4-D4, "")</f>
        <v>530.6875</v>
      </c>
      <c r="F4" s="40">
        <f>IFERROR(E4/D4, "")</f>
        <v>1.3321221705543109E-2</v>
      </c>
      <c r="G4" s="39">
        <v>48161.71</v>
      </c>
      <c r="H4" s="39">
        <f>IF(AND(ISNUMBER(C4),ISNUMBER(G4)), C4-G4, "")</f>
        <v>-7793.2724999999991</v>
      </c>
      <c r="I4" s="40">
        <f>IFERROR(H4/G4, "")</f>
        <v>-0.16181469677883115</v>
      </c>
      <c r="J4" s="57" t="s">
        <v>22</v>
      </c>
      <c r="K4" s="57" t="s">
        <v>23</v>
      </c>
    </row>
    <row r="5" spans="1:11" ht="28.5">
      <c r="A5" s="53" t="str">
        <v>Adelanto - 1 Sheep Creek Road</v>
      </c>
      <c r="B5" s="50" t="str">
        <v>CA</v>
      </c>
      <c r="C5" s="44">
        <v>80417</v>
      </c>
      <c r="D5" s="44">
        <v>352340</v>
      </c>
      <c r="E5" s="44">
        <f t="shared" ref="E5:E15" si="0">IF(AND(ISNUMBER(C5),ISNUMBER(D5)), C5-D5, "")</f>
        <v>-271923</v>
      </c>
      <c r="F5" s="45">
        <f t="shared" ref="F5:F17" si="1">IFERROR(E5/D5, "")</f>
        <v>-0.77176306976216158</v>
      </c>
      <c r="G5" s="46">
        <v>479912</v>
      </c>
      <c r="H5" s="46">
        <f t="shared" ref="H5:H6" si="2">IF(AND(ISNUMBER(C5),ISNUMBER(G5)), C5-G5, "")</f>
        <v>-399495</v>
      </c>
      <c r="I5" s="45">
        <f t="shared" ref="I5:I6" si="3">IFERROR(H5/G5, "")</f>
        <v>-0.83243386287486043</v>
      </c>
      <c r="J5" s="58" t="s">
        <v>24</v>
      </c>
      <c r="K5" s="58" t="s">
        <v>25</v>
      </c>
    </row>
    <row r="6" spans="1:11" ht="15.75">
      <c r="A6" s="54" t="str">
        <v>Blackstone - 83 Federal Street</v>
      </c>
      <c r="B6" s="48" t="str">
        <v>MA</v>
      </c>
      <c r="C6" s="37">
        <v>106968</v>
      </c>
      <c r="D6" s="37">
        <v>0</v>
      </c>
      <c r="E6" s="37">
        <f t="shared" si="0"/>
        <v>106968</v>
      </c>
      <c r="F6" s="40" t="str">
        <f t="shared" si="1"/>
        <v/>
      </c>
      <c r="G6" s="39">
        <v>352931.5</v>
      </c>
      <c r="H6" s="39">
        <f t="shared" si="2"/>
        <v>-245963.5</v>
      </c>
      <c r="I6" s="40">
        <f t="shared" si="3"/>
        <v>-0.69691569043851287</v>
      </c>
      <c r="J6" s="57" t="s">
        <v>26</v>
      </c>
      <c r="K6" s="57" t="s">
        <v>27</v>
      </c>
    </row>
    <row r="7" spans="1:11" ht="15.75">
      <c r="A7" s="53" t="str">
        <v>Charlton - 299 Worcester Road</v>
      </c>
      <c r="B7" s="50" t="str">
        <v>MA</v>
      </c>
      <c r="C7" s="44">
        <v>11889</v>
      </c>
      <c r="D7" s="44">
        <v>21739.23</v>
      </c>
      <c r="E7" s="44">
        <f t="shared" si="0"/>
        <v>-9850.23</v>
      </c>
      <c r="F7" s="45">
        <f t="shared" si="1"/>
        <v>-0.45310850476304815</v>
      </c>
      <c r="G7" s="46">
        <v>32151.25</v>
      </c>
      <c r="H7" s="46">
        <f t="shared" ref="H7:H15" si="4">IF(AND(ISNUMBER(C7),ISNUMBER(G7)), C7-G7, "")</f>
        <v>-20262.25</v>
      </c>
      <c r="I7" s="45">
        <f t="shared" ref="I7:I15" si="5">IFERROR(H7/G7, "")</f>
        <v>-0.63021655456630765</v>
      </c>
      <c r="J7" s="58" t="s">
        <v>28</v>
      </c>
      <c r="K7" s="58" t="s">
        <v>29</v>
      </c>
    </row>
    <row r="8" spans="1:11" ht="15.75">
      <c r="A8" s="54" t="str">
        <v>Wareham - 8 Thatcher Drive</v>
      </c>
      <c r="B8" s="48" t="str">
        <v>MA</v>
      </c>
      <c r="C8" s="37">
        <v>5780.1686557785097</v>
      </c>
      <c r="D8" s="37">
        <v>7080.0609999999997</v>
      </c>
      <c r="E8" s="37">
        <f t="shared" si="0"/>
        <v>-1299.89234422149</v>
      </c>
      <c r="F8" s="40">
        <f t="shared" si="1"/>
        <v>-0.18359903173454156</v>
      </c>
      <c r="G8" s="39">
        <v>8785.3289999999997</v>
      </c>
      <c r="H8" s="39">
        <f t="shared" si="4"/>
        <v>-3005.16034422149</v>
      </c>
      <c r="I8" s="40">
        <f t="shared" si="5"/>
        <v>-0.34206577172254904</v>
      </c>
      <c r="J8" s="57" t="s">
        <v>30</v>
      </c>
      <c r="K8" s="57" t="s">
        <v>30</v>
      </c>
    </row>
    <row r="9" spans="1:11" ht="15.75">
      <c r="A9" s="53" t="str">
        <v>West Yarmouth - 42 Mid Tech</v>
      </c>
      <c r="B9" s="50" t="str">
        <v>MA</v>
      </c>
      <c r="C9" s="44">
        <v>4426.7571265835404</v>
      </c>
      <c r="D9" s="44">
        <v>5459.4780000000001</v>
      </c>
      <c r="E9" s="44">
        <f t="shared" si="0"/>
        <v>-1032.7208734164597</v>
      </c>
      <c r="F9" s="45">
        <f t="shared" si="1"/>
        <v>-0.18916110174204559</v>
      </c>
      <c r="G9" s="46">
        <v>6769.56</v>
      </c>
      <c r="H9" s="46">
        <f t="shared" si="4"/>
        <v>-2342.80287341646</v>
      </c>
      <c r="I9" s="45">
        <f t="shared" si="5"/>
        <v>-0.34607904700105468</v>
      </c>
      <c r="J9" s="58" t="s">
        <v>30</v>
      </c>
      <c r="K9" s="58" t="s">
        <v>30</v>
      </c>
    </row>
    <row r="10" spans="1:11" ht="15.75">
      <c r="A10" s="54" t="str">
        <v>Harrison - 130 Union Street</v>
      </c>
      <c r="B10" s="48" t="str">
        <v>NY</v>
      </c>
      <c r="C10" s="37">
        <v>5693.0625</v>
      </c>
      <c r="D10" s="37">
        <v>9025.6859999999997</v>
      </c>
      <c r="E10" s="37">
        <f t="shared" si="0"/>
        <v>-3332.6234999999997</v>
      </c>
      <c r="F10" s="40">
        <f t="shared" si="1"/>
        <v>-0.36923769561670988</v>
      </c>
      <c r="G10" s="39">
        <v>10708.14</v>
      </c>
      <c r="H10" s="39">
        <f t="shared" si="4"/>
        <v>-5015.0774999999994</v>
      </c>
      <c r="I10" s="40">
        <f t="shared" si="5"/>
        <v>-0.46834254128167913</v>
      </c>
      <c r="J10" s="57" t="s">
        <v>30</v>
      </c>
      <c r="K10" s="57" t="s">
        <v>30</v>
      </c>
    </row>
    <row r="11" spans="1:11" ht="15.75">
      <c r="A11" s="53" t="str">
        <v>Staten Island - Ellis Storage</v>
      </c>
      <c r="B11" s="50" t="str">
        <v>NY</v>
      </c>
      <c r="C11" s="44">
        <v>12897.375</v>
      </c>
      <c r="D11" s="44">
        <v>21330.59</v>
      </c>
      <c r="E11" s="44">
        <f t="shared" si="0"/>
        <v>-8433.2150000000001</v>
      </c>
      <c r="F11" s="45">
        <f t="shared" si="1"/>
        <v>-0.39535779366627927</v>
      </c>
      <c r="G11" s="46">
        <v>23412.400000000001</v>
      </c>
      <c r="H11" s="46">
        <f t="shared" si="4"/>
        <v>-10515.025000000001</v>
      </c>
      <c r="I11" s="45">
        <f t="shared" si="5"/>
        <v>-0.44912204643693088</v>
      </c>
      <c r="J11" s="58" t="s">
        <v>30</v>
      </c>
      <c r="K11" s="58" t="s">
        <v>30</v>
      </c>
    </row>
    <row r="12" spans="1:11" ht="28.5">
      <c r="A12" s="54" t="str">
        <v>Amherst - 595 Scholles Road</v>
      </c>
      <c r="B12" s="48" t="str">
        <v>NY</v>
      </c>
      <c r="C12" s="37">
        <v>99935</v>
      </c>
      <c r="D12" s="37">
        <v>131383.59999999998</v>
      </c>
      <c r="E12" s="37">
        <f t="shared" si="0"/>
        <v>-31448.599999999977</v>
      </c>
      <c r="F12" s="40">
        <f t="shared" si="1"/>
        <v>-0.23936473045342024</v>
      </c>
      <c r="G12" s="39">
        <v>286492</v>
      </c>
      <c r="H12" s="39">
        <f t="shared" si="4"/>
        <v>-186557</v>
      </c>
      <c r="I12" s="40">
        <f t="shared" si="5"/>
        <v>-0.65117699621629921</v>
      </c>
      <c r="J12" s="57" t="s">
        <v>31</v>
      </c>
      <c r="K12" s="57" t="s">
        <v>32</v>
      </c>
    </row>
    <row r="13" spans="1:11" ht="15.75">
      <c r="A13" s="53" t="str">
        <v>Lancaster 1 - Gunnville Road</v>
      </c>
      <c r="B13" s="50" t="str">
        <v>NY</v>
      </c>
      <c r="C13" s="44" t="s">
        <v>30</v>
      </c>
      <c r="D13" s="44" t="s">
        <v>30</v>
      </c>
      <c r="E13" s="44" t="str">
        <f t="shared" si="0"/>
        <v/>
      </c>
      <c r="F13" s="45" t="str">
        <f t="shared" si="1"/>
        <v/>
      </c>
      <c r="G13" s="46" t="s">
        <v>30</v>
      </c>
      <c r="H13" s="46" t="str">
        <f t="shared" si="4"/>
        <v/>
      </c>
      <c r="I13" s="45" t="str">
        <f t="shared" si="5"/>
        <v/>
      </c>
      <c r="J13" s="58" t="s">
        <v>30</v>
      </c>
      <c r="K13" s="58" t="s">
        <v>30</v>
      </c>
    </row>
    <row r="14" spans="1:11" ht="15.75">
      <c r="A14" s="54" t="str">
        <v>Lancaster 2 - Shisler Road</v>
      </c>
      <c r="B14" s="48" t="str">
        <v>NY</v>
      </c>
      <c r="C14" s="37" t="s">
        <v>30</v>
      </c>
      <c r="D14" s="37" t="s">
        <v>30</v>
      </c>
      <c r="E14" s="37" t="str">
        <f t="shared" si="0"/>
        <v/>
      </c>
      <c r="F14" s="40" t="str">
        <f t="shared" si="1"/>
        <v/>
      </c>
      <c r="G14" s="39" t="s">
        <v>30</v>
      </c>
      <c r="H14" s="39" t="str">
        <f t="shared" si="4"/>
        <v/>
      </c>
      <c r="I14" s="40" t="str">
        <f t="shared" si="5"/>
        <v/>
      </c>
      <c r="J14" s="57" t="s">
        <v>30</v>
      </c>
      <c r="K14" s="57" t="s">
        <v>30</v>
      </c>
    </row>
    <row r="15" spans="1:11" ht="15.75">
      <c r="A15" s="53" t="str">
        <v>Fullerton - 200 W Orangethorpe</v>
      </c>
      <c r="B15" s="50" t="str">
        <v>CA</v>
      </c>
      <c r="C15" s="44">
        <v>66219.87890625</v>
      </c>
      <c r="D15" s="44">
        <v>65950.86</v>
      </c>
      <c r="E15" s="44">
        <f t="shared" si="0"/>
        <v>269.01890624999942</v>
      </c>
      <c r="F15" s="45">
        <f t="shared" si="1"/>
        <v>4.0790810953791872E-3</v>
      </c>
      <c r="G15" s="46">
        <v>75151.27</v>
      </c>
      <c r="H15" s="46">
        <f t="shared" si="4"/>
        <v>-8931.3910937500041</v>
      </c>
      <c r="I15" s="45">
        <f t="shared" si="5"/>
        <v>-0.11884551111045766</v>
      </c>
      <c r="J15" s="58" t="s">
        <v>30</v>
      </c>
      <c r="K15" s="58" t="s">
        <v>30</v>
      </c>
    </row>
    <row r="16" spans="1:11" ht="15.75">
      <c r="A16" s="54" t="str">
        <v>El Paso - 10500 Railroad Drive</v>
      </c>
      <c r="B16" s="48" t="str">
        <v>TX</v>
      </c>
      <c r="C16" s="37">
        <v>94436.375</v>
      </c>
      <c r="D16" s="37">
        <v>110748.9</v>
      </c>
      <c r="E16" s="37">
        <f t="shared" ref="E16:E17" si="6">IF(AND(ISNUMBER(C16),ISNUMBER(D16)), C16-D16, "")</f>
        <v>-16312.524999999994</v>
      </c>
      <c r="F16" s="40">
        <f t="shared" si="1"/>
        <v>-0.14729288507605939</v>
      </c>
      <c r="G16" s="39">
        <v>95880.07</v>
      </c>
      <c r="H16" s="39">
        <f t="shared" ref="H16:H17" si="7">IF(AND(ISNUMBER(C16),ISNUMBER(G16)), C16-G16, "")</f>
        <v>-1443.695000000007</v>
      </c>
      <c r="I16" s="40">
        <f t="shared" ref="I16:I17" si="8">IFERROR(H16/G16, "")</f>
        <v>-1.5057300229338662E-2</v>
      </c>
      <c r="J16" s="57" t="s">
        <v>30</v>
      </c>
      <c r="K16" s="57" t="s">
        <v>33</v>
      </c>
    </row>
    <row r="17" spans="1:11" ht="28.5">
      <c r="A17" s="53" t="str">
        <v>Friona - 900 Millard Ave</v>
      </c>
      <c r="B17" s="49" t="str">
        <v>TX</v>
      </c>
      <c r="C17" s="44">
        <v>63501.4375</v>
      </c>
      <c r="D17" s="44">
        <v>68753.48</v>
      </c>
      <c r="E17" s="44">
        <f t="shared" si="6"/>
        <v>-5252.0424999999959</v>
      </c>
      <c r="F17" s="40">
        <f t="shared" si="1"/>
        <v>-7.6389478758020629E-2</v>
      </c>
      <c r="G17" s="46">
        <v>72881.62</v>
      </c>
      <c r="H17" s="46">
        <f t="shared" si="7"/>
        <v>-9380.1824999999953</v>
      </c>
      <c r="I17" s="40">
        <f t="shared" si="8"/>
        <v>-0.12870436332233004</v>
      </c>
      <c r="J17" s="58" t="s">
        <v>34</v>
      </c>
      <c r="K17" s="58" t="s">
        <v>35</v>
      </c>
    </row>
    <row r="18" spans="1:11" ht="14.25">
      <c r="A18" s="13"/>
      <c r="B18" s="18"/>
      <c r="C18" s="21"/>
      <c r="D18" s="13"/>
      <c r="E18" s="13"/>
      <c r="F18" s="13"/>
      <c r="G18" s="13"/>
      <c r="H18" s="13"/>
      <c r="I18" s="13"/>
      <c r="J18" s="22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20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91 I4:I91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36</v>
      </c>
      <c r="E1" s="76"/>
      <c r="F1" s="76"/>
      <c r="G1" s="74" t="s">
        <v>37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58842.25</v>
      </c>
      <c r="D4" s="37">
        <v>57965.88</v>
      </c>
      <c r="E4" s="37">
        <f>IF(AND(ISNUMBER(C4),ISNUMBER(D4)), C4-D4, "")</f>
        <v>876.37000000000262</v>
      </c>
      <c r="F4" s="38">
        <f>IFERROR(E4/D4, "")</f>
        <v>1.5118721565169073E-2</v>
      </c>
      <c r="G4" s="39">
        <v>67323.77</v>
      </c>
      <c r="H4" s="39">
        <f>IF(AND(ISNUMBER(C4),ISNUMBER(G4)), C4-G4, "")</f>
        <v>-8481.5200000000041</v>
      </c>
      <c r="I4" s="40">
        <f>IFERROR(H4/G4, "")</f>
        <v>-0.12598106136955795</v>
      </c>
      <c r="J4" s="57" t="s">
        <v>38</v>
      </c>
      <c r="K4" s="57" t="s">
        <v>39</v>
      </c>
    </row>
    <row r="5" spans="1:11" ht="42.75">
      <c r="A5" s="53" t="str">
        <v>Adelanto - 1 Sheep Creek Road</v>
      </c>
      <c r="B5" s="50" t="str">
        <v>CA</v>
      </c>
      <c r="C5" s="43">
        <v>300982</v>
      </c>
      <c r="D5" s="44">
        <v>344128.5400000001</v>
      </c>
      <c r="E5" s="44">
        <f t="shared" ref="E5:E15" si="0">IF(AND(ISNUMBER(C5),ISNUMBER(D5)), C5-D5, "")</f>
        <v>-43146.540000000095</v>
      </c>
      <c r="F5" s="45">
        <f>IFERROR(E5/D5, "")</f>
        <v>-0.12537913885317412</v>
      </c>
      <c r="G5" s="46">
        <v>597256.79</v>
      </c>
      <c r="H5" s="46">
        <f t="shared" ref="H5:H15" si="1">IF(AND(ISNUMBER(C5),ISNUMBER(G5)), C5-G5, "")</f>
        <v>-296274.79000000004</v>
      </c>
      <c r="I5" s="45">
        <f t="shared" ref="I5:I15" si="2">IFERROR(H5/G5, "")</f>
        <v>-0.49605930809091348</v>
      </c>
      <c r="J5" s="58" t="s">
        <v>40</v>
      </c>
      <c r="K5" s="58" t="s">
        <v>41</v>
      </c>
    </row>
    <row r="6" spans="1:11" ht="15.75">
      <c r="A6" s="54" t="str">
        <v>Blackstone - 83 Federal Street</v>
      </c>
      <c r="B6" s="48" t="str">
        <v>MA</v>
      </c>
      <c r="C6" s="36">
        <v>371405</v>
      </c>
      <c r="D6" s="44">
        <v>591797.9</v>
      </c>
      <c r="E6" s="37">
        <f t="shared" si="0"/>
        <v>-220392.90000000002</v>
      </c>
      <c r="F6" s="38">
        <f t="shared" ref="F6:F15" si="3">IFERROR(E6/D6, "")</f>
        <v>-0.37241244012525226</v>
      </c>
      <c r="G6" s="39">
        <v>474063.7</v>
      </c>
      <c r="H6" s="39">
        <f t="shared" si="1"/>
        <v>-102658.70000000001</v>
      </c>
      <c r="I6" s="40">
        <f t="shared" si="2"/>
        <v>-0.21655043404504501</v>
      </c>
      <c r="J6" s="57" t="s">
        <v>42</v>
      </c>
      <c r="K6" s="57" t="s">
        <v>43</v>
      </c>
    </row>
    <row r="7" spans="1:11" ht="40.5" customHeight="1">
      <c r="A7" s="53" t="str">
        <v>Charlton - 299 Worcester Road</v>
      </c>
      <c r="B7" s="50" t="str">
        <v>MA</v>
      </c>
      <c r="C7" s="43">
        <v>41404</v>
      </c>
      <c r="D7" s="44">
        <v>47717.86</v>
      </c>
      <c r="E7" s="44">
        <f t="shared" si="0"/>
        <v>-6313.8600000000006</v>
      </c>
      <c r="F7" s="45">
        <f t="shared" si="3"/>
        <v>-0.13231649533319392</v>
      </c>
      <c r="G7" s="46">
        <v>31813.95</v>
      </c>
      <c r="H7" s="46">
        <f t="shared" si="1"/>
        <v>9590.0499999999993</v>
      </c>
      <c r="I7" s="45">
        <f t="shared" si="2"/>
        <v>0.301441663169773</v>
      </c>
      <c r="J7" s="58" t="s">
        <v>44</v>
      </c>
      <c r="K7" s="58" t="s">
        <v>45</v>
      </c>
    </row>
    <row r="8" spans="1:11" ht="15.75">
      <c r="A8" s="54" t="str">
        <v>Wareham - 8 Thatcher Drive</v>
      </c>
      <c r="B8" s="48" t="str">
        <v>MA</v>
      </c>
      <c r="C8" s="36">
        <v>7001.2688442211402</v>
      </c>
      <c r="D8" s="37">
        <v>11238.1</v>
      </c>
      <c r="E8" s="37">
        <f t="shared" si="0"/>
        <v>-4236.8311557788602</v>
      </c>
      <c r="F8" s="38">
        <f t="shared" si="3"/>
        <v>-0.37700600241845689</v>
      </c>
      <c r="G8" s="39">
        <v>11253.3</v>
      </c>
      <c r="H8" s="39">
        <f t="shared" si="1"/>
        <v>-4252.0311557788591</v>
      </c>
      <c r="I8" s="40">
        <f t="shared" si="2"/>
        <v>-0.37784748969447712</v>
      </c>
      <c r="J8" s="57"/>
      <c r="K8" s="57"/>
    </row>
    <row r="9" spans="1:11" ht="15.75">
      <c r="A9" s="53" t="str">
        <v>West Yarmouth - 42 Mid Tech</v>
      </c>
      <c r="B9" s="50" t="str">
        <v>MA</v>
      </c>
      <c r="C9" s="43">
        <v>4449.0054052906899</v>
      </c>
      <c r="D9" s="44">
        <v>8729.4680000000008</v>
      </c>
      <c r="E9" s="44">
        <f t="shared" si="0"/>
        <v>-4280.4625947093109</v>
      </c>
      <c r="F9" s="45">
        <f t="shared" si="3"/>
        <v>-0.49034632977740572</v>
      </c>
      <c r="G9" s="46">
        <v>7749.5110000000004</v>
      </c>
      <c r="H9" s="46">
        <f t="shared" si="1"/>
        <v>-3300.5055947093106</v>
      </c>
      <c r="I9" s="45">
        <f t="shared" si="2"/>
        <v>-0.42589856246533625</v>
      </c>
      <c r="J9" s="58"/>
      <c r="K9" s="58"/>
    </row>
    <row r="10" spans="1:11" ht="15.75">
      <c r="A10" s="54" t="str">
        <v>Harrison - 130 Union Street</v>
      </c>
      <c r="B10" s="48" t="str">
        <v>NY</v>
      </c>
      <c r="C10" s="36">
        <v>10644.0444651742</v>
      </c>
      <c r="D10" s="37">
        <v>17668.439999999999</v>
      </c>
      <c r="E10" s="37">
        <f t="shared" si="0"/>
        <v>-7024.3955348257987</v>
      </c>
      <c r="F10" s="38">
        <f t="shared" si="3"/>
        <v>-0.39756738765990657</v>
      </c>
      <c r="G10" s="39">
        <v>14230.04</v>
      </c>
      <c r="H10" s="39">
        <f t="shared" si="1"/>
        <v>-3585.9955348258009</v>
      </c>
      <c r="I10" s="40">
        <f t="shared" si="2"/>
        <v>-0.25200178880915308</v>
      </c>
      <c r="J10" s="57"/>
      <c r="K10" s="57"/>
    </row>
    <row r="11" spans="1:11" ht="15.75">
      <c r="A11" s="53" t="str">
        <v>Staten Island - Ellis Storage</v>
      </c>
      <c r="B11" s="50" t="str">
        <v>NY</v>
      </c>
      <c r="C11" s="43">
        <v>28780.5</v>
      </c>
      <c r="D11" s="44">
        <v>41920.19</v>
      </c>
      <c r="E11" s="44">
        <f t="shared" si="0"/>
        <v>-13139.690000000002</v>
      </c>
      <c r="F11" s="45">
        <f t="shared" si="3"/>
        <v>-0.31344538276186251</v>
      </c>
      <c r="G11" s="46">
        <v>28582.98</v>
      </c>
      <c r="H11" s="46">
        <f t="shared" si="1"/>
        <v>197.52000000000044</v>
      </c>
      <c r="I11" s="45">
        <f t="shared" si="2"/>
        <v>6.9104061228045651E-3</v>
      </c>
      <c r="J11" s="58"/>
      <c r="K11" s="58"/>
    </row>
    <row r="12" spans="1:11" ht="28.5">
      <c r="A12" s="54" t="str">
        <v>Amherst - 595 Scholles Road</v>
      </c>
      <c r="B12" s="48" t="str">
        <v>NY</v>
      </c>
      <c r="C12" s="36">
        <v>238762</v>
      </c>
      <c r="D12" s="37">
        <v>462549</v>
      </c>
      <c r="E12" s="37">
        <f t="shared" si="0"/>
        <v>-223787</v>
      </c>
      <c r="F12" s="38">
        <f t="shared" si="3"/>
        <v>-0.48381252580807654</v>
      </c>
      <c r="G12" s="39">
        <v>462796</v>
      </c>
      <c r="H12" s="39">
        <f t="shared" si="1"/>
        <v>-224034</v>
      </c>
      <c r="I12" s="40">
        <f t="shared" si="2"/>
        <v>-0.48408802150407521</v>
      </c>
      <c r="J12" s="57" t="s">
        <v>46</v>
      </c>
      <c r="K12" s="57" t="s">
        <v>47</v>
      </c>
    </row>
    <row r="13" spans="1:11" ht="15.75">
      <c r="A13" s="53" t="str">
        <v>Lancaster 1 - Gunnville Road</v>
      </c>
      <c r="B13" s="50" t="str">
        <v>NY</v>
      </c>
      <c r="C13" s="43">
        <v>422356</v>
      </c>
      <c r="D13" s="44">
        <v>522536.7</v>
      </c>
      <c r="E13" s="44">
        <f t="shared" si="0"/>
        <v>-100180.70000000001</v>
      </c>
      <c r="F13" s="45">
        <f t="shared" si="3"/>
        <v>-0.1917199308680137</v>
      </c>
      <c r="G13" s="46">
        <v>381411.8</v>
      </c>
      <c r="H13" s="46">
        <f t="shared" si="1"/>
        <v>40944.200000000012</v>
      </c>
      <c r="I13" s="45">
        <f t="shared" si="2"/>
        <v>0.10734906471168436</v>
      </c>
      <c r="J13" s="58" t="s">
        <v>48</v>
      </c>
      <c r="K13" s="58" t="s">
        <v>49</v>
      </c>
    </row>
    <row r="14" spans="1:11" ht="57">
      <c r="A14" s="54" t="str">
        <v>Lancaster 2 - Shisler Road</v>
      </c>
      <c r="B14" s="48" t="str">
        <v>NY</v>
      </c>
      <c r="C14" s="36">
        <v>393093</v>
      </c>
      <c r="D14" s="37">
        <v>577373.1</v>
      </c>
      <c r="E14" s="37">
        <f t="shared" si="0"/>
        <v>-184280.09999999998</v>
      </c>
      <c r="F14" s="38">
        <f t="shared" si="3"/>
        <v>-0.31916987473091485</v>
      </c>
      <c r="G14" s="39">
        <v>412202.9</v>
      </c>
      <c r="H14" s="39">
        <f t="shared" si="1"/>
        <v>-19109.900000000023</v>
      </c>
      <c r="I14" s="40">
        <f t="shared" si="2"/>
        <v>-4.6360421045072757E-2</v>
      </c>
      <c r="J14" s="57" t="s">
        <v>50</v>
      </c>
      <c r="K14" s="57" t="s">
        <v>51</v>
      </c>
    </row>
    <row r="15" spans="1:11" ht="15.75">
      <c r="A15" s="53" t="str">
        <v>Fullerton - 200 W Orangethorpe</v>
      </c>
      <c r="B15" s="50" t="str">
        <v>CA</v>
      </c>
      <c r="C15" s="43">
        <v>64169.35125</v>
      </c>
      <c r="D15" s="44">
        <v>65724.88</v>
      </c>
      <c r="E15" s="44">
        <f t="shared" si="0"/>
        <v>-1555.5287500000049</v>
      </c>
      <c r="F15" s="45">
        <f t="shared" si="3"/>
        <v>-2.3667274097723796E-2</v>
      </c>
      <c r="G15" s="46">
        <v>81499</v>
      </c>
      <c r="H15" s="46">
        <f t="shared" si="1"/>
        <v>-17329.64875</v>
      </c>
      <c r="I15" s="45">
        <f t="shared" si="2"/>
        <v>-0.21263633602866294</v>
      </c>
      <c r="J15" s="58"/>
      <c r="K15" s="58"/>
    </row>
    <row r="16" spans="1:11" ht="15.75">
      <c r="A16" s="54" t="str">
        <v>El Paso - 10500 Railroad Drive</v>
      </c>
      <c r="B16" s="48" t="str">
        <v>TX</v>
      </c>
      <c r="C16" s="36">
        <v>102707.75</v>
      </c>
      <c r="D16" s="37">
        <v>113239.9</v>
      </c>
      <c r="E16" s="37">
        <f t="shared" ref="E16:E17" si="4">IF(AND(ISNUMBER(C16),ISNUMBER(D16)), C16-D16, "")</f>
        <v>-10532.149999999994</v>
      </c>
      <c r="F16" s="38">
        <f t="shared" ref="F16:F17" si="5">IFERROR(E16/D16, "")</f>
        <v>-9.3007411698526707E-2</v>
      </c>
      <c r="G16" s="39">
        <v>101578.9</v>
      </c>
      <c r="H16" s="39">
        <f t="shared" ref="H16:H17" si="6">IF(AND(ISNUMBER(C16),ISNUMBER(G16)), C16-G16, "")</f>
        <v>1128.8500000000058</v>
      </c>
      <c r="I16" s="40">
        <f t="shared" ref="I16:I17" si="7">IFERROR(H16/G16, "")</f>
        <v>1.1113036270327852E-2</v>
      </c>
      <c r="J16" s="57"/>
      <c r="K16" s="57"/>
    </row>
    <row r="17" spans="1:11" ht="15.75">
      <c r="A17" s="53" t="str">
        <v>Friona - 900 Millard Ave</v>
      </c>
      <c r="B17" s="50" t="str">
        <v>TX</v>
      </c>
      <c r="C17" s="43">
        <v>74321.125</v>
      </c>
      <c r="D17" s="44">
        <v>85059.82</v>
      </c>
      <c r="E17" s="44">
        <f t="shared" si="4"/>
        <v>-10738.695000000007</v>
      </c>
      <c r="F17" s="45">
        <f t="shared" si="5"/>
        <v>-0.12624873882874435</v>
      </c>
      <c r="G17" s="46">
        <v>79130.95</v>
      </c>
      <c r="H17" s="46">
        <f t="shared" si="6"/>
        <v>-4809.8249999999971</v>
      </c>
      <c r="I17" s="45">
        <f t="shared" si="7"/>
        <v>-6.0783106989111053E-2</v>
      </c>
      <c r="J17" s="67" t="s">
        <v>52</v>
      </c>
      <c r="K17" s="68" t="s">
        <v>53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44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22 I4:I92 F24:F9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4" activePane="bottomRight" state="frozen"/>
      <selection pane="bottomRight" activeCell="N20" sqref="N20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5" t="str" cm="1">
        <f t="array" ref="A1">portfolio</f>
        <v>Catalyze</v>
      </c>
      <c r="B1" s="75"/>
      <c r="C1" s="75"/>
      <c r="D1" s="76" t="s">
        <v>54</v>
      </c>
      <c r="E1" s="76"/>
      <c r="F1" s="76"/>
      <c r="G1" s="74" t="s">
        <v>55</v>
      </c>
      <c r="H1" s="74"/>
      <c r="I1" s="74"/>
      <c r="J1" s="4"/>
      <c r="K1" s="4"/>
    </row>
    <row r="2" spans="1:13" ht="19.5" customHeight="1">
      <c r="A2" s="77" t="s">
        <v>2</v>
      </c>
      <c r="B2" s="77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28.9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93147.878124999901</v>
      </c>
      <c r="D4" s="37">
        <v>92388.49</v>
      </c>
      <c r="E4" s="37">
        <f>IF(AND(ISNUMBER(C4),ISNUMBER(D4)), C4-D4, "")</f>
        <v>759.38812499989581</v>
      </c>
      <c r="F4" s="38">
        <f>IFERROR(E4/D4, "")</f>
        <v>8.2195100818283299E-3</v>
      </c>
      <c r="G4" s="39">
        <v>102127.4</v>
      </c>
      <c r="H4" s="39">
        <f>IF(AND(ISNUMBER(C4),ISNUMBER(G4)), C4-G4, "")</f>
        <v>-8979.5218750000931</v>
      </c>
      <c r="I4" s="40">
        <f>IFERROR(H4/G4, "")</f>
        <v>-8.792470850134336E-2</v>
      </c>
      <c r="J4" s="61" t="s">
        <v>56</v>
      </c>
      <c r="K4" s="61" t="s">
        <v>57</v>
      </c>
      <c r="M4" s="60"/>
    </row>
    <row r="5" spans="1:13" ht="57">
      <c r="A5" s="53" t="str">
        <v>Adelanto - 1 Sheep Creek Road</v>
      </c>
      <c r="B5" s="50" t="str">
        <v>CA</v>
      </c>
      <c r="C5" s="43">
        <v>316722</v>
      </c>
      <c r="D5" s="44">
        <v>203359</v>
      </c>
      <c r="E5" s="44">
        <f t="shared" ref="E5:E17" si="0">IF(AND(ISNUMBER(C5),ISNUMBER(D5)), C5-D5, "")</f>
        <v>113363</v>
      </c>
      <c r="F5" s="45">
        <f>IFERROR(E5/D5, "")</f>
        <v>0.55745258385416918</v>
      </c>
      <c r="G5" s="46">
        <v>819315.66</v>
      </c>
      <c r="H5" s="46">
        <f t="shared" ref="H5:H17" si="1">IF(AND(ISNUMBER(C5),ISNUMBER(G5)), C5-G5, "")</f>
        <v>-502593.66000000003</v>
      </c>
      <c r="I5" s="45">
        <f t="shared" ref="I5:I17" si="2">IFERROR(H5/G5, "")</f>
        <v>-0.61343104317083363</v>
      </c>
      <c r="J5" s="62" t="s">
        <v>58</v>
      </c>
      <c r="K5" s="62" t="s">
        <v>59</v>
      </c>
      <c r="M5" s="60"/>
    </row>
    <row r="6" spans="1:13" ht="15.75">
      <c r="A6" s="54" t="str">
        <v>Blackstone - 83 Federal Street</v>
      </c>
      <c r="B6" s="48" t="str">
        <v>MA</v>
      </c>
      <c r="C6" s="36">
        <v>543056</v>
      </c>
      <c r="D6" s="37">
        <v>659185.6</v>
      </c>
      <c r="E6" s="37">
        <f t="shared" si="0"/>
        <v>-116129.59999999998</v>
      </c>
      <c r="F6" s="38">
        <f t="shared" ref="F6:F17" si="3">IFERROR(E6/D6, "")</f>
        <v>-0.17617132413086692</v>
      </c>
      <c r="G6" s="39">
        <v>665713.1</v>
      </c>
      <c r="H6" s="39">
        <f t="shared" si="1"/>
        <v>-122657.09999999998</v>
      </c>
      <c r="I6" s="40">
        <f t="shared" si="2"/>
        <v>-0.1842491908301038</v>
      </c>
      <c r="J6" s="61" t="s">
        <v>60</v>
      </c>
      <c r="K6" s="61" t="s">
        <v>61</v>
      </c>
      <c r="M6" s="60"/>
    </row>
    <row r="7" spans="1:13" ht="15.75">
      <c r="A7" s="53" t="str">
        <v>Charlton - 299 Worcester Road</v>
      </c>
      <c r="B7" s="50" t="str">
        <v>MA</v>
      </c>
      <c r="C7" s="43">
        <v>53094.5</v>
      </c>
      <c r="D7" s="44">
        <v>53440.83</v>
      </c>
      <c r="E7" s="44">
        <f t="shared" si="0"/>
        <v>-346.33000000000175</v>
      </c>
      <c r="F7" s="45">
        <f t="shared" si="3"/>
        <v>-6.4806253944783739E-3</v>
      </c>
      <c r="G7" s="46">
        <v>60191.09</v>
      </c>
      <c r="H7" s="46">
        <f t="shared" si="1"/>
        <v>-7096.5899999999965</v>
      </c>
      <c r="I7" s="45">
        <f t="shared" si="2"/>
        <v>-0.11790100494940359</v>
      </c>
      <c r="J7" s="62"/>
      <c r="K7" s="63"/>
      <c r="M7" s="60"/>
    </row>
    <row r="8" spans="1:13" ht="15.75">
      <c r="A8" s="54" t="str">
        <v>Wareham - 8 Thatcher Drive</v>
      </c>
      <c r="B8" s="48" t="str">
        <v>MA</v>
      </c>
      <c r="C8" s="36">
        <v>13951.1875</v>
      </c>
      <c r="D8" s="37">
        <v>14371.27</v>
      </c>
      <c r="E8" s="37">
        <f t="shared" si="0"/>
        <v>-420.08250000000044</v>
      </c>
      <c r="F8" s="38">
        <f t="shared" si="3"/>
        <v>-2.9230715169918903E-2</v>
      </c>
      <c r="G8" s="39">
        <v>16016.2</v>
      </c>
      <c r="H8" s="39">
        <f t="shared" si="1"/>
        <v>-2065.0125000000007</v>
      </c>
      <c r="I8" s="40">
        <f t="shared" si="2"/>
        <v>-0.12893273685393544</v>
      </c>
      <c r="J8" s="61"/>
      <c r="K8" s="61"/>
      <c r="M8" s="60"/>
    </row>
    <row r="9" spans="1:13" ht="15.75">
      <c r="A9" s="53" t="str">
        <v>West Yarmouth - 42 Mid Tech</v>
      </c>
      <c r="B9" s="50" t="str">
        <v>MA</v>
      </c>
      <c r="C9" s="43">
        <v>12216.5316390198</v>
      </c>
      <c r="D9" s="44">
        <v>12405.7</v>
      </c>
      <c r="E9" s="44">
        <f t="shared" si="0"/>
        <v>-189.1683609802003</v>
      </c>
      <c r="F9" s="45">
        <f t="shared" si="3"/>
        <v>-1.5248503589495175E-2</v>
      </c>
      <c r="G9" s="46">
        <v>13342.11</v>
      </c>
      <c r="H9" s="46">
        <f t="shared" si="1"/>
        <v>-1125.5783609802002</v>
      </c>
      <c r="I9" s="45">
        <f t="shared" si="2"/>
        <v>-8.4362845230641942E-2</v>
      </c>
      <c r="J9" s="62"/>
      <c r="K9" s="63"/>
      <c r="M9" s="60"/>
    </row>
    <row r="10" spans="1:13" ht="15.75">
      <c r="A10" s="54" t="str">
        <v>Harrison - 130 Union Street</v>
      </c>
      <c r="B10" s="48" t="str">
        <v>NY</v>
      </c>
      <c r="C10" s="36">
        <v>21772.8930348258</v>
      </c>
      <c r="D10" s="37">
        <v>22420.77</v>
      </c>
      <c r="E10" s="37">
        <f t="shared" si="0"/>
        <v>-647.87696517420045</v>
      </c>
      <c r="F10" s="38">
        <f t="shared" si="3"/>
        <v>-2.8896285237937878E-2</v>
      </c>
      <c r="G10" s="39">
        <v>21506.07</v>
      </c>
      <c r="H10" s="39">
        <f t="shared" si="1"/>
        <v>266.82303482580028</v>
      </c>
      <c r="I10" s="40">
        <f t="shared" si="2"/>
        <v>1.240687093577768E-2</v>
      </c>
      <c r="J10" s="61"/>
      <c r="K10" s="61"/>
      <c r="M10" s="60"/>
    </row>
    <row r="11" spans="1:13" ht="15.75">
      <c r="A11" s="53" t="str">
        <v>Staten Island - Ellis Storage</v>
      </c>
      <c r="B11" s="50" t="str">
        <v>NY</v>
      </c>
      <c r="C11" s="43">
        <v>49193.875</v>
      </c>
      <c r="D11" s="44">
        <v>52917.68</v>
      </c>
      <c r="E11" s="44">
        <f t="shared" si="0"/>
        <v>-3723.8050000000003</v>
      </c>
      <c r="F11" s="45">
        <f t="shared" si="3"/>
        <v>-7.0369770556834702E-2</v>
      </c>
      <c r="G11" s="46">
        <v>50803.64</v>
      </c>
      <c r="H11" s="46">
        <f t="shared" si="1"/>
        <v>-1609.7649999999994</v>
      </c>
      <c r="I11" s="45">
        <f t="shared" si="2"/>
        <v>-3.1686016986184444E-2</v>
      </c>
      <c r="J11" s="62"/>
      <c r="K11" s="63"/>
      <c r="M11" s="60"/>
    </row>
    <row r="12" spans="1:13" ht="15.75">
      <c r="A12" s="54" t="str">
        <v>Amherst - 595 Scholles Road</v>
      </c>
      <c r="B12" s="48" t="str">
        <v>NY</v>
      </c>
      <c r="C12" s="36">
        <v>665953</v>
      </c>
      <c r="D12" s="37">
        <v>712004.57</v>
      </c>
      <c r="E12" s="37">
        <f t="shared" si="0"/>
        <v>-46051.569999999949</v>
      </c>
      <c r="F12" s="38">
        <f t="shared" si="3"/>
        <v>-6.4678756205174284E-2</v>
      </c>
      <c r="G12" s="39">
        <v>764414</v>
      </c>
      <c r="H12" s="39">
        <f t="shared" si="1"/>
        <v>-98461</v>
      </c>
      <c r="I12" s="40">
        <f t="shared" si="2"/>
        <v>-0.12880585651230878</v>
      </c>
      <c r="J12" s="61"/>
      <c r="K12" s="61"/>
      <c r="M12" s="60"/>
    </row>
    <row r="13" spans="1:13" ht="47.25">
      <c r="A13" s="53" t="str">
        <v>Lancaster 1 - Gunnville Road</v>
      </c>
      <c r="B13" s="50" t="str">
        <v>NY</v>
      </c>
      <c r="C13" s="43">
        <v>571324</v>
      </c>
      <c r="D13" s="44">
        <v>681059.8</v>
      </c>
      <c r="E13" s="44">
        <f t="shared" si="0"/>
        <v>-109735.80000000005</v>
      </c>
      <c r="F13" s="45">
        <f t="shared" si="3"/>
        <v>-0.16112505832821147</v>
      </c>
      <c r="G13" s="46">
        <v>644288.19999999995</v>
      </c>
      <c r="H13" s="46">
        <f t="shared" si="1"/>
        <v>-72964.199999999953</v>
      </c>
      <c r="I13" s="45">
        <f t="shared" si="2"/>
        <v>-0.11324776707069904</v>
      </c>
      <c r="J13" s="62" t="s">
        <v>62</v>
      </c>
      <c r="K13" s="63" t="s">
        <v>63</v>
      </c>
      <c r="M13" s="60"/>
    </row>
    <row r="14" spans="1:13" ht="42.75">
      <c r="A14" s="54" t="str">
        <v>Lancaster 2 - Shisler Road</v>
      </c>
      <c r="B14" s="48" t="str">
        <v>NY</v>
      </c>
      <c r="C14" s="36">
        <v>558564</v>
      </c>
      <c r="D14" s="37">
        <v>740013.1</v>
      </c>
      <c r="E14" s="37">
        <f t="shared" si="0"/>
        <v>-181449.09999999998</v>
      </c>
      <c r="F14" s="38">
        <f t="shared" si="3"/>
        <v>-0.24519714583431021</v>
      </c>
      <c r="G14" s="39">
        <v>707412.2</v>
      </c>
      <c r="H14" s="39">
        <f t="shared" si="1"/>
        <v>-148848.19999999995</v>
      </c>
      <c r="I14" s="40">
        <f t="shared" si="2"/>
        <v>-0.21041226034835131</v>
      </c>
      <c r="J14" s="61" t="s">
        <v>64</v>
      </c>
      <c r="K14" s="61" t="s">
        <v>65</v>
      </c>
      <c r="M14" s="60"/>
    </row>
    <row r="15" spans="1:13" ht="31.5">
      <c r="A15" s="53" t="str">
        <v>Fullerton - 200 W Orangethorpe</v>
      </c>
      <c r="B15" s="50" t="str">
        <v>CA</v>
      </c>
      <c r="C15" s="43">
        <v>97998.634999999995</v>
      </c>
      <c r="D15" s="44">
        <v>105532.7</v>
      </c>
      <c r="E15" s="44">
        <f t="shared" si="0"/>
        <v>-7534.0650000000023</v>
      </c>
      <c r="F15" s="45">
        <f t="shared" si="3"/>
        <v>-7.1390810620783909E-2</v>
      </c>
      <c r="G15" s="46">
        <v>111916.4</v>
      </c>
      <c r="H15" s="46">
        <f t="shared" si="1"/>
        <v>-13917.764999999999</v>
      </c>
      <c r="I15" s="45">
        <f t="shared" si="2"/>
        <v>-0.12435858372856883</v>
      </c>
      <c r="J15" s="62" t="s">
        <v>66</v>
      </c>
      <c r="K15" s="63" t="s">
        <v>67</v>
      </c>
      <c r="M15" s="60"/>
    </row>
    <row r="16" spans="1:13" ht="28.5">
      <c r="A16" s="54" t="str">
        <v>El Paso - 10500 Railroad Drive</v>
      </c>
      <c r="B16" s="48" t="str">
        <v>TX</v>
      </c>
      <c r="C16" s="36">
        <v>105355.125</v>
      </c>
      <c r="D16" s="37">
        <v>126408.7</v>
      </c>
      <c r="E16" s="37">
        <f t="shared" si="0"/>
        <v>-21053.574999999997</v>
      </c>
      <c r="F16" s="38">
        <f t="shared" si="3"/>
        <v>-0.16655162975333182</v>
      </c>
      <c r="G16" s="39">
        <v>133396</v>
      </c>
      <c r="H16" s="39">
        <f t="shared" si="1"/>
        <v>-28040.875</v>
      </c>
      <c r="I16" s="40">
        <f t="shared" si="2"/>
        <v>-0.21020776485052026</v>
      </c>
      <c r="J16" s="61" t="s">
        <v>68</v>
      </c>
      <c r="K16" s="61" t="s">
        <v>69</v>
      </c>
      <c r="M16" s="60"/>
    </row>
    <row r="17" spans="1:13" ht="15.75">
      <c r="A17" s="53" t="str">
        <v>Friona - 900 Millard Ave</v>
      </c>
      <c r="B17" s="50" t="str">
        <v>TX</v>
      </c>
      <c r="C17" s="43">
        <v>109501.6875</v>
      </c>
      <c r="D17" s="44">
        <v>111341.7</v>
      </c>
      <c r="E17" s="44">
        <f t="shared" si="0"/>
        <v>-1840.0124999999971</v>
      </c>
      <c r="F17" s="45">
        <f t="shared" si="3"/>
        <v>-1.6525816473073406E-2</v>
      </c>
      <c r="G17" s="46">
        <v>105918</v>
      </c>
      <c r="H17" s="46">
        <f t="shared" si="1"/>
        <v>3583.6875</v>
      </c>
      <c r="I17" s="45">
        <f t="shared" si="2"/>
        <v>3.3834546535999543E-2</v>
      </c>
      <c r="J17" s="62" t="s">
        <v>70</v>
      </c>
      <c r="K17" s="63" t="s">
        <v>71</v>
      </c>
      <c r="M17" s="60"/>
    </row>
    <row r="18" spans="1:13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  <c r="M18" s="60"/>
    </row>
    <row r="19" spans="1:13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  <c r="M19" s="60"/>
    </row>
    <row r="20" spans="1:13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  <c r="M20" s="60"/>
    </row>
    <row r="21" spans="1:13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60"/>
    </row>
    <row r="22" spans="1:13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60"/>
    </row>
    <row r="23" spans="1:13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60"/>
    </row>
    <row r="24" spans="1:13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60"/>
    </row>
    <row r="25" spans="1:13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60"/>
    </row>
    <row r="26" spans="1:13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60"/>
    </row>
    <row r="27" spans="1:13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60"/>
    </row>
    <row r="28" spans="1:13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60"/>
    </row>
    <row r="29" spans="1:13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60"/>
    </row>
    <row r="30" spans="1:13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60"/>
    </row>
    <row r="31" spans="1:13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60"/>
    </row>
    <row r="32" spans="1:13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60"/>
    </row>
    <row r="33" spans="1:13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60"/>
    </row>
    <row r="34" spans="1:13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60"/>
    </row>
    <row r="35" spans="1:13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60"/>
    </row>
    <row r="36" spans="1:13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60"/>
    </row>
    <row r="37" spans="1:13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60"/>
    </row>
    <row r="38" spans="1:13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60"/>
    </row>
    <row r="39" spans="1:13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60"/>
    </row>
    <row r="40" spans="1:13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60"/>
    </row>
    <row r="41" spans="1:13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60"/>
    </row>
    <row r="42" spans="1:13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4" activePane="bottomRight" state="frozen"/>
      <selection pane="bottomRight" activeCell="Q17" sqref="Q17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72</v>
      </c>
      <c r="E1" s="76"/>
      <c r="F1" s="76"/>
      <c r="G1" s="74" t="s">
        <v>73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110443.934375</v>
      </c>
      <c r="D4" s="37">
        <v>110570.8</v>
      </c>
      <c r="E4" s="37">
        <f>IF(AND(ISNUMBER(C4),ISNUMBER(D4)), C4-D4, "")</f>
        <v>-126.86562500000582</v>
      </c>
      <c r="F4" s="38">
        <f>IFERROR(E4/D4, "")</f>
        <v>-1.1473700561088988E-3</v>
      </c>
      <c r="G4" s="39">
        <v>119130.8</v>
      </c>
      <c r="H4" s="39">
        <f>IF(AND(ISNUMBER(C4),ISNUMBER(G4)), C4-G4, "")</f>
        <v>-8686.8656250000058</v>
      </c>
      <c r="I4" s="40">
        <f>IFERROR(H4/G4, "")</f>
        <v>-7.2918721480926887E-2</v>
      </c>
      <c r="J4" s="57" t="s">
        <v>74</v>
      </c>
      <c r="K4" s="57" t="s">
        <v>75</v>
      </c>
    </row>
    <row r="5" spans="1:11" ht="15.75">
      <c r="A5" s="49" t="str">
        <v>Adelanto - 1 Sheep Creek Road</v>
      </c>
      <c r="B5" s="50" t="str">
        <v>CA</v>
      </c>
      <c r="C5" s="43">
        <v>402561</v>
      </c>
      <c r="D5" s="44">
        <v>693821</v>
      </c>
      <c r="E5" s="44">
        <f t="shared" ref="E5:E17" si="0">IF(AND(ISNUMBER(C5),ISNUMBER(D5)), C5-D5, "")</f>
        <v>-291260</v>
      </c>
      <c r="F5" s="45">
        <f>IFERROR(E5/D5, "")</f>
        <v>-0.41979127181218212</v>
      </c>
      <c r="G5" s="64">
        <v>898384</v>
      </c>
      <c r="H5" s="46">
        <f t="shared" ref="H5:H17" si="1">IF(AND(ISNUMBER(C5),ISNUMBER(G5)), C5-G5, "")</f>
        <v>-495823</v>
      </c>
      <c r="I5" s="45">
        <f t="shared" ref="I5:I17" si="2">IFERROR(H5/G5, "")</f>
        <v>-0.55190542128978259</v>
      </c>
      <c r="J5" s="58" t="s">
        <v>76</v>
      </c>
      <c r="K5" s="58" t="s">
        <v>77</v>
      </c>
    </row>
    <row r="6" spans="1:11" ht="30" customHeight="1">
      <c r="A6" s="51" t="str">
        <v>Blackstone - 83 Federal Street</v>
      </c>
      <c r="B6" s="48" t="str">
        <v>MA</v>
      </c>
      <c r="C6" s="36">
        <v>606024</v>
      </c>
      <c r="D6" s="37">
        <v>680455.2</v>
      </c>
      <c r="E6" s="37">
        <f t="shared" si="0"/>
        <v>-74431.199999999953</v>
      </c>
      <c r="F6" s="38">
        <f t="shared" ref="F6:F17" si="3">IFERROR(E6/D6, "")</f>
        <v>-0.10938442383863031</v>
      </c>
      <c r="G6" s="39">
        <v>770475.3</v>
      </c>
      <c r="H6" s="39">
        <f t="shared" si="1"/>
        <v>-164451.30000000005</v>
      </c>
      <c r="I6" s="40">
        <f t="shared" si="2"/>
        <v>-0.21344136534941488</v>
      </c>
      <c r="J6" s="57"/>
      <c r="K6" s="57"/>
    </row>
    <row r="7" spans="1:11" ht="27.75" customHeight="1">
      <c r="A7" s="49" t="str">
        <v>Charlton - 299 Worcester Road</v>
      </c>
      <c r="B7" s="50" t="str">
        <v>MA</v>
      </c>
      <c r="C7" s="43">
        <v>56399</v>
      </c>
      <c r="D7" s="44">
        <v>57742.91</v>
      </c>
      <c r="E7" s="44">
        <f t="shared" si="0"/>
        <v>-1343.9100000000035</v>
      </c>
      <c r="F7" s="45">
        <f t="shared" si="3"/>
        <v>-2.3274026196462967E-2</v>
      </c>
      <c r="G7" s="46">
        <v>70885.53</v>
      </c>
      <c r="H7" s="46">
        <f t="shared" si="1"/>
        <v>-14486.529999999999</v>
      </c>
      <c r="I7" s="45">
        <f t="shared" si="2"/>
        <v>-0.2043651221906643</v>
      </c>
      <c r="J7" s="58" t="s">
        <v>78</v>
      </c>
      <c r="K7" s="59" t="s">
        <v>79</v>
      </c>
    </row>
    <row r="8" spans="1:11" ht="15.75">
      <c r="A8" s="51" t="str">
        <v>Wareham - 8 Thatcher Drive</v>
      </c>
      <c r="B8" s="48" t="str">
        <v>MA</v>
      </c>
      <c r="C8" s="36">
        <v>16925.875</v>
      </c>
      <c r="D8" s="37">
        <v>17111.189999999999</v>
      </c>
      <c r="E8" s="37">
        <f t="shared" si="0"/>
        <v>-185.31499999999869</v>
      </c>
      <c r="F8" s="38">
        <f t="shared" si="3"/>
        <v>-1.0830047471858983E-2</v>
      </c>
      <c r="G8" s="39">
        <v>18394.93</v>
      </c>
      <c r="H8" s="39">
        <f t="shared" si="1"/>
        <v>-1469.0550000000003</v>
      </c>
      <c r="I8" s="40">
        <f t="shared" si="2"/>
        <v>-7.9861951091958511E-2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16282.5226917034</v>
      </c>
      <c r="D9" s="44">
        <v>16635.099999999999</v>
      </c>
      <c r="E9" s="44">
        <f t="shared" si="0"/>
        <v>-352.57730829659886</v>
      </c>
      <c r="F9" s="45">
        <f t="shared" si="3"/>
        <v>-2.1194781413793658E-2</v>
      </c>
      <c r="G9" s="46">
        <v>18770.490000000002</v>
      </c>
      <c r="H9" s="46">
        <f t="shared" si="1"/>
        <v>-2487.9673082966019</v>
      </c>
      <c r="I9" s="45">
        <f t="shared" si="2"/>
        <v>-0.13254674269540123</v>
      </c>
      <c r="J9" s="58"/>
      <c r="K9" s="59"/>
    </row>
    <row r="10" spans="1:11" ht="42.75">
      <c r="A10" s="51" t="str">
        <v>Harrison - 130 Union Street</v>
      </c>
      <c r="B10" s="48" t="str">
        <v>NY</v>
      </c>
      <c r="C10" s="36">
        <v>21737.375</v>
      </c>
      <c r="D10" s="37">
        <v>23442.16</v>
      </c>
      <c r="E10" s="37">
        <f t="shared" si="0"/>
        <v>-1704.7849999999999</v>
      </c>
      <c r="F10" s="38">
        <f t="shared" si="3"/>
        <v>-7.2723034054882313E-2</v>
      </c>
      <c r="G10" s="39">
        <v>26207.47</v>
      </c>
      <c r="H10" s="39">
        <f t="shared" si="1"/>
        <v>-4470.0950000000012</v>
      </c>
      <c r="I10" s="40">
        <f t="shared" si="2"/>
        <v>-0.17056568222724289</v>
      </c>
      <c r="J10" s="57" t="s">
        <v>80</v>
      </c>
      <c r="K10" s="57" t="s">
        <v>81</v>
      </c>
    </row>
    <row r="11" spans="1:11" ht="15.75">
      <c r="A11" s="49" t="str">
        <v>Staten Island - Ellis Storage</v>
      </c>
      <c r="B11" s="50" t="str">
        <v>NY</v>
      </c>
      <c r="C11" s="43">
        <v>56581</v>
      </c>
      <c r="D11" s="44">
        <v>60019.33</v>
      </c>
      <c r="E11" s="44">
        <f t="shared" si="0"/>
        <v>-3438.3300000000017</v>
      </c>
      <c r="F11" s="45">
        <f t="shared" si="3"/>
        <v>-5.7287044023983637E-2</v>
      </c>
      <c r="G11" s="46">
        <v>60619.51</v>
      </c>
      <c r="H11" s="46">
        <f t="shared" si="1"/>
        <v>-4038.510000000002</v>
      </c>
      <c r="I11" s="45">
        <f t="shared" si="2"/>
        <v>-6.6620630882697693E-2</v>
      </c>
      <c r="J11" s="58"/>
      <c r="K11" s="59"/>
    </row>
    <row r="12" spans="1:11" ht="28.5">
      <c r="A12" s="51" t="str">
        <v>Amherst - 595 Scholles Road</v>
      </c>
      <c r="B12" s="48" t="str">
        <v>NY</v>
      </c>
      <c r="C12" s="36">
        <v>718270</v>
      </c>
      <c r="D12" s="37">
        <v>768638</v>
      </c>
      <c r="E12" s="37">
        <f t="shared" si="0"/>
        <v>-50368</v>
      </c>
      <c r="F12" s="38">
        <f t="shared" si="3"/>
        <v>-6.5528896567695061E-2</v>
      </c>
      <c r="G12" s="39">
        <v>953051</v>
      </c>
      <c r="H12" s="39">
        <f t="shared" si="1"/>
        <v>-234781</v>
      </c>
      <c r="I12" s="40">
        <f t="shared" si="2"/>
        <v>-0.24634673275616939</v>
      </c>
      <c r="J12" s="57" t="s">
        <v>82</v>
      </c>
      <c r="K12" s="57" t="s">
        <v>83</v>
      </c>
    </row>
    <row r="13" spans="1:11" ht="31.5">
      <c r="A13" s="49" t="str">
        <v>Lancaster 1 - Gunnville Road</v>
      </c>
      <c r="B13" s="50" t="str">
        <v>NY</v>
      </c>
      <c r="C13" s="43">
        <v>557874</v>
      </c>
      <c r="D13" s="44">
        <v>635837.5</v>
      </c>
      <c r="E13" s="44">
        <f t="shared" si="0"/>
        <v>-77963.5</v>
      </c>
      <c r="F13" s="45">
        <f t="shared" si="3"/>
        <v>-0.12261544812943559</v>
      </c>
      <c r="G13" s="46">
        <v>746890.6</v>
      </c>
      <c r="H13" s="46">
        <f t="shared" si="1"/>
        <v>-189016.59999999998</v>
      </c>
      <c r="I13" s="45">
        <f t="shared" si="2"/>
        <v>-0.25307133333851034</v>
      </c>
      <c r="J13" s="58" t="s">
        <v>84</v>
      </c>
      <c r="K13" s="59" t="s">
        <v>85</v>
      </c>
    </row>
    <row r="14" spans="1:11" ht="15.75">
      <c r="A14" s="51" t="str">
        <v>Lancaster 2 - Shisler Road</v>
      </c>
      <c r="B14" s="48" t="str">
        <v>NY</v>
      </c>
      <c r="C14" s="36">
        <v>609258</v>
      </c>
      <c r="D14" s="37">
        <v>678559.1</v>
      </c>
      <c r="E14" s="37">
        <f t="shared" si="0"/>
        <v>-69301.099999999977</v>
      </c>
      <c r="F14" s="38">
        <f t="shared" si="3"/>
        <v>-0.10212979237917519</v>
      </c>
      <c r="G14" s="39">
        <v>820159.4</v>
      </c>
      <c r="H14" s="39">
        <f t="shared" si="1"/>
        <v>-210901.40000000002</v>
      </c>
      <c r="I14" s="40">
        <f t="shared" si="2"/>
        <v>-0.25714684243087382</v>
      </c>
      <c r="J14" s="57" t="s">
        <v>86</v>
      </c>
      <c r="K14" s="57" t="s">
        <v>87</v>
      </c>
    </row>
    <row r="15" spans="1:11" ht="15.75">
      <c r="A15" s="49" t="str">
        <v>Fullerton - 200 W Orangethorpe</v>
      </c>
      <c r="B15" s="50" t="str">
        <v>CA</v>
      </c>
      <c r="C15" s="43">
        <v>118417.19734375</v>
      </c>
      <c r="D15" s="44">
        <v>125423.7</v>
      </c>
      <c r="E15" s="44">
        <f t="shared" si="0"/>
        <v>-7006.5026562499988</v>
      </c>
      <c r="F15" s="45">
        <f t="shared" si="3"/>
        <v>-5.5862669146660472E-2</v>
      </c>
      <c r="G15" s="46">
        <v>121841.4</v>
      </c>
      <c r="H15" s="46">
        <f t="shared" si="1"/>
        <v>-3424.2026562499959</v>
      </c>
      <c r="I15" s="45">
        <f t="shared" si="2"/>
        <v>-2.8103769788019477E-2</v>
      </c>
      <c r="J15" s="58" t="s">
        <v>88</v>
      </c>
      <c r="K15" s="59" t="s">
        <v>89</v>
      </c>
    </row>
    <row r="16" spans="1:11" ht="28.5">
      <c r="A16" s="51" t="str">
        <v>El Paso - 10500 Railroad Drive</v>
      </c>
      <c r="B16" s="48" t="str">
        <v>TX</v>
      </c>
      <c r="C16" s="36">
        <v>160423.625</v>
      </c>
      <c r="D16" s="37">
        <v>160278.5</v>
      </c>
      <c r="E16" s="37">
        <f t="shared" si="0"/>
        <v>145.125</v>
      </c>
      <c r="F16" s="38">
        <f t="shared" si="3"/>
        <v>9.05455192056327E-4</v>
      </c>
      <c r="G16" s="39">
        <v>148074</v>
      </c>
      <c r="H16" s="39">
        <f t="shared" si="1"/>
        <v>12349.625</v>
      </c>
      <c r="I16" s="40">
        <f t="shared" si="2"/>
        <v>8.3401711306508905E-2</v>
      </c>
      <c r="J16" s="57" t="s">
        <v>90</v>
      </c>
      <c r="K16" s="57" t="s">
        <v>91</v>
      </c>
    </row>
    <row r="17" spans="1:11" ht="15.75">
      <c r="A17" s="49" t="str">
        <v>Friona - 900 Millard Ave</v>
      </c>
      <c r="B17" s="50" t="str">
        <v>TX</v>
      </c>
      <c r="C17" s="43">
        <v>135532.75</v>
      </c>
      <c r="D17" s="44">
        <v>143491.79999999999</v>
      </c>
      <c r="E17" s="44">
        <f t="shared" si="0"/>
        <v>-7959.0499999999884</v>
      </c>
      <c r="F17" s="45">
        <f t="shared" si="3"/>
        <v>-5.5466932605208026E-2</v>
      </c>
      <c r="G17" s="46">
        <v>124718.6</v>
      </c>
      <c r="H17" s="46">
        <f t="shared" si="1"/>
        <v>10814.149999999994</v>
      </c>
      <c r="I17" s="45">
        <f t="shared" si="2"/>
        <v>8.6708397945454763E-2</v>
      </c>
      <c r="J17" s="58" t="s">
        <v>92</v>
      </c>
      <c r="K17" s="59" t="s">
        <v>71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4" activePane="bottomRight" state="frozen"/>
      <selection pane="bottomRight" activeCell="C5" sqref="C5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93</v>
      </c>
      <c r="E1" s="76"/>
      <c r="F1" s="76"/>
      <c r="G1" s="74" t="s">
        <v>94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4754643.5404952252</v>
      </c>
      <c r="D2" s="5">
        <f>SUM(D4:D92)</f>
        <v>4977329.459999999</v>
      </c>
      <c r="E2" s="5">
        <f>C2-D2</f>
        <v>-222685.9195047738</v>
      </c>
      <c r="F2" s="6">
        <f>IFERROR(E2/D2, 0)</f>
        <v>-4.4740040074577228E-2</v>
      </c>
      <c r="G2" s="5">
        <f>SUM(G4:G92)</f>
        <v>5677264.5899999999</v>
      </c>
      <c r="H2" s="7">
        <f>C2-G2</f>
        <v>-922621.04950477462</v>
      </c>
      <c r="I2" s="6">
        <f>IFERROR(H2/G2, 0)</f>
        <v>-0.16251154669273124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129623.4375</v>
      </c>
      <c r="D4" s="37">
        <v>138492</v>
      </c>
      <c r="E4" s="37">
        <f>IF(AND(ISNUMBER(C4),ISNUMBER(D4)), C4-D4, "")</f>
        <v>-8868.5625</v>
      </c>
      <c r="F4" s="38">
        <f>IFERROR(E4/D4, "")</f>
        <v>-6.4036641105623432E-2</v>
      </c>
      <c r="G4" s="39">
        <v>137316</v>
      </c>
      <c r="H4" s="39">
        <f>IF(AND(ISNUMBER(C4),ISNUMBER(G4)), C4-G4, "")</f>
        <v>-7692.5625</v>
      </c>
      <c r="I4" s="40">
        <f>IFERROR(H4/G4, "")</f>
        <v>-5.6020875207550468E-2</v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>
        <v>444296</v>
      </c>
      <c r="D5" s="44">
        <v>486481</v>
      </c>
      <c r="E5" s="44">
        <f>IF(AND(ISNUMBER(C5),ISNUMBER(D5)), C5-D5, "")</f>
        <v>-42185</v>
      </c>
      <c r="F5" s="45">
        <f>IFERROR(E5/D5, "")</f>
        <v>-8.671458905897661E-2</v>
      </c>
      <c r="G5" s="46">
        <v>998170</v>
      </c>
      <c r="H5" s="46">
        <f t="shared" ref="H5:H17" si="0">IF(AND(ISNUMBER(C5),ISNUMBER(G5)), C5-G5, "")</f>
        <v>-553874</v>
      </c>
      <c r="I5" s="45">
        <f t="shared" ref="I5:I17" si="1">IFERROR(H5/G5, "")</f>
        <v>-0.5548894476892714</v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>
        <v>667886</v>
      </c>
      <c r="D6" s="37">
        <v>782886.8</v>
      </c>
      <c r="E6" s="37">
        <f t="shared" ref="E6:E17" si="2">IF(AND(ISNUMBER(C6),ISNUMBER(D6)), C6-D6, "")</f>
        <v>-115000.80000000005</v>
      </c>
      <c r="F6" s="38">
        <f t="shared" ref="F6:F17" si="3">IFERROR(E6/D6, "")</f>
        <v>-0.146893267328048</v>
      </c>
      <c r="G6" s="39">
        <v>818352.4</v>
      </c>
      <c r="H6" s="39">
        <f t="shared" si="0"/>
        <v>-150466.40000000002</v>
      </c>
      <c r="I6" s="40">
        <f t="shared" si="1"/>
        <v>-0.18386504395905728</v>
      </c>
      <c r="J6" s="57" t="s">
        <v>95</v>
      </c>
      <c r="K6" s="57" t="s">
        <v>96</v>
      </c>
    </row>
    <row r="7" spans="1:11" ht="15.75">
      <c r="A7" s="49" t="str">
        <v>Charlton - 299 Worcester Road</v>
      </c>
      <c r="B7" s="50" t="str">
        <v>MA</v>
      </c>
      <c r="C7" s="43">
        <v>63015.5</v>
      </c>
      <c r="D7" s="44">
        <v>66192.479999999996</v>
      </c>
      <c r="E7" s="44">
        <f t="shared" si="2"/>
        <v>-3176.9799999999959</v>
      </c>
      <c r="F7" s="45">
        <f t="shared" si="3"/>
        <v>-4.7996086564516031E-2</v>
      </c>
      <c r="G7" s="46">
        <v>69886.66</v>
      </c>
      <c r="H7" s="46">
        <f t="shared" si="0"/>
        <v>-6871.1600000000035</v>
      </c>
      <c r="I7" s="45">
        <f t="shared" si="1"/>
        <v>-9.8318620463476197E-2</v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>
        <v>19262.5</v>
      </c>
      <c r="D8" s="37">
        <v>19740.830000000002</v>
      </c>
      <c r="E8" s="37">
        <f t="shared" si="2"/>
        <v>-478.33000000000175</v>
      </c>
      <c r="F8" s="38">
        <f t="shared" si="3"/>
        <v>-2.4230490815229232E-2</v>
      </c>
      <c r="G8" s="39">
        <v>20442.38</v>
      </c>
      <c r="H8" s="39">
        <f t="shared" si="0"/>
        <v>-1179.880000000001</v>
      </c>
      <c r="I8" s="40">
        <f t="shared" si="1"/>
        <v>-5.7717349936749096E-2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18404.1692640695</v>
      </c>
      <c r="D9" s="44">
        <v>19706.43</v>
      </c>
      <c r="E9" s="44">
        <f t="shared" si="2"/>
        <v>-1302.2607359305002</v>
      </c>
      <c r="F9" s="45">
        <f t="shared" si="3"/>
        <v>-6.6083036649991919E-2</v>
      </c>
      <c r="G9" s="46">
        <v>20391.91</v>
      </c>
      <c r="H9" s="46">
        <f t="shared" si="0"/>
        <v>-1987.7407359304998</v>
      </c>
      <c r="I9" s="45">
        <f t="shared" si="1"/>
        <v>-9.7476927660552631E-2</v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>
        <v>28316.3125</v>
      </c>
      <c r="D10" s="37">
        <v>29728.98</v>
      </c>
      <c r="E10" s="37">
        <f t="shared" si="2"/>
        <v>-1412.6674999999996</v>
      </c>
      <c r="F10" s="38">
        <f t="shared" si="3"/>
        <v>-4.7518196049780366E-2</v>
      </c>
      <c r="G10" s="39">
        <v>30348.959999999999</v>
      </c>
      <c r="H10" s="39">
        <f t="shared" si="0"/>
        <v>-2032.6474999999991</v>
      </c>
      <c r="I10" s="40">
        <f t="shared" si="1"/>
        <v>-6.6975853538309024E-2</v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>
        <v>63332.746231155703</v>
      </c>
      <c r="D11" s="44">
        <v>67493.259999999995</v>
      </c>
      <c r="E11" s="44">
        <f t="shared" si="2"/>
        <v>-4160.5137688442919</v>
      </c>
      <c r="F11" s="45">
        <f t="shared" si="3"/>
        <v>-6.1643396227183164E-2</v>
      </c>
      <c r="G11" s="46">
        <v>69978.38</v>
      </c>
      <c r="H11" s="46">
        <f t="shared" si="0"/>
        <v>-6645.6337688443018</v>
      </c>
      <c r="I11" s="45">
        <f t="shared" si="1"/>
        <v>-9.4966956492052279E-2</v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>
        <v>1116729</v>
      </c>
      <c r="D12" s="37">
        <v>1058881.31</v>
      </c>
      <c r="E12" s="37">
        <f t="shared" si="2"/>
        <v>57847.689999999944</v>
      </c>
      <c r="F12" s="38">
        <f t="shared" si="3"/>
        <v>5.4630948203250408E-2</v>
      </c>
      <c r="G12" s="39">
        <v>1200817</v>
      </c>
      <c r="H12" s="39">
        <f t="shared" si="0"/>
        <v>-84088</v>
      </c>
      <c r="I12" s="40">
        <f t="shared" si="1"/>
        <v>-7.002565753149731E-2</v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>
        <v>849171</v>
      </c>
      <c r="D13" s="44">
        <v>904354.17</v>
      </c>
      <c r="E13" s="44">
        <f t="shared" si="2"/>
        <v>-55183.170000000042</v>
      </c>
      <c r="F13" s="45">
        <f t="shared" si="3"/>
        <v>-6.1019423396919861E-2</v>
      </c>
      <c r="G13" s="69">
        <v>894596</v>
      </c>
      <c r="H13" s="46">
        <f t="shared" si="0"/>
        <v>-45425</v>
      </c>
      <c r="I13" s="45">
        <f t="shared" si="1"/>
        <v>-5.0777110561638999E-2</v>
      </c>
      <c r="J13" s="58" t="s">
        <v>97</v>
      </c>
      <c r="K13" s="59" t="s">
        <v>98</v>
      </c>
    </row>
    <row r="14" spans="1:11" ht="156.75" customHeight="1">
      <c r="A14" s="51" t="str">
        <v>Lancaster 2 - Shisler Road</v>
      </c>
      <c r="B14" s="48" t="str">
        <v>NY</v>
      </c>
      <c r="C14" s="36">
        <v>919274</v>
      </c>
      <c r="D14" s="37">
        <v>954343</v>
      </c>
      <c r="E14" s="37">
        <f t="shared" si="2"/>
        <v>-35069</v>
      </c>
      <c r="F14" s="38">
        <f t="shared" si="3"/>
        <v>-3.6746746190834949E-2</v>
      </c>
      <c r="G14" s="39">
        <v>981722</v>
      </c>
      <c r="H14" s="39">
        <f t="shared" si="0"/>
        <v>-62448</v>
      </c>
      <c r="I14" s="40">
        <f t="shared" si="1"/>
        <v>-6.3610675934735086E-2</v>
      </c>
      <c r="J14" s="57" t="s">
        <v>99</v>
      </c>
      <c r="K14" s="57" t="s">
        <v>100</v>
      </c>
    </row>
    <row r="15" spans="1:11" ht="15.75">
      <c r="A15" s="49" t="str">
        <v>Fullerton - 200 W Orangethorpe</v>
      </c>
      <c r="B15" s="50" t="str">
        <v>CA</v>
      </c>
      <c r="C15" s="43">
        <v>113363</v>
      </c>
      <c r="D15" s="44">
        <v>113261</v>
      </c>
      <c r="E15" s="44">
        <f t="shared" si="2"/>
        <v>102</v>
      </c>
      <c r="F15" s="45">
        <f t="shared" si="3"/>
        <v>9.0057477860870021E-4</v>
      </c>
      <c r="G15" s="46">
        <v>135181</v>
      </c>
      <c r="H15" s="46">
        <f t="shared" si="0"/>
        <v>-21818</v>
      </c>
      <c r="I15" s="45">
        <f t="shared" si="1"/>
        <v>-0.16139842137578506</v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>
        <v>184602.875</v>
      </c>
      <c r="D16" s="37">
        <v>182605.6</v>
      </c>
      <c r="E16" s="37">
        <f t="shared" si="2"/>
        <v>1997.2749999999942</v>
      </c>
      <c r="F16" s="38">
        <f t="shared" si="3"/>
        <v>1.0937643752436913E-2</v>
      </c>
      <c r="G16" s="39">
        <v>160947.4</v>
      </c>
      <c r="H16" s="39">
        <f t="shared" si="0"/>
        <v>23655.475000000006</v>
      </c>
      <c r="I16" s="40">
        <f t="shared" si="1"/>
        <v>0.14697643453699785</v>
      </c>
      <c r="J16" s="57" t="s">
        <v>101</v>
      </c>
      <c r="K16" s="57" t="s">
        <v>91</v>
      </c>
    </row>
    <row r="17" spans="1:11" ht="28.5">
      <c r="A17" s="49" t="str">
        <v>Friona - 900 Millard Ave</v>
      </c>
      <c r="B17" s="50" t="str">
        <v>TX</v>
      </c>
      <c r="C17" s="43">
        <v>137367</v>
      </c>
      <c r="D17" s="44">
        <v>153162.6</v>
      </c>
      <c r="E17" s="44">
        <f t="shared" si="2"/>
        <v>-15795.600000000006</v>
      </c>
      <c r="F17" s="45">
        <f t="shared" si="3"/>
        <v>-0.10312961519326523</v>
      </c>
      <c r="G17" s="46">
        <v>139114.5</v>
      </c>
      <c r="H17" s="46">
        <f t="shared" si="0"/>
        <v>-1747.5</v>
      </c>
      <c r="I17" s="45">
        <f t="shared" si="1"/>
        <v>-1.2561594945171064E-2</v>
      </c>
      <c r="J17" s="58" t="s">
        <v>102</v>
      </c>
      <c r="K17" s="59" t="s">
        <v>103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zoomScale="80" zoomScaleNormal="80" workbookViewId="0">
      <pane xSplit="2" ySplit="3" topLeftCell="D4" activePane="bottomRight" state="frozen"/>
      <selection pane="bottomRight" activeCell="K14" sqref="K1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104</v>
      </c>
      <c r="E1" s="76"/>
      <c r="F1" s="76"/>
      <c r="G1" s="74" t="s">
        <v>105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4345693.4693838647</v>
      </c>
      <c r="D2" s="5">
        <f>SUM(D4:D92)</f>
        <v>4743555.6400000006</v>
      </c>
      <c r="E2" s="5">
        <f>C2-D2</f>
        <v>-397862.17061613593</v>
      </c>
      <c r="F2" s="6">
        <f>IFERROR(E2/D2, 0)</f>
        <v>-8.3874249784521529E-2</v>
      </c>
      <c r="G2" s="5">
        <f>SUM(G4:G92)</f>
        <v>5825174.4200000009</v>
      </c>
      <c r="H2" s="7">
        <f>C2-G2</f>
        <v>-1479480.9506161362</v>
      </c>
      <c r="I2" s="6">
        <f>IFERROR(H2/G2, 0)</f>
        <v>-0.25398054100088835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122127.25</v>
      </c>
      <c r="D4" s="37">
        <v>133315</v>
      </c>
      <c r="E4" s="37">
        <f>IF(AND(ISNUMBER(C4),ISNUMBER(D4)), C4-D4, "")</f>
        <v>-11187.75</v>
      </c>
      <c r="F4" s="38">
        <f>IFERROR(E4/D4, "")</f>
        <v>-8.3919663953793647E-2</v>
      </c>
      <c r="G4" s="39">
        <v>135560.29999999999</v>
      </c>
      <c r="H4" s="39">
        <f>IF(AND(ISNUMBER(C4),ISNUMBER(G4)), C4-G4, "")</f>
        <v>-13433.049999999988</v>
      </c>
      <c r="I4" s="40">
        <f>IFERROR(H4/G4, "")</f>
        <v>-9.9092802243724673E-2</v>
      </c>
      <c r="J4" s="70"/>
      <c r="K4" s="70"/>
    </row>
    <row r="5" spans="1:11" ht="15.75">
      <c r="A5" s="49" t="str">
        <v>Adelanto - 1 Sheep Creek Road</v>
      </c>
      <c r="B5" s="50" t="str">
        <v>CA</v>
      </c>
      <c r="C5" s="43">
        <v>445728</v>
      </c>
      <c r="D5" s="71">
        <v>347040</v>
      </c>
      <c r="E5" s="44">
        <f t="shared" ref="E5:E17" si="0">IF(AND(ISNUMBER(C5),ISNUMBER(D5)), C5-D5, "")</f>
        <v>98688</v>
      </c>
      <c r="F5" s="45">
        <f>IFERROR(E5/D5, "")</f>
        <v>0.28437067773167357</v>
      </c>
      <c r="G5" s="71">
        <v>1054180</v>
      </c>
      <c r="H5" s="46">
        <f t="shared" ref="H5:H17" si="1">IF(AND(ISNUMBER(C5),ISNUMBER(G5)), C5-G5, "")</f>
        <v>-608452</v>
      </c>
      <c r="I5" s="45">
        <f t="shared" ref="I5:I17" si="2">IFERROR(H5/G5, "")</f>
        <v>-0.57718036767914394</v>
      </c>
      <c r="J5" s="78" t="s">
        <v>106</v>
      </c>
      <c r="K5" s="79" t="s">
        <v>107</v>
      </c>
    </row>
    <row r="6" spans="1:11" ht="28.5">
      <c r="A6" s="51" t="str">
        <v>Blackstone - 83 Federal Street</v>
      </c>
      <c r="B6" s="48" t="str">
        <v>MA</v>
      </c>
      <c r="C6" s="36">
        <v>740225</v>
      </c>
      <c r="D6" s="37">
        <v>880901.4</v>
      </c>
      <c r="E6" s="37">
        <f t="shared" si="0"/>
        <v>-140676.40000000002</v>
      </c>
      <c r="F6" s="38">
        <f t="shared" ref="F6:F17" si="3">IFERROR(E6/D6, "")</f>
        <v>-0.15969596597303629</v>
      </c>
      <c r="G6" s="39">
        <v>856726.7</v>
      </c>
      <c r="H6" s="39">
        <f t="shared" si="1"/>
        <v>-116501.69999999995</v>
      </c>
      <c r="I6" s="40">
        <f t="shared" si="2"/>
        <v>-0.13598467282506774</v>
      </c>
      <c r="J6" s="70" t="s">
        <v>108</v>
      </c>
      <c r="K6" s="70" t="s">
        <v>109</v>
      </c>
    </row>
    <row r="7" spans="1:11" ht="15.75">
      <c r="A7" s="49" t="str">
        <v>Charlton - 299 Worcester Road</v>
      </c>
      <c r="B7" s="50" t="str">
        <v>MA</v>
      </c>
      <c r="C7" s="43">
        <v>69632.75</v>
      </c>
      <c r="D7" s="44">
        <v>74910.600000000006</v>
      </c>
      <c r="E7" s="44">
        <f t="shared" si="0"/>
        <v>-5277.8500000000058</v>
      </c>
      <c r="F7" s="45">
        <f t="shared" si="3"/>
        <v>-7.0455316070088952E-2</v>
      </c>
      <c r="G7" s="46">
        <v>65333.61</v>
      </c>
      <c r="H7" s="46">
        <f t="shared" si="1"/>
        <v>4299.1399999999994</v>
      </c>
      <c r="I7" s="45">
        <f t="shared" si="2"/>
        <v>6.5802884610233522E-2</v>
      </c>
      <c r="J7" s="78"/>
      <c r="K7" s="78"/>
    </row>
    <row r="8" spans="1:11" ht="15.75">
      <c r="A8" s="51" t="str">
        <v>Wareham - 8 Thatcher Drive</v>
      </c>
      <c r="B8" s="48" t="str">
        <v>MA</v>
      </c>
      <c r="C8" s="36">
        <v>21540.75</v>
      </c>
      <c r="D8" s="37">
        <v>22726.25</v>
      </c>
      <c r="E8" s="37">
        <f t="shared" si="0"/>
        <v>-1185.5</v>
      </c>
      <c r="F8" s="38">
        <f t="shared" si="3"/>
        <v>-5.2164347395632804E-2</v>
      </c>
      <c r="G8" s="39">
        <v>20397.27</v>
      </c>
      <c r="H8" s="39">
        <f t="shared" si="1"/>
        <v>1143.4799999999996</v>
      </c>
      <c r="I8" s="40">
        <f t="shared" si="2"/>
        <v>5.606044338286445E-2</v>
      </c>
      <c r="J8" s="70"/>
      <c r="K8" s="70"/>
    </row>
    <row r="9" spans="1:11" ht="15.75">
      <c r="A9" s="49" t="str">
        <v>West Yarmouth - 42 Mid Tech</v>
      </c>
      <c r="B9" s="50" t="str">
        <v>MA</v>
      </c>
      <c r="C9" s="43">
        <v>20724.215615020199</v>
      </c>
      <c r="D9" s="44">
        <v>23218.82</v>
      </c>
      <c r="E9" s="44">
        <f t="shared" si="0"/>
        <v>-2494.6043849798007</v>
      </c>
      <c r="F9" s="45">
        <f t="shared" si="3"/>
        <v>-0.10743889590340081</v>
      </c>
      <c r="G9" s="46">
        <v>22051.97</v>
      </c>
      <c r="H9" s="46">
        <f t="shared" si="1"/>
        <v>-1327.7543849798021</v>
      </c>
      <c r="I9" s="45">
        <f t="shared" si="2"/>
        <v>-6.0210239038952167E-2</v>
      </c>
      <c r="J9" s="78" t="s">
        <v>110</v>
      </c>
      <c r="K9" s="78" t="s">
        <v>111</v>
      </c>
    </row>
    <row r="10" spans="1:11" ht="15.75">
      <c r="A10" s="51" t="str">
        <v>Harrison - 130 Union Street</v>
      </c>
      <c r="B10" s="48" t="str">
        <v>NY</v>
      </c>
      <c r="C10" s="36">
        <v>32182.375</v>
      </c>
      <c r="D10" s="37">
        <v>34891.440000000002</v>
      </c>
      <c r="E10" s="37">
        <f t="shared" si="0"/>
        <v>-2709.0650000000023</v>
      </c>
      <c r="F10" s="38">
        <f t="shared" si="3"/>
        <v>-7.76426825605364E-2</v>
      </c>
      <c r="G10" s="39">
        <v>30709.08</v>
      </c>
      <c r="H10" s="39">
        <f t="shared" si="1"/>
        <v>1473.2949999999983</v>
      </c>
      <c r="I10" s="40">
        <f t="shared" si="2"/>
        <v>4.7975875539091307E-2</v>
      </c>
      <c r="J10" s="70"/>
      <c r="K10" s="70"/>
    </row>
    <row r="11" spans="1:11" ht="15.75">
      <c r="A11" s="49" t="str">
        <v>Staten Island - Ellis Storage</v>
      </c>
      <c r="B11" s="50" t="str">
        <v>NY</v>
      </c>
      <c r="C11" s="43">
        <v>71852.128768844297</v>
      </c>
      <c r="D11" s="44">
        <v>80309.73</v>
      </c>
      <c r="E11" s="44">
        <f t="shared" si="0"/>
        <v>-8457.6012311556988</v>
      </c>
      <c r="F11" s="45">
        <f t="shared" si="3"/>
        <v>-0.1053122857112793</v>
      </c>
      <c r="G11" s="46">
        <v>73454.19</v>
      </c>
      <c r="H11" s="46">
        <f t="shared" si="1"/>
        <v>-1602.0612311557052</v>
      </c>
      <c r="I11" s="45">
        <f t="shared" si="2"/>
        <v>-2.1810345075695549E-2</v>
      </c>
      <c r="J11" s="78" t="s">
        <v>112</v>
      </c>
      <c r="K11" s="78" t="s">
        <v>113</v>
      </c>
    </row>
    <row r="12" spans="1:11" ht="15.75">
      <c r="A12" s="51" t="str">
        <v>Amherst - 595 Scholles Road</v>
      </c>
      <c r="B12" s="48" t="str">
        <v>NY</v>
      </c>
      <c r="C12" s="36">
        <v>1032322</v>
      </c>
      <c r="D12" s="37">
        <v>1051076</v>
      </c>
      <c r="E12" s="37">
        <f t="shared" si="0"/>
        <v>-18754</v>
      </c>
      <c r="F12" s="38">
        <f t="shared" si="3"/>
        <v>-1.7842667894614663E-2</v>
      </c>
      <c r="G12" s="39">
        <v>1247310</v>
      </c>
      <c r="H12" s="39">
        <f t="shared" si="1"/>
        <v>-214988</v>
      </c>
      <c r="I12" s="40">
        <f t="shared" si="2"/>
        <v>-0.17236132156400574</v>
      </c>
      <c r="J12" s="70" t="s">
        <v>114</v>
      </c>
      <c r="K12" s="70" t="s">
        <v>115</v>
      </c>
    </row>
    <row r="13" spans="1:11" ht="15.75">
      <c r="A13" s="49" t="str">
        <v>Lancaster 1 - Gunnville Road</v>
      </c>
      <c r="B13" s="50" t="str">
        <v>NY</v>
      </c>
      <c r="C13" s="43">
        <v>676471</v>
      </c>
      <c r="D13" s="44">
        <v>819769</v>
      </c>
      <c r="E13" s="44">
        <f t="shared" si="0"/>
        <v>-143298</v>
      </c>
      <c r="F13" s="45">
        <f t="shared" si="3"/>
        <v>-0.1748029017930661</v>
      </c>
      <c r="G13" s="46">
        <v>898945</v>
      </c>
      <c r="H13" s="46">
        <f t="shared" si="1"/>
        <v>-222474</v>
      </c>
      <c r="I13" s="45">
        <f t="shared" si="2"/>
        <v>-0.24748343892006741</v>
      </c>
      <c r="J13" s="78" t="s">
        <v>116</v>
      </c>
      <c r="K13" s="78" t="s">
        <v>117</v>
      </c>
    </row>
    <row r="14" spans="1:11" ht="42.75">
      <c r="A14" s="51" t="str">
        <v>Lancaster 2 - Shisler Road</v>
      </c>
      <c r="B14" s="48" t="str">
        <v>NY</v>
      </c>
      <c r="C14" s="36">
        <v>706777</v>
      </c>
      <c r="D14" s="37">
        <v>858689</v>
      </c>
      <c r="E14" s="37">
        <f t="shared" si="0"/>
        <v>-151912</v>
      </c>
      <c r="F14" s="38">
        <f t="shared" si="3"/>
        <v>-0.17691154771983802</v>
      </c>
      <c r="G14" s="39">
        <v>985264</v>
      </c>
      <c r="H14" s="39">
        <f t="shared" si="1"/>
        <v>-278487</v>
      </c>
      <c r="I14" s="40">
        <f t="shared" si="2"/>
        <v>-0.28265216226310919</v>
      </c>
      <c r="J14" s="70" t="s">
        <v>118</v>
      </c>
      <c r="K14" s="70" t="s">
        <v>119</v>
      </c>
    </row>
    <row r="15" spans="1:11" ht="15.75">
      <c r="A15" s="49" t="str">
        <v>Fullerton - 200 W Orangethorpe</v>
      </c>
      <c r="B15" s="50" t="str">
        <v>CA</v>
      </c>
      <c r="C15" s="43">
        <v>122981</v>
      </c>
      <c r="D15" s="44">
        <v>128754</v>
      </c>
      <c r="E15" s="44">
        <f t="shared" si="0"/>
        <v>-5773</v>
      </c>
      <c r="F15" s="45">
        <f t="shared" si="3"/>
        <v>-4.4837441943551271E-2</v>
      </c>
      <c r="G15" s="46">
        <v>136870</v>
      </c>
      <c r="H15" s="46">
        <f t="shared" si="1"/>
        <v>-13889</v>
      </c>
      <c r="I15" s="45">
        <f t="shared" si="2"/>
        <v>-0.10147585299919631</v>
      </c>
      <c r="J15" s="78" t="s">
        <v>120</v>
      </c>
      <c r="K15" s="78" t="s">
        <v>121</v>
      </c>
    </row>
    <row r="16" spans="1:11" ht="15.75">
      <c r="A16" s="51" t="str">
        <v>El Paso - 10500 Railroad Drive</v>
      </c>
      <c r="B16" s="48" t="str">
        <v>TX</v>
      </c>
      <c r="C16" s="36">
        <v>158270</v>
      </c>
      <c r="D16" s="37">
        <v>157505.5</v>
      </c>
      <c r="E16" s="37">
        <f t="shared" si="0"/>
        <v>764.5</v>
      </c>
      <c r="F16" s="38">
        <f t="shared" si="3"/>
        <v>4.8537987562339091E-3</v>
      </c>
      <c r="G16" s="39">
        <v>154359.4</v>
      </c>
      <c r="H16" s="39">
        <f t="shared" si="1"/>
        <v>3910.6000000000058</v>
      </c>
      <c r="I16" s="40">
        <f t="shared" si="2"/>
        <v>2.5334381968315542E-2</v>
      </c>
      <c r="J16" s="70" t="s">
        <v>122</v>
      </c>
      <c r="K16" s="70" t="s">
        <v>91</v>
      </c>
    </row>
    <row r="17" spans="1:11" ht="15.75">
      <c r="A17" s="49" t="str">
        <v>Friona - 900 Millard Ave</v>
      </c>
      <c r="B17" s="50" t="str">
        <v>TX</v>
      </c>
      <c r="C17" s="43">
        <v>124860</v>
      </c>
      <c r="D17" s="44">
        <v>130448.9</v>
      </c>
      <c r="E17" s="44">
        <f t="shared" si="0"/>
        <v>-5588.8999999999942</v>
      </c>
      <c r="F17" s="45">
        <f t="shared" si="3"/>
        <v>-4.2843596228101535E-2</v>
      </c>
      <c r="G17" s="46">
        <v>144012.9</v>
      </c>
      <c r="H17" s="46">
        <f t="shared" si="1"/>
        <v>-19152.899999999994</v>
      </c>
      <c r="I17" s="45">
        <f t="shared" si="2"/>
        <v>-0.13299433592407342</v>
      </c>
      <c r="J17" s="78"/>
      <c r="K17" s="78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zoomScale="70" zoomScaleNormal="70" workbookViewId="0">
      <pane xSplit="2" ySplit="3" topLeftCell="D4" activePane="bottomRight" state="frozen"/>
      <selection pane="bottomRight" activeCell="K17" sqref="K17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123</v>
      </c>
      <c r="E1" s="76"/>
      <c r="F1" s="76"/>
      <c r="G1" s="74" t="s">
        <v>124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10168856.27424803</v>
      </c>
      <c r="D2" s="5">
        <f>SUM(D4:D92)</f>
        <v>4695360.0129999993</v>
      </c>
      <c r="E2" s="5">
        <f>C2-D2</f>
        <v>5473496.2612480307</v>
      </c>
      <c r="F2" s="6">
        <f>IFERROR(E2/D2, 0)</f>
        <v>1.1657245123044053</v>
      </c>
      <c r="G2" s="5">
        <f>SUM(G4:G92)</f>
        <v>5873579.602</v>
      </c>
      <c r="H2" s="7">
        <f>C2-G2</f>
        <v>4295276.6722480301</v>
      </c>
      <c r="I2" s="6">
        <f>IFERROR(H2/G2, 0)</f>
        <v>0.73128772627606076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78" customHeight="1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115895.75</v>
      </c>
      <c r="D4" s="37">
        <v>130968.02099999999</v>
      </c>
      <c r="E4" s="37">
        <f>IF(AND(ISNUMBER(C4),ISNUMBER(D4)), C4-D4, "")</f>
        <v>-15072.270999999993</v>
      </c>
      <c r="F4" s="38">
        <f>IFERROR(E4/D4, "")</f>
        <v>-0.11508359739206867</v>
      </c>
      <c r="G4" s="39">
        <v>131600.28899999999</v>
      </c>
      <c r="H4" s="39">
        <f>IF(AND(ISNUMBER(C4),ISNUMBER(G4)), C4-G4, "")</f>
        <v>-15704.53899999999</v>
      </c>
      <c r="I4" s="40">
        <f>IFERROR(H4/G4, "")</f>
        <v>-0.1193351406697898</v>
      </c>
      <c r="J4" s="57" t="s">
        <v>125</v>
      </c>
      <c r="K4" s="57" t="s">
        <v>126</v>
      </c>
    </row>
    <row r="5" spans="1:11" ht="42.75" customHeight="1">
      <c r="A5" s="49" t="str">
        <v>Adelanto - 1 Sheep Creek Road</v>
      </c>
      <c r="B5" s="50" t="str">
        <v>CA</v>
      </c>
      <c r="C5" s="43">
        <v>537972</v>
      </c>
      <c r="D5" s="44">
        <v>424045</v>
      </c>
      <c r="E5" s="44">
        <f t="shared" ref="E5:E17" si="0">IF(AND(ISNUMBER(C5),ISNUMBER(D5)), C5-D5, "")</f>
        <v>113927</v>
      </c>
      <c r="F5" s="45">
        <f>IFERROR(E5/D5, "")</f>
        <v>0.26866724050513507</v>
      </c>
      <c r="G5" s="46">
        <v>950229</v>
      </c>
      <c r="H5" s="46">
        <f t="shared" ref="H5:H17" si="1">IF(AND(ISNUMBER(C5),ISNUMBER(G5)), C5-G5, "")</f>
        <v>-412257</v>
      </c>
      <c r="I5" s="45">
        <f t="shared" ref="I5:I17" si="2">IFERROR(H5/G5, "")</f>
        <v>-0.43385015612026151</v>
      </c>
      <c r="J5" s="73" t="s">
        <v>127</v>
      </c>
      <c r="K5" s="58" t="s">
        <v>107</v>
      </c>
    </row>
    <row r="6" spans="1:11" ht="15.75">
      <c r="A6" s="51" t="str">
        <v>Blackstone - 83 Federal Street</v>
      </c>
      <c r="B6" s="48" t="str">
        <v>MA</v>
      </c>
      <c r="C6" s="36">
        <v>6510624</v>
      </c>
      <c r="D6" s="37">
        <v>790280.4</v>
      </c>
      <c r="E6" s="37">
        <f t="shared" si="0"/>
        <v>5720343.5999999996</v>
      </c>
      <c r="F6" s="38">
        <f t="shared" ref="F6:F17" si="3">IFERROR(E6/D6, "")</f>
        <v>7.2383721018514438</v>
      </c>
      <c r="G6" s="39">
        <v>914785.3</v>
      </c>
      <c r="H6" s="39">
        <f t="shared" si="1"/>
        <v>5595838.7000000002</v>
      </c>
      <c r="I6" s="40">
        <f t="shared" si="2"/>
        <v>6.1171060575634524</v>
      </c>
      <c r="J6" s="57" t="s">
        <v>128</v>
      </c>
      <c r="K6" s="57" t="s">
        <v>129</v>
      </c>
    </row>
    <row r="7" spans="1:11" ht="15.75">
      <c r="A7" s="49" t="str">
        <v>Charlton - 299 Worcester Road</v>
      </c>
      <c r="B7" s="50" t="str">
        <v>MA</v>
      </c>
      <c r="C7" s="43">
        <v>65183.75</v>
      </c>
      <c r="D7" s="44">
        <v>69391.77</v>
      </c>
      <c r="E7" s="44">
        <f t="shared" si="0"/>
        <v>-4208.0200000000041</v>
      </c>
      <c r="F7" s="45">
        <f t="shared" si="3"/>
        <v>-6.0641485294293598E-2</v>
      </c>
      <c r="G7" s="46">
        <v>67724.03</v>
      </c>
      <c r="H7" s="46">
        <f t="shared" si="1"/>
        <v>-2540.2799999999988</v>
      </c>
      <c r="I7" s="45">
        <f t="shared" si="2"/>
        <v>-3.7509285847283434E-2</v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>
        <v>19338</v>
      </c>
      <c r="D8" s="37">
        <v>20306.2</v>
      </c>
      <c r="E8" s="37">
        <f t="shared" si="0"/>
        <v>-968.20000000000073</v>
      </c>
      <c r="F8" s="38">
        <f t="shared" si="3"/>
        <v>-4.7680018910480577E-2</v>
      </c>
      <c r="G8" s="39">
        <v>20720.27</v>
      </c>
      <c r="H8" s="39">
        <f t="shared" si="1"/>
        <v>-1382.2700000000004</v>
      </c>
      <c r="I8" s="40">
        <f t="shared" si="2"/>
        <v>-6.6711003283258394E-2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18250.461248030999</v>
      </c>
      <c r="D9" s="44">
        <v>19901.52</v>
      </c>
      <c r="E9" s="44">
        <f t="shared" si="0"/>
        <v>-1651.0587519690016</v>
      </c>
      <c r="F9" s="45">
        <f t="shared" si="3"/>
        <v>-8.2961439727669117E-2</v>
      </c>
      <c r="G9" s="46">
        <v>22751.73</v>
      </c>
      <c r="H9" s="46">
        <f t="shared" si="1"/>
        <v>-4501.2687519690007</v>
      </c>
      <c r="I9" s="45">
        <f t="shared" si="2"/>
        <v>-0.19784292236102488</v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>
        <v>29157</v>
      </c>
      <c r="D10" s="37">
        <v>32679.73</v>
      </c>
      <c r="E10" s="37">
        <f t="shared" si="0"/>
        <v>-3522.7299999999996</v>
      </c>
      <c r="F10" s="38">
        <f t="shared" si="3"/>
        <v>-0.10779556624243834</v>
      </c>
      <c r="G10" s="39">
        <v>32407.31</v>
      </c>
      <c r="H10" s="39">
        <f t="shared" si="1"/>
        <v>-3250.3100000000013</v>
      </c>
      <c r="I10" s="40">
        <f t="shared" si="2"/>
        <v>-0.10029558145986202</v>
      </c>
      <c r="J10" s="57" t="s">
        <v>130</v>
      </c>
      <c r="K10" s="57" t="s">
        <v>131</v>
      </c>
    </row>
    <row r="11" spans="1:11" ht="15.75">
      <c r="A11" s="49" t="str">
        <v>Staten Island - Ellis Storage</v>
      </c>
      <c r="B11" s="50" t="str">
        <v>NY</v>
      </c>
      <c r="C11" s="43">
        <v>68730.75</v>
      </c>
      <c r="D11" s="44">
        <v>75949.179999999993</v>
      </c>
      <c r="E11" s="44">
        <f t="shared" si="0"/>
        <v>-7218.429999999993</v>
      </c>
      <c r="F11" s="45">
        <f t="shared" si="3"/>
        <v>-9.5042895788999882E-2</v>
      </c>
      <c r="G11" s="46">
        <v>73790.259999999995</v>
      </c>
      <c r="H11" s="46">
        <f t="shared" si="1"/>
        <v>-5059.5099999999948</v>
      </c>
      <c r="I11" s="45">
        <f t="shared" si="2"/>
        <v>-6.8566095308513555E-2</v>
      </c>
      <c r="J11" s="58" t="s">
        <v>132</v>
      </c>
      <c r="K11" s="59" t="s">
        <v>133</v>
      </c>
    </row>
    <row r="12" spans="1:11" ht="15.75">
      <c r="A12" s="51" t="str">
        <v>Amherst - 595 Scholles Road</v>
      </c>
      <c r="B12" s="48" t="str">
        <v>NY</v>
      </c>
      <c r="C12" s="36">
        <v>1215073</v>
      </c>
      <c r="D12" s="37">
        <v>1252059</v>
      </c>
      <c r="E12" s="37">
        <f t="shared" si="0"/>
        <v>-36986</v>
      </c>
      <c r="F12" s="38">
        <f t="shared" si="3"/>
        <v>-2.9540141478955863E-2</v>
      </c>
      <c r="G12" s="39">
        <v>1284779</v>
      </c>
      <c r="H12" s="39">
        <f t="shared" si="1"/>
        <v>-69706</v>
      </c>
      <c r="I12" s="40">
        <f t="shared" si="2"/>
        <v>-5.4255245454665743E-2</v>
      </c>
      <c r="J12" s="57"/>
      <c r="K12" s="57"/>
    </row>
    <row r="13" spans="1:11" ht="28.5">
      <c r="A13" s="49" t="str">
        <v>Lancaster 1 - Gunnville Road</v>
      </c>
      <c r="B13" s="50" t="str">
        <v>NY</v>
      </c>
      <c r="C13" s="43">
        <v>603967</v>
      </c>
      <c r="D13" s="44">
        <v>719584.66</v>
      </c>
      <c r="E13" s="44">
        <f t="shared" si="0"/>
        <v>-115617.66000000003</v>
      </c>
      <c r="F13" s="45">
        <f t="shared" si="3"/>
        <v>-0.16067276920550255</v>
      </c>
      <c r="G13" s="46">
        <v>922070.49</v>
      </c>
      <c r="H13" s="46">
        <f t="shared" si="1"/>
        <v>-318103.49</v>
      </c>
      <c r="I13" s="45">
        <f t="shared" si="2"/>
        <v>-0.34498825572435354</v>
      </c>
      <c r="J13" s="58" t="s">
        <v>134</v>
      </c>
      <c r="K13" s="72" t="s">
        <v>135</v>
      </c>
    </row>
    <row r="14" spans="1:11" ht="57">
      <c r="A14" s="51" t="str">
        <v>Lancaster 2 - Shisler Road</v>
      </c>
      <c r="B14" s="48" t="str">
        <v>NY</v>
      </c>
      <c r="C14" s="36">
        <v>565331</v>
      </c>
      <c r="D14" s="37">
        <v>718700.59900000005</v>
      </c>
      <c r="E14" s="37">
        <f>IF(AND(ISNUMBER(C14),ISNUMBER(D14)), C14-D14, "")</f>
        <v>-153369.59900000005</v>
      </c>
      <c r="F14" s="38">
        <f t="shared" si="3"/>
        <v>-0.21339845717868955</v>
      </c>
      <c r="G14" s="39">
        <v>1010220.65</v>
      </c>
      <c r="H14" s="39">
        <f>IF(AND(ISNUMBER(C14),ISNUMBER(G14)), C14-G14, "")</f>
        <v>-444889.65</v>
      </c>
      <c r="I14" s="40">
        <f t="shared" si="2"/>
        <v>-0.44038859233376393</v>
      </c>
      <c r="J14" s="57" t="s">
        <v>136</v>
      </c>
      <c r="K14" s="57" t="s">
        <v>137</v>
      </c>
    </row>
    <row r="15" spans="1:11" ht="15.75">
      <c r="A15" s="49" t="str">
        <v>Fullerton - 200 W Orangethorpe</v>
      </c>
      <c r="B15" s="50" t="str">
        <v>CA</v>
      </c>
      <c r="C15" s="43">
        <v>125670.81299999999</v>
      </c>
      <c r="D15" s="44">
        <v>140511.83300000001</v>
      </c>
      <c r="E15" s="69">
        <f>IF(AND(ISNUMBER(C15),ISNUMBER(D15)), C15-D15, "")</f>
        <v>-14841.020000000019</v>
      </c>
      <c r="F15" s="45">
        <f t="shared" si="3"/>
        <v>-0.10562114010711124</v>
      </c>
      <c r="G15" s="46">
        <v>145309.17300000001</v>
      </c>
      <c r="H15" s="69">
        <f>IF(AND(ISNUMBER(C15),ISNUMBER(G15)), C15-G15, "")</f>
        <v>-19638.360000000015</v>
      </c>
      <c r="I15" s="45">
        <f t="shared" si="2"/>
        <v>-0.13514879752292042</v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>
        <v>161467.25</v>
      </c>
      <c r="D16" s="37">
        <v>159590.29999999999</v>
      </c>
      <c r="E16" s="37">
        <f t="shared" si="0"/>
        <v>1876.9500000000116</v>
      </c>
      <c r="F16" s="38">
        <f t="shared" si="3"/>
        <v>1.1761053146713878E-2</v>
      </c>
      <c r="G16" s="39">
        <v>152764.1</v>
      </c>
      <c r="H16" s="39">
        <f t="shared" si="1"/>
        <v>8703.1499999999942</v>
      </c>
      <c r="I16" s="40">
        <f t="shared" si="2"/>
        <v>5.6971173201033447E-2</v>
      </c>
      <c r="J16" s="57" t="s">
        <v>138</v>
      </c>
      <c r="K16" s="57" t="s">
        <v>139</v>
      </c>
    </row>
    <row r="17" spans="1:11" ht="31.5">
      <c r="A17" s="49" t="str">
        <v>Friona - 900 Millard Ave</v>
      </c>
      <c r="B17" s="50" t="str">
        <v>TX</v>
      </c>
      <c r="C17" s="43">
        <v>132195.5</v>
      </c>
      <c r="D17" s="44">
        <v>141391.79999999999</v>
      </c>
      <c r="E17" s="44">
        <f t="shared" si="0"/>
        <v>-9196.2999999999884</v>
      </c>
      <c r="F17" s="45">
        <f t="shared" si="3"/>
        <v>-6.5041254160425069E-2</v>
      </c>
      <c r="G17" s="46">
        <v>144428</v>
      </c>
      <c r="H17" s="46">
        <f t="shared" si="1"/>
        <v>-12232.5</v>
      </c>
      <c r="I17" s="45">
        <f t="shared" si="2"/>
        <v>-8.4696180795967538E-2</v>
      </c>
      <c r="J17" s="58" t="s">
        <v>140</v>
      </c>
      <c r="K17" s="72" t="s">
        <v>141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2 I4:I9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tabSelected="1" zoomScale="90" zoomScaleNormal="90" workbookViewId="0">
      <pane xSplit="2" ySplit="3" topLeftCell="D12" activePane="bottomRight" state="frozen"/>
      <selection pane="bottomRight" activeCell="J7" sqref="J7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142</v>
      </c>
      <c r="E1" s="76"/>
      <c r="F1" s="76"/>
      <c r="G1" s="74" t="s">
        <v>143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10206865.794007892</v>
      </c>
      <c r="D2" s="5">
        <f>SUM(D4:D92)</f>
        <v>4550188.7919999994</v>
      </c>
      <c r="E2" s="5">
        <f>C2-D2</f>
        <v>5656677.0020078924</v>
      </c>
      <c r="F2" s="6">
        <f>IFERROR(E2/D2, 0)</f>
        <v>1.2431741320169585</v>
      </c>
      <c r="G2" s="5">
        <f>SUM(G4:G92)</f>
        <v>5433447.1409999998</v>
      </c>
      <c r="H2" s="7">
        <f>C2-G2</f>
        <v>4773418.653007892</v>
      </c>
      <c r="I2" s="6">
        <f>IFERROR(H2/G2, 0)</f>
        <v>0.87852490861434374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118176.875</v>
      </c>
      <c r="D4" s="37">
        <v>123432.136</v>
      </c>
      <c r="E4" s="37">
        <f>IF(AND(ISNUMBER(C4),ISNUMBER(D4)), C4-D4, "")</f>
        <v>-5255.2609999999986</v>
      </c>
      <c r="F4" s="38">
        <f>IFERROR(E4/D4, "")</f>
        <v>-4.2576116482339728E-2</v>
      </c>
      <c r="G4" s="39">
        <v>127023.46400000001</v>
      </c>
      <c r="H4" s="39">
        <f>IF(AND(ISNUMBER(C4),ISNUMBER(G4)), C4-G4, "")</f>
        <v>-8846.5890000000072</v>
      </c>
      <c r="I4" s="40">
        <f>IFERROR(H4/G4, "")</f>
        <v>-6.9645313719361376E-2</v>
      </c>
      <c r="J4" s="57" t="s">
        <v>144</v>
      </c>
      <c r="K4" s="57" t="s">
        <v>145</v>
      </c>
    </row>
    <row r="5" spans="1:11" ht="45.75">
      <c r="A5" s="49" t="str">
        <v>Adelanto - 1 Sheep Creek Road</v>
      </c>
      <c r="B5" s="50" t="str">
        <v>CA</v>
      </c>
      <c r="C5" s="43">
        <v>896073</v>
      </c>
      <c r="D5" s="44">
        <v>594050.18000000005</v>
      </c>
      <c r="E5" s="44">
        <f t="shared" ref="E5:E17" si="0">IF(AND(ISNUMBER(C5),ISNUMBER(D5)), C5-D5, "")</f>
        <v>302022.81999999995</v>
      </c>
      <c r="F5" s="45">
        <f>IFERROR(E5/D5, "")</f>
        <v>0.50841297615632386</v>
      </c>
      <c r="G5" s="46">
        <v>907237.63</v>
      </c>
      <c r="H5" s="46">
        <f t="shared" ref="H5:H17" si="1">IF(AND(ISNUMBER(C5),ISNUMBER(G5)), C5-G5, "")</f>
        <v>-11164.630000000005</v>
      </c>
      <c r="I5" s="45">
        <f t="shared" ref="I5:I17" si="2">IFERROR(H5/G5, "")</f>
        <v>-1.2306180465640523E-2</v>
      </c>
      <c r="J5" s="58" t="s">
        <v>146</v>
      </c>
      <c r="K5" s="73" t="s">
        <v>147</v>
      </c>
    </row>
    <row r="6" spans="1:11" ht="15.75">
      <c r="A6" s="51" t="str">
        <v>Blackstone - 83 Federal Street</v>
      </c>
      <c r="B6" s="48" t="str">
        <v>MA</v>
      </c>
      <c r="C6" s="36">
        <v>6508477</v>
      </c>
      <c r="D6" s="37">
        <v>751944.1</v>
      </c>
      <c r="E6" s="37">
        <f t="shared" si="0"/>
        <v>5756532.9000000004</v>
      </c>
      <c r="F6" s="38">
        <f t="shared" ref="F6:F17" si="3">IFERROR(E6/D6, "")</f>
        <v>7.6555330376287287</v>
      </c>
      <c r="G6" s="39">
        <v>867226</v>
      </c>
      <c r="H6" s="39">
        <f t="shared" si="1"/>
        <v>5641251</v>
      </c>
      <c r="I6" s="40">
        <f t="shared" si="2"/>
        <v>6.5049375825909275</v>
      </c>
      <c r="J6" s="57" t="s">
        <v>148</v>
      </c>
      <c r="K6" s="57" t="s">
        <v>149</v>
      </c>
    </row>
    <row r="7" spans="1:11" ht="15.75">
      <c r="A7" s="49" t="str">
        <v>Charlton - 299 Worcester Road</v>
      </c>
      <c r="B7" s="50" t="str">
        <v>MA</v>
      </c>
      <c r="C7" s="43">
        <v>58878.25</v>
      </c>
      <c r="D7" s="44">
        <v>62942.85</v>
      </c>
      <c r="E7" s="44">
        <f t="shared" si="0"/>
        <v>-4064.5999999999985</v>
      </c>
      <c r="F7" s="45">
        <f t="shared" si="3"/>
        <v>-6.4576040010898755E-2</v>
      </c>
      <c r="G7" s="46">
        <v>65777.84</v>
      </c>
      <c r="H7" s="46">
        <f t="shared" si="1"/>
        <v>-6899.5899999999965</v>
      </c>
      <c r="I7" s="45">
        <f t="shared" si="2"/>
        <v>-0.10489231631807912</v>
      </c>
      <c r="J7" s="58" t="s">
        <v>150</v>
      </c>
      <c r="K7" s="58" t="s">
        <v>151</v>
      </c>
    </row>
    <row r="8" spans="1:11" ht="15.75">
      <c r="A8" s="51" t="str">
        <v>Wareham - 8 Thatcher Drive</v>
      </c>
      <c r="B8" s="48" t="str">
        <v>MA</v>
      </c>
      <c r="C8" s="36">
        <v>18908.75</v>
      </c>
      <c r="D8" s="37">
        <v>19888.560000000001</v>
      </c>
      <c r="E8" s="37">
        <f t="shared" si="0"/>
        <v>-979.81000000000131</v>
      </c>
      <c r="F8" s="38">
        <f t="shared" si="3"/>
        <v>-4.9265004605662813E-2</v>
      </c>
      <c r="G8" s="39">
        <v>19571.71</v>
      </c>
      <c r="H8" s="39">
        <f t="shared" si="1"/>
        <v>-662.95999999999913</v>
      </c>
      <c r="I8" s="40">
        <f t="shared" si="2"/>
        <v>-3.3873381528747318E-2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17724.5435078923</v>
      </c>
      <c r="D9" s="44">
        <v>17631.990000000002</v>
      </c>
      <c r="E9" s="44">
        <f t="shared" si="0"/>
        <v>92.553507892298512</v>
      </c>
      <c r="F9" s="45">
        <f t="shared" si="3"/>
        <v>5.2491810562675283E-3</v>
      </c>
      <c r="G9" s="46">
        <v>20351.46</v>
      </c>
      <c r="H9" s="46">
        <f t="shared" si="1"/>
        <v>-2626.916492107699</v>
      </c>
      <c r="I9" s="45">
        <f t="shared" si="2"/>
        <v>-0.12907754490870429</v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>
        <v>25807.4375</v>
      </c>
      <c r="D10" s="37">
        <v>28003.88</v>
      </c>
      <c r="E10" s="37">
        <f t="shared" si="0"/>
        <v>-2196.442500000001</v>
      </c>
      <c r="F10" s="38">
        <f t="shared" si="3"/>
        <v>-7.8433506356976282E-2</v>
      </c>
      <c r="G10" s="39">
        <v>28652.639999999999</v>
      </c>
      <c r="H10" s="39">
        <f t="shared" si="1"/>
        <v>-2845.2024999999994</v>
      </c>
      <c r="I10" s="40">
        <f t="shared" si="2"/>
        <v>-9.9299837641487823E-2</v>
      </c>
      <c r="J10" s="57"/>
      <c r="K10" s="57"/>
    </row>
    <row r="11" spans="1:11" ht="31.5">
      <c r="A11" s="49" t="str">
        <v>Staten Island - Ellis Storage</v>
      </c>
      <c r="B11" s="50" t="str">
        <v>NY</v>
      </c>
      <c r="C11" s="43">
        <v>57841.375</v>
      </c>
      <c r="D11" s="44">
        <v>65548.179999999993</v>
      </c>
      <c r="E11" s="44">
        <f t="shared" si="0"/>
        <v>-7706.804999999993</v>
      </c>
      <c r="F11" s="45">
        <f t="shared" si="3"/>
        <v>-0.11757466034907443</v>
      </c>
      <c r="G11" s="46">
        <v>63963.51</v>
      </c>
      <c r="H11" s="46">
        <f t="shared" si="1"/>
        <v>-6122.135000000002</v>
      </c>
      <c r="I11" s="45">
        <f t="shared" si="2"/>
        <v>-9.5712930700644822E-2</v>
      </c>
      <c r="J11" s="58" t="s">
        <v>152</v>
      </c>
      <c r="K11" s="59" t="s">
        <v>153</v>
      </c>
    </row>
    <row r="12" spans="1:11" ht="30.75">
      <c r="A12" s="51" t="str">
        <v>Amherst - 595 Scholles Road</v>
      </c>
      <c r="B12" s="48" t="str">
        <v>NY</v>
      </c>
      <c r="C12" s="36">
        <v>914981</v>
      </c>
      <c r="D12" s="37">
        <v>945249.87</v>
      </c>
      <c r="E12" s="37">
        <f t="shared" si="0"/>
        <v>-30268.869999999995</v>
      </c>
      <c r="F12" s="38">
        <f t="shared" si="3"/>
        <v>-3.2022083219117495E-2</v>
      </c>
      <c r="G12" s="39">
        <v>1107868</v>
      </c>
      <c r="H12" s="39">
        <f t="shared" si="1"/>
        <v>-192887</v>
      </c>
      <c r="I12" s="40">
        <f t="shared" si="2"/>
        <v>-0.17410648199966061</v>
      </c>
      <c r="J12" s="57" t="s">
        <v>154</v>
      </c>
      <c r="K12" s="57" t="s">
        <v>155</v>
      </c>
    </row>
    <row r="13" spans="1:11" ht="15.75">
      <c r="A13" s="49" t="str">
        <v>Lancaster 1 - Gunnville Road</v>
      </c>
      <c r="B13" s="50" t="str">
        <v>NY</v>
      </c>
      <c r="C13" s="43">
        <v>633199</v>
      </c>
      <c r="D13" s="44">
        <v>793351.61600000004</v>
      </c>
      <c r="E13" s="44">
        <f t="shared" si="0"/>
        <v>-160152.61600000004</v>
      </c>
      <c r="F13" s="45">
        <f t="shared" si="3"/>
        <v>-0.20186839324469219</v>
      </c>
      <c r="G13" s="46">
        <v>858359.02</v>
      </c>
      <c r="H13" s="46">
        <f t="shared" si="1"/>
        <v>-225160.02000000002</v>
      </c>
      <c r="I13" s="45">
        <f t="shared" si="2"/>
        <v>-0.26231450331820361</v>
      </c>
      <c r="J13" s="58" t="s">
        <v>156</v>
      </c>
      <c r="K13" s="58" t="s">
        <v>157</v>
      </c>
    </row>
    <row r="14" spans="1:11" ht="42.75">
      <c r="A14" s="51" t="str">
        <v>Lancaster 2 - Shisler Road</v>
      </c>
      <c r="B14" s="48" t="str">
        <v>NY</v>
      </c>
      <c r="C14" s="36">
        <v>705750</v>
      </c>
      <c r="D14" s="37">
        <v>876216.32499999995</v>
      </c>
      <c r="E14" s="37">
        <f t="shared" si="0"/>
        <v>-170466.32499999995</v>
      </c>
      <c r="F14" s="38">
        <f t="shared" si="3"/>
        <v>-0.19454821844365883</v>
      </c>
      <c r="G14" s="39">
        <v>941132.53</v>
      </c>
      <c r="H14" s="39">
        <f t="shared" si="1"/>
        <v>-235382.53000000003</v>
      </c>
      <c r="I14" s="40">
        <f t="shared" si="2"/>
        <v>-0.25010561477457383</v>
      </c>
      <c r="J14" s="57" t="s">
        <v>158</v>
      </c>
      <c r="K14" s="57" t="s">
        <v>159</v>
      </c>
    </row>
    <row r="15" spans="1:11" ht="15.75">
      <c r="A15" s="49" t="str">
        <v>Fullerton - 200 W Orangethorpe</v>
      </c>
      <c r="B15" s="50" t="str">
        <v>CA</v>
      </c>
      <c r="C15" s="43">
        <v>136080.18799999999</v>
      </c>
      <c r="D15" s="44">
        <v>130392.36500000001</v>
      </c>
      <c r="E15" s="44">
        <f t="shared" si="0"/>
        <v>5687.8229999999894</v>
      </c>
      <c r="F15" s="45">
        <f t="shared" si="3"/>
        <v>4.3620828566151008E-2</v>
      </c>
      <c r="G15" s="46">
        <v>140568.93700000001</v>
      </c>
      <c r="H15" s="46">
        <f t="shared" si="1"/>
        <v>-4488.7490000000107</v>
      </c>
      <c r="I15" s="45">
        <f t="shared" si="2"/>
        <v>-3.1932723514868797E-2</v>
      </c>
      <c r="J15" s="58" t="s">
        <v>160</v>
      </c>
      <c r="K15" s="59" t="s">
        <v>161</v>
      </c>
    </row>
    <row r="16" spans="1:11" ht="28.5">
      <c r="A16" s="51" t="str">
        <v>El Paso - 10500 Railroad Drive</v>
      </c>
      <c r="B16" s="48" t="str">
        <v>TX</v>
      </c>
      <c r="C16" s="36">
        <v>65442.75</v>
      </c>
      <c r="D16" s="37">
        <v>71995.97</v>
      </c>
      <c r="E16" s="37">
        <f t="shared" si="0"/>
        <v>-6553.2200000000012</v>
      </c>
      <c r="F16" s="38">
        <f t="shared" si="3"/>
        <v>-9.1022039150246897E-2</v>
      </c>
      <c r="G16" s="39">
        <v>151100.70000000001</v>
      </c>
      <c r="H16" s="39">
        <f t="shared" si="1"/>
        <v>-85657.950000000012</v>
      </c>
      <c r="I16" s="40">
        <f t="shared" si="2"/>
        <v>-0.56689313815223885</v>
      </c>
      <c r="J16" s="57" t="s">
        <v>162</v>
      </c>
      <c r="K16" s="57" t="s">
        <v>163</v>
      </c>
    </row>
    <row r="17" spans="1:11" ht="60.75">
      <c r="A17" s="49" t="str">
        <v>Friona - 900 Millard Ave</v>
      </c>
      <c r="B17" s="50" t="str">
        <v>TX</v>
      </c>
      <c r="C17" s="43">
        <v>49525.625</v>
      </c>
      <c r="D17" s="44">
        <v>69540.77</v>
      </c>
      <c r="E17" s="44">
        <f t="shared" si="0"/>
        <v>-20015.145000000004</v>
      </c>
      <c r="F17" s="45">
        <f t="shared" si="3"/>
        <v>-0.28781885791601103</v>
      </c>
      <c r="G17" s="46">
        <v>134613.70000000001</v>
      </c>
      <c r="H17" s="46">
        <f t="shared" si="1"/>
        <v>-85088.075000000012</v>
      </c>
      <c r="I17" s="45">
        <f t="shared" si="2"/>
        <v>-0.63209075302142359</v>
      </c>
      <c r="J17" s="58" t="s">
        <v>164</v>
      </c>
      <c r="K17" s="58" t="s">
        <v>165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166</v>
      </c>
      <c r="E1" s="76"/>
      <c r="F1" s="76"/>
      <c r="G1" s="74" t="s">
        <v>167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168</v>
      </c>
      <c r="E1" s="76"/>
      <c r="F1" s="76"/>
      <c r="G1" s="74" t="s">
        <v>169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170</v>
      </c>
      <c r="E1" s="76"/>
      <c r="F1" s="76"/>
      <c r="G1" s="74" t="s">
        <v>171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Catalyze</v>
      </c>
      <c r="B1" s="75"/>
      <c r="C1" s="75"/>
      <c r="D1" s="76" t="s">
        <v>172</v>
      </c>
      <c r="E1" s="76"/>
      <c r="F1" s="76"/>
      <c r="G1" s="74" t="s">
        <v>173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C25" sqref="C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174</v>
      </c>
      <c r="B1" t="s">
        <v>175</v>
      </c>
    </row>
    <row r="3" spans="1:12">
      <c r="A3" t="s">
        <v>176</v>
      </c>
      <c r="B3" t="s">
        <v>3</v>
      </c>
      <c r="C3" t="s">
        <v>4</v>
      </c>
      <c r="D3" t="s">
        <v>177</v>
      </c>
      <c r="E3" s="2" t="s">
        <v>178</v>
      </c>
    </row>
    <row r="4" spans="1:12" ht="14.25">
      <c r="A4" s="26" t="s">
        <v>179</v>
      </c>
      <c r="B4" t="s">
        <v>180</v>
      </c>
      <c r="C4" s="25" t="s">
        <v>181</v>
      </c>
      <c r="D4" s="24"/>
      <c r="E4" t="s">
        <v>182</v>
      </c>
      <c r="G4" s="3"/>
    </row>
    <row r="5" spans="1:12" ht="14.25">
      <c r="A5" s="26" t="s">
        <v>183</v>
      </c>
      <c r="B5" t="s">
        <v>184</v>
      </c>
      <c r="C5" s="25" t="s">
        <v>181</v>
      </c>
      <c r="D5" s="24"/>
      <c r="E5" t="s">
        <v>185</v>
      </c>
      <c r="G5" s="3"/>
    </row>
    <row r="6" spans="1:12" ht="14.25">
      <c r="A6" s="26" t="s">
        <v>186</v>
      </c>
      <c r="B6" t="s">
        <v>187</v>
      </c>
      <c r="C6" s="25" t="s">
        <v>188</v>
      </c>
      <c r="D6" s="24" t="s">
        <v>189</v>
      </c>
      <c r="E6" t="s">
        <v>182</v>
      </c>
      <c r="G6" s="3"/>
    </row>
    <row r="7" spans="1:12" ht="12.75" customHeight="1">
      <c r="A7" s="26" t="s">
        <v>190</v>
      </c>
      <c r="B7" t="s">
        <v>191</v>
      </c>
      <c r="C7" s="25" t="s">
        <v>188</v>
      </c>
      <c r="D7" s="24" t="s">
        <v>189</v>
      </c>
      <c r="E7" t="s">
        <v>182</v>
      </c>
    </row>
    <row r="8" spans="1:12" ht="12.75" customHeight="1">
      <c r="A8" s="26" t="s">
        <v>192</v>
      </c>
      <c r="B8" t="s">
        <v>193</v>
      </c>
      <c r="C8" s="25" t="s">
        <v>188</v>
      </c>
      <c r="D8" s="24" t="s">
        <v>189</v>
      </c>
      <c r="E8" t="s">
        <v>182</v>
      </c>
    </row>
    <row r="9" spans="1:12" ht="12.75" customHeight="1">
      <c r="A9" s="26" t="s">
        <v>194</v>
      </c>
      <c r="B9" t="s">
        <v>195</v>
      </c>
      <c r="C9" s="25" t="s">
        <v>188</v>
      </c>
      <c r="D9" s="24" t="s">
        <v>189</v>
      </c>
      <c r="E9" t="s">
        <v>182</v>
      </c>
    </row>
    <row r="10" spans="1:12" ht="12.75" customHeight="1">
      <c r="A10" s="26" t="s">
        <v>196</v>
      </c>
      <c r="B10" t="s">
        <v>197</v>
      </c>
      <c r="C10" s="25" t="s">
        <v>198</v>
      </c>
      <c r="D10" s="24" t="s">
        <v>189</v>
      </c>
      <c r="E10" t="s">
        <v>182</v>
      </c>
      <c r="K10" s="21"/>
      <c r="L10" s="21"/>
    </row>
    <row r="11" spans="1:12" ht="12.75" customHeight="1">
      <c r="A11" s="26" t="s">
        <v>199</v>
      </c>
      <c r="B11" t="s">
        <v>200</v>
      </c>
      <c r="C11" s="25" t="s">
        <v>198</v>
      </c>
      <c r="D11" s="24" t="s">
        <v>189</v>
      </c>
      <c r="E11" t="s">
        <v>182</v>
      </c>
      <c r="K11" s="21"/>
      <c r="L11" s="21"/>
    </row>
    <row r="12" spans="1:12" ht="12.75" customHeight="1">
      <c r="A12" s="26" t="s">
        <v>201</v>
      </c>
      <c r="B12" t="s">
        <v>202</v>
      </c>
      <c r="C12" s="25" t="s">
        <v>198</v>
      </c>
      <c r="D12" s="24"/>
      <c r="E12" t="s">
        <v>185</v>
      </c>
      <c r="K12" s="21"/>
      <c r="L12" s="21"/>
    </row>
    <row r="13" spans="1:12" ht="12.75" customHeight="1">
      <c r="A13" s="26" t="s">
        <v>203</v>
      </c>
      <c r="B13" t="s">
        <v>203</v>
      </c>
      <c r="C13" s="25" t="s">
        <v>198</v>
      </c>
      <c r="D13" s="24"/>
      <c r="E13" t="s">
        <v>182</v>
      </c>
      <c r="K13" s="21"/>
      <c r="L13" s="21"/>
    </row>
    <row r="14" spans="1:12" ht="12.75" customHeight="1">
      <c r="A14" s="26" t="s">
        <v>204</v>
      </c>
      <c r="B14" t="s">
        <v>204</v>
      </c>
      <c r="C14" s="25" t="s">
        <v>198</v>
      </c>
      <c r="D14" s="24"/>
      <c r="E14" t="s">
        <v>182</v>
      </c>
      <c r="K14" s="21"/>
      <c r="L14" s="21"/>
    </row>
    <row r="15" spans="1:12" ht="12.75" customHeight="1">
      <c r="A15" s="26" t="s">
        <v>205</v>
      </c>
      <c r="B15" t="s">
        <v>206</v>
      </c>
      <c r="C15" s="25" t="s">
        <v>181</v>
      </c>
      <c r="D15" s="24"/>
      <c r="E15" t="s">
        <v>182</v>
      </c>
      <c r="K15" s="21"/>
      <c r="L15" s="21"/>
    </row>
    <row r="16" spans="1:12" ht="12.75" customHeight="1">
      <c r="A16" s="26" t="s">
        <v>207</v>
      </c>
      <c r="B16" t="s">
        <v>208</v>
      </c>
      <c r="C16" s="25" t="s">
        <v>209</v>
      </c>
      <c r="D16" s="24" t="s">
        <v>189</v>
      </c>
      <c r="E16" t="s">
        <v>182</v>
      </c>
      <c r="K16" s="21"/>
      <c r="L16" s="21"/>
    </row>
    <row r="17" spans="1:12" ht="12.75" customHeight="1">
      <c r="A17" s="26" t="s">
        <v>210</v>
      </c>
      <c r="B17" t="s">
        <v>211</v>
      </c>
      <c r="C17" s="25" t="s">
        <v>209</v>
      </c>
      <c r="D17" s="24" t="s">
        <v>189</v>
      </c>
      <c r="E17" t="s">
        <v>182</v>
      </c>
      <c r="K17" s="21"/>
      <c r="L17" s="21"/>
    </row>
    <row r="18" spans="1:12" ht="12.75" customHeight="1">
      <c r="K18" s="21"/>
      <c r="L18" s="21"/>
    </row>
    <row r="19" spans="1:12" ht="12.75" customHeight="1">
      <c r="K19" s="21"/>
      <c r="L19" s="21"/>
    </row>
    <row r="20" spans="1:12" ht="12.75" customHeight="1">
      <c r="K20" s="21"/>
      <c r="L20" s="21"/>
    </row>
    <row r="21" spans="1:12" ht="12.75" customHeight="1">
      <c r="K21" s="21"/>
      <c r="L21" s="21"/>
    </row>
    <row r="22" spans="1:12" ht="12.75" customHeight="1">
      <c r="K22" s="21"/>
      <c r="L22" s="21"/>
    </row>
    <row r="23" spans="1:12" ht="12.75" customHeight="1">
      <c r="K23" s="21"/>
      <c r="L23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2024-11-11T04:21:53Z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