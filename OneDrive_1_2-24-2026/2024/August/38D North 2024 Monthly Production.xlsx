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40" documentId="13_ncr:1_{BCBCAE8C-2576-46F9-BACE-4CE6DBF95FC7}" xr6:coauthVersionLast="47" xr6:coauthVersionMax="47" xr10:uidLastSave="{81BAFDC0-E7FC-4B8D-AB65-593C0C380F49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I19" i="27"/>
  <c r="I21" i="27"/>
  <c r="I23" i="27"/>
  <c r="H18" i="27"/>
  <c r="I18" i="27" s="1"/>
  <c r="H19" i="27"/>
  <c r="H20" i="27"/>
  <c r="I20" i="27" s="1"/>
  <c r="H21" i="27"/>
  <c r="H22" i="27"/>
  <c r="I22" i="27" s="1"/>
  <c r="H23" i="27"/>
  <c r="H24" i="27"/>
  <c r="I24" i="27" s="1"/>
  <c r="F19" i="27"/>
  <c r="F21" i="27"/>
  <c r="F23" i="27"/>
  <c r="E18" i="27"/>
  <c r="F18" i="27" s="1"/>
  <c r="E19" i="27"/>
  <c r="E20" i="27"/>
  <c r="F20" i="27" s="1"/>
  <c r="E21" i="27"/>
  <c r="E22" i="27"/>
  <c r="F22" i="27" s="1"/>
  <c r="E23" i="27"/>
  <c r="E24" i="27"/>
  <c r="F24" i="27" s="1"/>
  <c r="I19" i="26"/>
  <c r="I21" i="26"/>
  <c r="I23" i="26"/>
  <c r="H18" i="26"/>
  <c r="I18" i="26" s="1"/>
  <c r="H19" i="26"/>
  <c r="H20" i="26"/>
  <c r="I20" i="26" s="1"/>
  <c r="H21" i="26"/>
  <c r="H22" i="26"/>
  <c r="I22" i="26" s="1"/>
  <c r="H23" i="26"/>
  <c r="H24" i="26"/>
  <c r="I24" i="26" s="1"/>
  <c r="F19" i="26"/>
  <c r="F21" i="26"/>
  <c r="F23" i="26"/>
  <c r="E18" i="26"/>
  <c r="F18" i="26" s="1"/>
  <c r="E19" i="26"/>
  <c r="E20" i="26"/>
  <c r="F20" i="26" s="1"/>
  <c r="E21" i="26"/>
  <c r="E22" i="26"/>
  <c r="F22" i="26" s="1"/>
  <c r="E23" i="26"/>
  <c r="E24" i="26"/>
  <c r="F24" i="26" s="1"/>
  <c r="I19" i="19"/>
  <c r="I20" i="19"/>
  <c r="I21" i="19"/>
  <c r="I24" i="19"/>
  <c r="H18" i="19"/>
  <c r="I18" i="19" s="1"/>
  <c r="H19" i="19"/>
  <c r="H20" i="19"/>
  <c r="H21" i="19"/>
  <c r="H22" i="19"/>
  <c r="I22" i="19" s="1"/>
  <c r="H23" i="19"/>
  <c r="I23" i="19" s="1"/>
  <c r="H24" i="19"/>
  <c r="F18" i="19"/>
  <c r="F19" i="19"/>
  <c r="F21" i="19"/>
  <c r="F22" i="19"/>
  <c r="F23" i="19"/>
  <c r="E18" i="19"/>
  <c r="E19" i="19"/>
  <c r="E20" i="19"/>
  <c r="F20" i="19" s="1"/>
  <c r="E21" i="19"/>
  <c r="E22" i="19"/>
  <c r="E23" i="19"/>
  <c r="E24" i="19"/>
  <c r="F24" i="19" s="1"/>
  <c r="I18" i="20"/>
  <c r="I19" i="20"/>
  <c r="I20" i="20"/>
  <c r="I21" i="20"/>
  <c r="I22" i="20"/>
  <c r="I23" i="20"/>
  <c r="I24" i="20"/>
  <c r="F18" i="20"/>
  <c r="F19" i="20"/>
  <c r="F20" i="20"/>
  <c r="F21" i="20"/>
  <c r="F22" i="20"/>
  <c r="F23" i="20"/>
  <c r="F24" i="20"/>
  <c r="H18" i="20"/>
  <c r="H19" i="20"/>
  <c r="H20" i="20"/>
  <c r="H21" i="20"/>
  <c r="H22" i="20"/>
  <c r="H23" i="20"/>
  <c r="H24" i="20"/>
  <c r="E18" i="20"/>
  <c r="E19" i="20"/>
  <c r="E20" i="20"/>
  <c r="E21" i="20"/>
  <c r="E22" i="20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D18" i="29"/>
  <c r="D18" i="34" s="1"/>
  <c r="H18" i="29"/>
  <c r="I18" i="29" s="1"/>
  <c r="C19" i="29"/>
  <c r="C19" i="34" s="1"/>
  <c r="D19" i="29"/>
  <c r="D19" i="34" s="1"/>
  <c r="H19" i="29"/>
  <c r="I19" i="29" s="1"/>
  <c r="C20" i="29"/>
  <c r="C20" i="34" s="1"/>
  <c r="D20" i="29"/>
  <c r="D20" i="34" s="1"/>
  <c r="H20" i="29"/>
  <c r="I20" i="29" s="1"/>
  <c r="C21" i="29"/>
  <c r="C21" i="34" s="1"/>
  <c r="D21" i="29"/>
  <c r="D21" i="34" s="1"/>
  <c r="H21" i="29"/>
  <c r="I21" i="29" s="1"/>
  <c r="C22" i="29"/>
  <c r="C22" i="34" s="1"/>
  <c r="D22" i="29"/>
  <c r="D22" i="34" s="1"/>
  <c r="H22" i="29"/>
  <c r="I22" i="29" s="1"/>
  <c r="C23" i="29"/>
  <c r="C23" i="34" s="1"/>
  <c r="D23" i="29"/>
  <c r="D23" i="34" s="1"/>
  <c r="H23" i="29"/>
  <c r="I23" i="29" s="1"/>
  <c r="C24" i="29"/>
  <c r="C24" i="34" s="1"/>
  <c r="D24" i="29"/>
  <c r="D24" i="34" s="1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C18" i="34"/>
  <c r="I22" i="18"/>
  <c r="H22" i="34"/>
  <c r="I20" i="18"/>
  <c r="H20" i="34"/>
  <c r="I24" i="18"/>
  <c r="H24" i="34"/>
  <c r="I21" i="18"/>
  <c r="H21" i="34"/>
  <c r="I18" i="18"/>
  <c r="H18" i="34"/>
  <c r="I19" i="18"/>
  <c r="H19" i="34"/>
  <c r="I23" i="18"/>
  <c r="H23" i="34"/>
  <c r="E20" i="18"/>
  <c r="F20" i="18" s="1"/>
  <c r="E17" i="18"/>
  <c r="F17" i="18" s="1"/>
  <c r="E22" i="34"/>
  <c r="F22" i="34" s="1"/>
  <c r="E23" i="34"/>
  <c r="F23" i="34" s="1"/>
  <c r="E19" i="34"/>
  <c r="F19" i="34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E18" i="34"/>
  <c r="F18" i="34" s="1"/>
  <c r="E21" i="34"/>
  <c r="F21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D19" i="30"/>
  <c r="H19" i="30"/>
  <c r="I19" i="30" s="1"/>
  <c r="C20" i="30"/>
  <c r="D20" i="30"/>
  <c r="E20" i="30" s="1"/>
  <c r="F20" i="30" s="1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E16" i="30" s="1"/>
  <c r="F16" i="30" s="1"/>
  <c r="H16" i="30"/>
  <c r="I16" i="30"/>
  <c r="C17" i="30"/>
  <c r="E17" i="30" s="1"/>
  <c r="F17" i="30" s="1"/>
  <c r="D17" i="30"/>
  <c r="C16" i="29"/>
  <c r="D16" i="29"/>
  <c r="D16" i="34" s="1"/>
  <c r="C17" i="29"/>
  <c r="C17" i="34" s="1"/>
  <c r="D17" i="29"/>
  <c r="D17" i="34" s="1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D15" i="34" s="1"/>
  <c r="C15" i="29"/>
  <c r="C15" i="34" s="1"/>
  <c r="D14" i="29"/>
  <c r="D14" i="34" s="1"/>
  <c r="C14" i="29"/>
  <c r="C14" i="34" s="1"/>
  <c r="D13" i="29"/>
  <c r="D13" i="34" s="1"/>
  <c r="C13" i="29"/>
  <c r="C13" i="34" s="1"/>
  <c r="D12" i="29"/>
  <c r="D12" i="34" s="1"/>
  <c r="C12" i="29"/>
  <c r="C12" i="34" s="1"/>
  <c r="D11" i="29"/>
  <c r="D11" i="34" s="1"/>
  <c r="C11" i="29"/>
  <c r="D10" i="29"/>
  <c r="D10" i="34" s="1"/>
  <c r="C10" i="29"/>
  <c r="C10" i="34" s="1"/>
  <c r="D9" i="29"/>
  <c r="D9" i="34" s="1"/>
  <c r="C9" i="29"/>
  <c r="C9" i="34" s="1"/>
  <c r="D8" i="29"/>
  <c r="D8" i="34" s="1"/>
  <c r="C8" i="29"/>
  <c r="C8" i="34" s="1"/>
  <c r="D7" i="29"/>
  <c r="D7" i="34" s="1"/>
  <c r="C7" i="29"/>
  <c r="C7" i="34" s="1"/>
  <c r="D6" i="29"/>
  <c r="D6" i="34" s="1"/>
  <c r="C6" i="29"/>
  <c r="C6" i="34" s="1"/>
  <c r="D5" i="29"/>
  <c r="D5" i="34" s="1"/>
  <c r="C5" i="29"/>
  <c r="C5" i="34" s="1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7" i="29" l="1"/>
  <c r="F17" i="29" s="1"/>
  <c r="E11" i="29"/>
  <c r="F11" i="29" s="1"/>
  <c r="C11" i="34"/>
  <c r="E16" i="29"/>
  <c r="F16" i="29" s="1"/>
  <c r="C16" i="34"/>
  <c r="E16" i="34" s="1"/>
  <c r="F16" i="34" s="1"/>
  <c r="H13" i="29"/>
  <c r="I6" i="29"/>
  <c r="H6" i="34"/>
  <c r="I6" i="34" s="1"/>
  <c r="E11" i="18"/>
  <c r="F11" i="18" s="1"/>
  <c r="E15" i="18"/>
  <c r="F15" i="18" s="1"/>
  <c r="D4" i="34"/>
  <c r="D2" i="34" s="1"/>
  <c r="I4" i="20"/>
  <c r="H4" i="18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I24" i="72"/>
  <c r="I24" i="34"/>
  <c r="H24" i="1"/>
  <c r="I24" i="1" s="1"/>
  <c r="I23" i="72"/>
  <c r="I22" i="72"/>
  <c r="I22" i="34"/>
  <c r="I21" i="72"/>
  <c r="I21" i="34"/>
  <c r="I20" i="72"/>
  <c r="H23" i="1"/>
  <c r="I23" i="1" s="1"/>
  <c r="H21" i="1"/>
  <c r="I21" i="1" s="1"/>
  <c r="I19" i="72"/>
  <c r="I19" i="34"/>
  <c r="I18" i="72"/>
  <c r="I18" i="34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7" i="1"/>
  <c r="F17" i="1" s="1"/>
  <c r="E17" i="34"/>
  <c r="F17" i="34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<sst xmlns="http://schemas.openxmlformats.org/spreadsheetml/2006/main" count="520" uniqueCount="223">
  <si>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</si>
  <si>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</si>
  <si>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</si>
  <si>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</si>
  <si>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</si>
  <si>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</si>
  <si>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</si>
  <si>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</si>
  <si>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</si>
  <si>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</si>
  <si>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</si>
  <si>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</si>
  <si>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</si>
  <si>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</si>
  <si>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</si>
  <si>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</si>
  <si>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</si>
  <si>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</si>
  <si>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</si>
  <si>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</si>
  <si>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</si>
  <si>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</si>
  <si>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</si>
  <si>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</si>
  <si>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</si>
  <si>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</si>
  <si>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</si>
  <si>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</si>
  <si>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</si>
  <si>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</si>
  <si>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</si>
  <si>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</si>
  <si>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</si>
  <si>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</si>
  <si>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</si>
  <si>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</si>
  <si>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</si>
  <si>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</si>
  <si>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</si>
  <si>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</si>
  <si>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</si>
  <si>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</si>
  <si>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</si>
  <si>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</si>
  <si>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</si>
  <si>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</si>
  <si>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</si>
  <si>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</si>
  <si>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</si>
  <si>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</si>
  <si>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</si>
  <si>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</si>
  <si>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</si>
  <si>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</si>
  <si>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</si>
  <si>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</si>
  <si>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</si>
  <si>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</si>
  <si>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</si>
  <si>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</si>
  <si>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</si>
  <si>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</si>
  <si>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</si>
  <si>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</si>
  <si>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</si>
  <si>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</si>
  <si>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</si>
  <si>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</si>
  <si>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</si>
  <si>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</si>
  <si>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</si>
  <si>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</si>
  <si>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</si>
  <si>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</si>
  <si>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</si>
  <si>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</si>
  <si>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</si>
  <si>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</si>
  <si>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</si>
  <si>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</si>
  <si>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</si>
  <si>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</si>
  <si>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</si>
  <si>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</si>
  <si>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</si>
  <si>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</si>
  <si>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</si>
  <si>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</si>
  <si>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</si>
  <si>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</si>
  <si>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</si>
  <si>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</si>
  <si>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</si>
  <si>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</si>
  <si>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</si>
  <si>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</si>
  <si>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</si>
  <si>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</si>
  <si>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</si>
  <si>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</si>
  <si>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</si>
  <si>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</si>
  <si>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</si>
  <si>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</si>
  <si>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</si>
  <si>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</si>
  <si>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</si>
  <si>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</si>
  <si>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</si>
  <si>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</si>
  <si>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</si>
  <si>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</si>
  <si>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</si>
  <si>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</si>
  <si>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</si>
  <si>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</si>
  <si>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</si>
  <si>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1. Inverter 30 is offline from 07:00AM on 05/10 and back online at 07:00AM on 05/11, inverter is again offline from 07:00AM on 05/26 and back online at 07:00AM on 05/27.</t>
  </si>
  <si>
    <t>1. SR084567, SR085167</t>
  </si>
  <si>
    <t>1. Site is offline from 14:09 on 05/31 and back online at 09:59 AM on 06/01.</t>
  </si>
  <si>
    <t>1. SR085384</t>
  </si>
  <si>
    <t>1. Site  tripped offline at 14:45 on 05/05 and back online at 08:15AM on 05/06.
2. Site tripped offline at 15:30 on 05/20 and back online at on 09:45AM on 05/21.
3. Site tripped offline at 09:15AM to 12:30PM on 05/23.
4. Site tripped offline at 23:15 on 05/24 and back online at 10:00AM on 05/25 and site again is offline from 12:30AM to 09:00AM on 05/26.
5. Site offline from 09:00AM to 10:45AM on 05/28.
6. Site is offline from 04:45AM to 13:15 on 05/31</t>
  </si>
  <si>
    <t>1. SR084276
2. SR084919
3. SR085062
4. SR085145
5. SR085210
6. SR085339</t>
  </si>
  <si>
    <t>1. Inverter D is offline from 05:45AM on 05/28.</t>
  </si>
  <si>
    <t>1. SR085297</t>
  </si>
  <si>
    <t>1. Inverter A is derated approximately 300kW on 05/14 and resolved on 05/15.</t>
  </si>
  <si>
    <t>1. SR084703</t>
  </si>
  <si>
    <t>1. Site is having brief outage from 13:50 to 14:10 on 05/14.</t>
  </si>
  <si>
    <t>1. SR084697</t>
  </si>
  <si>
    <t>2. SR084696</t>
  </si>
  <si>
    <t>1. Site is offline from 21:45 to 23:10 on 05/21.</t>
  </si>
  <si>
    <t>1. SR084987</t>
  </si>
  <si>
    <t>June Actual v. Expected</t>
  </si>
  <si>
    <t>June Actual v. Forecasted</t>
  </si>
  <si>
    <t>1. Inverter 9 was offline from 07:00AM on 06/04 and back online at 10:45AM on 06/04 and also Inverter 9 offline from 07:00AM on 06/06 and back online at 09:45 on 06/06
2. Inverter 30 tripped offline from 14:15 on 06/04 and back onlin at 10:15AM on 06/28</t>
  </si>
  <si>
    <t>1. SR085538
2. SR085561</t>
  </si>
  <si>
    <t>1. Site was back online from 09:45AM on 06/01
2. Site experienced brief outage from 17:45 to 17:56 on 06/19
3. Relay stopped communicating from 18:22 on 06/19</t>
  </si>
  <si>
    <t xml:space="preserve">1. 	SR085384
2. SR086450
3.  SR086457
</t>
  </si>
  <si>
    <t xml:space="preserve">1. Site was offline from 12:15 on 06/14 and back online at 13:30 on 06/14 and again site offline from 15:30 on 06/22 and back online at 18:30 on 06/22
</t>
  </si>
  <si>
    <t>1. SR086247</t>
  </si>
  <si>
    <t>1. Site was offline from 02:30AM on 06/03 and back online at 07:15AM on 06/03
2. Site was offline from 18:00 on 06/04 and back online at 09:30AM on 06/05 and again offline from 14:30 and back online at 16:30 on 06/05.</t>
  </si>
  <si>
    <t>1. SR085433
2. SR085563</t>
  </si>
  <si>
    <t>1. Inverter A was tripped offline from 07:30 on 06/13 and back online at 13:45 on 06/13
2. Inverter D was offline from 06/01 and back online on 06/12</t>
  </si>
  <si>
    <t>1. 	SR086139
2. SR085297 ,SR085798</t>
  </si>
  <si>
    <t>1. PE Inverter module 1.5 tripped offline from 17:15 on 06/04 and back online at 10:30AM on 06/06
2. Site was offline from 12:10AM tp 07:45AM on 06/13 
3. Site was offline due to utility outage from 10:15AM on 06/14 and back online at 14:15 on 06/15.
3. Site was offline from 06:45AM on 06/27 and back online at 09:15AM on 06/27</t>
  </si>
  <si>
    <t>1. SR085564
2. SR086111
3. SR086230
4. SR087022</t>
  </si>
  <si>
    <t xml:space="preserve">1. Site was offline from 18:45 on 06/11 and back online at 06:45AM on 06/13
</t>
  </si>
  <si>
    <t>1. 	SR086056</t>
  </si>
  <si>
    <t xml:space="preserve"> </t>
  </si>
  <si>
    <t>1. SR086032</t>
  </si>
  <si>
    <t>1. SR086037</t>
  </si>
  <si>
    <t>1. Inverters A&amp;B are derated to 80% from 06/27
2. Site offline due to planned outage start from 07:15AM on 06/06 and back online at 14:30 on 06/06</t>
  </si>
  <si>
    <t>1. SR086971
2. 	SR084421</t>
  </si>
  <si>
    <t>1. Inverter 2 was derating approximately 280 - 300 kW from 06/02 and resolved on 06/03</t>
  </si>
  <si>
    <t>1. 	SR085421</t>
  </si>
  <si>
    <t>1. Utility planned outage start from 06/04 and back online at 08:45 on 06/05</t>
  </si>
  <si>
    <t>1. 	SR084798</t>
  </si>
  <si>
    <t>1. SR084799</t>
  </si>
  <si>
    <t>July Actual v. Expected</t>
  </si>
  <si>
    <t>July Actual v. Forecasted</t>
  </si>
  <si>
    <t>1.Site was offline from 19:15 of 7/16 to 09:45AM of 7/17</t>
  </si>
  <si>
    <t>1.SR087795</t>
  </si>
  <si>
    <t xml:space="preserve">1.Site was offline from 03:47AM to 07:30AM on 7/12 </t>
  </si>
  <si>
    <t>1.SR087607</t>
  </si>
  <si>
    <t xml:space="preserve">1.Inverter 1 Module 1 has multiple tripping events from 07/08
2.Site was offline from 04:45AM to 07:15AM on 7/13 and again site was offline from 14:15 to 15:45 on 7/29
</t>
  </si>
  <si>
    <t xml:space="preserve">1.SR087468
2.SR087634
</t>
  </si>
  <si>
    <t>1.Site was offline due to utility outage from 7/20 at 11:30AM and back online on 7/21 at 09:30AM</t>
  </si>
  <si>
    <t>1.SR087955</t>
  </si>
  <si>
    <t>1.Site was offline due to utility outage from 7/20 at 12:00PM and back online on 7/21 at 09:30AM</t>
  </si>
  <si>
    <t xml:space="preserve">1.Site was offline from 12:15 to 21:30 on 7/7 and again offline from 08:00 to 22:00 on 7/8 and again offline from 07:30 to 21:45 on 7/9 again site offline from 09:45 to 20:30 on 7/10
again site offline from 7/11 at 10:00 and back online at 07:45 on 7/12
</t>
  </si>
  <si>
    <t>1.SR087443</t>
  </si>
  <si>
    <t>August Actual v. Expected</t>
  </si>
  <si>
    <t>August Actual v. Forecasted</t>
  </si>
  <si>
    <t>1.Site offline from 8/9 at 14:45 and back online at 08:45 on 8/10</t>
  </si>
  <si>
    <t>1.SR088850</t>
  </si>
  <si>
    <t>1.Inverter 2 module 3 tripped offline at 11:00AM on 8/1  back online on 8/7
2.Site offline from 10:00 to 10:45 and 12:00 to 12:30 on 8/9
3.Site offline from 14:35 to 15:00 on 8/10 again offline fro 17:20 to 17:50 on 8/10
4.Site offline from 07:45 to 13:15 on 8/18</t>
  </si>
  <si>
    <t>1.SR088502
2.SR088824
3.SR088876
4.SR089209</t>
  </si>
  <si>
    <t>1.Weather station stopped communicating from 8/6 at 21:45 back online on 8/7 at 06:45 and again lost communication from 8/21 back online on 8/25</t>
  </si>
  <si>
    <t>1.	SR088708</t>
  </si>
  <si>
    <t>1.Inverter A is derating approximately 281kW on 8/17</t>
  </si>
  <si>
    <t>1.SR089197</t>
  </si>
  <si>
    <t>1.Inverter 2 offline from 8/10 to 8/13</t>
  </si>
  <si>
    <t>1.SR088881</t>
  </si>
  <si>
    <t>1.Site offline from 19:00 on 8/13 and back online on 8/14 at 08:15</t>
  </si>
  <si>
    <t>s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</si>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</sst>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K4" sqref="K4:K1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76" t="str" cm="1">
        <f t="array" ref="A1">portfolio</f>
        <v>38 DN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12" ht="19.5" customHeight="1">
      <c r="A2" s="78" t="s">
        <v>2</v>
      </c>
      <c r="B2" s="78"/>
      <c r="C2" s="5">
        <f>SUM(C4:C99)</f>
        <v>30293556.25</v>
      </c>
      <c r="D2" s="5">
        <f>SUM(D4:D99)</f>
        <v>32848115.839999992</v>
      </c>
      <c r="E2" s="5">
        <f>C2-D2</f>
        <v>-2554559.5899999924</v>
      </c>
      <c r="F2" s="6">
        <f>IFERROR(E2/D2, 0)</f>
        <v>-7.7768831626234089E-2</v>
      </c>
      <c r="G2" s="5">
        <f>SUM(G4:G99)</f>
        <v>33488122.599999994</v>
      </c>
      <c r="H2" s="7">
        <f>C2-G2</f>
        <v>-3194566.349999994</v>
      </c>
      <c r="I2" s="6">
        <f>IFERROR(H2/G2, 0)</f>
        <v>-9.5394011427800809E-2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1519507</v>
      </c>
      <c r="D4" s="37">
        <f>SUM('1st Qtr'!D4, '2nd Qtr'!D4, '3rd Qtr'!D4, '4th Qtr'!D4)</f>
        <v>1732113.3</v>
      </c>
      <c r="E4" s="37">
        <f>IF(AND(ISNUMBER(C4),ISNUMBER(D4)), C4-D4, "")</f>
        <v>-212606.30000000005</v>
      </c>
      <c r="F4" s="38">
        <f>IFERROR(E4/D4, "")</f>
        <v>-0.12274387593467473</v>
      </c>
      <c r="G4" s="39">
        <f>SUM('1st Qtr'!G4, '2nd Qtr'!G4, '3rd Qtr'!G4, '4th Qtr'!G4)</f>
        <v>1735929.7000000002</v>
      </c>
      <c r="H4" s="39">
        <f>SUM('1st Qtr'!H4, '2nd Qtr'!H4, '3rd Qtr'!H4, '4th Qtr'!H4)</f>
        <v>-216422.7</v>
      </c>
      <c r="I4" s="40">
        <f>IFERROR(H4/G4, "")</f>
        <v>-0.12467250257887746</v>
      </c>
    </row>
    <row r="5" spans="1:12" ht="15.75">
      <c r="A5" s="41" t="str">
        <v>Barton Acres</v>
      </c>
      <c r="B5" s="42" t="str">
        <v>MA</v>
      </c>
      <c r="C5" s="43">
        <f>SUM('1st Qtr'!C5, '2nd Qtr'!C5, '3rd Qtr'!C5, '4th Qtr'!C5)</f>
        <v>1209188</v>
      </c>
      <c r="D5" s="44">
        <f>SUM('1st Qtr'!D5, '2nd Qtr'!D5, '3rd Qtr'!D5, '4th Qtr'!D5)</f>
        <v>1327431.1400000001</v>
      </c>
      <c r="E5" s="44">
        <f t="shared" ref="E5:E15" si="0">IF(AND(ISNUMBER(C5),ISNUMBER(D5)), C5-D5, "")</f>
        <v>-118243.14000000013</v>
      </c>
      <c r="F5" s="45">
        <f>IFERROR(E5/D5, "")</f>
        <v>-8.9076665777179306E-2</v>
      </c>
      <c r="G5" s="46">
        <f>SUM('1st Qtr'!G5, '2nd Qtr'!G5, '3rd Qtr'!G5, '4th Qtr'!G5)</f>
        <v>1262378.1300000001</v>
      </c>
      <c r="H5" s="72">
        <f>SUM('1st Qtr'!H5, '2nd Qtr'!H5, '3rd Qtr'!H5, '4th Qtr'!H5)</f>
        <v>-53190.130000000005</v>
      </c>
      <c r="I5" s="45">
        <f>IFERROR(H5/G5, "")</f>
        <v>-4.2134863347165243E-2</v>
      </c>
      <c r="K5" s="73"/>
    </row>
    <row r="6" spans="1:12" ht="15.75">
      <c r="A6" s="34" t="str">
        <v>Bowden</v>
      </c>
      <c r="B6" s="35" t="str">
        <v>MA</v>
      </c>
      <c r="C6" s="36">
        <f>SUM('1st Qtr'!C6, '2nd Qtr'!C6, '3rd Qtr'!C6, '4th Qtr'!C6)</f>
        <v>2469303</v>
      </c>
      <c r="D6" s="37">
        <f>SUM('1st Qtr'!D6, '2nd Qtr'!D6, '3rd Qtr'!D6, '4th Qtr'!D6)</f>
        <v>2567446.2999999998</v>
      </c>
      <c r="E6" s="37">
        <f t="shared" si="0"/>
        <v>-98143.299999999814</v>
      </c>
      <c r="F6" s="38">
        <f t="shared" ref="F6:F15" si="1">IFERROR(E6/D6, "")</f>
        <v>-3.8226038067475772E-2</v>
      </c>
      <c r="G6" s="39">
        <f>SUM('1st Qtr'!G6, '2nd Qtr'!G6, '3rd Qtr'!G6, '4th Qtr'!G6)</f>
        <v>2595357.5</v>
      </c>
      <c r="H6" s="39">
        <f>SUM('1st Qtr'!H6, '2nd Qtr'!H6, '3rd Qtr'!H6, '4th Qtr'!H6)</f>
        <v>-126054.49999999991</v>
      </c>
      <c r="I6" s="40">
        <f t="shared" ref="I6:I15" si="2">IFERROR(H6/G6, "")</f>
        <v>-4.8569224085699143E-2</v>
      </c>
    </row>
    <row r="7" spans="1:12" ht="15.75">
      <c r="A7" s="41" t="str">
        <v>Blair Wire Village</v>
      </c>
      <c r="B7" s="42" t="str">
        <v>MA</v>
      </c>
      <c r="C7" s="43">
        <f>SUM('1st Qtr'!C7, '2nd Qtr'!C7, '3rd Qtr'!C7, '4th Qtr'!C7)</f>
        <v>1180289</v>
      </c>
      <c r="D7" s="44">
        <f>SUM('1st Qtr'!D7, '2nd Qtr'!D7, '3rd Qtr'!D7, '4th Qtr'!D7)</f>
        <v>1384080.88</v>
      </c>
      <c r="E7" s="44">
        <f t="shared" si="0"/>
        <v>-203791.87999999989</v>
      </c>
      <c r="F7" s="45">
        <f t="shared" si="1"/>
        <v>-0.14723986361259458</v>
      </c>
      <c r="G7" s="46">
        <f>SUM('1st Qtr'!G7, '2nd Qtr'!G7, '3rd Qtr'!G7, '4th Qtr'!G7)</f>
        <v>1299435.6400000001</v>
      </c>
      <c r="H7" s="72">
        <f>SUM('1st Qtr'!H7, '2nd Qtr'!H7, '3rd Qtr'!H7, '4th Qtr'!H7)</f>
        <v>-119146.63999999998</v>
      </c>
      <c r="I7" s="45">
        <f t="shared" si="2"/>
        <v>-9.1691066746483862E-2</v>
      </c>
      <c r="L7" s="73"/>
    </row>
    <row r="8" spans="1:12" ht="15.75">
      <c r="A8" s="34" t="str">
        <v>Boutilier</v>
      </c>
      <c r="B8" s="35" t="str">
        <v>MA</v>
      </c>
      <c r="C8" s="36">
        <f>SUM('1st Qtr'!C8, '2nd Qtr'!C8, '3rd Qtr'!C8, '4th Qtr'!C8)</f>
        <v>3335113</v>
      </c>
      <c r="D8" s="37">
        <f>SUM('1st Qtr'!D8, '2nd Qtr'!D8, '3rd Qtr'!D8, '4th Qtr'!D8)</f>
        <v>3394787.8000000003</v>
      </c>
      <c r="E8" s="37">
        <f t="shared" si="0"/>
        <v>-59674.800000000279</v>
      </c>
      <c r="F8" s="38">
        <f t="shared" si="1"/>
        <v>-1.7578359389650296E-2</v>
      </c>
      <c r="G8" s="39">
        <f>SUM('1st Qtr'!G8, '2nd Qtr'!G8, '3rd Qtr'!G8, '4th Qtr'!G8)</f>
        <v>3465366.6999999997</v>
      </c>
      <c r="H8" s="39">
        <f>SUM('1st Qtr'!H8, '2nd Qtr'!H8, '3rd Qtr'!H8, '4th Qtr'!H8)</f>
        <v>-130253.69999999995</v>
      </c>
      <c r="I8" s="40">
        <f t="shared" si="2"/>
        <v>-3.758727755997654E-2</v>
      </c>
    </row>
    <row r="9" spans="1:12" ht="15.75">
      <c r="A9" s="41" t="str">
        <v>Cherry Valley</v>
      </c>
      <c r="B9" s="42" t="str">
        <v>MA</v>
      </c>
      <c r="C9" s="43">
        <f>SUM('1st Qtr'!C9, '2nd Qtr'!C9, '3rd Qtr'!C9, '4th Qtr'!C9)</f>
        <v>1150674</v>
      </c>
      <c r="D9" s="44">
        <f>SUM('1st Qtr'!D9, '2nd Qtr'!D9, '3rd Qtr'!D9, '4th Qtr'!D9)</f>
        <v>1327992.2200000002</v>
      </c>
      <c r="E9" s="44">
        <f t="shared" si="0"/>
        <v>-177318.2200000002</v>
      </c>
      <c r="F9" s="45">
        <f t="shared" si="1"/>
        <v>-0.13352353826289748</v>
      </c>
      <c r="G9" s="46">
        <f>SUM('1st Qtr'!G9, '2nd Qtr'!G9, '3rd Qtr'!G9, '4th Qtr'!G9)</f>
        <v>1270082</v>
      </c>
      <c r="H9" s="72">
        <f>SUM('1st Qtr'!H9, '2nd Qtr'!H9, '3rd Qtr'!H9, '4th Qtr'!H9)</f>
        <v>-119408</v>
      </c>
      <c r="I9" s="45">
        <f t="shared" si="2"/>
        <v>-9.4015976921175165E-2</v>
      </c>
      <c r="K9" s="74"/>
    </row>
    <row r="10" spans="1:12" ht="15.75">
      <c r="A10" s="34" t="str">
        <v>Cohasse</v>
      </c>
      <c r="B10" s="35" t="str">
        <v>MA</v>
      </c>
      <c r="C10" s="36">
        <f>SUM('1st Qtr'!C10, '2nd Qtr'!C10, '3rd Qtr'!C10, '4th Qtr'!C10)</f>
        <v>1108589</v>
      </c>
      <c r="D10" s="37">
        <f>SUM('1st Qtr'!D10, '2nd Qtr'!D10, '3rd Qtr'!D10, '4th Qtr'!D10)</f>
        <v>1218888.54</v>
      </c>
      <c r="E10" s="37">
        <f t="shared" si="0"/>
        <v>-110299.54000000004</v>
      </c>
      <c r="F10" s="38">
        <f t="shared" si="1"/>
        <v>-9.0491900104336068E-2</v>
      </c>
      <c r="G10" s="39">
        <f>SUM('1st Qtr'!G10, '2nd Qtr'!G10, '3rd Qtr'!G10, '4th Qtr'!G10)</f>
        <v>1368590.7</v>
      </c>
      <c r="H10" s="39">
        <f>SUM('1st Qtr'!H10, '2nd Qtr'!H10, '3rd Qtr'!H10, '4th Qtr'!H10)</f>
        <v>-260001.69999999998</v>
      </c>
      <c r="I10" s="40">
        <f t="shared" si="2"/>
        <v>-0.18997769018889285</v>
      </c>
    </row>
    <row r="11" spans="1:12" ht="15.75">
      <c r="A11" s="41" t="str">
        <v>ISM Dighton Solar 2</v>
      </c>
      <c r="B11" s="42" t="str">
        <v>MA</v>
      </c>
      <c r="C11" s="43">
        <f>SUM('1st Qtr'!C11, '2nd Qtr'!C11, '3rd Qtr'!C11, '4th Qtr'!C11)</f>
        <v>2532439</v>
      </c>
      <c r="D11" s="44">
        <f>SUM('1st Qtr'!D11, '2nd Qtr'!D11, '3rd Qtr'!D11, '4th Qtr'!D11)</f>
        <v>2565860.0999999996</v>
      </c>
      <c r="E11" s="44">
        <f t="shared" si="0"/>
        <v>-33421.099999999627</v>
      </c>
      <c r="F11" s="45">
        <f t="shared" si="1"/>
        <v>-1.3025300950741482E-2</v>
      </c>
      <c r="G11" s="46">
        <f>SUM('1st Qtr'!G11, '2nd Qtr'!G11, '3rd Qtr'!G11, '4th Qtr'!G11)</f>
        <v>2639612.5999999996</v>
      </c>
      <c r="H11" s="72">
        <f>SUM('1st Qtr'!H11, '2nd Qtr'!H11, '3rd Qtr'!H11, '4th Qtr'!H11)</f>
        <v>-107173.6</v>
      </c>
      <c r="I11" s="45">
        <f t="shared" si="2"/>
        <v>-4.0602018644705674E-2</v>
      </c>
    </row>
    <row r="12" spans="1:12" ht="15.75">
      <c r="A12" s="34" t="str">
        <v>Dudley River 1</v>
      </c>
      <c r="B12" s="35" t="str">
        <v>MA</v>
      </c>
      <c r="C12" s="36">
        <f>SUM('1st Qtr'!C12, '2nd Qtr'!C12, '3rd Qtr'!C12, '4th Qtr'!C12)</f>
        <v>1208561</v>
      </c>
      <c r="D12" s="37">
        <f>SUM('1st Qtr'!D12, '2nd Qtr'!D12, '3rd Qtr'!D12, '4th Qtr'!D12)</f>
        <v>1256014.2000000002</v>
      </c>
      <c r="E12" s="37">
        <f t="shared" si="0"/>
        <v>-47453.200000000186</v>
      </c>
      <c r="F12" s="38">
        <f t="shared" si="1"/>
        <v>-3.7780783051656726E-2</v>
      </c>
      <c r="G12" s="39">
        <f>SUM('1st Qtr'!G12, '2nd Qtr'!G12, '3rd Qtr'!G12, '4th Qtr'!G12)</f>
        <v>1313656.4300000002</v>
      </c>
      <c r="H12" s="39">
        <f>SUM('1st Qtr'!H12, '2nd Qtr'!H12, '3rd Qtr'!H12, '4th Qtr'!H12)</f>
        <v>-105095.42999999998</v>
      </c>
      <c r="I12" s="40">
        <f t="shared" si="2"/>
        <v>-8.0002219453986126E-2</v>
      </c>
    </row>
    <row r="13" spans="1:12" ht="15.75">
      <c r="A13" s="41" t="str">
        <v>Dudley River 2</v>
      </c>
      <c r="B13" s="42" t="str">
        <v>MA</v>
      </c>
      <c r="C13" s="43">
        <f>SUM('1st Qtr'!C13, '2nd Qtr'!C13, '3rd Qtr'!C13, '4th Qtr'!C13)</f>
        <v>1160252</v>
      </c>
      <c r="D13" s="44">
        <f>SUM('1st Qtr'!D13, '2nd Qtr'!D13, '3rd Qtr'!D13, '4th Qtr'!D13)</f>
        <v>1256897.17</v>
      </c>
      <c r="E13" s="44">
        <f t="shared" si="0"/>
        <v>-96645.169999999925</v>
      </c>
      <c r="F13" s="45">
        <f t="shared" si="1"/>
        <v>-7.6891866977471135E-2</v>
      </c>
      <c r="G13" s="46">
        <f>SUM('1st Qtr'!G13, '2nd Qtr'!G13, '3rd Qtr'!G13, '4th Qtr'!G13)</f>
        <v>1254891.83</v>
      </c>
      <c r="H13" s="72">
        <f>SUM('1st Qtr'!H13, '2nd Qtr'!H13, '3rd Qtr'!H13, '4th Qtr'!H13)</f>
        <v>-94639.829999999973</v>
      </c>
      <c r="I13" s="45">
        <f t="shared" si="2"/>
        <v>-7.5416723368100957E-2</v>
      </c>
    </row>
    <row r="14" spans="1:12" ht="15.75">
      <c r="A14" s="34" t="str">
        <v>Dudley River 3</v>
      </c>
      <c r="B14" s="35" t="str">
        <v>MA</v>
      </c>
      <c r="C14" s="36">
        <f>SUM('1st Qtr'!C14, '2nd Qtr'!C14, '3rd Qtr'!C14, '4th Qtr'!C14)</f>
        <v>1195674</v>
      </c>
      <c r="D14" s="37">
        <f>SUM('1st Qtr'!D14, '2nd Qtr'!D14, '3rd Qtr'!D14, '4th Qtr'!D14)</f>
        <v>1255010.1299999999</v>
      </c>
      <c r="E14" s="37">
        <f t="shared" si="0"/>
        <v>-59336.129999999888</v>
      </c>
      <c r="F14" s="38">
        <f t="shared" si="1"/>
        <v>-4.7279403234776994E-2</v>
      </c>
      <c r="G14" s="39">
        <f>SUM('1st Qtr'!G14, '2nd Qtr'!G14, '3rd Qtr'!G14, '4th Qtr'!G14)</f>
        <v>1272604.5900000001</v>
      </c>
      <c r="H14" s="39">
        <f>SUM('1st Qtr'!H14, '2nd Qtr'!H14, '3rd Qtr'!H14, '4th Qtr'!H14)</f>
        <v>-76930.590000000026</v>
      </c>
      <c r="I14" s="40">
        <f t="shared" si="2"/>
        <v>-6.0451290687235398E-2</v>
      </c>
    </row>
    <row r="15" spans="1:12" ht="15.75">
      <c r="A15" s="41" t="str">
        <v>Flint Pond</v>
      </c>
      <c r="B15" s="42" t="str">
        <v>MA</v>
      </c>
      <c r="C15" s="43">
        <f>SUM('1st Qtr'!C15, '2nd Qtr'!C15, '3rd Qtr'!C15, '4th Qtr'!C15)</f>
        <v>566809</v>
      </c>
      <c r="D15" s="44">
        <f>SUM('1st Qtr'!D15, '2nd Qtr'!D15, '3rd Qtr'!D15, '4th Qtr'!D15)</f>
        <v>547199.15999999992</v>
      </c>
      <c r="E15" s="44">
        <f t="shared" si="0"/>
        <v>19609.840000000084</v>
      </c>
      <c r="F15" s="45">
        <f t="shared" si="1"/>
        <v>3.5836750918989142E-2</v>
      </c>
      <c r="G15" s="46">
        <f>SUM('1st Qtr'!G15, '2nd Qtr'!G15, '3rd Qtr'!G15, '4th Qtr'!G15)</f>
        <v>597584.49</v>
      </c>
      <c r="H15" s="72">
        <f>SUM('1st Qtr'!H15, '2nd Qtr'!H15, '3rd Qtr'!H15, '4th Qtr'!H15)</f>
        <v>-30775.49000000002</v>
      </c>
      <c r="I15" s="45">
        <f t="shared" si="2"/>
        <v>-5.1499813858957452E-2</v>
      </c>
    </row>
    <row r="16" spans="1:12" ht="15.75">
      <c r="A16" s="34" t="str">
        <v>Incom</v>
      </c>
      <c r="B16" s="35" t="str">
        <v>MA</v>
      </c>
      <c r="C16" s="36">
        <f>SUM('1st Qtr'!C16, '2nd Qtr'!C16, '3rd Qtr'!C16, '4th Qtr'!C16)</f>
        <v>2524224</v>
      </c>
      <c r="D16" s="37">
        <f>SUM('1st Qtr'!D16, '2nd Qtr'!D16, '3rd Qtr'!D16, '4th Qtr'!D16)</f>
        <v>2905132.5</v>
      </c>
      <c r="E16" s="37">
        <f t="shared" ref="E16:E19" si="3">IF(AND(ISNUMBER(C16),ISNUMBER(D16)), C16-D16, "")</f>
        <v>-380908.5</v>
      </c>
      <c r="F16" s="38">
        <f t="shared" ref="F16:F19" si="4">IFERROR(E16/D16, "")</f>
        <v>-0.13111570642647108</v>
      </c>
      <c r="G16" s="39">
        <f>SUM('1st Qtr'!G16, '2nd Qtr'!G16, '3rd Qtr'!G16, '4th Qtr'!G16)</f>
        <v>2766338.3</v>
      </c>
      <c r="H16" s="39">
        <f>SUM('1st Qtr'!H16, '2nd Qtr'!H16, '3rd Qtr'!H16, '4th Qtr'!H16)</f>
        <v>-242114.29999999996</v>
      </c>
      <c r="I16" s="40">
        <f t="shared" ref="I16:I19" si="5">IFERROR(H16/G16, "")</f>
        <v>-8.7521580422755943E-2</v>
      </c>
    </row>
    <row r="17" spans="1:9" ht="15.75">
      <c r="A17" s="41" t="str">
        <v>JH</v>
      </c>
      <c r="B17" s="42" t="str">
        <v>MA</v>
      </c>
      <c r="C17" s="43">
        <f>SUM('1st Qtr'!C17, '2nd Qtr'!C17, '3rd Qtr'!C17, '4th Qtr'!C17)</f>
        <v>1141416</v>
      </c>
      <c r="D17" s="44">
        <f>SUM('1st Qtr'!D17, '2nd Qtr'!D17, '3rd Qtr'!D17, '4th Qtr'!D17)</f>
        <v>1279024.6299999999</v>
      </c>
      <c r="E17" s="44">
        <f t="shared" si="3"/>
        <v>-137608.62999999989</v>
      </c>
      <c r="F17" s="45">
        <f t="shared" si="4"/>
        <v>-0.10758872563697221</v>
      </c>
      <c r="G17" s="46">
        <f>SUM('1st Qtr'!G17, '2nd Qtr'!G17, '3rd Qtr'!G17, '4th Qtr'!G17)</f>
        <v>1338764.7000000002</v>
      </c>
      <c r="H17" s="72">
        <f>SUM('1st Qtr'!H17, '2nd Qtr'!H17, '3rd Qtr'!H17, '4th Qtr'!H17)</f>
        <v>-197348.7</v>
      </c>
      <c r="I17" s="45">
        <f t="shared" si="5"/>
        <v>-0.14741104243337158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1055698</v>
      </c>
      <c r="D18" s="37">
        <f>SUM('1st Qtr'!D18, '2nd Qtr'!D18, '3rd Qtr'!D18, '4th Qtr'!D18)</f>
        <v>1172817.67</v>
      </c>
      <c r="E18" s="37">
        <f t="shared" si="3"/>
        <v>-117119.66999999993</v>
      </c>
      <c r="F18" s="38">
        <f t="shared" si="4"/>
        <v>-9.9861788405694749E-2</v>
      </c>
      <c r="G18" s="39">
        <f>SUM('1st Qtr'!G18, '2nd Qtr'!G18, '3rd Qtr'!G18, '4th Qtr'!G18)</f>
        <v>1301126.79</v>
      </c>
      <c r="H18" s="39">
        <f>SUM('1st Qtr'!H18, '2nd Qtr'!H18, '3rd Qtr'!H18, '4th Qtr'!H18)</f>
        <v>-245428.79</v>
      </c>
      <c r="I18" s="40">
        <f t="shared" si="5"/>
        <v>-0.18862788153028498</v>
      </c>
    </row>
    <row r="19" spans="1:9" ht="15.75">
      <c r="A19" s="41" t="str">
        <v>Palombo A</v>
      </c>
      <c r="B19" s="41" t="str">
        <v>MA</v>
      </c>
      <c r="C19" s="43">
        <f>SUM('1st Qtr'!C19, '2nd Qtr'!C19, '3rd Qtr'!C19, '4th Qtr'!C19)</f>
        <v>2404255.9999999995</v>
      </c>
      <c r="D19" s="44">
        <f>SUM('1st Qtr'!D19, '2nd Qtr'!D19, '3rd Qtr'!D19, '4th Qtr'!D19)</f>
        <v>2643543.7000000002</v>
      </c>
      <c r="E19" s="44">
        <f t="shared" si="3"/>
        <v>-239287.70000000065</v>
      </c>
      <c r="F19" s="45">
        <f t="shared" si="4"/>
        <v>-9.0517777330482802E-2</v>
      </c>
      <c r="G19" s="46">
        <f>SUM('1st Qtr'!G19, '2nd Qtr'!G19, '3rd Qtr'!G19, '4th Qtr'!G19)</f>
        <v>2853099</v>
      </c>
      <c r="H19" s="72">
        <f>SUM('1st Qtr'!H19, '2nd Qtr'!H19, '3rd Qtr'!H19, '4th Qtr'!H19)</f>
        <v>-448843.00000000041</v>
      </c>
      <c r="I19" s="45">
        <f t="shared" si="5"/>
        <v>-0.15731770962031125</v>
      </c>
    </row>
    <row r="20" spans="1:9" ht="15.75">
      <c r="A20" s="34" t="str">
        <v>Palombo B</v>
      </c>
      <c r="B20" s="41" t="str">
        <v>MA</v>
      </c>
      <c r="C20" s="36">
        <f>SUM('1st Qtr'!C20, '2nd Qtr'!C20, '3rd Qtr'!C20, '4th Qtr'!C20)</f>
        <v>1194350</v>
      </c>
      <c r="D20" s="37">
        <f>SUM('1st Qtr'!D20, '2nd Qtr'!D20, '3rd Qtr'!D20, '4th Qtr'!D20)</f>
        <v>1170936.95</v>
      </c>
      <c r="E20" s="37">
        <f t="shared" ref="E20:E24" si="6">IF(AND(ISNUMBER(C20),ISNUMBER(D20)), C20-D20, "")</f>
        <v>23413.050000000047</v>
      </c>
      <c r="F20" s="38">
        <f t="shared" ref="F20:F24" si="7">IFERROR(E20/D20, "")</f>
        <v>1.9995141497584516E-2</v>
      </c>
      <c r="G20" s="39">
        <f>SUM('1st Qtr'!G20, '2nd Qtr'!G20, '3rd Qtr'!G20, '4th Qtr'!G20)</f>
        <v>1312774.79</v>
      </c>
      <c r="H20" s="39">
        <f>SUM('1st Qtr'!H20, '2nd Qtr'!H20, '3rd Qtr'!H20, '4th Qtr'!H20)</f>
        <v>-118424.79000000002</v>
      </c>
      <c r="I20" s="40">
        <f t="shared" ref="I20:I24" si="8">IFERROR(H20/G20, "")</f>
        <v>-9.0209524818800041E-2</v>
      </c>
    </row>
    <row r="21" spans="1:9" ht="15.75">
      <c r="A21" s="41" t="str">
        <v>St Josephs Church</v>
      </c>
      <c r="B21" s="41" t="str">
        <v>MA</v>
      </c>
      <c r="C21" s="43">
        <f>SUM('1st Qtr'!C21, '2nd Qtr'!C21, '3rd Qtr'!C21, '4th Qtr'!C21)</f>
        <v>1135299</v>
      </c>
      <c r="D21" s="44">
        <f>SUM('1st Qtr'!D21, '2nd Qtr'!D21, '3rd Qtr'!D21, '4th Qtr'!D21)</f>
        <v>1371813.42</v>
      </c>
      <c r="E21" s="44">
        <f t="shared" si="6"/>
        <v>-236514.41999999993</v>
      </c>
      <c r="F21" s="45">
        <f t="shared" si="7"/>
        <v>-0.17241004975734961</v>
      </c>
      <c r="G21" s="46">
        <f>SUM('1st Qtr'!G21, '2nd Qtr'!G21, '3rd Qtr'!G21, '4th Qtr'!G21)</f>
        <v>1291389.82</v>
      </c>
      <c r="H21" s="72">
        <f>SUM('1st Qtr'!H21, '2nd Qtr'!H21, '3rd Qtr'!H21, '4th Qtr'!H21)</f>
        <v>-156090.82000000004</v>
      </c>
      <c r="I21" s="45">
        <f t="shared" si="8"/>
        <v>-0.12087041231283674</v>
      </c>
    </row>
    <row r="22" spans="1:9" ht="15.75">
      <c r="A22" s="34" t="str">
        <v>Sunset A</v>
      </c>
      <c r="B22" s="41" t="str">
        <v>MA</v>
      </c>
      <c r="C22" s="36">
        <f>SUM('1st Qtr'!C22, '2nd Qtr'!C22, '3rd Qtr'!C22, '4th Qtr'!C22)</f>
        <v>527250.5</v>
      </c>
      <c r="D22" s="37">
        <f>SUM('1st Qtr'!D22, '2nd Qtr'!D22, '3rd Qtr'!D22, '4th Qtr'!D22)</f>
        <v>624952.97</v>
      </c>
      <c r="E22" s="37">
        <f t="shared" si="6"/>
        <v>-97702.469999999972</v>
      </c>
      <c r="F22" s="38">
        <f t="shared" si="7"/>
        <v>-0.15633571594995377</v>
      </c>
      <c r="G22" s="39">
        <f>SUM('1st Qtr'!G22, '2nd Qtr'!G22, '3rd Qtr'!G22, '4th Qtr'!G22)</f>
        <v>594340.97</v>
      </c>
      <c r="H22" s="39">
        <f>SUM('1st Qtr'!H22, '2nd Qtr'!H22, '3rd Qtr'!H22, '4th Qtr'!H22)</f>
        <v>-67090.470000000016</v>
      </c>
      <c r="I22" s="40">
        <f t="shared" si="8"/>
        <v>-0.1128821221932589</v>
      </c>
    </row>
    <row r="23" spans="1:9" ht="15.75">
      <c r="A23" s="41" t="str">
        <v>Sunset B</v>
      </c>
      <c r="B23" s="41" t="str">
        <v>MA</v>
      </c>
      <c r="C23" s="43">
        <f>SUM('1st Qtr'!C23, '2nd Qtr'!C23, '3rd Qtr'!C23, '4th Qtr'!C23)</f>
        <v>495174.75</v>
      </c>
      <c r="D23" s="44">
        <f>SUM('1st Qtr'!D23, '2nd Qtr'!D23, '3rd Qtr'!D23, '4th Qtr'!D23)</f>
        <v>556434.38</v>
      </c>
      <c r="E23" s="44">
        <f t="shared" si="6"/>
        <v>-61259.630000000005</v>
      </c>
      <c r="F23" s="45">
        <f t="shared" si="7"/>
        <v>-0.11009317936105961</v>
      </c>
      <c r="G23" s="46">
        <f>SUM('1st Qtr'!G23, '2nd Qtr'!G23, '3rd Qtr'!G23, '4th Qtr'!G23)</f>
        <v>587207.82000000007</v>
      </c>
      <c r="H23" s="72">
        <f>SUM('1st Qtr'!H23, '2nd Qtr'!H23, '3rd Qtr'!H23, '4th Qtr'!H23)</f>
        <v>-92033.07</v>
      </c>
      <c r="I23" s="45">
        <f t="shared" si="8"/>
        <v>-0.1567299801967896</v>
      </c>
    </row>
    <row r="24" spans="1:9" ht="15.75">
      <c r="A24" s="34" t="str">
        <v>Woodchuck</v>
      </c>
      <c r="B24" s="41" t="str">
        <v>MA</v>
      </c>
      <c r="C24" s="36">
        <f>SUM('1st Qtr'!C24, '2nd Qtr'!C24, '3rd Qtr'!C24, '4th Qtr'!C24)</f>
        <v>1179490</v>
      </c>
      <c r="D24" s="37">
        <f>SUM('1st Qtr'!D24, '2nd Qtr'!D24, '3rd Qtr'!D24, '4th Qtr'!D24)</f>
        <v>1289738.6800000002</v>
      </c>
      <c r="E24" s="37">
        <f t="shared" si="6"/>
        <v>-110248.68000000017</v>
      </c>
      <c r="F24" s="38">
        <f t="shared" si="7"/>
        <v>-8.5481409303782493E-2</v>
      </c>
      <c r="G24" s="39">
        <f>SUM('1st Qtr'!G24, '2nd Qtr'!G24, '3rd Qtr'!G24, '4th Qtr'!G24)</f>
        <v>1367590.1</v>
      </c>
      <c r="H24" s="39">
        <f>SUM('1st Qtr'!H24, '2nd Qtr'!H24, '3rd Qtr'!H24, '4th Qtr'!H24)</f>
        <v>-188100.1</v>
      </c>
      <c r="I24" s="40">
        <f t="shared" si="8"/>
        <v>-0.13754128521404183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L15" sqref="L1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75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75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75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75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75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75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75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75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2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5" activePane="bottomRight" state="frozen"/>
      <selection pane="bottomRight" activeCell="C5" sqref="C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SUM(C4:C99)</f>
        <v>13517899.303322259</v>
      </c>
      <c r="D2" s="5">
        <f>SUM(D4:D99)</f>
        <v>13851375.370000001</v>
      </c>
      <c r="E2" s="5">
        <f>C2-D2</f>
        <v>-333476.06667774171</v>
      </c>
      <c r="F2" s="6">
        <f>IFERROR(E2/D2, 0)</f>
        <v>-2.4075303554331563E-2</v>
      </c>
      <c r="G2" s="5">
        <f>SUM(G4:G99)</f>
        <v>14275415.720000004</v>
      </c>
      <c r="H2" s="7">
        <f>C2-G2</f>
        <v>-757516.41667774506</v>
      </c>
      <c r="I2" s="6">
        <f>IFERROR(H2/G2, 0)</f>
        <v>-5.3064403274536993E-2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669108.30000000005</v>
      </c>
      <c r="D4" s="37">
        <f>SUM(Apr!D4, May!D4, Jun!D4)</f>
        <v>787267.6</v>
      </c>
      <c r="E4" s="37">
        <f>IF(AND(ISNUMBER(C4),ISNUMBER(D4)), C4-D4, "")</f>
        <v>-118159.29999999993</v>
      </c>
      <c r="F4" s="38">
        <f>IFERROR(E4/D4, "")</f>
        <v>-0.15008784814718645</v>
      </c>
      <c r="G4" s="39">
        <f>SUM(Apr!G4, May!G4, Jun!G4)</f>
        <v>726874.3</v>
      </c>
      <c r="H4" s="39">
        <f>SUM(Apr!H4, May!H4, Jun!H4)</f>
        <v>-57766.000000000029</v>
      </c>
      <c r="I4" s="40">
        <f>IFERROR(H4/G4, "")</f>
        <v>-7.9471787625453288E-2</v>
      </c>
    </row>
    <row r="5" spans="1:9" ht="15.75">
      <c r="A5" s="56" t="str">
        <v>Barton Acres</v>
      </c>
      <c r="B5" s="42" t="str">
        <v>MA</v>
      </c>
      <c r="C5" s="43">
        <f>SUM(Apr!C5, May!C5, Jun!C5)</f>
        <v>545310</v>
      </c>
      <c r="D5" s="44">
        <f>SUM(Apr!D5, May!D5, Jun!D5)</f>
        <v>539383.5</v>
      </c>
      <c r="E5" s="44">
        <f t="shared" ref="E5:E15" si="0">IF(AND(ISNUMBER(C5),ISNUMBER(D5)), C5-D5, "")</f>
        <v>5926.5</v>
      </c>
      <c r="F5" s="45">
        <f>IFERROR(E5/D5, "")</f>
        <v>1.0987544112862185E-2</v>
      </c>
      <c r="G5" s="46">
        <f>SUM(Apr!G5, May!G5, Jun!G5)</f>
        <v>560726.70000000007</v>
      </c>
      <c r="H5" s="46">
        <f>SUM(Apr!H5, May!H5, Jun!H5)</f>
        <v>-15416.700000000012</v>
      </c>
      <c r="I5" s="45">
        <f>IFERROR(H5/G5, "")</f>
        <v>-2.7494142868531156E-2</v>
      </c>
    </row>
    <row r="6" spans="1:9" ht="15.75">
      <c r="A6" s="55" t="str">
        <v>Bowden</v>
      </c>
      <c r="B6" s="35" t="str">
        <v>MA</v>
      </c>
      <c r="C6" s="36">
        <f>SUM(Apr!C6, May!C6, Jun!C6)</f>
        <v>1110105</v>
      </c>
      <c r="D6" s="37">
        <f>SUM(Apr!D6, May!D6, Jun!D6)</f>
        <v>1106578</v>
      </c>
      <c r="E6" s="37">
        <f t="shared" si="0"/>
        <v>3527</v>
      </c>
      <c r="F6" s="38">
        <f t="shared" ref="F6:F15" si="1">IFERROR(E6/D6, "")</f>
        <v>3.1873035610684472E-3</v>
      </c>
      <c r="G6" s="39">
        <f>SUM(Apr!G6, May!G6, Jun!G6)</f>
        <v>1115432.6000000001</v>
      </c>
      <c r="H6" s="39">
        <f>SUM(Apr!H6, May!H6, Jun!H6)</f>
        <v>-5327.5999999999767</v>
      </c>
      <c r="I6" s="40">
        <f t="shared" ref="I6:I15" si="2">IFERROR(H6/G6, "")</f>
        <v>-4.7762634873680185E-3</v>
      </c>
    </row>
    <row r="7" spans="1:9" ht="15.75">
      <c r="A7" s="56" t="str">
        <v>Blair Wire Village</v>
      </c>
      <c r="B7" s="42" t="str">
        <v>MA</v>
      </c>
      <c r="C7" s="43">
        <f>SUM(Apr!C7, May!C7, Jun!C7)</f>
        <v>519157</v>
      </c>
      <c r="D7" s="44">
        <f>SUM(Apr!D7, May!D7, Jun!D7)</f>
        <v>570134.1</v>
      </c>
      <c r="E7" s="44">
        <f t="shared" si="0"/>
        <v>-50977.099999999977</v>
      </c>
      <c r="F7" s="45">
        <f t="shared" si="1"/>
        <v>-8.9412473311103441E-2</v>
      </c>
      <c r="G7" s="46">
        <f>SUM(Apr!G7, May!G7, Jun!G7)</f>
        <v>559056.19999999995</v>
      </c>
      <c r="H7" s="46">
        <f>SUM(Apr!H7, May!H7, Jun!H7)</f>
        <v>-39899.199999999983</v>
      </c>
      <c r="I7" s="45">
        <f t="shared" si="2"/>
        <v>-7.1368853435486421E-2</v>
      </c>
    </row>
    <row r="8" spans="1:9" ht="15.75">
      <c r="A8" s="55" t="str">
        <v>Boutilier</v>
      </c>
      <c r="B8" s="35" t="str">
        <v>MA</v>
      </c>
      <c r="C8" s="36">
        <f>SUM(Apr!C8, May!C8, Jun!C8)</f>
        <v>1478476</v>
      </c>
      <c r="D8" s="37">
        <f>SUM(Apr!D8, May!D8, Jun!D8)</f>
        <v>1482573</v>
      </c>
      <c r="E8" s="37">
        <f t="shared" si="0"/>
        <v>-4097</v>
      </c>
      <c r="F8" s="38">
        <f t="shared" si="1"/>
        <v>-2.7634389672549007E-3</v>
      </c>
      <c r="G8" s="39">
        <f>SUM(Apr!G8, May!G8, Jun!G8)</f>
        <v>1539248.5</v>
      </c>
      <c r="H8" s="39">
        <f>SUM(Apr!H8, May!H8, Jun!H8)</f>
        <v>-60772.5</v>
      </c>
      <c r="I8" s="40">
        <f t="shared" si="2"/>
        <v>-3.9481929006265071E-2</v>
      </c>
    </row>
    <row r="9" spans="1:9" ht="15.75">
      <c r="A9" s="56" t="str">
        <v>Cherry Valley</v>
      </c>
      <c r="B9" s="42" t="str">
        <v>MA</v>
      </c>
      <c r="C9" s="43">
        <f>SUM(Apr!C9, May!C9, Jun!C9)</f>
        <v>522390</v>
      </c>
      <c r="D9" s="44">
        <f>SUM(Apr!D9, May!D9, Jun!D9)</f>
        <v>540948.9</v>
      </c>
      <c r="E9" s="44">
        <f t="shared" si="0"/>
        <v>-18558.900000000023</v>
      </c>
      <c r="F9" s="45">
        <f t="shared" si="1"/>
        <v>-3.4308046471672321E-2</v>
      </c>
      <c r="G9" s="46">
        <f>SUM(Apr!G9, May!G9, Jun!G9)</f>
        <v>553860</v>
      </c>
      <c r="H9" s="46">
        <f>SUM(Apr!H9, May!H9, Jun!H9)</f>
        <v>-31470</v>
      </c>
      <c r="I9" s="45">
        <f t="shared" si="2"/>
        <v>-5.6819412848012132E-2</v>
      </c>
    </row>
    <row r="10" spans="1:9" ht="15.75">
      <c r="A10" s="55" t="str">
        <v>Cohasse</v>
      </c>
      <c r="B10" s="35" t="str">
        <v>MA</v>
      </c>
      <c r="C10" s="36">
        <f>SUM(Apr!C10, May!C10, Jun!C10)</f>
        <v>499860</v>
      </c>
      <c r="D10" s="37">
        <f>SUM(Apr!D10, May!D10, Jun!D10)</f>
        <v>493690.6</v>
      </c>
      <c r="E10" s="37">
        <f t="shared" si="0"/>
        <v>6169.4000000000233</v>
      </c>
      <c r="F10" s="38">
        <f t="shared" si="1"/>
        <v>1.249649071706049E-2</v>
      </c>
      <c r="G10" s="39">
        <f>SUM(Apr!G10, May!G10, Jun!G10)</f>
        <v>556612.69999999995</v>
      </c>
      <c r="H10" s="39">
        <f>SUM(Apr!H10, May!H10, Jun!H10)</f>
        <v>-56752.699999999983</v>
      </c>
      <c r="I10" s="40">
        <f t="shared" si="2"/>
        <v>-0.10196084279068729</v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1117692</v>
      </c>
      <c r="D11" s="44">
        <f>SUM(Apr!D11, May!D11, Jun!D11)</f>
        <v>1088094.3</v>
      </c>
      <c r="E11" s="44">
        <f t="shared" si="0"/>
        <v>29597.699999999953</v>
      </c>
      <c r="F11" s="45">
        <f t="shared" si="1"/>
        <v>2.7201410760078381E-2</v>
      </c>
      <c r="G11" s="46">
        <f>SUM(Apr!G11, May!G11, Jun!G11)</f>
        <v>1141253.5</v>
      </c>
      <c r="H11" s="46">
        <f>SUM(Apr!H11, May!H11, Jun!H11)</f>
        <v>-23561.5</v>
      </c>
      <c r="I11" s="45">
        <f t="shared" si="2"/>
        <v>-2.0645281701217127E-2</v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536212</v>
      </c>
      <c r="D12" s="37">
        <f>SUM(Apr!D12, May!D12, Jun!D12)</f>
        <v>547912</v>
      </c>
      <c r="E12" s="37">
        <f t="shared" si="0"/>
        <v>-11700</v>
      </c>
      <c r="F12" s="38">
        <f t="shared" si="1"/>
        <v>-2.1353794039918821E-2</v>
      </c>
      <c r="G12" s="39">
        <f>SUM(Apr!G12, May!G12, Jun!G12)</f>
        <v>561943.9</v>
      </c>
      <c r="H12" s="39">
        <f>SUM(Apr!H12, May!H12, Jun!H12)</f>
        <v>-25731.899999999994</v>
      </c>
      <c r="I12" s="40">
        <f t="shared" si="2"/>
        <v>-4.5790869871529867E-2</v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514464</v>
      </c>
      <c r="D13" s="44">
        <f>SUM(Apr!D13, May!D13, Jun!D13)</f>
        <v>540498.30000000005</v>
      </c>
      <c r="E13" s="44">
        <f t="shared" si="0"/>
        <v>-26034.300000000047</v>
      </c>
      <c r="F13" s="45">
        <f t="shared" si="1"/>
        <v>-4.8167219027330975E-2</v>
      </c>
      <c r="G13" s="46">
        <f>SUM(Apr!G13, May!G13, Jun!G13)</f>
        <v>537337</v>
      </c>
      <c r="H13" s="46">
        <f>SUM(Apr!H13, May!H13, Jun!H13)</f>
        <v>-22872.999999999971</v>
      </c>
      <c r="I13" s="45">
        <f t="shared" si="2"/>
        <v>-4.2567327394167853E-2</v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530999</v>
      </c>
      <c r="D14" s="37">
        <f>SUM(Apr!D14, May!D14, Jun!D14)</f>
        <v>538683.80000000005</v>
      </c>
      <c r="E14" s="37">
        <f t="shared" si="0"/>
        <v>-7684.8000000000466</v>
      </c>
      <c r="F14" s="38">
        <f t="shared" si="1"/>
        <v>-1.4265882879715421E-2</v>
      </c>
      <c r="G14" s="39">
        <f>SUM(Apr!G14, May!G14, Jun!G14)</f>
        <v>544401.9</v>
      </c>
      <c r="H14" s="39">
        <f>SUM(Apr!H14, May!H14, Jun!H14)</f>
        <v>-13402.900000000023</v>
      </c>
      <c r="I14" s="40">
        <f t="shared" si="2"/>
        <v>-2.4619495266272991E-2</v>
      </c>
    </row>
    <row r="15" spans="1:9" ht="15.75">
      <c r="A15" s="56" t="str">
        <v>Flint Pond</v>
      </c>
      <c r="B15" s="42" t="str">
        <v>MA</v>
      </c>
      <c r="C15" s="43">
        <f>SUM(Apr!C15, May!C15, Jun!C15)</f>
        <v>257182.5</v>
      </c>
      <c r="D15" s="44">
        <f>SUM(Apr!D15, May!D15, Jun!D15)</f>
        <v>220092.02</v>
      </c>
      <c r="E15" s="44">
        <f t="shared" si="0"/>
        <v>37090.48000000001</v>
      </c>
      <c r="F15" s="45">
        <f t="shared" si="1"/>
        <v>0.16852260250053597</v>
      </c>
      <c r="G15" s="46">
        <f>SUM(Apr!G15, May!G15, Jun!G15)</f>
        <v>264870.46999999997</v>
      </c>
      <c r="H15" s="46">
        <f>SUM(Apr!H15, May!H15, Jun!H15)</f>
        <v>-7687.9700000000012</v>
      </c>
      <c r="I15" s="45">
        <f t="shared" si="2"/>
        <v>-2.9025394941157471E-2</v>
      </c>
    </row>
    <row r="16" spans="1:9" ht="15.75">
      <c r="A16" s="55" t="str">
        <v>Incom</v>
      </c>
      <c r="B16" s="35" t="str">
        <v>MA</v>
      </c>
      <c r="C16" s="36">
        <f>SUM(Apr!C16, May!C16, Jun!C16)</f>
        <v>1124910</v>
      </c>
      <c r="D16" s="37">
        <f>SUM(Apr!D16, May!D16, Jun!D16)</f>
        <v>1245264.2</v>
      </c>
      <c r="E16" s="37">
        <f t="shared" ref="E16:E18" si="3">IF(AND(ISNUMBER(C16),ISNUMBER(D16)), C16-D16, "")</f>
        <v>-120354.19999999995</v>
      </c>
      <c r="F16" s="38">
        <f t="shared" ref="F16:F18" si="4">IFERROR(E16/D16, "")</f>
        <v>-9.66495302763863E-2</v>
      </c>
      <c r="G16" s="39">
        <f>SUM(Apr!G16, May!G16, Jun!G16)</f>
        <v>1138926.2</v>
      </c>
      <c r="H16" s="39">
        <f>SUM(Apr!H16, May!H16, Jun!H16)</f>
        <v>-14016.200000000012</v>
      </c>
      <c r="I16" s="40">
        <f t="shared" ref="I16:I18" si="5">IFERROR(H16/G16, "")</f>
        <v>-1.2306504143991079E-2</v>
      </c>
    </row>
    <row r="17" spans="1:9" ht="15.75">
      <c r="A17" s="56" t="str">
        <v>JH</v>
      </c>
      <c r="B17" s="42" t="str">
        <v>MA</v>
      </c>
      <c r="C17" s="36">
        <f>SUM(Apr!C17, May!C17, Jun!C17)</f>
        <v>513411</v>
      </c>
      <c r="D17" s="37">
        <f>SUM(Apr!D17, May!D17, Jun!D17)</f>
        <v>524824.30000000005</v>
      </c>
      <c r="E17" s="37">
        <f t="shared" si="3"/>
        <v>-11413.300000000047</v>
      </c>
      <c r="F17" s="38">
        <f t="shared" si="4"/>
        <v>-2.1746897009151531E-2</v>
      </c>
      <c r="G17" s="46">
        <f>SUM(Apr!G17, May!G17, Jun!G17)</f>
        <v>551769.30000000005</v>
      </c>
      <c r="H17" s="39">
        <f>SUM(Apr!H17, May!H17, Jun!H17)</f>
        <v>-38358.300000000017</v>
      </c>
      <c r="I17" s="40">
        <f t="shared" si="5"/>
        <v>-6.9518728207604186E-2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478457</v>
      </c>
      <c r="D18" s="44">
        <f>SUM(Apr!D18, May!D18, Jun!D18)</f>
        <v>507528.3</v>
      </c>
      <c r="E18" s="44">
        <f t="shared" si="3"/>
        <v>-29071.299999999988</v>
      </c>
      <c r="F18" s="45">
        <f t="shared" si="4"/>
        <v>-5.7280155609056659E-2</v>
      </c>
      <c r="G18" s="39">
        <f>SUM(Apr!G18, May!G18, Jun!G18)</f>
        <v>542279.80000000005</v>
      </c>
      <c r="H18" s="46">
        <f>SUM(Apr!H18, May!H18, Jun!H18)</f>
        <v>-63822.799999999988</v>
      </c>
      <c r="I18" s="45">
        <f t="shared" si="5"/>
        <v>-0.1176934859089348</v>
      </c>
    </row>
    <row r="19" spans="1:9" ht="15.75">
      <c r="A19" s="56" t="str">
        <v>Palombo A</v>
      </c>
      <c r="B19" s="42" t="str">
        <v>MA</v>
      </c>
      <c r="C19" s="36">
        <f>SUM(Apr!C19, May!C19, Jun!C19)</f>
        <v>1077552.0033222591</v>
      </c>
      <c r="D19" s="37">
        <f>SUM(Apr!D19, May!D19, Jun!D19)</f>
        <v>1080070.6000000001</v>
      </c>
      <c r="E19" s="37">
        <f t="shared" ref="E19:E24" si="6">IF(AND(ISNUMBER(C19),ISNUMBER(D19)), C19-D19, "")</f>
        <v>-2518.5966777410358</v>
      </c>
      <c r="F19" s="38">
        <f t="shared" ref="F19:F24" si="7">IFERROR(E19/D19, "")</f>
        <v>-2.3318815249123858E-3</v>
      </c>
      <c r="G19" s="46">
        <f>SUM(Apr!G19, May!G19, Jun!G19)</f>
        <v>1145758</v>
      </c>
      <c r="H19" s="39">
        <f>SUM(Apr!H19, May!H19, Jun!H19)</f>
        <v>-68205.996677741001</v>
      </c>
      <c r="I19" s="40">
        <f t="shared" ref="I19:I24" si="8">IFERROR(H19/G19, "")</f>
        <v>-5.9529147235054002E-2</v>
      </c>
    </row>
    <row r="20" spans="1:9" ht="15.75">
      <c r="A20" s="55" t="str">
        <v>Palombo B</v>
      </c>
      <c r="B20" s="35" t="str">
        <v>MA</v>
      </c>
      <c r="C20" s="36">
        <f>SUM(Apr!C20, May!C20, Jun!C20)</f>
        <v>545434</v>
      </c>
      <c r="D20" s="37">
        <f>SUM(Apr!D20, May!D20, Jun!D20)</f>
        <v>464438.30000000005</v>
      </c>
      <c r="E20" s="37">
        <f t="shared" si="6"/>
        <v>80995.699999999953</v>
      </c>
      <c r="F20" s="38">
        <f t="shared" si="7"/>
        <v>0.17439496268933882</v>
      </c>
      <c r="G20" s="39">
        <f>SUM(Apr!G20, May!G20, Jun!G20)</f>
        <v>583491.30000000005</v>
      </c>
      <c r="H20" s="39">
        <f>SUM(Apr!H20, May!H20, Jun!H20)</f>
        <v>-38057.300000000017</v>
      </c>
      <c r="I20" s="40">
        <f t="shared" si="8"/>
        <v>-6.5223423211280121E-2</v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526463</v>
      </c>
      <c r="D21" s="44">
        <f>SUM(Apr!D21, May!D21, Jun!D21)</f>
        <v>569352.4</v>
      </c>
      <c r="E21" s="44">
        <f t="shared" si="6"/>
        <v>-42889.400000000023</v>
      </c>
      <c r="F21" s="45">
        <f t="shared" si="7"/>
        <v>-7.5330147023179361E-2</v>
      </c>
      <c r="G21" s="46">
        <f>SUM(Apr!G21, May!G21, Jun!G21)</f>
        <v>546743.80000000005</v>
      </c>
      <c r="H21" s="46">
        <f>SUM(Apr!H21, May!H21, Jun!H21)</f>
        <v>-20280.800000000017</v>
      </c>
      <c r="I21" s="45">
        <f t="shared" si="8"/>
        <v>-3.7093790546870425E-2</v>
      </c>
    </row>
    <row r="22" spans="1:9" ht="15.75">
      <c r="A22" s="55" t="str">
        <v>Sunset A</v>
      </c>
      <c r="B22" s="35" t="str">
        <v>MA</v>
      </c>
      <c r="C22" s="36">
        <f>SUM(Apr!C22, May!C22, Jun!C22)</f>
        <v>212868.5</v>
      </c>
      <c r="D22" s="37">
        <f>SUM(Apr!D22, May!D22, Jun!D22)</f>
        <v>230425.94</v>
      </c>
      <c r="E22" s="37">
        <f t="shared" si="6"/>
        <v>-17557.440000000002</v>
      </c>
      <c r="F22" s="38">
        <f t="shared" si="7"/>
        <v>-7.6195588048810839E-2</v>
      </c>
      <c r="G22" s="39">
        <f>SUM(Apr!G22, May!G22, Jun!G22)</f>
        <v>263997.98</v>
      </c>
      <c r="H22" s="39">
        <f>SUM(Apr!H22, May!H22, Jun!H22)</f>
        <v>-51129.48000000001</v>
      </c>
      <c r="I22" s="40">
        <f t="shared" si="8"/>
        <v>-0.19367375462494074</v>
      </c>
    </row>
    <row r="23" spans="1:9" ht="15.75">
      <c r="A23" s="56" t="str">
        <v>Sunset B</v>
      </c>
      <c r="B23" s="42" t="str">
        <v>MA</v>
      </c>
      <c r="C23" s="36">
        <f>SUM(Apr!C23, May!C23, Jun!C23)</f>
        <v>201745</v>
      </c>
      <c r="D23" s="37">
        <f>SUM(Apr!D23, May!D23, Jun!D23)</f>
        <v>219673.91</v>
      </c>
      <c r="E23" s="37">
        <f t="shared" si="6"/>
        <v>-17928.910000000003</v>
      </c>
      <c r="F23" s="38">
        <f t="shared" si="7"/>
        <v>-8.1616018943715271E-2</v>
      </c>
      <c r="G23" s="46">
        <f>SUM(Apr!G23, May!G23, Jun!G23)</f>
        <v>260827.07</v>
      </c>
      <c r="H23" s="39">
        <f>SUM(Apr!H23, May!H23, Jun!H23)</f>
        <v>-59082.069999999992</v>
      </c>
      <c r="I23" s="40">
        <f t="shared" si="8"/>
        <v>-0.22651816776533198</v>
      </c>
    </row>
    <row r="24" spans="1:9" ht="15.75">
      <c r="A24" s="55" t="str">
        <v>Woodchuck</v>
      </c>
      <c r="B24" s="35" t="str">
        <v>MA</v>
      </c>
      <c r="C24" s="43">
        <f>SUM(Apr!C24, May!C24, Jun!C24)</f>
        <v>536103</v>
      </c>
      <c r="D24" s="44">
        <f>SUM(Apr!D24, May!D24, Jun!D24)</f>
        <v>553941.30000000005</v>
      </c>
      <c r="E24" s="44">
        <f t="shared" si="6"/>
        <v>-17838.300000000047</v>
      </c>
      <c r="F24" s="45">
        <f t="shared" si="7"/>
        <v>-3.2202509543881354E-2</v>
      </c>
      <c r="G24" s="39">
        <f>SUM(Apr!G24, May!G24, Jun!G24)</f>
        <v>580004.5</v>
      </c>
      <c r="H24" s="46">
        <f>SUM(Apr!H24, May!H24, Jun!H24)</f>
        <v>-43901.5</v>
      </c>
      <c r="I24" s="45">
        <f t="shared" si="8"/>
        <v>-7.5691654116476687E-2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A7" sqref="A7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SUM(C4:C99)</f>
        <v>9139362.7466777414</v>
      </c>
      <c r="D2" s="5">
        <f>SUM(D4:D99)</f>
        <v>9404247.3800000008</v>
      </c>
      <c r="E2" s="5">
        <f>C2-D2</f>
        <v>-264884.63332225941</v>
      </c>
      <c r="F2" s="6">
        <f>IFERROR(E2/D2, 0)</f>
        <v>-2.8166489312647088E-2</v>
      </c>
      <c r="G2" s="5">
        <f>SUM(G4:G99)</f>
        <v>10013736.359999999</v>
      </c>
      <c r="H2" s="7">
        <f>C2-G2</f>
        <v>-874373.613322258</v>
      </c>
      <c r="I2" s="6">
        <f>IFERROR(H2/G2, 0)</f>
        <v>-8.7317418982084935E-2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434975</v>
      </c>
      <c r="D4" s="37">
        <f>SUM(Jul!D4, Aug!D4, Sep!D4)</f>
        <v>564311.60000000009</v>
      </c>
      <c r="E4" s="37">
        <f>IF(AND(ISNUMBER(C4),ISNUMBER(D4)), C4-D4, "")</f>
        <v>-129336.60000000009</v>
      </c>
      <c r="F4" s="38">
        <f>IFERROR(E4/D4, "")</f>
        <v>-0.22919358737265028</v>
      </c>
      <c r="G4" s="39">
        <f>SUM(Jul!G4,Aug!G4,Sep!G4)</f>
        <v>522937.1</v>
      </c>
      <c r="H4" s="39">
        <f>SUM(Jul!H4, Aug!H4, Sep!H4)</f>
        <v>-87962.099999999977</v>
      </c>
      <c r="I4" s="40">
        <f>IFERROR(H4/G4, "")</f>
        <v>-0.1682078016648656</v>
      </c>
    </row>
    <row r="5" spans="1:9" ht="15.75">
      <c r="A5" s="56" t="str">
        <v>Barton Acres</v>
      </c>
      <c r="B5" s="42" t="str">
        <v>MA</v>
      </c>
      <c r="C5" s="43">
        <f>SUM(Jul!C5, Aug!C5, Sep!C5)</f>
        <v>384975</v>
      </c>
      <c r="D5" s="44">
        <f>SUM(Jul!D5, Aug!D5, Sep!D5)</f>
        <v>383157.30000000005</v>
      </c>
      <c r="E5" s="44">
        <f t="shared" ref="E5:E15" si="0">IF(AND(ISNUMBER(C5),ISNUMBER(D5)), C5-D5, "")</f>
        <v>1817.6999999999534</v>
      </c>
      <c r="F5" s="45">
        <f>IFERROR(E5/D5, "")</f>
        <v>4.74400461638067E-3</v>
      </c>
      <c r="G5" s="46">
        <f>SUM(Jul!G5,Aug!G5,Sep!G5)</f>
        <v>391348.5</v>
      </c>
      <c r="H5" s="46">
        <f>SUM(Jul!H5, Aug!H5, Sep!H5)</f>
        <v>-6373.5</v>
      </c>
      <c r="I5" s="45">
        <f>IFERROR(H5/G5, "")</f>
        <v>-1.628599573014845E-2</v>
      </c>
    </row>
    <row r="6" spans="1:9" ht="15.75">
      <c r="A6" s="55" t="str">
        <v>Bowden</v>
      </c>
      <c r="B6" s="35" t="str">
        <v>MA</v>
      </c>
      <c r="C6" s="36">
        <f>SUM(Jul!C6, Aug!C6, Sep!C6)</f>
        <v>759417</v>
      </c>
      <c r="D6" s="37">
        <f>SUM(Jul!D6, Aug!D6, Sep!D6)</f>
        <v>761666.5</v>
      </c>
      <c r="E6" s="37">
        <f t="shared" si="0"/>
        <v>-2249.5</v>
      </c>
      <c r="F6" s="38">
        <f t="shared" ref="F6:F15" si="1">IFERROR(E6/D6, "")</f>
        <v>-2.9533923311580593E-3</v>
      </c>
      <c r="G6" s="39">
        <f>SUM(Jul!G6,Aug!G6,Sep!G6)</f>
        <v>795685.89999999991</v>
      </c>
      <c r="H6" s="39">
        <f>SUM(Jul!H6, Aug!H6, Sep!H6)</f>
        <v>-36268.899999999965</v>
      </c>
      <c r="I6" s="40">
        <f t="shared" ref="I6:I15" si="2">IFERROR(H6/G6, "")</f>
        <v>-4.5581931262072092E-2</v>
      </c>
    </row>
    <row r="7" spans="1:9" ht="15.75">
      <c r="A7" s="56" t="str">
        <v>Blair Wire Village</v>
      </c>
      <c r="B7" s="42" t="str">
        <v>MA</v>
      </c>
      <c r="C7" s="43">
        <f>SUM(Jul!C7, Aug!C7, Sep!C7)</f>
        <v>366070</v>
      </c>
      <c r="D7" s="44">
        <f>SUM(Jul!D7, Aug!D7, Sep!D7)</f>
        <v>380734.8</v>
      </c>
      <c r="E7" s="44">
        <f t="shared" si="0"/>
        <v>-14664.799999999988</v>
      </c>
      <c r="F7" s="45">
        <f t="shared" si="1"/>
        <v>-3.8517099041117303E-2</v>
      </c>
      <c r="G7" s="46">
        <f>SUM(Jul!G7,Aug!G7,Sep!G7)</f>
        <v>399072.9</v>
      </c>
      <c r="H7" s="46">
        <f>SUM(Jul!H7, Aug!H7, Sep!H7)</f>
        <v>-33002.899999999994</v>
      </c>
      <c r="I7" s="45">
        <f t="shared" si="2"/>
        <v>-8.2698925434425627E-2</v>
      </c>
    </row>
    <row r="8" spans="1:9" ht="15.75">
      <c r="A8" s="55" t="str">
        <v>Boutilier</v>
      </c>
      <c r="B8" s="35" t="str">
        <v>MA</v>
      </c>
      <c r="C8" s="36">
        <f>SUM(Jul!C8, Aug!C8, Sep!C8)</f>
        <v>1029120</v>
      </c>
      <c r="D8" s="37">
        <f>SUM(Jul!D8, Aug!D8, Sep!D8)</f>
        <v>992664.6</v>
      </c>
      <c r="E8" s="37">
        <f t="shared" si="0"/>
        <v>36455.400000000023</v>
      </c>
      <c r="F8" s="38">
        <f t="shared" si="1"/>
        <v>3.6724791032137161E-2</v>
      </c>
      <c r="G8" s="39">
        <f>SUM(Jul!G8,Aug!G8,Sep!G8)</f>
        <v>1074295.8999999999</v>
      </c>
      <c r="H8" s="39">
        <f>SUM(Jul!H8, Aug!H8, Sep!H8)</f>
        <v>-45175.899999999965</v>
      </c>
      <c r="I8" s="40">
        <f t="shared" si="2"/>
        <v>-4.2051635866803522E-2</v>
      </c>
    </row>
    <row r="9" spans="1:9" ht="15.75">
      <c r="A9" s="56" t="str">
        <v>Cherry Valley</v>
      </c>
      <c r="B9" s="42" t="str">
        <v>MA</v>
      </c>
      <c r="C9" s="43">
        <f>SUM(Jul!C9, Aug!C9, Sep!C9)</f>
        <v>346268</v>
      </c>
      <c r="D9" s="44">
        <f>SUM(Jul!D9, Aug!D9, Sep!D9)</f>
        <v>365188.6</v>
      </c>
      <c r="E9" s="44">
        <f t="shared" si="0"/>
        <v>-18920.599999999977</v>
      </c>
      <c r="F9" s="45">
        <f t="shared" si="1"/>
        <v>-5.181048915546646E-2</v>
      </c>
      <c r="G9" s="39">
        <f>SUM(Jul!G9,Aug!G9,Sep!G9)</f>
        <v>387526</v>
      </c>
      <c r="H9" s="46">
        <f>SUM(Jul!H9, Aug!H9, Sep!H9)</f>
        <v>-41258</v>
      </c>
      <c r="I9" s="45">
        <f t="shared" si="2"/>
        <v>-0.1064651145987624</v>
      </c>
    </row>
    <row r="10" spans="1:9" ht="15.75">
      <c r="A10" s="55" t="str">
        <v>Cohasse</v>
      </c>
      <c r="B10" s="35" t="str">
        <v>MA</v>
      </c>
      <c r="C10" s="36">
        <f>SUM(Jul!C10, Aug!C10, Sep!C10)</f>
        <v>328109</v>
      </c>
      <c r="D10" s="37">
        <f>SUM(Jul!D10, Aug!D10, Sep!D10)</f>
        <v>329043</v>
      </c>
      <c r="E10" s="37">
        <f t="shared" si="0"/>
        <v>-934</v>
      </c>
      <c r="F10" s="38">
        <f t="shared" si="1"/>
        <v>-2.8385347811684188E-3</v>
      </c>
      <c r="G10" s="39">
        <f>SUM(Jul!G10,Aug!G10,Sep!G10)</f>
        <v>390217.8</v>
      </c>
      <c r="H10" s="39">
        <f>SUM(Jul!H10, Aug!H10, Sep!H10)</f>
        <v>-62108.799999999988</v>
      </c>
      <c r="I10" s="40">
        <f t="shared" si="2"/>
        <v>-0.15916444611188929</v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755580</v>
      </c>
      <c r="D11" s="44">
        <f>SUM(Jul!D11, Aug!D11, Sep!D11)</f>
        <v>732874.2</v>
      </c>
      <c r="E11" s="44">
        <f t="shared" si="0"/>
        <v>22705.800000000047</v>
      </c>
      <c r="F11" s="45">
        <f t="shared" si="1"/>
        <v>3.098185200133945E-2</v>
      </c>
      <c r="G11" s="39">
        <f>SUM(Jul!G11,Aug!G11,Sep!G11)</f>
        <v>771039.2</v>
      </c>
      <c r="H11" s="46">
        <f>SUM(Jul!H11, Aug!H11, Sep!H11)</f>
        <v>-15459.200000000012</v>
      </c>
      <c r="I11" s="45">
        <f t="shared" si="2"/>
        <v>-2.0049823666552898E-2</v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361469</v>
      </c>
      <c r="D12" s="37">
        <f>SUM(Jul!D12, Aug!D12, Sep!D12)</f>
        <v>350153.4</v>
      </c>
      <c r="E12" s="37">
        <f t="shared" si="0"/>
        <v>11315.599999999977</v>
      </c>
      <c r="F12" s="38">
        <f t="shared" si="1"/>
        <v>3.2316122019663315E-2</v>
      </c>
      <c r="G12" s="39">
        <f>SUM(Jul!G12,Aug!G12,Sep!G12)</f>
        <v>401734.5</v>
      </c>
      <c r="H12" s="39">
        <f>SUM(Jul!H12, Aug!H12, Sep!H12)</f>
        <v>-40265.5</v>
      </c>
      <c r="I12" s="40">
        <f t="shared" si="2"/>
        <v>-0.10022913142884168</v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343858</v>
      </c>
      <c r="D13" s="44">
        <f>SUM(Jul!D13, Aug!D13, Sep!D13)</f>
        <v>357599.4</v>
      </c>
      <c r="E13" s="44">
        <f t="shared" si="0"/>
        <v>-13741.400000000023</v>
      </c>
      <c r="F13" s="45">
        <f t="shared" si="1"/>
        <v>-3.8426798255254406E-2</v>
      </c>
      <c r="G13" s="39">
        <f>SUM(Jul!G13,Aug!G13,Sep!G13)</f>
        <v>381997.9</v>
      </c>
      <c r="H13" s="46">
        <f>SUM(Jul!H13, Aug!H13, Sep!H13)</f>
        <v>-38139.899999999994</v>
      </c>
      <c r="I13" s="45">
        <f t="shared" si="2"/>
        <v>-9.9843219033403041E-2</v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341293</v>
      </c>
      <c r="D14" s="37">
        <f>SUM(Jul!D14, Aug!D14, Sep!D14)</f>
        <v>355853</v>
      </c>
      <c r="E14" s="37">
        <f t="shared" si="0"/>
        <v>-14560</v>
      </c>
      <c r="F14" s="38">
        <f t="shared" si="1"/>
        <v>-4.0915771399988199E-2</v>
      </c>
      <c r="G14" s="39">
        <f>SUM(Jul!G14,Aug!G14,Sep!G14)</f>
        <v>387315.7</v>
      </c>
      <c r="H14" s="39">
        <f>SUM(Jul!H14, Aug!H14, Sep!H14)</f>
        <v>-46022.700000000012</v>
      </c>
      <c r="I14" s="40">
        <f t="shared" si="2"/>
        <v>-0.11882477265961594</v>
      </c>
    </row>
    <row r="15" spans="1:9" ht="15.75">
      <c r="A15" s="56" t="str">
        <v>Flint Pond</v>
      </c>
      <c r="B15" s="42" t="str">
        <v>MA</v>
      </c>
      <c r="C15" s="43">
        <f>SUM(Jul!C15, Aug!C15, Sep!C15)</f>
        <v>171772</v>
      </c>
      <c r="D15" s="44">
        <f>SUM(Jul!D15, Aug!D15, Sep!D15)</f>
        <v>141811.82</v>
      </c>
      <c r="E15" s="44">
        <f t="shared" si="0"/>
        <v>29960.179999999993</v>
      </c>
      <c r="F15" s="45">
        <f t="shared" si="1"/>
        <v>0.2112671567151454</v>
      </c>
      <c r="G15" s="39">
        <f>SUM(Jul!G15,Aug!G15,Sep!G15)</f>
        <v>183129.09000000003</v>
      </c>
      <c r="H15" s="46">
        <f>SUM(Jul!H15, Aug!H15, Sep!H15)</f>
        <v>-11357.090000000011</v>
      </c>
      <c r="I15" s="45">
        <f t="shared" si="2"/>
        <v>-6.2016853794227937E-2</v>
      </c>
    </row>
    <row r="16" spans="1:9" ht="15.75">
      <c r="A16" s="55" t="str">
        <v>Incom</v>
      </c>
      <c r="B16" s="35" t="str">
        <v>MA</v>
      </c>
      <c r="C16" s="36">
        <f>SUM(Jul!C16, Aug!C16, Sep!C16)</f>
        <v>768693</v>
      </c>
      <c r="D16" s="37">
        <f>SUM(Jul!D16, Aug!D16, Sep!D16)</f>
        <v>826745</v>
      </c>
      <c r="E16" s="37">
        <f t="shared" ref="E16:E19" si="3">IF(AND(ISNUMBER(C16),ISNUMBER(D16)), C16-D16, "")</f>
        <v>-58052</v>
      </c>
      <c r="F16" s="38">
        <f t="shared" ref="F16:F19" si="4">IFERROR(E16/D16, "")</f>
        <v>-7.021753987021391E-2</v>
      </c>
      <c r="G16" s="39">
        <f>SUM(Jul!G16,Aug!G16,Sep!G16)</f>
        <v>800361.39999999991</v>
      </c>
      <c r="H16" s="39">
        <f>SUM(Jul!H16, Aug!H16, Sep!H16)</f>
        <v>-31668.399999999965</v>
      </c>
      <c r="I16" s="40">
        <f t="shared" ref="I16:I19" si="5">IFERROR(H16/G16, "")</f>
        <v>-3.9567625325259273E-2</v>
      </c>
    </row>
    <row r="17" spans="1:9" ht="15.75">
      <c r="A17" s="56" t="str">
        <v>JH</v>
      </c>
      <c r="B17" s="42" t="str">
        <v>MA</v>
      </c>
      <c r="C17" s="43">
        <f>SUM(Jul!C17, Aug!C17, Sep!C17)</f>
        <v>339842</v>
      </c>
      <c r="D17" s="44">
        <f>SUM(Jul!D17, Aug!D17, Sep!D17)</f>
        <v>351402.9</v>
      </c>
      <c r="E17" s="44">
        <f t="shared" si="3"/>
        <v>-11560.900000000023</v>
      </c>
      <c r="F17" s="45">
        <f t="shared" si="4"/>
        <v>-3.2899273170483287E-2</v>
      </c>
      <c r="G17" s="39">
        <f>SUM(Jul!G17,Aug!G17,Sep!G17)</f>
        <v>385716</v>
      </c>
      <c r="H17" s="46">
        <f>SUM(Jul!H17, Aug!H17, Sep!H17)</f>
        <v>-45874</v>
      </c>
      <c r="I17" s="45">
        <f t="shared" si="5"/>
        <v>-0.11893206400564145</v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312625</v>
      </c>
      <c r="D18" s="37">
        <f>SUM(Jul!D18, Aug!D18, Sep!D18)</f>
        <v>342498.1</v>
      </c>
      <c r="E18" s="37">
        <f t="shared" si="3"/>
        <v>-29873.099999999977</v>
      </c>
      <c r="F18" s="38">
        <f t="shared" si="4"/>
        <v>-8.7221213781915802E-2</v>
      </c>
      <c r="G18" s="39">
        <f>SUM(Jul!G18,Aug!G18,Sep!G18)</f>
        <v>378134.80000000005</v>
      </c>
      <c r="H18" s="39">
        <f>SUM(Jul!H18, Aug!H18, Sep!H18)</f>
        <v>-65509.800000000017</v>
      </c>
      <c r="I18" s="40">
        <f t="shared" si="5"/>
        <v>-0.1732445678102095</v>
      </c>
    </row>
    <row r="19" spans="1:9" ht="15.75">
      <c r="A19" s="56" t="str">
        <v>Palombo A</v>
      </c>
      <c r="B19" s="41" t="str">
        <v>MA</v>
      </c>
      <c r="C19" s="43">
        <f>SUM(Jul!C19, Aug!C19, Sep!C19)</f>
        <v>711374.99667774094</v>
      </c>
      <c r="D19" s="44">
        <f>SUM(Jul!D19, Aug!D19, Sep!D19)</f>
        <v>729759.1</v>
      </c>
      <c r="E19" s="44">
        <f t="shared" si="3"/>
        <v>-18384.103322259034</v>
      </c>
      <c r="F19" s="45">
        <f t="shared" si="4"/>
        <v>-2.519201654663715E-2</v>
      </c>
      <c r="G19" s="39">
        <f>SUM(Jul!G19,Aug!G19,Sep!G19)</f>
        <v>801720</v>
      </c>
      <c r="H19" s="46">
        <f>SUM(Jul!H19, Aug!H19, Sep!H19)</f>
        <v>-90345.003322258999</v>
      </c>
      <c r="I19" s="45">
        <f t="shared" si="5"/>
        <v>-0.11268897286117223</v>
      </c>
    </row>
    <row r="20" spans="1:9" ht="15.75">
      <c r="A20" s="55" t="str">
        <v>Palombo B</v>
      </c>
      <c r="B20" s="34" t="str">
        <v>MA</v>
      </c>
      <c r="C20" s="36">
        <f>SUM(Jul!C20, Aug!C20, Sep!C20)</f>
        <v>357155</v>
      </c>
      <c r="D20" s="37">
        <f>SUM(Jul!D20, Aug!D20, Sep!D20)</f>
        <v>315594.8</v>
      </c>
      <c r="E20" s="37">
        <f t="shared" ref="E20:E24" si="6">IF(AND(ISNUMBER(C20),ISNUMBER(D20)), C20-D20, "")</f>
        <v>41560.200000000012</v>
      </c>
      <c r="F20" s="38">
        <f t="shared" ref="F20:F24" si="7">IFERROR(E20/D20, "")</f>
        <v>0.13168848155926527</v>
      </c>
      <c r="G20" s="39">
        <f>SUM(Jul!G20,Aug!G20,Sep!G20)</f>
        <v>407300.2</v>
      </c>
      <c r="H20" s="39">
        <f>SUM(Jul!H20, Aug!H20, Sep!H20)</f>
        <v>-50145.200000000012</v>
      </c>
      <c r="I20" s="40">
        <f t="shared" ref="I20:I24" si="8">IFERROR(H20/G20, "")</f>
        <v>-0.12311607016151725</v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326074</v>
      </c>
      <c r="D21" s="44">
        <f>SUM(Jul!D21, Aug!D21, Sep!D21)</f>
        <v>387541.6</v>
      </c>
      <c r="E21" s="44">
        <f t="shared" si="6"/>
        <v>-61467.599999999977</v>
      </c>
      <c r="F21" s="45">
        <f t="shared" si="7"/>
        <v>-0.1586090370685366</v>
      </c>
      <c r="G21" s="39">
        <f>SUM(Jul!G21,Aug!G21,Sep!G21)</f>
        <v>382289.2</v>
      </c>
      <c r="H21" s="46">
        <f>SUM(Jul!H21, Aug!H21, Sep!H21)</f>
        <v>-56215.200000000012</v>
      </c>
      <c r="I21" s="45">
        <f t="shared" si="8"/>
        <v>-0.1470488834107791</v>
      </c>
    </row>
    <row r="22" spans="1:9" ht="15.75">
      <c r="A22" s="55" t="str">
        <v>Sunset A</v>
      </c>
      <c r="B22" s="34" t="str">
        <v>MA</v>
      </c>
      <c r="C22" s="36">
        <f>SUM(Jul!C22, Aug!C22, Sep!C22)</f>
        <v>176518.5</v>
      </c>
      <c r="D22" s="37">
        <f>SUM(Jul!D22, Aug!D22, Sep!D22)</f>
        <v>189209.5</v>
      </c>
      <c r="E22" s="37">
        <f t="shared" si="6"/>
        <v>-12691</v>
      </c>
      <c r="F22" s="38">
        <f t="shared" si="7"/>
        <v>-6.7073799148562832E-2</v>
      </c>
      <c r="G22" s="39">
        <f>SUM(Jul!G22,Aug!G22,Sep!G22)</f>
        <v>184252.53</v>
      </c>
      <c r="H22" s="39">
        <f>SUM(Jul!H22, Aug!H22, Sep!H22)</f>
        <v>-7734.0299999999988</v>
      </c>
      <c r="I22" s="40">
        <f t="shared" si="8"/>
        <v>-4.1975163109022162E-2</v>
      </c>
    </row>
    <row r="23" spans="1:9" ht="15.75">
      <c r="A23" s="56" t="str">
        <v>Sunset B</v>
      </c>
      <c r="B23" s="41" t="str">
        <v>MA</v>
      </c>
      <c r="C23" s="43">
        <f>SUM(Jul!C23, Aug!C23, Sep!C23)</f>
        <v>167206.25</v>
      </c>
      <c r="D23" s="44">
        <f>SUM(Jul!D23, Aug!D23, Sep!D23)</f>
        <v>173600.66</v>
      </c>
      <c r="E23" s="44">
        <f t="shared" si="6"/>
        <v>-6394.4100000000035</v>
      </c>
      <c r="F23" s="45">
        <f t="shared" si="7"/>
        <v>-3.6834018949006321E-2</v>
      </c>
      <c r="G23" s="39">
        <f>SUM(Jul!G23,Aug!G23,Sep!G23)</f>
        <v>182038.94</v>
      </c>
      <c r="H23" s="46">
        <f>SUM(Jul!H23, Aug!H23, Sep!H23)</f>
        <v>-14832.690000000002</v>
      </c>
      <c r="I23" s="45">
        <f t="shared" si="8"/>
        <v>-8.1480863380109778E-2</v>
      </c>
    </row>
    <row r="24" spans="1:9" ht="15.75">
      <c r="A24" s="55" t="str">
        <v>Woodchuck</v>
      </c>
      <c r="B24" s="34" t="str">
        <v>MA</v>
      </c>
      <c r="C24" s="36">
        <f>SUM(Jul!C24, Aug!C24, Sep!C24)</f>
        <v>356968</v>
      </c>
      <c r="D24" s="37">
        <f>SUM(Jul!D24, Aug!D24, Sep!D24)</f>
        <v>372837.5</v>
      </c>
      <c r="E24" s="37">
        <f t="shared" si="6"/>
        <v>-15869.5</v>
      </c>
      <c r="F24" s="38">
        <f t="shared" si="7"/>
        <v>-4.2564119757266906E-2</v>
      </c>
      <c r="G24" s="39">
        <f>SUM(Jul!G24,Aug!G24,Sep!G24)</f>
        <v>405622.80000000005</v>
      </c>
      <c r="H24" s="39">
        <f>SUM(Jul!H24, Aug!H24, Sep!H24)</f>
        <v>-48654.800000000017</v>
      </c>
      <c r="I24" s="40">
        <f t="shared" si="8"/>
        <v>-0.11995085088905262</v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2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2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2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2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G16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5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76" t="str" cm="1">
        <f t="array" ref="A1">portfolio</f>
        <v>38 DN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5">
      <c r="A2" s="78" t="s">
        <v>2</v>
      </c>
      <c r="B2" s="78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75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75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75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75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42.75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75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5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75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75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75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75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75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75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75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75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75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75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75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75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75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2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G16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40</v>
      </c>
      <c r="E1" s="77"/>
      <c r="F1" s="77"/>
      <c r="G1" s="75" t="s">
        <v>41</v>
      </c>
      <c r="H1" s="75"/>
      <c r="I1" s="75"/>
      <c r="J1" s="60"/>
      <c r="K1" s="60"/>
    </row>
    <row r="2" spans="1:11" ht="19.5" customHeight="1">
      <c r="A2" s="78" t="s">
        <v>2</v>
      </c>
      <c r="B2" s="78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2.7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5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75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75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2.7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75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2.7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4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75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75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75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75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75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75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75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75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5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="70" zoomScaleNormal="70" workbookViewId="0">
      <pane xSplit="2" ySplit="3" topLeftCell="F4" activePane="bottomRight" state="frozen"/>
      <selection pane="bottomRight" activeCell="J35" sqref="J35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66</v>
      </c>
      <c r="E1" s="77"/>
      <c r="F1" s="77"/>
      <c r="G1" s="75" t="s">
        <v>67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85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75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5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5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5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75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75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2.7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57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5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75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75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75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75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75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75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75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75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5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5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5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2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2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2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="110" zoomScaleNormal="90" zoomScaleSheetLayoutView="110" workbookViewId="0">
      <pane xSplit="2" ySplit="3" topLeftCell="J12" activePane="bottomRight" state="frozen"/>
      <selection pane="bottomRight" activeCell="K27" sqref="K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104</v>
      </c>
      <c r="E1" s="77"/>
      <c r="F1" s="77"/>
      <c r="G1" s="75" t="s">
        <v>105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75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2.7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75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75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57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75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75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2.7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2.7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75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="60" zoomScaleNormal="60" workbookViewId="0">
      <pane xSplit="2" ySplit="3" topLeftCell="C4" activePane="bottomRight" state="frozen"/>
      <selection pane="bottomRight" activeCell="J26" sqref="J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4651336.2108132513</v>
      </c>
      <c r="D2" s="5">
        <f>SUM(D4:D99)</f>
        <v>4676991.95</v>
      </c>
      <c r="E2" s="5">
        <f>C2-D2</f>
        <v>-25655.739186748862</v>
      </c>
      <c r="F2" s="6">
        <f>IFERROR(E2/D2, 0)</f>
        <v>-5.485521348128226E-3</v>
      </c>
      <c r="G2" s="5">
        <f>SUM(G4:G99)</f>
        <v>4984299.7699999996</v>
      </c>
      <c r="H2" s="7">
        <f>C2-G2</f>
        <v>-332963.55918674823</v>
      </c>
      <c r="I2" s="6">
        <f>IFERROR(H2/G2, 0)</f>
        <v>-6.6802474680761073E-2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28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223100</v>
      </c>
      <c r="D4" s="37">
        <v>257891.6</v>
      </c>
      <c r="E4" s="37">
        <f>IF(AND(ISNUMBER(C4),ISNUMBER(D4)), C4-D4, "")</f>
        <v>-34791.600000000006</v>
      </c>
      <c r="F4" s="38">
        <f>IFERROR(E4/D4, "")</f>
        <v>-0.13490784500154329</v>
      </c>
      <c r="G4" s="39">
        <v>260430.1</v>
      </c>
      <c r="H4" s="39">
        <f>IF(AND(ISNUMBER(C4),ISNUMBER(G4)), C4-G4, "")</f>
        <v>-37330.100000000006</v>
      </c>
      <c r="I4" s="40">
        <f>IFERROR(H4/G4, "")</f>
        <v>-0.14334018993964218</v>
      </c>
      <c r="J4" s="57" t="s">
        <v>117</v>
      </c>
      <c r="K4" s="57" t="s">
        <v>118</v>
      </c>
    </row>
    <row r="5" spans="1:11" ht="15.75">
      <c r="A5" s="49" t="str">
        <v>Barton Acres</v>
      </c>
      <c r="B5" s="50" t="str">
        <v>MA</v>
      </c>
      <c r="C5" s="43">
        <v>187417.717413548</v>
      </c>
      <c r="D5" s="44">
        <v>184693</v>
      </c>
      <c r="E5" s="44">
        <f t="shared" ref="E5:E24" si="0">IF(AND(ISNUMBER(C5),ISNUMBER(D5)), C5-D5, "")</f>
        <v>2724.7174135480018</v>
      </c>
      <c r="F5" s="45">
        <f>IFERROR(E5/D5, "")</f>
        <v>1.4752683715939434E-2</v>
      </c>
      <c r="G5" s="46">
        <v>197279.1</v>
      </c>
      <c r="H5" s="46">
        <f t="shared" ref="H5:H24" si="1">IF(AND(ISNUMBER(C5),ISNUMBER(G5)), C5-G5, "")</f>
        <v>-9861.382586452004</v>
      </c>
      <c r="I5" s="45">
        <f t="shared" ref="I5:I24" si="2">IFERROR(H5/G5, "")</f>
        <v>-4.9986960536884055E-2</v>
      </c>
      <c r="J5" s="58" t="s">
        <v>119</v>
      </c>
      <c r="K5" s="58" t="s">
        <v>120</v>
      </c>
    </row>
    <row r="6" spans="1:11" ht="15.75">
      <c r="A6" s="51" t="str">
        <v>Bowden</v>
      </c>
      <c r="B6" s="48" t="str">
        <v>MA</v>
      </c>
      <c r="C6" s="36">
        <v>383942</v>
      </c>
      <c r="D6" s="37">
        <v>382128.5</v>
      </c>
      <c r="E6" s="37">
        <f t="shared" si="0"/>
        <v>1813.5</v>
      </c>
      <c r="F6" s="38">
        <f t="shared" ref="F6:F24" si="3">IFERROR(E6/D6, "")</f>
        <v>4.745785776250659E-3</v>
      </c>
      <c r="G6" s="39">
        <v>385038.1</v>
      </c>
      <c r="H6" s="39">
        <f t="shared" si="1"/>
        <v>-1096.0999999999767</v>
      </c>
      <c r="I6" s="40">
        <f t="shared" si="2"/>
        <v>-2.8467312715286532E-3</v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>
        <v>169654</v>
      </c>
      <c r="D7" s="44">
        <v>193455.4</v>
      </c>
      <c r="E7" s="44">
        <f t="shared" si="0"/>
        <v>-23801.399999999994</v>
      </c>
      <c r="F7" s="45">
        <f t="shared" si="3"/>
        <v>-0.12303300915870012</v>
      </c>
      <c r="G7" s="46">
        <v>193182.1</v>
      </c>
      <c r="H7" s="46">
        <f t="shared" si="1"/>
        <v>-23528.100000000006</v>
      </c>
      <c r="I7" s="45">
        <f t="shared" si="2"/>
        <v>-0.12179233997352759</v>
      </c>
      <c r="J7" s="70" t="s">
        <v>121</v>
      </c>
      <c r="K7" s="70" t="s">
        <v>122</v>
      </c>
    </row>
    <row r="8" spans="1:11" ht="15.75">
      <c r="A8" s="51" t="str">
        <v>Boutilier</v>
      </c>
      <c r="B8" s="48" t="str">
        <v>MA</v>
      </c>
      <c r="C8" s="36">
        <v>501700</v>
      </c>
      <c r="D8" s="37">
        <v>487837.1</v>
      </c>
      <c r="E8" s="37">
        <f t="shared" si="0"/>
        <v>13862.900000000023</v>
      </c>
      <c r="F8" s="38">
        <f t="shared" si="3"/>
        <v>2.8417067910579217E-2</v>
      </c>
      <c r="G8" s="39">
        <v>541550.9</v>
      </c>
      <c r="H8" s="39">
        <f t="shared" si="1"/>
        <v>-39850.900000000023</v>
      </c>
      <c r="I8" s="40">
        <f t="shared" si="2"/>
        <v>-7.3586619466425085E-2</v>
      </c>
      <c r="J8" s="57" t="s">
        <v>123</v>
      </c>
      <c r="K8" s="57" t="s">
        <v>124</v>
      </c>
    </row>
    <row r="9" spans="1:11" ht="15.75">
      <c r="A9" s="49" t="str">
        <v>Cherry Valley</v>
      </c>
      <c r="B9" s="50" t="str">
        <v>MA</v>
      </c>
      <c r="C9" s="43">
        <v>176376</v>
      </c>
      <c r="D9" s="44">
        <v>184033</v>
      </c>
      <c r="E9" s="44">
        <f t="shared" si="0"/>
        <v>-7657</v>
      </c>
      <c r="F9" s="45">
        <f t="shared" si="3"/>
        <v>-4.1606668369259858E-2</v>
      </c>
      <c r="G9" s="46">
        <v>194395</v>
      </c>
      <c r="H9" s="46">
        <f t="shared" si="1"/>
        <v>-18019</v>
      </c>
      <c r="I9" s="45">
        <f t="shared" si="2"/>
        <v>-9.2692713289950879E-2</v>
      </c>
      <c r="J9" s="58"/>
      <c r="K9" s="58"/>
    </row>
    <row r="10" spans="1:11" ht="15.75">
      <c r="A10" s="51" t="str">
        <v>Cohasse</v>
      </c>
      <c r="B10" s="48" t="str">
        <v>MA</v>
      </c>
      <c r="C10" s="36">
        <v>169138</v>
      </c>
      <c r="D10" s="37">
        <v>164177.1</v>
      </c>
      <c r="E10" s="37">
        <f t="shared" si="0"/>
        <v>4960.8999999999942</v>
      </c>
      <c r="F10" s="38">
        <f t="shared" si="3"/>
        <v>3.0216759828258593E-2</v>
      </c>
      <c r="G10" s="39">
        <v>193723.8</v>
      </c>
      <c r="H10" s="39">
        <f t="shared" si="1"/>
        <v>-24585.799999999988</v>
      </c>
      <c r="I10" s="40">
        <f t="shared" si="2"/>
        <v>-0.12691161333816489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375589</v>
      </c>
      <c r="D11" s="44">
        <v>358722.2</v>
      </c>
      <c r="E11" s="44">
        <f t="shared" si="0"/>
        <v>16866.799999999988</v>
      </c>
      <c r="F11" s="45">
        <f t="shared" si="3"/>
        <v>4.7019113955032582E-2</v>
      </c>
      <c r="G11" s="46">
        <v>396437.7</v>
      </c>
      <c r="H11" s="46">
        <f t="shared" si="1"/>
        <v>-20848.700000000012</v>
      </c>
      <c r="I11" s="45">
        <f t="shared" si="2"/>
        <v>-5.2590104321561776E-2</v>
      </c>
      <c r="J11" s="58"/>
      <c r="K11" s="58"/>
    </row>
    <row r="12" spans="1:11" ht="15.75">
      <c r="A12" s="51" t="str">
        <v>Dudley River 1</v>
      </c>
      <c r="B12" s="48" t="str">
        <v>MA</v>
      </c>
      <c r="C12" s="36">
        <v>183734</v>
      </c>
      <c r="D12" s="37">
        <v>185905</v>
      </c>
      <c r="E12" s="37">
        <f t="shared" si="0"/>
        <v>-2171</v>
      </c>
      <c r="F12" s="38">
        <f t="shared" si="3"/>
        <v>-1.1678007584518976E-2</v>
      </c>
      <c r="G12" s="39">
        <v>194566</v>
      </c>
      <c r="H12" s="39">
        <f t="shared" si="1"/>
        <v>-10832</v>
      </c>
      <c r="I12" s="40">
        <f t="shared" si="2"/>
        <v>-5.5672625227429252E-2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177414</v>
      </c>
      <c r="D13" s="44">
        <v>182193.7</v>
      </c>
      <c r="E13" s="44">
        <f t="shared" si="0"/>
        <v>-4779.7000000000116</v>
      </c>
      <c r="F13" s="45">
        <f t="shared" si="3"/>
        <v>-2.6234167262644159E-2</v>
      </c>
      <c r="G13" s="46">
        <v>185537.3</v>
      </c>
      <c r="H13" s="46">
        <f t="shared" si="1"/>
        <v>-8123.2999999999884</v>
      </c>
      <c r="I13" s="45">
        <f t="shared" si="2"/>
        <v>-4.3782570943955684E-2</v>
      </c>
      <c r="J13" s="58"/>
      <c r="K13" s="58"/>
    </row>
    <row r="14" spans="1:11" ht="15.75">
      <c r="A14" s="51" t="str">
        <v>Dudley River 3</v>
      </c>
      <c r="B14" s="48" t="str">
        <v>MA</v>
      </c>
      <c r="C14" s="36">
        <v>182698.99667774001</v>
      </c>
      <c r="D14" s="37">
        <v>181487.7</v>
      </c>
      <c r="E14" s="37">
        <f t="shared" si="0"/>
        <v>1211.2966777399997</v>
      </c>
      <c r="F14" s="38">
        <f t="shared" si="3"/>
        <v>6.6742632020792576E-3</v>
      </c>
      <c r="G14" s="39">
        <v>188053.7</v>
      </c>
      <c r="H14" s="39">
        <f t="shared" si="1"/>
        <v>-5354.7033222600003</v>
      </c>
      <c r="I14" s="40">
        <f t="shared" si="2"/>
        <v>-2.8474331120632031E-2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86225</v>
      </c>
      <c r="D15" s="44">
        <v>71405.17</v>
      </c>
      <c r="E15" s="44">
        <f t="shared" si="0"/>
        <v>14819.830000000002</v>
      </c>
      <c r="F15" s="45">
        <f t="shared" si="3"/>
        <v>0.20754561609474498</v>
      </c>
      <c r="G15" s="46">
        <v>93130.7</v>
      </c>
      <c r="H15" s="46">
        <f t="shared" si="1"/>
        <v>-6905.6999999999971</v>
      </c>
      <c r="I15" s="45">
        <f t="shared" si="2"/>
        <v>-7.4150629169543417E-2</v>
      </c>
      <c r="J15" s="58"/>
      <c r="K15" s="58"/>
    </row>
    <row r="16" spans="1:11" ht="15.75">
      <c r="A16" s="51" t="str">
        <v>Incom</v>
      </c>
      <c r="B16" s="48" t="str">
        <v>MA</v>
      </c>
      <c r="C16" s="36">
        <v>408907</v>
      </c>
      <c r="D16" s="37">
        <v>424321.8</v>
      </c>
      <c r="E16" s="37">
        <f t="shared" si="0"/>
        <v>-15414.799999999988</v>
      </c>
      <c r="F16" s="38">
        <f t="shared" si="3"/>
        <v>-3.6328088728884517E-2</v>
      </c>
      <c r="G16" s="39">
        <v>396541.4</v>
      </c>
      <c r="H16" s="39">
        <f t="shared" si="1"/>
        <v>12365.599999999977</v>
      </c>
      <c r="I16" s="40">
        <f t="shared" si="2"/>
        <v>3.1183629250312768E-2</v>
      </c>
      <c r="J16" s="57" t="s">
        <v>125</v>
      </c>
      <c r="K16" s="57" t="s">
        <v>126</v>
      </c>
    </row>
    <row r="17" spans="1:11" ht="15.75">
      <c r="A17" s="49" t="str">
        <v>JH</v>
      </c>
      <c r="B17" s="50" t="str">
        <v>MA</v>
      </c>
      <c r="C17" s="43">
        <v>178088</v>
      </c>
      <c r="D17" s="44">
        <v>178513.9</v>
      </c>
      <c r="E17" s="44">
        <f t="shared" si="0"/>
        <v>-425.89999999999418</v>
      </c>
      <c r="F17" s="45">
        <f t="shared" si="3"/>
        <v>-2.3858086121024422E-3</v>
      </c>
      <c r="G17" s="46">
        <v>192698.1</v>
      </c>
      <c r="H17" s="46">
        <f t="shared" si="1"/>
        <v>-14610.100000000006</v>
      </c>
      <c r="I17" s="45">
        <f t="shared" si="2"/>
        <v>-7.5818599145502763E-2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166603</v>
      </c>
      <c r="D18" s="37">
        <v>174417.9</v>
      </c>
      <c r="E18" s="37">
        <f t="shared" si="0"/>
        <v>-7814.8999999999942</v>
      </c>
      <c r="F18" s="38">
        <f t="shared" si="3"/>
        <v>-4.480560768132167E-2</v>
      </c>
      <c r="G18" s="39">
        <v>189198.9</v>
      </c>
      <c r="H18" s="39">
        <f t="shared" si="1"/>
        <v>-22595.899999999994</v>
      </c>
      <c r="I18" s="40">
        <f t="shared" si="2"/>
        <v>-0.11942934129109628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363753.99337748101</v>
      </c>
      <c r="D19" s="44">
        <v>357461.3</v>
      </c>
      <c r="E19" s="44">
        <f t="shared" si="0"/>
        <v>6292.6933774810168</v>
      </c>
      <c r="F19" s="45">
        <f t="shared" si="3"/>
        <v>1.7603845164444423E-2</v>
      </c>
      <c r="G19" s="46">
        <v>398271</v>
      </c>
      <c r="H19" s="46">
        <f t="shared" si="1"/>
        <v>-34517.006622518995</v>
      </c>
      <c r="I19" s="45">
        <f t="shared" si="2"/>
        <v>-8.666713524840873E-2</v>
      </c>
      <c r="J19" s="58" t="s">
        <v>127</v>
      </c>
      <c r="K19" s="58" t="s">
        <v>128</v>
      </c>
    </row>
    <row r="20" spans="1:11" ht="15.75">
      <c r="A20" s="51" t="str">
        <v>Palombo B</v>
      </c>
      <c r="B20" s="48" t="str">
        <v>MA</v>
      </c>
      <c r="C20" s="36">
        <v>183170</v>
      </c>
      <c r="D20" s="37">
        <v>154569.70000000001</v>
      </c>
      <c r="E20" s="37">
        <f t="shared" si="0"/>
        <v>28600.299999999988</v>
      </c>
      <c r="F20" s="38">
        <f t="shared" si="3"/>
        <v>0.18503173649169266</v>
      </c>
      <c r="G20" s="39">
        <v>205328.2</v>
      </c>
      <c r="H20" s="39">
        <f t="shared" si="1"/>
        <v>-22158.200000000012</v>
      </c>
      <c r="I20" s="40">
        <f t="shared" si="2"/>
        <v>-0.10791600958855145</v>
      </c>
      <c r="J20" s="57" t="s">
        <v>127</v>
      </c>
      <c r="K20" s="57" t="s">
        <v>129</v>
      </c>
    </row>
    <row r="21" spans="1:11" ht="15.75">
      <c r="A21" s="49" t="str">
        <v>St Josephs Church</v>
      </c>
      <c r="B21" s="50" t="str">
        <v>MA</v>
      </c>
      <c r="C21" s="43">
        <v>182002.00334448199</v>
      </c>
      <c r="D21" s="44">
        <v>191312.6</v>
      </c>
      <c r="E21" s="44">
        <f t="shared" si="0"/>
        <v>-9310.5966555180203</v>
      </c>
      <c r="F21" s="45">
        <f t="shared" si="3"/>
        <v>-4.8666928657694369E-2</v>
      </c>
      <c r="G21" s="46">
        <v>191319.1</v>
      </c>
      <c r="H21" s="46">
        <f t="shared" si="1"/>
        <v>-9317.0966555180203</v>
      </c>
      <c r="I21" s="45">
        <f t="shared" si="2"/>
        <v>-4.8699249868507745E-2</v>
      </c>
      <c r="J21" s="58" t="s">
        <v>130</v>
      </c>
      <c r="K21" s="58" t="s">
        <v>131</v>
      </c>
    </row>
    <row r="22" spans="1:11" ht="15.75">
      <c r="A22" s="51" t="str">
        <v>Sunset A</v>
      </c>
      <c r="B22" s="48" t="str">
        <v>MA</v>
      </c>
      <c r="C22" s="36">
        <v>85967.5</v>
      </c>
      <c r="D22" s="37">
        <v>89017.66</v>
      </c>
      <c r="E22" s="37">
        <f t="shared" si="0"/>
        <v>-3050.1600000000035</v>
      </c>
      <c r="F22" s="38">
        <f t="shared" si="3"/>
        <v>-3.426466164129683E-2</v>
      </c>
      <c r="G22" s="39">
        <v>92881.88</v>
      </c>
      <c r="H22" s="39">
        <f t="shared" si="1"/>
        <v>-6914.3800000000047</v>
      </c>
      <c r="I22" s="40">
        <f t="shared" si="2"/>
        <v>-7.444272230493186E-2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81647</v>
      </c>
      <c r="D23" s="44">
        <v>84768.12</v>
      </c>
      <c r="E23" s="44">
        <f t="shared" si="0"/>
        <v>-3121.1199999999953</v>
      </c>
      <c r="F23" s="45">
        <f t="shared" si="3"/>
        <v>-3.6819502426147892E-2</v>
      </c>
      <c r="G23" s="46">
        <v>91766.09</v>
      </c>
      <c r="H23" s="46">
        <f t="shared" si="1"/>
        <v>-10119.089999999997</v>
      </c>
      <c r="I23" s="45">
        <f t="shared" si="2"/>
        <v>-0.1102704713691081</v>
      </c>
      <c r="J23" s="58"/>
      <c r="K23" s="58"/>
    </row>
    <row r="24" spans="1:11" ht="15.75">
      <c r="A24" s="51" t="str">
        <v>Woodchuck</v>
      </c>
      <c r="B24" s="48" t="str">
        <v>MA</v>
      </c>
      <c r="C24" s="36">
        <v>184209</v>
      </c>
      <c r="D24" s="37">
        <v>188679.5</v>
      </c>
      <c r="E24" s="37">
        <f t="shared" si="0"/>
        <v>-4470.5</v>
      </c>
      <c r="F24" s="38">
        <f t="shared" si="3"/>
        <v>-2.3693618013615681E-2</v>
      </c>
      <c r="G24" s="39">
        <v>202970.6</v>
      </c>
      <c r="H24" s="39">
        <f t="shared" si="1"/>
        <v>-18761.600000000006</v>
      </c>
      <c r="I24" s="40">
        <f t="shared" si="2"/>
        <v>-9.2435062023761103E-2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60" zoomScaleNormal="60" workbookViewId="0">
      <pane xSplit="2" ySplit="3" topLeftCell="C6" activePane="bottomRight" state="frozen"/>
      <selection pane="bottomRight" activeCell="J27" sqref="J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6" t="str" cm="1">
        <f t="array" ref="A1">portfolio</f>
        <v>38 DN</v>
      </c>
      <c r="B1" s="76"/>
      <c r="C1" s="76"/>
      <c r="D1" s="77" t="s">
        <v>132</v>
      </c>
      <c r="E1" s="77"/>
      <c r="F1" s="77"/>
      <c r="G1" s="75" t="s">
        <v>133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SUM(C4:C99)</f>
        <v>5038083.0325642293</v>
      </c>
      <c r="D2" s="5">
        <f>SUM(D4:D99)</f>
        <v>5133216.4200000009</v>
      </c>
      <c r="E2" s="5">
        <f>C2-D2</f>
        <v>-95133.387435771525</v>
      </c>
      <c r="F2" s="6">
        <f>IFERROR(E2/D2, 0)</f>
        <v>-1.8532900164721967E-2</v>
      </c>
      <c r="G2" s="5">
        <f>SUM(G4:G99)</f>
        <v>5000154.5199999996</v>
      </c>
      <c r="H2" s="7">
        <f>C2-G2</f>
        <v>37928.512564229779</v>
      </c>
      <c r="I2" s="6">
        <f>IFERROR(H2/G2, 0)</f>
        <v>7.5854680915400556E-3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42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225023</v>
      </c>
      <c r="D4" s="37">
        <v>294597</v>
      </c>
      <c r="E4" s="37">
        <f>IF(AND(ISNUMBER(C4),ISNUMBER(D4)), C4-D4, "")</f>
        <v>-69574</v>
      </c>
      <c r="F4" s="38">
        <f>IFERROR(E4/D4, "")</f>
        <v>-0.23616669551964209</v>
      </c>
      <c r="G4" s="39">
        <v>245630.1</v>
      </c>
      <c r="H4" s="39">
        <f>IF(AND(ISNUMBER(C4),ISNUMBER(G4)), C4-G4, "")</f>
        <v>-20607.100000000006</v>
      </c>
      <c r="I4" s="40">
        <f>IFERROR(H4/G4, "")</f>
        <v>-8.3894848391951979E-2</v>
      </c>
      <c r="J4" s="57" t="s">
        <v>134</v>
      </c>
      <c r="K4" s="57" t="s">
        <v>135</v>
      </c>
    </row>
    <row r="5" spans="1:13" ht="57">
      <c r="A5" s="49" t="str">
        <v>Barton Acres</v>
      </c>
      <c r="B5" s="50" t="str">
        <v>MA</v>
      </c>
      <c r="C5" s="43">
        <v>203632.282586452</v>
      </c>
      <c r="D5" s="44">
        <v>194911.7</v>
      </c>
      <c r="E5" s="44">
        <f t="shared" ref="E5:E17" si="0">IF(AND(ISNUMBER(C5),ISNUMBER(D5)), C5-D5, "")</f>
        <v>8720.5825864519866</v>
      </c>
      <c r="F5" s="45">
        <f>IFERROR(E5/D5, "")</f>
        <v>4.4741196072129001E-2</v>
      </c>
      <c r="G5" s="46">
        <v>199842.9</v>
      </c>
      <c r="H5" s="46">
        <f t="shared" ref="H5:H17" si="1">IF(AND(ISNUMBER(C5),ISNUMBER(G5)), C5-G5, "")</f>
        <v>3789.382586452004</v>
      </c>
      <c r="I5" s="45">
        <f t="shared" ref="I5:I17" si="2">IFERROR(H5/G5, "")</f>
        <v>1.8961807431997855E-2</v>
      </c>
      <c r="J5" s="58" t="s">
        <v>136</v>
      </c>
      <c r="K5" s="58" t="s">
        <v>137</v>
      </c>
    </row>
    <row r="6" spans="1:13" ht="42.75">
      <c r="A6" s="51" t="str">
        <v>Bowden</v>
      </c>
      <c r="B6" s="48" t="str">
        <v>MA</v>
      </c>
      <c r="C6" s="36">
        <v>414745</v>
      </c>
      <c r="D6" s="37">
        <v>410030.8</v>
      </c>
      <c r="E6" s="37">
        <f t="shared" si="0"/>
        <v>4714.2000000000116</v>
      </c>
      <c r="F6" s="38">
        <f t="shared" ref="F6:F17" si="3">IFERROR(E6/D6, "")</f>
        <v>1.1497185089510378E-2</v>
      </c>
      <c r="G6" s="39">
        <v>397783</v>
      </c>
      <c r="H6" s="39">
        <f t="shared" si="1"/>
        <v>16962</v>
      </c>
      <c r="I6" s="40">
        <f t="shared" si="2"/>
        <v>4.264133962487085E-2</v>
      </c>
      <c r="J6" s="57" t="s">
        <v>138</v>
      </c>
      <c r="K6" s="57" t="s">
        <v>139</v>
      </c>
    </row>
    <row r="7" spans="1:13" ht="42.75">
      <c r="A7" s="49" t="str">
        <v>Blair Wire Village</v>
      </c>
      <c r="B7" s="50" t="str">
        <v>MA</v>
      </c>
      <c r="C7" s="43">
        <v>200447</v>
      </c>
      <c r="D7" s="44">
        <v>207116.1</v>
      </c>
      <c r="E7" s="44">
        <f t="shared" si="0"/>
        <v>-6669.1000000000058</v>
      </c>
      <c r="F7" s="45">
        <f t="shared" si="3"/>
        <v>-3.2199814500176498E-2</v>
      </c>
      <c r="G7" s="46">
        <v>198779.3</v>
      </c>
      <c r="H7" s="46">
        <f t="shared" si="1"/>
        <v>1667.7000000000116</v>
      </c>
      <c r="I7" s="45">
        <f t="shared" si="2"/>
        <v>8.389706574074925E-3</v>
      </c>
      <c r="J7" s="58" t="s">
        <v>140</v>
      </c>
      <c r="K7" s="70" t="s">
        <v>141</v>
      </c>
    </row>
    <row r="8" spans="1:13" ht="42.75">
      <c r="A8" s="51" t="str">
        <v>Boutilier</v>
      </c>
      <c r="B8" s="48" t="str">
        <v>MA</v>
      </c>
      <c r="C8" s="36">
        <v>544950</v>
      </c>
      <c r="D8" s="37">
        <v>547089.6</v>
      </c>
      <c r="E8" s="37">
        <f t="shared" si="0"/>
        <v>-2139.5999999999767</v>
      </c>
      <c r="F8" s="38">
        <f t="shared" si="3"/>
        <v>-3.9108767558366613E-3</v>
      </c>
      <c r="G8" s="39">
        <v>548588.1</v>
      </c>
      <c r="H8" s="39">
        <f t="shared" si="1"/>
        <v>-3638.0999999999767</v>
      </c>
      <c r="I8" s="40">
        <f t="shared" si="2"/>
        <v>-6.631751581924538E-3</v>
      </c>
      <c r="J8" s="57" t="s">
        <v>142</v>
      </c>
      <c r="K8" s="57" t="s">
        <v>143</v>
      </c>
    </row>
    <row r="9" spans="1:13" ht="15.75">
      <c r="A9" s="49" t="str">
        <v>Cherry Valley</v>
      </c>
      <c r="B9" s="50" t="str">
        <v>MA</v>
      </c>
      <c r="C9" s="43">
        <v>193353</v>
      </c>
      <c r="D9" s="44">
        <v>191822.6</v>
      </c>
      <c r="E9" s="44">
        <f t="shared" si="0"/>
        <v>1530.3999999999942</v>
      </c>
      <c r="F9" s="45">
        <f t="shared" si="3"/>
        <v>7.9782048622007735E-3</v>
      </c>
      <c r="G9" s="46">
        <v>195979</v>
      </c>
      <c r="H9" s="46">
        <f t="shared" si="1"/>
        <v>-2626</v>
      </c>
      <c r="I9" s="45">
        <f t="shared" si="2"/>
        <v>-1.3399394833119875E-2</v>
      </c>
      <c r="J9" s="58"/>
      <c r="K9" s="58"/>
    </row>
    <row r="10" spans="1:13" ht="15.75">
      <c r="A10" s="51" t="str">
        <v>Cohasse</v>
      </c>
      <c r="B10" s="48" t="str">
        <v>MA</v>
      </c>
      <c r="C10" s="36">
        <v>187694</v>
      </c>
      <c r="D10" s="37">
        <v>181260</v>
      </c>
      <c r="E10" s="37">
        <f t="shared" si="0"/>
        <v>6434</v>
      </c>
      <c r="F10" s="38">
        <f t="shared" si="3"/>
        <v>3.5495972635992495E-2</v>
      </c>
      <c r="G10" s="39">
        <v>189453.3</v>
      </c>
      <c r="H10" s="39">
        <f t="shared" si="1"/>
        <v>-1759.2999999999884</v>
      </c>
      <c r="I10" s="40">
        <f t="shared" si="2"/>
        <v>-9.2861934840933798E-3</v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>
        <v>405711</v>
      </c>
      <c r="D11" s="44">
        <v>407670.8</v>
      </c>
      <c r="E11" s="44">
        <f t="shared" si="0"/>
        <v>-1959.7999999999884</v>
      </c>
      <c r="F11" s="45">
        <f t="shared" si="3"/>
        <v>-4.8073102120632346E-3</v>
      </c>
      <c r="G11" s="46">
        <v>405850.7</v>
      </c>
      <c r="H11" s="46">
        <f t="shared" si="1"/>
        <v>-139.70000000001164</v>
      </c>
      <c r="I11" s="45">
        <f t="shared" si="2"/>
        <v>-3.4421524959797194E-4</v>
      </c>
      <c r="J11" s="58" t="s">
        <v>144</v>
      </c>
      <c r="K11" s="70" t="s">
        <v>145</v>
      </c>
    </row>
    <row r="12" spans="1:13" ht="28.5">
      <c r="A12" s="51" t="str">
        <v>Dudley River 1</v>
      </c>
      <c r="B12" s="48" t="str">
        <v>MA</v>
      </c>
      <c r="C12" s="36">
        <v>196072</v>
      </c>
      <c r="D12" s="37">
        <v>205405.5</v>
      </c>
      <c r="E12" s="37">
        <f t="shared" si="0"/>
        <v>-9333.5</v>
      </c>
      <c r="F12" s="38">
        <f t="shared" si="3"/>
        <v>-4.5439386968703373E-2</v>
      </c>
      <c r="G12" s="39">
        <v>199866.6</v>
      </c>
      <c r="H12" s="39">
        <f t="shared" si="1"/>
        <v>-3794.6000000000058</v>
      </c>
      <c r="I12" s="40">
        <f t="shared" si="2"/>
        <v>-1.8985663437512849E-2</v>
      </c>
      <c r="J12" s="57" t="s">
        <v>146</v>
      </c>
      <c r="K12" s="57" t="s">
        <v>147</v>
      </c>
      <c r="M12" t="s">
        <v>148</v>
      </c>
    </row>
    <row r="13" spans="1:13" ht="28.5">
      <c r="A13" s="49" t="str">
        <v>Dudley River 2</v>
      </c>
      <c r="B13" s="50" t="str">
        <v>MA</v>
      </c>
      <c r="C13" s="43">
        <v>186963</v>
      </c>
      <c r="D13" s="44">
        <v>202100.4</v>
      </c>
      <c r="E13" s="44">
        <f t="shared" si="0"/>
        <v>-15137.399999999994</v>
      </c>
      <c r="F13" s="45">
        <f t="shared" si="3"/>
        <v>-7.4900396040779707E-2</v>
      </c>
      <c r="G13" s="46">
        <v>190392.3</v>
      </c>
      <c r="H13" s="46">
        <f t="shared" si="1"/>
        <v>-3429.2999999999884</v>
      </c>
      <c r="I13" s="45">
        <f t="shared" si="2"/>
        <v>-1.801175782844153E-2</v>
      </c>
      <c r="J13" s="58" t="s">
        <v>146</v>
      </c>
      <c r="K13" s="70" t="s">
        <v>149</v>
      </c>
    </row>
    <row r="14" spans="1:13" ht="28.5">
      <c r="A14" s="51" t="str">
        <v>Dudley River 3</v>
      </c>
      <c r="B14" s="48" t="str">
        <v>MA</v>
      </c>
      <c r="C14" s="36">
        <v>193519</v>
      </c>
      <c r="D14" s="37">
        <v>200107.8</v>
      </c>
      <c r="E14" s="37">
        <f t="shared" si="0"/>
        <v>-6588.7999999999884</v>
      </c>
      <c r="F14" s="38">
        <f t="shared" si="3"/>
        <v>-3.292625274976782E-2</v>
      </c>
      <c r="G14" s="39">
        <v>193101.1</v>
      </c>
      <c r="H14" s="39">
        <f t="shared" si="1"/>
        <v>417.89999999999418</v>
      </c>
      <c r="I14" s="40">
        <f t="shared" si="2"/>
        <v>2.1641513176258145E-3</v>
      </c>
      <c r="J14" s="57" t="s">
        <v>146</v>
      </c>
      <c r="K14" s="57" t="s">
        <v>150</v>
      </c>
    </row>
    <row r="15" spans="1:13" ht="15.75">
      <c r="A15" s="49" t="str">
        <v>Flint Pond</v>
      </c>
      <c r="B15" s="50" t="str">
        <v>MA</v>
      </c>
      <c r="C15" s="43">
        <v>95286</v>
      </c>
      <c r="D15" s="44">
        <v>78186.87</v>
      </c>
      <c r="E15" s="44">
        <f t="shared" si="0"/>
        <v>17099.130000000005</v>
      </c>
      <c r="F15" s="45">
        <f t="shared" si="3"/>
        <v>0.21869567102507118</v>
      </c>
      <c r="G15" s="46">
        <v>93633.55</v>
      </c>
      <c r="H15" s="46">
        <f t="shared" si="1"/>
        <v>1652.4499999999971</v>
      </c>
      <c r="I15" s="45">
        <f t="shared" si="2"/>
        <v>1.7648054570183411E-2</v>
      </c>
      <c r="J15" s="58"/>
      <c r="K15" s="58"/>
    </row>
    <row r="16" spans="1:13" ht="42.75">
      <c r="A16" s="51" t="str">
        <v>Incom</v>
      </c>
      <c r="B16" s="48" t="str">
        <v>MA</v>
      </c>
      <c r="C16" s="36">
        <v>439967</v>
      </c>
      <c r="D16" s="37">
        <v>457194.1</v>
      </c>
      <c r="E16" s="37">
        <f t="shared" si="0"/>
        <v>-17227.099999999977</v>
      </c>
      <c r="F16" s="38">
        <f t="shared" si="3"/>
        <v>-3.7680057551048841E-2</v>
      </c>
      <c r="G16" s="39">
        <v>393685.8</v>
      </c>
      <c r="H16" s="39">
        <f t="shared" si="1"/>
        <v>46281.200000000012</v>
      </c>
      <c r="I16" s="40">
        <f t="shared" si="2"/>
        <v>0.11755872322547578</v>
      </c>
      <c r="J16" s="57" t="s">
        <v>151</v>
      </c>
      <c r="K16" s="57" t="s">
        <v>152</v>
      </c>
    </row>
    <row r="17" spans="1:11" ht="15.75">
      <c r="A17" s="49" t="str">
        <v>JH</v>
      </c>
      <c r="B17" s="50" t="str">
        <v>MA</v>
      </c>
      <c r="C17" s="43">
        <v>189114</v>
      </c>
      <c r="D17" s="44">
        <v>189169.2</v>
      </c>
      <c r="E17" s="44">
        <f t="shared" si="0"/>
        <v>-55.200000000011642</v>
      </c>
      <c r="F17" s="71">
        <f t="shared" si="3"/>
        <v>-2.9180225956451492E-4</v>
      </c>
      <c r="G17" s="46">
        <v>187798.5</v>
      </c>
      <c r="H17" s="46">
        <f t="shared" si="1"/>
        <v>1315.5</v>
      </c>
      <c r="I17" s="45">
        <f t="shared" si="2"/>
        <v>7.0048482815357948E-3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175106</v>
      </c>
      <c r="D18" s="37">
        <v>188057.8</v>
      </c>
      <c r="E18" s="37">
        <f t="shared" ref="E18:E24" si="4">IF(AND(ISNUMBER(C18),ISNUMBER(D18)), C18-D18, "")</f>
        <v>-12951.799999999988</v>
      </c>
      <c r="F18" s="38">
        <f t="shared" ref="F18:F24" si="5">IFERROR(E18/D18, "")</f>
        <v>-6.8871378905846978E-2</v>
      </c>
      <c r="G18" s="39">
        <v>187069</v>
      </c>
      <c r="H18" s="39">
        <f t="shared" ref="H18:H24" si="6">IF(AND(ISNUMBER(C18),ISNUMBER(G18)), C18-G18, "")</f>
        <v>-11963</v>
      </c>
      <c r="I18" s="40">
        <f t="shared" ref="I18:I24" si="7">IFERROR(H18/G18, "")</f>
        <v>-6.3949665631398034E-2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404704.003322259</v>
      </c>
      <c r="D19" s="44">
        <v>401381.1</v>
      </c>
      <c r="E19" s="44">
        <f t="shared" si="4"/>
        <v>3322.9033222590224</v>
      </c>
      <c r="F19" s="71">
        <f t="shared" si="5"/>
        <v>8.2786741136018169E-3</v>
      </c>
      <c r="G19" s="46">
        <v>385946</v>
      </c>
      <c r="H19" s="46">
        <f t="shared" si="6"/>
        <v>18758.003322258999</v>
      </c>
      <c r="I19" s="45">
        <f t="shared" si="7"/>
        <v>4.8602662865424175E-2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205106</v>
      </c>
      <c r="D20" s="37">
        <v>169757.9</v>
      </c>
      <c r="E20" s="37">
        <f t="shared" si="4"/>
        <v>35348.100000000006</v>
      </c>
      <c r="F20" s="38">
        <f t="shared" si="5"/>
        <v>0.20822653908890254</v>
      </c>
      <c r="G20" s="39">
        <v>207998.2</v>
      </c>
      <c r="H20" s="39">
        <f t="shared" si="6"/>
        <v>-2892.2000000000116</v>
      </c>
      <c r="I20" s="40">
        <f t="shared" si="7"/>
        <v>-1.3904928023415643E-2</v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>
        <v>195296.99665551801</v>
      </c>
      <c r="D21" s="44">
        <v>209723.4</v>
      </c>
      <c r="E21" s="44">
        <f t="shared" si="4"/>
        <v>-14426.40334448198</v>
      </c>
      <c r="F21" s="71">
        <f t="shared" si="5"/>
        <v>-6.8787762092746826E-2</v>
      </c>
      <c r="G21" s="46">
        <v>189931.5</v>
      </c>
      <c r="H21" s="46">
        <f t="shared" si="6"/>
        <v>5365.4966555180144</v>
      </c>
      <c r="I21" s="45">
        <f t="shared" si="7"/>
        <v>2.8249640820601187E-2</v>
      </c>
      <c r="J21" s="58" t="s">
        <v>153</v>
      </c>
      <c r="K21" s="70" t="s">
        <v>154</v>
      </c>
    </row>
    <row r="22" spans="1:11" ht="15.75">
      <c r="A22" s="51" t="str">
        <v>Sunset A</v>
      </c>
      <c r="B22" s="48" t="str">
        <v>MA</v>
      </c>
      <c r="C22" s="36">
        <v>93764.5</v>
      </c>
      <c r="D22" s="37">
        <v>94982.74</v>
      </c>
      <c r="E22" s="37">
        <f t="shared" si="4"/>
        <v>-1218.2400000000052</v>
      </c>
      <c r="F22" s="38">
        <f t="shared" si="5"/>
        <v>-1.2825909212558041E-2</v>
      </c>
      <c r="G22" s="39">
        <v>94088.88</v>
      </c>
      <c r="H22" s="39">
        <f t="shared" si="6"/>
        <v>-324.38000000000466</v>
      </c>
      <c r="I22" s="40">
        <f t="shared" si="7"/>
        <v>-3.4475912562675274E-3</v>
      </c>
      <c r="J22" s="57" t="s">
        <v>155</v>
      </c>
      <c r="K22" s="57" t="s">
        <v>156</v>
      </c>
    </row>
    <row r="23" spans="1:11" ht="15.75">
      <c r="A23" s="49" t="str">
        <v>Sunset B</v>
      </c>
      <c r="B23" s="50" t="str">
        <v>MA</v>
      </c>
      <c r="C23" s="43">
        <v>89101.25</v>
      </c>
      <c r="D23" s="44">
        <v>98109.91</v>
      </c>
      <c r="E23" s="44">
        <f t="shared" si="4"/>
        <v>-9008.6600000000035</v>
      </c>
      <c r="F23" s="71">
        <f t="shared" si="5"/>
        <v>-9.18221207215459E-2</v>
      </c>
      <c r="G23" s="46">
        <v>92958.89</v>
      </c>
      <c r="H23" s="46">
        <f t="shared" si="6"/>
        <v>-3857.6399999999994</v>
      </c>
      <c r="I23" s="45">
        <f t="shared" si="7"/>
        <v>-4.1498344052946411E-2</v>
      </c>
      <c r="J23" s="58" t="s">
        <v>155</v>
      </c>
      <c r="K23" s="58" t="s">
        <v>157</v>
      </c>
    </row>
    <row r="24" spans="1:11" ht="15.75">
      <c r="A24" s="51" t="str">
        <v>Woodchuck</v>
      </c>
      <c r="B24" s="48" t="str">
        <v>MA</v>
      </c>
      <c r="C24" s="36">
        <v>198528</v>
      </c>
      <c r="D24" s="37">
        <v>204541.1</v>
      </c>
      <c r="E24" s="37">
        <f t="shared" si="4"/>
        <v>-6013.1000000000058</v>
      </c>
      <c r="F24" s="38">
        <f t="shared" si="5"/>
        <v>-2.939800362861061E-2</v>
      </c>
      <c r="G24" s="39">
        <v>201777.8</v>
      </c>
      <c r="H24" s="39">
        <f t="shared" si="6"/>
        <v>-3249.7999999999884</v>
      </c>
      <c r="I24" s="40">
        <f t="shared" si="7"/>
        <v>-1.610583523063483E-2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="80" zoomScaleNormal="80" workbookViewId="0">
      <pane xSplit="2" ySplit="3" topLeftCell="C4" activePane="bottomRight" state="frozen"/>
      <selection pane="bottomRight" activeCell="F27" sqref="F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158</v>
      </c>
      <c r="E1" s="77"/>
      <c r="F1" s="77"/>
      <c r="G1" s="75" t="s">
        <v>159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4754265.9966777414</v>
      </c>
      <c r="D2" s="5">
        <f>SUM(D4:D99)</f>
        <v>4889018.3499999996</v>
      </c>
      <c r="E2" s="5">
        <f>C2-D2</f>
        <v>-134752.35332225822</v>
      </c>
      <c r="F2" s="6">
        <f>IFERROR(E2/D2, 0)</f>
        <v>-2.7562251494158991E-2</v>
      </c>
      <c r="G2" s="5">
        <f>SUM(G4:G99)</f>
        <v>5205397.0699999994</v>
      </c>
      <c r="H2" s="7">
        <f>C2-G2</f>
        <v>-451131.07332225796</v>
      </c>
      <c r="I2" s="6">
        <f>IFERROR(H2/G2, 0)</f>
        <v>-8.6666025138070396E-2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228805.5</v>
      </c>
      <c r="D4" s="37">
        <v>300659.90000000002</v>
      </c>
      <c r="E4" s="37">
        <f>IF(AND(ISNUMBER(C4),ISNUMBER(D4)), C4-D4, "")</f>
        <v>-71854.400000000023</v>
      </c>
      <c r="F4" s="38">
        <f>IFERROR(E4/D4, "")</f>
        <v>-0.23898897059434934</v>
      </c>
      <c r="G4" s="39">
        <v>258461.8</v>
      </c>
      <c r="H4" s="39">
        <f>IF(AND(ISNUMBER(C4),ISNUMBER(G4)), C4-G4, "")</f>
        <v>-29656.299999999988</v>
      </c>
      <c r="I4" s="40">
        <f>IFERROR(H4/G4, "")</f>
        <v>-0.11474152079727058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206045</v>
      </c>
      <c r="D5" s="44">
        <v>202434.1</v>
      </c>
      <c r="E5" s="44">
        <f t="shared" ref="E5:E24" si="0">IF(AND(ISNUMBER(C5),ISNUMBER(D5)), C5-D5, "")</f>
        <v>3610.8999999999942</v>
      </c>
      <c r="F5" s="45">
        <f>IFERROR(E5/D5, "")</f>
        <v>1.7837409803980624E-2</v>
      </c>
      <c r="G5" s="46">
        <v>209880.4</v>
      </c>
      <c r="H5" s="46">
        <f t="shared" ref="H5:H24" si="1">IF(AND(ISNUMBER(C5),ISNUMBER(G5)), C5-G5, "")</f>
        <v>-3835.3999999999942</v>
      </c>
      <c r="I5" s="45">
        <f t="shared" ref="I5:I24" si="2">IFERROR(H5/G5, "")</f>
        <v>-1.8274217125562913E-2</v>
      </c>
      <c r="J5" s="58" t="s">
        <v>160</v>
      </c>
      <c r="K5" s="58" t="s">
        <v>161</v>
      </c>
    </row>
    <row r="6" spans="1:11" ht="15.75">
      <c r="A6" s="51" t="str">
        <v>Bowden</v>
      </c>
      <c r="B6" s="48" t="str">
        <v>MA</v>
      </c>
      <c r="C6" s="36">
        <v>402694</v>
      </c>
      <c r="D6" s="37">
        <v>402514.3</v>
      </c>
      <c r="E6" s="37">
        <f t="shared" si="0"/>
        <v>179.70000000001164</v>
      </c>
      <c r="F6" s="38">
        <f t="shared" ref="F6:F24" si="3">IFERROR(E6/D6, "")</f>
        <v>4.4644376609728314E-4</v>
      </c>
      <c r="G6" s="39">
        <v>403575.3</v>
      </c>
      <c r="H6" s="39">
        <f t="shared" si="1"/>
        <v>-881.29999999998836</v>
      </c>
      <c r="I6" s="40">
        <f t="shared" si="2"/>
        <v>-2.1837312640292615E-3</v>
      </c>
      <c r="J6" s="57" t="s">
        <v>162</v>
      </c>
      <c r="K6" s="57" t="s">
        <v>163</v>
      </c>
    </row>
    <row r="7" spans="1:11" ht="15.75">
      <c r="A7" s="49" t="str">
        <v>Blair Wire Village</v>
      </c>
      <c r="B7" s="50" t="str">
        <v>MA</v>
      </c>
      <c r="C7" s="43">
        <v>191619</v>
      </c>
      <c r="D7" s="44">
        <v>198267.5</v>
      </c>
      <c r="E7" s="44">
        <f t="shared" si="0"/>
        <v>-6648.5</v>
      </c>
      <c r="F7" s="45">
        <f t="shared" si="3"/>
        <v>-3.353297943435006E-2</v>
      </c>
      <c r="G7" s="46">
        <v>201927.5</v>
      </c>
      <c r="H7" s="46">
        <f t="shared" si="1"/>
        <v>-10308.5</v>
      </c>
      <c r="I7" s="45">
        <f t="shared" si="2"/>
        <v>-5.1050500798553937E-2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539456</v>
      </c>
      <c r="D8" s="37">
        <v>515865.5</v>
      </c>
      <c r="E8" s="37">
        <f t="shared" si="0"/>
        <v>23590.5</v>
      </c>
      <c r="F8" s="38">
        <f t="shared" si="3"/>
        <v>4.5729943173172076E-2</v>
      </c>
      <c r="G8" s="39">
        <v>576146.19999999995</v>
      </c>
      <c r="H8" s="39">
        <f t="shared" si="1"/>
        <v>-36690.199999999953</v>
      </c>
      <c r="I8" s="40">
        <f t="shared" si="2"/>
        <v>-6.3682100133611849E-2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179659</v>
      </c>
      <c r="D9" s="44">
        <v>189584.3</v>
      </c>
      <c r="E9" s="44">
        <f t="shared" si="0"/>
        <v>-9925.2999999999884</v>
      </c>
      <c r="F9" s="45">
        <f t="shared" si="3"/>
        <v>-5.2352963826645928E-2</v>
      </c>
      <c r="G9" s="46">
        <v>206366</v>
      </c>
      <c r="H9" s="46">
        <f t="shared" si="1"/>
        <v>-26707</v>
      </c>
      <c r="I9" s="45">
        <f t="shared" si="2"/>
        <v>-0.12941569832239808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173632</v>
      </c>
      <c r="D10" s="37">
        <v>170023.8</v>
      </c>
      <c r="E10" s="37">
        <f t="shared" si="0"/>
        <v>3608.2000000000116</v>
      </c>
      <c r="F10" s="38">
        <f t="shared" si="3"/>
        <v>2.1221734839475485E-2</v>
      </c>
      <c r="G10" s="39">
        <v>202694.9</v>
      </c>
      <c r="H10" s="39">
        <f t="shared" si="1"/>
        <v>-29062.899999999994</v>
      </c>
      <c r="I10" s="40">
        <f t="shared" si="2"/>
        <v>-0.14338249260341526</v>
      </c>
      <c r="J10" s="57"/>
      <c r="K10" s="57"/>
    </row>
    <row r="11" spans="1:11" ht="57">
      <c r="A11" s="49" t="str">
        <v>ISM Dighton Solar 2</v>
      </c>
      <c r="B11" s="50" t="str">
        <v>MA</v>
      </c>
      <c r="C11" s="43">
        <v>378895</v>
      </c>
      <c r="D11" s="44">
        <v>363256.1</v>
      </c>
      <c r="E11" s="44">
        <f t="shared" si="0"/>
        <v>15638.900000000023</v>
      </c>
      <c r="F11" s="45">
        <f t="shared" si="3"/>
        <v>4.3051995548044543E-2</v>
      </c>
      <c r="G11" s="46">
        <v>394151.3</v>
      </c>
      <c r="H11" s="46">
        <f t="shared" si="1"/>
        <v>-15256.299999999988</v>
      </c>
      <c r="I11" s="45">
        <f t="shared" si="2"/>
        <v>-3.8706709834522908E-2</v>
      </c>
      <c r="J11" s="58" t="s">
        <v>164</v>
      </c>
      <c r="K11" s="59" t="s">
        <v>165</v>
      </c>
    </row>
    <row r="12" spans="1:11" ht="15.75">
      <c r="A12" s="51" t="str">
        <v>Dudley River 1</v>
      </c>
      <c r="B12" s="48" t="str">
        <v>MA</v>
      </c>
      <c r="C12" s="36">
        <v>190017</v>
      </c>
      <c r="D12" s="37">
        <v>203395.5</v>
      </c>
      <c r="E12" s="37">
        <f t="shared" si="0"/>
        <v>-13378.5</v>
      </c>
      <c r="F12" s="38">
        <f t="shared" si="3"/>
        <v>-6.5775791499811942E-2</v>
      </c>
      <c r="G12" s="39">
        <v>203502.1</v>
      </c>
      <c r="H12" s="39">
        <f t="shared" si="1"/>
        <v>-13485.100000000006</v>
      </c>
      <c r="I12" s="40">
        <f t="shared" si="2"/>
        <v>-6.6265163848432063E-2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180465</v>
      </c>
      <c r="D13" s="44">
        <v>188550.7</v>
      </c>
      <c r="E13" s="44">
        <f t="shared" si="0"/>
        <v>-8085.7000000000116</v>
      </c>
      <c r="F13" s="45">
        <f t="shared" si="3"/>
        <v>-4.2883426049333206E-2</v>
      </c>
      <c r="G13" s="46">
        <v>192924.9</v>
      </c>
      <c r="H13" s="46">
        <f t="shared" si="1"/>
        <v>-12459.899999999994</v>
      </c>
      <c r="I13" s="45">
        <f t="shared" si="2"/>
        <v>-6.4584198307216928E-2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184594</v>
      </c>
      <c r="D14" s="37">
        <v>185009.5</v>
      </c>
      <c r="E14" s="37">
        <f t="shared" si="0"/>
        <v>-415.5</v>
      </c>
      <c r="F14" s="38">
        <f t="shared" si="3"/>
        <v>-2.245830619508728E-3</v>
      </c>
      <c r="G14" s="39">
        <v>195826.1</v>
      </c>
      <c r="H14" s="39">
        <f t="shared" si="1"/>
        <v>-11232.100000000006</v>
      </c>
      <c r="I14" s="40">
        <f t="shared" si="2"/>
        <v>-5.735752282254513E-2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89346</v>
      </c>
      <c r="D15" s="44">
        <v>71133.05</v>
      </c>
      <c r="E15" s="44">
        <f t="shared" si="0"/>
        <v>18212.949999999997</v>
      </c>
      <c r="F15" s="45">
        <f t="shared" si="3"/>
        <v>0.25604061684406892</v>
      </c>
      <c r="G15" s="46">
        <v>98164.02</v>
      </c>
      <c r="H15" s="46">
        <f t="shared" si="1"/>
        <v>-8818.0200000000041</v>
      </c>
      <c r="I15" s="45">
        <f t="shared" si="2"/>
        <v>-8.9829450749877637E-2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401853</v>
      </c>
      <c r="D16" s="37">
        <v>433308.5</v>
      </c>
      <c r="E16" s="37">
        <f t="shared" si="0"/>
        <v>-31455.5</v>
      </c>
      <c r="F16" s="38">
        <f t="shared" si="3"/>
        <v>-7.2593775566368993E-2</v>
      </c>
      <c r="G16" s="39">
        <v>416485.6</v>
      </c>
      <c r="H16" s="39">
        <f t="shared" si="1"/>
        <v>-14632.599999999977</v>
      </c>
      <c r="I16" s="40">
        <f t="shared" si="2"/>
        <v>-3.5133507617070021E-2</v>
      </c>
      <c r="J16" s="57"/>
      <c r="K16" s="57"/>
    </row>
    <row r="17" spans="1:11" ht="15.75">
      <c r="A17" s="49" t="str">
        <v>JH</v>
      </c>
      <c r="B17" s="50" t="str">
        <v>MA</v>
      </c>
      <c r="C17" s="43">
        <v>179742</v>
      </c>
      <c r="D17" s="44">
        <v>180766.8</v>
      </c>
      <c r="E17" s="44">
        <f t="shared" si="0"/>
        <v>-1024.7999999999884</v>
      </c>
      <c r="F17" s="45">
        <f t="shared" si="3"/>
        <v>-5.6691826153917003E-3</v>
      </c>
      <c r="G17" s="46">
        <v>201953</v>
      </c>
      <c r="H17" s="46">
        <f t="shared" si="1"/>
        <v>-22211</v>
      </c>
      <c r="I17" s="45">
        <f t="shared" si="2"/>
        <v>-0.10998103519135641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166263</v>
      </c>
      <c r="D18" s="37">
        <v>181159.8</v>
      </c>
      <c r="E18" s="37">
        <f t="shared" si="0"/>
        <v>-14896.799999999988</v>
      </c>
      <c r="F18" s="38">
        <f t="shared" si="3"/>
        <v>-8.2230163645576934E-2</v>
      </c>
      <c r="G18" s="39">
        <v>198092.6</v>
      </c>
      <c r="H18" s="39">
        <f t="shared" si="1"/>
        <v>-31829.600000000006</v>
      </c>
      <c r="I18" s="40">
        <f t="shared" si="2"/>
        <v>-0.16068040906121686</v>
      </c>
      <c r="J18" s="57"/>
      <c r="K18" s="57"/>
    </row>
    <row r="19" spans="1:11" ht="28.5">
      <c r="A19" s="49" t="str">
        <v>Palombo A</v>
      </c>
      <c r="B19" s="50" t="str">
        <v>MA</v>
      </c>
      <c r="C19" s="43">
        <v>357375.996677741</v>
      </c>
      <c r="D19" s="44">
        <v>359261.5</v>
      </c>
      <c r="E19" s="44">
        <f t="shared" si="0"/>
        <v>-1885.5033222589991</v>
      </c>
      <c r="F19" s="45">
        <f t="shared" si="3"/>
        <v>-5.2482754825078646E-3</v>
      </c>
      <c r="G19" s="46">
        <v>414569</v>
      </c>
      <c r="H19" s="46">
        <f t="shared" si="1"/>
        <v>-57193.003322258999</v>
      </c>
      <c r="I19" s="45">
        <f t="shared" si="2"/>
        <v>-0.13795774243192085</v>
      </c>
      <c r="J19" s="58" t="s">
        <v>166</v>
      </c>
      <c r="K19" s="70" t="s">
        <v>167</v>
      </c>
    </row>
    <row r="20" spans="1:11" ht="28.5">
      <c r="A20" s="51" t="str">
        <v>Palombo B</v>
      </c>
      <c r="B20" s="48" t="str">
        <v>MA</v>
      </c>
      <c r="C20" s="36">
        <v>177890</v>
      </c>
      <c r="D20" s="37">
        <v>156647.29999999999</v>
      </c>
      <c r="E20" s="37">
        <f t="shared" si="0"/>
        <v>21242.700000000012</v>
      </c>
      <c r="F20" s="38">
        <f t="shared" si="3"/>
        <v>0.13560846564224224</v>
      </c>
      <c r="G20" s="39">
        <v>218506.6</v>
      </c>
      <c r="H20" s="39">
        <f t="shared" si="1"/>
        <v>-40616.600000000006</v>
      </c>
      <c r="I20" s="40">
        <f t="shared" si="2"/>
        <v>-0.18588271475552687</v>
      </c>
      <c r="J20" s="57" t="s">
        <v>168</v>
      </c>
      <c r="K20" s="57" t="s">
        <v>167</v>
      </c>
    </row>
    <row r="21" spans="1:11" ht="71.25">
      <c r="A21" s="49" t="str">
        <v>St Josephs Church</v>
      </c>
      <c r="B21" s="50" t="str">
        <v>MA</v>
      </c>
      <c r="C21" s="43">
        <v>156805</v>
      </c>
      <c r="D21" s="44">
        <v>199847.5</v>
      </c>
      <c r="E21" s="44">
        <f t="shared" si="0"/>
        <v>-43042.5</v>
      </c>
      <c r="F21" s="45">
        <f t="shared" si="3"/>
        <v>-0.21537672475262387</v>
      </c>
      <c r="G21" s="46">
        <v>201655.6</v>
      </c>
      <c r="H21" s="46">
        <f t="shared" si="1"/>
        <v>-44850.600000000006</v>
      </c>
      <c r="I21" s="45">
        <f t="shared" si="2"/>
        <v>-0.22241187450286531</v>
      </c>
      <c r="J21" s="67" t="s">
        <v>169</v>
      </c>
      <c r="K21" s="68" t="s">
        <v>170</v>
      </c>
    </row>
    <row r="22" spans="1:11" ht="15.75">
      <c r="A22" s="51" t="str">
        <v>Sunset A</v>
      </c>
      <c r="B22" s="48" t="str">
        <v>MA</v>
      </c>
      <c r="C22" s="36">
        <v>93225</v>
      </c>
      <c r="D22" s="37">
        <v>97708.73</v>
      </c>
      <c r="E22" s="37">
        <f t="shared" si="0"/>
        <v>-4483.7299999999959</v>
      </c>
      <c r="F22" s="38">
        <f t="shared" si="3"/>
        <v>-4.5888734814176747E-2</v>
      </c>
      <c r="G22" s="39">
        <v>98814.91</v>
      </c>
      <c r="H22" s="39">
        <f t="shared" si="1"/>
        <v>-5589.9100000000035</v>
      </c>
      <c r="I22" s="40">
        <f t="shared" si="2"/>
        <v>-5.6569499481404203E-2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88999.5</v>
      </c>
      <c r="D23" s="44">
        <v>92907.27</v>
      </c>
      <c r="E23" s="44">
        <f t="shared" si="0"/>
        <v>-3907.7700000000041</v>
      </c>
      <c r="F23" s="45">
        <f t="shared" si="3"/>
        <v>-4.2060971116684449E-2</v>
      </c>
      <c r="G23" s="46">
        <v>97627.64</v>
      </c>
      <c r="H23" s="46">
        <f t="shared" si="1"/>
        <v>-8628.14</v>
      </c>
      <c r="I23" s="45">
        <f t="shared" si="2"/>
        <v>-8.8378045397799226E-2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186885</v>
      </c>
      <c r="D24" s="37">
        <v>196716.7</v>
      </c>
      <c r="E24" s="37">
        <f t="shared" si="0"/>
        <v>-9831.7000000000116</v>
      </c>
      <c r="F24" s="38">
        <f t="shared" si="3"/>
        <v>-4.9978979923921106E-2</v>
      </c>
      <c r="G24" s="39">
        <v>214071.6</v>
      </c>
      <c r="H24" s="39">
        <f t="shared" si="1"/>
        <v>-27186.600000000006</v>
      </c>
      <c r="I24" s="40">
        <f t="shared" si="2"/>
        <v>-0.12699769609794109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tabSelected="1" zoomScale="80" zoomScaleNormal="80" workbookViewId="0">
      <pane xSplit="2" ySplit="3" topLeftCell="C4" activePane="bottomRight" state="frozen"/>
      <selection pane="bottomRight" activeCell="A21" sqref="A21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171</v>
      </c>
      <c r="E1" s="77"/>
      <c r="F1" s="77"/>
      <c r="G1" s="75" t="s">
        <v>172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4385096.75</v>
      </c>
      <c r="D2" s="5">
        <f>SUM(D4:D99)</f>
        <v>4515229.0299999993</v>
      </c>
      <c r="E2" s="5">
        <f>C2-D2</f>
        <v>-130132.27999999933</v>
      </c>
      <c r="F2" s="6">
        <f>IFERROR(E2/D2, 0)</f>
        <v>-2.8820748434991203E-2</v>
      </c>
      <c r="G2" s="5">
        <f>SUM(G4:G99)</f>
        <v>4808339.2899999991</v>
      </c>
      <c r="H2" s="7">
        <f>C2-G2</f>
        <v>-423242.53999999911</v>
      </c>
      <c r="I2" s="6">
        <f>IFERROR(H2/G2, 0)</f>
        <v>-8.8022602914113235E-2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206169.5</v>
      </c>
      <c r="D4" s="37">
        <v>263651.7</v>
      </c>
      <c r="E4" s="37">
        <f>IF(AND(ISNUMBER(C4),ISNUMBER(D4)), C4-D4, "")</f>
        <v>-57482.200000000012</v>
      </c>
      <c r="F4" s="38">
        <f>IFERROR(E4/D4, "")</f>
        <v>-0.21802324809587803</v>
      </c>
      <c r="G4" s="39">
        <v>264475.3</v>
      </c>
      <c r="H4" s="39">
        <f>IF(AND(ISNUMBER(C4),ISNUMBER(G4)), C4-G4, "")</f>
        <v>-58305.799999999988</v>
      </c>
      <c r="I4" s="40">
        <f>IFERROR(H4/G4, "")</f>
        <v>-0.22045839441339132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178930</v>
      </c>
      <c r="D5" s="44">
        <v>180723.20000000001</v>
      </c>
      <c r="E5" s="44">
        <f t="shared" ref="E5:E24" si="0">IF(AND(ISNUMBER(C5),ISNUMBER(D5)), C5-D5, "")</f>
        <v>-1793.2000000000116</v>
      </c>
      <c r="F5" s="45">
        <f>IFERROR(E5/D5, "")</f>
        <v>-9.9223563991784752E-3</v>
      </c>
      <c r="G5" s="46">
        <v>181468.1</v>
      </c>
      <c r="H5" s="46">
        <f t="shared" ref="H5:H24" si="1">IF(AND(ISNUMBER(C5),ISNUMBER(G5)), C5-G5, "")</f>
        <v>-2538.1000000000058</v>
      </c>
      <c r="I5" s="45">
        <f t="shared" ref="I5:I24" si="2">IFERROR(H5/G5, "")</f>
        <v>-1.3986480268432886E-2</v>
      </c>
      <c r="J5" s="58" t="s">
        <v>173</v>
      </c>
      <c r="K5" s="58" t="s">
        <v>174</v>
      </c>
    </row>
    <row r="6" spans="1:11" ht="15.75">
      <c r="A6" s="51" t="str">
        <v>Bowden</v>
      </c>
      <c r="B6" s="48" t="str">
        <v>MA</v>
      </c>
      <c r="C6" s="36">
        <v>356723</v>
      </c>
      <c r="D6" s="37">
        <v>359152.2</v>
      </c>
      <c r="E6" s="37">
        <f t="shared" si="0"/>
        <v>-2429.2000000000116</v>
      </c>
      <c r="F6" s="38">
        <f t="shared" ref="F6:F24" si="3">IFERROR(E6/D6, "")</f>
        <v>-6.7637063061287434E-3</v>
      </c>
      <c r="G6" s="39">
        <v>392110.6</v>
      </c>
      <c r="H6" s="39">
        <f t="shared" si="1"/>
        <v>-35387.599999999977</v>
      </c>
      <c r="I6" s="40">
        <f t="shared" si="2"/>
        <v>-9.0249026677677105E-2</v>
      </c>
      <c r="J6" s="57"/>
      <c r="K6" s="57"/>
    </row>
    <row r="7" spans="1:11" ht="15.75">
      <c r="A7" s="49" t="str">
        <v>Blair Wire Village</v>
      </c>
      <c r="B7" s="50" t="str">
        <v>MA</v>
      </c>
      <c r="C7" s="43">
        <v>174451</v>
      </c>
      <c r="D7" s="44">
        <v>182467.3</v>
      </c>
      <c r="E7" s="44">
        <f t="shared" si="0"/>
        <v>-8016.2999999999884</v>
      </c>
      <c r="F7" s="45">
        <f t="shared" si="3"/>
        <v>-4.3932803302290269E-2</v>
      </c>
      <c r="G7" s="46">
        <v>197145.4</v>
      </c>
      <c r="H7" s="46">
        <f t="shared" si="1"/>
        <v>-22694.399999999994</v>
      </c>
      <c r="I7" s="45">
        <f t="shared" si="2"/>
        <v>-0.1151150369219875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489664</v>
      </c>
      <c r="D8" s="37">
        <v>476799.1</v>
      </c>
      <c r="E8" s="37">
        <f t="shared" si="0"/>
        <v>12864.900000000023</v>
      </c>
      <c r="F8" s="38">
        <f t="shared" si="3"/>
        <v>2.6981804286123911E-2</v>
      </c>
      <c r="G8" s="39">
        <v>498149.7</v>
      </c>
      <c r="H8" s="39">
        <f t="shared" si="1"/>
        <v>-8485.7000000000116</v>
      </c>
      <c r="I8" s="40">
        <f t="shared" si="2"/>
        <v>-1.7034437639930348E-2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166609</v>
      </c>
      <c r="D9" s="44">
        <v>175604.3</v>
      </c>
      <c r="E9" s="44">
        <f t="shared" si="0"/>
        <v>-8995.2999999999884</v>
      </c>
      <c r="F9" s="45">
        <f t="shared" si="3"/>
        <v>-5.1224827638047525E-2</v>
      </c>
      <c r="G9" s="46">
        <v>181160</v>
      </c>
      <c r="H9" s="46">
        <f t="shared" si="1"/>
        <v>-14551</v>
      </c>
      <c r="I9" s="45">
        <f t="shared" si="2"/>
        <v>-8.032126297195849E-2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154477</v>
      </c>
      <c r="D10" s="37">
        <v>159019.20000000001</v>
      </c>
      <c r="E10" s="37">
        <f t="shared" si="0"/>
        <v>-4542.2000000000116</v>
      </c>
      <c r="F10" s="38">
        <f t="shared" si="3"/>
        <v>-2.8563846378299045E-2</v>
      </c>
      <c r="G10" s="39">
        <v>187522.9</v>
      </c>
      <c r="H10" s="39">
        <f t="shared" si="1"/>
        <v>-33045.899999999994</v>
      </c>
      <c r="I10" s="40">
        <f t="shared" si="2"/>
        <v>-0.17622327726373682</v>
      </c>
      <c r="J10" s="57"/>
      <c r="K10" s="57"/>
    </row>
    <row r="11" spans="1:11" ht="63">
      <c r="A11" s="49" t="str">
        <v>ISM Dighton Solar 2</v>
      </c>
      <c r="B11" s="50" t="str">
        <v>MA</v>
      </c>
      <c r="C11" s="43">
        <v>376685</v>
      </c>
      <c r="D11" s="44">
        <v>369618.1</v>
      </c>
      <c r="E11" s="44">
        <f t="shared" si="0"/>
        <v>7066.9000000000233</v>
      </c>
      <c r="F11" s="45">
        <f t="shared" si="3"/>
        <v>1.9119464117152336E-2</v>
      </c>
      <c r="G11" s="46">
        <v>376887.9</v>
      </c>
      <c r="H11" s="46">
        <f t="shared" si="1"/>
        <v>-202.90000000002328</v>
      </c>
      <c r="I11" s="45">
        <f t="shared" si="2"/>
        <v>-5.3835636538085538E-4</v>
      </c>
      <c r="J11" s="58" t="s">
        <v>175</v>
      </c>
      <c r="K11" s="59" t="s">
        <v>176</v>
      </c>
    </row>
    <row r="12" spans="1:11" ht="28.5">
      <c r="A12" s="51" t="str">
        <v>Dudley River 1</v>
      </c>
      <c r="B12" s="48" t="str">
        <v>MA</v>
      </c>
      <c r="C12" s="36">
        <v>171452</v>
      </c>
      <c r="D12" s="37">
        <v>146757.9</v>
      </c>
      <c r="E12" s="37">
        <f t="shared" si="0"/>
        <v>24694.100000000006</v>
      </c>
      <c r="F12" s="38">
        <f t="shared" si="3"/>
        <v>0.1682641956582917</v>
      </c>
      <c r="G12" s="39">
        <v>198232.4</v>
      </c>
      <c r="H12" s="39">
        <f t="shared" si="1"/>
        <v>-26780.399999999994</v>
      </c>
      <c r="I12" s="40">
        <f t="shared" si="2"/>
        <v>-0.13509597825582495</v>
      </c>
      <c r="J12" s="57" t="s">
        <v>177</v>
      </c>
      <c r="K12" s="57" t="s">
        <v>178</v>
      </c>
    </row>
    <row r="13" spans="1:11" ht="15.75">
      <c r="A13" s="49" t="str">
        <v>Dudley River 2</v>
      </c>
      <c r="B13" s="50" t="str">
        <v>MA</v>
      </c>
      <c r="C13" s="43">
        <v>163393</v>
      </c>
      <c r="D13" s="44">
        <v>169048.7</v>
      </c>
      <c r="E13" s="44">
        <f t="shared" si="0"/>
        <v>-5655.7000000000116</v>
      </c>
      <c r="F13" s="45">
        <f t="shared" si="3"/>
        <v>-3.3456039590958178E-2</v>
      </c>
      <c r="G13" s="46">
        <v>189073</v>
      </c>
      <c r="H13" s="46">
        <f t="shared" si="1"/>
        <v>-25680</v>
      </c>
      <c r="I13" s="45">
        <f t="shared" si="2"/>
        <v>-0.1358205560815135</v>
      </c>
      <c r="J13" s="58" t="s">
        <v>179</v>
      </c>
      <c r="K13" s="59" t="s">
        <v>180</v>
      </c>
    </row>
    <row r="14" spans="1:11" ht="15.75">
      <c r="A14" s="51" t="str">
        <v>Dudley River 3</v>
      </c>
      <c r="B14" s="48" t="str">
        <v>MA</v>
      </c>
      <c r="C14" s="36">
        <v>156699</v>
      </c>
      <c r="D14" s="37">
        <v>170843.5</v>
      </c>
      <c r="E14" s="37">
        <f t="shared" si="0"/>
        <v>-14144.5</v>
      </c>
      <c r="F14" s="38">
        <f t="shared" si="3"/>
        <v>-8.2792146028382696E-2</v>
      </c>
      <c r="G14" s="39">
        <v>191489.6</v>
      </c>
      <c r="H14" s="39">
        <f t="shared" si="1"/>
        <v>-34790.600000000006</v>
      </c>
      <c r="I14" s="40">
        <f t="shared" si="2"/>
        <v>-0.1816840183487772</v>
      </c>
      <c r="J14" s="57" t="s">
        <v>181</v>
      </c>
      <c r="K14" s="57" t="s">
        <v>182</v>
      </c>
    </row>
    <row r="15" spans="1:11" ht="15.75">
      <c r="A15" s="49" t="str">
        <v>Flint Pond</v>
      </c>
      <c r="B15" s="50" t="str">
        <v>MA</v>
      </c>
      <c r="C15" s="43">
        <v>82426</v>
      </c>
      <c r="D15" s="44">
        <v>70678.77</v>
      </c>
      <c r="E15" s="44">
        <f t="shared" si="0"/>
        <v>11747.229999999996</v>
      </c>
      <c r="F15" s="45">
        <f t="shared" si="3"/>
        <v>0.16620592010868321</v>
      </c>
      <c r="G15" s="46">
        <v>84965.07</v>
      </c>
      <c r="H15" s="46">
        <f t="shared" si="1"/>
        <v>-2539.070000000007</v>
      </c>
      <c r="I15" s="45">
        <f t="shared" si="2"/>
        <v>-2.9883692204337696E-2</v>
      </c>
      <c r="J15" s="58"/>
      <c r="K15" s="59"/>
    </row>
    <row r="16" spans="1:11" ht="15.75">
      <c r="A16" s="51" t="str">
        <v>Incom</v>
      </c>
      <c r="B16" s="48" t="str">
        <v>MA</v>
      </c>
      <c r="C16" s="36">
        <v>366840</v>
      </c>
      <c r="D16" s="37">
        <v>393436.5</v>
      </c>
      <c r="E16" s="37">
        <f t="shared" si="0"/>
        <v>-26596.5</v>
      </c>
      <c r="F16" s="38">
        <f t="shared" si="3"/>
        <v>-6.7600489532618352E-2</v>
      </c>
      <c r="G16" s="39">
        <v>383875.8</v>
      </c>
      <c r="H16" s="39">
        <f t="shared" si="1"/>
        <v>-17035.799999999988</v>
      </c>
      <c r="I16" s="40">
        <f t="shared" si="2"/>
        <v>-4.437841614397154E-2</v>
      </c>
      <c r="J16" s="57"/>
      <c r="K16" s="57"/>
    </row>
    <row r="17" spans="1:11" ht="15.75">
      <c r="A17" s="49" t="str">
        <v>JH</v>
      </c>
      <c r="B17" s="50" t="str">
        <v>MA</v>
      </c>
      <c r="C17" s="43">
        <v>160100</v>
      </c>
      <c r="D17" s="44">
        <v>170636.1</v>
      </c>
      <c r="E17" s="44">
        <f t="shared" si="0"/>
        <v>-10536.100000000006</v>
      </c>
      <c r="F17" s="45">
        <f t="shared" si="3"/>
        <v>-6.1746019746114718E-2</v>
      </c>
      <c r="G17" s="46">
        <v>183763</v>
      </c>
      <c r="H17" s="46">
        <f t="shared" si="1"/>
        <v>-23663</v>
      </c>
      <c r="I17" s="45">
        <f t="shared" si="2"/>
        <v>-0.12876912109619457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146362</v>
      </c>
      <c r="D18" s="37">
        <v>161338.29999999999</v>
      </c>
      <c r="E18" s="37">
        <f t="shared" si="0"/>
        <v>-14976.299999999988</v>
      </c>
      <c r="F18" s="38">
        <f t="shared" si="3"/>
        <v>-9.2825448142195552E-2</v>
      </c>
      <c r="G18" s="39">
        <v>180042.2</v>
      </c>
      <c r="H18" s="39">
        <f t="shared" si="1"/>
        <v>-33680.200000000012</v>
      </c>
      <c r="I18" s="40">
        <f t="shared" si="2"/>
        <v>-0.18706836508329719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353999</v>
      </c>
      <c r="D19" s="44">
        <v>370497.6</v>
      </c>
      <c r="E19" s="44">
        <f t="shared" si="0"/>
        <v>-16498.599999999977</v>
      </c>
      <c r="F19" s="45">
        <f t="shared" si="3"/>
        <v>-4.453092273742118E-2</v>
      </c>
      <c r="G19" s="46">
        <v>387151</v>
      </c>
      <c r="H19" s="46">
        <f t="shared" si="1"/>
        <v>-33152</v>
      </c>
      <c r="I19" s="45">
        <f t="shared" si="2"/>
        <v>-8.5630671236804248E-2</v>
      </c>
      <c r="J19" s="58" t="s">
        <v>183</v>
      </c>
      <c r="K19" s="58" t="s">
        <v>182</v>
      </c>
    </row>
    <row r="20" spans="1:11" ht="15.75">
      <c r="A20" s="51" t="str">
        <v>Palombo B</v>
      </c>
      <c r="B20" s="48" t="str">
        <v>MA</v>
      </c>
      <c r="C20" s="36">
        <v>179265</v>
      </c>
      <c r="D20" s="37">
        <v>158947.5</v>
      </c>
      <c r="E20" s="37">
        <f t="shared" si="0"/>
        <v>20317.5</v>
      </c>
      <c r="F20" s="38">
        <f t="shared" si="3"/>
        <v>0.12782522531024396</v>
      </c>
      <c r="G20" s="39">
        <v>188793.60000000001</v>
      </c>
      <c r="H20" s="39">
        <f t="shared" si="1"/>
        <v>-9528.6000000000058</v>
      </c>
      <c r="I20" s="40">
        <f t="shared" si="2"/>
        <v>-5.0470990542052299E-2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169269</v>
      </c>
      <c r="D21" s="44">
        <v>187694.1</v>
      </c>
      <c r="E21" s="44">
        <f t="shared" si="0"/>
        <v>-18425.100000000006</v>
      </c>
      <c r="F21" s="45">
        <f t="shared" si="3"/>
        <v>-9.8165578992626859E-2</v>
      </c>
      <c r="G21" s="46">
        <v>180633.60000000001</v>
      </c>
      <c r="H21" s="46">
        <f t="shared" si="1"/>
        <v>-11364.600000000006</v>
      </c>
      <c r="I21" s="45">
        <f t="shared" si="2"/>
        <v>-6.2915205144557854E-2</v>
      </c>
      <c r="J21" s="58"/>
      <c r="K21" s="59"/>
    </row>
    <row r="22" spans="1:11" ht="15.75">
      <c r="A22" s="51" t="str">
        <v>Sunset A</v>
      </c>
      <c r="B22" s="48" t="str">
        <v>MA</v>
      </c>
      <c r="C22" s="36">
        <v>83293.5</v>
      </c>
      <c r="D22" s="37">
        <v>91500.77</v>
      </c>
      <c r="E22" s="37">
        <f t="shared" si="0"/>
        <v>-8207.2700000000041</v>
      </c>
      <c r="F22" s="38">
        <f t="shared" si="3"/>
        <v>-8.9696185070355192E-2</v>
      </c>
      <c r="G22" s="39">
        <v>85437.62</v>
      </c>
      <c r="H22" s="39">
        <f t="shared" si="1"/>
        <v>-2144.1199999999953</v>
      </c>
      <c r="I22" s="40">
        <f t="shared" si="2"/>
        <v>-2.5095736515132274E-2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78206.75</v>
      </c>
      <c r="D23" s="44">
        <v>80693.39</v>
      </c>
      <c r="E23" s="44">
        <f t="shared" si="0"/>
        <v>-2486.6399999999994</v>
      </c>
      <c r="F23" s="45">
        <f t="shared" si="3"/>
        <v>-3.0815906978254346E-2</v>
      </c>
      <c r="G23" s="46">
        <v>84411.3</v>
      </c>
      <c r="H23" s="46">
        <f t="shared" si="1"/>
        <v>-6204.5500000000029</v>
      </c>
      <c r="I23" s="45">
        <f t="shared" si="2"/>
        <v>-7.3503784445921372E-2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170083</v>
      </c>
      <c r="D24" s="37">
        <v>176120.8</v>
      </c>
      <c r="E24" s="37">
        <f t="shared" si="0"/>
        <v>-6037.7999999999884</v>
      </c>
      <c r="F24" s="38">
        <f t="shared" si="3"/>
        <v>-3.4282151795812808E-2</v>
      </c>
      <c r="G24" s="39">
        <v>191551.2</v>
      </c>
      <c r="H24" s="39">
        <f t="shared" si="1"/>
        <v>-21468.200000000012</v>
      </c>
      <c r="I24" s="40">
        <f t="shared" si="2"/>
        <v>-0.11207551819043687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 t="s">
        <v>184</v>
      </c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F4" activePane="bottomRight" state="frozen"/>
      <selection pane="bottomRight" activeCell="J4" sqref="J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185</v>
      </c>
      <c r="E1" s="77"/>
      <c r="F1" s="77"/>
      <c r="G1" s="75" t="s">
        <v>186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187</v>
      </c>
      <c r="E1" s="77"/>
      <c r="F1" s="77"/>
      <c r="G1" s="75" t="s">
        <v>188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189</v>
      </c>
      <c r="E1" s="77"/>
      <c r="F1" s="77"/>
      <c r="G1" s="75" t="s">
        <v>190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G26" sqref="G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191</v>
      </c>
      <c r="E1" s="77"/>
      <c r="F1" s="77"/>
      <c r="G1" s="75" t="s">
        <v>192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193</v>
      </c>
      <c r="B1" t="s">
        <v>194</v>
      </c>
    </row>
    <row r="3" spans="1:12">
      <c r="A3" t="s">
        <v>195</v>
      </c>
      <c r="B3" t="s">
        <v>3</v>
      </c>
      <c r="C3" t="s">
        <v>4</v>
      </c>
      <c r="D3" t="s">
        <v>196</v>
      </c>
      <c r="E3" s="2" t="s">
        <v>197</v>
      </c>
    </row>
    <row r="4" spans="1:12" ht="14.25">
      <c r="A4" s="26" t="s">
        <v>198</v>
      </c>
      <c r="B4" t="s">
        <v>198</v>
      </c>
      <c r="C4" s="25" t="s">
        <v>199</v>
      </c>
      <c r="D4" s="24" t="s">
        <v>200</v>
      </c>
      <c r="E4" t="s">
        <v>201</v>
      </c>
      <c r="G4" s="3"/>
    </row>
    <row r="5" spans="1:12" ht="14.25">
      <c r="A5" s="26" t="s">
        <v>202</v>
      </c>
      <c r="B5" t="s">
        <v>202</v>
      </c>
      <c r="C5" s="25" t="s">
        <v>203</v>
      </c>
      <c r="D5" s="24" t="s">
        <v>200</v>
      </c>
      <c r="E5" t="s">
        <v>201</v>
      </c>
      <c r="G5" s="3"/>
    </row>
    <row r="6" spans="1:12" ht="14.25">
      <c r="A6" s="26" t="s">
        <v>204</v>
      </c>
      <c r="B6" t="s">
        <v>204</v>
      </c>
      <c r="C6" s="25" t="s">
        <v>203</v>
      </c>
      <c r="D6" s="24" t="s">
        <v>200</v>
      </c>
      <c r="E6" t="s">
        <v>201</v>
      </c>
      <c r="G6" s="3"/>
    </row>
    <row r="7" spans="1:12" ht="12.75" customHeight="1">
      <c r="A7" s="26" t="s">
        <v>205</v>
      </c>
      <c r="B7" t="s">
        <v>205</v>
      </c>
      <c r="C7" s="25" t="s">
        <v>203</v>
      </c>
      <c r="D7" s="24" t="s">
        <v>200</v>
      </c>
      <c r="E7" t="s">
        <v>201</v>
      </c>
    </row>
    <row r="8" spans="1:12" ht="12.75" customHeight="1">
      <c r="A8" s="26" t="s">
        <v>206</v>
      </c>
      <c r="B8" t="s">
        <v>206</v>
      </c>
      <c r="C8" s="25" t="s">
        <v>203</v>
      </c>
      <c r="D8" s="24" t="s">
        <v>200</v>
      </c>
      <c r="E8" t="s">
        <v>201</v>
      </c>
    </row>
    <row r="9" spans="1:12" ht="12.75" customHeight="1">
      <c r="A9" s="26" t="s">
        <v>207</v>
      </c>
      <c r="B9" t="s">
        <v>207</v>
      </c>
      <c r="C9" s="25" t="s">
        <v>203</v>
      </c>
      <c r="D9" s="24" t="s">
        <v>200</v>
      </c>
      <c r="E9" t="s">
        <v>201</v>
      </c>
    </row>
    <row r="10" spans="1:12" ht="12.75" customHeight="1">
      <c r="A10" s="26" t="s">
        <v>208</v>
      </c>
      <c r="B10" t="s">
        <v>208</v>
      </c>
      <c r="C10" s="25" t="s">
        <v>203</v>
      </c>
      <c r="D10" s="24" t="s">
        <v>200</v>
      </c>
      <c r="E10" t="s">
        <v>201</v>
      </c>
      <c r="K10" s="21"/>
      <c r="L10" s="21"/>
    </row>
    <row r="11" spans="1:12" ht="12.75" customHeight="1">
      <c r="A11" s="26" t="s">
        <v>209</v>
      </c>
      <c r="B11" t="s">
        <v>209</v>
      </c>
      <c r="C11" s="25" t="s">
        <v>203</v>
      </c>
      <c r="D11" s="24" t="s">
        <v>200</v>
      </c>
      <c r="E11" t="s">
        <v>201</v>
      </c>
      <c r="K11" s="21"/>
      <c r="L11" s="21"/>
    </row>
    <row r="12" spans="1:12" ht="12.75" customHeight="1">
      <c r="A12" s="26" t="s">
        <v>210</v>
      </c>
      <c r="B12" t="s">
        <v>210</v>
      </c>
      <c r="C12" s="25" t="s">
        <v>203</v>
      </c>
      <c r="D12" s="24" t="s">
        <v>200</v>
      </c>
      <c r="E12" t="s">
        <v>201</v>
      </c>
      <c r="K12" s="21"/>
      <c r="L12" s="21"/>
    </row>
    <row r="13" spans="1:12" ht="12.75" customHeight="1">
      <c r="A13" s="26" t="s">
        <v>211</v>
      </c>
      <c r="B13" t="s">
        <v>211</v>
      </c>
      <c r="C13" s="25" t="s">
        <v>203</v>
      </c>
      <c r="D13" s="24" t="s">
        <v>200</v>
      </c>
      <c r="E13" t="s">
        <v>201</v>
      </c>
      <c r="K13" s="21"/>
      <c r="L13" s="21"/>
    </row>
    <row r="14" spans="1:12" ht="12.75" customHeight="1">
      <c r="A14" s="26" t="s">
        <v>212</v>
      </c>
      <c r="B14" t="s">
        <v>212</v>
      </c>
      <c r="C14" s="25" t="s">
        <v>203</v>
      </c>
      <c r="D14" s="24" t="s">
        <v>200</v>
      </c>
      <c r="E14" t="s">
        <v>201</v>
      </c>
      <c r="K14" s="21"/>
      <c r="L14" s="21"/>
    </row>
    <row r="15" spans="1:12" ht="12.75" customHeight="1">
      <c r="A15" s="26" t="s">
        <v>213</v>
      </c>
      <c r="B15" t="s">
        <v>213</v>
      </c>
      <c r="C15" s="25" t="s">
        <v>203</v>
      </c>
      <c r="D15" s="24" t="s">
        <v>200</v>
      </c>
      <c r="E15" t="s">
        <v>201</v>
      </c>
      <c r="K15" s="21"/>
      <c r="L15" s="21"/>
    </row>
    <row r="16" spans="1:12" ht="12.75" customHeight="1">
      <c r="A16" s="26" t="s">
        <v>214</v>
      </c>
      <c r="B16" t="s">
        <v>214</v>
      </c>
      <c r="C16" s="25" t="s">
        <v>203</v>
      </c>
      <c r="D16" s="24" t="s">
        <v>200</v>
      </c>
      <c r="E16" t="s">
        <v>201</v>
      </c>
      <c r="K16" s="21"/>
      <c r="L16" s="21"/>
    </row>
    <row r="17" spans="1:12" ht="12.75" customHeight="1">
      <c r="A17" s="26" t="s">
        <v>215</v>
      </c>
      <c r="B17" t="s">
        <v>215</v>
      </c>
      <c r="C17" s="25" t="s">
        <v>203</v>
      </c>
      <c r="D17" s="24" t="s">
        <v>200</v>
      </c>
      <c r="E17" t="s">
        <v>201</v>
      </c>
      <c r="K17" s="21"/>
      <c r="L17" s="21"/>
    </row>
    <row r="18" spans="1:12" ht="12.75" customHeight="1">
      <c r="A18" s="26" t="s">
        <v>216</v>
      </c>
      <c r="B18" t="s">
        <v>216</v>
      </c>
      <c r="C18" s="25" t="s">
        <v>203</v>
      </c>
      <c r="D18" s="24" t="s">
        <v>200</v>
      </c>
      <c r="E18" t="s">
        <v>201</v>
      </c>
      <c r="K18" s="21"/>
      <c r="L18" s="21"/>
    </row>
    <row r="19" spans="1:12" ht="12.75" customHeight="1">
      <c r="A19" s="26" t="s">
        <v>217</v>
      </c>
      <c r="B19" t="s">
        <v>217</v>
      </c>
      <c r="C19" s="25" t="s">
        <v>203</v>
      </c>
      <c r="D19" s="24" t="s">
        <v>200</v>
      </c>
      <c r="E19" t="s">
        <v>201</v>
      </c>
      <c r="K19" s="21"/>
      <c r="L19" s="21"/>
    </row>
    <row r="20" spans="1:12" ht="12.75" customHeight="1">
      <c r="A20" s="26" t="s">
        <v>218</v>
      </c>
      <c r="B20" t="s">
        <v>218</v>
      </c>
      <c r="C20" s="25" t="s">
        <v>203</v>
      </c>
      <c r="D20" s="24" t="s">
        <v>200</v>
      </c>
      <c r="E20" t="s">
        <v>201</v>
      </c>
      <c r="K20" s="21"/>
      <c r="L20" s="21"/>
    </row>
    <row r="21" spans="1:12" ht="12.75" customHeight="1">
      <c r="A21" s="26" t="s">
        <v>219</v>
      </c>
      <c r="B21" t="s">
        <v>219</v>
      </c>
      <c r="C21" s="25" t="s">
        <v>203</v>
      </c>
      <c r="D21" s="24" t="s">
        <v>200</v>
      </c>
      <c r="E21" t="s">
        <v>201</v>
      </c>
      <c r="K21" s="21"/>
      <c r="L21" s="21"/>
    </row>
    <row r="22" spans="1:12" ht="12.75" customHeight="1">
      <c r="A22" s="26" t="s">
        <v>220</v>
      </c>
      <c r="B22" t="s">
        <v>220</v>
      </c>
      <c r="C22" s="25" t="s">
        <v>203</v>
      </c>
      <c r="D22" s="24" t="s">
        <v>200</v>
      </c>
      <c r="E22" t="s">
        <v>201</v>
      </c>
      <c r="K22" s="21"/>
      <c r="L22" s="21"/>
    </row>
    <row r="23" spans="1:12" ht="12.75" customHeight="1">
      <c r="A23" s="26" t="s">
        <v>221</v>
      </c>
      <c r="B23" t="s">
        <v>221</v>
      </c>
      <c r="C23" s="25" t="s">
        <v>203</v>
      </c>
      <c r="D23" s="24" t="s">
        <v>200</v>
      </c>
      <c r="E23" t="s">
        <v>201</v>
      </c>
      <c r="K23" s="21"/>
      <c r="L23" s="21"/>
    </row>
    <row r="24" spans="1:12" ht="12.75" customHeight="1">
      <c r="A24" s="26" t="s">
        <v>222</v>
      </c>
      <c r="B24" t="s">
        <v>222</v>
      </c>
      <c r="C24" s="25" t="s">
        <v>203</v>
      </c>
      <c r="D24" s="24" t="s">
        <v>200</v>
      </c>
      <c r="E24" t="s">
        <v>201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2024-09-19T01:39:15Z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2024-09-18T22:52:08Z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</Properties>
</file>