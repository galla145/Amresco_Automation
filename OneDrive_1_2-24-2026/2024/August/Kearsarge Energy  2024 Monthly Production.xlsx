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233EBF2-5145-47C8-9A21-E5E88CECC8DC}" xr6:coauthVersionLast="47" xr6:coauthVersionMax="47" xr10:uidLastSave="{00000000-0000-0000-0000-000000000000}"/>
  <bookViews>
    <workbookView xWindow="-108" yWindow="-108" windowWidth="23256" windowHeight="12456" tabRatio="866" firstSheet="10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<sst xmlns="http://schemas.openxmlformats.org/spreadsheetml/2006/main" count="239" uniqueCount="51">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</sst>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topRight"/>
      <selection pane="bottomLeft"/>
      <selection pane="bottomRight" activeCell="I8" sqref="I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SUM(C4:C87)</f>
        <v>2079950</v>
      </c>
      <c r="D2" s="6">
        <f>SUM(D4:D87)</f>
        <v>0</v>
      </c>
      <c r="E2" s="6">
        <f>C2-D2</f>
        <v>2079950</v>
      </c>
      <c r="F2" s="7">
        <f>IFERROR(E2/D2, 0)</f>
        <v>0</v>
      </c>
      <c r="G2" s="6">
        <f>SUM(G4:G87)</f>
        <v>0</v>
      </c>
      <c r="H2" s="8">
        <f>C2-G2</f>
        <v>2079950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2079950</v>
      </c>
      <c r="D4" s="13">
        <f>SUM('1st Qtr'!D4, '2nd Qtr'!D4, '3rd Qtr'!D4, '4th Qtr'!D4)</f>
        <v>0</v>
      </c>
      <c r="E4" s="13">
        <f>IF(AND(ISNUMBER(C4),ISNUMBER(D4)), C4-D4, "")</f>
        <v>2079950</v>
      </c>
      <c r="F4" s="14" t="str">
        <f>IFERROR(E4/D4, "")</f>
        <v/>
      </c>
      <c r="G4" s="15">
        <v>0</v>
      </c>
      <c r="H4" s="15">
        <f>SUM('1st Qtr'!H4, '2nd Qtr'!H4, '3rd Qtr'!H4, '4th Qtr'!H4)</f>
        <v>1806536</v>
      </c>
      <c r="I4" s="16" t="str">
        <f>IFERROR(H4/G4, "")</f>
        <v/>
      </c>
    </row>
    <row r="5" spans="1:9" ht="12.75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8" x14ac:dyDescent="0.3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8" x14ac:dyDescent="0.3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8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8" x14ac:dyDescent="0.3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8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8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8" x14ac:dyDescent="0.3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8" x14ac:dyDescent="0.3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8" x14ac:dyDescent="0.3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8" x14ac:dyDescent="0.3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8" x14ac:dyDescent="0.3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8" x14ac:dyDescent="0.3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8" x14ac:dyDescent="0.3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8" x14ac:dyDescent="0.3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8" x14ac:dyDescent="0.3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topRight"/>
      <selection pane="bottomLeft"/>
      <selection pane="bottomRight" activeCell="H37" sqref="H3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8" x14ac:dyDescent="0.3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8" x14ac:dyDescent="0.3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8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8" x14ac:dyDescent="0.3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8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8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8" x14ac:dyDescent="0.3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8" x14ac:dyDescent="0.3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8" x14ac:dyDescent="0.3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8" x14ac:dyDescent="0.3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8" x14ac:dyDescent="0.3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8" x14ac:dyDescent="0.3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8" x14ac:dyDescent="0.3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8" x14ac:dyDescent="0.3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8" x14ac:dyDescent="0.3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topRight"/>
      <selection pane="bottomLeft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8" x14ac:dyDescent="0.3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8" x14ac:dyDescent="0.3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8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8" x14ac:dyDescent="0.3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8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8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8" x14ac:dyDescent="0.3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8" x14ac:dyDescent="0.3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8" x14ac:dyDescent="0.3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8" x14ac:dyDescent="0.3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8" x14ac:dyDescent="0.3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8" x14ac:dyDescent="0.3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8" x14ac:dyDescent="0.3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8" x14ac:dyDescent="0.3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8" x14ac:dyDescent="0.3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topRight"/>
      <selection pane="bottomLeft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SUM(C4:C87)</f>
        <v>575608</v>
      </c>
      <c r="D2" s="6">
        <f>SUM(D4:D87)</f>
        <v>0</v>
      </c>
      <c r="E2" s="6">
        <f>C2-D2</f>
        <v>575608</v>
      </c>
      <c r="F2" s="7">
        <f>IFERROR(E2/D2, 0)</f>
        <v>0</v>
      </c>
      <c r="G2" s="6">
        <f>SUM(G4:G87)</f>
        <v>0</v>
      </c>
      <c r="H2" s="8">
        <f>C2-G2</f>
        <v>575608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575608</v>
      </c>
      <c r="D4" s="13">
        <f>SUM(Jul!D4, Aug!D4, Sep!D4)</f>
        <v>0</v>
      </c>
      <c r="E4" s="13">
        <f>IF(AND(ISNUMBER(C4),ISNUMBER(D4)), C4-D4, "")</f>
        <v>575608</v>
      </c>
      <c r="F4" s="14" t="str">
        <f>IFERROR(E4/D4, "")</f>
        <v/>
      </c>
      <c r="G4" s="15"/>
      <c r="H4" s="15">
        <f>SUM(Jul!H4, Aug!H4, Sep!H4)</f>
        <v>302194</v>
      </c>
      <c r="I4" s="16" t="str">
        <f>IFERROR(H4/G4, "")</f>
        <v/>
      </c>
    </row>
    <row r="5" spans="1:9" ht="12.75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8" x14ac:dyDescent="0.3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8" x14ac:dyDescent="0.3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8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8" x14ac:dyDescent="0.3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8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8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8" x14ac:dyDescent="0.3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8" x14ac:dyDescent="0.3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8" x14ac:dyDescent="0.3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8" x14ac:dyDescent="0.3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8" x14ac:dyDescent="0.3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8" x14ac:dyDescent="0.3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8" x14ac:dyDescent="0.3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8" x14ac:dyDescent="0.3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8" x14ac:dyDescent="0.3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topRight"/>
      <selection pane="bottomLeft"/>
      <selection pane="bottomRight" activeCell="D27" sqref="D2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8" x14ac:dyDescent="0.3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8" x14ac:dyDescent="0.3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8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8" x14ac:dyDescent="0.3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8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8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8" x14ac:dyDescent="0.3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8" x14ac:dyDescent="0.3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8" x14ac:dyDescent="0.3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8" x14ac:dyDescent="0.3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8" x14ac:dyDescent="0.3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8" x14ac:dyDescent="0.3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8" x14ac:dyDescent="0.3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8" x14ac:dyDescent="0.3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8" x14ac:dyDescent="0.3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topRight"/>
      <selection pane="bottomLeft"/>
      <selection pane="bottomRight" activeCell="F22" sqref="F22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39"/>
      <c r="K4" s="39"/>
    </row>
    <row r="5" spans="1:11" ht="14.4" x14ac:dyDescent="0.3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" x14ac:dyDescent="0.3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" x14ac:dyDescent="0.3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" x14ac:dyDescent="0.3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" x14ac:dyDescent="0.3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" x14ac:dyDescent="0.3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F21" sqref="F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E24" sqref="E24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D23" sqref="D23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D20" sqref="D20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G5" sqref="G5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G4" sqref="G4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G11" sqref="G1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302194</v>
      </c>
      <c r="D2" s="6">
        <f>SUM(D4:D88)</f>
        <v>0</v>
      </c>
      <c r="E2" s="6">
        <f>C2-D2</f>
        <v>302194</v>
      </c>
      <c r="F2" s="7">
        <f>IFERROR(E2/D2, 0)</f>
        <v>0</v>
      </c>
      <c r="G2" s="6">
        <f>SUM(G4:G88)</f>
        <v>0</v>
      </c>
      <c r="H2" s="8">
        <f>C2-G2</f>
        <v>302194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302194</v>
      </c>
      <c r="D4" s="13">
        <v>0</v>
      </c>
      <c r="E4" s="13">
        <f>IF(AND(ISNUMBER(C4),ISNUMBER(D4)), C4-D4, "")</f>
        <v>302194</v>
      </c>
      <c r="F4" s="14" t="str">
        <f>IFERROR(E4/D4, "")</f>
        <v/>
      </c>
      <c r="G4" s="15">
        <v>0</v>
      </c>
      <c r="H4" s="15">
        <f>IF(AND(ISNUMBER(C4),ISNUMBER(G4)), C4-G4, "")</f>
        <v>302194</v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topRight"/>
      <selection pane="bottomLeft"/>
      <selection pane="bottomRight" activeCell="A5" sqref="A5:XFD17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 x14ac:dyDescent="0.3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A5" sqref="A5:XFD16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A5" sqref="A5:XFD16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topRight"/>
      <selection pane="bottomLeft"/>
      <selection pane="bottomRight" activeCell="A5" sqref="A5:XFD16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 x14ac:dyDescent="0.3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 x14ac:dyDescent="0.2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 x14ac:dyDescent="0.3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" x14ac:dyDescent="0.3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" x14ac:dyDescent="0.3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" x14ac:dyDescent="0.3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" x14ac:dyDescent="0.3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" x14ac:dyDescent="0.3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" x14ac:dyDescent="0.3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" x14ac:dyDescent="0.3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" x14ac:dyDescent="0.3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" x14ac:dyDescent="0.3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" x14ac:dyDescent="0.3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" x14ac:dyDescent="0.3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" x14ac:dyDescent="0.3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" x14ac:dyDescent="0.3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" x14ac:dyDescent="0.3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" x14ac:dyDescent="0.3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" x14ac:dyDescent="0.3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" x14ac:dyDescent="0.3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" x14ac:dyDescent="0.3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" x14ac:dyDescent="0.3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44</v>
      </c>
      <c r="B1" t="s">
        <v>45</v>
      </c>
    </row>
    <row r="3" spans="1:7" ht="13.2" x14ac:dyDescent="0.2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" x14ac:dyDescent="0.3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5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5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1</cp:lastModifiedBy>
  <cp:revision/>
  <dcterms:created xsi:type="dcterms:W3CDTF">2021-01-01T16:39:53Z</dcterms:created>
  <dcterms:modified xsi:type="dcterms:W3CDTF">2024-09-12T07:09:11Z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