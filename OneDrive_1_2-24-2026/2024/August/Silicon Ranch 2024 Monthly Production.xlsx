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163" documentId="13_ncr:1_{EEE74EC1-1456-4784-BB4D-48DDA9AC2296}" xr6:coauthVersionLast="47" xr6:coauthVersionMax="47" xr10:uidLastSave="{F178C1C8-F4AA-41BD-B800-0F3DA8338396}"/>
  <bookViews>
    <workbookView xWindow="-98" yWindow="-98" windowWidth="21795" windowHeight="12975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7" l="1"/>
  <c r="I18" i="27" s="1"/>
  <c r="H19" i="27"/>
  <c r="I19" i="27" s="1"/>
  <c r="H20" i="27"/>
  <c r="I20" i="27" s="1"/>
  <c r="H21" i="27"/>
  <c r="I21" i="27"/>
  <c r="H22" i="27"/>
  <c r="I22" i="27" s="1"/>
  <c r="H23" i="27"/>
  <c r="I23" i="27" s="1"/>
  <c r="H24" i="27"/>
  <c r="I24" i="27" s="1"/>
  <c r="H25" i="27"/>
  <c r="I25" i="27"/>
  <c r="H26" i="27"/>
  <c r="I26" i="27" s="1"/>
  <c r="H27" i="27"/>
  <c r="I27" i="27" s="1"/>
  <c r="H28" i="27"/>
  <c r="I28" i="27" s="1"/>
  <c r="H29" i="27"/>
  <c r="I29" i="27"/>
  <c r="H30" i="27"/>
  <c r="I30" i="27" s="1"/>
  <c r="H31" i="27"/>
  <c r="I31" i="27" s="1"/>
  <c r="H32" i="27"/>
  <c r="I32" i="27" s="1"/>
  <c r="H33" i="27"/>
  <c r="I33" i="27"/>
  <c r="H34" i="27"/>
  <c r="I34" i="27" s="1"/>
  <c r="H35" i="27"/>
  <c r="I35" i="27" s="1"/>
  <c r="H36" i="27"/>
  <c r="I36" i="27" s="1"/>
  <c r="H37" i="27"/>
  <c r="I37" i="27"/>
  <c r="H38" i="27"/>
  <c r="I38" i="27" s="1"/>
  <c r="H39" i="27"/>
  <c r="I39" i="27" s="1"/>
  <c r="H40" i="27"/>
  <c r="I40" i="27" s="1"/>
  <c r="H41" i="27"/>
  <c r="H41" i="29" s="1"/>
  <c r="I41" i="27"/>
  <c r="H42" i="27"/>
  <c r="I42" i="27" s="1"/>
  <c r="H43" i="27"/>
  <c r="I43" i="27" s="1"/>
  <c r="H44" i="27"/>
  <c r="I44" i="27" s="1"/>
  <c r="H45" i="27"/>
  <c r="I45" i="27"/>
  <c r="H46" i="27"/>
  <c r="I46" i="27" s="1"/>
  <c r="H47" i="27"/>
  <c r="I47" i="27" s="1"/>
  <c r="H48" i="27"/>
  <c r="I48" i="27" s="1"/>
  <c r="H49" i="27"/>
  <c r="H49" i="29" s="1"/>
  <c r="I49" i="27"/>
  <c r="H50" i="27"/>
  <c r="I50" i="27" s="1"/>
  <c r="H51" i="27"/>
  <c r="I51" i="27" s="1"/>
  <c r="H52" i="27"/>
  <c r="I52" i="27" s="1"/>
  <c r="H53" i="27"/>
  <c r="I53" i="27"/>
  <c r="H54" i="27"/>
  <c r="I54" i="27" s="1"/>
  <c r="H55" i="27"/>
  <c r="I55" i="27" s="1"/>
  <c r="H56" i="27"/>
  <c r="I56" i="27" s="1"/>
  <c r="H57" i="27"/>
  <c r="H57" i="29" s="1"/>
  <c r="I57" i="27"/>
  <c r="H58" i="27"/>
  <c r="I58" i="27" s="1"/>
  <c r="H59" i="27"/>
  <c r="I59" i="27" s="1"/>
  <c r="H60" i="27"/>
  <c r="I60" i="27" s="1"/>
  <c r="H61" i="27"/>
  <c r="I61" i="27"/>
  <c r="H62" i="27"/>
  <c r="I62" i="27" s="1"/>
  <c r="H63" i="27"/>
  <c r="I63" i="27" s="1"/>
  <c r="H64" i="27"/>
  <c r="I64" i="27" s="1"/>
  <c r="H65" i="27"/>
  <c r="I65" i="27"/>
  <c r="H66" i="27"/>
  <c r="I66" i="27" s="1"/>
  <c r="H67" i="27"/>
  <c r="I67" i="27" s="1"/>
  <c r="H68" i="27"/>
  <c r="I68" i="27" s="1"/>
  <c r="H29" i="29"/>
  <c r="H33" i="29"/>
  <c r="H37" i="29"/>
  <c r="H45" i="29"/>
  <c r="H53" i="29"/>
  <c r="H65" i="29"/>
  <c r="I4" i="27"/>
  <c r="I5" i="27"/>
  <c r="I6" i="27"/>
  <c r="I7" i="27"/>
  <c r="I8" i="27"/>
  <c r="I9" i="27"/>
  <c r="I10" i="27"/>
  <c r="H4" i="27"/>
  <c r="H5" i="27"/>
  <c r="H6" i="27"/>
  <c r="H7" i="27"/>
  <c r="H8" i="27"/>
  <c r="H9" i="27"/>
  <c r="H10" i="27"/>
  <c r="H10" i="29"/>
  <c r="I10" i="29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E27" i="27"/>
  <c r="F27" i="27" s="1"/>
  <c r="E28" i="27"/>
  <c r="F28" i="27"/>
  <c r="E29" i="27"/>
  <c r="F29" i="27" s="1"/>
  <c r="E30" i="27"/>
  <c r="F30" i="27" s="1"/>
  <c r="E31" i="27"/>
  <c r="F31" i="27" s="1"/>
  <c r="E32" i="27"/>
  <c r="F32" i="27" s="1"/>
  <c r="E33" i="27"/>
  <c r="F33" i="27"/>
  <c r="E34" i="27"/>
  <c r="F34" i="27" s="1"/>
  <c r="E35" i="27"/>
  <c r="F35" i="27" s="1"/>
  <c r="E36" i="27"/>
  <c r="F36" i="27" s="1"/>
  <c r="E37" i="27"/>
  <c r="F37" i="27" s="1"/>
  <c r="E38" i="27"/>
  <c r="F38" i="27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/>
  <c r="E45" i="27"/>
  <c r="F45" i="27" s="1"/>
  <c r="E46" i="27"/>
  <c r="F46" i="27" s="1"/>
  <c r="E47" i="27"/>
  <c r="F47" i="27" s="1"/>
  <c r="E48" i="27"/>
  <c r="F48" i="27" s="1"/>
  <c r="E49" i="27"/>
  <c r="F49" i="27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/>
  <c r="E61" i="27"/>
  <c r="F61" i="27" s="1"/>
  <c r="E62" i="27"/>
  <c r="F62" i="27" s="1"/>
  <c r="E63" i="27"/>
  <c r="F63" i="27" s="1"/>
  <c r="E64" i="27"/>
  <c r="F64" i="27"/>
  <c r="E65" i="27"/>
  <c r="F65" i="27"/>
  <c r="E66" i="27"/>
  <c r="F66" i="27" s="1"/>
  <c r="E67" i="27"/>
  <c r="F67" i="27" s="1"/>
  <c r="E68" i="27"/>
  <c r="F68" i="27" s="1"/>
  <c r="E4" i="27"/>
  <c r="F4" i="27" s="1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C21" i="30"/>
  <c r="D21" i="30"/>
  <c r="E21" i="30"/>
  <c r="F21" i="30"/>
  <c r="H21" i="30"/>
  <c r="I21" i="30"/>
  <c r="C22" i="30"/>
  <c r="D22" i="30"/>
  <c r="E22" i="30"/>
  <c r="F22" i="30"/>
  <c r="H22" i="30"/>
  <c r="I22" i="30"/>
  <c r="C23" i="30"/>
  <c r="D23" i="30"/>
  <c r="E23" i="30"/>
  <c r="F23" i="30"/>
  <c r="H23" i="30"/>
  <c r="I23" i="30"/>
  <c r="C24" i="30"/>
  <c r="D24" i="30"/>
  <c r="E24" i="30"/>
  <c r="F24" i="30"/>
  <c r="H24" i="30"/>
  <c r="I24" i="30"/>
  <c r="C25" i="30"/>
  <c r="D25" i="30"/>
  <c r="E25" i="30"/>
  <c r="F25" i="30"/>
  <c r="H25" i="30"/>
  <c r="I25" i="30"/>
  <c r="C26" i="30"/>
  <c r="D26" i="30"/>
  <c r="E26" i="30"/>
  <c r="F26" i="30"/>
  <c r="H26" i="30"/>
  <c r="I26" i="30"/>
  <c r="C27" i="30"/>
  <c r="D27" i="30"/>
  <c r="E27" i="30"/>
  <c r="F27" i="30"/>
  <c r="H27" i="30"/>
  <c r="I27" i="30"/>
  <c r="C28" i="30"/>
  <c r="D28" i="30"/>
  <c r="E28" i="30"/>
  <c r="F28" i="30"/>
  <c r="H28" i="30"/>
  <c r="I28" i="30"/>
  <c r="C29" i="30"/>
  <c r="D29" i="30"/>
  <c r="E29" i="30"/>
  <c r="F29" i="30"/>
  <c r="H29" i="30"/>
  <c r="I29" i="30"/>
  <c r="C30" i="30"/>
  <c r="D30" i="30"/>
  <c r="E30" i="30"/>
  <c r="F30" i="30"/>
  <c r="H30" i="30"/>
  <c r="I30" i="30"/>
  <c r="C31" i="30"/>
  <c r="D31" i="30"/>
  <c r="E31" i="30"/>
  <c r="F31" i="30"/>
  <c r="H31" i="30"/>
  <c r="I31" i="30"/>
  <c r="C32" i="30"/>
  <c r="D32" i="30"/>
  <c r="E32" i="30"/>
  <c r="F32" i="30"/>
  <c r="H32" i="30"/>
  <c r="I32" i="30"/>
  <c r="C33" i="30"/>
  <c r="D33" i="30"/>
  <c r="E33" i="30"/>
  <c r="F33" i="30"/>
  <c r="H33" i="30"/>
  <c r="I33" i="30"/>
  <c r="C34" i="30"/>
  <c r="D34" i="30"/>
  <c r="E34" i="30"/>
  <c r="F34" i="30"/>
  <c r="H34" i="30"/>
  <c r="I34" i="30"/>
  <c r="C35" i="30"/>
  <c r="D35" i="30"/>
  <c r="E35" i="30"/>
  <c r="F35" i="30"/>
  <c r="H35" i="30"/>
  <c r="I35" i="30"/>
  <c r="C36" i="30"/>
  <c r="D36" i="30"/>
  <c r="E36" i="30"/>
  <c r="F36" i="30"/>
  <c r="H36" i="30"/>
  <c r="I36" i="30"/>
  <c r="C37" i="30"/>
  <c r="D37" i="30"/>
  <c r="E37" i="30"/>
  <c r="F37" i="30"/>
  <c r="H37" i="30"/>
  <c r="I37" i="30"/>
  <c r="C38" i="30"/>
  <c r="D38" i="30"/>
  <c r="E38" i="30"/>
  <c r="F38" i="30"/>
  <c r="H38" i="30"/>
  <c r="I38" i="30"/>
  <c r="C39" i="30"/>
  <c r="D39" i="30"/>
  <c r="E39" i="30"/>
  <c r="F39" i="30"/>
  <c r="H39" i="30"/>
  <c r="I39" i="30"/>
  <c r="C40" i="30"/>
  <c r="D40" i="30"/>
  <c r="E40" i="30"/>
  <c r="F40" i="30"/>
  <c r="H40" i="30"/>
  <c r="I40" i="30"/>
  <c r="C41" i="30"/>
  <c r="D41" i="30"/>
  <c r="E41" i="30"/>
  <c r="F41" i="30"/>
  <c r="H41" i="30"/>
  <c r="I41" i="30"/>
  <c r="C42" i="30"/>
  <c r="D42" i="30"/>
  <c r="E42" i="30"/>
  <c r="F42" i="30"/>
  <c r="H42" i="30"/>
  <c r="I42" i="30"/>
  <c r="C43" i="30"/>
  <c r="D43" i="30"/>
  <c r="E43" i="30"/>
  <c r="F43" i="30"/>
  <c r="H43" i="30"/>
  <c r="I43" i="30"/>
  <c r="C44" i="30"/>
  <c r="D44" i="30"/>
  <c r="E44" i="30"/>
  <c r="F44" i="30"/>
  <c r="H44" i="30"/>
  <c r="I44" i="30"/>
  <c r="C45" i="30"/>
  <c r="D45" i="30"/>
  <c r="E45" i="30"/>
  <c r="F45" i="30"/>
  <c r="H45" i="30"/>
  <c r="I45" i="30"/>
  <c r="C46" i="30"/>
  <c r="D46" i="30"/>
  <c r="E46" i="30"/>
  <c r="F46" i="30"/>
  <c r="H46" i="30"/>
  <c r="I46" i="30"/>
  <c r="C47" i="30"/>
  <c r="D47" i="30"/>
  <c r="E47" i="30"/>
  <c r="F47" i="30"/>
  <c r="H47" i="30"/>
  <c r="I47" i="30"/>
  <c r="C48" i="30"/>
  <c r="D48" i="30"/>
  <c r="E48" i="30"/>
  <c r="F48" i="30"/>
  <c r="H48" i="30"/>
  <c r="I48" i="30"/>
  <c r="C49" i="30"/>
  <c r="D49" i="30"/>
  <c r="E49" i="30"/>
  <c r="F49" i="30"/>
  <c r="H49" i="30"/>
  <c r="I49" i="30"/>
  <c r="C50" i="30"/>
  <c r="D50" i="30"/>
  <c r="E50" i="30"/>
  <c r="F50" i="30"/>
  <c r="H50" i="30"/>
  <c r="I50" i="30"/>
  <c r="C51" i="30"/>
  <c r="D51" i="30"/>
  <c r="E51" i="30"/>
  <c r="F51" i="30"/>
  <c r="H51" i="30"/>
  <c r="I51" i="30"/>
  <c r="C52" i="30"/>
  <c r="D52" i="30"/>
  <c r="E52" i="30"/>
  <c r="F52" i="30"/>
  <c r="H52" i="30"/>
  <c r="I52" i="30"/>
  <c r="C53" i="30"/>
  <c r="D53" i="30"/>
  <c r="E53" i="30"/>
  <c r="F53" i="30"/>
  <c r="H53" i="30"/>
  <c r="I53" i="30"/>
  <c r="C54" i="30"/>
  <c r="D54" i="30"/>
  <c r="E54" i="30"/>
  <c r="F54" i="30"/>
  <c r="H54" i="30"/>
  <c r="I54" i="30"/>
  <c r="C55" i="30"/>
  <c r="D55" i="30"/>
  <c r="E55" i="30"/>
  <c r="F55" i="30"/>
  <c r="H55" i="30"/>
  <c r="I55" i="30"/>
  <c r="C56" i="30"/>
  <c r="D56" i="30"/>
  <c r="E56" i="30"/>
  <c r="F56" i="30"/>
  <c r="H56" i="30"/>
  <c r="I56" i="30"/>
  <c r="C57" i="30"/>
  <c r="D57" i="30"/>
  <c r="E57" i="30"/>
  <c r="F57" i="30"/>
  <c r="H57" i="30"/>
  <c r="I57" i="30"/>
  <c r="C58" i="30"/>
  <c r="D58" i="30"/>
  <c r="E58" i="30"/>
  <c r="F58" i="30"/>
  <c r="H58" i="30"/>
  <c r="I58" i="30"/>
  <c r="C59" i="30"/>
  <c r="D59" i="30"/>
  <c r="E59" i="30"/>
  <c r="F59" i="30"/>
  <c r="H59" i="30"/>
  <c r="I59" i="30"/>
  <c r="C60" i="30"/>
  <c r="D60" i="30"/>
  <c r="E60" i="30"/>
  <c r="F60" i="30"/>
  <c r="H60" i="30"/>
  <c r="I60" i="30"/>
  <c r="C61" i="30"/>
  <c r="D61" i="30"/>
  <c r="E61" i="30"/>
  <c r="F61" i="30"/>
  <c r="H61" i="30"/>
  <c r="I61" i="30"/>
  <c r="C62" i="30"/>
  <c r="D62" i="30"/>
  <c r="E62" i="30"/>
  <c r="F62" i="30"/>
  <c r="H62" i="30"/>
  <c r="I62" i="30"/>
  <c r="C63" i="30"/>
  <c r="D63" i="30"/>
  <c r="E63" i="30"/>
  <c r="F63" i="30"/>
  <c r="H63" i="30"/>
  <c r="I63" i="30"/>
  <c r="C64" i="30"/>
  <c r="D64" i="30"/>
  <c r="E64" i="30"/>
  <c r="F64" i="30"/>
  <c r="H64" i="30"/>
  <c r="I64" i="30"/>
  <c r="C65" i="30"/>
  <c r="D65" i="30"/>
  <c r="E65" i="30"/>
  <c r="F65" i="30"/>
  <c r="H65" i="30"/>
  <c r="I65" i="30"/>
  <c r="C66" i="30"/>
  <c r="D66" i="30"/>
  <c r="E66" i="30"/>
  <c r="F66" i="30"/>
  <c r="H66" i="30"/>
  <c r="I66" i="30"/>
  <c r="C67" i="30"/>
  <c r="D67" i="30"/>
  <c r="E67" i="30"/>
  <c r="F67" i="30"/>
  <c r="H67" i="30"/>
  <c r="I67" i="30"/>
  <c r="C68" i="30"/>
  <c r="D68" i="30"/>
  <c r="E68" i="30"/>
  <c r="F68" i="30"/>
  <c r="H68" i="30"/>
  <c r="I68" i="30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D50" i="34"/>
  <c r="H50" i="34"/>
  <c r="H51" i="34"/>
  <c r="H52" i="34"/>
  <c r="H53" i="34"/>
  <c r="H54" i="34"/>
  <c r="G55" i="34"/>
  <c r="I55" i="34" s="1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26" i="18"/>
  <c r="D26" i="18"/>
  <c r="E26" i="18"/>
  <c r="F26" i="18"/>
  <c r="G26" i="18"/>
  <c r="H26" i="18"/>
  <c r="I26" i="18"/>
  <c r="C27" i="18"/>
  <c r="D27" i="18"/>
  <c r="E27" i="18"/>
  <c r="F27" i="18"/>
  <c r="G27" i="18"/>
  <c r="H27" i="18"/>
  <c r="I27" i="18"/>
  <c r="C28" i="18"/>
  <c r="D28" i="18"/>
  <c r="E28" i="18"/>
  <c r="F28" i="18"/>
  <c r="G28" i="18"/>
  <c r="H28" i="18"/>
  <c r="I28" i="18"/>
  <c r="C29" i="18"/>
  <c r="D29" i="18"/>
  <c r="E29" i="18"/>
  <c r="F29" i="18"/>
  <c r="G29" i="18"/>
  <c r="H29" i="18"/>
  <c r="I29" i="18"/>
  <c r="C30" i="18"/>
  <c r="D30" i="18"/>
  <c r="E30" i="18"/>
  <c r="F30" i="18"/>
  <c r="G30" i="18"/>
  <c r="H30" i="18"/>
  <c r="I30" i="18"/>
  <c r="C31" i="18"/>
  <c r="D31" i="18"/>
  <c r="E31" i="18"/>
  <c r="F31" i="18"/>
  <c r="G31" i="18"/>
  <c r="H31" i="18"/>
  <c r="I31" i="18"/>
  <c r="C32" i="18"/>
  <c r="D32" i="18"/>
  <c r="E32" i="18"/>
  <c r="F32" i="18"/>
  <c r="G32" i="18"/>
  <c r="H32" i="18"/>
  <c r="I32" i="18"/>
  <c r="C33" i="18"/>
  <c r="D33" i="18"/>
  <c r="E33" i="18"/>
  <c r="F33" i="18"/>
  <c r="G33" i="18"/>
  <c r="H33" i="18"/>
  <c r="I33" i="18"/>
  <c r="C34" i="18"/>
  <c r="D34" i="18"/>
  <c r="E34" i="18"/>
  <c r="F34" i="18"/>
  <c r="G34" i="18"/>
  <c r="H34" i="18"/>
  <c r="I34" i="18"/>
  <c r="C35" i="18"/>
  <c r="D35" i="18"/>
  <c r="E35" i="18"/>
  <c r="F35" i="18"/>
  <c r="G35" i="18"/>
  <c r="H35" i="18"/>
  <c r="I35" i="18"/>
  <c r="C36" i="18"/>
  <c r="D36" i="18"/>
  <c r="E36" i="18"/>
  <c r="F36" i="18"/>
  <c r="G36" i="18"/>
  <c r="H36" i="18"/>
  <c r="I36" i="18"/>
  <c r="C37" i="18"/>
  <c r="D37" i="18"/>
  <c r="E37" i="18"/>
  <c r="F37" i="18"/>
  <c r="G37" i="18"/>
  <c r="H37" i="18"/>
  <c r="I37" i="18"/>
  <c r="C38" i="18"/>
  <c r="D38" i="18"/>
  <c r="E38" i="18"/>
  <c r="F38" i="18"/>
  <c r="G38" i="18"/>
  <c r="H38" i="18"/>
  <c r="I38" i="18"/>
  <c r="C39" i="18"/>
  <c r="D39" i="18"/>
  <c r="E39" i="18"/>
  <c r="F39" i="18"/>
  <c r="G39" i="18"/>
  <c r="H39" i="18"/>
  <c r="I39" i="18"/>
  <c r="C40" i="18"/>
  <c r="D40" i="18"/>
  <c r="E40" i="18"/>
  <c r="F40" i="18"/>
  <c r="G40" i="18"/>
  <c r="H40" i="18"/>
  <c r="I40" i="18"/>
  <c r="C41" i="18"/>
  <c r="D41" i="18"/>
  <c r="E41" i="18"/>
  <c r="F41" i="18"/>
  <c r="G41" i="18"/>
  <c r="H41" i="18"/>
  <c r="I41" i="18"/>
  <c r="C42" i="18"/>
  <c r="D42" i="18"/>
  <c r="E42" i="18"/>
  <c r="F42" i="18"/>
  <c r="G42" i="18"/>
  <c r="H42" i="18"/>
  <c r="I42" i="18"/>
  <c r="C43" i="18"/>
  <c r="D43" i="18"/>
  <c r="E43" i="18"/>
  <c r="F43" i="18"/>
  <c r="G43" i="18"/>
  <c r="H43" i="18"/>
  <c r="I43" i="18"/>
  <c r="C44" i="18"/>
  <c r="D44" i="18"/>
  <c r="E44" i="18"/>
  <c r="F44" i="18"/>
  <c r="G44" i="18"/>
  <c r="H44" i="18"/>
  <c r="I44" i="18"/>
  <c r="C45" i="18"/>
  <c r="D45" i="18"/>
  <c r="E45" i="18"/>
  <c r="F45" i="18"/>
  <c r="G45" i="18"/>
  <c r="H45" i="18"/>
  <c r="I45" i="18"/>
  <c r="C46" i="18"/>
  <c r="D46" i="18"/>
  <c r="E46" i="18"/>
  <c r="F46" i="18"/>
  <c r="G46" i="18"/>
  <c r="H46" i="18"/>
  <c r="I46" i="18"/>
  <c r="C47" i="18"/>
  <c r="D47" i="18"/>
  <c r="E47" i="18"/>
  <c r="F47" i="18"/>
  <c r="G47" i="18"/>
  <c r="H47" i="18"/>
  <c r="I47" i="18"/>
  <c r="C48" i="18"/>
  <c r="D48" i="18"/>
  <c r="E48" i="18"/>
  <c r="F48" i="18"/>
  <c r="G48" i="18"/>
  <c r="H48" i="18"/>
  <c r="I48" i="18"/>
  <c r="C49" i="18"/>
  <c r="D49" i="18"/>
  <c r="E49" i="18"/>
  <c r="F49" i="18"/>
  <c r="G49" i="18"/>
  <c r="H49" i="18"/>
  <c r="I49" i="18"/>
  <c r="C50" i="18"/>
  <c r="D50" i="18"/>
  <c r="E50" i="18"/>
  <c r="F50" i="18"/>
  <c r="G50" i="18"/>
  <c r="H50" i="18"/>
  <c r="I50" i="18"/>
  <c r="C51" i="18"/>
  <c r="D51" i="18"/>
  <c r="E51" i="18"/>
  <c r="F51" i="18"/>
  <c r="G51" i="18"/>
  <c r="H51" i="18"/>
  <c r="I51" i="18"/>
  <c r="C52" i="18"/>
  <c r="D52" i="18"/>
  <c r="E52" i="18"/>
  <c r="F52" i="18"/>
  <c r="G52" i="18"/>
  <c r="H52" i="18"/>
  <c r="I52" i="18"/>
  <c r="C53" i="18"/>
  <c r="D53" i="18"/>
  <c r="E53" i="18"/>
  <c r="F53" i="18"/>
  <c r="G53" i="18"/>
  <c r="H53" i="18"/>
  <c r="I53" i="18"/>
  <c r="C54" i="18"/>
  <c r="D54" i="18"/>
  <c r="E54" i="18"/>
  <c r="F54" i="18"/>
  <c r="G54" i="18"/>
  <c r="H54" i="18"/>
  <c r="I54" i="18"/>
  <c r="C55" i="18"/>
  <c r="D55" i="18"/>
  <c r="E55" i="18"/>
  <c r="F55" i="18"/>
  <c r="G55" i="18"/>
  <c r="H55" i="18"/>
  <c r="I55" i="18"/>
  <c r="C56" i="18"/>
  <c r="D56" i="18"/>
  <c r="E56" i="18"/>
  <c r="F56" i="18"/>
  <c r="G56" i="18"/>
  <c r="H56" i="18"/>
  <c r="I56" i="18"/>
  <c r="C57" i="18"/>
  <c r="D57" i="18"/>
  <c r="E57" i="18"/>
  <c r="F57" i="18"/>
  <c r="G57" i="18"/>
  <c r="H57" i="18"/>
  <c r="I57" i="18"/>
  <c r="C58" i="18"/>
  <c r="D58" i="18"/>
  <c r="E58" i="18"/>
  <c r="F58" i="18"/>
  <c r="G58" i="18"/>
  <c r="H58" i="18"/>
  <c r="I58" i="18"/>
  <c r="C59" i="18"/>
  <c r="D59" i="18"/>
  <c r="E59" i="18"/>
  <c r="F59" i="18"/>
  <c r="G59" i="18"/>
  <c r="H59" i="18"/>
  <c r="I59" i="18"/>
  <c r="C60" i="18"/>
  <c r="D60" i="18"/>
  <c r="E60" i="18"/>
  <c r="F60" i="18"/>
  <c r="G60" i="18"/>
  <c r="H60" i="18"/>
  <c r="I60" i="18"/>
  <c r="C61" i="18"/>
  <c r="D61" i="18"/>
  <c r="E61" i="18"/>
  <c r="F61" i="18"/>
  <c r="G61" i="18"/>
  <c r="H61" i="18"/>
  <c r="I61" i="18"/>
  <c r="C62" i="18"/>
  <c r="D62" i="18"/>
  <c r="E62" i="18"/>
  <c r="F62" i="18"/>
  <c r="G62" i="18"/>
  <c r="H62" i="18"/>
  <c r="I62" i="18"/>
  <c r="C63" i="18"/>
  <c r="D63" i="18"/>
  <c r="E63" i="18"/>
  <c r="F63" i="18"/>
  <c r="G63" i="18"/>
  <c r="H63" i="18"/>
  <c r="I63" i="18"/>
  <c r="C64" i="18"/>
  <c r="D64" i="18"/>
  <c r="E64" i="18"/>
  <c r="F64" i="18"/>
  <c r="G64" i="18"/>
  <c r="H64" i="18"/>
  <c r="I64" i="18"/>
  <c r="C65" i="18"/>
  <c r="D65" i="18"/>
  <c r="E65" i="18"/>
  <c r="F65" i="18"/>
  <c r="G65" i="18"/>
  <c r="H65" i="18"/>
  <c r="I65" i="18"/>
  <c r="C66" i="18"/>
  <c r="D66" i="18"/>
  <c r="E66" i="18"/>
  <c r="F66" i="18"/>
  <c r="G66" i="18"/>
  <c r="H66" i="18"/>
  <c r="I66" i="18"/>
  <c r="C67" i="18"/>
  <c r="D67" i="18"/>
  <c r="E67" i="18"/>
  <c r="F67" i="18"/>
  <c r="G67" i="18"/>
  <c r="H67" i="18"/>
  <c r="I67" i="18"/>
  <c r="C68" i="18"/>
  <c r="D68" i="18"/>
  <c r="E68" i="18"/>
  <c r="F68" i="18"/>
  <c r="G68" i="18"/>
  <c r="H68" i="18"/>
  <c r="I68" i="18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H27" i="29"/>
  <c r="C28" i="29"/>
  <c r="C28" i="34" s="1"/>
  <c r="D28" i="29"/>
  <c r="D28" i="34" s="1"/>
  <c r="G28" i="29"/>
  <c r="G28" i="34" s="1"/>
  <c r="I28" i="34" s="1"/>
  <c r="H28" i="29"/>
  <c r="C29" i="29"/>
  <c r="C29" i="34" s="1"/>
  <c r="D29" i="29"/>
  <c r="D29" i="34" s="1"/>
  <c r="G29" i="29"/>
  <c r="G29" i="34" s="1"/>
  <c r="I29" i="34" s="1"/>
  <c r="C30" i="29"/>
  <c r="C30" i="34" s="1"/>
  <c r="D30" i="29"/>
  <c r="D30" i="34" s="1"/>
  <c r="G30" i="29"/>
  <c r="G30" i="34" s="1"/>
  <c r="I30" i="34" s="1"/>
  <c r="H30" i="29"/>
  <c r="C31" i="29"/>
  <c r="C31" i="34" s="1"/>
  <c r="D31" i="29"/>
  <c r="G31" i="29"/>
  <c r="G31" i="34" s="1"/>
  <c r="I31" i="34" s="1"/>
  <c r="H31" i="29"/>
  <c r="C32" i="29"/>
  <c r="C32" i="34" s="1"/>
  <c r="D32" i="29"/>
  <c r="D32" i="34" s="1"/>
  <c r="G32" i="29"/>
  <c r="G32" i="34" s="1"/>
  <c r="I32" i="34" s="1"/>
  <c r="H32" i="29"/>
  <c r="C33" i="29"/>
  <c r="D33" i="29"/>
  <c r="D33" i="34" s="1"/>
  <c r="G33" i="29"/>
  <c r="G33" i="34" s="1"/>
  <c r="I33" i="34" s="1"/>
  <c r="C34" i="29"/>
  <c r="D34" i="29"/>
  <c r="D34" i="34" s="1"/>
  <c r="G34" i="29"/>
  <c r="G34" i="34" s="1"/>
  <c r="I34" i="34" s="1"/>
  <c r="H34" i="29"/>
  <c r="C35" i="29"/>
  <c r="D35" i="29"/>
  <c r="D35" i="34" s="1"/>
  <c r="G35" i="29"/>
  <c r="G35" i="34" s="1"/>
  <c r="I35" i="34" s="1"/>
  <c r="H35" i="29"/>
  <c r="I35" i="29" s="1"/>
  <c r="C36" i="29"/>
  <c r="D36" i="29"/>
  <c r="D36" i="34" s="1"/>
  <c r="G36" i="29"/>
  <c r="H36" i="29"/>
  <c r="C37" i="29"/>
  <c r="C37" i="34" s="1"/>
  <c r="D37" i="29"/>
  <c r="G37" i="29"/>
  <c r="C38" i="29"/>
  <c r="C38" i="34" s="1"/>
  <c r="D38" i="29"/>
  <c r="D38" i="34" s="1"/>
  <c r="G38" i="29"/>
  <c r="G38" i="34" s="1"/>
  <c r="I38" i="34" s="1"/>
  <c r="H38" i="29"/>
  <c r="C39" i="29"/>
  <c r="C39" i="34" s="1"/>
  <c r="D39" i="29"/>
  <c r="D39" i="34" s="1"/>
  <c r="G39" i="29"/>
  <c r="G39" i="34" s="1"/>
  <c r="I39" i="34" s="1"/>
  <c r="H39" i="29"/>
  <c r="I39" i="29" s="1"/>
  <c r="C40" i="29"/>
  <c r="C40" i="34" s="1"/>
  <c r="D40" i="29"/>
  <c r="D40" i="34" s="1"/>
  <c r="G40" i="29"/>
  <c r="G40" i="34" s="1"/>
  <c r="I40" i="34" s="1"/>
  <c r="H40" i="29"/>
  <c r="C41" i="29"/>
  <c r="C41" i="34" s="1"/>
  <c r="D41" i="29"/>
  <c r="D41" i="34" s="1"/>
  <c r="G41" i="29"/>
  <c r="G41" i="34" s="1"/>
  <c r="I41" i="34" s="1"/>
  <c r="C42" i="29"/>
  <c r="C42" i="34" s="1"/>
  <c r="D42" i="29"/>
  <c r="G42" i="29"/>
  <c r="G42" i="34" s="1"/>
  <c r="I42" i="34" s="1"/>
  <c r="H42" i="29"/>
  <c r="C43" i="29"/>
  <c r="E43" i="29" s="1"/>
  <c r="F43" i="29" s="1"/>
  <c r="D43" i="29"/>
  <c r="D43" i="34" s="1"/>
  <c r="G43" i="29"/>
  <c r="G43" i="34" s="1"/>
  <c r="I43" i="34" s="1"/>
  <c r="H43" i="29"/>
  <c r="I43" i="29" s="1"/>
  <c r="C44" i="29"/>
  <c r="C44" i="34" s="1"/>
  <c r="D44" i="29"/>
  <c r="D44" i="34" s="1"/>
  <c r="G44" i="29"/>
  <c r="G44" i="34" s="1"/>
  <c r="I44" i="34" s="1"/>
  <c r="H44" i="29"/>
  <c r="C45" i="29"/>
  <c r="C45" i="34" s="1"/>
  <c r="D45" i="29"/>
  <c r="D45" i="34" s="1"/>
  <c r="G45" i="29"/>
  <c r="G45" i="34" s="1"/>
  <c r="I45" i="34" s="1"/>
  <c r="C46" i="29"/>
  <c r="D46" i="29"/>
  <c r="D46" i="34" s="1"/>
  <c r="G46" i="29"/>
  <c r="H46" i="29"/>
  <c r="C47" i="29"/>
  <c r="C47" i="34" s="1"/>
  <c r="D47" i="29"/>
  <c r="D47" i="34" s="1"/>
  <c r="G47" i="29"/>
  <c r="G47" i="34" s="1"/>
  <c r="I47" i="34" s="1"/>
  <c r="H47" i="29"/>
  <c r="C48" i="29"/>
  <c r="C48" i="34" s="1"/>
  <c r="D48" i="29"/>
  <c r="E48" i="29" s="1"/>
  <c r="F48" i="29" s="1"/>
  <c r="G48" i="29"/>
  <c r="G48" i="34" s="1"/>
  <c r="H48" i="29"/>
  <c r="C49" i="29"/>
  <c r="C49" i="34" s="1"/>
  <c r="D49" i="29"/>
  <c r="G49" i="29"/>
  <c r="G49" i="34" s="1"/>
  <c r="I49" i="34" s="1"/>
  <c r="C50" i="29"/>
  <c r="C50" i="34" s="1"/>
  <c r="D50" i="29"/>
  <c r="E50" i="29" s="1"/>
  <c r="F50" i="29" s="1"/>
  <c r="G50" i="29"/>
  <c r="G50" i="34" s="1"/>
  <c r="I50" i="34" s="1"/>
  <c r="H50" i="29"/>
  <c r="C51" i="29"/>
  <c r="C51" i="34" s="1"/>
  <c r="D51" i="29"/>
  <c r="D51" i="34" s="1"/>
  <c r="G51" i="29"/>
  <c r="G51" i="34" s="1"/>
  <c r="I51" i="34" s="1"/>
  <c r="H51" i="29"/>
  <c r="C52" i="29"/>
  <c r="C52" i="34" s="1"/>
  <c r="D52" i="29"/>
  <c r="D52" i="34" s="1"/>
  <c r="E52" i="29"/>
  <c r="F52" i="29" s="1"/>
  <c r="G52" i="29"/>
  <c r="G52" i="34" s="1"/>
  <c r="I52" i="34" s="1"/>
  <c r="H52" i="29"/>
  <c r="C53" i="29"/>
  <c r="D53" i="29"/>
  <c r="D53" i="34" s="1"/>
  <c r="G53" i="29"/>
  <c r="G53" i="34" s="1"/>
  <c r="I53" i="34" s="1"/>
  <c r="C54" i="29"/>
  <c r="C54" i="34" s="1"/>
  <c r="D54" i="29"/>
  <c r="D54" i="34" s="1"/>
  <c r="G54" i="29"/>
  <c r="G54" i="34" s="1"/>
  <c r="I54" i="34" s="1"/>
  <c r="H54" i="29"/>
  <c r="C55" i="29"/>
  <c r="C55" i="34" s="1"/>
  <c r="D55" i="29"/>
  <c r="D55" i="34" s="1"/>
  <c r="G55" i="29"/>
  <c r="H55" i="29"/>
  <c r="C56" i="29"/>
  <c r="C56" i="34" s="1"/>
  <c r="D56" i="29"/>
  <c r="D56" i="34" s="1"/>
  <c r="G56" i="29"/>
  <c r="G56" i="34" s="1"/>
  <c r="I56" i="34" s="1"/>
  <c r="H56" i="29"/>
  <c r="C57" i="29"/>
  <c r="C57" i="34" s="1"/>
  <c r="D57" i="29"/>
  <c r="D57" i="34" s="1"/>
  <c r="G57" i="29"/>
  <c r="C58" i="29"/>
  <c r="C58" i="34" s="1"/>
  <c r="D58" i="29"/>
  <c r="E58" i="29" s="1"/>
  <c r="F58" i="29" s="1"/>
  <c r="G58" i="29"/>
  <c r="G58" i="34" s="1"/>
  <c r="I58" i="34" s="1"/>
  <c r="H58" i="29"/>
  <c r="C59" i="29"/>
  <c r="C59" i="34" s="1"/>
  <c r="D59" i="29"/>
  <c r="G59" i="29"/>
  <c r="G59" i="34" s="1"/>
  <c r="I59" i="34" s="1"/>
  <c r="H59" i="29"/>
  <c r="C60" i="29"/>
  <c r="C60" i="34" s="1"/>
  <c r="D60" i="29"/>
  <c r="D60" i="34" s="1"/>
  <c r="G60" i="29"/>
  <c r="G60" i="34" s="1"/>
  <c r="I60" i="34" s="1"/>
  <c r="H60" i="29"/>
  <c r="C61" i="29"/>
  <c r="C61" i="34" s="1"/>
  <c r="D61" i="29"/>
  <c r="D61" i="34" s="1"/>
  <c r="G61" i="29"/>
  <c r="G61" i="34" s="1"/>
  <c r="I61" i="34" s="1"/>
  <c r="H61" i="29"/>
  <c r="C62" i="29"/>
  <c r="C62" i="34" s="1"/>
  <c r="D62" i="29"/>
  <c r="D62" i="34" s="1"/>
  <c r="G62" i="29"/>
  <c r="G62" i="34" s="1"/>
  <c r="I62" i="34" s="1"/>
  <c r="H62" i="29"/>
  <c r="C63" i="29"/>
  <c r="C63" i="34" s="1"/>
  <c r="D63" i="29"/>
  <c r="D63" i="34" s="1"/>
  <c r="G63" i="29"/>
  <c r="G63" i="34" s="1"/>
  <c r="I63" i="34" s="1"/>
  <c r="H63" i="29"/>
  <c r="C64" i="29"/>
  <c r="C64" i="34" s="1"/>
  <c r="D64" i="29"/>
  <c r="D64" i="34" s="1"/>
  <c r="G64" i="29"/>
  <c r="G64" i="34" s="1"/>
  <c r="I64" i="34" s="1"/>
  <c r="H64" i="29"/>
  <c r="C65" i="29"/>
  <c r="C65" i="34" s="1"/>
  <c r="D65" i="29"/>
  <c r="D65" i="34" s="1"/>
  <c r="G65" i="29"/>
  <c r="G65" i="34" s="1"/>
  <c r="I65" i="34" s="1"/>
  <c r="C66" i="29"/>
  <c r="C66" i="34" s="1"/>
  <c r="D66" i="29"/>
  <c r="D66" i="34" s="1"/>
  <c r="E66" i="29"/>
  <c r="F66" i="29" s="1"/>
  <c r="G66" i="29"/>
  <c r="G66" i="34" s="1"/>
  <c r="I66" i="34" s="1"/>
  <c r="H66" i="29"/>
  <c r="C67" i="29"/>
  <c r="C67" i="34" s="1"/>
  <c r="D67" i="29"/>
  <c r="G67" i="29"/>
  <c r="G67" i="34" s="1"/>
  <c r="I67" i="34" s="1"/>
  <c r="H67" i="29"/>
  <c r="C68" i="29"/>
  <c r="D68" i="29"/>
  <c r="D68" i="34" s="1"/>
  <c r="G68" i="29"/>
  <c r="H68" i="29"/>
  <c r="E26" i="26"/>
  <c r="F26" i="26"/>
  <c r="H26" i="26"/>
  <c r="I26" i="26"/>
  <c r="E27" i="26"/>
  <c r="F27" i="26"/>
  <c r="H27" i="26"/>
  <c r="I27" i="26"/>
  <c r="E28" i="26"/>
  <c r="F28" i="26"/>
  <c r="H28" i="26"/>
  <c r="I28" i="26"/>
  <c r="E29" i="26"/>
  <c r="F29" i="26"/>
  <c r="H29" i="26"/>
  <c r="I29" i="26"/>
  <c r="E30" i="26"/>
  <c r="F30" i="26"/>
  <c r="H30" i="26"/>
  <c r="I30" i="26"/>
  <c r="E31" i="26"/>
  <c r="F31" i="26"/>
  <c r="H31" i="26"/>
  <c r="I31" i="26"/>
  <c r="E32" i="26"/>
  <c r="F32" i="26"/>
  <c r="H32" i="26"/>
  <c r="I32" i="26"/>
  <c r="E33" i="26"/>
  <c r="F33" i="26"/>
  <c r="H33" i="26"/>
  <c r="I33" i="26"/>
  <c r="E34" i="26"/>
  <c r="F34" i="26"/>
  <c r="H34" i="26"/>
  <c r="I34" i="26"/>
  <c r="E35" i="26"/>
  <c r="F35" i="26"/>
  <c r="H35" i="26"/>
  <c r="I35" i="26"/>
  <c r="E36" i="26"/>
  <c r="F36" i="26"/>
  <c r="H36" i="26"/>
  <c r="I36" i="26"/>
  <c r="E37" i="26"/>
  <c r="F37" i="26"/>
  <c r="H37" i="26"/>
  <c r="I37" i="26"/>
  <c r="E38" i="26"/>
  <c r="F38" i="26"/>
  <c r="H38" i="26"/>
  <c r="I38" i="26"/>
  <c r="E39" i="26"/>
  <c r="F39" i="26"/>
  <c r="H39" i="26"/>
  <c r="I39" i="26"/>
  <c r="E40" i="26"/>
  <c r="F40" i="26"/>
  <c r="H40" i="26"/>
  <c r="I40" i="26"/>
  <c r="E41" i="26"/>
  <c r="F41" i="26"/>
  <c r="H41" i="26"/>
  <c r="I41" i="26"/>
  <c r="E42" i="26"/>
  <c r="F42" i="26"/>
  <c r="H42" i="26"/>
  <c r="I42" i="26"/>
  <c r="E43" i="26"/>
  <c r="F43" i="26"/>
  <c r="H43" i="26"/>
  <c r="I43" i="26"/>
  <c r="E44" i="26"/>
  <c r="F44" i="26"/>
  <c r="H44" i="26"/>
  <c r="I44" i="26"/>
  <c r="E45" i="26"/>
  <c r="F45" i="26"/>
  <c r="H45" i="26"/>
  <c r="I45" i="26"/>
  <c r="E46" i="26"/>
  <c r="F46" i="26"/>
  <c r="H46" i="26"/>
  <c r="I46" i="26"/>
  <c r="E47" i="26"/>
  <c r="F47" i="26"/>
  <c r="H47" i="26"/>
  <c r="I47" i="26"/>
  <c r="E48" i="26"/>
  <c r="F48" i="26"/>
  <c r="H48" i="26"/>
  <c r="I48" i="26"/>
  <c r="E49" i="26"/>
  <c r="F49" i="26"/>
  <c r="H49" i="26"/>
  <c r="I49" i="26"/>
  <c r="E50" i="26"/>
  <c r="F50" i="26"/>
  <c r="H50" i="26"/>
  <c r="I50" i="26"/>
  <c r="E51" i="26"/>
  <c r="F51" i="26"/>
  <c r="H51" i="26"/>
  <c r="I51" i="26"/>
  <c r="E52" i="26"/>
  <c r="F52" i="26"/>
  <c r="H52" i="26"/>
  <c r="I52" i="26"/>
  <c r="E53" i="26"/>
  <c r="F53" i="26"/>
  <c r="H53" i="26"/>
  <c r="I53" i="26"/>
  <c r="E54" i="26"/>
  <c r="F54" i="26"/>
  <c r="H54" i="26"/>
  <c r="I54" i="26"/>
  <c r="E55" i="26"/>
  <c r="F55" i="26"/>
  <c r="H55" i="26"/>
  <c r="I55" i="26"/>
  <c r="E56" i="26"/>
  <c r="F56" i="26"/>
  <c r="H56" i="26"/>
  <c r="I56" i="26"/>
  <c r="E57" i="26"/>
  <c r="F57" i="26"/>
  <c r="H57" i="26"/>
  <c r="I57" i="26"/>
  <c r="E58" i="26"/>
  <c r="F58" i="26"/>
  <c r="H58" i="26"/>
  <c r="I58" i="26"/>
  <c r="E59" i="26"/>
  <c r="F59" i="26"/>
  <c r="H59" i="26"/>
  <c r="I59" i="26"/>
  <c r="E60" i="26"/>
  <c r="F60" i="26"/>
  <c r="H60" i="26"/>
  <c r="I60" i="26"/>
  <c r="E61" i="26"/>
  <c r="F61" i="26"/>
  <c r="H61" i="26"/>
  <c r="I61" i="26"/>
  <c r="E62" i="26"/>
  <c r="F62" i="26"/>
  <c r="H62" i="26"/>
  <c r="I62" i="26"/>
  <c r="E63" i="26"/>
  <c r="F63" i="26"/>
  <c r="H63" i="26"/>
  <c r="I63" i="26"/>
  <c r="E64" i="26"/>
  <c r="F64" i="26"/>
  <c r="H64" i="26"/>
  <c r="I64" i="26"/>
  <c r="E65" i="26"/>
  <c r="F65" i="26"/>
  <c r="H65" i="26"/>
  <c r="I65" i="26"/>
  <c r="E66" i="26"/>
  <c r="F66" i="26"/>
  <c r="H66" i="26"/>
  <c r="I66" i="26"/>
  <c r="E67" i="26"/>
  <c r="F67" i="26"/>
  <c r="H67" i="26"/>
  <c r="I67" i="26"/>
  <c r="E68" i="26"/>
  <c r="F68" i="26"/>
  <c r="H68" i="26"/>
  <c r="I68" i="26"/>
  <c r="E26" i="19"/>
  <c r="H26" i="19"/>
  <c r="I26" i="19"/>
  <c r="E27" i="19"/>
  <c r="H27" i="19"/>
  <c r="I27" i="19"/>
  <c r="E28" i="19"/>
  <c r="H28" i="19"/>
  <c r="I28" i="19"/>
  <c r="E29" i="19"/>
  <c r="H29" i="19"/>
  <c r="I29" i="19"/>
  <c r="E30" i="19"/>
  <c r="H30" i="19"/>
  <c r="I30" i="19"/>
  <c r="E31" i="19"/>
  <c r="H31" i="19"/>
  <c r="I31" i="19"/>
  <c r="E32" i="19"/>
  <c r="H32" i="19"/>
  <c r="I32" i="19"/>
  <c r="E33" i="19"/>
  <c r="H33" i="19"/>
  <c r="I33" i="19"/>
  <c r="E34" i="19"/>
  <c r="H34" i="19"/>
  <c r="I34" i="19"/>
  <c r="E35" i="19"/>
  <c r="H35" i="19"/>
  <c r="I35" i="19"/>
  <c r="E36" i="19"/>
  <c r="H36" i="19"/>
  <c r="I36" i="19"/>
  <c r="E37" i="19"/>
  <c r="H37" i="19"/>
  <c r="I37" i="19"/>
  <c r="E38" i="19"/>
  <c r="H38" i="19"/>
  <c r="I38" i="19"/>
  <c r="E39" i="19"/>
  <c r="H39" i="19"/>
  <c r="I39" i="19"/>
  <c r="E40" i="19"/>
  <c r="H40" i="19"/>
  <c r="I40" i="19"/>
  <c r="E41" i="19"/>
  <c r="H41" i="19"/>
  <c r="I41" i="19"/>
  <c r="E42" i="19"/>
  <c r="H42" i="19"/>
  <c r="I42" i="19"/>
  <c r="E43" i="19"/>
  <c r="H43" i="19"/>
  <c r="I43" i="19"/>
  <c r="E44" i="19"/>
  <c r="H44" i="19"/>
  <c r="I44" i="19"/>
  <c r="E45" i="19"/>
  <c r="H45" i="19"/>
  <c r="I45" i="19"/>
  <c r="E46" i="19"/>
  <c r="H46" i="19"/>
  <c r="I46" i="19"/>
  <c r="E47" i="19"/>
  <c r="H47" i="19"/>
  <c r="I47" i="19"/>
  <c r="E48" i="19"/>
  <c r="H48" i="19"/>
  <c r="I48" i="19"/>
  <c r="E49" i="19"/>
  <c r="H49" i="19"/>
  <c r="I49" i="19"/>
  <c r="E50" i="19"/>
  <c r="H50" i="19"/>
  <c r="I50" i="19"/>
  <c r="E51" i="19"/>
  <c r="H51" i="19"/>
  <c r="I51" i="19"/>
  <c r="E52" i="19"/>
  <c r="H52" i="19"/>
  <c r="I52" i="19"/>
  <c r="E53" i="19"/>
  <c r="H53" i="19"/>
  <c r="I53" i="19"/>
  <c r="E54" i="19"/>
  <c r="H54" i="19"/>
  <c r="I54" i="19"/>
  <c r="E55" i="19"/>
  <c r="H55" i="19"/>
  <c r="I55" i="19"/>
  <c r="E56" i="19"/>
  <c r="H56" i="19"/>
  <c r="I56" i="19"/>
  <c r="E57" i="19"/>
  <c r="H57" i="19"/>
  <c r="I57" i="19"/>
  <c r="E58" i="19"/>
  <c r="H58" i="19"/>
  <c r="I58" i="19"/>
  <c r="E59" i="19"/>
  <c r="H59" i="19"/>
  <c r="I59" i="19"/>
  <c r="E60" i="19"/>
  <c r="H60" i="19"/>
  <c r="I60" i="19"/>
  <c r="E61" i="19"/>
  <c r="H61" i="19"/>
  <c r="I61" i="19"/>
  <c r="E62" i="19"/>
  <c r="H62" i="19"/>
  <c r="I62" i="19"/>
  <c r="E63" i="19"/>
  <c r="H63" i="19"/>
  <c r="I63" i="19"/>
  <c r="E64" i="19"/>
  <c r="H64" i="19"/>
  <c r="I64" i="19"/>
  <c r="E65" i="19"/>
  <c r="H65" i="19"/>
  <c r="I65" i="19"/>
  <c r="E66" i="19"/>
  <c r="H66" i="19"/>
  <c r="I66" i="19"/>
  <c r="E67" i="19"/>
  <c r="H67" i="19"/>
  <c r="I67" i="19"/>
  <c r="E68" i="19"/>
  <c r="H68" i="19"/>
  <c r="I68" i="19"/>
  <c r="E26" i="20"/>
  <c r="H26" i="20"/>
  <c r="I26" i="20"/>
  <c r="E27" i="20"/>
  <c r="H27" i="20"/>
  <c r="I27" i="20"/>
  <c r="E28" i="20"/>
  <c r="H28" i="20"/>
  <c r="I28" i="20"/>
  <c r="E29" i="20"/>
  <c r="H29" i="20"/>
  <c r="I29" i="20"/>
  <c r="E30" i="20"/>
  <c r="H30" i="20"/>
  <c r="I30" i="20"/>
  <c r="E31" i="20"/>
  <c r="H31" i="20"/>
  <c r="I31" i="20"/>
  <c r="E32" i="20"/>
  <c r="H32" i="20"/>
  <c r="I32" i="20"/>
  <c r="E33" i="20"/>
  <c r="H33" i="20"/>
  <c r="I33" i="20"/>
  <c r="E34" i="20"/>
  <c r="H34" i="20"/>
  <c r="I34" i="20"/>
  <c r="E35" i="20"/>
  <c r="H35" i="20"/>
  <c r="I35" i="20"/>
  <c r="E36" i="20"/>
  <c r="H36" i="20"/>
  <c r="I36" i="20"/>
  <c r="E37" i="20"/>
  <c r="H37" i="20"/>
  <c r="I37" i="20"/>
  <c r="E38" i="20"/>
  <c r="H38" i="20"/>
  <c r="I38" i="20"/>
  <c r="E39" i="20"/>
  <c r="H39" i="20"/>
  <c r="I39" i="20"/>
  <c r="E40" i="20"/>
  <c r="H40" i="20"/>
  <c r="I40" i="20"/>
  <c r="E41" i="20"/>
  <c r="H41" i="20"/>
  <c r="I41" i="20"/>
  <c r="E42" i="20"/>
  <c r="H42" i="20"/>
  <c r="I42" i="20"/>
  <c r="E43" i="20"/>
  <c r="H43" i="20"/>
  <c r="I43" i="20"/>
  <c r="E44" i="20"/>
  <c r="H44" i="20"/>
  <c r="I44" i="20"/>
  <c r="E45" i="20"/>
  <c r="H45" i="20"/>
  <c r="I45" i="20"/>
  <c r="E46" i="20"/>
  <c r="H46" i="20"/>
  <c r="I46" i="20"/>
  <c r="E47" i="20"/>
  <c r="H47" i="20"/>
  <c r="I47" i="20"/>
  <c r="E48" i="20"/>
  <c r="H48" i="20"/>
  <c r="I48" i="20"/>
  <c r="E49" i="20"/>
  <c r="H49" i="20"/>
  <c r="I49" i="20"/>
  <c r="E50" i="20"/>
  <c r="H50" i="20"/>
  <c r="I50" i="20"/>
  <c r="E51" i="20"/>
  <c r="H51" i="20"/>
  <c r="I51" i="20"/>
  <c r="E52" i="20"/>
  <c r="H52" i="20"/>
  <c r="I52" i="20"/>
  <c r="E53" i="20"/>
  <c r="H53" i="20"/>
  <c r="I53" i="20"/>
  <c r="E54" i="20"/>
  <c r="H54" i="20"/>
  <c r="I54" i="20"/>
  <c r="E55" i="20"/>
  <c r="H55" i="20"/>
  <c r="I55" i="20"/>
  <c r="E56" i="20"/>
  <c r="H56" i="20"/>
  <c r="I56" i="20"/>
  <c r="E57" i="20"/>
  <c r="H57" i="20"/>
  <c r="I57" i="20"/>
  <c r="E58" i="20"/>
  <c r="H58" i="20"/>
  <c r="I58" i="20"/>
  <c r="E59" i="20"/>
  <c r="H59" i="20"/>
  <c r="I59" i="20"/>
  <c r="E60" i="20"/>
  <c r="H60" i="20"/>
  <c r="I60" i="20"/>
  <c r="E61" i="20"/>
  <c r="H61" i="20"/>
  <c r="I61" i="20"/>
  <c r="E62" i="20"/>
  <c r="H62" i="20"/>
  <c r="I62" i="20"/>
  <c r="E63" i="20"/>
  <c r="H63" i="20"/>
  <c r="I63" i="20"/>
  <c r="E64" i="20"/>
  <c r="H64" i="20"/>
  <c r="I64" i="20"/>
  <c r="E65" i="20"/>
  <c r="H65" i="20"/>
  <c r="I65" i="20"/>
  <c r="E66" i="20"/>
  <c r="H66" i="20"/>
  <c r="I66" i="20"/>
  <c r="E67" i="20"/>
  <c r="H67" i="20"/>
  <c r="I67" i="20"/>
  <c r="E68" i="20"/>
  <c r="H68" i="20"/>
  <c r="I68" i="20"/>
  <c r="E26" i="21"/>
  <c r="F26" i="21"/>
  <c r="H26" i="21"/>
  <c r="I26" i="21"/>
  <c r="E27" i="21"/>
  <c r="F27" i="21"/>
  <c r="H27" i="21"/>
  <c r="I27" i="21"/>
  <c r="E28" i="21"/>
  <c r="F28" i="21"/>
  <c r="H28" i="21"/>
  <c r="I28" i="2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39" i="21"/>
  <c r="F39" i="21"/>
  <c r="H39" i="21"/>
  <c r="I39" i="21"/>
  <c r="E40" i="21"/>
  <c r="F40" i="21"/>
  <c r="H40" i="21"/>
  <c r="I40" i="21"/>
  <c r="E41" i="21"/>
  <c r="F41" i="21"/>
  <c r="H41" i="21"/>
  <c r="I41" i="21"/>
  <c r="E42" i="21"/>
  <c r="F42" i="21"/>
  <c r="H42" i="21"/>
  <c r="I42" i="21"/>
  <c r="E43" i="21"/>
  <c r="F43" i="21"/>
  <c r="H43" i="21"/>
  <c r="I43" i="21"/>
  <c r="E44" i="21"/>
  <c r="F44" i="21"/>
  <c r="H44" i="21"/>
  <c r="I44" i="21"/>
  <c r="E45" i="21"/>
  <c r="F45" i="21"/>
  <c r="H45" i="21"/>
  <c r="I45" i="21"/>
  <c r="E46" i="21"/>
  <c r="F46" i="21"/>
  <c r="H46" i="21"/>
  <c r="I46" i="21"/>
  <c r="E47" i="21"/>
  <c r="F47" i="21"/>
  <c r="H47" i="21"/>
  <c r="I47" i="21"/>
  <c r="E48" i="21"/>
  <c r="F48" i="21"/>
  <c r="H48" i="21"/>
  <c r="I48" i="21"/>
  <c r="E49" i="21"/>
  <c r="F49" i="21"/>
  <c r="H49" i="21"/>
  <c r="I49" i="21"/>
  <c r="E50" i="21"/>
  <c r="F50" i="21"/>
  <c r="H50" i="21"/>
  <c r="I50" i="21"/>
  <c r="E51" i="21"/>
  <c r="F51" i="21"/>
  <c r="H51" i="21"/>
  <c r="I51" i="21"/>
  <c r="E52" i="21"/>
  <c r="F52" i="21"/>
  <c r="H52" i="21"/>
  <c r="I52" i="21"/>
  <c r="E53" i="21"/>
  <c r="F53" i="21"/>
  <c r="H53" i="21"/>
  <c r="I53" i="21"/>
  <c r="E54" i="21"/>
  <c r="F54" i="21"/>
  <c r="H54" i="21"/>
  <c r="I54" i="21"/>
  <c r="E55" i="21"/>
  <c r="F55" i="21"/>
  <c r="H55" i="21"/>
  <c r="I55" i="21"/>
  <c r="E56" i="21"/>
  <c r="F56" i="21"/>
  <c r="H56" i="21"/>
  <c r="I56" i="21"/>
  <c r="E57" i="21"/>
  <c r="F57" i="21"/>
  <c r="H57" i="21"/>
  <c r="I57" i="21"/>
  <c r="E58" i="21"/>
  <c r="F58" i="21"/>
  <c r="H58" i="21"/>
  <c r="I58" i="21"/>
  <c r="E59" i="21"/>
  <c r="F59" i="21"/>
  <c r="H59" i="21"/>
  <c r="I59" i="21"/>
  <c r="E60" i="21"/>
  <c r="F60" i="21"/>
  <c r="H60" i="21"/>
  <c r="I60" i="21"/>
  <c r="E61" i="21"/>
  <c r="F61" i="21"/>
  <c r="H61" i="21"/>
  <c r="I61" i="21"/>
  <c r="E62" i="21"/>
  <c r="F62" i="21"/>
  <c r="H62" i="21"/>
  <c r="I62" i="21"/>
  <c r="E63" i="21"/>
  <c r="F63" i="21"/>
  <c r="H63" i="21"/>
  <c r="I63" i="21"/>
  <c r="E64" i="21"/>
  <c r="F64" i="21"/>
  <c r="H64" i="21"/>
  <c r="I64" i="21"/>
  <c r="E65" i="21"/>
  <c r="F65" i="21"/>
  <c r="H65" i="21"/>
  <c r="I65" i="21"/>
  <c r="E66" i="21"/>
  <c r="F66" i="21"/>
  <c r="H66" i="21"/>
  <c r="I66" i="21"/>
  <c r="E67" i="21"/>
  <c r="F67" i="21"/>
  <c r="H67" i="21"/>
  <c r="I67" i="21"/>
  <c r="E68" i="21"/>
  <c r="F68" i="21"/>
  <c r="H68" i="21"/>
  <c r="I68" i="21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39" i="4"/>
  <c r="F39" i="4"/>
  <c r="H39" i="4"/>
  <c r="I39" i="4"/>
  <c r="E40" i="4"/>
  <c r="F40" i="4"/>
  <c r="H40" i="4"/>
  <c r="I40" i="4"/>
  <c r="E41" i="4"/>
  <c r="F41" i="4"/>
  <c r="H41" i="4"/>
  <c r="I41" i="4"/>
  <c r="E42" i="4"/>
  <c r="F42" i="4"/>
  <c r="H42" i="4"/>
  <c r="I42" i="4"/>
  <c r="E43" i="4"/>
  <c r="F43" i="4"/>
  <c r="H43" i="4"/>
  <c r="I43" i="4"/>
  <c r="E44" i="4"/>
  <c r="F44" i="4"/>
  <c r="H44" i="4"/>
  <c r="I44" i="4"/>
  <c r="E45" i="4"/>
  <c r="F45" i="4"/>
  <c r="H45" i="4"/>
  <c r="I45" i="4"/>
  <c r="E46" i="4"/>
  <c r="F46" i="4"/>
  <c r="H46" i="4"/>
  <c r="I46" i="4"/>
  <c r="E47" i="4"/>
  <c r="F47" i="4"/>
  <c r="H47" i="4"/>
  <c r="I47" i="4"/>
  <c r="E48" i="4"/>
  <c r="F48" i="4"/>
  <c r="H48" i="4"/>
  <c r="I48" i="4"/>
  <c r="E49" i="4"/>
  <c r="F49" i="4"/>
  <c r="H49" i="4"/>
  <c r="I49" i="4"/>
  <c r="E50" i="4"/>
  <c r="F50" i="4"/>
  <c r="H50" i="4"/>
  <c r="I50" i="4"/>
  <c r="E51" i="4"/>
  <c r="F51" i="4"/>
  <c r="H51" i="4"/>
  <c r="I51" i="4"/>
  <c r="E52" i="4"/>
  <c r="F52" i="4"/>
  <c r="H52" i="4"/>
  <c r="I52" i="4"/>
  <c r="E53" i="4"/>
  <c r="F53" i="4"/>
  <c r="H53" i="4"/>
  <c r="I53" i="4"/>
  <c r="E54" i="4"/>
  <c r="F54" i="4"/>
  <c r="H54" i="4"/>
  <c r="I54" i="4"/>
  <c r="E55" i="4"/>
  <c r="F55" i="4"/>
  <c r="H55" i="4"/>
  <c r="I55" i="4"/>
  <c r="E56" i="4"/>
  <c r="F56" i="4"/>
  <c r="H56" i="4"/>
  <c r="I56" i="4"/>
  <c r="E57" i="4"/>
  <c r="F57" i="4"/>
  <c r="H57" i="4"/>
  <c r="I57" i="4"/>
  <c r="E58" i="4"/>
  <c r="F58" i="4"/>
  <c r="H58" i="4"/>
  <c r="I58" i="4"/>
  <c r="E59" i="4"/>
  <c r="F59" i="4"/>
  <c r="H59" i="4"/>
  <c r="I59" i="4"/>
  <c r="E60" i="4"/>
  <c r="F60" i="4"/>
  <c r="H60" i="4"/>
  <c r="I60" i="4"/>
  <c r="E61" i="4"/>
  <c r="F61" i="4"/>
  <c r="H61" i="4"/>
  <c r="I61" i="4"/>
  <c r="E62" i="4"/>
  <c r="F62" i="4"/>
  <c r="H62" i="4"/>
  <c r="I62" i="4"/>
  <c r="E63" i="4"/>
  <c r="F63" i="4"/>
  <c r="H63" i="4"/>
  <c r="I63" i="4"/>
  <c r="E64" i="4"/>
  <c r="F64" i="4"/>
  <c r="H64" i="4"/>
  <c r="I64" i="4"/>
  <c r="E65" i="4"/>
  <c r="F65" i="4"/>
  <c r="H65" i="4"/>
  <c r="I65" i="4"/>
  <c r="E66" i="4"/>
  <c r="F66" i="4"/>
  <c r="H66" i="4"/>
  <c r="I66" i="4"/>
  <c r="E67" i="4"/>
  <c r="F67" i="4"/>
  <c r="H67" i="4"/>
  <c r="I67" i="4"/>
  <c r="E68" i="4"/>
  <c r="F68" i="4"/>
  <c r="H68" i="4"/>
  <c r="I68" i="4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39" i="3"/>
  <c r="F39" i="3"/>
  <c r="H39" i="3"/>
  <c r="I39" i="3"/>
  <c r="E40" i="3"/>
  <c r="F40" i="3"/>
  <c r="H40" i="3"/>
  <c r="I40" i="3"/>
  <c r="E41" i="3"/>
  <c r="F41" i="3"/>
  <c r="H41" i="3"/>
  <c r="I41" i="3"/>
  <c r="E42" i="3"/>
  <c r="F42" i="3"/>
  <c r="H42" i="3"/>
  <c r="I42" i="3"/>
  <c r="E43" i="3"/>
  <c r="F43" i="3"/>
  <c r="H43" i="3"/>
  <c r="I43" i="3"/>
  <c r="E44" i="3"/>
  <c r="F44" i="3"/>
  <c r="H44" i="3"/>
  <c r="I44" i="3"/>
  <c r="E45" i="3"/>
  <c r="F45" i="3"/>
  <c r="H45" i="3"/>
  <c r="I45" i="3"/>
  <c r="E46" i="3"/>
  <c r="F46" i="3"/>
  <c r="H46" i="3"/>
  <c r="I46" i="3"/>
  <c r="E47" i="3"/>
  <c r="F47" i="3"/>
  <c r="H47" i="3"/>
  <c r="I47" i="3"/>
  <c r="E48" i="3"/>
  <c r="F48" i="3"/>
  <c r="H48" i="3"/>
  <c r="I48" i="3"/>
  <c r="E49" i="3"/>
  <c r="F49" i="3"/>
  <c r="H49" i="3"/>
  <c r="I49" i="3"/>
  <c r="E50" i="3"/>
  <c r="F50" i="3"/>
  <c r="H50" i="3"/>
  <c r="I50" i="3"/>
  <c r="E51" i="3"/>
  <c r="F51" i="3"/>
  <c r="H51" i="3"/>
  <c r="I51" i="3"/>
  <c r="E52" i="3"/>
  <c r="F52" i="3"/>
  <c r="H52" i="3"/>
  <c r="I52" i="3"/>
  <c r="E53" i="3"/>
  <c r="F53" i="3"/>
  <c r="H53" i="3"/>
  <c r="I53" i="3"/>
  <c r="E54" i="3"/>
  <c r="F54" i="3"/>
  <c r="H54" i="3"/>
  <c r="I54" i="3"/>
  <c r="E55" i="3"/>
  <c r="F55" i="3"/>
  <c r="H55" i="3"/>
  <c r="I55" i="3"/>
  <c r="E56" i="3"/>
  <c r="F56" i="3"/>
  <c r="H56" i="3"/>
  <c r="I56" i="3"/>
  <c r="E57" i="3"/>
  <c r="F57" i="3"/>
  <c r="H57" i="3"/>
  <c r="I57" i="3"/>
  <c r="E58" i="3"/>
  <c r="F58" i="3"/>
  <c r="H58" i="3"/>
  <c r="I58" i="3"/>
  <c r="E59" i="3"/>
  <c r="F59" i="3"/>
  <c r="H59" i="3"/>
  <c r="I59" i="3"/>
  <c r="E60" i="3"/>
  <c r="F60" i="3"/>
  <c r="H60" i="3"/>
  <c r="I60" i="3"/>
  <c r="E61" i="3"/>
  <c r="F61" i="3"/>
  <c r="H61" i="3"/>
  <c r="I61" i="3"/>
  <c r="E62" i="3"/>
  <c r="F62" i="3"/>
  <c r="H62" i="3"/>
  <c r="I62" i="3"/>
  <c r="E63" i="3"/>
  <c r="F63" i="3"/>
  <c r="H63" i="3"/>
  <c r="I63" i="3"/>
  <c r="E64" i="3"/>
  <c r="F64" i="3"/>
  <c r="H64" i="3"/>
  <c r="I64" i="3"/>
  <c r="E65" i="3"/>
  <c r="F65" i="3"/>
  <c r="H65" i="3"/>
  <c r="I65" i="3"/>
  <c r="E66" i="3"/>
  <c r="F66" i="3"/>
  <c r="H66" i="3"/>
  <c r="I66" i="3"/>
  <c r="E67" i="3"/>
  <c r="F67" i="3"/>
  <c r="H67" i="3"/>
  <c r="I67" i="3"/>
  <c r="E68" i="3"/>
  <c r="F68" i="3"/>
  <c r="H68" i="3"/>
  <c r="I68" i="3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E39" i="72"/>
  <c r="F39" i="72"/>
  <c r="H39" i="72"/>
  <c r="I39" i="72"/>
  <c r="E40" i="72"/>
  <c r="F40" i="72"/>
  <c r="H40" i="72"/>
  <c r="I40" i="72"/>
  <c r="E41" i="72"/>
  <c r="F41" i="72"/>
  <c r="H41" i="72"/>
  <c r="I41" i="72"/>
  <c r="E42" i="72"/>
  <c r="F42" i="72"/>
  <c r="H42" i="72"/>
  <c r="I42" i="72"/>
  <c r="E43" i="72"/>
  <c r="F43" i="72"/>
  <c r="H43" i="72"/>
  <c r="I43" i="72"/>
  <c r="E44" i="72"/>
  <c r="F44" i="72"/>
  <c r="H44" i="72"/>
  <c r="I44" i="72"/>
  <c r="E45" i="72"/>
  <c r="F45" i="72"/>
  <c r="H45" i="72"/>
  <c r="I45" i="72"/>
  <c r="E46" i="72"/>
  <c r="F46" i="72"/>
  <c r="H46" i="72"/>
  <c r="I46" i="72"/>
  <c r="E47" i="72"/>
  <c r="F47" i="72"/>
  <c r="H47" i="72"/>
  <c r="I47" i="72"/>
  <c r="E48" i="72"/>
  <c r="F48" i="72"/>
  <c r="H48" i="72"/>
  <c r="I48" i="72"/>
  <c r="E49" i="72"/>
  <c r="F49" i="72"/>
  <c r="H49" i="72"/>
  <c r="I49" i="72"/>
  <c r="E50" i="72"/>
  <c r="F50" i="72"/>
  <c r="H50" i="72"/>
  <c r="I50" i="72"/>
  <c r="E51" i="72"/>
  <c r="F51" i="72"/>
  <c r="H51" i="72"/>
  <c r="I51" i="72"/>
  <c r="E52" i="72"/>
  <c r="F52" i="72"/>
  <c r="H52" i="72"/>
  <c r="I52" i="72"/>
  <c r="E53" i="72"/>
  <c r="F53" i="72"/>
  <c r="H53" i="72"/>
  <c r="I53" i="72"/>
  <c r="E54" i="72"/>
  <c r="F54" i="72"/>
  <c r="H54" i="72"/>
  <c r="I54" i="72"/>
  <c r="E55" i="72"/>
  <c r="F55" i="72"/>
  <c r="H55" i="72"/>
  <c r="I55" i="72"/>
  <c r="E56" i="72"/>
  <c r="F56" i="72"/>
  <c r="H56" i="72"/>
  <c r="I56" i="72"/>
  <c r="E57" i="72"/>
  <c r="F57" i="72"/>
  <c r="H57" i="72"/>
  <c r="I57" i="72"/>
  <c r="E58" i="72"/>
  <c r="F58" i="72"/>
  <c r="H58" i="72"/>
  <c r="I58" i="72"/>
  <c r="E59" i="72"/>
  <c r="F59" i="72"/>
  <c r="H59" i="72"/>
  <c r="I59" i="72"/>
  <c r="E60" i="72"/>
  <c r="F60" i="72"/>
  <c r="H60" i="72"/>
  <c r="I60" i="72"/>
  <c r="E61" i="72"/>
  <c r="F61" i="72"/>
  <c r="H61" i="72"/>
  <c r="I61" i="72"/>
  <c r="E62" i="72"/>
  <c r="F62" i="72"/>
  <c r="H62" i="72"/>
  <c r="I62" i="72"/>
  <c r="E63" i="72"/>
  <c r="F63" i="72"/>
  <c r="H63" i="72"/>
  <c r="I63" i="72"/>
  <c r="E64" i="72"/>
  <c r="F64" i="72"/>
  <c r="H64" i="72"/>
  <c r="I64" i="72"/>
  <c r="E65" i="72"/>
  <c r="F65" i="72"/>
  <c r="H65" i="72"/>
  <c r="I65" i="72"/>
  <c r="E66" i="72"/>
  <c r="F66" i="72"/>
  <c r="H66" i="72"/>
  <c r="I66" i="72"/>
  <c r="E67" i="72"/>
  <c r="F67" i="72"/>
  <c r="H67" i="72"/>
  <c r="I67" i="72"/>
  <c r="E68" i="72"/>
  <c r="F68" i="72"/>
  <c r="H68" i="72"/>
  <c r="I68" i="72"/>
  <c r="G5" i="29"/>
  <c r="G5" i="34" s="1"/>
  <c r="I5" i="34" s="1"/>
  <c r="G6" i="29"/>
  <c r="G6" i="34" s="1"/>
  <c r="I6" i="34" s="1"/>
  <c r="G7" i="29"/>
  <c r="G7" i="34" s="1"/>
  <c r="I7" i="34" s="1"/>
  <c r="G8" i="29"/>
  <c r="G9" i="29"/>
  <c r="G10" i="29"/>
  <c r="G11" i="29"/>
  <c r="G11" i="34" s="1"/>
  <c r="I11" i="34" s="1"/>
  <c r="G12" i="29"/>
  <c r="G12" i="34" s="1"/>
  <c r="I12" i="34" s="1"/>
  <c r="G13" i="29"/>
  <c r="G14" i="29"/>
  <c r="G14" i="34" s="1"/>
  <c r="I14" i="34" s="1"/>
  <c r="G15" i="29"/>
  <c r="G15" i="34" s="1"/>
  <c r="I15" i="34" s="1"/>
  <c r="G16" i="29"/>
  <c r="G16" i="34" s="1"/>
  <c r="I16" i="34" s="1"/>
  <c r="G17" i="29"/>
  <c r="G18" i="29"/>
  <c r="G19" i="29"/>
  <c r="G20" i="29"/>
  <c r="G21" i="29"/>
  <c r="G22" i="29"/>
  <c r="G22" i="34" s="1"/>
  <c r="I22" i="34" s="1"/>
  <c r="G23" i="29"/>
  <c r="G24" i="29"/>
  <c r="G25" i="29"/>
  <c r="G25" i="34" s="1"/>
  <c r="I25" i="34" s="1"/>
  <c r="G4" i="29"/>
  <c r="D4" i="29"/>
  <c r="H25" i="26"/>
  <c r="I25" i="26"/>
  <c r="E25" i="26"/>
  <c r="F25" i="26"/>
  <c r="H24" i="26"/>
  <c r="I24" i="26"/>
  <c r="E24" i="26"/>
  <c r="F24" i="26"/>
  <c r="H23" i="26"/>
  <c r="I23" i="26"/>
  <c r="E23" i="26"/>
  <c r="F23" i="26"/>
  <c r="H22" i="26"/>
  <c r="I22" i="26"/>
  <c r="E22" i="26"/>
  <c r="F22" i="26"/>
  <c r="H21" i="26"/>
  <c r="I21" i="26"/>
  <c r="E21" i="26"/>
  <c r="F21" i="26"/>
  <c r="H20" i="26"/>
  <c r="I20" i="26"/>
  <c r="E20" i="26"/>
  <c r="F20" i="26"/>
  <c r="H19" i="26"/>
  <c r="I19" i="26"/>
  <c r="E19" i="26"/>
  <c r="F19" i="26"/>
  <c r="H18" i="26"/>
  <c r="I18" i="26"/>
  <c r="E18" i="26"/>
  <c r="F18" i="26"/>
  <c r="G25" i="1"/>
  <c r="I18" i="19"/>
  <c r="I19" i="19"/>
  <c r="I20" i="19"/>
  <c r="I21" i="19"/>
  <c r="I22" i="19"/>
  <c r="I23" i="19"/>
  <c r="I24" i="19"/>
  <c r="I25" i="19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I23" i="4"/>
  <c r="H24" i="4"/>
  <c r="I24" i="4"/>
  <c r="H25" i="4"/>
  <c r="I25" i="4"/>
  <c r="I22" i="4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I18" i="4"/>
  <c r="I19" i="4"/>
  <c r="H18" i="4"/>
  <c r="H19" i="4"/>
  <c r="H20" i="4"/>
  <c r="I20" i="4"/>
  <c r="H21" i="4"/>
  <c r="I21" i="4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24" i="3"/>
  <c r="F24" i="3"/>
  <c r="E25" i="3"/>
  <c r="F25" i="3"/>
  <c r="E18" i="3"/>
  <c r="E19" i="3"/>
  <c r="E20" i="3"/>
  <c r="E21" i="3"/>
  <c r="E22" i="3"/>
  <c r="E23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D18" i="29"/>
  <c r="D18" i="34" s="1"/>
  <c r="H18" i="29"/>
  <c r="C19" i="29"/>
  <c r="D19" i="29"/>
  <c r="D19" i="34" s="1"/>
  <c r="H19" i="29"/>
  <c r="I19" i="29" s="1"/>
  <c r="C20" i="29"/>
  <c r="E20" i="29" s="1"/>
  <c r="F20" i="29" s="1"/>
  <c r="D20" i="29"/>
  <c r="D20" i="34"/>
  <c r="H20" i="29"/>
  <c r="C21" i="29"/>
  <c r="E21" i="29" s="1"/>
  <c r="F21" i="29" s="1"/>
  <c r="D21" i="29"/>
  <c r="D21" i="34" s="1"/>
  <c r="H21" i="29"/>
  <c r="C22" i="29"/>
  <c r="C22" i="34"/>
  <c r="D22" i="29"/>
  <c r="D22" i="34"/>
  <c r="H22" i="29"/>
  <c r="C23" i="29"/>
  <c r="D23" i="29"/>
  <c r="D23" i="34" s="1"/>
  <c r="H23" i="29"/>
  <c r="C24" i="29"/>
  <c r="C24" i="1"/>
  <c r="C24" i="34"/>
  <c r="D24" i="29"/>
  <c r="E24" i="29" s="1"/>
  <c r="F24" i="29" s="1"/>
  <c r="D24" i="1"/>
  <c r="H24" i="29"/>
  <c r="I24" i="29" s="1"/>
  <c r="C25" i="29"/>
  <c r="C25" i="1"/>
  <c r="D25" i="29"/>
  <c r="D25" i="34" s="1"/>
  <c r="D25" i="1"/>
  <c r="H25" i="29"/>
  <c r="I25" i="29" s="1"/>
  <c r="C17" i="18"/>
  <c r="D17" i="18"/>
  <c r="C18" i="18"/>
  <c r="D18" i="18"/>
  <c r="H18" i="18"/>
  <c r="I18" i="18"/>
  <c r="C19" i="18"/>
  <c r="D19" i="18"/>
  <c r="H19" i="18"/>
  <c r="I19" i="18"/>
  <c r="C20" i="18"/>
  <c r="D20" i="18"/>
  <c r="H20" i="18"/>
  <c r="I20" i="18"/>
  <c r="C21" i="18"/>
  <c r="D21" i="18"/>
  <c r="H21" i="18"/>
  <c r="I21" i="18"/>
  <c r="C22" i="18"/>
  <c r="D22" i="18"/>
  <c r="H22" i="18"/>
  <c r="I22" i="18"/>
  <c r="C23" i="18"/>
  <c r="D23" i="18"/>
  <c r="H23" i="18"/>
  <c r="I23" i="18"/>
  <c r="C24" i="18"/>
  <c r="D24" i="18"/>
  <c r="H24" i="18"/>
  <c r="I24" i="18"/>
  <c r="C25" i="18"/>
  <c r="D25" i="18"/>
  <c r="H25" i="18"/>
  <c r="I25" i="18"/>
  <c r="E20" i="18"/>
  <c r="F20" i="18"/>
  <c r="E17" i="18"/>
  <c r="F17" i="18"/>
  <c r="E24" i="18"/>
  <c r="F24" i="18"/>
  <c r="E22" i="18"/>
  <c r="F22" i="18"/>
  <c r="E19" i="18"/>
  <c r="F19" i="18"/>
  <c r="E18" i="18"/>
  <c r="F18" i="18"/>
  <c r="E25" i="18"/>
  <c r="F25" i="18"/>
  <c r="E23" i="18"/>
  <c r="F23" i="18"/>
  <c r="E21" i="18"/>
  <c r="F21" i="18"/>
  <c r="C18" i="1"/>
  <c r="D18" i="1"/>
  <c r="G18" i="1"/>
  <c r="C19" i="1"/>
  <c r="D19" i="1"/>
  <c r="G19" i="1"/>
  <c r="G19" i="34"/>
  <c r="I19" i="34" s="1"/>
  <c r="C20" i="1"/>
  <c r="D20" i="1"/>
  <c r="G20" i="1"/>
  <c r="C21" i="1"/>
  <c r="D21" i="1"/>
  <c r="G21" i="1"/>
  <c r="G21" i="34"/>
  <c r="I21" i="34" s="1"/>
  <c r="C22" i="1"/>
  <c r="D22" i="1"/>
  <c r="G22" i="1"/>
  <c r="C23" i="1"/>
  <c r="D23" i="1"/>
  <c r="G23" i="1"/>
  <c r="G24" i="1"/>
  <c r="G24" i="34"/>
  <c r="I24" i="34" s="1"/>
  <c r="C18" i="30"/>
  <c r="D18" i="30"/>
  <c r="H18" i="30"/>
  <c r="I18" i="30"/>
  <c r="C19" i="30"/>
  <c r="E19" i="30"/>
  <c r="F19" i="30"/>
  <c r="D19" i="30"/>
  <c r="H19" i="30"/>
  <c r="I19" i="30"/>
  <c r="C20" i="30"/>
  <c r="D20" i="30"/>
  <c r="E20" i="30"/>
  <c r="F20" i="30"/>
  <c r="H20" i="30"/>
  <c r="I20" i="30"/>
  <c r="E18" i="72"/>
  <c r="F18" i="72"/>
  <c r="E19" i="72"/>
  <c r="F19" i="72"/>
  <c r="E20" i="72"/>
  <c r="F20" i="72"/>
  <c r="E21" i="72"/>
  <c r="F21" i="72"/>
  <c r="E22" i="72"/>
  <c r="F22" i="72"/>
  <c r="E23" i="72"/>
  <c r="F23" i="72"/>
  <c r="E24" i="72"/>
  <c r="F24" i="72"/>
  <c r="E25" i="72"/>
  <c r="F25" i="72"/>
  <c r="H18" i="72"/>
  <c r="H18" i="1"/>
  <c r="H19" i="72"/>
  <c r="H19" i="1"/>
  <c r="H20" i="72"/>
  <c r="H20" i="1"/>
  <c r="H21" i="72"/>
  <c r="H22" i="72"/>
  <c r="H22" i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C16" i="34" s="1"/>
  <c r="D16" i="29"/>
  <c r="D16" i="34" s="1"/>
  <c r="C17" i="29"/>
  <c r="C17" i="34" s="1"/>
  <c r="D17" i="29"/>
  <c r="D17" i="34" s="1"/>
  <c r="C16" i="18"/>
  <c r="D16" i="18"/>
  <c r="C16" i="1"/>
  <c r="D16" i="1"/>
  <c r="G16" i="1"/>
  <c r="C17" i="1"/>
  <c r="D17" i="1"/>
  <c r="G17" i="1"/>
  <c r="G17" i="34"/>
  <c r="I17" i="34" s="1"/>
  <c r="H17" i="33"/>
  <c r="I17" i="33"/>
  <c r="E17" i="33"/>
  <c r="F17" i="33"/>
  <c r="H16" i="33"/>
  <c r="I16" i="33"/>
  <c r="E16" i="33"/>
  <c r="F16" i="33"/>
  <c r="H17" i="32"/>
  <c r="I17" i="32"/>
  <c r="E17" i="32"/>
  <c r="F17" i="32"/>
  <c r="H16" i="32"/>
  <c r="I16" i="32"/>
  <c r="E16" i="32"/>
  <c r="F16" i="32"/>
  <c r="H17" i="31"/>
  <c r="I17" i="31"/>
  <c r="E17" i="31"/>
  <c r="F17" i="31"/>
  <c r="H16" i="31"/>
  <c r="I16" i="31"/>
  <c r="E16" i="31"/>
  <c r="F16" i="31"/>
  <c r="H17" i="28"/>
  <c r="I17" i="28"/>
  <c r="E17" i="28"/>
  <c r="F17" i="28"/>
  <c r="H16" i="28"/>
  <c r="I16" i="28"/>
  <c r="E16" i="28"/>
  <c r="F16" i="28"/>
  <c r="H17" i="27"/>
  <c r="I17" i="27" s="1"/>
  <c r="E17" i="27"/>
  <c r="F17" i="27" s="1"/>
  <c r="H16" i="27"/>
  <c r="I16" i="27" s="1"/>
  <c r="E16" i="27"/>
  <c r="F16" i="27" s="1"/>
  <c r="H17" i="26"/>
  <c r="I17" i="26"/>
  <c r="E17" i="26"/>
  <c r="F17" i="26"/>
  <c r="H16" i="26"/>
  <c r="I16" i="26"/>
  <c r="E16" i="26"/>
  <c r="F16" i="26"/>
  <c r="H17" i="19"/>
  <c r="I17" i="19"/>
  <c r="E17" i="19"/>
  <c r="F17" i="19"/>
  <c r="H16" i="19"/>
  <c r="I16" i="19"/>
  <c r="E16" i="19"/>
  <c r="F16" i="19"/>
  <c r="H17" i="20"/>
  <c r="I17" i="20"/>
  <c r="E17" i="20"/>
  <c r="F17" i="20"/>
  <c r="H16" i="20"/>
  <c r="I16" i="20"/>
  <c r="E16" i="20"/>
  <c r="F16" i="20"/>
  <c r="H17" i="21"/>
  <c r="E17" i="21"/>
  <c r="F17" i="21"/>
  <c r="H16" i="21"/>
  <c r="E16" i="21"/>
  <c r="F16" i="21"/>
  <c r="H17" i="4"/>
  <c r="I17" i="4"/>
  <c r="E17" i="4"/>
  <c r="F17" i="4"/>
  <c r="H16" i="4"/>
  <c r="I16" i="4"/>
  <c r="E16" i="4"/>
  <c r="F16" i="4"/>
  <c r="E16" i="3"/>
  <c r="H16" i="3"/>
  <c r="I16" i="3"/>
  <c r="E17" i="3"/>
  <c r="H17" i="3"/>
  <c r="I17" i="3"/>
  <c r="E16" i="72"/>
  <c r="F16" i="72"/>
  <c r="H16" i="72"/>
  <c r="E17" i="72"/>
  <c r="F17" i="72"/>
  <c r="H17" i="72"/>
  <c r="E15" i="72"/>
  <c r="F15" i="72"/>
  <c r="E14" i="72"/>
  <c r="F14" i="72"/>
  <c r="E13" i="72"/>
  <c r="F13" i="72"/>
  <c r="E12" i="72"/>
  <c r="F12" i="72"/>
  <c r="E11" i="72"/>
  <c r="F11" i="72"/>
  <c r="E10" i="72"/>
  <c r="F10" i="72"/>
  <c r="E9" i="72"/>
  <c r="F9" i="72"/>
  <c r="E8" i="72"/>
  <c r="F8" i="72"/>
  <c r="E7" i="72"/>
  <c r="F7" i="72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H5" i="3"/>
  <c r="I5" i="3"/>
  <c r="E6" i="3"/>
  <c r="H6" i="3"/>
  <c r="I6" i="3"/>
  <c r="E7" i="3"/>
  <c r="H7" i="3"/>
  <c r="I7" i="3"/>
  <c r="E8" i="3"/>
  <c r="H8" i="3"/>
  <c r="I8" i="3"/>
  <c r="E9" i="3"/>
  <c r="H9" i="3"/>
  <c r="I9" i="3"/>
  <c r="E10" i="3"/>
  <c r="H10" i="3"/>
  <c r="I10" i="3"/>
  <c r="E11" i="3"/>
  <c r="H11" i="3"/>
  <c r="I11" i="3"/>
  <c r="E12" i="3"/>
  <c r="H12" i="3"/>
  <c r="I12" i="3"/>
  <c r="E13" i="3"/>
  <c r="H13" i="3"/>
  <c r="I13" i="3"/>
  <c r="E14" i="3"/>
  <c r="H14" i="3"/>
  <c r="I14" i="3"/>
  <c r="E15" i="3"/>
  <c r="H15" i="3"/>
  <c r="I15" i="3"/>
  <c r="G6" i="1"/>
  <c r="G7" i="1"/>
  <c r="G8" i="1"/>
  <c r="G8" i="34"/>
  <c r="I8" i="34" s="1"/>
  <c r="G9" i="1"/>
  <c r="G9" i="34"/>
  <c r="I9" i="34" s="1"/>
  <c r="G10" i="1"/>
  <c r="G10" i="34"/>
  <c r="I10" i="34" s="1"/>
  <c r="G11" i="1"/>
  <c r="G12" i="1"/>
  <c r="G13" i="1"/>
  <c r="G13" i="34"/>
  <c r="I13" i="34" s="1"/>
  <c r="G14" i="1"/>
  <c r="G15" i="1"/>
  <c r="G5" i="1"/>
  <c r="G4" i="34"/>
  <c r="B4" i="34" a="1"/>
  <c r="B4" i="34"/>
  <c r="A4" i="34" a="1"/>
  <c r="A4" i="34"/>
  <c r="A1" i="34" a="1"/>
  <c r="A1" i="34"/>
  <c r="D15" i="30"/>
  <c r="C15" i="30"/>
  <c r="D14" i="30"/>
  <c r="C14" i="30"/>
  <c r="E14" i="30"/>
  <c r="F14" i="30"/>
  <c r="D13" i="30"/>
  <c r="C13" i="30"/>
  <c r="D12" i="30"/>
  <c r="C12" i="30"/>
  <c r="E12" i="30"/>
  <c r="F12" i="30"/>
  <c r="D11" i="30"/>
  <c r="C11" i="30"/>
  <c r="D10" i="30"/>
  <c r="C10" i="30"/>
  <c r="E10" i="30"/>
  <c r="F10" i="30"/>
  <c r="D9" i="30"/>
  <c r="C9" i="30"/>
  <c r="E9" i="30"/>
  <c r="F9" i="30"/>
  <c r="D8" i="30"/>
  <c r="C8" i="30"/>
  <c r="E8" i="30"/>
  <c r="F8" i="30"/>
  <c r="D7" i="30"/>
  <c r="C7" i="30"/>
  <c r="H6" i="30"/>
  <c r="I6" i="30"/>
  <c r="D6" i="30"/>
  <c r="C6" i="30"/>
  <c r="E6" i="30"/>
  <c r="F6" i="30"/>
  <c r="D5" i="30"/>
  <c r="C5" i="30"/>
  <c r="E5" i="30"/>
  <c r="F5" i="30"/>
  <c r="D4" i="30"/>
  <c r="C4" i="30"/>
  <c r="E4" i="30"/>
  <c r="F4" i="30"/>
  <c r="D15" i="29"/>
  <c r="D15" i="34" s="1"/>
  <c r="C15" i="29"/>
  <c r="C15" i="34" s="1"/>
  <c r="D14" i="29"/>
  <c r="D14" i="34" s="1"/>
  <c r="C14" i="29"/>
  <c r="E14" i="29" s="1"/>
  <c r="F14" i="29" s="1"/>
  <c r="D13" i="29"/>
  <c r="D13" i="34" s="1"/>
  <c r="C13" i="29"/>
  <c r="C13" i="34" s="1"/>
  <c r="D12" i="29"/>
  <c r="D12" i="34" s="1"/>
  <c r="C12" i="29"/>
  <c r="D11" i="29"/>
  <c r="C11" i="29"/>
  <c r="D10" i="29"/>
  <c r="D10" i="34" s="1"/>
  <c r="C10" i="29"/>
  <c r="D9" i="29"/>
  <c r="D9" i="34" s="1"/>
  <c r="C9" i="29"/>
  <c r="C9" i="34" s="1"/>
  <c r="D8" i="29"/>
  <c r="D8" i="34" s="1"/>
  <c r="C8" i="29"/>
  <c r="D7" i="29"/>
  <c r="D7" i="34" s="1"/>
  <c r="C7" i="29"/>
  <c r="C7" i="34"/>
  <c r="D6" i="29"/>
  <c r="D6" i="34" s="1"/>
  <c r="C6" i="29"/>
  <c r="C6" i="34" s="1"/>
  <c r="D5" i="29"/>
  <c r="E5" i="29" s="1"/>
  <c r="F5" i="29" s="1"/>
  <c r="C5" i="29"/>
  <c r="C4" i="29"/>
  <c r="D15" i="18"/>
  <c r="C15" i="18"/>
  <c r="D14" i="18"/>
  <c r="C14" i="18"/>
  <c r="D13" i="18"/>
  <c r="C13" i="18"/>
  <c r="D12" i="18"/>
  <c r="C12" i="18"/>
  <c r="D11" i="18"/>
  <c r="C11" i="18"/>
  <c r="E11" i="18"/>
  <c r="F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/>
  <c r="E13" i="29"/>
  <c r="F13" i="29" s="1"/>
  <c r="E15" i="30"/>
  <c r="F15" i="30"/>
  <c r="E13" i="30"/>
  <c r="F13" i="30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/>
  <c r="E4" i="34" s="1"/>
  <c r="F4" i="34" s="1"/>
  <c r="B4" i="1" a="1"/>
  <c r="B4" i="1"/>
  <c r="A4" i="1" a="1"/>
  <c r="A4" i="1"/>
  <c r="A1" i="1" a="1"/>
  <c r="A1" i="1"/>
  <c r="H15" i="33"/>
  <c r="I15" i="33"/>
  <c r="E15" i="33"/>
  <c r="F15" i="33"/>
  <c r="I14" i="33"/>
  <c r="H14" i="33"/>
  <c r="E14" i="33"/>
  <c r="F14" i="33"/>
  <c r="H13" i="33"/>
  <c r="I13" i="33"/>
  <c r="E13" i="33"/>
  <c r="F13" i="33"/>
  <c r="I12" i="33"/>
  <c r="H12" i="33"/>
  <c r="E12" i="33"/>
  <c r="F12" i="33"/>
  <c r="H11" i="33"/>
  <c r="I11" i="33"/>
  <c r="E11" i="33"/>
  <c r="F11" i="33"/>
  <c r="H10" i="33"/>
  <c r="I10" i="33"/>
  <c r="E10" i="33"/>
  <c r="F10" i="33"/>
  <c r="H9" i="33"/>
  <c r="I9" i="33"/>
  <c r="E9" i="33"/>
  <c r="F9" i="33"/>
  <c r="I8" i="33"/>
  <c r="H8" i="33"/>
  <c r="E8" i="33"/>
  <c r="F8" i="33"/>
  <c r="H7" i="33"/>
  <c r="I7" i="33"/>
  <c r="E7" i="33"/>
  <c r="F7" i="33"/>
  <c r="I6" i="33"/>
  <c r="H6" i="33"/>
  <c r="E6" i="33"/>
  <c r="F6" i="33"/>
  <c r="I5" i="33"/>
  <c r="H5" i="33"/>
  <c r="E5" i="33"/>
  <c r="F5" i="33"/>
  <c r="I4" i="33"/>
  <c r="H4" i="33"/>
  <c r="E4" i="33"/>
  <c r="F4" i="33"/>
  <c r="G2" i="33"/>
  <c r="D2" i="33"/>
  <c r="C2" i="33"/>
  <c r="A1" i="33" a="1"/>
  <c r="A1" i="33"/>
  <c r="H15" i="32"/>
  <c r="I15" i="32"/>
  <c r="F15" i="32"/>
  <c r="E15" i="32"/>
  <c r="H14" i="32"/>
  <c r="I14" i="32"/>
  <c r="E14" i="32"/>
  <c r="F14" i="32"/>
  <c r="H13" i="32"/>
  <c r="I13" i="32"/>
  <c r="E13" i="32"/>
  <c r="F13" i="32"/>
  <c r="H12" i="32"/>
  <c r="I12" i="32"/>
  <c r="F12" i="32"/>
  <c r="E12" i="32"/>
  <c r="H11" i="32"/>
  <c r="I11" i="32"/>
  <c r="E11" i="32"/>
  <c r="F11" i="32"/>
  <c r="H10" i="32"/>
  <c r="I10" i="32"/>
  <c r="E10" i="32"/>
  <c r="F10" i="32"/>
  <c r="H9" i="32"/>
  <c r="I9" i="32"/>
  <c r="F9" i="32"/>
  <c r="E9" i="32"/>
  <c r="H8" i="32"/>
  <c r="I8" i="32"/>
  <c r="E8" i="32"/>
  <c r="F8" i="32"/>
  <c r="H7" i="32"/>
  <c r="I7" i="32"/>
  <c r="E7" i="32"/>
  <c r="F7" i="32"/>
  <c r="H6" i="32"/>
  <c r="I6" i="32"/>
  <c r="F6" i="32"/>
  <c r="E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15" i="28"/>
  <c r="I15" i="28"/>
  <c r="E15" i="28"/>
  <c r="F15" i="28"/>
  <c r="H14" i="28"/>
  <c r="I14" i="28"/>
  <c r="E14" i="28"/>
  <c r="F14" i="28"/>
  <c r="I13" i="28"/>
  <c r="H13" i="28"/>
  <c r="E13" i="28"/>
  <c r="F13" i="28"/>
  <c r="H12" i="28"/>
  <c r="I12" i="28"/>
  <c r="E12" i="28"/>
  <c r="F12" i="28"/>
  <c r="H11" i="28"/>
  <c r="I11" i="28"/>
  <c r="E11" i="28"/>
  <c r="F11" i="28"/>
  <c r="I10" i="28"/>
  <c r="H10" i="28"/>
  <c r="E10" i="28"/>
  <c r="F10" i="28"/>
  <c r="H9" i="28"/>
  <c r="I9" i="28"/>
  <c r="E9" i="28"/>
  <c r="F9" i="28"/>
  <c r="H8" i="28"/>
  <c r="I8" i="28"/>
  <c r="E8" i="28"/>
  <c r="F8" i="28"/>
  <c r="I7" i="28"/>
  <c r="H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G2" i="27"/>
  <c r="D2" i="27"/>
  <c r="C2" i="27"/>
  <c r="A1" i="27" a="1"/>
  <c r="A1" i="27"/>
  <c r="H15" i="26"/>
  <c r="H15" i="29"/>
  <c r="E15" i="26"/>
  <c r="F15" i="26"/>
  <c r="H14" i="26"/>
  <c r="I14" i="26"/>
  <c r="E14" i="26"/>
  <c r="F14" i="26"/>
  <c r="H13" i="26"/>
  <c r="I13" i="26"/>
  <c r="E13" i="26"/>
  <c r="F13" i="26"/>
  <c r="H12" i="26"/>
  <c r="H12" i="29"/>
  <c r="I12" i="29" s="1"/>
  <c r="E12" i="26"/>
  <c r="F12" i="26"/>
  <c r="H11" i="26"/>
  <c r="I11" i="26"/>
  <c r="E11" i="26"/>
  <c r="F11" i="26"/>
  <c r="H10" i="26"/>
  <c r="I10" i="26"/>
  <c r="E10" i="26"/>
  <c r="F10" i="26"/>
  <c r="H9" i="26"/>
  <c r="H9" i="29"/>
  <c r="I9" i="29" s="1"/>
  <c r="E9" i="26"/>
  <c r="F9" i="26"/>
  <c r="H8" i="26"/>
  <c r="I8" i="26"/>
  <c r="E8" i="26"/>
  <c r="F8" i="26"/>
  <c r="H7" i="26"/>
  <c r="H7" i="29"/>
  <c r="E7" i="26"/>
  <c r="F7" i="26"/>
  <c r="H6" i="26"/>
  <c r="H6" i="29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15" i="19"/>
  <c r="I15" i="19"/>
  <c r="E15" i="19"/>
  <c r="F15" i="19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15" i="20"/>
  <c r="I15" i="20"/>
  <c r="E15" i="20"/>
  <c r="F15" i="20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15" i="21"/>
  <c r="I15" i="21"/>
  <c r="E15" i="21"/>
  <c r="F15" i="21"/>
  <c r="H14" i="21"/>
  <c r="I14" i="21"/>
  <c r="E14" i="21"/>
  <c r="F14" i="21"/>
  <c r="H13" i="21"/>
  <c r="I13" i="21"/>
  <c r="E13" i="21"/>
  <c r="F13" i="21"/>
  <c r="H12" i="21"/>
  <c r="I12" i="21"/>
  <c r="E12" i="21"/>
  <c r="F12" i="21"/>
  <c r="H11" i="21"/>
  <c r="I11" i="21"/>
  <c r="E11" i="21"/>
  <c r="F11" i="21"/>
  <c r="H10" i="21"/>
  <c r="I10" i="21"/>
  <c r="E10" i="21"/>
  <c r="F10" i="21"/>
  <c r="H9" i="21"/>
  <c r="I9" i="21"/>
  <c r="E9" i="21"/>
  <c r="F9" i="2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I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H2" i="3"/>
  <c r="D2" i="3"/>
  <c r="J2" i="3"/>
  <c r="A1" i="3" a="1"/>
  <c r="A1" i="3"/>
  <c r="H6" i="72"/>
  <c r="I6" i="72"/>
  <c r="H7" i="72"/>
  <c r="I7" i="72"/>
  <c r="H8" i="72"/>
  <c r="I8" i="72"/>
  <c r="H9" i="72"/>
  <c r="I9" i="72"/>
  <c r="H10" i="72"/>
  <c r="I10" i="72"/>
  <c r="H11" i="72"/>
  <c r="I11" i="72"/>
  <c r="H12" i="72"/>
  <c r="I12" i="72"/>
  <c r="H13" i="72"/>
  <c r="I13" i="72"/>
  <c r="H14" i="72"/>
  <c r="I14" i="72"/>
  <c r="H15" i="72"/>
  <c r="I15" i="72"/>
  <c r="H5" i="72"/>
  <c r="I5" i="72"/>
  <c r="H4" i="72"/>
  <c r="I4" i="72"/>
  <c r="G2" i="72"/>
  <c r="D2" i="72"/>
  <c r="C2" i="72"/>
  <c r="J2" i="72"/>
  <c r="A1" i="72" a="1"/>
  <c r="A1" i="72"/>
  <c r="H17" i="29"/>
  <c r="I17" i="29" s="1"/>
  <c r="H16" i="29"/>
  <c r="C12" i="34"/>
  <c r="C11" i="34"/>
  <c r="C10" i="34"/>
  <c r="E8" i="29"/>
  <c r="F8" i="29" s="1"/>
  <c r="C8" i="34"/>
  <c r="C5" i="34"/>
  <c r="E13" i="18"/>
  <c r="F13" i="18"/>
  <c r="E10" i="18"/>
  <c r="F10" i="18"/>
  <c r="E14" i="18"/>
  <c r="F14" i="18"/>
  <c r="E7" i="18"/>
  <c r="F7" i="18"/>
  <c r="E5" i="18"/>
  <c r="F5" i="18"/>
  <c r="I16" i="21"/>
  <c r="H16" i="18"/>
  <c r="I16" i="18"/>
  <c r="E16" i="18"/>
  <c r="F16" i="18"/>
  <c r="E15" i="18"/>
  <c r="F15" i="18"/>
  <c r="E12" i="18"/>
  <c r="F12" i="18"/>
  <c r="E9" i="18"/>
  <c r="F9" i="18"/>
  <c r="D2" i="18"/>
  <c r="E8" i="18"/>
  <c r="F8" i="18"/>
  <c r="E6" i="18"/>
  <c r="F6" i="18"/>
  <c r="E4" i="18"/>
  <c r="F4" i="18"/>
  <c r="I17" i="21"/>
  <c r="H17" i="18"/>
  <c r="I17" i="18"/>
  <c r="E24" i="1"/>
  <c r="F24" i="1"/>
  <c r="E23" i="1"/>
  <c r="F23" i="1"/>
  <c r="H17" i="1"/>
  <c r="I17" i="1"/>
  <c r="H16" i="1"/>
  <c r="I16" i="1"/>
  <c r="E21" i="1"/>
  <c r="F21" i="1"/>
  <c r="I25" i="72"/>
  <c r="H25" i="34"/>
  <c r="I24" i="72"/>
  <c r="H24" i="34"/>
  <c r="H24" i="1"/>
  <c r="I24" i="1"/>
  <c r="I23" i="72"/>
  <c r="H23" i="34"/>
  <c r="I22" i="72"/>
  <c r="H22" i="34"/>
  <c r="I21" i="72"/>
  <c r="H21" i="34"/>
  <c r="I20" i="72"/>
  <c r="H20" i="34"/>
  <c r="H25" i="1"/>
  <c r="I25" i="1"/>
  <c r="H23" i="1"/>
  <c r="I23" i="1"/>
  <c r="H21" i="1"/>
  <c r="I21" i="1"/>
  <c r="I19" i="72"/>
  <c r="H19" i="34"/>
  <c r="I18" i="72"/>
  <c r="H18" i="34"/>
  <c r="E18" i="30"/>
  <c r="F18" i="30"/>
  <c r="I22" i="1"/>
  <c r="E19" i="1"/>
  <c r="F19" i="1"/>
  <c r="I18" i="1"/>
  <c r="E18" i="1"/>
  <c r="F18" i="1"/>
  <c r="I20" i="1"/>
  <c r="G20" i="34"/>
  <c r="I20" i="34" s="1"/>
  <c r="E22" i="1"/>
  <c r="F22" i="1"/>
  <c r="E20" i="1"/>
  <c r="F20" i="1"/>
  <c r="E25" i="1"/>
  <c r="F25" i="1"/>
  <c r="I19" i="1"/>
  <c r="D2" i="30"/>
  <c r="E17" i="1"/>
  <c r="F17" i="1"/>
  <c r="E16" i="1"/>
  <c r="F16" i="1"/>
  <c r="I17" i="72"/>
  <c r="H16" i="34"/>
  <c r="I16" i="72"/>
  <c r="H17" i="34"/>
  <c r="H2" i="33"/>
  <c r="I2" i="33"/>
  <c r="J2" i="33"/>
  <c r="H2" i="32"/>
  <c r="I2" i="32"/>
  <c r="J2" i="32"/>
  <c r="H2" i="31"/>
  <c r="I2" i="31"/>
  <c r="J2" i="31"/>
  <c r="H2" i="28"/>
  <c r="I2" i="28"/>
  <c r="J2" i="28"/>
  <c r="E2" i="28"/>
  <c r="F2" i="28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I2" i="3"/>
  <c r="E7" i="1"/>
  <c r="F7" i="1"/>
  <c r="E15" i="1"/>
  <c r="F15" i="1"/>
  <c r="G2" i="1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6" i="1"/>
  <c r="F6" i="1"/>
  <c r="E14" i="1"/>
  <c r="F14" i="1"/>
  <c r="H14" i="30"/>
  <c r="I14" i="30"/>
  <c r="H9" i="30"/>
  <c r="I9" i="30"/>
  <c r="H4" i="30"/>
  <c r="I4" i="30"/>
  <c r="E7" i="30"/>
  <c r="F7" i="30"/>
  <c r="H12" i="30"/>
  <c r="I12" i="30"/>
  <c r="H7" i="30"/>
  <c r="I7" i="30"/>
  <c r="H15" i="30"/>
  <c r="I15" i="30"/>
  <c r="H10" i="30"/>
  <c r="I10" i="30"/>
  <c r="H5" i="30"/>
  <c r="I5" i="30"/>
  <c r="H13" i="30"/>
  <c r="I13" i="30"/>
  <c r="H8" i="30"/>
  <c r="I8" i="30"/>
  <c r="H11" i="30"/>
  <c r="I11" i="30"/>
  <c r="E7" i="29"/>
  <c r="F7" i="29" s="1"/>
  <c r="H8" i="29"/>
  <c r="I8" i="29" s="1"/>
  <c r="I6" i="26"/>
  <c r="I9" i="26"/>
  <c r="I12" i="26"/>
  <c r="I15" i="26"/>
  <c r="H4" i="29"/>
  <c r="H4" i="34" s="1"/>
  <c r="H5" i="29"/>
  <c r="I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C4" i="34"/>
  <c r="H5" i="18"/>
  <c r="I5" i="18"/>
  <c r="H13" i="18"/>
  <c r="I13" i="18"/>
  <c r="H8" i="18"/>
  <c r="I8" i="18"/>
  <c r="H11" i="18"/>
  <c r="I11" i="18"/>
  <c r="H6" i="34"/>
  <c r="H7" i="34"/>
  <c r="H8" i="34"/>
  <c r="H5" i="34"/>
  <c r="H9" i="34"/>
  <c r="H10" i="34"/>
  <c r="H11" i="34"/>
  <c r="H12" i="34"/>
  <c r="H13" i="34"/>
  <c r="H14" i="34"/>
  <c r="H15" i="34"/>
  <c r="C2" i="30"/>
  <c r="E4" i="29"/>
  <c r="F4" i="29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E2" i="3"/>
  <c r="F2" i="3"/>
  <c r="E4" i="1"/>
  <c r="F4" i="1"/>
  <c r="H14" i="1"/>
  <c r="I14" i="1"/>
  <c r="H13" i="1"/>
  <c r="I13" i="1"/>
  <c r="H9" i="1"/>
  <c r="I9" i="1"/>
  <c r="H8" i="1"/>
  <c r="I8" i="1"/>
  <c r="D2" i="1"/>
  <c r="E2" i="33"/>
  <c r="F2" i="33"/>
  <c r="E2" i="32"/>
  <c r="F2" i="32"/>
  <c r="E2" i="31"/>
  <c r="F2" i="31"/>
  <c r="E2" i="26"/>
  <c r="F2" i="26"/>
  <c r="E2" i="19"/>
  <c r="F2" i="19"/>
  <c r="E2" i="21"/>
  <c r="F2" i="21"/>
  <c r="E2" i="4"/>
  <c r="F2" i="4"/>
  <c r="H2" i="72"/>
  <c r="H2" i="1"/>
  <c r="I2" i="1"/>
  <c r="I4" i="1"/>
  <c r="H2" i="30"/>
  <c r="I2" i="30"/>
  <c r="E2" i="30"/>
  <c r="F2" i="30"/>
  <c r="H2" i="18"/>
  <c r="I2" i="18"/>
  <c r="E2" i="18"/>
  <c r="F2" i="18"/>
  <c r="E2" i="1"/>
  <c r="F2" i="1"/>
  <c r="I2" i="72"/>
  <c r="E2" i="72"/>
  <c r="F2" i="72"/>
  <c r="I65" i="29" l="1"/>
  <c r="I41" i="29"/>
  <c r="I5" i="29"/>
  <c r="I6" i="29"/>
  <c r="C20" i="34"/>
  <c r="E55" i="29"/>
  <c r="F55" i="29" s="1"/>
  <c r="E49" i="29"/>
  <c r="F49" i="29" s="1"/>
  <c r="I40" i="29"/>
  <c r="I34" i="29"/>
  <c r="I29" i="29"/>
  <c r="E9" i="29"/>
  <c r="F9" i="29" s="1"/>
  <c r="E67" i="29"/>
  <c r="F67" i="29" s="1"/>
  <c r="E65" i="34"/>
  <c r="F65" i="34" s="1"/>
  <c r="E59" i="29"/>
  <c r="F59" i="29" s="1"/>
  <c r="I38" i="29"/>
  <c r="I49" i="29"/>
  <c r="I56" i="29"/>
  <c r="I52" i="29"/>
  <c r="E40" i="29"/>
  <c r="F40" i="29" s="1"/>
  <c r="I27" i="29"/>
  <c r="E50" i="34"/>
  <c r="F50" i="34" s="1"/>
  <c r="C21" i="34"/>
  <c r="I66" i="29"/>
  <c r="I62" i="29"/>
  <c r="I60" i="29"/>
  <c r="I54" i="29"/>
  <c r="I50" i="29"/>
  <c r="E42" i="29"/>
  <c r="F42" i="29" s="1"/>
  <c r="E38" i="34"/>
  <c r="F38" i="34" s="1"/>
  <c r="I15" i="29"/>
  <c r="C14" i="34"/>
  <c r="E17" i="34"/>
  <c r="F17" i="34" s="1"/>
  <c r="E56" i="29"/>
  <c r="F56" i="29" s="1"/>
  <c r="E54" i="34"/>
  <c r="F54" i="34" s="1"/>
  <c r="E52" i="34"/>
  <c r="F52" i="34" s="1"/>
  <c r="E46" i="29"/>
  <c r="F46" i="29" s="1"/>
  <c r="E31" i="29"/>
  <c r="F31" i="29" s="1"/>
  <c r="E66" i="34"/>
  <c r="F66" i="34" s="1"/>
  <c r="I55" i="29"/>
  <c r="I47" i="29"/>
  <c r="E41" i="34"/>
  <c r="F41" i="34" s="1"/>
  <c r="E37" i="29"/>
  <c r="F37" i="29" s="1"/>
  <c r="I26" i="29"/>
  <c r="I7" i="29"/>
  <c r="I16" i="29"/>
  <c r="I67" i="29"/>
  <c r="I59" i="29"/>
  <c r="I51" i="29"/>
  <c r="I32" i="29"/>
  <c r="I33" i="29"/>
  <c r="I21" i="29"/>
  <c r="I68" i="29"/>
  <c r="I20" i="29"/>
  <c r="I46" i="29"/>
  <c r="I18" i="29"/>
  <c r="I57" i="29"/>
  <c r="I37" i="29"/>
  <c r="I64" i="29"/>
  <c r="I23" i="29"/>
  <c r="I36" i="29"/>
  <c r="I4" i="29"/>
  <c r="I4" i="34"/>
  <c r="E17" i="29"/>
  <c r="F17" i="29" s="1"/>
  <c r="D24" i="34"/>
  <c r="E24" i="34" s="1"/>
  <c r="F24" i="34" s="1"/>
  <c r="E30" i="29"/>
  <c r="F30" i="29" s="1"/>
  <c r="E10" i="29"/>
  <c r="F10" i="29" s="1"/>
  <c r="E35" i="29"/>
  <c r="F35" i="29" s="1"/>
  <c r="E15" i="29"/>
  <c r="F15" i="29" s="1"/>
  <c r="E20" i="34"/>
  <c r="F20" i="34" s="1"/>
  <c r="E68" i="29"/>
  <c r="F68" i="29" s="1"/>
  <c r="E7" i="34"/>
  <c r="F7" i="34" s="1"/>
  <c r="D5" i="34"/>
  <c r="E5" i="34" s="1"/>
  <c r="F5" i="34" s="1"/>
  <c r="E6" i="29"/>
  <c r="F6" i="29" s="1"/>
  <c r="E6" i="34"/>
  <c r="F6" i="34" s="1"/>
  <c r="D2" i="29"/>
  <c r="E12" i="34"/>
  <c r="F12" i="34" s="1"/>
  <c r="E11" i="29"/>
  <c r="F11" i="29" s="1"/>
  <c r="E22" i="29"/>
  <c r="F22" i="29" s="1"/>
  <c r="E63" i="29"/>
  <c r="F63" i="29" s="1"/>
  <c r="E60" i="34"/>
  <c r="F60" i="34" s="1"/>
  <c r="E41" i="29"/>
  <c r="F41" i="29" s="1"/>
  <c r="E32" i="29"/>
  <c r="F32" i="29" s="1"/>
  <c r="D58" i="34"/>
  <c r="E58" i="34" s="1"/>
  <c r="F58" i="34" s="1"/>
  <c r="D42" i="34"/>
  <c r="E9" i="34"/>
  <c r="F9" i="34" s="1"/>
  <c r="E14" i="34"/>
  <c r="F14" i="34" s="1"/>
  <c r="D11" i="34"/>
  <c r="E11" i="34" s="1"/>
  <c r="F11" i="34" s="1"/>
  <c r="E57" i="34"/>
  <c r="F57" i="34" s="1"/>
  <c r="E54" i="29"/>
  <c r="F54" i="29" s="1"/>
  <c r="E44" i="34"/>
  <c r="F44" i="34" s="1"/>
  <c r="E38" i="29"/>
  <c r="F38" i="29" s="1"/>
  <c r="E29" i="34"/>
  <c r="F29" i="34" s="1"/>
  <c r="D67" i="34"/>
  <c r="E67" i="34" s="1"/>
  <c r="F67" i="34" s="1"/>
  <c r="D49" i="34"/>
  <c r="E49" i="34" s="1"/>
  <c r="F49" i="34" s="1"/>
  <c r="E42" i="34"/>
  <c r="F42" i="34" s="1"/>
  <c r="E63" i="34"/>
  <c r="F63" i="34" s="1"/>
  <c r="E32" i="34"/>
  <c r="F32" i="34" s="1"/>
  <c r="E27" i="34"/>
  <c r="F27" i="34" s="1"/>
  <c r="E12" i="29"/>
  <c r="F12" i="29" s="1"/>
  <c r="E16" i="34"/>
  <c r="F16" i="34" s="1"/>
  <c r="E23" i="29"/>
  <c r="F23" i="29" s="1"/>
  <c r="E18" i="29"/>
  <c r="F18" i="29" s="1"/>
  <c r="E64" i="29"/>
  <c r="F64" i="29" s="1"/>
  <c r="E61" i="34"/>
  <c r="F61" i="34" s="1"/>
  <c r="E51" i="34"/>
  <c r="F51" i="34" s="1"/>
  <c r="E47" i="29"/>
  <c r="F47" i="29" s="1"/>
  <c r="D59" i="34"/>
  <c r="E59" i="34" s="1"/>
  <c r="F59" i="34" s="1"/>
  <c r="E40" i="34"/>
  <c r="F40" i="34" s="1"/>
  <c r="D31" i="34"/>
  <c r="E31" i="34" s="1"/>
  <c r="F31" i="34" s="1"/>
  <c r="E28" i="34"/>
  <c r="F28" i="34" s="1"/>
  <c r="E15" i="34"/>
  <c r="F15" i="34" s="1"/>
  <c r="E21" i="34"/>
  <c r="F21" i="34" s="1"/>
  <c r="E55" i="34"/>
  <c r="F55" i="34" s="1"/>
  <c r="E33" i="29"/>
  <c r="F33" i="29" s="1"/>
  <c r="D48" i="34"/>
  <c r="E48" i="34" s="1"/>
  <c r="F48" i="34" s="1"/>
  <c r="E65" i="29"/>
  <c r="F65" i="29" s="1"/>
  <c r="E64" i="34"/>
  <c r="F64" i="34" s="1"/>
  <c r="E47" i="34"/>
  <c r="F47" i="34" s="1"/>
  <c r="E45" i="34"/>
  <c r="F45" i="34" s="1"/>
  <c r="E39" i="34"/>
  <c r="F39" i="34" s="1"/>
  <c r="E36" i="29"/>
  <c r="F36" i="29" s="1"/>
  <c r="E28" i="29"/>
  <c r="F28" i="29" s="1"/>
  <c r="E10" i="34"/>
  <c r="F10" i="34" s="1"/>
  <c r="E13" i="34"/>
  <c r="F13" i="34" s="1"/>
  <c r="E56" i="34"/>
  <c r="F56" i="34" s="1"/>
  <c r="D37" i="34"/>
  <c r="E30" i="34"/>
  <c r="F30" i="34" s="1"/>
  <c r="E25" i="29"/>
  <c r="F25" i="29" s="1"/>
  <c r="E22" i="34"/>
  <c r="F22" i="34" s="1"/>
  <c r="E19" i="29"/>
  <c r="F19" i="29" s="1"/>
  <c r="E62" i="34"/>
  <c r="F62" i="34" s="1"/>
  <c r="E53" i="29"/>
  <c r="F53" i="29" s="1"/>
  <c r="E34" i="29"/>
  <c r="F34" i="29" s="1"/>
  <c r="E26" i="34"/>
  <c r="F26" i="34" s="1"/>
  <c r="E8" i="34"/>
  <c r="F8" i="34" s="1"/>
  <c r="C43" i="34"/>
  <c r="E43" i="34" s="1"/>
  <c r="F43" i="34" s="1"/>
  <c r="I63" i="29"/>
  <c r="E62" i="29"/>
  <c r="F62" i="29" s="1"/>
  <c r="G68" i="34"/>
  <c r="I68" i="34" s="1"/>
  <c r="C68" i="34"/>
  <c r="E68" i="34" s="1"/>
  <c r="F68" i="34" s="1"/>
  <c r="I53" i="29"/>
  <c r="C53" i="34"/>
  <c r="E53" i="34" s="1"/>
  <c r="F53" i="34" s="1"/>
  <c r="G46" i="34"/>
  <c r="I46" i="34" s="1"/>
  <c r="C46" i="34"/>
  <c r="E46" i="34" s="1"/>
  <c r="F46" i="34" s="1"/>
  <c r="I45" i="29"/>
  <c r="E45" i="29"/>
  <c r="F45" i="29" s="1"/>
  <c r="I44" i="29"/>
  <c r="E44" i="29"/>
  <c r="F44" i="29" s="1"/>
  <c r="E39" i="29"/>
  <c r="F39" i="29" s="1"/>
  <c r="I42" i="29"/>
  <c r="E26" i="29"/>
  <c r="F26" i="29" s="1"/>
  <c r="C25" i="34"/>
  <c r="E25" i="34" s="1"/>
  <c r="F25" i="34" s="1"/>
  <c r="G23" i="34"/>
  <c r="I23" i="34" s="1"/>
  <c r="C23" i="34"/>
  <c r="E23" i="34" s="1"/>
  <c r="F23" i="34" s="1"/>
  <c r="E60" i="29"/>
  <c r="F60" i="29" s="1"/>
  <c r="I58" i="29"/>
  <c r="G57" i="34"/>
  <c r="I57" i="34" s="1"/>
  <c r="E57" i="29"/>
  <c r="F57" i="29" s="1"/>
  <c r="I22" i="29"/>
  <c r="C19" i="34"/>
  <c r="E19" i="34" s="1"/>
  <c r="F19" i="34" s="1"/>
  <c r="G18" i="34"/>
  <c r="I18" i="34" s="1"/>
  <c r="C18" i="34"/>
  <c r="E18" i="34" s="1"/>
  <c r="F18" i="34" s="1"/>
  <c r="E16" i="29"/>
  <c r="F16" i="29" s="1"/>
  <c r="H14" i="29"/>
  <c r="I14" i="29" s="1"/>
  <c r="H13" i="29"/>
  <c r="I13" i="29" s="1"/>
  <c r="H11" i="29"/>
  <c r="I11" i="29" s="1"/>
  <c r="G37" i="34"/>
  <c r="I37" i="34" s="1"/>
  <c r="G36" i="34"/>
  <c r="I36" i="34" s="1"/>
  <c r="C36" i="34"/>
  <c r="E36" i="34" s="1"/>
  <c r="F36" i="34" s="1"/>
  <c r="C2" i="29"/>
  <c r="C35" i="34"/>
  <c r="E35" i="34" s="1"/>
  <c r="F35" i="34" s="1"/>
  <c r="C34" i="34"/>
  <c r="E34" i="34" s="1"/>
  <c r="F34" i="34" s="1"/>
  <c r="C33" i="34"/>
  <c r="E33" i="34" s="1"/>
  <c r="F33" i="34" s="1"/>
  <c r="I31" i="29"/>
  <c r="G2" i="29"/>
  <c r="I30" i="29"/>
  <c r="E29" i="29"/>
  <c r="F29" i="29" s="1"/>
  <c r="I28" i="29"/>
  <c r="I61" i="29"/>
  <c r="E61" i="29"/>
  <c r="F61" i="29" s="1"/>
  <c r="E51" i="29"/>
  <c r="F51" i="29" s="1"/>
  <c r="E27" i="29"/>
  <c r="F27" i="29" s="1"/>
  <c r="I48" i="34"/>
  <c r="H2" i="27"/>
  <c r="I2" i="27" s="1"/>
  <c r="I48" i="29"/>
  <c r="J2" i="27"/>
  <c r="E2" i="27"/>
  <c r="F2" i="27" s="1"/>
  <c r="C2" i="34" l="1"/>
  <c r="D2" i="34"/>
  <c r="E37" i="34"/>
  <c r="F37" i="34" s="1"/>
  <c r="E2" i="29"/>
  <c r="F2" i="29" s="1"/>
  <c r="G2" i="34"/>
  <c r="H2" i="34" s="1"/>
  <c r="I2" i="34" s="1"/>
  <c r="H2" i="29"/>
  <c r="I2" i="29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<sst xmlns="http://schemas.openxmlformats.org/spreadsheetml/2006/main" count="676" uniqueCount="307">
  <si>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</si>
  <si>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</si>
  <si>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</si>
  <si>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</si>
  <si>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</si>
  <si>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</si>
  <si>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</si>
  <si>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</si>
  <si>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</si>
  <si>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</si>
  <si>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</si>
  <si>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</si>
  <si>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</si>
  <si>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</si>
  <si>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</si>
  <si>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</si>
  <si>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</si>
  <si>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</si>
  <si>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</si>
  <si>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</si>
  <si>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</si>
  <si>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</si>
  <si>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</si>
  <si>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</si>
  <si>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</si>
  <si>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</si>
  <si>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</si>
  <si>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</si>
  <si>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</si>
  <si>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</si>
  <si>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</si>
  <si>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</si>
  <si>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</si>
  <si>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</si>
  <si>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</si>
  <si>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</si>
  <si>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</si>
  <si>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</si>
  <si>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</si>
  <si>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</si>
  <si>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</si>
  <si>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</si>
  <si>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</si>
  <si>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</si>
  <si>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</si>
  <si>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</si>
  <si>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</si>
  <si>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</si>
  <si>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</si>
  <si>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</si>
  <si>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</si>
  <si>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</si>
  <si>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</si>
  <si>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</si>
  <si>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</si>
  <si>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</si>
  <si>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</si>
  <si>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</si>
  <si>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</si>
  <si>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</si>
  <si>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</si>
  <si>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</si>
  <si>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</si>
  <si>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</si>
  <si>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</si>
  <si>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</si>
  <si>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</si>
  <si>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</si>
  <si>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</si>
  <si>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</si>
  <si>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</si>
  <si>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</si>
  <si>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</si>
  <si>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</si>
  <si>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</si>
  <si>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</si>
  <si>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</si>
  <si>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</si>
  <si>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</si>
  <si>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1.Inverter 5 tripped offline at 10:40am on 07/12 and back online at 3:30pm on 07/22. 
2.Meter has not communicated from 06/17 and regained its communication on 07/13. Again meter stopped communicating on 07/23 and regained communication on 07/30.</t>
  </si>
  <si>
    <t>1.SR087625
2.SR086338</t>
  </si>
  <si>
    <t>1.Inverter was taken offline from 12:20 on 07/15 to 14:50 on 07/15.</t>
  </si>
  <si>
    <t>1.PM8439</t>
  </si>
  <si>
    <t>1.Inverter 3 offline from 07/01 and back online at 07:35AM on 07/02.
2.Inverter 1 offline from 07/01 and back online at 02:40PM on 07/03.
3.Inverter 2 is offline on 07/16 and back online on 07/17 and also again offline on 07/19 and back online on 07/20.</t>
  </si>
  <si>
    <t>1.SR087100
2.SR087100
3.SR087740</t>
  </si>
  <si>
    <t>1.Inverter have multiple tripping events through out the month.</t>
  </si>
  <si>
    <t>1.SR087422</t>
  </si>
  <si>
    <t>1.Inverter tripped offline at 03:20PM on 07/17 and back online at 4:25PM on same day.</t>
  </si>
  <si>
    <t>1.SR087851</t>
  </si>
  <si>
    <t>1.site is underperforming compared to previous year by about 2.5%, and peak power is about 9% low</t>
  </si>
  <si>
    <t>1.SR087900</t>
  </si>
  <si>
    <t xml:space="preserve">1.Inverter 20 offline from 07/01 and back online on 07/19 at 10:15AM and also again offline from 07/22.
2.Inverter 10 offline from 07/01 and is being RMA'd </t>
  </si>
  <si>
    <t>1.SR087994
2.SR086339,SR086973</t>
  </si>
  <si>
    <t>1.Inverter tripped offline at 2:40 on 07/10 and back online at 04:20PM.</t>
  </si>
  <si>
    <t>1.SR087560</t>
  </si>
  <si>
    <t>1.Site tripped offline on 07/09 at 06:20AM and back online at 12:45PM on 07/10.</t>
  </si>
  <si>
    <t>1.SR087539</t>
  </si>
  <si>
    <t>August Actual v. Expected</t>
  </si>
  <si>
    <t>August Actual v. Forecasted</t>
  </si>
  <si>
    <t>1.Inverter 5 underperforming ~10kW, possibly 2 strings down.</t>
  </si>
  <si>
    <t>1.SR089711</t>
  </si>
  <si>
    <t>1.Inverter frequently tripping on and off and reporting Erroneous values  from 08/08</t>
  </si>
  <si>
    <t>1.Site stopped communicating at 01:05 PM on 08/30, thermal damage to A and C phase blades and conductors in the AC Disconnect. The disconnect has been left in the off position.</t>
  </si>
  <si>
    <t>1.SR089765</t>
  </si>
  <si>
    <t xml:space="preserve">1.Site tripped offline at 09:30 Am On 08/12 , inverter voltages are dropped to zero but meter voltages are available </t>
  </si>
  <si>
    <t>1.SR088924</t>
  </si>
  <si>
    <t>1.site tripped offline at 9:05am on 08/17 till date</t>
  </si>
  <si>
    <t>1.SR089189</t>
  </si>
  <si>
    <t>1.Inverter 1 Pad 1 is back online at 14:40 on 08/02
2.Inverter 1 pad 1 and inverter 2 pad 1 were offline from 16:25 on 08/07 and back online at 15:30 on 08/19</t>
  </si>
  <si>
    <t>1.SR088545
2.SR088546</t>
  </si>
  <si>
    <t xml:space="preserve">1.Inverter Pad 2 Offline is offline from 08/01 and back online from 13:35 on 08/14
2.Inverter Pad 1 is offline from 08/25 and back online on 08/27 at 09:30
</t>
  </si>
  <si>
    <t xml:space="preserve">1.SR089022
2.SR089518
</t>
  </si>
  <si>
    <t>1.Inverter 2 Pad b is offline from 08/01 and inverter 1 pad b has tripped offline on 08/14 at 16:00 and inverter 1 pad b is back online on 08/23 at 14:05 &amp; inverter 2 pad A is offline on 08/25 through out the month</t>
  </si>
  <si>
    <t>1.SR088247, SR089669</t>
  </si>
  <si>
    <t>1.Site is online from 08/15 at 08:50</t>
  </si>
  <si>
    <t>1.SR089051</t>
  </si>
  <si>
    <t>1.Site is back online on 08/28</t>
  </si>
  <si>
    <t>1.SR089027</t>
  </si>
  <si>
    <t>1.Site back online on 08/15 at 13:05</t>
  </si>
  <si>
    <t>1.SR089028</t>
  </si>
  <si>
    <t>1.No communication to DAS, need a replacement needed for meter and modem</t>
  </si>
  <si>
    <t>1.SR089464</t>
  </si>
  <si>
    <t>1.Inverter 3 is offline throughout the month</t>
  </si>
  <si>
    <t>1.SR089460</t>
  </si>
  <si>
    <t>1.Site is back online on 08/15 at 13:15</t>
  </si>
  <si>
    <t>1.SR089031</t>
  </si>
  <si>
    <t>1.Inverters 3 &amp; 8 are offline through out the month</t>
  </si>
  <si>
    <t>1.SR089461</t>
  </si>
  <si>
    <t>1.Weather station is not communicating through out the month</t>
  </si>
  <si>
    <t>1.SR085968</t>
  </si>
  <si>
    <t xml:space="preserve">1.Weather station is not communicating through out the month
2.Inverter 2 offline through out the month
</t>
  </si>
  <si>
    <t>1.SR089470
2.SR089470</t>
  </si>
  <si>
    <t>1.Inverters A and B are offline through out the month, Pad C inverters 2 and 3 trip offline frequently</t>
  </si>
  <si>
    <t>1.SR089612</t>
  </si>
  <si>
    <t>1. Inverter 3 is being RMA'd (inverter 3 is offline from 08/19)</t>
  </si>
  <si>
    <t>1. SR086220</t>
  </si>
  <si>
    <t>1. Inverter 1 was not communicatig and inverter 3, 4 were offline.</t>
  </si>
  <si>
    <t>1. 	SR082817</t>
  </si>
  <si>
    <t>1. Weather station is reporting 0w/m2</t>
  </si>
  <si>
    <t>No SR</t>
  </si>
  <si>
    <t>1. Inverter 1 and 2 were offline from 08/01 and back online on 08/02 at 12:05pm</t>
  </si>
  <si>
    <t>1. SR089555</t>
  </si>
  <si>
    <t>d</t>
  </si>
  <si>
    <t>1. Site offline through out the month</t>
  </si>
  <si>
    <t>1.SR080516</t>
  </si>
  <si>
    <t>1.Site is offline since 8/4</t>
  </si>
  <si>
    <t>1.SR089473</t>
  </si>
  <si>
    <t>1. Inverters 3, 7, 10, 11, 14, and 21 are offline for whole month.</t>
  </si>
  <si>
    <t>1. SR089474</t>
  </si>
  <si>
    <t>1. Inverters 3, 7 and 2 were offline for whole month</t>
  </si>
  <si>
    <t xml:space="preserve">1. Site was offline from 08/01 to 08/02 and again site tripped offline on 08/07 and back online on 08/08 site tripped offline on 08/16 and backonline on 08/20 and site tripped offline on 08/23. </t>
  </si>
  <si>
    <t>1. SR088795</t>
  </si>
  <si>
    <t xml:space="preserve">1. Inverter 1 being replaced and inverter 2 logic board being replaced. </t>
  </si>
  <si>
    <t>1. 	SR089732</t>
  </si>
  <si>
    <t>1. Site was not communicated from 08/01 to 08/15 and again site stopped communicating on 08/17.</t>
  </si>
  <si>
    <t>1. SR087889, SR088675</t>
  </si>
  <si>
    <t>1. Site is offline since 08/17. 
2. Inverter 1 was offline for whole month.</t>
  </si>
  <si>
    <t>1. SR089260
2. 	SR082867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</si>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</sst>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7" fillId="0" borderId="0" xfId="0" applyFont="1"/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8" totalsRowShown="0">
  <autoFilter ref="A3:E6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52" activePane="bottomRight" state="frozen"/>
      <selection pane="bottomRight" activeCell="C79" sqref="C7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Silicon Ranch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SUM(C4:C100)</f>
        <v>9184681.1500000004</v>
      </c>
      <c r="D2" s="5">
        <f>SUM(D4:D100)</f>
        <v>0</v>
      </c>
      <c r="E2" s="5">
        <f>C2-D2</f>
        <v>9184681.1500000004</v>
      </c>
      <c r="F2" s="6">
        <f>IFERROR(E2/D2, 0)</f>
        <v>0</v>
      </c>
      <c r="G2" s="5">
        <f>SUM(G4:G100)</f>
        <v>11727094.326999996</v>
      </c>
      <c r="H2" s="7">
        <f>C2-G2</f>
        <v>-2542413.1769999955</v>
      </c>
      <c r="I2" s="6">
        <f>IFERROR(H2/G2, 0)</f>
        <v>-0.21679822009672459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68">Sites[Site]</f>
        <v>Iron Mountain - Windsor</v>
      </c>
      <c r="B4" s="32" t="str" cm="1">
        <f t="array" ref="B4:B68">Sites[State]</f>
        <v>CT</v>
      </c>
      <c r="C4" s="24">
        <f>SUM('1st Qtr'!C4, '2nd Qtr'!C4, '3rd Qtr'!C4, '4th Qtr'!C4)</f>
        <v>219110.75</v>
      </c>
      <c r="D4" s="13">
        <f>SUM('1st Qtr'!D4, '2nd Qtr'!D4, '3rd Qtr'!D4, '4th Qtr'!D4)</f>
        <v>0</v>
      </c>
      <c r="E4" s="13">
        <f>IF(AND(ISNUMBER(C4),ISNUMBER(D4)), C4-D4, "")</f>
        <v>219110.75</v>
      </c>
      <c r="F4" s="14" t="str">
        <f>IFERROR(E4/D4, "")</f>
        <v/>
      </c>
      <c r="G4" s="15">
        <f>SUM('1st Qtr'!G4, '2nd Qtr'!G4, '3rd Qtr'!G4, '4th Qtr'!G4)</f>
        <v>228257.79</v>
      </c>
      <c r="H4" s="15">
        <f>SUM('1st Qtr'!H4, '2nd Qtr'!H4, '3rd Qtr'!H4, '4th Qtr'!H4)</f>
        <v>-9147.0400000000045</v>
      </c>
      <c r="I4" s="16">
        <f>IFERROR(H4/G4, "")</f>
        <v>-4.0073287312560088E-2</v>
      </c>
    </row>
    <row r="5" spans="1:9" ht="15.75">
      <c r="A5" s="52" t="str">
        <v>Kohls - Auburn</v>
      </c>
      <c r="B5" s="30" t="str">
        <v>NY</v>
      </c>
      <c r="C5" s="11">
        <f>SUM('1st Qtr'!C5, '2nd Qtr'!C5, '3rd Qtr'!C5, '4th Qtr'!C5)</f>
        <v>232146</v>
      </c>
      <c r="D5" s="18">
        <f>SUM('1st Qtr'!D5, '2nd Qtr'!D5, '3rd Qtr'!D5, '4th Qtr'!D5)</f>
        <v>0</v>
      </c>
      <c r="E5" s="18">
        <f t="shared" ref="E5:E15" si="0">IF(AND(ISNUMBER(C5),ISNUMBER(D5)), C5-D5, "")</f>
        <v>232146</v>
      </c>
      <c r="F5" s="19" t="str">
        <f>IFERROR(E5/D5, "")</f>
        <v/>
      </c>
      <c r="G5" s="20">
        <f>SUM('1st Qtr'!G5, '2nd Qtr'!G5, '3rd Qtr'!G5, '4th Qtr'!G5)</f>
        <v>248085.76000000001</v>
      </c>
      <c r="H5" s="20">
        <f>SUM(Jan!H5, Feb!H5, Mar!H5)</f>
        <v>5388.09</v>
      </c>
      <c r="I5" s="19">
        <f>IFERROR(H5/G5, "")</f>
        <v>2.1718658902469854E-2</v>
      </c>
    </row>
    <row r="6" spans="1:9" ht="15.75">
      <c r="A6" s="53" t="str">
        <v>Kohls - Bensalem</v>
      </c>
      <c r="B6" s="28" t="str">
        <v>PA</v>
      </c>
      <c r="C6" s="24">
        <f>SUM('1st Qtr'!C6, '2nd Qtr'!C6, '3rd Qtr'!C6, '4th Qtr'!C6)</f>
        <v>271000</v>
      </c>
      <c r="D6" s="13">
        <f>SUM('1st Qtr'!D6, '2nd Qtr'!D6, '3rd Qtr'!D6, '4th Qtr'!D6)</f>
        <v>0</v>
      </c>
      <c r="E6" s="13">
        <f t="shared" si="0"/>
        <v>271000</v>
      </c>
      <c r="F6" s="14" t="str">
        <f t="shared" ref="F6:F15" si="1">IFERROR(E6/D6, "")</f>
        <v/>
      </c>
      <c r="G6" s="15">
        <f>SUM('1st Qtr'!G6, '2nd Qtr'!G6, '3rd Qtr'!G6, '4th Qtr'!G6)</f>
        <v>254946.51999999996</v>
      </c>
      <c r="H6" s="15">
        <f>SUM(Jan!H6, Feb!H6, Mar!H6)</f>
        <v>1265.9800000000014</v>
      </c>
      <c r="I6" s="16">
        <f t="shared" ref="I6:I15" si="2">IFERROR(H6/G6, "")</f>
        <v>4.965668878320055E-3</v>
      </c>
    </row>
    <row r="7" spans="1:9" ht="15.75">
      <c r="A7" s="52" t="str">
        <v>Kohls - Brick</v>
      </c>
      <c r="B7" s="30" t="str">
        <v>NJ</v>
      </c>
      <c r="C7" s="11">
        <f>SUM('1st Qtr'!C7, '2nd Qtr'!C7, '3rd Qtr'!C7, '4th Qtr'!C7)</f>
        <v>309490</v>
      </c>
      <c r="D7" s="18">
        <f>SUM('1st Qtr'!D7, '2nd Qtr'!D7, '3rd Qtr'!D7, '4th Qtr'!D7)</f>
        <v>0</v>
      </c>
      <c r="E7" s="18">
        <f t="shared" si="0"/>
        <v>309490</v>
      </c>
      <c r="F7" s="19" t="str">
        <f t="shared" si="1"/>
        <v/>
      </c>
      <c r="G7" s="20">
        <f>SUM('1st Qtr'!G7, '2nd Qtr'!G7, '3rd Qtr'!G7, '4th Qtr'!G7)</f>
        <v>302075.77</v>
      </c>
      <c r="H7" s="20">
        <f>SUM(Jan!H7, Feb!H7, Mar!H7)</f>
        <v>-1190.8600000000006</v>
      </c>
      <c r="I7" s="19">
        <f t="shared" si="2"/>
        <v>-3.9422559445929754E-3</v>
      </c>
    </row>
    <row r="8" spans="1:9" ht="15.75">
      <c r="A8" s="53" t="str">
        <v>Kohls - Buffalo</v>
      </c>
      <c r="B8" s="28" t="str">
        <v>NY</v>
      </c>
      <c r="C8" s="24">
        <f>SUM('1st Qtr'!C8, '2nd Qtr'!C8, '3rd Qtr'!C8, '4th Qtr'!C8)</f>
        <v>279669</v>
      </c>
      <c r="D8" s="13">
        <f>SUM('1st Qtr'!D8, '2nd Qtr'!D8, '3rd Qtr'!D8, '4th Qtr'!D8)</f>
        <v>0</v>
      </c>
      <c r="E8" s="13">
        <f t="shared" si="0"/>
        <v>279669</v>
      </c>
      <c r="F8" s="14" t="str">
        <f t="shared" si="1"/>
        <v/>
      </c>
      <c r="G8" s="15">
        <f>SUM('1st Qtr'!G8, '2nd Qtr'!G8, '3rd Qtr'!G8, '4th Qtr'!G8)</f>
        <v>303474.75</v>
      </c>
      <c r="H8" s="15">
        <f>SUM(Jan!H8, Feb!H8, Mar!H8)</f>
        <v>-818.3700000000008</v>
      </c>
      <c r="I8" s="16">
        <f t="shared" si="2"/>
        <v>-2.6966658675886572E-3</v>
      </c>
    </row>
    <row r="9" spans="1:9" ht="15.75">
      <c r="A9" s="52" t="str">
        <v>Kohls - Canton</v>
      </c>
      <c r="B9" s="30" t="str">
        <v>CT</v>
      </c>
      <c r="C9" s="11">
        <f>SUM('1st Qtr'!C9, '2nd Qtr'!C9, '3rd Qtr'!C9, '4th Qtr'!C9)</f>
        <v>107517</v>
      </c>
      <c r="D9" s="18">
        <f>SUM('1st Qtr'!D9, '2nd Qtr'!D9, '3rd Qtr'!D9, '4th Qtr'!D9)</f>
        <v>0</v>
      </c>
      <c r="E9" s="18">
        <f t="shared" si="0"/>
        <v>107517</v>
      </c>
      <c r="F9" s="19" t="str">
        <f t="shared" si="1"/>
        <v/>
      </c>
      <c r="G9" s="20">
        <f>SUM('1st Qtr'!G9, '2nd Qtr'!G9, '3rd Qtr'!G9, '4th Qtr'!G9)</f>
        <v>101196.07</v>
      </c>
      <c r="H9" s="20">
        <f>SUM(Jan!H9, Feb!H9, Mar!H9)</f>
        <v>509.94999999999982</v>
      </c>
      <c r="I9" s="19">
        <f t="shared" si="2"/>
        <v>5.0392273138670281E-3</v>
      </c>
    </row>
    <row r="10" spans="1:9" ht="15.75">
      <c r="A10" s="53" t="str">
        <v>Kohls - East Amherst</v>
      </c>
      <c r="B10" s="28" t="str">
        <v>NY</v>
      </c>
      <c r="C10" s="24">
        <f>SUM('1st Qtr'!C10, '2nd Qtr'!C10, '3rd Qtr'!C10, '4th Qtr'!C10)</f>
        <v>256284</v>
      </c>
      <c r="D10" s="13">
        <f>SUM('1st Qtr'!D10, '2nd Qtr'!D10, '3rd Qtr'!D10, '4th Qtr'!D10)</f>
        <v>0</v>
      </c>
      <c r="E10" s="13">
        <f t="shared" si="0"/>
        <v>256284</v>
      </c>
      <c r="F10" s="14" t="str">
        <f t="shared" si="1"/>
        <v/>
      </c>
      <c r="G10" s="15">
        <f>SUM('1st Qtr'!G10, '2nd Qtr'!G10, '3rd Qtr'!G10, '4th Qtr'!G10)</f>
        <v>274055.56</v>
      </c>
      <c r="H10" s="15">
        <f>SUM(Jan!H10, Feb!H10, Mar!H10)</f>
        <v>-2308.6900000000005</v>
      </c>
      <c r="I10" s="16">
        <f t="shared" si="2"/>
        <v>-8.4241677125616449E-3</v>
      </c>
    </row>
    <row r="11" spans="1:9" ht="15.75">
      <c r="A11" s="52" t="str">
        <v>Kohls - East Brunswick</v>
      </c>
      <c r="B11" s="30" t="str">
        <v>NJ</v>
      </c>
      <c r="C11" s="11">
        <f>SUM('1st Qtr'!C11, '2nd Qtr'!C11, '3rd Qtr'!C11, '4th Qtr'!C11)</f>
        <v>317816</v>
      </c>
      <c r="D11" s="18">
        <f>SUM('1st Qtr'!D11, '2nd Qtr'!D11, '3rd Qtr'!D11, '4th Qtr'!D11)</f>
        <v>0</v>
      </c>
      <c r="E11" s="18">
        <f t="shared" si="0"/>
        <v>317816</v>
      </c>
      <c r="F11" s="19" t="str">
        <f t="shared" si="1"/>
        <v/>
      </c>
      <c r="G11" s="20">
        <f>SUM('1st Qtr'!G11, '2nd Qtr'!G11, '3rd Qtr'!G11, '4th Qtr'!G11)</f>
        <v>391028.73</v>
      </c>
      <c r="H11" s="20">
        <f>SUM(Jan!H11, Feb!H11, Mar!H11)</f>
        <v>-20451.719999999998</v>
      </c>
      <c r="I11" s="19">
        <f t="shared" si="2"/>
        <v>-5.2302346172875838E-2</v>
      </c>
    </row>
    <row r="12" spans="1:9" ht="15.75">
      <c r="A12" s="53" t="str">
        <v>Kohls - Edgewood</v>
      </c>
      <c r="B12" s="28" t="str">
        <v>MD</v>
      </c>
      <c r="C12" s="24">
        <f>SUM('1st Qtr'!C12, '2nd Qtr'!C12, '3rd Qtr'!C12, '4th Qtr'!C12)</f>
        <v>1794821</v>
      </c>
      <c r="D12" s="13">
        <f>SUM('1st Qtr'!D12, '2nd Qtr'!D12, '3rd Qtr'!D12, '4th Qtr'!D12)</f>
        <v>0</v>
      </c>
      <c r="E12" s="13">
        <f t="shared" si="0"/>
        <v>1794821</v>
      </c>
      <c r="F12" s="14" t="str">
        <f t="shared" si="1"/>
        <v/>
      </c>
      <c r="G12" s="15">
        <f>SUM('1st Qtr'!G12, '2nd Qtr'!G12, '3rd Qtr'!G12, '4th Qtr'!G12)</f>
        <v>2081402.97</v>
      </c>
      <c r="H12" s="15">
        <f>SUM(Jan!H12, Feb!H12, Mar!H12)</f>
        <v>-55603.870000000024</v>
      </c>
      <c r="I12" s="16">
        <f t="shared" si="2"/>
        <v>-2.6714610674356837E-2</v>
      </c>
    </row>
    <row r="13" spans="1:9" ht="15.75">
      <c r="A13" s="52" t="str">
        <v>Kohls - Granite Run</v>
      </c>
      <c r="B13" s="30" t="str">
        <v>PA</v>
      </c>
      <c r="C13" s="11">
        <f>SUM('1st Qtr'!C13, '2nd Qtr'!C13, '3rd Qtr'!C13, '4th Qtr'!C13)</f>
        <v>255761</v>
      </c>
      <c r="D13" s="18">
        <f>SUM('1st Qtr'!D13, '2nd Qtr'!D13, '3rd Qtr'!D13, '4th Qtr'!D13)</f>
        <v>0</v>
      </c>
      <c r="E13" s="18">
        <f t="shared" si="0"/>
        <v>255761</v>
      </c>
      <c r="F13" s="19" t="str">
        <f t="shared" si="1"/>
        <v/>
      </c>
      <c r="G13" s="20">
        <f>SUM('1st Qtr'!G13, '2nd Qtr'!G13, '3rd Qtr'!G13, '4th Qtr'!G13)</f>
        <v>253623.08000000002</v>
      </c>
      <c r="H13" s="20">
        <f>SUM(Jan!H13, Feb!H13, Mar!H13)</f>
        <v>-2068.1600000000035</v>
      </c>
      <c r="I13" s="19">
        <f t="shared" si="2"/>
        <v>-8.1544629140218768E-3</v>
      </c>
    </row>
    <row r="14" spans="1:9" ht="15.75">
      <c r="A14" s="53" t="str">
        <v>Kohls - Greece</v>
      </c>
      <c r="B14" s="28" t="str">
        <v>NY</v>
      </c>
      <c r="C14" s="24">
        <f>SUM('1st Qtr'!C14, '2nd Qtr'!C14, '3rd Qtr'!C14, '4th Qtr'!C14)</f>
        <v>207305</v>
      </c>
      <c r="D14" s="13">
        <f>SUM('1st Qtr'!D14, '2nd Qtr'!D14, '3rd Qtr'!D14, '4th Qtr'!D14)</f>
        <v>0</v>
      </c>
      <c r="E14" s="13">
        <f t="shared" si="0"/>
        <v>207305</v>
      </c>
      <c r="F14" s="14" t="str">
        <f t="shared" si="1"/>
        <v/>
      </c>
      <c r="G14" s="15">
        <f>SUM('1st Qtr'!G14, '2nd Qtr'!G14, '3rd Qtr'!G14, '4th Qtr'!G14)</f>
        <v>290228.91000000003</v>
      </c>
      <c r="H14" s="15">
        <f>SUM(Jan!H14, Feb!H14, Mar!H14)</f>
        <v>-11100.830000000002</v>
      </c>
      <c r="I14" s="16">
        <f t="shared" si="2"/>
        <v>-3.8248532856358111E-2</v>
      </c>
    </row>
    <row r="15" spans="1:9" ht="15.75">
      <c r="A15" s="52" t="str">
        <v>Kohls - Hanover</v>
      </c>
      <c r="B15" s="30" t="str">
        <v>PA</v>
      </c>
      <c r="C15" s="11">
        <f>SUM('1st Qtr'!C15, '2nd Qtr'!C15, '3rd Qtr'!C15, '4th Qtr'!C15)</f>
        <v>198839</v>
      </c>
      <c r="D15" s="18">
        <f>SUM('1st Qtr'!D15, '2nd Qtr'!D15, '3rd Qtr'!D15, '4th Qtr'!D15)</f>
        <v>0</v>
      </c>
      <c r="E15" s="18">
        <f t="shared" si="0"/>
        <v>198839</v>
      </c>
      <c r="F15" s="19" t="str">
        <f t="shared" si="1"/>
        <v/>
      </c>
      <c r="G15" s="20">
        <f>SUM('1st Qtr'!G15, '2nd Qtr'!G15, '3rd Qtr'!G15, '4th Qtr'!G15)</f>
        <v>283271.34999999998</v>
      </c>
      <c r="H15" s="20">
        <f>SUM(Jan!H15, Feb!H15, Mar!H15)</f>
        <v>-9545.6699999999983</v>
      </c>
      <c r="I15" s="19">
        <f t="shared" si="2"/>
        <v>-3.3697971926917418E-2</v>
      </c>
    </row>
    <row r="16" spans="1:9" ht="15.75">
      <c r="A16" s="53" t="str">
        <v>Kohls - Horsehead</v>
      </c>
      <c r="B16" s="28" t="str">
        <v>NY</v>
      </c>
      <c r="C16" s="24">
        <f>SUM('1st Qtr'!C16, '2nd Qtr'!C16, '3rd Qtr'!C16, '4th Qtr'!C16)</f>
        <v>204714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204714</v>
      </c>
      <c r="F16" s="14" t="str">
        <f t="shared" ref="F16:F19" si="4">IFERROR(E16/D16, "")</f>
        <v/>
      </c>
      <c r="G16" s="15">
        <f>SUM('1st Qtr'!G16, '2nd Qtr'!G16, '3rd Qtr'!G16, '4th Qtr'!G16)</f>
        <v>225862.5</v>
      </c>
      <c r="H16" s="15">
        <f>SUM(Jan!H16, Feb!H16, Mar!H16)</f>
        <v>-9727.880000000001</v>
      </c>
      <c r="I16" s="16">
        <f t="shared" ref="I16:I19" si="5">IFERROR(H16/G16, "")</f>
        <v>-4.3069920858929661E-2</v>
      </c>
    </row>
    <row r="17" spans="1:9" ht="15.75">
      <c r="A17" s="52" t="str">
        <v>Kohls - Hudson</v>
      </c>
      <c r="B17" s="30" t="str">
        <v>NY</v>
      </c>
      <c r="C17" s="11">
        <f>SUM('1st Qtr'!C17, '2nd Qtr'!C17, '3rd Qtr'!C17, '4th Qtr'!C17)</f>
        <v>207941</v>
      </c>
      <c r="D17" s="18">
        <f>SUM('1st Qtr'!D17, '2nd Qtr'!D17, '3rd Qtr'!D17, '4th Qtr'!D17)</f>
        <v>0</v>
      </c>
      <c r="E17" s="18">
        <f t="shared" si="3"/>
        <v>207941</v>
      </c>
      <c r="F17" s="19" t="str">
        <f t="shared" si="4"/>
        <v/>
      </c>
      <c r="G17" s="20">
        <f>SUM('1st Qtr'!G17, '2nd Qtr'!G17, '3rd Qtr'!G17, '4th Qtr'!G17)</f>
        <v>249688.76</v>
      </c>
      <c r="H17" s="20">
        <f>SUM(Jan!H17, Feb!H17, Mar!H17)</f>
        <v>-40461.81</v>
      </c>
      <c r="I17" s="19">
        <f t="shared" si="5"/>
        <v>-0.16204898450374777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212859</v>
      </c>
      <c r="D18" s="13">
        <f>SUM('1st Qtr'!D18, '2nd Qtr'!D18, '3rd Qtr'!D18, '4th Qtr'!D18)</f>
        <v>0</v>
      </c>
      <c r="E18" s="13">
        <f t="shared" si="3"/>
        <v>212859</v>
      </c>
      <c r="F18" s="14" t="str">
        <f t="shared" si="4"/>
        <v/>
      </c>
      <c r="G18" s="15">
        <f>SUM('1st Qtr'!G18, '2nd Qtr'!G18, '3rd Qtr'!G18, '4th Qtr'!G18)</f>
        <v>256596.63999999998</v>
      </c>
      <c r="H18" s="15">
        <f>SUM(Jan!H18, Feb!H18, Mar!H18)</f>
        <v>-13588.449999999999</v>
      </c>
      <c r="I18" s="16">
        <f t="shared" si="5"/>
        <v>-5.2956461160208489E-2</v>
      </c>
    </row>
    <row r="19" spans="1:9" ht="15.75">
      <c r="A19" s="52" t="str">
        <v>Kohls - Kingston</v>
      </c>
      <c r="B19" s="30" t="str">
        <v>NY</v>
      </c>
      <c r="C19" s="11">
        <f>SUM('1st Qtr'!C19, '2nd Qtr'!C19, '3rd Qtr'!C19, '4th Qtr'!C19)</f>
        <v>338867</v>
      </c>
      <c r="D19" s="18">
        <f>SUM('1st Qtr'!D19, '2nd Qtr'!D19, '3rd Qtr'!D19, '4th Qtr'!D19)</f>
        <v>0</v>
      </c>
      <c r="E19" s="18">
        <f t="shared" si="3"/>
        <v>338867</v>
      </c>
      <c r="F19" s="19" t="str">
        <f t="shared" si="4"/>
        <v/>
      </c>
      <c r="G19" s="20">
        <f>SUM('1st Qtr'!G19, '2nd Qtr'!G19, '3rd Qtr'!G19, '4th Qtr'!G19)</f>
        <v>383603.34500000009</v>
      </c>
      <c r="H19" s="20">
        <f>SUM(Jan!H19, Feb!H19, Mar!H19)</f>
        <v>-1325.5890000000036</v>
      </c>
      <c r="I19" s="19">
        <f t="shared" si="5"/>
        <v>-3.4556241943093672E-3</v>
      </c>
    </row>
    <row r="20" spans="1:9" ht="15.75">
      <c r="A20" s="53" t="str">
        <v>Kohls - Mechanicsburg</v>
      </c>
      <c r="B20" s="28" t="str">
        <v>PA</v>
      </c>
      <c r="C20" s="24">
        <f>SUM('1st Qtr'!C20, '2nd Qtr'!C20, '3rd Qtr'!C20, '4th Qtr'!C20)</f>
        <v>327952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327952</v>
      </c>
      <c r="F20" s="14" t="str">
        <f t="shared" ref="F20:F25" si="7">IFERROR(E20/D20, "")</f>
        <v/>
      </c>
      <c r="G20" s="15">
        <f>SUM('1st Qtr'!G20, '2nd Qtr'!G20, '3rd Qtr'!G20, '4th Qtr'!G20)</f>
        <v>329119.66000000003</v>
      </c>
      <c r="H20" s="15">
        <f>SUM(Jan!H20, Feb!H20, Mar!H20)</f>
        <v>-821.72000000000116</v>
      </c>
      <c r="I20" s="16">
        <f t="shared" ref="I20:I25" si="8">IFERROR(H20/G20, "")</f>
        <v>-2.4967211013769311E-3</v>
      </c>
    </row>
    <row r="21" spans="1:9" ht="15.75">
      <c r="A21" s="52" t="str">
        <v>Kohls - Middletown</v>
      </c>
      <c r="B21" s="30" t="str">
        <v>NJ</v>
      </c>
      <c r="C21" s="11">
        <f>SUM('1st Qtr'!C21, '2nd Qtr'!C21, '3rd Qtr'!C21, '4th Qtr'!C21)</f>
        <v>375101</v>
      </c>
      <c r="D21" s="18">
        <f>SUM('1st Qtr'!D21, '2nd Qtr'!D21, '3rd Qtr'!D21, '4th Qtr'!D21)</f>
        <v>0</v>
      </c>
      <c r="E21" s="18">
        <f t="shared" si="6"/>
        <v>375101</v>
      </c>
      <c r="F21" s="19" t="str">
        <f t="shared" si="7"/>
        <v/>
      </c>
      <c r="G21" s="20">
        <f>SUM('1st Qtr'!G21, '2nd Qtr'!G21, '3rd Qtr'!G21, '4th Qtr'!G21)</f>
        <v>461471.17</v>
      </c>
      <c r="H21" s="20">
        <f>SUM(Jan!H21, Feb!H21, Mar!H21)</f>
        <v>-88345.459999999992</v>
      </c>
      <c r="I21" s="19">
        <f t="shared" si="8"/>
        <v>-0.19144307541465699</v>
      </c>
    </row>
    <row r="22" spans="1:9" ht="15.75">
      <c r="A22" s="53" t="str">
        <v>Kohls - North Amherst</v>
      </c>
      <c r="B22" s="28" t="str">
        <v>NY</v>
      </c>
      <c r="C22" s="24">
        <f>SUM('1st Qtr'!C22, '2nd Qtr'!C22, '3rd Qtr'!C22, '4th Qtr'!C22)</f>
        <v>175112</v>
      </c>
      <c r="D22" s="13">
        <f>SUM('1st Qtr'!D22, '2nd Qtr'!D22, '3rd Qtr'!D22, '4th Qtr'!D22)</f>
        <v>0</v>
      </c>
      <c r="E22" s="13">
        <f t="shared" si="6"/>
        <v>175112</v>
      </c>
      <c r="F22" s="14" t="str">
        <f t="shared" si="7"/>
        <v/>
      </c>
      <c r="G22" s="15">
        <f>SUM('1st Qtr'!G22, '2nd Qtr'!G22, '3rd Qtr'!G22, '4th Qtr'!G22)</f>
        <v>256065.01</v>
      </c>
      <c r="H22" s="15">
        <f>SUM(Jan!H22, Feb!H22, Mar!H22)</f>
        <v>-6786.4499999999989</v>
      </c>
      <c r="I22" s="16">
        <f t="shared" si="8"/>
        <v>-2.650284004050377E-2</v>
      </c>
    </row>
    <row r="23" spans="1:9" ht="15.75">
      <c r="A23" s="52" t="str">
        <v>Kohls - Staten Island</v>
      </c>
      <c r="B23" s="30" t="str">
        <v>NY</v>
      </c>
      <c r="C23" s="11">
        <f>SUM('1st Qtr'!C23, '2nd Qtr'!C23, '3rd Qtr'!C23, '4th Qtr'!C23)</f>
        <v>227447.4</v>
      </c>
      <c r="D23" s="18">
        <f>SUM('1st Qtr'!D23, '2nd Qtr'!D23, '3rd Qtr'!D23, '4th Qtr'!D23)</f>
        <v>0</v>
      </c>
      <c r="E23" s="18">
        <f t="shared" si="6"/>
        <v>227447.4</v>
      </c>
      <c r="F23" s="19" t="str">
        <f t="shared" si="7"/>
        <v/>
      </c>
      <c r="G23" s="20">
        <f>SUM('1st Qtr'!G23, '2nd Qtr'!G23, '3rd Qtr'!G23, '4th Qtr'!G23)</f>
        <v>275606.81</v>
      </c>
      <c r="H23" s="20">
        <f>SUM(Jan!H23, Feb!H23, Mar!H23)</f>
        <v>-8920.7000000000007</v>
      </c>
      <c r="I23" s="19">
        <f t="shared" si="8"/>
        <v>-3.2367487581311943E-2</v>
      </c>
    </row>
    <row r="24" spans="1:9" ht="15.75">
      <c r="A24" s="53" t="str">
        <v>Kohls - Warminster</v>
      </c>
      <c r="B24" s="28" t="str">
        <v>PA</v>
      </c>
      <c r="C24" s="24">
        <f>SUM('1st Qtr'!C24, '2nd Qtr'!C24, '3rd Qtr'!C24, '4th Qtr'!C24)</f>
        <v>280012</v>
      </c>
      <c r="D24" s="13">
        <f>SUM('1st Qtr'!D24, '2nd Qtr'!D24, '3rd Qtr'!D24, '4th Qtr'!D24)</f>
        <v>0</v>
      </c>
      <c r="E24" s="13">
        <f t="shared" si="6"/>
        <v>280012</v>
      </c>
      <c r="F24" s="14" t="str">
        <f t="shared" si="7"/>
        <v/>
      </c>
      <c r="G24" s="15">
        <f>SUM('1st Qtr'!G24, '2nd Qtr'!G24, '3rd Qtr'!G24, '4th Qtr'!G24)</f>
        <v>303928.58</v>
      </c>
      <c r="H24" s="15">
        <f>SUM(Jan!H24, Feb!H24, Mar!H24)</f>
        <v>-40277.78</v>
      </c>
      <c r="I24" s="16">
        <f t="shared" si="8"/>
        <v>-0.13252383175020921</v>
      </c>
    </row>
    <row r="25" spans="1:9" ht="15.75">
      <c r="A25" s="52" t="str">
        <v xml:space="preserve">Kohls - Waterbury </v>
      </c>
      <c r="B25" s="30" t="str">
        <v>CT</v>
      </c>
      <c r="C25" s="11">
        <f>SUM('1st Qtr'!C25, '2nd Qtr'!C25, '3rd Qtr'!C25, '4th Qtr'!C25)</f>
        <v>262492</v>
      </c>
      <c r="D25" s="18">
        <f>SUM('1st Qtr'!D25, '2nd Qtr'!D25, '3rd Qtr'!D25, '4th Qtr'!D25)</f>
        <v>0</v>
      </c>
      <c r="E25" s="18">
        <f t="shared" si="6"/>
        <v>262492</v>
      </c>
      <c r="F25" s="19" t="str">
        <f t="shared" si="7"/>
        <v/>
      </c>
      <c r="G25" s="20">
        <f>SUM('1st Qtr'!G25, '2nd Qtr'!G25, '3rd Qtr'!G25, '4th Qtr'!G25)</f>
        <v>265759.56</v>
      </c>
      <c r="H25" s="20">
        <f>SUM(Jan!H25, Feb!H25, Mar!H25)</f>
        <v>-2028.6800000000021</v>
      </c>
      <c r="I25" s="19">
        <f t="shared" si="8"/>
        <v>-7.6335165515776819E-3</v>
      </c>
    </row>
    <row r="26" spans="1:9" ht="15.75">
      <c r="A26" s="53" t="str">
        <v>Mojave Water Agency - Headquarters</v>
      </c>
      <c r="B26" s="28" t="str">
        <v>CA</v>
      </c>
      <c r="C26" s="24">
        <f>SUM('1st Qtr'!C26, '2nd Qtr'!C26, '3rd Qtr'!C26, '4th Qtr'!C26)</f>
        <v>47225</v>
      </c>
      <c r="D26" s="13">
        <f>SUM('1st Qtr'!D26, '2nd Qtr'!D26, '3rd Qtr'!D26, '4th Qtr'!D26)</f>
        <v>0</v>
      </c>
      <c r="E26" s="13">
        <f t="shared" ref="E26:E68" si="9">IF(AND(ISNUMBER(C26),ISNUMBER(D26)), C26-D26, "")</f>
        <v>47225</v>
      </c>
      <c r="F26" s="14" t="str">
        <f t="shared" ref="F26:F68" si="10">IFERROR(E26/D26, "")</f>
        <v/>
      </c>
      <c r="G26" s="15">
        <f>SUM('1st Qtr'!G26, '2nd Qtr'!G26, '3rd Qtr'!G26, '4th Qtr'!G26)</f>
        <v>38126</v>
      </c>
      <c r="H26" s="15">
        <f>SUM(Jan!H26, Feb!H26, Mar!H26)</f>
        <v>0</v>
      </c>
      <c r="I26" s="16">
        <f t="shared" ref="I26:I68" si="11">IFERROR(H26/G26, "")</f>
        <v>0</v>
      </c>
    </row>
    <row r="27" spans="1:9" ht="15.75">
      <c r="A27" s="52" t="str">
        <v>CSU - Bakersfield</v>
      </c>
      <c r="B27" s="30" t="str">
        <v>CA</v>
      </c>
      <c r="C27" s="11">
        <f>SUM('1st Qtr'!C27, '2nd Qtr'!C27, '3rd Qtr'!C27, '4th Qtr'!C27)</f>
        <v>12502</v>
      </c>
      <c r="D27" s="18">
        <f>SUM('1st Qtr'!D27, '2nd Qtr'!D27, '3rd Qtr'!D27, '4th Qtr'!D27)</f>
        <v>0</v>
      </c>
      <c r="E27" s="18">
        <f t="shared" si="9"/>
        <v>12502</v>
      </c>
      <c r="F27" s="19" t="str">
        <f t="shared" si="10"/>
        <v/>
      </c>
      <c r="G27" s="20">
        <f>SUM('1st Qtr'!G27, '2nd Qtr'!G27, '3rd Qtr'!G27, '4th Qtr'!G27)</f>
        <v>175723.62</v>
      </c>
      <c r="H27" s="20">
        <f>SUM(Jan!H27, Feb!H27, Mar!H27)</f>
        <v>0</v>
      </c>
      <c r="I27" s="19">
        <f t="shared" si="11"/>
        <v>0</v>
      </c>
    </row>
    <row r="28" spans="1:9" ht="15.75">
      <c r="A28" s="53" t="str">
        <v>Greenfield USD - Fairfield ES</v>
      </c>
      <c r="B28" s="28" t="str">
        <v>CA</v>
      </c>
      <c r="C28" s="24">
        <f>SUM('1st Qtr'!C28, '2nd Qtr'!C28, '3rd Qtr'!C28, '4th Qtr'!C28)</f>
        <v>5479</v>
      </c>
      <c r="D28" s="13">
        <f>SUM('1st Qtr'!D28, '2nd Qtr'!D28, '3rd Qtr'!D28, '4th Qtr'!D28)</f>
        <v>0</v>
      </c>
      <c r="E28" s="13">
        <f t="shared" si="9"/>
        <v>5479</v>
      </c>
      <c r="F28" s="14" t="str">
        <f t="shared" si="10"/>
        <v/>
      </c>
      <c r="G28" s="15">
        <f>SUM('1st Qtr'!G28, '2nd Qtr'!G28, '3rd Qtr'!G28, '4th Qtr'!G28)</f>
        <v>16661.509999999998</v>
      </c>
      <c r="H28" s="15">
        <f>SUM(Jan!H28, Feb!H28, Mar!H28)</f>
        <v>0</v>
      </c>
      <c r="I28" s="16">
        <f t="shared" si="11"/>
        <v>0</v>
      </c>
    </row>
    <row r="29" spans="1:9" ht="15.75">
      <c r="A29" s="52" t="str">
        <v>Greenfield USD - Granite Point ES</v>
      </c>
      <c r="B29" s="30" t="str">
        <v>CA</v>
      </c>
      <c r="C29" s="11">
        <f>SUM('1st Qtr'!C29, '2nd Qtr'!C29, '3rd Qtr'!C29, '4th Qtr'!C29)</f>
        <v>25332</v>
      </c>
      <c r="D29" s="18">
        <f>SUM('1st Qtr'!D29, '2nd Qtr'!D29, '3rd Qtr'!D29, '4th Qtr'!D29)</f>
        <v>0</v>
      </c>
      <c r="E29" s="18">
        <f t="shared" si="9"/>
        <v>25332</v>
      </c>
      <c r="F29" s="19" t="str">
        <f t="shared" si="10"/>
        <v/>
      </c>
      <c r="G29" s="20">
        <f>SUM('1st Qtr'!G29, '2nd Qtr'!G29, '3rd Qtr'!G29, '4th Qtr'!G29)</f>
        <v>44010.44</v>
      </c>
      <c r="H29" s="20">
        <f>SUM(Jan!H29, Feb!H29, Mar!H29)</f>
        <v>0</v>
      </c>
      <c r="I29" s="19">
        <f t="shared" si="11"/>
        <v>0</v>
      </c>
    </row>
    <row r="30" spans="1:9" ht="15.75">
      <c r="A30" s="53" t="str">
        <v>Greenfield USD - Greenfield MS</v>
      </c>
      <c r="B30" s="28" t="str">
        <v>CA</v>
      </c>
      <c r="C30" s="24">
        <f>SUM('1st Qtr'!C30, '2nd Qtr'!C30, '3rd Qtr'!C30, '4th Qtr'!C30)</f>
        <v>15624</v>
      </c>
      <c r="D30" s="13">
        <f>SUM('1st Qtr'!D30, '2nd Qtr'!D30, '3rd Qtr'!D30, '4th Qtr'!D30)</f>
        <v>0</v>
      </c>
      <c r="E30" s="13">
        <f t="shared" si="9"/>
        <v>15624</v>
      </c>
      <c r="F30" s="14" t="str">
        <f t="shared" si="10"/>
        <v/>
      </c>
      <c r="G30" s="15">
        <f>SUM('1st Qtr'!G30, '2nd Qtr'!G30, '3rd Qtr'!G30, '4th Qtr'!G30)</f>
        <v>29990.71</v>
      </c>
      <c r="H30" s="15">
        <f>SUM(Jan!H30, Feb!H30, Mar!H30)</f>
        <v>0</v>
      </c>
      <c r="I30" s="16">
        <f t="shared" si="11"/>
        <v>0</v>
      </c>
    </row>
    <row r="31" spans="1:9" ht="15.75">
      <c r="A31" s="52" t="str">
        <v>Greenfield USD - Horizon ES</v>
      </c>
      <c r="B31" s="30" t="str">
        <v>CA</v>
      </c>
      <c r="C31" s="11">
        <f>SUM('1st Qtr'!C31, '2nd Qtr'!C31, '3rd Qtr'!C31, '4th Qtr'!C31)</f>
        <v>24256</v>
      </c>
      <c r="D31" s="18">
        <f>SUM('1st Qtr'!D31, '2nd Qtr'!D31, '3rd Qtr'!D31, '4th Qtr'!D31)</f>
        <v>0</v>
      </c>
      <c r="E31" s="18">
        <f t="shared" si="9"/>
        <v>24256</v>
      </c>
      <c r="F31" s="19" t="str">
        <f t="shared" si="10"/>
        <v/>
      </c>
      <c r="G31" s="20">
        <f>SUM('1st Qtr'!G31, '2nd Qtr'!G31, '3rd Qtr'!G31, '4th Qtr'!G31)</f>
        <v>45661.78</v>
      </c>
      <c r="H31" s="20">
        <f>SUM(Jan!H31, Feb!H31, Mar!H31)</f>
        <v>0</v>
      </c>
      <c r="I31" s="19">
        <f t="shared" si="11"/>
        <v>0</v>
      </c>
    </row>
    <row r="32" spans="1:9" ht="15.75">
      <c r="A32" s="53" t="str">
        <v>Greenfield USD - McKee MS</v>
      </c>
      <c r="B32" s="28" t="str">
        <v>CA</v>
      </c>
      <c r="C32" s="24">
        <f>SUM('1st Qtr'!C32, '2nd Qtr'!C32, '3rd Qtr'!C32, '4th Qtr'!C32)</f>
        <v>17189</v>
      </c>
      <c r="D32" s="13">
        <f>SUM('1st Qtr'!D32, '2nd Qtr'!D32, '3rd Qtr'!D32, '4th Qtr'!D32)</f>
        <v>0</v>
      </c>
      <c r="E32" s="13">
        <f t="shared" si="9"/>
        <v>17189</v>
      </c>
      <c r="F32" s="14" t="str">
        <f t="shared" si="10"/>
        <v/>
      </c>
      <c r="G32" s="15">
        <f>SUM('1st Qtr'!G32, '2nd Qtr'!G32, '3rd Qtr'!G32, '4th Qtr'!G32)</f>
        <v>27880.25</v>
      </c>
      <c r="H32" s="15">
        <f>SUM(Jan!H32, Feb!H32, Mar!H32)</f>
        <v>0</v>
      </c>
      <c r="I32" s="16">
        <f t="shared" si="11"/>
        <v>0</v>
      </c>
    </row>
    <row r="33" spans="1:9" ht="15.75">
      <c r="A33" s="52" t="str">
        <v>Greenfield USD - Plantation ES</v>
      </c>
      <c r="B33" s="30" t="str">
        <v>CA</v>
      </c>
      <c r="C33" s="11">
        <f>SUM('1st Qtr'!C33, '2nd Qtr'!C33, '3rd Qtr'!C33, '4th Qtr'!C33)</f>
        <v>9374</v>
      </c>
      <c r="D33" s="18">
        <f>SUM('1st Qtr'!D33, '2nd Qtr'!D33, '3rd Qtr'!D33, '4th Qtr'!D33)</f>
        <v>0</v>
      </c>
      <c r="E33" s="18">
        <f t="shared" si="9"/>
        <v>9374</v>
      </c>
      <c r="F33" s="19" t="str">
        <f t="shared" si="10"/>
        <v/>
      </c>
      <c r="G33" s="20">
        <f>SUM('1st Qtr'!G33, '2nd Qtr'!G33, '3rd Qtr'!G33, '4th Qtr'!G33)</f>
        <v>19929.009999999998</v>
      </c>
      <c r="H33" s="20">
        <f>SUM(Jan!H33, Feb!H33, Mar!H33)</f>
        <v>0</v>
      </c>
      <c r="I33" s="19">
        <f t="shared" si="11"/>
        <v>0</v>
      </c>
    </row>
    <row r="34" spans="1:9" ht="15.75">
      <c r="A34" s="53" t="str">
        <v>Greenfield USD - Planz ES</v>
      </c>
      <c r="B34" s="28" t="str">
        <v>CA</v>
      </c>
      <c r="C34" s="24">
        <f>SUM('1st Qtr'!C34, '2nd Qtr'!C34, '3rd Qtr'!C34, '4th Qtr'!C34)</f>
        <v>6294</v>
      </c>
      <c r="D34" s="13">
        <f>SUM('1st Qtr'!D34, '2nd Qtr'!D34, '3rd Qtr'!D34, '4th Qtr'!D34)</f>
        <v>0</v>
      </c>
      <c r="E34" s="13">
        <f t="shared" si="9"/>
        <v>6294</v>
      </c>
      <c r="F34" s="14" t="str">
        <f t="shared" si="10"/>
        <v/>
      </c>
      <c r="G34" s="15">
        <f>SUM('1st Qtr'!G34, '2nd Qtr'!G34, '3rd Qtr'!G34, '4th Qtr'!G34)</f>
        <v>22548.57</v>
      </c>
      <c r="H34" s="15">
        <f>SUM(Jan!H34, Feb!H34, Mar!H34)</f>
        <v>0</v>
      </c>
      <c r="I34" s="16">
        <f t="shared" si="11"/>
        <v>0</v>
      </c>
    </row>
    <row r="35" spans="1:9" ht="15.75">
      <c r="A35" s="52" t="str">
        <v>Greenfield USD - Raffaello Palla ES</v>
      </c>
      <c r="B35" s="30" t="str">
        <v>CA</v>
      </c>
      <c r="C35" s="11">
        <f>SUM('1st Qtr'!C35, '2nd Qtr'!C35, '3rd Qtr'!C35, '4th Qtr'!C35)</f>
        <v>34936</v>
      </c>
      <c r="D35" s="18">
        <f>SUM('1st Qtr'!D35, '2nd Qtr'!D35, '3rd Qtr'!D35, '4th Qtr'!D35)</f>
        <v>0</v>
      </c>
      <c r="E35" s="18">
        <f t="shared" si="9"/>
        <v>34936</v>
      </c>
      <c r="F35" s="19" t="str">
        <f t="shared" si="10"/>
        <v/>
      </c>
      <c r="G35" s="20">
        <f>SUM('1st Qtr'!G35, '2nd Qtr'!G35, '3rd Qtr'!G35, '4th Qtr'!G35)</f>
        <v>49336.57</v>
      </c>
      <c r="H35" s="20">
        <f>SUM(Jan!H35, Feb!H35, Mar!H35)</f>
        <v>0</v>
      </c>
      <c r="I35" s="19">
        <f t="shared" si="11"/>
        <v>0</v>
      </c>
    </row>
    <row r="36" spans="1:9" ht="15.75">
      <c r="A36" s="53" t="str">
        <v>Greenfield USD - Valle Verde ES</v>
      </c>
      <c r="B36" s="28" t="str">
        <v>CA</v>
      </c>
      <c r="C36" s="24">
        <f>SUM('1st Qtr'!C36, '2nd Qtr'!C36, '3rd Qtr'!C36, '4th Qtr'!C36)</f>
        <v>38421</v>
      </c>
      <c r="D36" s="13">
        <f>SUM('1st Qtr'!D36, '2nd Qtr'!D36, '3rd Qtr'!D36, '4th Qtr'!D36)</f>
        <v>0</v>
      </c>
      <c r="E36" s="13">
        <f t="shared" si="9"/>
        <v>38421</v>
      </c>
      <c r="F36" s="14" t="str">
        <f t="shared" si="10"/>
        <v/>
      </c>
      <c r="G36" s="15">
        <f>SUM('1st Qtr'!G36, '2nd Qtr'!G36, '3rd Qtr'!G36, '4th Qtr'!G36)</f>
        <v>45985.760000000002</v>
      </c>
      <c r="H36" s="15">
        <f>SUM(Jan!H36, Feb!H36, Mar!H36)</f>
        <v>0</v>
      </c>
      <c r="I36" s="16">
        <f t="shared" si="11"/>
        <v>0</v>
      </c>
    </row>
    <row r="37" spans="1:9" ht="15.75">
      <c r="A37" s="52" t="str">
        <v>Greenfield USD - W.A. Kendrick ES</v>
      </c>
      <c r="B37" s="30" t="str">
        <v>CA</v>
      </c>
      <c r="C37" s="11">
        <f>SUM('1st Qtr'!C37, '2nd Qtr'!C37, '3rd Qtr'!C37, '4th Qtr'!C37)</f>
        <v>0</v>
      </c>
      <c r="D37" s="18">
        <f>SUM('1st Qtr'!D37, '2nd Qtr'!D37, '3rd Qtr'!D37, '4th Qtr'!D37)</f>
        <v>0</v>
      </c>
      <c r="E37" s="18">
        <f t="shared" si="9"/>
        <v>0</v>
      </c>
      <c r="F37" s="19" t="str">
        <f t="shared" si="10"/>
        <v/>
      </c>
      <c r="G37" s="20">
        <f>SUM('1st Qtr'!G37, '2nd Qtr'!G37, '3rd Qtr'!G37, '4th Qtr'!G37)</f>
        <v>17725.990000000002</v>
      </c>
      <c r="H37" s="20">
        <f>SUM(Jan!H37, Feb!H37, Mar!H37)</f>
        <v>0</v>
      </c>
      <c r="I37" s="19">
        <f t="shared" si="11"/>
        <v>0</v>
      </c>
    </row>
    <row r="38" spans="1:9" ht="15.75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38193</v>
      </c>
      <c r="H38" s="15">
        <f>SUM(Jan!H38, Feb!H38, Mar!H38)</f>
        <v>0</v>
      </c>
      <c r="I38" s="16">
        <f t="shared" si="11"/>
        <v>0</v>
      </c>
    </row>
    <row r="39" spans="1:9" ht="15.75">
      <c r="A39" s="52" t="str">
        <v>Muroc Joint USD - W. Boron ES</v>
      </c>
      <c r="B39" s="30" t="str">
        <v>CA</v>
      </c>
      <c r="C39" s="11">
        <f>SUM('1st Qtr'!C39, '2nd Qtr'!C39, '3rd Qtr'!C39, '4th Qtr'!C39)</f>
        <v>7600</v>
      </c>
      <c r="D39" s="18">
        <f>SUM('1st Qtr'!D39, '2nd Qtr'!D39, '3rd Qtr'!D39, '4th Qtr'!D39)</f>
        <v>0</v>
      </c>
      <c r="E39" s="18">
        <f t="shared" si="9"/>
        <v>7600</v>
      </c>
      <c r="F39" s="19" t="str">
        <f t="shared" si="10"/>
        <v/>
      </c>
      <c r="G39" s="20">
        <f>SUM('1st Qtr'!G39, '2nd Qtr'!G39, '3rd Qtr'!G39, '4th Qtr'!G39)</f>
        <v>14088.83</v>
      </c>
      <c r="H39" s="20">
        <f>SUM(Jan!H39, Feb!H39, Mar!H39)</f>
        <v>0</v>
      </c>
      <c r="I39" s="19">
        <f t="shared" si="11"/>
        <v>0</v>
      </c>
    </row>
    <row r="40" spans="1:9" ht="15.75">
      <c r="A40" s="53" t="str">
        <v>Colusa - WTP</v>
      </c>
      <c r="B40" s="28" t="str">
        <v>CA</v>
      </c>
      <c r="C40" s="24">
        <f>SUM('1st Qtr'!C40, '2nd Qtr'!C40, '3rd Qtr'!C40, '4th Qtr'!C40)</f>
        <v>0</v>
      </c>
      <c r="D40" s="13">
        <f>SUM('1st Qtr'!D40, '2nd Qtr'!D40, '3rd Qtr'!D40, '4th Qtr'!D40)</f>
        <v>0</v>
      </c>
      <c r="E40" s="13">
        <f t="shared" si="9"/>
        <v>0</v>
      </c>
      <c r="F40" s="14" t="str">
        <f t="shared" si="10"/>
        <v/>
      </c>
      <c r="G40" s="15">
        <f>SUM('1st Qtr'!G40, '2nd Qtr'!G40, '3rd Qtr'!G40, '4th Qtr'!G40)</f>
        <v>57962.212</v>
      </c>
      <c r="H40" s="15">
        <f>SUM(Jan!H40, Feb!H40, Mar!H40)</f>
        <v>0</v>
      </c>
      <c r="I40" s="16">
        <f t="shared" si="11"/>
        <v>0</v>
      </c>
    </row>
    <row r="41" spans="1:9" ht="15.75">
      <c r="A41" s="52" t="str">
        <v>CDCR-North Kern State Prision</v>
      </c>
      <c r="B41" s="30" t="str">
        <v>CA</v>
      </c>
      <c r="C41" s="11">
        <f>SUM('1st Qtr'!C41, '2nd Qtr'!C41, '3rd Qtr'!C41, '4th Qtr'!C41)</f>
        <v>99430</v>
      </c>
      <c r="D41" s="18">
        <f>SUM('1st Qtr'!D41, '2nd Qtr'!D41, '3rd Qtr'!D41, '4th Qtr'!D41)</f>
        <v>0</v>
      </c>
      <c r="E41" s="18">
        <f t="shared" si="9"/>
        <v>99430</v>
      </c>
      <c r="F41" s="19" t="str">
        <f t="shared" si="10"/>
        <v/>
      </c>
      <c r="G41" s="20">
        <f>SUM('1st Qtr'!G41, '2nd Qtr'!G41, '3rd Qtr'!G41, '4th Qtr'!G41)</f>
        <v>250932.45</v>
      </c>
      <c r="H41" s="20">
        <f>SUM(Jan!H41, Feb!H41, Mar!H41)</f>
        <v>0</v>
      </c>
      <c r="I41" s="19">
        <f t="shared" si="11"/>
        <v>0</v>
      </c>
    </row>
    <row r="42" spans="1:9" ht="15.75">
      <c r="A42" s="53" t="str">
        <v>Muroc Joint USD - District Office</v>
      </c>
      <c r="B42" s="28" t="str">
        <v>CA</v>
      </c>
      <c r="C42" s="24">
        <f>SUM('1st Qtr'!C42, '2nd Qtr'!C42, '3rd Qtr'!C42, '4th Qtr'!C42)</f>
        <v>3768</v>
      </c>
      <c r="D42" s="13">
        <f>SUM('1st Qtr'!D42, '2nd Qtr'!D42, '3rd Qtr'!D42, '4th Qtr'!D42)</f>
        <v>0</v>
      </c>
      <c r="E42" s="13">
        <f t="shared" si="9"/>
        <v>3768</v>
      </c>
      <c r="F42" s="14" t="str">
        <f t="shared" si="10"/>
        <v/>
      </c>
      <c r="G42" s="15">
        <f>SUM('1st Qtr'!G42, '2nd Qtr'!G42, '3rd Qtr'!G42, '4th Qtr'!G42)</f>
        <v>9935.02</v>
      </c>
      <c r="H42" s="15">
        <f>SUM(Jan!H42, Feb!H42, Mar!H42)</f>
        <v>0</v>
      </c>
      <c r="I42" s="16">
        <f t="shared" si="11"/>
        <v>0</v>
      </c>
    </row>
    <row r="43" spans="1:9" ht="15.75">
      <c r="A43" s="52" t="str">
        <v>Whole Foods - Manhattan Beach</v>
      </c>
      <c r="B43" s="30" t="str">
        <v>CA</v>
      </c>
      <c r="C43" s="11">
        <f>SUM('1st Qtr'!C43, '2nd Qtr'!C43, '3rd Qtr'!C43, '4th Qtr'!C43)</f>
        <v>20073</v>
      </c>
      <c r="D43" s="18">
        <f>SUM('1st Qtr'!D43, '2nd Qtr'!D43, '3rd Qtr'!D43, '4th Qtr'!D43)</f>
        <v>0</v>
      </c>
      <c r="E43" s="18">
        <f t="shared" si="9"/>
        <v>20073</v>
      </c>
      <c r="F43" s="19" t="str">
        <f t="shared" si="10"/>
        <v/>
      </c>
      <c r="G43" s="20">
        <f>SUM('1st Qtr'!G43, '2nd Qtr'!G43, '3rd Qtr'!G43, '4th Qtr'!G43)</f>
        <v>21967.919999999998</v>
      </c>
      <c r="H43" s="20">
        <f>SUM(Jan!H43, Feb!H43, Mar!H43)</f>
        <v>0</v>
      </c>
      <c r="I43" s="19">
        <f t="shared" si="11"/>
        <v>0</v>
      </c>
    </row>
    <row r="44" spans="1:9" ht="15.75">
      <c r="A44" s="53" t="str">
        <v>Pioneer USD - Frontier ES</v>
      </c>
      <c r="B44" s="28" t="str">
        <v>CA</v>
      </c>
      <c r="C44" s="24">
        <f>SUM('1st Qtr'!C44, '2nd Qtr'!C44, '3rd Qtr'!C44, '4th Qtr'!C44)</f>
        <v>32052</v>
      </c>
      <c r="D44" s="13">
        <f>SUM('1st Qtr'!D44, '2nd Qtr'!D44, '3rd Qtr'!D44, '4th Qtr'!D44)</f>
        <v>0</v>
      </c>
      <c r="E44" s="13">
        <f t="shared" si="9"/>
        <v>32052</v>
      </c>
      <c r="F44" s="14" t="str">
        <f t="shared" si="10"/>
        <v/>
      </c>
      <c r="G44" s="15">
        <f>SUM('1st Qtr'!G44, '2nd Qtr'!G44, '3rd Qtr'!G44, '4th Qtr'!G44)</f>
        <v>39025.040000000001</v>
      </c>
      <c r="H44" s="15">
        <f>SUM(Jan!H44, Feb!H44, Mar!H44)</f>
        <v>0</v>
      </c>
      <c r="I44" s="16">
        <f t="shared" si="11"/>
        <v>0</v>
      </c>
    </row>
    <row r="45" spans="1:9" ht="15.75">
      <c r="A45" s="52" t="str">
        <v>Pioneer USD - Pioneer ES</v>
      </c>
      <c r="B45" s="30" t="str">
        <v>CA</v>
      </c>
      <c r="C45" s="11">
        <f>SUM('1st Qtr'!C45, '2nd Qtr'!C45, '3rd Qtr'!C45, '4th Qtr'!C45)</f>
        <v>18816</v>
      </c>
      <c r="D45" s="18">
        <f>SUM('1st Qtr'!D45, '2nd Qtr'!D45, '3rd Qtr'!D45, '4th Qtr'!D45)</f>
        <v>0</v>
      </c>
      <c r="E45" s="18">
        <f t="shared" si="9"/>
        <v>18816</v>
      </c>
      <c r="F45" s="19" t="str">
        <f t="shared" si="10"/>
        <v/>
      </c>
      <c r="G45" s="20">
        <f>SUM('1st Qtr'!G45, '2nd Qtr'!G45, '3rd Qtr'!G45, '4th Qtr'!G45)</f>
        <v>39672.160000000003</v>
      </c>
      <c r="H45" s="20">
        <f>SUM(Jan!H45, Feb!H45, Mar!H45)</f>
        <v>0</v>
      </c>
      <c r="I45" s="19">
        <f t="shared" si="11"/>
        <v>0</v>
      </c>
    </row>
    <row r="46" spans="1:9" ht="15.75">
      <c r="A46" s="53" t="str">
        <v>Pioneer USD - Pioneer MS</v>
      </c>
      <c r="B46" s="28" t="str">
        <v>CA</v>
      </c>
      <c r="C46" s="24">
        <f>SUM('1st Qtr'!C46, '2nd Qtr'!C46, '3rd Qtr'!C46, '4th Qtr'!C46)</f>
        <v>40716</v>
      </c>
      <c r="D46" s="13">
        <f>SUM('1st Qtr'!D46, '2nd Qtr'!D46, '3rd Qtr'!D46, '4th Qtr'!D46)</f>
        <v>0</v>
      </c>
      <c r="E46" s="13">
        <f t="shared" si="9"/>
        <v>40716</v>
      </c>
      <c r="F46" s="14" t="str">
        <f t="shared" si="10"/>
        <v/>
      </c>
      <c r="G46" s="15">
        <f>SUM('1st Qtr'!G46, '2nd Qtr'!G46, '3rd Qtr'!G46, '4th Qtr'!G46)</f>
        <v>53195.61</v>
      </c>
      <c r="H46" s="15">
        <f>SUM(Jan!H46, Feb!H46, Mar!H46)</f>
        <v>0</v>
      </c>
      <c r="I46" s="16">
        <f t="shared" si="11"/>
        <v>0</v>
      </c>
    </row>
    <row r="47" spans="1:9" ht="15.75">
      <c r="A47" s="52" t="str">
        <v>Kingsburg Joint UHSD - Kingsburg HS</v>
      </c>
      <c r="B47" s="30" t="str">
        <v>CA</v>
      </c>
      <c r="C47" s="11">
        <f>SUM('1st Qtr'!C47, '2nd Qtr'!C47, '3rd Qtr'!C47, '4th Qtr'!C47)</f>
        <v>61245</v>
      </c>
      <c r="D47" s="18">
        <f>SUM('1st Qtr'!D47, '2nd Qtr'!D47, '3rd Qtr'!D47, '4th Qtr'!D47)</f>
        <v>0</v>
      </c>
      <c r="E47" s="18">
        <f t="shared" si="9"/>
        <v>61245</v>
      </c>
      <c r="F47" s="19" t="str">
        <f t="shared" si="10"/>
        <v/>
      </c>
      <c r="G47" s="20">
        <f>SUM('1st Qtr'!G47, '2nd Qtr'!G47, '3rd Qtr'!G47, '4th Qtr'!G47)</f>
        <v>91972.44</v>
      </c>
      <c r="H47" s="20">
        <f>SUM(Jan!H47, Feb!H47, Mar!H47)</f>
        <v>0</v>
      </c>
      <c r="I47" s="19">
        <f t="shared" si="11"/>
        <v>0</v>
      </c>
    </row>
    <row r="48" spans="1:9" ht="15.75">
      <c r="A48" s="53" t="str">
        <v>CADRB</v>
      </c>
      <c r="B48" s="28" t="str">
        <v>CA</v>
      </c>
      <c r="C48" s="24">
        <f>SUM('1st Qtr'!C48, '2nd Qtr'!C48, '3rd Qtr'!C48, '4th Qtr'!C48)</f>
        <v>649009</v>
      </c>
      <c r="D48" s="13">
        <f>SUM('1st Qtr'!D48, '2nd Qtr'!D48, '3rd Qtr'!D48, '4th Qtr'!D48)</f>
        <v>0</v>
      </c>
      <c r="E48" s="13">
        <f t="shared" si="9"/>
        <v>649009</v>
      </c>
      <c r="F48" s="14" t="str">
        <f t="shared" si="10"/>
        <v/>
      </c>
      <c r="G48" s="15">
        <f>SUM('1st Qtr'!G48, '2nd Qtr'!G48, '3rd Qtr'!G48, '4th Qtr'!G48)</f>
        <v>838748</v>
      </c>
      <c r="H48" s="15">
        <f>SUM(Jan!H48, Feb!H48, Mar!H48)</f>
        <v>0</v>
      </c>
      <c r="I48" s="16">
        <f t="shared" si="11"/>
        <v>0</v>
      </c>
    </row>
    <row r="49" spans="1:9" ht="15.75">
      <c r="A49" s="52" t="str">
        <v>CDCR-CA State Prison LA County</v>
      </c>
      <c r="B49" s="30" t="str">
        <v>CA</v>
      </c>
      <c r="C49" s="11">
        <f>SUM('1st Qtr'!C49, '2nd Qtr'!C49, '3rd Qtr'!C49, '4th Qtr'!C49)</f>
        <v>304987</v>
      </c>
      <c r="D49" s="18">
        <f>SUM('1st Qtr'!D49, '2nd Qtr'!D49, '3rd Qtr'!D49, '4th Qtr'!D49)</f>
        <v>0</v>
      </c>
      <c r="E49" s="18">
        <f t="shared" si="9"/>
        <v>304987</v>
      </c>
      <c r="F49" s="19" t="str">
        <f t="shared" si="10"/>
        <v/>
      </c>
      <c r="G49" s="20">
        <f>SUM('1st Qtr'!G49, '2nd Qtr'!G49, '3rd Qtr'!G49, '4th Qtr'!G49)</f>
        <v>530579</v>
      </c>
      <c r="H49" s="20">
        <f>SUM(Jan!H49, Feb!H49, Mar!H49)</f>
        <v>0</v>
      </c>
      <c r="I49" s="19">
        <f t="shared" si="11"/>
        <v>0</v>
      </c>
    </row>
    <row r="50" spans="1:9" ht="15.75">
      <c r="A50" s="53" t="str">
        <v>Central USD Akers ES</v>
      </c>
      <c r="B50" s="28" t="str">
        <v>CA</v>
      </c>
      <c r="C50" s="24">
        <f>SUM('1st Qtr'!C50, '2nd Qtr'!C50, '3rd Qtr'!C50, '4th Qtr'!C50)</f>
        <v>30828</v>
      </c>
      <c r="D50" s="13">
        <f>SUM('1st Qtr'!D50, '2nd Qtr'!D50, '3rd Qtr'!D50, '4th Qtr'!D50)</f>
        <v>0</v>
      </c>
      <c r="E50" s="13">
        <f t="shared" si="9"/>
        <v>30828</v>
      </c>
      <c r="F50" s="14" t="str">
        <f t="shared" si="10"/>
        <v/>
      </c>
      <c r="G50" s="15">
        <f>SUM('1st Qtr'!G50, '2nd Qtr'!G50, '3rd Qtr'!G50, '4th Qtr'!G50)</f>
        <v>40023</v>
      </c>
      <c r="H50" s="15">
        <f>SUM(Jan!H50, Feb!H50, Mar!H50)</f>
        <v>0</v>
      </c>
      <c r="I50" s="16">
        <f t="shared" si="11"/>
        <v>0</v>
      </c>
    </row>
    <row r="51" spans="1:9" ht="15.75">
      <c r="A51" s="52" t="str">
        <v>CUSD - District Office</v>
      </c>
      <c r="B51" s="30" t="str">
        <v>CA</v>
      </c>
      <c r="C51" s="11">
        <f>SUM('1st Qtr'!C51, '2nd Qtr'!C51, '3rd Qtr'!C51, '4th Qtr'!C51)</f>
        <v>25512</v>
      </c>
      <c r="D51" s="18">
        <f>SUM('1st Qtr'!D51, '2nd Qtr'!D51, '3rd Qtr'!D51, '4th Qtr'!D51)</f>
        <v>0</v>
      </c>
      <c r="E51" s="18">
        <f t="shared" si="9"/>
        <v>25512</v>
      </c>
      <c r="F51" s="19" t="str">
        <f t="shared" si="10"/>
        <v/>
      </c>
      <c r="G51" s="20">
        <f>SUM('1st Qtr'!G51, '2nd Qtr'!G51, '3rd Qtr'!G51, '4th Qtr'!G51)</f>
        <v>33540.14</v>
      </c>
      <c r="H51" s="20">
        <f>SUM(Jan!H51, Feb!H51, Mar!H51)</f>
        <v>0</v>
      </c>
      <c r="I51" s="19">
        <f t="shared" si="11"/>
        <v>0</v>
      </c>
    </row>
    <row r="52" spans="1:9" ht="15.75">
      <c r="A52" s="53" t="str">
        <v>Parlier - WTP</v>
      </c>
      <c r="B52" s="28" t="str">
        <v>CA</v>
      </c>
      <c r="C52" s="24">
        <f>SUM('1st Qtr'!C52, '2nd Qtr'!C52, '3rd Qtr'!C52, '4th Qtr'!C52)</f>
        <v>43735</v>
      </c>
      <c r="D52" s="13">
        <f>SUM('1st Qtr'!D52, '2nd Qtr'!D52, '3rd Qtr'!D52, '4th Qtr'!D52)</f>
        <v>0</v>
      </c>
      <c r="E52" s="13">
        <f t="shared" si="9"/>
        <v>43735</v>
      </c>
      <c r="F52" s="14" t="str">
        <f t="shared" si="10"/>
        <v/>
      </c>
      <c r="G52" s="15">
        <f>SUM('1st Qtr'!G52, '2nd Qtr'!G52, '3rd Qtr'!G52, '4th Qtr'!G52)</f>
        <v>105214</v>
      </c>
      <c r="H52" s="15">
        <f>SUM(Jan!H52, Feb!H52, Mar!H52)</f>
        <v>0</v>
      </c>
      <c r="I52" s="16">
        <f t="shared" si="11"/>
        <v>0</v>
      </c>
    </row>
    <row r="53" spans="1:9" ht="15.75">
      <c r="A53" s="52" t="str">
        <v>Snowline SD - Quail Valley MS</v>
      </c>
      <c r="B53" s="30" t="str">
        <v>CA</v>
      </c>
      <c r="C53" s="11">
        <f>SUM('1st Qtr'!C53, '2nd Qtr'!C53, '3rd Qtr'!C53, '4th Qtr'!C53)</f>
        <v>46328</v>
      </c>
      <c r="D53" s="18">
        <f>SUM('1st Qtr'!D53, '2nd Qtr'!D53, '3rd Qtr'!D53, '4th Qtr'!D53)</f>
        <v>0</v>
      </c>
      <c r="E53" s="18">
        <f t="shared" si="9"/>
        <v>46328</v>
      </c>
      <c r="F53" s="19" t="str">
        <f t="shared" si="10"/>
        <v/>
      </c>
      <c r="G53" s="20">
        <f>SUM('1st Qtr'!G53, '2nd Qtr'!G53, '3rd Qtr'!G53, '4th Qtr'!G53)</f>
        <v>46059.09</v>
      </c>
      <c r="H53" s="20">
        <f>SUM(Jan!H53, Feb!H53, Mar!H53)</f>
        <v>0</v>
      </c>
      <c r="I53" s="19">
        <f t="shared" si="11"/>
        <v>0</v>
      </c>
    </row>
    <row r="54" spans="1:9" ht="15.75">
      <c r="A54" s="53" t="str">
        <v>Snowline SD - Serrano HS - Middle Lot</v>
      </c>
      <c r="B54" s="28" t="str">
        <v>CA</v>
      </c>
      <c r="C54" s="24">
        <f>SUM('1st Qtr'!C54, '2nd Qtr'!C54, '3rd Qtr'!C54, '4th Qtr'!C54)</f>
        <v>39558</v>
      </c>
      <c r="D54" s="13">
        <f>SUM('1st Qtr'!D54, '2nd Qtr'!D54, '3rd Qtr'!D54, '4th Qtr'!D54)</f>
        <v>0</v>
      </c>
      <c r="E54" s="13">
        <f t="shared" si="9"/>
        <v>39558</v>
      </c>
      <c r="F54" s="14" t="str">
        <f t="shared" si="10"/>
        <v/>
      </c>
      <c r="G54" s="15">
        <f>SUM('1st Qtr'!G54, '2nd Qtr'!G54, '3rd Qtr'!G54, '4th Qtr'!G54)</f>
        <v>55638</v>
      </c>
      <c r="H54" s="15">
        <f>SUM(Jan!H54, Feb!H54, Mar!H54)</f>
        <v>0</v>
      </c>
      <c r="I54" s="16">
        <f t="shared" si="11"/>
        <v>0</v>
      </c>
    </row>
    <row r="55" spans="1:9" ht="15.75">
      <c r="A55" s="52" t="str">
        <v>Snowline SD - Pinon Hills ES</v>
      </c>
      <c r="B55" s="30" t="str">
        <v>CA</v>
      </c>
      <c r="C55" s="11">
        <f>SUM('1st Qtr'!C55, '2nd Qtr'!C55, '3rd Qtr'!C55, '4th Qtr'!C55)</f>
        <v>0</v>
      </c>
      <c r="D55" s="18">
        <f>SUM('1st Qtr'!D55, '2nd Qtr'!D55, '3rd Qtr'!D55, '4th Qtr'!D55)</f>
        <v>0</v>
      </c>
      <c r="E55" s="18">
        <f t="shared" si="9"/>
        <v>0</v>
      </c>
      <c r="F55" s="19" t="str">
        <f t="shared" si="10"/>
        <v/>
      </c>
      <c r="G55" s="20">
        <f>SUM('1st Qtr'!G55, '2nd Qtr'!G55, '3rd Qtr'!G55, '4th Qtr'!G55)</f>
        <v>25006.66</v>
      </c>
      <c r="H55" s="20">
        <f>SUM(Jan!H55, Feb!H55, Mar!H55)</f>
        <v>0</v>
      </c>
      <c r="I55" s="19">
        <f t="shared" si="11"/>
        <v>0</v>
      </c>
    </row>
    <row r="56" spans="1:9" ht="15.75">
      <c r="A56" s="53" t="str">
        <v>Ramona - Santa Maria WTP</v>
      </c>
      <c r="B56" s="28" t="str">
        <v>CA</v>
      </c>
      <c r="C56" s="24">
        <f>SUM('1st Qtr'!C56, '2nd Qtr'!C56, '3rd Qtr'!C56, '4th Qtr'!C56)</f>
        <v>75841</v>
      </c>
      <c r="D56" s="13">
        <f>SUM('1st Qtr'!D56, '2nd Qtr'!D56, '3rd Qtr'!D56, '4th Qtr'!D56)</f>
        <v>0</v>
      </c>
      <c r="E56" s="13">
        <f t="shared" si="9"/>
        <v>75841</v>
      </c>
      <c r="F56" s="14" t="str">
        <f t="shared" si="10"/>
        <v/>
      </c>
      <c r="G56" s="15">
        <f>SUM('1st Qtr'!G56, '2nd Qtr'!G56, '3rd Qtr'!G56, '4th Qtr'!G56)</f>
        <v>85658.65</v>
      </c>
      <c r="H56" s="15">
        <f>SUM(Jan!H56, Feb!H56, Mar!H56)</f>
        <v>0</v>
      </c>
      <c r="I56" s="16">
        <f t="shared" si="11"/>
        <v>0</v>
      </c>
    </row>
    <row r="57" spans="1:9" ht="15.75">
      <c r="A57" s="52" t="str">
        <v>Kohls - Redding</v>
      </c>
      <c r="B57" s="30" t="str">
        <v>CA</v>
      </c>
      <c r="C57" s="11">
        <f>SUM('1st Qtr'!C57, '2nd Qtr'!C57, '3rd Qtr'!C57, '4th Qtr'!C57)</f>
        <v>3328</v>
      </c>
      <c r="D57" s="18">
        <f>SUM('1st Qtr'!D57, '2nd Qtr'!D57, '3rd Qtr'!D57, '4th Qtr'!D57)</f>
        <v>0</v>
      </c>
      <c r="E57" s="18">
        <f t="shared" si="9"/>
        <v>3328</v>
      </c>
      <c r="F57" s="19" t="str">
        <f t="shared" si="10"/>
        <v/>
      </c>
      <c r="G57" s="20">
        <f>SUM('1st Qtr'!G57, '2nd Qtr'!G57, '3rd Qtr'!G57, '4th Qtr'!G57)</f>
        <v>34726.47</v>
      </c>
      <c r="H57" s="20">
        <f>SUM(Jan!H57, Feb!H57, Mar!H57)</f>
        <v>0</v>
      </c>
      <c r="I57" s="19">
        <f t="shared" si="11"/>
        <v>0</v>
      </c>
    </row>
    <row r="58" spans="1:9" ht="15.75">
      <c r="A58" s="53" t="str">
        <v>Kohls - Salinas</v>
      </c>
      <c r="B58" s="28" t="str">
        <v>CA</v>
      </c>
      <c r="C58" s="24">
        <f>SUM('1st Qtr'!C58, '2nd Qtr'!C58, '3rd Qtr'!C58, '4th Qtr'!C58)</f>
        <v>40543</v>
      </c>
      <c r="D58" s="13">
        <f>SUM('1st Qtr'!D58, '2nd Qtr'!D58, '3rd Qtr'!D58, '4th Qtr'!D58)</f>
        <v>0</v>
      </c>
      <c r="E58" s="13">
        <f t="shared" si="9"/>
        <v>40543</v>
      </c>
      <c r="F58" s="14" t="str">
        <f t="shared" si="10"/>
        <v/>
      </c>
      <c r="G58" s="15">
        <f>SUM('1st Qtr'!G58, '2nd Qtr'!G58, '3rd Qtr'!G58, '4th Qtr'!G58)</f>
        <v>50234.44</v>
      </c>
      <c r="H58" s="15">
        <f>SUM(Jan!H58, Feb!H58, Mar!H58)</f>
        <v>0</v>
      </c>
      <c r="I58" s="16">
        <f t="shared" si="11"/>
        <v>0</v>
      </c>
    </row>
    <row r="59" spans="1:9" ht="15.75">
      <c r="A59" s="52" t="str">
        <v>Kohls - San Bernardino - Central</v>
      </c>
      <c r="B59" s="30" t="str">
        <v>CA</v>
      </c>
      <c r="C59" s="11">
        <f>SUM('1st Qtr'!C59, '2nd Qtr'!C59, '3rd Qtr'!C59, '4th Qtr'!C59)</f>
        <v>133441</v>
      </c>
      <c r="D59" s="18">
        <f>SUM('1st Qtr'!D59, '2nd Qtr'!D59, '3rd Qtr'!D59, '4th Qtr'!D59)</f>
        <v>0</v>
      </c>
      <c r="E59" s="18">
        <f t="shared" si="9"/>
        <v>133441</v>
      </c>
      <c r="F59" s="19" t="str">
        <f t="shared" si="10"/>
        <v/>
      </c>
      <c r="G59" s="20">
        <f>SUM('1st Qtr'!G59, '2nd Qtr'!G59, '3rd Qtr'!G59, '4th Qtr'!G59)</f>
        <v>160429.9</v>
      </c>
      <c r="H59" s="20">
        <f>SUM(Jan!H59, Feb!H59, Mar!H59)</f>
        <v>0</v>
      </c>
      <c r="I59" s="19">
        <f t="shared" si="11"/>
        <v>0</v>
      </c>
    </row>
    <row r="60" spans="1:9" ht="15.75">
      <c r="A60" s="53" t="str">
        <v>Kohls - Sonora</v>
      </c>
      <c r="B60" s="28" t="str">
        <v>CA</v>
      </c>
      <c r="C60" s="24">
        <f>SUM('1st Qtr'!C60, '2nd Qtr'!C60, '3rd Qtr'!C60, '4th Qtr'!C60)</f>
        <v>32035</v>
      </c>
      <c r="D60" s="13">
        <f>SUM('1st Qtr'!D60, '2nd Qtr'!D60, '3rd Qtr'!D60, '4th Qtr'!D60)</f>
        <v>0</v>
      </c>
      <c r="E60" s="13">
        <f t="shared" si="9"/>
        <v>32035</v>
      </c>
      <c r="F60" s="14" t="str">
        <f t="shared" si="10"/>
        <v/>
      </c>
      <c r="G60" s="15">
        <f>SUM('1st Qtr'!G60, '2nd Qtr'!G60, '3rd Qtr'!G60, '4th Qtr'!G60)</f>
        <v>35172.44</v>
      </c>
      <c r="H60" s="15">
        <f>SUM(Jan!H60, Feb!H60, Mar!H60)</f>
        <v>0</v>
      </c>
      <c r="I60" s="16">
        <f t="shared" si="11"/>
        <v>0</v>
      </c>
    </row>
    <row r="61" spans="1:9" ht="15.75">
      <c r="A61" s="52" t="str">
        <v>CUSD - Stratford ES</v>
      </c>
      <c r="B61" s="30" t="str">
        <v>CA</v>
      </c>
      <c r="C61" s="11">
        <f>SUM('1st Qtr'!C61, '2nd Qtr'!C61, '3rd Qtr'!C61, '4th Qtr'!C61)</f>
        <v>24519</v>
      </c>
      <c r="D61" s="18">
        <f>SUM('1st Qtr'!D61, '2nd Qtr'!D61, '3rd Qtr'!D61, '4th Qtr'!D61)</f>
        <v>0</v>
      </c>
      <c r="E61" s="18">
        <f t="shared" si="9"/>
        <v>24519</v>
      </c>
      <c r="F61" s="19" t="str">
        <f t="shared" si="10"/>
        <v/>
      </c>
      <c r="G61" s="20">
        <f>SUM('1st Qtr'!G61, '2nd Qtr'!G61, '3rd Qtr'!G61, '4th Qtr'!G61)</f>
        <v>24455.16</v>
      </c>
      <c r="H61" s="20">
        <f>SUM(Jan!H61, Feb!H61, Mar!H61)</f>
        <v>0</v>
      </c>
      <c r="I61" s="19">
        <f t="shared" si="11"/>
        <v>0</v>
      </c>
    </row>
    <row r="62" spans="1:9" ht="15.75">
      <c r="A62" s="53" t="str">
        <v>Taft - City Hall</v>
      </c>
      <c r="B62" s="28" t="str">
        <v>CA</v>
      </c>
      <c r="C62" s="24">
        <f>SUM('1st Qtr'!C62, '2nd Qtr'!C62, '3rd Qtr'!C62, '4th Qtr'!C62)</f>
        <v>7913</v>
      </c>
      <c r="D62" s="13">
        <f>SUM('1st Qtr'!D62, '2nd Qtr'!D62, '3rd Qtr'!D62, '4th Qtr'!D62)</f>
        <v>0</v>
      </c>
      <c r="E62" s="13">
        <f t="shared" si="9"/>
        <v>7913</v>
      </c>
      <c r="F62" s="14" t="str">
        <f t="shared" si="10"/>
        <v/>
      </c>
      <c r="G62" s="15">
        <f>SUM('1st Qtr'!G62, '2nd Qtr'!G62, '3rd Qtr'!G62, '4th Qtr'!G62)</f>
        <v>10929.73</v>
      </c>
      <c r="H62" s="15">
        <f>SUM(Jan!H62, Feb!H62, Mar!H62)</f>
        <v>0</v>
      </c>
      <c r="I62" s="16">
        <f t="shared" si="11"/>
        <v>0</v>
      </c>
    </row>
    <row r="63" spans="1:9" ht="15.75">
      <c r="A63" s="52" t="str">
        <v>Taft - Federal Prison</v>
      </c>
      <c r="B63" s="30" t="str">
        <v>CA</v>
      </c>
      <c r="C63" s="11">
        <f>SUM('1st Qtr'!C63, '2nd Qtr'!C63, '3rd Qtr'!C63, '4th Qtr'!C63)</f>
        <v>8481</v>
      </c>
      <c r="D63" s="18">
        <f>SUM('1st Qtr'!D63, '2nd Qtr'!D63, '3rd Qtr'!D63, '4th Qtr'!D63)</f>
        <v>0</v>
      </c>
      <c r="E63" s="18">
        <f t="shared" si="9"/>
        <v>8481</v>
      </c>
      <c r="F63" s="19" t="str">
        <f t="shared" si="10"/>
        <v/>
      </c>
      <c r="G63" s="20">
        <f>SUM('1st Qtr'!G63, '2nd Qtr'!G63, '3rd Qtr'!G63, '4th Qtr'!G63)</f>
        <v>17202.07</v>
      </c>
      <c r="H63" s="20">
        <f>SUM(Jan!H63, Feb!H63, Mar!H63)</f>
        <v>0</v>
      </c>
      <c r="I63" s="19">
        <f t="shared" si="11"/>
        <v>0</v>
      </c>
    </row>
    <row r="64" spans="1:9" ht="15.75">
      <c r="A64" s="53" t="str">
        <v>Taft - Police Department</v>
      </c>
      <c r="B64" s="28" t="str">
        <v>CA</v>
      </c>
      <c r="C64" s="24">
        <f>SUM('1st Qtr'!C64, '2nd Qtr'!C64, '3rd Qtr'!C64, '4th Qtr'!C64)</f>
        <v>13121</v>
      </c>
      <c r="D64" s="13">
        <f>SUM('1st Qtr'!D64, '2nd Qtr'!D64, '3rd Qtr'!D64, '4th Qtr'!D64)</f>
        <v>0</v>
      </c>
      <c r="E64" s="13">
        <f t="shared" si="9"/>
        <v>13121</v>
      </c>
      <c r="F64" s="14" t="str">
        <f t="shared" si="10"/>
        <v/>
      </c>
      <c r="G64" s="15">
        <f>SUM('1st Qtr'!G64, '2nd Qtr'!G64, '3rd Qtr'!G64, '4th Qtr'!G64)</f>
        <v>12499.65</v>
      </c>
      <c r="H64" s="15">
        <f>SUM(Jan!H64, Feb!H64, Mar!H64)</f>
        <v>0</v>
      </c>
      <c r="I64" s="16">
        <f t="shared" si="11"/>
        <v>0</v>
      </c>
    </row>
    <row r="65" spans="1:9" ht="15.75">
      <c r="A65" s="52" t="str">
        <v>Taft - WTP</v>
      </c>
      <c r="B65" s="30" t="str">
        <v>CA</v>
      </c>
      <c r="C65" s="11">
        <f>SUM('1st Qtr'!C65, '2nd Qtr'!C65, '3rd Qtr'!C65, '4th Qtr'!C65)</f>
        <v>0</v>
      </c>
      <c r="D65" s="18">
        <f>SUM('1st Qtr'!D65, '2nd Qtr'!D65, '3rd Qtr'!D65, '4th Qtr'!D65)</f>
        <v>0</v>
      </c>
      <c r="E65" s="18">
        <f t="shared" si="9"/>
        <v>0</v>
      </c>
      <c r="F65" s="19" t="str">
        <f t="shared" si="10"/>
        <v/>
      </c>
      <c r="G65" s="20">
        <f>SUM('1st Qtr'!G65, '2nd Qtr'!G65, '3rd Qtr'!G65, '4th Qtr'!G65)</f>
        <v>0</v>
      </c>
      <c r="H65" s="20">
        <f>SUM(Jan!H65, Feb!H65, Mar!H65)</f>
        <v>0</v>
      </c>
      <c r="I65" s="19" t="str">
        <f t="shared" si="11"/>
        <v/>
      </c>
    </row>
    <row r="66" spans="1:9" ht="15.75">
      <c r="A66" s="53" t="str">
        <v>CDCR - CA Correctional Institution</v>
      </c>
      <c r="B66" s="28" t="str">
        <v>CA</v>
      </c>
      <c r="C66" s="24">
        <f>SUM('1st Qtr'!C66, '2nd Qtr'!C66, '3rd Qtr'!C66, '4th Qtr'!C66)</f>
        <v>7488</v>
      </c>
      <c r="D66" s="13">
        <f>SUM('1st Qtr'!D66, '2nd Qtr'!D66, '3rd Qtr'!D66, '4th Qtr'!D66)</f>
        <v>0</v>
      </c>
      <c r="E66" s="13">
        <f t="shared" si="9"/>
        <v>7488</v>
      </c>
      <c r="F66" s="14" t="str">
        <f t="shared" si="10"/>
        <v/>
      </c>
      <c r="G66" s="15">
        <f>SUM('1st Qtr'!G66, '2nd Qtr'!G66, '3rd Qtr'!G66, '4th Qtr'!G66)</f>
        <v>26205.7</v>
      </c>
      <c r="H66" s="15">
        <f>SUM(Jan!H66, Feb!H66, Mar!H66)</f>
        <v>0</v>
      </c>
      <c r="I66" s="16">
        <f t="shared" si="11"/>
        <v>0</v>
      </c>
    </row>
    <row r="67" spans="1:9" ht="15.75">
      <c r="A67" s="52" t="str">
        <v>CDCR - CA Correctional Institution II</v>
      </c>
      <c r="B67" s="30" t="str">
        <v>CA</v>
      </c>
      <c r="C67" s="11">
        <f>SUM('1st Qtr'!C67, '2nd Qtr'!C67, '3rd Qtr'!C67, '4th Qtr'!C67)</f>
        <v>81731</v>
      </c>
      <c r="D67" s="18">
        <f>SUM('1st Qtr'!D67, '2nd Qtr'!D67, '3rd Qtr'!D67, '4th Qtr'!D67)</f>
        <v>0</v>
      </c>
      <c r="E67" s="18">
        <f t="shared" si="9"/>
        <v>81731</v>
      </c>
      <c r="F67" s="19" t="str">
        <f t="shared" si="10"/>
        <v/>
      </c>
      <c r="G67" s="20">
        <f>SUM('1st Qtr'!G67, '2nd Qtr'!G67, '3rd Qtr'!G67, '4th Qtr'!G67)</f>
        <v>390993</v>
      </c>
      <c r="H67" s="20">
        <f>SUM(Jan!H67, Feb!H67, Mar!H67)</f>
        <v>0</v>
      </c>
      <c r="I67" s="19">
        <f t="shared" si="11"/>
        <v>0</v>
      </c>
    </row>
    <row r="68" spans="1:9" ht="15.75">
      <c r="A68" s="53" t="str">
        <v>Snowline SD - Vista Verde ES</v>
      </c>
      <c r="B68" s="28" t="str">
        <v>CA</v>
      </c>
      <c r="C68" s="24">
        <f>SUM('1st Qtr'!C68, '2nd Qtr'!C68, '3rd Qtr'!C68, '4th Qtr'!C68)</f>
        <v>33695</v>
      </c>
      <c r="D68" s="13">
        <f>SUM('1st Qtr'!D68, '2nd Qtr'!D68, '3rd Qtr'!D68, '4th Qtr'!D68)</f>
        <v>0</v>
      </c>
      <c r="E68" s="13">
        <f t="shared" si="9"/>
        <v>33695</v>
      </c>
      <c r="F68" s="14" t="str">
        <f t="shared" si="10"/>
        <v/>
      </c>
      <c r="G68" s="15">
        <f>SUM('1st Qtr'!G68, '2nd Qtr'!G68, '3rd Qtr'!G68, '4th Qtr'!G68)</f>
        <v>33905.040000000001</v>
      </c>
      <c r="H68" s="15">
        <f>SUM(Jan!H68, Feb!H68, Mar!H68)</f>
        <v>0</v>
      </c>
      <c r="I68" s="16">
        <f t="shared" si="11"/>
        <v>0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1" activePane="bottomRight" state="frozen"/>
      <selection pane="bottomRight" activeCell="D66" sqref="D6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Silicon Ranch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>
        <f>SUM(G4:G100)</f>
        <v>1923155.7889999996</v>
      </c>
      <c r="H2" s="7">
        <f>C2-G2</f>
        <v>-312121.43899999955</v>
      </c>
      <c r="I2" s="6">
        <f>IFERROR(H2/G2, 0)</f>
        <v>-0.16229649245540118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49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48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49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48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49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48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49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48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49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48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49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48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49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49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48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49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48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49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48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49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5.75">
      <c r="A26" s="48" t="str">
        <v>Mojave Water Agency - Headquarters</v>
      </c>
      <c r="B26" s="9" t="str">
        <v>CA</v>
      </c>
      <c r="C26" s="24">
        <f>SUM(Jan!C26, Feb!C26, Mar!C26)</f>
        <v>0</v>
      </c>
      <c r="D26" s="13">
        <f>SUM(Jan!D26, Feb!D26, Mar!D26)</f>
        <v>0</v>
      </c>
      <c r="E26" s="13">
        <f t="shared" ref="E26:E68" si="9">IF(AND(ISNUMBER(C26),ISNUMBER(D26)), C26-D26, "")</f>
        <v>0</v>
      </c>
      <c r="F26" s="14" t="str">
        <f t="shared" ref="F26:F68" si="10">IFERROR(E26/D26, "")</f>
        <v/>
      </c>
      <c r="G26" s="15">
        <f>SUM(Jan!G26, Feb!G26, Mar!G27)</f>
        <v>0</v>
      </c>
      <c r="H26" s="15">
        <f>SUM(Jan!H26, Feb!H26, Mar!H26)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11">
        <f>SUM(Jan!C27, Feb!C27, Mar!C27)</f>
        <v>0</v>
      </c>
      <c r="D27" s="18">
        <f>SUM(Jan!D27, Feb!D27, Mar!D27)</f>
        <v>0</v>
      </c>
      <c r="E27" s="18">
        <f t="shared" si="9"/>
        <v>0</v>
      </c>
      <c r="F27" s="19" t="str">
        <f t="shared" si="10"/>
        <v/>
      </c>
      <c r="G27" s="20">
        <f>SUM(Jan!G27, Feb!G27,Mar!G27)</f>
        <v>0</v>
      </c>
      <c r="H27" s="20">
        <f>SUM(Jan!H27, Feb!H27, Mar!H27)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24">
        <f>SUM(Jan!C28, Feb!C28, Mar!C28)</f>
        <v>0</v>
      </c>
      <c r="D28" s="13">
        <f>SUM(Jan!D28, Feb!D28, Mar!D28)</f>
        <v>0</v>
      </c>
      <c r="E28" s="13">
        <f t="shared" si="9"/>
        <v>0</v>
      </c>
      <c r="F28" s="14" t="str">
        <f t="shared" si="10"/>
        <v/>
      </c>
      <c r="G28" s="15">
        <f>SUM(Jan!G28, Feb!G28, Mar!G29)</f>
        <v>0</v>
      </c>
      <c r="H28" s="15">
        <f>SUM(Jan!H28, Feb!H28, Mar!H28)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11">
        <f>SUM(Jan!C29, Feb!C29, Mar!C29)</f>
        <v>0</v>
      </c>
      <c r="D29" s="18">
        <f>SUM(Jan!D29, Feb!D29, Mar!D29)</f>
        <v>0</v>
      </c>
      <c r="E29" s="18">
        <f t="shared" si="9"/>
        <v>0</v>
      </c>
      <c r="F29" s="19" t="str">
        <f t="shared" si="10"/>
        <v/>
      </c>
      <c r="G29" s="20">
        <f>SUM(Jan!G29, Feb!G29,Mar!G29)</f>
        <v>0</v>
      </c>
      <c r="H29" s="20">
        <f>SUM(Jan!H29, Feb!H29, Mar!H29)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24">
        <f>SUM(Jan!C30, Feb!C30, Mar!C30)</f>
        <v>0</v>
      </c>
      <c r="D30" s="13">
        <f>SUM(Jan!D30, Feb!D30, Mar!D30)</f>
        <v>0</v>
      </c>
      <c r="E30" s="13">
        <f t="shared" si="9"/>
        <v>0</v>
      </c>
      <c r="F30" s="14" t="str">
        <f t="shared" si="10"/>
        <v/>
      </c>
      <c r="G30" s="15">
        <f>SUM(Jan!G30, Feb!G30, Mar!G31)</f>
        <v>0</v>
      </c>
      <c r="H30" s="15">
        <f>SUM(Jan!H30, Feb!H30, Mar!H30)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11">
        <f>SUM(Jan!C31, Feb!C31, Mar!C31)</f>
        <v>0</v>
      </c>
      <c r="D31" s="18">
        <f>SUM(Jan!D31, Feb!D31, Mar!D31)</f>
        <v>0</v>
      </c>
      <c r="E31" s="18">
        <f t="shared" si="9"/>
        <v>0</v>
      </c>
      <c r="F31" s="19" t="str">
        <f t="shared" si="10"/>
        <v/>
      </c>
      <c r="G31" s="20">
        <f>SUM(Jan!G31, Feb!G31,Mar!G31)</f>
        <v>0</v>
      </c>
      <c r="H31" s="20">
        <f>SUM(Jan!H31, Feb!H31, Mar!H31)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24">
        <f>SUM(Jan!C32, Feb!C32, Mar!C32)</f>
        <v>0</v>
      </c>
      <c r="D32" s="13">
        <f>SUM(Jan!D32, Feb!D32, Mar!D32)</f>
        <v>0</v>
      </c>
      <c r="E32" s="13">
        <f t="shared" si="9"/>
        <v>0</v>
      </c>
      <c r="F32" s="14" t="str">
        <f t="shared" si="10"/>
        <v/>
      </c>
      <c r="G32" s="15">
        <f>SUM(Jan!G32, Feb!G32, Mar!G33)</f>
        <v>0</v>
      </c>
      <c r="H32" s="15">
        <f>SUM(Jan!H32, Feb!H32, Mar!H32)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11">
        <f>SUM(Jan!C33, Feb!C33, Mar!C33)</f>
        <v>0</v>
      </c>
      <c r="D33" s="18">
        <f>SUM(Jan!D33, Feb!D33, Mar!D33)</f>
        <v>0</v>
      </c>
      <c r="E33" s="18">
        <f t="shared" si="9"/>
        <v>0</v>
      </c>
      <c r="F33" s="19" t="str">
        <f t="shared" si="10"/>
        <v/>
      </c>
      <c r="G33" s="20">
        <f>SUM(Jan!G33, Feb!G33,Mar!G33)</f>
        <v>0</v>
      </c>
      <c r="H33" s="20">
        <f>SUM(Jan!H33, Feb!H33, Mar!H33)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24">
        <f>SUM(Jan!C34, Feb!C34, Mar!C34)</f>
        <v>0</v>
      </c>
      <c r="D34" s="13">
        <f>SUM(Jan!D34, Feb!D34, Mar!D34)</f>
        <v>0</v>
      </c>
      <c r="E34" s="13">
        <f t="shared" si="9"/>
        <v>0</v>
      </c>
      <c r="F34" s="14" t="str">
        <f t="shared" si="10"/>
        <v/>
      </c>
      <c r="G34" s="15">
        <f>SUM(Jan!G34, Feb!G34, Mar!G35)</f>
        <v>0</v>
      </c>
      <c r="H34" s="15">
        <f>SUM(Jan!H34, Feb!H34, Mar!H34)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11">
        <f>SUM(Jan!C35, Feb!C35, Mar!C35)</f>
        <v>0</v>
      </c>
      <c r="D35" s="18">
        <f>SUM(Jan!D35, Feb!D35, Mar!D35)</f>
        <v>0</v>
      </c>
      <c r="E35" s="18">
        <f t="shared" si="9"/>
        <v>0</v>
      </c>
      <c r="F35" s="19" t="str">
        <f t="shared" si="10"/>
        <v/>
      </c>
      <c r="G35" s="20">
        <f>SUM(Jan!G35, Feb!G35,Mar!G35)</f>
        <v>0</v>
      </c>
      <c r="H35" s="20">
        <f>SUM(Jan!H35, Feb!H35, Mar!H35)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24">
        <f>SUM(Jan!C36, Feb!C36, Mar!C36)</f>
        <v>0</v>
      </c>
      <c r="D36" s="13">
        <f>SUM(Jan!D36, Feb!D36, Mar!D36)</f>
        <v>0</v>
      </c>
      <c r="E36" s="13">
        <f t="shared" si="9"/>
        <v>0</v>
      </c>
      <c r="F36" s="14" t="str">
        <f t="shared" si="10"/>
        <v/>
      </c>
      <c r="G36" s="15">
        <f>SUM(Jan!G36, Feb!G36, Mar!G37)</f>
        <v>0</v>
      </c>
      <c r="H36" s="15">
        <f>SUM(Jan!H36, Feb!H36, Mar!H36)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11">
        <f>SUM(Jan!C37, Feb!C37, Mar!C37)</f>
        <v>0</v>
      </c>
      <c r="D37" s="18">
        <f>SUM(Jan!D37, Feb!D37, Mar!D37)</f>
        <v>0</v>
      </c>
      <c r="E37" s="18">
        <f t="shared" si="9"/>
        <v>0</v>
      </c>
      <c r="F37" s="19" t="str">
        <f t="shared" si="10"/>
        <v/>
      </c>
      <c r="G37" s="20">
        <f>SUM(Jan!G37, Feb!G37,Mar!G37)</f>
        <v>0</v>
      </c>
      <c r="H37" s="20">
        <f>SUM(Jan!H37, Feb!H37, Mar!H37)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9"/>
        <v>0</v>
      </c>
      <c r="F38" s="14" t="str">
        <f t="shared" si="10"/>
        <v/>
      </c>
      <c r="G38" s="15">
        <f>SUM(Jan!G38, Feb!G38, Mar!G39)</f>
        <v>0</v>
      </c>
      <c r="H38" s="15">
        <f>SUM(Jan!H38, Feb!H38, Mar!H38)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11">
        <f>SUM(Jan!C39, Feb!C39, Mar!C39)</f>
        <v>0</v>
      </c>
      <c r="D39" s="18">
        <f>SUM(Jan!D39, Feb!D39, Mar!D39)</f>
        <v>0</v>
      </c>
      <c r="E39" s="18">
        <f t="shared" si="9"/>
        <v>0</v>
      </c>
      <c r="F39" s="19" t="str">
        <f t="shared" si="10"/>
        <v/>
      </c>
      <c r="G39" s="20">
        <f>SUM(Jan!G39, Feb!G39,Mar!G39)</f>
        <v>0</v>
      </c>
      <c r="H39" s="20">
        <f>SUM(Jan!H39, Feb!H39, Mar!H39)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9"/>
        <v>0</v>
      </c>
      <c r="F40" s="14" t="str">
        <f t="shared" si="10"/>
        <v/>
      </c>
      <c r="G40" s="15">
        <f>SUM(Jan!G40, Feb!G40, Mar!G41)</f>
        <v>0</v>
      </c>
      <c r="H40" s="15">
        <f>SUM(Jan!H40, Feb!H40, Mar!H40)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11">
        <f>SUM(Jan!C41, Feb!C41, Mar!C41)</f>
        <v>0</v>
      </c>
      <c r="D41" s="18">
        <f>SUM(Jan!D41, Feb!D41, Mar!D41)</f>
        <v>0</v>
      </c>
      <c r="E41" s="18">
        <f t="shared" si="9"/>
        <v>0</v>
      </c>
      <c r="F41" s="19" t="str">
        <f t="shared" si="10"/>
        <v/>
      </c>
      <c r="G41" s="20">
        <f>SUM(Jan!G41, Feb!G41,Mar!G41)</f>
        <v>0</v>
      </c>
      <c r="H41" s="20">
        <f>SUM(Jan!H41, Feb!H41, Mar!H41)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24">
        <f>SUM(Jan!C42, Feb!C42, Mar!C42)</f>
        <v>0</v>
      </c>
      <c r="D42" s="13">
        <f>SUM(Jan!D42, Feb!D42, Mar!D42)</f>
        <v>0</v>
      </c>
      <c r="E42" s="13">
        <f t="shared" si="9"/>
        <v>0</v>
      </c>
      <c r="F42" s="14" t="str">
        <f t="shared" si="10"/>
        <v/>
      </c>
      <c r="G42" s="15">
        <f>SUM(Jan!G42, Feb!G42, Mar!G43)</f>
        <v>0</v>
      </c>
      <c r="H42" s="15">
        <f>SUM(Jan!H42, Feb!H42, Mar!H42)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11">
        <f>SUM(Jan!C43, Feb!C43, Mar!C43)</f>
        <v>0</v>
      </c>
      <c r="D43" s="18">
        <f>SUM(Jan!D43, Feb!D43, Mar!D43)</f>
        <v>0</v>
      </c>
      <c r="E43" s="18">
        <f t="shared" si="9"/>
        <v>0</v>
      </c>
      <c r="F43" s="19" t="str">
        <f t="shared" si="10"/>
        <v/>
      </c>
      <c r="G43" s="20">
        <f>SUM(Jan!G43, Feb!G43,Mar!G43)</f>
        <v>0</v>
      </c>
      <c r="H43" s="20">
        <f>SUM(Jan!H43, Feb!H43, Mar!H43)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24">
        <f>SUM(Jan!C44, Feb!C44, Mar!C44)</f>
        <v>0</v>
      </c>
      <c r="D44" s="13">
        <f>SUM(Jan!D44, Feb!D44, Mar!D44)</f>
        <v>0</v>
      </c>
      <c r="E44" s="13">
        <f t="shared" si="9"/>
        <v>0</v>
      </c>
      <c r="F44" s="14" t="str">
        <f t="shared" si="10"/>
        <v/>
      </c>
      <c r="G44" s="15">
        <f>SUM(Jan!G44, Feb!G44, Mar!G45)</f>
        <v>0</v>
      </c>
      <c r="H44" s="15">
        <f>SUM(Jan!H44, Feb!H44, Mar!H44)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11">
        <f>SUM(Jan!C45, Feb!C45, Mar!C45)</f>
        <v>0</v>
      </c>
      <c r="D45" s="18">
        <f>SUM(Jan!D45, Feb!D45, Mar!D45)</f>
        <v>0</v>
      </c>
      <c r="E45" s="18">
        <f t="shared" si="9"/>
        <v>0</v>
      </c>
      <c r="F45" s="19" t="str">
        <f t="shared" si="10"/>
        <v/>
      </c>
      <c r="G45" s="20">
        <f>SUM(Jan!G45, Feb!G45,Mar!G45)</f>
        <v>0</v>
      </c>
      <c r="H45" s="20">
        <f>SUM(Jan!H45, Feb!H45, Mar!H45)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24">
        <f>SUM(Jan!C46, Feb!C46, Mar!C46)</f>
        <v>0</v>
      </c>
      <c r="D46" s="13">
        <f>SUM(Jan!D46, Feb!D46, Mar!D46)</f>
        <v>0</v>
      </c>
      <c r="E46" s="13">
        <f t="shared" si="9"/>
        <v>0</v>
      </c>
      <c r="F46" s="14" t="str">
        <f t="shared" si="10"/>
        <v/>
      </c>
      <c r="G46" s="15">
        <f>SUM(Jan!G46, Feb!G46, Mar!G47)</f>
        <v>0</v>
      </c>
      <c r="H46" s="15">
        <f>SUM(Jan!H46, Feb!H46, Mar!H46)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11">
        <f>SUM(Jan!C47, Feb!C47, Mar!C47)</f>
        <v>0</v>
      </c>
      <c r="D47" s="18">
        <f>SUM(Jan!D47, Feb!D47, Mar!D47)</f>
        <v>0</v>
      </c>
      <c r="E47" s="18">
        <f t="shared" si="9"/>
        <v>0</v>
      </c>
      <c r="F47" s="19" t="str">
        <f t="shared" si="10"/>
        <v/>
      </c>
      <c r="G47" s="20">
        <f>SUM(Jan!G47, Feb!G47,Mar!G47)</f>
        <v>0</v>
      </c>
      <c r="H47" s="20">
        <f>SUM(Jan!H47, Feb!H47, Mar!H47)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24">
        <f>SUM(Jan!C48, Feb!C48, Mar!C48)</f>
        <v>0</v>
      </c>
      <c r="D48" s="13">
        <f>SUM(Jan!D48, Feb!D48, Mar!D48)</f>
        <v>0</v>
      </c>
      <c r="E48" s="13">
        <f t="shared" si="9"/>
        <v>0</v>
      </c>
      <c r="F48" s="14" t="str">
        <f t="shared" si="10"/>
        <v/>
      </c>
      <c r="G48" s="15">
        <f>SUM(Jan!G48, Feb!G48, Mar!G49)</f>
        <v>0</v>
      </c>
      <c r="H48" s="15">
        <f>SUM(Jan!H48, Feb!H48, Mar!H48)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11">
        <f>SUM(Jan!C49, Feb!C49, Mar!C49)</f>
        <v>0</v>
      </c>
      <c r="D49" s="18">
        <f>SUM(Jan!D49, Feb!D49, Mar!D49)</f>
        <v>0</v>
      </c>
      <c r="E49" s="18">
        <f t="shared" si="9"/>
        <v>0</v>
      </c>
      <c r="F49" s="19" t="str">
        <f t="shared" si="10"/>
        <v/>
      </c>
      <c r="G49" s="20">
        <f>SUM(Jan!G49, Feb!G49,Mar!G49)</f>
        <v>0</v>
      </c>
      <c r="H49" s="20">
        <f>SUM(Jan!H49, Feb!H49, Mar!H49)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24">
        <f>SUM(Jan!C50, Feb!C50, Mar!C50)</f>
        <v>0</v>
      </c>
      <c r="D50" s="13">
        <f>SUM(Jan!D50, Feb!D50, Mar!D50)</f>
        <v>0</v>
      </c>
      <c r="E50" s="13">
        <f t="shared" si="9"/>
        <v>0</v>
      </c>
      <c r="F50" s="14" t="str">
        <f t="shared" si="10"/>
        <v/>
      </c>
      <c r="G50" s="15">
        <f>SUM(Jan!G50, Feb!G50, Mar!G51)</f>
        <v>0</v>
      </c>
      <c r="H50" s="15">
        <f>SUM(Jan!H50, Feb!H50, Mar!H50)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11">
        <f>SUM(Jan!C51, Feb!C51, Mar!C51)</f>
        <v>0</v>
      </c>
      <c r="D51" s="18">
        <f>SUM(Jan!D51, Feb!D51, Mar!D51)</f>
        <v>0</v>
      </c>
      <c r="E51" s="18">
        <f t="shared" si="9"/>
        <v>0</v>
      </c>
      <c r="F51" s="19" t="str">
        <f t="shared" si="10"/>
        <v/>
      </c>
      <c r="G51" s="20">
        <f>SUM(Jan!G51, Feb!G51,Mar!G51)</f>
        <v>0</v>
      </c>
      <c r="H51" s="20">
        <f>SUM(Jan!H51, Feb!H51, Mar!H51)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24">
        <f>SUM(Jan!C52, Feb!C52, Mar!C52)</f>
        <v>0</v>
      </c>
      <c r="D52" s="13">
        <f>SUM(Jan!D52, Feb!D52, Mar!D52)</f>
        <v>0</v>
      </c>
      <c r="E52" s="13">
        <f t="shared" si="9"/>
        <v>0</v>
      </c>
      <c r="F52" s="14" t="str">
        <f t="shared" si="10"/>
        <v/>
      </c>
      <c r="G52" s="15">
        <f>SUM(Jan!G52, Feb!G52, Mar!G53)</f>
        <v>0</v>
      </c>
      <c r="H52" s="15">
        <f>SUM(Jan!H52, Feb!H52, Mar!H52)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11">
        <f>SUM(Jan!C53, Feb!C53, Mar!C53)</f>
        <v>0</v>
      </c>
      <c r="D53" s="18">
        <f>SUM(Jan!D53, Feb!D53, Mar!D53)</f>
        <v>0</v>
      </c>
      <c r="E53" s="18">
        <f t="shared" si="9"/>
        <v>0</v>
      </c>
      <c r="F53" s="19" t="str">
        <f t="shared" si="10"/>
        <v/>
      </c>
      <c r="G53" s="20">
        <f>SUM(Jan!G53, Feb!G53,Mar!G53)</f>
        <v>0</v>
      </c>
      <c r="H53" s="20">
        <f>SUM(Jan!H53, Feb!H53, Mar!H53)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24">
        <f>SUM(Jan!C54, Feb!C54, Mar!C54)</f>
        <v>0</v>
      </c>
      <c r="D54" s="13">
        <f>SUM(Jan!D54, Feb!D54, Mar!D54)</f>
        <v>0</v>
      </c>
      <c r="E54" s="13">
        <f t="shared" si="9"/>
        <v>0</v>
      </c>
      <c r="F54" s="14" t="str">
        <f t="shared" si="10"/>
        <v/>
      </c>
      <c r="G54" s="15">
        <f>SUM(Jan!G54, Feb!G54, Mar!G55)</f>
        <v>0</v>
      </c>
      <c r="H54" s="15">
        <f>SUM(Jan!H54, Feb!H54, Mar!H54)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11">
        <f>SUM(Jan!C55, Feb!C55, Mar!C55)</f>
        <v>0</v>
      </c>
      <c r="D55" s="18">
        <f>SUM(Jan!D55, Feb!D55, Mar!D55)</f>
        <v>0</v>
      </c>
      <c r="E55" s="18">
        <f t="shared" si="9"/>
        <v>0</v>
      </c>
      <c r="F55" s="19" t="str">
        <f t="shared" si="10"/>
        <v/>
      </c>
      <c r="G55" s="20">
        <f>SUM(Jan!G55, Feb!G55,Mar!G55)</f>
        <v>0</v>
      </c>
      <c r="H55" s="20">
        <f>SUM(Jan!H55, Feb!H55, Mar!H55)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24">
        <f>SUM(Jan!C56, Feb!C56, Mar!C56)</f>
        <v>0</v>
      </c>
      <c r="D56" s="13">
        <f>SUM(Jan!D56, Feb!D56, Mar!D56)</f>
        <v>0</v>
      </c>
      <c r="E56" s="13">
        <f t="shared" si="9"/>
        <v>0</v>
      </c>
      <c r="F56" s="14" t="str">
        <f t="shared" si="10"/>
        <v/>
      </c>
      <c r="G56" s="15">
        <f>SUM(Jan!G56, Feb!G56, Mar!G57)</f>
        <v>0</v>
      </c>
      <c r="H56" s="15">
        <f>SUM(Jan!H56, Feb!H56, Mar!H56)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11">
        <f>SUM(Jan!C57, Feb!C57, Mar!C57)</f>
        <v>0</v>
      </c>
      <c r="D57" s="18">
        <f>SUM(Jan!D57, Feb!D57, Mar!D57)</f>
        <v>0</v>
      </c>
      <c r="E57" s="18">
        <f t="shared" si="9"/>
        <v>0</v>
      </c>
      <c r="F57" s="19" t="str">
        <f t="shared" si="10"/>
        <v/>
      </c>
      <c r="G57" s="20">
        <f>SUM(Jan!G57, Feb!G57,Mar!G57)</f>
        <v>0</v>
      </c>
      <c r="H57" s="20">
        <f>SUM(Jan!H57, Feb!H57, Mar!H57)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24">
        <f>SUM(Jan!C58, Feb!C58, Mar!C58)</f>
        <v>0</v>
      </c>
      <c r="D58" s="13">
        <f>SUM(Jan!D58, Feb!D58, Mar!D58)</f>
        <v>0</v>
      </c>
      <c r="E58" s="13">
        <f t="shared" si="9"/>
        <v>0</v>
      </c>
      <c r="F58" s="14" t="str">
        <f t="shared" si="10"/>
        <v/>
      </c>
      <c r="G58" s="15">
        <f>SUM(Jan!G58, Feb!G58, Mar!G59)</f>
        <v>0</v>
      </c>
      <c r="H58" s="15">
        <f>SUM(Jan!H58, Feb!H58, Mar!H58)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11">
        <f>SUM(Jan!C59, Feb!C59, Mar!C59)</f>
        <v>0</v>
      </c>
      <c r="D59" s="18">
        <f>SUM(Jan!D59, Feb!D59, Mar!D59)</f>
        <v>0</v>
      </c>
      <c r="E59" s="18">
        <f t="shared" si="9"/>
        <v>0</v>
      </c>
      <c r="F59" s="19" t="str">
        <f t="shared" si="10"/>
        <v/>
      </c>
      <c r="G59" s="20">
        <f>SUM(Jan!G59, Feb!G59,Mar!G59)</f>
        <v>0</v>
      </c>
      <c r="H59" s="20">
        <f>SUM(Jan!H59, Feb!H59, Mar!H59)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24">
        <f>SUM(Jan!C60, Feb!C60, Mar!C60)</f>
        <v>0</v>
      </c>
      <c r="D60" s="13">
        <f>SUM(Jan!D60, Feb!D60, Mar!D60)</f>
        <v>0</v>
      </c>
      <c r="E60" s="13">
        <f t="shared" si="9"/>
        <v>0</v>
      </c>
      <c r="F60" s="14" t="str">
        <f t="shared" si="10"/>
        <v/>
      </c>
      <c r="G60" s="15">
        <f>SUM(Jan!G60, Feb!G60, Mar!G61)</f>
        <v>0</v>
      </c>
      <c r="H60" s="15">
        <f>SUM(Jan!H60, Feb!H60, Mar!H60)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11">
        <f>SUM(Jan!C61, Feb!C61, Mar!C61)</f>
        <v>0</v>
      </c>
      <c r="D61" s="18">
        <f>SUM(Jan!D61, Feb!D61, Mar!D61)</f>
        <v>0</v>
      </c>
      <c r="E61" s="18">
        <f t="shared" si="9"/>
        <v>0</v>
      </c>
      <c r="F61" s="19" t="str">
        <f t="shared" si="10"/>
        <v/>
      </c>
      <c r="G61" s="20">
        <f>SUM(Jan!G61, Feb!G61,Mar!G61)</f>
        <v>0</v>
      </c>
      <c r="H61" s="20">
        <f>SUM(Jan!H61, Feb!H61, Mar!H61)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24">
        <f>SUM(Jan!C62, Feb!C62, Mar!C62)</f>
        <v>0</v>
      </c>
      <c r="D62" s="13">
        <f>SUM(Jan!D62, Feb!D62, Mar!D62)</f>
        <v>0</v>
      </c>
      <c r="E62" s="13">
        <f t="shared" si="9"/>
        <v>0</v>
      </c>
      <c r="F62" s="14" t="str">
        <f t="shared" si="10"/>
        <v/>
      </c>
      <c r="G62" s="15">
        <f>SUM(Jan!G62, Feb!G62, Mar!G63)</f>
        <v>0</v>
      </c>
      <c r="H62" s="15">
        <f>SUM(Jan!H62, Feb!H62, Mar!H62)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11">
        <f>SUM(Jan!C63, Feb!C63, Mar!C63)</f>
        <v>0</v>
      </c>
      <c r="D63" s="18">
        <f>SUM(Jan!D63, Feb!D63, Mar!D63)</f>
        <v>0</v>
      </c>
      <c r="E63" s="18">
        <f t="shared" si="9"/>
        <v>0</v>
      </c>
      <c r="F63" s="19" t="str">
        <f t="shared" si="10"/>
        <v/>
      </c>
      <c r="G63" s="20">
        <f>SUM(Jan!G63, Feb!G63,Mar!G63)</f>
        <v>0</v>
      </c>
      <c r="H63" s="20">
        <f>SUM(Jan!H63, Feb!H63, Mar!H63)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24">
        <f>SUM(Jan!C64, Feb!C64, Mar!C64)</f>
        <v>0</v>
      </c>
      <c r="D64" s="13">
        <f>SUM(Jan!D64, Feb!D64, Mar!D64)</f>
        <v>0</v>
      </c>
      <c r="E64" s="13">
        <f t="shared" si="9"/>
        <v>0</v>
      </c>
      <c r="F64" s="14" t="str">
        <f t="shared" si="10"/>
        <v/>
      </c>
      <c r="G64" s="15">
        <f>SUM(Jan!G64, Feb!G64, Mar!G65)</f>
        <v>0</v>
      </c>
      <c r="H64" s="15">
        <f>SUM(Jan!H64, Feb!H64, Mar!H64)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11">
        <f>SUM(Jan!C65, Feb!C65, Mar!C65)</f>
        <v>0</v>
      </c>
      <c r="D65" s="18">
        <f>SUM(Jan!D65, Feb!D65, Mar!D65)</f>
        <v>0</v>
      </c>
      <c r="E65" s="18">
        <f t="shared" si="9"/>
        <v>0</v>
      </c>
      <c r="F65" s="19" t="str">
        <f t="shared" si="10"/>
        <v/>
      </c>
      <c r="G65" s="20">
        <f>SUM(Jan!G65, Feb!G65,Mar!G65)</f>
        <v>0</v>
      </c>
      <c r="H65" s="20">
        <f>SUM(Jan!H65, Feb!H65, Mar!H65)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24">
        <f>SUM(Jan!C66, Feb!C66, Mar!C66)</f>
        <v>0</v>
      </c>
      <c r="D66" s="13">
        <f>SUM(Jan!D66, Feb!D66, Mar!D66)</f>
        <v>0</v>
      </c>
      <c r="E66" s="13">
        <f t="shared" si="9"/>
        <v>0</v>
      </c>
      <c r="F66" s="14" t="str">
        <f t="shared" si="10"/>
        <v/>
      </c>
      <c r="G66" s="15">
        <f>SUM(Jan!G66, Feb!G66, Mar!G67)</f>
        <v>0</v>
      </c>
      <c r="H66" s="15">
        <f>SUM(Jan!H66, Feb!H66, Mar!H66)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11">
        <f>SUM(Jan!C67, Feb!C67, Mar!C67)</f>
        <v>0</v>
      </c>
      <c r="D67" s="18">
        <f>SUM(Jan!D67, Feb!D67, Mar!D67)</f>
        <v>0</v>
      </c>
      <c r="E67" s="18">
        <f t="shared" si="9"/>
        <v>0</v>
      </c>
      <c r="F67" s="19" t="str">
        <f t="shared" si="10"/>
        <v/>
      </c>
      <c r="G67" s="20">
        <f>SUM(Jan!G67, Feb!G67,Mar!G67)</f>
        <v>0</v>
      </c>
      <c r="H67" s="20">
        <f>SUM(Jan!H67, Feb!H67, Mar!H67)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24">
        <f>SUM(Jan!C68, Feb!C68, Mar!C68)</f>
        <v>0</v>
      </c>
      <c r="D68" s="13">
        <f>SUM(Jan!D68, Feb!D68, Mar!D68)</f>
        <v>0</v>
      </c>
      <c r="E68" s="13">
        <f t="shared" si="9"/>
        <v>0</v>
      </c>
      <c r="F68" s="14" t="str">
        <f t="shared" si="10"/>
        <v/>
      </c>
      <c r="G68" s="15">
        <f>SUM(Jan!G68, Feb!G68, Mar!G69)</f>
        <v>0</v>
      </c>
      <c r="H68" s="15">
        <f>SUM(Jan!H68, Feb!H68, Mar!H68)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38" activePane="bottomRight" state="frozen"/>
      <selection pane="bottomRight" activeCell="D65" sqref="D6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Silicon Ranch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SUM(C4:C100)</f>
        <v>3213988.8</v>
      </c>
      <c r="D2" s="5">
        <f>SUM(D4:D100)</f>
        <v>0</v>
      </c>
      <c r="E2" s="5">
        <f>C2-D2</f>
        <v>3213988.8</v>
      </c>
      <c r="F2" s="6">
        <f>IFERROR(E2/D2, 0)</f>
        <v>0</v>
      </c>
      <c r="G2" s="5">
        <f>SUM(G4:G100)</f>
        <v>3634080.2349999999</v>
      </c>
      <c r="H2" s="7">
        <f>C2-G2</f>
        <v>-420091.43500000006</v>
      </c>
      <c r="I2" s="6">
        <f>IFERROR(H2/G2, 0)</f>
        <v>-0.11559773253052573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SUM(Apr!C4, May!C4, Jun!C4)</f>
        <v>102274</v>
      </c>
      <c r="D4" s="13">
        <f>SUM(Apr!D4, May!D4, Jun!D4)</f>
        <v>0</v>
      </c>
      <c r="E4" s="13">
        <f>IF(AND(ISNUMBER(C4),ISNUMBER(D4)), C4-D4, "")</f>
        <v>102274</v>
      </c>
      <c r="F4" s="14" t="str">
        <f>IFERROR(E4/D4, "")</f>
        <v/>
      </c>
      <c r="G4" s="15">
        <f>SUM(Apr!G4, May!G4, Jun!G4)</f>
        <v>102351.26000000001</v>
      </c>
      <c r="H4" s="15">
        <f>SUM(Apr!H4, May!H4, Jun!H4)</f>
        <v>-77.260000000002037</v>
      </c>
      <c r="I4" s="16">
        <f>IFERROR(H4/G4, "")</f>
        <v>-7.5485147911224571E-4</v>
      </c>
    </row>
    <row r="5" spans="1:9" ht="15.75">
      <c r="A5" s="49" t="str">
        <v>Kohls - Auburn</v>
      </c>
      <c r="B5" s="10" t="str">
        <v>NY</v>
      </c>
      <c r="C5" s="11">
        <f>SUM(Apr!C5, May!C5, Jun!C5)</f>
        <v>108468</v>
      </c>
      <c r="D5" s="18">
        <f>SUM(Apr!D5, May!D5, Jun!D5)</f>
        <v>0</v>
      </c>
      <c r="E5" s="18">
        <f t="shared" ref="E5:E15" si="0">IF(AND(ISNUMBER(C5),ISNUMBER(D5)), C5-D5, "")</f>
        <v>108468</v>
      </c>
      <c r="F5" s="19" t="str">
        <f>IFERROR(E5/D5, "")</f>
        <v/>
      </c>
      <c r="G5" s="20">
        <f>SUM(Apr!G5, May!G5, Jun!G5)</f>
        <v>123949.89000000001</v>
      </c>
      <c r="H5" s="20">
        <f>SUM(Apr!H5, May!H5, Jun!H5)</f>
        <v>-15481.89</v>
      </c>
      <c r="I5" s="19">
        <f>IFERROR(H5/G5, "")</f>
        <v>-0.12490442710356578</v>
      </c>
    </row>
    <row r="6" spans="1:9" ht="15.75">
      <c r="A6" s="48" t="str">
        <v>Kohls - Bensalem</v>
      </c>
      <c r="B6" s="9" t="str">
        <v>PA</v>
      </c>
      <c r="C6" s="24">
        <f>SUM(Apr!C6, May!C6, Jun!C6)</f>
        <v>121398</v>
      </c>
      <c r="D6" s="13">
        <f>SUM(Apr!D6, May!D6, Jun!D6)</f>
        <v>0</v>
      </c>
      <c r="E6" s="13">
        <f t="shared" si="0"/>
        <v>121398</v>
      </c>
      <c r="F6" s="14" t="str">
        <f t="shared" ref="F6:F15" si="1">IFERROR(E6/D6, "")</f>
        <v/>
      </c>
      <c r="G6" s="15">
        <f>SUM(Apr!G6, May!G6, Jun!G6)</f>
        <v>111075.04999999999</v>
      </c>
      <c r="H6" s="15">
        <f>SUM(Apr!H6, May!H6, Jun!H6)</f>
        <v>10322.950000000004</v>
      </c>
      <c r="I6" s="16">
        <f t="shared" ref="I6:I15" si="2">IFERROR(H6/G6, "")</f>
        <v>9.2936712610077646E-2</v>
      </c>
    </row>
    <row r="7" spans="1:9" ht="15.75">
      <c r="A7" s="49" t="str">
        <v>Kohls - Brick</v>
      </c>
      <c r="B7" s="10" t="str">
        <v>NJ</v>
      </c>
      <c r="C7" s="11">
        <f>SUM(Apr!C7, May!C7, Jun!C7)</f>
        <v>136988</v>
      </c>
      <c r="D7" s="18">
        <f>SUM(Apr!D7, May!D7, Jun!D7)</f>
        <v>0</v>
      </c>
      <c r="E7" s="18">
        <f t="shared" si="0"/>
        <v>136988</v>
      </c>
      <c r="F7" s="19" t="str">
        <f t="shared" si="1"/>
        <v/>
      </c>
      <c r="G7" s="20">
        <f>SUM(Apr!G7, May!G7, Jun!G7)</f>
        <v>135010.68</v>
      </c>
      <c r="H7" s="20">
        <f>SUM(Apr!H7, May!H7, Jun!H7)</f>
        <v>1977.320000000007</v>
      </c>
      <c r="I7" s="19">
        <f t="shared" si="2"/>
        <v>1.4645656180681463E-2</v>
      </c>
    </row>
    <row r="8" spans="1:9" ht="15.75">
      <c r="A8" s="48" t="str">
        <v>Kohls - Buffalo</v>
      </c>
      <c r="B8" s="9" t="str">
        <v>NY</v>
      </c>
      <c r="C8" s="24">
        <f>SUM(Apr!C8, May!C8, Jun!C8)</f>
        <v>118377</v>
      </c>
      <c r="D8" s="13">
        <f>SUM(Apr!D8, May!D8, Jun!D8)</f>
        <v>0</v>
      </c>
      <c r="E8" s="13">
        <f t="shared" si="0"/>
        <v>118377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-28737.18</v>
      </c>
      <c r="I8" s="16">
        <f t="shared" si="2"/>
        <v>-0.19533929360174526</v>
      </c>
    </row>
    <row r="9" spans="1:9" ht="15.75">
      <c r="A9" s="49" t="str">
        <v>Kohls - Canton</v>
      </c>
      <c r="B9" s="10" t="str">
        <v>CT</v>
      </c>
      <c r="C9" s="11">
        <f>SUM(Apr!C9, May!C9, Jun!C9)</f>
        <v>50060</v>
      </c>
      <c r="D9" s="18">
        <f>SUM(Apr!D9, May!D9, Jun!D9)</f>
        <v>0</v>
      </c>
      <c r="E9" s="18">
        <f t="shared" si="0"/>
        <v>50060</v>
      </c>
      <c r="F9" s="19" t="str">
        <f t="shared" si="1"/>
        <v/>
      </c>
      <c r="G9" s="20">
        <f>SUM(Apr!G9, May!G9, Jun!G9)</f>
        <v>45736.67</v>
      </c>
      <c r="H9" s="20">
        <f>SUM(Apr!H9, May!H9, Jun!H9)</f>
        <v>4323.33</v>
      </c>
      <c r="I9" s="19">
        <f t="shared" si="2"/>
        <v>9.4526558229971705E-2</v>
      </c>
    </row>
    <row r="10" spans="1:9" ht="15.75">
      <c r="A10" s="48" t="str">
        <v>Kohls - East Amherst</v>
      </c>
      <c r="B10" s="9" t="str">
        <v>NY</v>
      </c>
      <c r="C10" s="24">
        <f>SUM(Apr!C10, May!C10, Jun!C10)</f>
        <v>121268</v>
      </c>
      <c r="D10" s="13">
        <f>SUM(Apr!D10, May!D10, Jun!D10)</f>
        <v>0</v>
      </c>
      <c r="E10" s="13">
        <f t="shared" si="0"/>
        <v>121268</v>
      </c>
      <c r="F10" s="14" t="str">
        <f t="shared" si="1"/>
        <v/>
      </c>
      <c r="G10" s="15">
        <f>SUM(Apr!G10, May!G10, Jun!G10)</f>
        <v>131248.74</v>
      </c>
      <c r="H10" s="15">
        <f>SUM(Apr!H10, May!H10, Jun!H10)</f>
        <v>-9980.739999999998</v>
      </c>
      <c r="I10" s="16">
        <f t="shared" si="2"/>
        <v>-7.6044463360181586E-2</v>
      </c>
    </row>
    <row r="11" spans="1:9" ht="15.75">
      <c r="A11" s="49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0</v>
      </c>
      <c r="E11" s="18">
        <f t="shared" si="0"/>
        <v>125982</v>
      </c>
      <c r="F11" s="19" t="str">
        <f t="shared" si="1"/>
        <v/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75">
      <c r="A12" s="48" t="str">
        <v>Kohls - Edgewood</v>
      </c>
      <c r="B12" s="9" t="str">
        <v>MD</v>
      </c>
      <c r="C12" s="24">
        <f>SUM(Apr!C12, May!C12, Jun!C12)</f>
        <v>747904</v>
      </c>
      <c r="D12" s="13">
        <f>SUM(Apr!D12, May!D12, Jun!D12)</f>
        <v>0</v>
      </c>
      <c r="E12" s="13">
        <f t="shared" si="0"/>
        <v>747904</v>
      </c>
      <c r="F12" s="14" t="str">
        <f t="shared" si="1"/>
        <v/>
      </c>
      <c r="G12" s="15">
        <f>SUM(Apr!G12, May!G12, Jun!G12)</f>
        <v>923709.28</v>
      </c>
      <c r="H12" s="15">
        <f>SUM(Apr!H12, May!H12, Jun!H12)</f>
        <v>-175805.28000000003</v>
      </c>
      <c r="I12" s="16">
        <f t="shared" si="2"/>
        <v>-0.19032533699347484</v>
      </c>
    </row>
    <row r="13" spans="1:9" ht="15.75">
      <c r="A13" s="49" t="str">
        <v>Kohls - Granite Run</v>
      </c>
      <c r="B13" s="10" t="str">
        <v>PA</v>
      </c>
      <c r="C13" s="11">
        <f>SUM(Apr!C13, May!C13, Jun!C13)</f>
        <v>113938</v>
      </c>
      <c r="D13" s="18">
        <f>SUM(Apr!D13, May!D13, Jun!D13)</f>
        <v>0</v>
      </c>
      <c r="E13" s="18">
        <f t="shared" si="0"/>
        <v>113938</v>
      </c>
      <c r="F13" s="19" t="str">
        <f t="shared" si="1"/>
        <v/>
      </c>
      <c r="G13" s="20">
        <f>SUM(Apr!G13, May!G13, Jun!G13)</f>
        <v>110743.92000000001</v>
      </c>
      <c r="H13" s="20">
        <f>SUM(Apr!H13, May!H13, Jun!H13)</f>
        <v>3194.0800000000017</v>
      </c>
      <c r="I13" s="19">
        <f t="shared" si="2"/>
        <v>2.8842034849407547E-2</v>
      </c>
    </row>
    <row r="14" spans="1:9" ht="15.75">
      <c r="A14" s="48" t="str">
        <v>Kohls - Greece</v>
      </c>
      <c r="B14" s="9" t="str">
        <v>NY</v>
      </c>
      <c r="C14" s="24">
        <f>SUM(Apr!C14, May!C14, Jun!C14)</f>
        <v>106708</v>
      </c>
      <c r="D14" s="13">
        <f>SUM(Apr!D14, May!D14, Jun!D14)</f>
        <v>0</v>
      </c>
      <c r="E14" s="13">
        <f t="shared" si="0"/>
        <v>106708</v>
      </c>
      <c r="F14" s="14" t="str">
        <f t="shared" si="1"/>
        <v/>
      </c>
      <c r="G14" s="15">
        <f>SUM(Apr!G14, May!G14, Jun!G14)</f>
        <v>142210.99</v>
      </c>
      <c r="H14" s="15">
        <f>SUM(Apr!H14, May!H14, Jun!H14)</f>
        <v>-35502.99</v>
      </c>
      <c r="I14" s="16">
        <f t="shared" si="2"/>
        <v>-0.24965011494540612</v>
      </c>
    </row>
    <row r="15" spans="1:9" ht="15.75">
      <c r="A15" s="49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0</v>
      </c>
      <c r="E15" s="18">
        <f t="shared" si="0"/>
        <v>88097</v>
      </c>
      <c r="F15" s="19" t="str">
        <f t="shared" si="1"/>
        <v/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75">
      <c r="A16" s="48" t="str">
        <v>Kohls - Horsehead</v>
      </c>
      <c r="B16" s="9" t="str">
        <v>NY</v>
      </c>
      <c r="C16" s="24">
        <f>SUM(Apr!C16, May!C16, Jun!C16)</f>
        <v>94689</v>
      </c>
      <c r="D16" s="13">
        <f>SUM(Apr!D16, May!D16, Jun!D16)</f>
        <v>0</v>
      </c>
      <c r="E16" s="13">
        <f t="shared" ref="E16:E18" si="3">IF(AND(ISNUMBER(C16),ISNUMBER(D16)), C16-D16, "")</f>
        <v>94689</v>
      </c>
      <c r="F16" s="14" t="str">
        <f t="shared" ref="F16:F18" si="4">IFERROR(E16/D16, "")</f>
        <v/>
      </c>
      <c r="G16" s="15">
        <f>SUM(Apr!G16, May!G16, Jun!G16)</f>
        <v>101605.92</v>
      </c>
      <c r="H16" s="15">
        <f>SUM(Apr!H16, May!H16, Jun!H16)</f>
        <v>-6916.9200000000019</v>
      </c>
      <c r="I16" s="16">
        <f t="shared" ref="I16:I18" si="5">IFERROR(H16/G16, "")</f>
        <v>-6.8075954629415319E-2</v>
      </c>
    </row>
    <row r="17" spans="1:9" ht="15.75">
      <c r="A17" s="49" t="str">
        <v>Kohls - Hudson</v>
      </c>
      <c r="B17" s="10" t="str">
        <v>NY</v>
      </c>
      <c r="C17" s="24">
        <f>SUM(Apr!C17, May!C17, Jun!C17)</f>
        <v>112504</v>
      </c>
      <c r="D17" s="13">
        <f>SUM(Apr!D17, May!D17, Jun!D17)</f>
        <v>0</v>
      </c>
      <c r="E17" s="13">
        <f t="shared" si="3"/>
        <v>112504</v>
      </c>
      <c r="F17" s="14" t="str">
        <f t="shared" si="4"/>
        <v/>
      </c>
      <c r="G17" s="20">
        <f>SUM(Apr!G17, May!G17, Jun!G17)</f>
        <v>107972.6</v>
      </c>
      <c r="H17" s="15">
        <f>SUM(Apr!H17, May!H17, Jun!H17)</f>
        <v>4531.3999999999978</v>
      </c>
      <c r="I17" s="16">
        <f t="shared" si="5"/>
        <v>4.1968054858362192E-2</v>
      </c>
    </row>
    <row r="18" spans="1:9" ht="12.75" customHeight="1">
      <c r="A18" s="48" t="str">
        <v>Kohls - Ithaca</v>
      </c>
      <c r="B18" s="9" t="str">
        <v>NY</v>
      </c>
      <c r="C18" s="11">
        <f>SUM(Apr!C18, May!C18, Jun!C18)</f>
        <v>99773</v>
      </c>
      <c r="D18" s="18">
        <f>SUM(Apr!D18, May!D18, Jun!D18)</f>
        <v>0</v>
      </c>
      <c r="E18" s="18">
        <f t="shared" si="3"/>
        <v>99773</v>
      </c>
      <c r="F18" s="19" t="str">
        <f t="shared" si="4"/>
        <v/>
      </c>
      <c r="G18" s="15">
        <f>SUM(Apr!G18, May!G18, Jun!G18)</f>
        <v>117545.92000000001</v>
      </c>
      <c r="H18" s="20">
        <f>SUM(Apr!H18, May!H18, Jun!H18)</f>
        <v>-17772.919999999998</v>
      </c>
      <c r="I18" s="19">
        <f t="shared" si="5"/>
        <v>-0.1511998034470273</v>
      </c>
    </row>
    <row r="19" spans="1:9" ht="15.75">
      <c r="A19" s="49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0</v>
      </c>
      <c r="E19" s="13">
        <f t="shared" ref="E19:E25" si="6">IF(AND(ISNUMBER(C19),ISNUMBER(D19)), C19-D19, "")</f>
        <v>146297</v>
      </c>
      <c r="F19" s="14" t="str">
        <f t="shared" ref="F19:F25" si="7">IFERROR(E19/D19, "")</f>
        <v/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75">
      <c r="A20" s="48" t="str">
        <v>Kohls - Mechanicsburg</v>
      </c>
      <c r="B20" s="9" t="str">
        <v>PA</v>
      </c>
      <c r="C20" s="24">
        <f>SUM(Apr!C20, May!C20, Jun!C20)</f>
        <v>145569</v>
      </c>
      <c r="D20" s="13">
        <f>SUM(Apr!D20, May!D20, Jun!D20)</f>
        <v>0</v>
      </c>
      <c r="E20" s="13">
        <f t="shared" si="6"/>
        <v>145569</v>
      </c>
      <c r="F20" s="14" t="str">
        <f t="shared" si="7"/>
        <v/>
      </c>
      <c r="G20" s="15">
        <f>SUM(Apr!G20, May!G20, Jun!G20)</f>
        <v>146883.1</v>
      </c>
      <c r="H20" s="15">
        <f>SUM(Apr!H20, May!H20, Jun!H20)</f>
        <v>-1314.0999999999985</v>
      </c>
      <c r="I20" s="16">
        <f t="shared" si="8"/>
        <v>-8.9465704359453103E-3</v>
      </c>
    </row>
    <row r="21" spans="1:9" ht="15.75">
      <c r="A21" s="49" t="str">
        <v>Kohls - Middletown</v>
      </c>
      <c r="B21" s="10" t="str">
        <v>NJ</v>
      </c>
      <c r="C21" s="11">
        <f>SUM(Apr!C21, May!C21, Jun!C21)</f>
        <v>198947</v>
      </c>
      <c r="D21" s="18">
        <f>SUM(Apr!D21, May!D21, Jun!D21)</f>
        <v>0</v>
      </c>
      <c r="E21" s="18">
        <f t="shared" si="6"/>
        <v>198947</v>
      </c>
      <c r="F21" s="19" t="str">
        <f t="shared" si="7"/>
        <v/>
      </c>
      <c r="G21" s="20">
        <f>SUM(Apr!G21, May!G21, Jun!G21)</f>
        <v>205306.40000000002</v>
      </c>
      <c r="H21" s="20">
        <f>SUM(Apr!H21, May!H21, Jun!H21)</f>
        <v>-6359.4000000000015</v>
      </c>
      <c r="I21" s="19">
        <f t="shared" si="8"/>
        <v>-3.0975166872537829E-2</v>
      </c>
    </row>
    <row r="22" spans="1:9" ht="15.75">
      <c r="A22" s="48" t="str">
        <v>Kohls - North Amherst</v>
      </c>
      <c r="B22" s="9" t="str">
        <v>NY</v>
      </c>
      <c r="C22" s="24">
        <f>SUM(Apr!C22, May!C22, Jun!C22)</f>
        <v>92753</v>
      </c>
      <c r="D22" s="13">
        <f>SUM(Apr!D22, May!D22, Jun!D22)</f>
        <v>0</v>
      </c>
      <c r="E22" s="13">
        <f t="shared" si="6"/>
        <v>92753</v>
      </c>
      <c r="F22" s="14" t="str">
        <f t="shared" si="7"/>
        <v/>
      </c>
      <c r="G22" s="15">
        <f>SUM(Apr!G22, May!G22, Jun!G22)</f>
        <v>125842.19</v>
      </c>
      <c r="H22" s="15">
        <f>SUM(Apr!H22, May!H22, Jun!H22)</f>
        <v>-33089.189999999995</v>
      </c>
      <c r="I22" s="16">
        <f t="shared" si="8"/>
        <v>-0.26294194339752031</v>
      </c>
    </row>
    <row r="23" spans="1:9" ht="15.75">
      <c r="A23" s="49" t="str">
        <v>Kohls - Staten Island</v>
      </c>
      <c r="B23" s="10" t="str">
        <v>NY</v>
      </c>
      <c r="C23" s="24">
        <f>SUM(Apr!C23, May!C23, Jun!C23)</f>
        <v>114360.79999999999</v>
      </c>
      <c r="D23" s="13">
        <f>SUM(Apr!D23, May!D23, Jun!D23)</f>
        <v>0</v>
      </c>
      <c r="E23" s="13">
        <f t="shared" si="6"/>
        <v>114360.79999999999</v>
      </c>
      <c r="F23" s="14" t="str">
        <f t="shared" si="7"/>
        <v/>
      </c>
      <c r="G23" s="20">
        <f>SUM(Apr!G23, May!G23, Jun!G23)</f>
        <v>122786.03</v>
      </c>
      <c r="H23" s="15">
        <f>SUM(Apr!H23, May!H23, Jun!H23)</f>
        <v>-8425.2300000000032</v>
      </c>
      <c r="I23" s="16">
        <f t="shared" si="8"/>
        <v>-6.861717086219013E-2</v>
      </c>
    </row>
    <row r="24" spans="1:9" ht="15.75">
      <c r="A24" s="48" t="str">
        <v>Kohls - Warminster</v>
      </c>
      <c r="B24" s="9" t="str">
        <v>PA</v>
      </c>
      <c r="C24" s="11">
        <f>SUM(Apr!C24, May!C24, Jun!C24)</f>
        <v>143883</v>
      </c>
      <c r="D24" s="18">
        <f>SUM(Apr!D24, May!D24, Jun!D24)</f>
        <v>0</v>
      </c>
      <c r="E24" s="18">
        <f t="shared" si="6"/>
        <v>143883</v>
      </c>
      <c r="F24" s="19" t="str">
        <f t="shared" si="7"/>
        <v/>
      </c>
      <c r="G24" s="15">
        <f>SUM(Apr!G24, May!G24, Jun!G24)</f>
        <v>135580.82</v>
      </c>
      <c r="H24" s="20">
        <f>SUM(Apr!H24, May!H24, Jun!H24)</f>
        <v>8302.18</v>
      </c>
      <c r="I24" s="19">
        <f t="shared" si="8"/>
        <v>6.1234177518619523E-2</v>
      </c>
    </row>
    <row r="25" spans="1:9" ht="15.75">
      <c r="A25" s="49" t="str">
        <v xml:space="preserve">Kohls - Waterbury </v>
      </c>
      <c r="B25" s="10" t="str">
        <v>CT</v>
      </c>
      <c r="C25" s="24">
        <f>SUM(Apr!C25, May!C25, Jun!C25)</f>
        <v>123751</v>
      </c>
      <c r="D25" s="13">
        <f>SUM(Apr!D25, May!D25, Jun!D25)</f>
        <v>0</v>
      </c>
      <c r="E25" s="13">
        <f t="shared" si="6"/>
        <v>123751</v>
      </c>
      <c r="F25" s="14" t="str">
        <f t="shared" si="7"/>
        <v/>
      </c>
      <c r="G25" s="20">
        <f>SUM(Apr!G25, May!G25, Jun!G25)</f>
        <v>121338.25</v>
      </c>
      <c r="H25" s="15">
        <f>SUM(Apr!H25, May!H25, Jun!H25)</f>
        <v>2412.75</v>
      </c>
      <c r="I25" s="16">
        <f t="shared" si="8"/>
        <v>1.9884496438674532E-2</v>
      </c>
    </row>
    <row r="26" spans="1:9" ht="15.75">
      <c r="A26" s="48" t="str">
        <v>Mojave Water Agency - Headquarters</v>
      </c>
      <c r="B26" s="9" t="str">
        <v>CA</v>
      </c>
      <c r="C26" s="11">
        <f>SUM(Apr!C26, May!C26, Jun!C26)</f>
        <v>0</v>
      </c>
      <c r="D26" s="18">
        <f>SUM(Apr!D26, May!D26, Jun!D26)</f>
        <v>0</v>
      </c>
      <c r="E26" s="18">
        <f t="shared" ref="E26:E68" si="9">IF(AND(ISNUMBER(C26),ISNUMBER(D26)), C26-D26, "")</f>
        <v>0</v>
      </c>
      <c r="F26" s="19" t="str">
        <f t="shared" ref="F26:F68" si="10">IFERROR(E26/D26, "")</f>
        <v/>
      </c>
      <c r="G26" s="15">
        <f>SUM(Apr!G26, May!G26, Jun!G26)</f>
        <v>0</v>
      </c>
      <c r="H26" s="20">
        <f>SUM(Apr!H26, May!H26, Jun!H26)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24">
        <f>SUM(Apr!C27, May!C27, Jun!C27)</f>
        <v>0</v>
      </c>
      <c r="D27" s="13">
        <f>SUM(Apr!D27, May!D27, Jun!D27)</f>
        <v>0</v>
      </c>
      <c r="E27" s="13">
        <f t="shared" si="9"/>
        <v>0</v>
      </c>
      <c r="F27" s="14" t="str">
        <f t="shared" si="10"/>
        <v/>
      </c>
      <c r="G27" s="20">
        <f>SUM(Apr!G27, May!G27, Jun!G27)</f>
        <v>0</v>
      </c>
      <c r="H27" s="15">
        <f>SUM(Apr!H27, May!H27, Jun!H27)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11">
        <f>SUM(Apr!C28, May!C28, Jun!C28)</f>
        <v>0</v>
      </c>
      <c r="D28" s="18">
        <f>SUM(Apr!D28, May!D28, Jun!D28)</f>
        <v>0</v>
      </c>
      <c r="E28" s="18">
        <f t="shared" si="9"/>
        <v>0</v>
      </c>
      <c r="F28" s="19" t="str">
        <f t="shared" si="10"/>
        <v/>
      </c>
      <c r="G28" s="15">
        <f>SUM(Apr!G28, May!G28, Jun!G28)</f>
        <v>0</v>
      </c>
      <c r="H28" s="20">
        <f>SUM(Apr!H28, May!H28, Jun!H28)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24">
        <f>SUM(Apr!C29, May!C29, Jun!C29)</f>
        <v>0</v>
      </c>
      <c r="D29" s="13">
        <f>SUM(Apr!D29, May!D29, Jun!D29)</f>
        <v>0</v>
      </c>
      <c r="E29" s="13">
        <f t="shared" si="9"/>
        <v>0</v>
      </c>
      <c r="F29" s="14" t="str">
        <f t="shared" si="10"/>
        <v/>
      </c>
      <c r="G29" s="20">
        <f>SUM(Apr!G29, May!G29, Jun!G29)</f>
        <v>0</v>
      </c>
      <c r="H29" s="15">
        <f>SUM(Apr!H29, May!H29, Jun!H29)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11">
        <f>SUM(Apr!C30, May!C30, Jun!C30)</f>
        <v>0</v>
      </c>
      <c r="D30" s="18">
        <f>SUM(Apr!D30, May!D30, Jun!D30)</f>
        <v>0</v>
      </c>
      <c r="E30" s="18">
        <f t="shared" si="9"/>
        <v>0</v>
      </c>
      <c r="F30" s="19" t="str">
        <f t="shared" si="10"/>
        <v/>
      </c>
      <c r="G30" s="15">
        <f>SUM(Apr!G30, May!G30, Jun!G30)</f>
        <v>0</v>
      </c>
      <c r="H30" s="20">
        <f>SUM(Apr!H30, May!H30, Jun!H30)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24">
        <f>SUM(Apr!C31, May!C31, Jun!C31)</f>
        <v>0</v>
      </c>
      <c r="D31" s="13">
        <f>SUM(Apr!D31, May!D31, Jun!D31)</f>
        <v>0</v>
      </c>
      <c r="E31" s="13">
        <f t="shared" si="9"/>
        <v>0</v>
      </c>
      <c r="F31" s="14" t="str">
        <f t="shared" si="10"/>
        <v/>
      </c>
      <c r="G31" s="20">
        <f>SUM(Apr!G31, May!G31, Jun!G31)</f>
        <v>0</v>
      </c>
      <c r="H31" s="15">
        <f>SUM(Apr!H31, May!H31, Jun!H31)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11">
        <f>SUM(Apr!C32, May!C32, Jun!C32)</f>
        <v>0</v>
      </c>
      <c r="D32" s="18">
        <f>SUM(Apr!D32, May!D32, Jun!D32)</f>
        <v>0</v>
      </c>
      <c r="E32" s="18">
        <f t="shared" si="9"/>
        <v>0</v>
      </c>
      <c r="F32" s="19" t="str">
        <f t="shared" si="10"/>
        <v/>
      </c>
      <c r="G32" s="15">
        <f>SUM(Apr!G32, May!G32, Jun!G32)</f>
        <v>0</v>
      </c>
      <c r="H32" s="20">
        <f>SUM(Apr!H32, May!H32, Jun!H32)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24">
        <f>SUM(Apr!C33, May!C33, Jun!C33)</f>
        <v>0</v>
      </c>
      <c r="D33" s="13">
        <f>SUM(Apr!D33, May!D33, Jun!D33)</f>
        <v>0</v>
      </c>
      <c r="E33" s="13">
        <f t="shared" si="9"/>
        <v>0</v>
      </c>
      <c r="F33" s="14" t="str">
        <f t="shared" si="10"/>
        <v/>
      </c>
      <c r="G33" s="20">
        <f>SUM(Apr!G33, May!G33, Jun!G33)</f>
        <v>0</v>
      </c>
      <c r="H33" s="15">
        <f>SUM(Apr!H33, May!H33, Jun!H33)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11">
        <f>SUM(Apr!C34, May!C34, Jun!C34)</f>
        <v>0</v>
      </c>
      <c r="D34" s="18">
        <f>SUM(Apr!D34, May!D34, Jun!D34)</f>
        <v>0</v>
      </c>
      <c r="E34" s="18">
        <f t="shared" si="9"/>
        <v>0</v>
      </c>
      <c r="F34" s="19" t="str">
        <f t="shared" si="10"/>
        <v/>
      </c>
      <c r="G34" s="15">
        <f>SUM(Apr!G34, May!G34, Jun!G34)</f>
        <v>0</v>
      </c>
      <c r="H34" s="20">
        <f>SUM(Apr!H34, May!H34, Jun!H34)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24">
        <f>SUM(Apr!C35, May!C35, Jun!C35)</f>
        <v>0</v>
      </c>
      <c r="D35" s="13">
        <f>SUM(Apr!D35, May!D35, Jun!D35)</f>
        <v>0</v>
      </c>
      <c r="E35" s="13">
        <f t="shared" si="9"/>
        <v>0</v>
      </c>
      <c r="F35" s="14" t="str">
        <f t="shared" si="10"/>
        <v/>
      </c>
      <c r="G35" s="20">
        <f>SUM(Apr!G35, May!G35, Jun!G35)</f>
        <v>0</v>
      </c>
      <c r="H35" s="15">
        <f>SUM(Apr!H35, May!H35, Jun!H35)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11">
        <f>SUM(Apr!C36, May!C36, Jun!C36)</f>
        <v>0</v>
      </c>
      <c r="D36" s="18">
        <f>SUM(Apr!D36, May!D36, Jun!D36)</f>
        <v>0</v>
      </c>
      <c r="E36" s="18">
        <f t="shared" si="9"/>
        <v>0</v>
      </c>
      <c r="F36" s="19" t="str">
        <f t="shared" si="10"/>
        <v/>
      </c>
      <c r="G36" s="15">
        <f>SUM(Apr!G36, May!G36, Jun!G36)</f>
        <v>0</v>
      </c>
      <c r="H36" s="20">
        <f>SUM(Apr!H36, May!H36, Jun!H36)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24">
        <f>SUM(Apr!C37, May!C37, Jun!C37)</f>
        <v>0</v>
      </c>
      <c r="D37" s="13">
        <f>SUM(Apr!D37, May!D37, Jun!D37)</f>
        <v>0</v>
      </c>
      <c r="E37" s="13">
        <f t="shared" si="9"/>
        <v>0</v>
      </c>
      <c r="F37" s="14" t="str">
        <f t="shared" si="10"/>
        <v/>
      </c>
      <c r="G37" s="20">
        <f>SUM(Apr!G37, May!G37, Jun!G37)</f>
        <v>0</v>
      </c>
      <c r="H37" s="15">
        <f>SUM(Apr!H37, May!H37, Jun!H37)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11">
        <f>SUM(Apr!C38, May!C38, Jun!C38)</f>
        <v>0</v>
      </c>
      <c r="D38" s="18">
        <f>SUM(Apr!D38, May!D38, Jun!D38)</f>
        <v>0</v>
      </c>
      <c r="E38" s="18">
        <f t="shared" si="9"/>
        <v>0</v>
      </c>
      <c r="F38" s="19" t="str">
        <f t="shared" si="10"/>
        <v/>
      </c>
      <c r="G38" s="15">
        <f>SUM(Apr!G38, May!G38, Jun!G38)</f>
        <v>0</v>
      </c>
      <c r="H38" s="20">
        <f>SUM(Apr!H38, May!H38, Jun!H38)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24">
        <f>SUM(Apr!C39, May!C39, Jun!C39)</f>
        <v>0</v>
      </c>
      <c r="D39" s="13">
        <f>SUM(Apr!D39, May!D39, Jun!D39)</f>
        <v>0</v>
      </c>
      <c r="E39" s="13">
        <f t="shared" si="9"/>
        <v>0</v>
      </c>
      <c r="F39" s="14" t="str">
        <f t="shared" si="10"/>
        <v/>
      </c>
      <c r="G39" s="20">
        <f>SUM(Apr!G39, May!G39, Jun!G39)</f>
        <v>0</v>
      </c>
      <c r="H39" s="15">
        <f>SUM(Apr!H39, May!H39, Jun!H39)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11">
        <f>SUM(Apr!C40, May!C40, Jun!C40)</f>
        <v>0</v>
      </c>
      <c r="D40" s="18">
        <f>SUM(Apr!D40, May!D40, Jun!D40)</f>
        <v>0</v>
      </c>
      <c r="E40" s="18">
        <f t="shared" si="9"/>
        <v>0</v>
      </c>
      <c r="F40" s="19" t="str">
        <f t="shared" si="10"/>
        <v/>
      </c>
      <c r="G40" s="15">
        <f>SUM(Apr!G40, May!G40, Jun!G40)</f>
        <v>0</v>
      </c>
      <c r="H40" s="20">
        <f>SUM(Apr!H40, May!H40, Jun!H40)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24">
        <f>SUM(Apr!C41, May!C41, Jun!C41)</f>
        <v>0</v>
      </c>
      <c r="D41" s="13">
        <f>SUM(Apr!D41, May!D41, Jun!D41)</f>
        <v>0</v>
      </c>
      <c r="E41" s="13">
        <f t="shared" si="9"/>
        <v>0</v>
      </c>
      <c r="F41" s="14" t="str">
        <f t="shared" si="10"/>
        <v/>
      </c>
      <c r="G41" s="20">
        <f>SUM(Apr!G41, May!G41, Jun!G41)</f>
        <v>0</v>
      </c>
      <c r="H41" s="15">
        <f>SUM(Apr!H41, May!H41, Jun!H41)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11">
        <f>SUM(Apr!C42, May!C42, Jun!C42)</f>
        <v>0</v>
      </c>
      <c r="D42" s="18">
        <f>SUM(Apr!D42, May!D42, Jun!D42)</f>
        <v>0</v>
      </c>
      <c r="E42" s="18">
        <f t="shared" si="9"/>
        <v>0</v>
      </c>
      <c r="F42" s="19" t="str">
        <f t="shared" si="10"/>
        <v/>
      </c>
      <c r="G42" s="15">
        <f>SUM(Apr!G42, May!G42, Jun!G42)</f>
        <v>0</v>
      </c>
      <c r="H42" s="20">
        <f>SUM(Apr!H42, May!H42, Jun!H42)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24">
        <f>SUM(Apr!C43, May!C43, Jun!C43)</f>
        <v>0</v>
      </c>
      <c r="D43" s="13">
        <f>SUM(Apr!D43, May!D43, Jun!D43)</f>
        <v>0</v>
      </c>
      <c r="E43" s="13">
        <f t="shared" si="9"/>
        <v>0</v>
      </c>
      <c r="F43" s="14" t="str">
        <f t="shared" si="10"/>
        <v/>
      </c>
      <c r="G43" s="20">
        <f>SUM(Apr!G43, May!G43, Jun!G43)</f>
        <v>0</v>
      </c>
      <c r="H43" s="15">
        <f>SUM(Apr!H43, May!H43, Jun!H43)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11">
        <f>SUM(Apr!C44, May!C44, Jun!C44)</f>
        <v>0</v>
      </c>
      <c r="D44" s="18">
        <f>SUM(Apr!D44, May!D44, Jun!D44)</f>
        <v>0</v>
      </c>
      <c r="E44" s="18">
        <f t="shared" si="9"/>
        <v>0</v>
      </c>
      <c r="F44" s="19" t="str">
        <f t="shared" si="10"/>
        <v/>
      </c>
      <c r="G44" s="15">
        <f>SUM(Apr!G44, May!G44, Jun!G44)</f>
        <v>0</v>
      </c>
      <c r="H44" s="20">
        <f>SUM(Apr!H44, May!H44, Jun!H44)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24">
        <f>SUM(Apr!C45, May!C45, Jun!C45)</f>
        <v>0</v>
      </c>
      <c r="D45" s="13">
        <f>SUM(Apr!D45, May!D45, Jun!D45)</f>
        <v>0</v>
      </c>
      <c r="E45" s="13">
        <f t="shared" si="9"/>
        <v>0</v>
      </c>
      <c r="F45" s="14" t="str">
        <f t="shared" si="10"/>
        <v/>
      </c>
      <c r="G45" s="20">
        <f>SUM(Apr!G45, May!G45, Jun!G45)</f>
        <v>0</v>
      </c>
      <c r="H45" s="15">
        <f>SUM(Apr!H45, May!H45, Jun!H45)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11">
        <f>SUM(Apr!C46, May!C46, Jun!C46)</f>
        <v>0</v>
      </c>
      <c r="D46" s="18">
        <f>SUM(Apr!D46, May!D46, Jun!D46)</f>
        <v>0</v>
      </c>
      <c r="E46" s="18">
        <f t="shared" si="9"/>
        <v>0</v>
      </c>
      <c r="F46" s="19" t="str">
        <f t="shared" si="10"/>
        <v/>
      </c>
      <c r="G46" s="15">
        <f>SUM(Apr!G46, May!G46, Jun!G46)</f>
        <v>0</v>
      </c>
      <c r="H46" s="20">
        <f>SUM(Apr!H46, May!H46, Jun!H46)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24">
        <f>SUM(Apr!C47, May!C47, Jun!C47)</f>
        <v>0</v>
      </c>
      <c r="D47" s="13">
        <f>SUM(Apr!D47, May!D47, Jun!D47)</f>
        <v>0</v>
      </c>
      <c r="E47" s="13">
        <f t="shared" si="9"/>
        <v>0</v>
      </c>
      <c r="F47" s="14" t="str">
        <f t="shared" si="10"/>
        <v/>
      </c>
      <c r="G47" s="20">
        <f>SUM(Apr!G47, May!G47, Jun!G47)</f>
        <v>0</v>
      </c>
      <c r="H47" s="15">
        <f>SUM(Apr!H47, May!H47, Jun!H47)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11">
        <f>SUM(Apr!C48, May!C48, Jun!C48)</f>
        <v>0</v>
      </c>
      <c r="D48" s="18">
        <f>SUM(Apr!D48, May!D48, Jun!D48)</f>
        <v>0</v>
      </c>
      <c r="E48" s="18">
        <f t="shared" si="9"/>
        <v>0</v>
      </c>
      <c r="F48" s="19" t="str">
        <f t="shared" si="10"/>
        <v/>
      </c>
      <c r="G48" s="15">
        <f>SUM(Apr!G48, May!G48, Jun!G48)</f>
        <v>0</v>
      </c>
      <c r="H48" s="20">
        <f>SUM(Apr!H48, May!H48, Jun!H48)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24">
        <f>SUM(Apr!C49, May!C49, Jun!C49)</f>
        <v>0</v>
      </c>
      <c r="D49" s="13">
        <f>SUM(Apr!D49, May!D49, Jun!D49)</f>
        <v>0</v>
      </c>
      <c r="E49" s="13">
        <f t="shared" si="9"/>
        <v>0</v>
      </c>
      <c r="F49" s="14" t="str">
        <f t="shared" si="10"/>
        <v/>
      </c>
      <c r="G49" s="20">
        <f>SUM(Apr!G49, May!G49, Jun!G49)</f>
        <v>0</v>
      </c>
      <c r="H49" s="15">
        <f>SUM(Apr!H49, May!H49, Jun!H49)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11">
        <f>SUM(Apr!C50, May!C50, Jun!C50)</f>
        <v>0</v>
      </c>
      <c r="D50" s="18">
        <f>SUM(Apr!D50, May!D50, Jun!D50)</f>
        <v>0</v>
      </c>
      <c r="E50" s="18">
        <f t="shared" si="9"/>
        <v>0</v>
      </c>
      <c r="F50" s="19" t="str">
        <f t="shared" si="10"/>
        <v/>
      </c>
      <c r="G50" s="15">
        <f>SUM(Apr!G50, May!G50, Jun!G50)</f>
        <v>0</v>
      </c>
      <c r="H50" s="20">
        <f>SUM(Apr!H50, May!H50, Jun!H50)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24">
        <f>SUM(Apr!C51, May!C51, Jun!C51)</f>
        <v>0</v>
      </c>
      <c r="D51" s="13">
        <f>SUM(Apr!D51, May!D51, Jun!D51)</f>
        <v>0</v>
      </c>
      <c r="E51" s="13">
        <f t="shared" si="9"/>
        <v>0</v>
      </c>
      <c r="F51" s="14" t="str">
        <f t="shared" si="10"/>
        <v/>
      </c>
      <c r="G51" s="20">
        <f>SUM(Apr!G51, May!G51, Jun!G51)</f>
        <v>0</v>
      </c>
      <c r="H51" s="15">
        <f>SUM(Apr!H51, May!H51, Jun!H51)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11">
        <f>SUM(Apr!C52, May!C52, Jun!C52)</f>
        <v>0</v>
      </c>
      <c r="D52" s="18">
        <f>SUM(Apr!D52, May!D52, Jun!D52)</f>
        <v>0</v>
      </c>
      <c r="E52" s="18">
        <f t="shared" si="9"/>
        <v>0</v>
      </c>
      <c r="F52" s="19" t="str">
        <f t="shared" si="10"/>
        <v/>
      </c>
      <c r="G52" s="15">
        <f>SUM(Apr!G52, May!G52, Jun!G52)</f>
        <v>0</v>
      </c>
      <c r="H52" s="20">
        <f>SUM(Apr!H52, May!H52, Jun!H52)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24">
        <f>SUM(Apr!C53, May!C53, Jun!C53)</f>
        <v>0</v>
      </c>
      <c r="D53" s="13">
        <f>SUM(Apr!D53, May!D53, Jun!D53)</f>
        <v>0</v>
      </c>
      <c r="E53" s="13">
        <f t="shared" si="9"/>
        <v>0</v>
      </c>
      <c r="F53" s="14" t="str">
        <f t="shared" si="10"/>
        <v/>
      </c>
      <c r="G53" s="20">
        <f>SUM(Apr!G53, May!G53, Jun!G53)</f>
        <v>0</v>
      </c>
      <c r="H53" s="15">
        <f>SUM(Apr!H53, May!H53, Jun!H53)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11">
        <f>SUM(Apr!C54, May!C54, Jun!C54)</f>
        <v>0</v>
      </c>
      <c r="D54" s="18">
        <f>SUM(Apr!D54, May!D54, Jun!D54)</f>
        <v>0</v>
      </c>
      <c r="E54" s="18">
        <f t="shared" si="9"/>
        <v>0</v>
      </c>
      <c r="F54" s="19" t="str">
        <f t="shared" si="10"/>
        <v/>
      </c>
      <c r="G54" s="15">
        <f>SUM(Apr!G54, May!G54, Jun!G54)</f>
        <v>0</v>
      </c>
      <c r="H54" s="20">
        <f>SUM(Apr!H54, May!H54, Jun!H54)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24">
        <f>SUM(Apr!C55, May!C55, Jun!C55)</f>
        <v>0</v>
      </c>
      <c r="D55" s="13">
        <f>SUM(Apr!D55, May!D55, Jun!D55)</f>
        <v>0</v>
      </c>
      <c r="E55" s="13">
        <f t="shared" si="9"/>
        <v>0</v>
      </c>
      <c r="F55" s="14" t="str">
        <f t="shared" si="10"/>
        <v/>
      </c>
      <c r="G55" s="20">
        <f>SUM(Apr!G55, May!G55, Jun!G55)</f>
        <v>0</v>
      </c>
      <c r="H55" s="15">
        <f>SUM(Apr!H55, May!H55, Jun!H55)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11">
        <f>SUM(Apr!C56, May!C56, Jun!C56)</f>
        <v>0</v>
      </c>
      <c r="D56" s="18">
        <f>SUM(Apr!D56, May!D56, Jun!D56)</f>
        <v>0</v>
      </c>
      <c r="E56" s="18">
        <f t="shared" si="9"/>
        <v>0</v>
      </c>
      <c r="F56" s="19" t="str">
        <f t="shared" si="10"/>
        <v/>
      </c>
      <c r="G56" s="15">
        <f>SUM(Apr!G56, May!G56, Jun!G56)</f>
        <v>0</v>
      </c>
      <c r="H56" s="20">
        <f>SUM(Apr!H56, May!H56, Jun!H56)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24">
        <f>SUM(Apr!C57, May!C57, Jun!C57)</f>
        <v>0</v>
      </c>
      <c r="D57" s="13">
        <f>SUM(Apr!D57, May!D57, Jun!D57)</f>
        <v>0</v>
      </c>
      <c r="E57" s="13">
        <f t="shared" si="9"/>
        <v>0</v>
      </c>
      <c r="F57" s="14" t="str">
        <f t="shared" si="10"/>
        <v/>
      </c>
      <c r="G57" s="20">
        <f>SUM(Apr!G57, May!G57, Jun!G57)</f>
        <v>0</v>
      </c>
      <c r="H57" s="15">
        <f>SUM(Apr!H57, May!H57, Jun!H57)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11">
        <f>SUM(Apr!C58, May!C58, Jun!C58)</f>
        <v>0</v>
      </c>
      <c r="D58" s="18">
        <f>SUM(Apr!D58, May!D58, Jun!D58)</f>
        <v>0</v>
      </c>
      <c r="E58" s="18">
        <f t="shared" si="9"/>
        <v>0</v>
      </c>
      <c r="F58" s="19" t="str">
        <f t="shared" si="10"/>
        <v/>
      </c>
      <c r="G58" s="15">
        <f>SUM(Apr!G58, May!G58, Jun!G58)</f>
        <v>0</v>
      </c>
      <c r="H58" s="20">
        <f>SUM(Apr!H58, May!H58, Jun!H58)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24">
        <f>SUM(Apr!C59, May!C59, Jun!C59)</f>
        <v>0</v>
      </c>
      <c r="D59" s="13">
        <f>SUM(Apr!D59, May!D59, Jun!D59)</f>
        <v>0</v>
      </c>
      <c r="E59" s="13">
        <f t="shared" si="9"/>
        <v>0</v>
      </c>
      <c r="F59" s="14" t="str">
        <f t="shared" si="10"/>
        <v/>
      </c>
      <c r="G59" s="20">
        <f>SUM(Apr!G59, May!G59, Jun!G59)</f>
        <v>0</v>
      </c>
      <c r="H59" s="15">
        <f>SUM(Apr!H59, May!H59, Jun!H59)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11">
        <f>SUM(Apr!C60, May!C60, Jun!C60)</f>
        <v>0</v>
      </c>
      <c r="D60" s="18">
        <f>SUM(Apr!D60, May!D60, Jun!D60)</f>
        <v>0</v>
      </c>
      <c r="E60" s="18">
        <f t="shared" si="9"/>
        <v>0</v>
      </c>
      <c r="F60" s="19" t="str">
        <f t="shared" si="10"/>
        <v/>
      </c>
      <c r="G60" s="15">
        <f>SUM(Apr!G60, May!G60, Jun!G60)</f>
        <v>0</v>
      </c>
      <c r="H60" s="20">
        <f>SUM(Apr!H60, May!H60, Jun!H60)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24">
        <f>SUM(Apr!C61, May!C61, Jun!C61)</f>
        <v>0</v>
      </c>
      <c r="D61" s="13">
        <f>SUM(Apr!D61, May!D61, Jun!D61)</f>
        <v>0</v>
      </c>
      <c r="E61" s="13">
        <f t="shared" si="9"/>
        <v>0</v>
      </c>
      <c r="F61" s="14" t="str">
        <f t="shared" si="10"/>
        <v/>
      </c>
      <c r="G61" s="20">
        <f>SUM(Apr!G61, May!G61, Jun!G61)</f>
        <v>0</v>
      </c>
      <c r="H61" s="15">
        <f>SUM(Apr!H61, May!H61, Jun!H61)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11">
        <f>SUM(Apr!C62, May!C62, Jun!C62)</f>
        <v>0</v>
      </c>
      <c r="D62" s="18">
        <f>SUM(Apr!D62, May!D62, Jun!D62)</f>
        <v>0</v>
      </c>
      <c r="E62" s="18">
        <f t="shared" si="9"/>
        <v>0</v>
      </c>
      <c r="F62" s="19" t="str">
        <f t="shared" si="10"/>
        <v/>
      </c>
      <c r="G62" s="15">
        <f>SUM(Apr!G62, May!G62, Jun!G62)</f>
        <v>0</v>
      </c>
      <c r="H62" s="20">
        <f>SUM(Apr!H62, May!H62, Jun!H62)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24">
        <f>SUM(Apr!C63, May!C63, Jun!C63)</f>
        <v>0</v>
      </c>
      <c r="D63" s="13">
        <f>SUM(Apr!D63, May!D63, Jun!D63)</f>
        <v>0</v>
      </c>
      <c r="E63" s="13">
        <f t="shared" si="9"/>
        <v>0</v>
      </c>
      <c r="F63" s="14" t="str">
        <f t="shared" si="10"/>
        <v/>
      </c>
      <c r="G63" s="20">
        <f>SUM(Apr!G63, May!G63, Jun!G63)</f>
        <v>0</v>
      </c>
      <c r="H63" s="15">
        <f>SUM(Apr!H63, May!H63, Jun!H63)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11">
        <f>SUM(Apr!C64, May!C64, Jun!C64)</f>
        <v>0</v>
      </c>
      <c r="D64" s="18">
        <f>SUM(Apr!D64, May!D64, Jun!D64)</f>
        <v>0</v>
      </c>
      <c r="E64" s="18">
        <f t="shared" si="9"/>
        <v>0</v>
      </c>
      <c r="F64" s="19" t="str">
        <f t="shared" si="10"/>
        <v/>
      </c>
      <c r="G64" s="15">
        <f>SUM(Apr!G64, May!G64, Jun!G64)</f>
        <v>0</v>
      </c>
      <c r="H64" s="20">
        <f>SUM(Apr!H64, May!H64, Jun!H64)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24">
        <f>SUM(Apr!C65, May!C65, Jun!C65)</f>
        <v>0</v>
      </c>
      <c r="D65" s="13">
        <f>SUM(Apr!D65, May!D65, Jun!D65)</f>
        <v>0</v>
      </c>
      <c r="E65" s="13">
        <f t="shared" si="9"/>
        <v>0</v>
      </c>
      <c r="F65" s="14" t="str">
        <f t="shared" si="10"/>
        <v/>
      </c>
      <c r="G65" s="20">
        <f>SUM(Apr!G65, May!G65, Jun!G65)</f>
        <v>0</v>
      </c>
      <c r="H65" s="15">
        <f>SUM(Apr!H65, May!H65, Jun!H65)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11">
        <f>SUM(Apr!C66, May!C66, Jun!C66)</f>
        <v>0</v>
      </c>
      <c r="D66" s="18">
        <f>SUM(Apr!D66, May!D66, Jun!D66)</f>
        <v>0</v>
      </c>
      <c r="E66" s="18">
        <f t="shared" si="9"/>
        <v>0</v>
      </c>
      <c r="F66" s="19" t="str">
        <f t="shared" si="10"/>
        <v/>
      </c>
      <c r="G66" s="15">
        <f>SUM(Apr!G66, May!G66, Jun!G66)</f>
        <v>0</v>
      </c>
      <c r="H66" s="20">
        <f>SUM(Apr!H66, May!H66, Jun!H66)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24">
        <f>SUM(Apr!C67, May!C67, Jun!C67)</f>
        <v>0</v>
      </c>
      <c r="D67" s="13">
        <f>SUM(Apr!D67, May!D67, Jun!D67)</f>
        <v>0</v>
      </c>
      <c r="E67" s="13">
        <f t="shared" si="9"/>
        <v>0</v>
      </c>
      <c r="F67" s="14" t="str">
        <f t="shared" si="10"/>
        <v/>
      </c>
      <c r="G67" s="20">
        <f>SUM(Apr!G67, May!G67, Jun!G67)</f>
        <v>0</v>
      </c>
      <c r="H67" s="15">
        <f>SUM(Apr!H67, May!H67, Jun!H67)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11">
        <f>SUM(Apr!C68, May!C68, Jun!C68)</f>
        <v>0</v>
      </c>
      <c r="D68" s="18">
        <f>SUM(Apr!D68, May!D68, Jun!D68)</f>
        <v>0</v>
      </c>
      <c r="E68" s="18">
        <f t="shared" si="9"/>
        <v>0</v>
      </c>
      <c r="F68" s="19" t="str">
        <f t="shared" si="10"/>
        <v/>
      </c>
      <c r="G68" s="15">
        <f>SUM(Apr!G68, May!G68, Jun!G68)</f>
        <v>0</v>
      </c>
      <c r="H68" s="20">
        <f>SUM(Apr!H68, May!H68, Jun!H68)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D66" sqref="D6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Silicon Ranch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SUM(C4:C100)</f>
        <v>4359658</v>
      </c>
      <c r="D2" s="5">
        <f>SUM(D4:D100)</f>
        <v>0</v>
      </c>
      <c r="E2" s="5">
        <f>C2-D2</f>
        <v>4359658</v>
      </c>
      <c r="F2" s="6">
        <f>IFERROR(E2/D2, 0)</f>
        <v>0</v>
      </c>
      <c r="G2" s="5">
        <f>SUM(G4:G100)</f>
        <v>6169858.3030000012</v>
      </c>
      <c r="H2" s="7">
        <f>C2-G2</f>
        <v>-1810200.3030000012</v>
      </c>
      <c r="I2" s="6">
        <f>IFERROR(H2/G2, 0)</f>
        <v>-0.29339414523017787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SUM(Jul!C4, Aug!C4, Sep!C4)</f>
        <v>66916</v>
      </c>
      <c r="D4" s="13">
        <f>SUM(Jul!D4, Aug!D4, Sep!D4)</f>
        <v>0</v>
      </c>
      <c r="E4" s="13">
        <f>IF(AND(ISNUMBER(C4),ISNUMBER(D4)), C4-D4, "")</f>
        <v>66916</v>
      </c>
      <c r="F4" s="14" t="str">
        <f>IFERROR(E4/D4, "")</f>
        <v/>
      </c>
      <c r="G4" s="15">
        <f>SUM(Jul!G4, Aug!G4, Sep!G4)</f>
        <v>68600.290000000008</v>
      </c>
      <c r="H4" s="15">
        <f>SUM(Jul!H4, Aug!H4, Sep!H4)</f>
        <v>-1684.2900000000009</v>
      </c>
      <c r="I4" s="16">
        <f>IFERROR(H4/G4, "")</f>
        <v>-2.4552228569296144E-2</v>
      </c>
    </row>
    <row r="5" spans="1:9" ht="15.75">
      <c r="A5" s="49" t="str">
        <v>Kohls - Auburn</v>
      </c>
      <c r="B5" s="10" t="str">
        <v>NY</v>
      </c>
      <c r="C5" s="11">
        <f>SUM(Jul!C5, Aug!C5, Sep!C5)</f>
        <v>78878</v>
      </c>
      <c r="D5" s="18">
        <f>SUM(Jul!D5, Aug!D5, Sep!D5)</f>
        <v>0</v>
      </c>
      <c r="E5" s="18">
        <f t="shared" ref="E5:E15" si="0">IF(AND(ISNUMBER(C5),ISNUMBER(D5)), C5-D5, "")</f>
        <v>78878</v>
      </c>
      <c r="F5" s="19" t="str">
        <f>IFERROR(E5/D5, "")</f>
        <v/>
      </c>
      <c r="G5" s="20">
        <f>SUM(Jul!G5, Aug!G5, Sep!G5)</f>
        <v>84723.959999999992</v>
      </c>
      <c r="H5" s="20">
        <f>SUM(Jul!H5, Aug!H5, Sep!H5)</f>
        <v>-5845.9599999999991</v>
      </c>
      <c r="I5" s="19">
        <f>IFERROR(H5/G5, "")</f>
        <v>-6.9000079788527346E-2</v>
      </c>
    </row>
    <row r="6" spans="1:9" ht="15.75">
      <c r="A6" s="48" t="str">
        <v>Kohls - Bensalem</v>
      </c>
      <c r="B6" s="9" t="str">
        <v>PA</v>
      </c>
      <c r="C6" s="24">
        <f>SUM(Jul!C6, Aug!C6, Sep!C6)</f>
        <v>82674</v>
      </c>
      <c r="D6" s="13">
        <f>SUM(Jul!D6, Aug!D6, Sep!D6)</f>
        <v>0</v>
      </c>
      <c r="E6" s="13">
        <f t="shared" si="0"/>
        <v>82674</v>
      </c>
      <c r="F6" s="14" t="str">
        <f t="shared" ref="F6:F15" si="1">IFERROR(E6/D6, "")</f>
        <v/>
      </c>
      <c r="G6" s="15">
        <f>SUM(Jul!G6, Aug!G6, Sep!G6)</f>
        <v>78209.45</v>
      </c>
      <c r="H6" s="15">
        <f>SUM(Jul!H6, Aug!H6, Sep!H6)</f>
        <v>4464.5500000000029</v>
      </c>
      <c r="I6" s="16">
        <f t="shared" ref="I6:I15" si="2">IFERROR(H6/G6, "")</f>
        <v>5.708453390223308E-2</v>
      </c>
    </row>
    <row r="7" spans="1:9" ht="15.75">
      <c r="A7" s="49" t="str">
        <v>Kohls - Brick</v>
      </c>
      <c r="B7" s="10" t="str">
        <v>NJ</v>
      </c>
      <c r="C7" s="11">
        <f>SUM(Jul!C7, Aug!C7, Sep!C7)</f>
        <v>98412</v>
      </c>
      <c r="D7" s="18">
        <f>SUM(Jul!D7, Aug!D7, Sep!D7)</f>
        <v>0</v>
      </c>
      <c r="E7" s="18">
        <f t="shared" si="0"/>
        <v>98412</v>
      </c>
      <c r="F7" s="19" t="str">
        <f t="shared" si="1"/>
        <v/>
      </c>
      <c r="G7" s="20">
        <f>SUM(Jul!G7, Aug!G7, Sep!G7)</f>
        <v>91784.23000000001</v>
      </c>
      <c r="H7" s="20">
        <f>SUM(Jul!H7, Aug!H7, Sep!H7)</f>
        <v>6627.7699999999968</v>
      </c>
      <c r="I7" s="19">
        <f t="shared" si="2"/>
        <v>7.2210335043394663E-2</v>
      </c>
    </row>
    <row r="8" spans="1:9" ht="15.75">
      <c r="A8" s="48" t="str">
        <v>Kohls - Buffalo</v>
      </c>
      <c r="B8" s="9" t="str">
        <v>NY</v>
      </c>
      <c r="C8" s="24">
        <f>SUM(Jul!C8, Aug!C8, Sep!C8)</f>
        <v>107383</v>
      </c>
      <c r="D8" s="13">
        <f>SUM(Jul!D8, Aug!D8, Sep!D8)</f>
        <v>0</v>
      </c>
      <c r="E8" s="13">
        <f t="shared" si="0"/>
        <v>107383</v>
      </c>
      <c r="F8" s="14" t="str">
        <f t="shared" si="1"/>
        <v/>
      </c>
      <c r="G8" s="15">
        <f>SUM(Jul!G8, Aug!G8, Sep!G8)</f>
        <v>101633.2</v>
      </c>
      <c r="H8" s="15">
        <f>SUM(Jul!H8, Aug!H8, Sep!H8)</f>
        <v>5749.8000000000029</v>
      </c>
      <c r="I8" s="16">
        <f t="shared" si="2"/>
        <v>5.6574032894762767E-2</v>
      </c>
    </row>
    <row r="9" spans="1:9" ht="15.75">
      <c r="A9" s="49" t="str">
        <v>Kohls - Canton</v>
      </c>
      <c r="B9" s="10" t="str">
        <v>CT</v>
      </c>
      <c r="C9" s="11">
        <f>SUM(Jul!C9, Aug!C9, Sep!C9)</f>
        <v>32892</v>
      </c>
      <c r="D9" s="18">
        <f>SUM(Jul!D9, Aug!D9, Sep!D9)</f>
        <v>0</v>
      </c>
      <c r="E9" s="18">
        <f t="shared" si="0"/>
        <v>32892</v>
      </c>
      <c r="F9" s="19" t="str">
        <f t="shared" si="1"/>
        <v/>
      </c>
      <c r="G9" s="20">
        <f>SUM(Jul!G9, Aug!G9, Sep!G9)</f>
        <v>31404.35</v>
      </c>
      <c r="H9" s="20">
        <f>SUM(Jul!H9, Aug!H9, Sep!H9)</f>
        <v>1487.6499999999996</v>
      </c>
      <c r="I9" s="19">
        <f t="shared" si="2"/>
        <v>4.7370826016141065E-2</v>
      </c>
    </row>
    <row r="10" spans="1:9" ht="15.75">
      <c r="A10" s="48" t="str">
        <v>Kohls - East Amherst</v>
      </c>
      <c r="B10" s="9" t="str">
        <v>NY</v>
      </c>
      <c r="C10" s="24">
        <f>SUM(Jul!C10, Aug!C10, Sep!C10)</f>
        <v>85776</v>
      </c>
      <c r="D10" s="13">
        <f>SUM(Jul!D10, Aug!D10, Sep!D10)</f>
        <v>0</v>
      </c>
      <c r="E10" s="13">
        <f t="shared" si="0"/>
        <v>85776</v>
      </c>
      <c r="F10" s="14" t="str">
        <f t="shared" si="1"/>
        <v/>
      </c>
      <c r="G10" s="15">
        <f>SUM(Jul!G10, Aug!G10, Sep!G10)</f>
        <v>91258.13</v>
      </c>
      <c r="H10" s="15">
        <f>SUM(Jul!H10, Aug!H10, Sep!H10)</f>
        <v>-5482.1299999999974</v>
      </c>
      <c r="I10" s="16">
        <f t="shared" si="2"/>
        <v>-6.0072784748054747E-2</v>
      </c>
    </row>
    <row r="11" spans="1:9" ht="15.75">
      <c r="A11" s="49" t="str">
        <v>Kohls - East Brunswick</v>
      </c>
      <c r="B11" s="10" t="str">
        <v>NJ</v>
      </c>
      <c r="C11" s="11">
        <f>SUM(Jul!C11, Aug!C11, Sep!C11)</f>
        <v>111841</v>
      </c>
      <c r="D11" s="18">
        <f>SUM(Jul!D11, Aug!D11, Sep!D11)</f>
        <v>0</v>
      </c>
      <c r="E11" s="18">
        <f t="shared" si="0"/>
        <v>111841</v>
      </c>
      <c r="F11" s="19" t="str">
        <f t="shared" si="1"/>
        <v/>
      </c>
      <c r="G11" s="20">
        <f>SUM(Jul!G11, Aug!G11, Sep!G11)</f>
        <v>116113.89</v>
      </c>
      <c r="H11" s="20">
        <f>SUM(Jul!H11, Aug!H11, Sep!H11)</f>
        <v>-4272.8899999999994</v>
      </c>
      <c r="I11" s="19">
        <f t="shared" si="2"/>
        <v>-3.6799128855298874E-2</v>
      </c>
    </row>
    <row r="12" spans="1:9" ht="15.75">
      <c r="A12" s="48" t="str">
        <v>Kohls - Edgewood</v>
      </c>
      <c r="B12" s="9" t="str">
        <v>MD</v>
      </c>
      <c r="C12" s="24">
        <f>SUM(Jul!C12, Aug!C12, Sep!C12)</f>
        <v>557855</v>
      </c>
      <c r="D12" s="13">
        <f>SUM(Jul!D12, Aug!D12, Sep!D12)</f>
        <v>0</v>
      </c>
      <c r="E12" s="13">
        <f t="shared" si="0"/>
        <v>557855</v>
      </c>
      <c r="F12" s="14" t="str">
        <f t="shared" si="1"/>
        <v/>
      </c>
      <c r="G12" s="15">
        <f>SUM(Jul!G12, Aug!G12, Sep!G12)</f>
        <v>613027.82000000007</v>
      </c>
      <c r="H12" s="15">
        <f>SUM(Jul!H12, Aug!H12, Sep!H12)</f>
        <v>-55172.820000000007</v>
      </c>
      <c r="I12" s="16">
        <f t="shared" si="2"/>
        <v>-9.0000515800408534E-2</v>
      </c>
    </row>
    <row r="13" spans="1:9" ht="15.75">
      <c r="A13" s="49" t="str">
        <v>Kohls - Granite Run</v>
      </c>
      <c r="B13" s="10" t="str">
        <v>PA</v>
      </c>
      <c r="C13" s="11">
        <f>SUM(Jul!C13, Aug!C13, Sep!C13)</f>
        <v>78174</v>
      </c>
      <c r="D13" s="18">
        <f>SUM(Jul!D13, Aug!D13, Sep!D13)</f>
        <v>0</v>
      </c>
      <c r="E13" s="18">
        <f t="shared" si="0"/>
        <v>78174</v>
      </c>
      <c r="F13" s="19" t="str">
        <f t="shared" si="1"/>
        <v/>
      </c>
      <c r="G13" s="20">
        <f>SUM(Jul!G13, Aug!G13, Sep!G13)</f>
        <v>77162</v>
      </c>
      <c r="H13" s="20">
        <f>SUM(Jul!H13, Aug!H13, Sep!H13)</f>
        <v>1012</v>
      </c>
      <c r="I13" s="19">
        <f t="shared" si="2"/>
        <v>1.3115263990046915E-2</v>
      </c>
    </row>
    <row r="14" spans="1:9" ht="15.75">
      <c r="A14" s="48" t="str">
        <v>Kohls - Greece</v>
      </c>
      <c r="B14" s="9" t="str">
        <v>NY</v>
      </c>
      <c r="C14" s="24">
        <f>SUM(Jul!C14, Aug!C14, Sep!C14)</f>
        <v>59739</v>
      </c>
      <c r="D14" s="13">
        <f>SUM(Jul!D14, Aug!D14, Sep!D14)</f>
        <v>0</v>
      </c>
      <c r="E14" s="13">
        <f t="shared" si="0"/>
        <v>59739</v>
      </c>
      <c r="F14" s="14" t="str">
        <f t="shared" si="1"/>
        <v/>
      </c>
      <c r="G14" s="15">
        <f>SUM(Jul!G14, Aug!G14, Sep!G14)</f>
        <v>96059.09</v>
      </c>
      <c r="H14" s="15">
        <f>SUM(Jul!H14, Aug!H14, Sep!H14)</f>
        <v>-36320.089999999997</v>
      </c>
      <c r="I14" s="16">
        <f t="shared" si="2"/>
        <v>-0.37810154145745078</v>
      </c>
    </row>
    <row r="15" spans="1:9" ht="15.75">
      <c r="A15" s="49" t="str">
        <v>Kohls - Hanover</v>
      </c>
      <c r="B15" s="10" t="str">
        <v>PA</v>
      </c>
      <c r="C15" s="11">
        <f>SUM(Jul!C15, Aug!C15, Sep!C15)</f>
        <v>46549</v>
      </c>
      <c r="D15" s="18">
        <f>SUM(Jul!D15, Aug!D15, Sep!D15)</f>
        <v>0</v>
      </c>
      <c r="E15" s="18">
        <f t="shared" si="0"/>
        <v>46549</v>
      </c>
      <c r="F15" s="19" t="str">
        <f t="shared" si="1"/>
        <v/>
      </c>
      <c r="G15" s="20">
        <f>SUM(Jul!G15, Aug!G15, Sep!G15)</f>
        <v>83749.97</v>
      </c>
      <c r="H15" s="20">
        <f>SUM(Jul!H15, Aug!H15, Sep!H15)</f>
        <v>-37200.97</v>
      </c>
      <c r="I15" s="19">
        <f t="shared" si="2"/>
        <v>-0.44419084568030293</v>
      </c>
    </row>
    <row r="16" spans="1:9" ht="15.75">
      <c r="A16" s="48" t="str">
        <v>Kohls - Horsehead</v>
      </c>
      <c r="B16" s="9" t="str">
        <v>NY</v>
      </c>
      <c r="C16" s="24">
        <f>SUM(Jul!C16, Aug!C16, Sep!C16)</f>
        <v>65967</v>
      </c>
      <c r="D16" s="13">
        <f>SUM(Jul!D16, Aug!D16, Sep!D16)</f>
        <v>0</v>
      </c>
      <c r="E16" s="13">
        <f t="shared" ref="E16:E19" si="3">IF(AND(ISNUMBER(C16),ISNUMBER(D16)), C16-D16, "")</f>
        <v>65967</v>
      </c>
      <c r="F16" s="14" t="str">
        <f t="shared" ref="F16:F19" si="4">IFERROR(E16/D16, "")</f>
        <v/>
      </c>
      <c r="G16" s="15">
        <f>SUM(Jul!G16, Aug!G16, Sep!G16)</f>
        <v>70470.7</v>
      </c>
      <c r="H16" s="15">
        <f>SUM(Jul!H16, Aug!H16, Sep!H16)</f>
        <v>-4503.6999999999971</v>
      </c>
      <c r="I16" s="16">
        <f t="shared" ref="I16:I19" si="5">IFERROR(H16/G16, "")</f>
        <v>-6.3908830194676608E-2</v>
      </c>
    </row>
    <row r="17" spans="1:9" ht="15.75">
      <c r="A17" s="49" t="str">
        <v>Kohls - Hudson</v>
      </c>
      <c r="B17" s="10" t="str">
        <v>NY</v>
      </c>
      <c r="C17" s="11">
        <f>SUM(Jul!C17, Aug!C17, Sep!C17)</f>
        <v>74609</v>
      </c>
      <c r="D17" s="18">
        <f>SUM(Jul!D17, Aug!D17, Sep!D17)</f>
        <v>0</v>
      </c>
      <c r="E17" s="18">
        <f t="shared" si="3"/>
        <v>74609</v>
      </c>
      <c r="F17" s="19" t="str">
        <f t="shared" si="4"/>
        <v/>
      </c>
      <c r="G17" s="20">
        <f>SUM(Jul!G17, Aug!G17, Sep!G17)</f>
        <v>80426.350000000006</v>
      </c>
      <c r="H17" s="20">
        <f>SUM(Jul!H17, Aug!H17, Sep!H17)</f>
        <v>-5817.3499999999985</v>
      </c>
      <c r="I17" s="19">
        <f t="shared" si="5"/>
        <v>-7.2331393877752725E-2</v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69626</v>
      </c>
      <c r="D18" s="13">
        <f>SUM(Jul!D18, Aug!D18, Sep!D18)</f>
        <v>0</v>
      </c>
      <c r="E18" s="13">
        <f t="shared" si="3"/>
        <v>69626</v>
      </c>
      <c r="F18" s="14" t="str">
        <f t="shared" si="4"/>
        <v/>
      </c>
      <c r="G18" s="15">
        <f>SUM(Jul!G18, Aug!G18, Sep!G18)</f>
        <v>82002.26999999999</v>
      </c>
      <c r="H18" s="15">
        <f>SUM(Jul!H18, Aug!H18, Sep!H18)</f>
        <v>-12376.269999999997</v>
      </c>
      <c r="I18" s="16">
        <f t="shared" si="5"/>
        <v>-0.15092594387935845</v>
      </c>
    </row>
    <row r="19" spans="1:9" ht="15.75">
      <c r="A19" s="49" t="str">
        <v>Kohls - Kingston</v>
      </c>
      <c r="B19" s="17" t="str">
        <v>NY</v>
      </c>
      <c r="C19" s="11">
        <f>SUM(Jul!C19, Aug!C19, Sep!C19)</f>
        <v>105051</v>
      </c>
      <c r="D19" s="18">
        <f>SUM(Jul!D19, Aug!D19, Sep!D19)</f>
        <v>0</v>
      </c>
      <c r="E19" s="18">
        <f t="shared" si="3"/>
        <v>105051</v>
      </c>
      <c r="F19" s="19" t="str">
        <f t="shared" si="4"/>
        <v/>
      </c>
      <c r="G19" s="20">
        <f>SUM(Jul!G19, Aug!G19, Sep!G19)</f>
        <v>118943.24100000001</v>
      </c>
      <c r="H19" s="20">
        <f>SUM(Jul!H19, Aug!H19, Sep!H19)</f>
        <v>-13892.241000000002</v>
      </c>
      <c r="I19" s="19">
        <f t="shared" si="5"/>
        <v>-0.1167972293608512</v>
      </c>
    </row>
    <row r="20" spans="1:9" ht="15.75">
      <c r="A20" s="48" t="str">
        <v>Kohls - Mechanicsburg</v>
      </c>
      <c r="B20" s="12" t="str">
        <v>PA</v>
      </c>
      <c r="C20" s="24">
        <f>SUM(Jul!C20, Aug!C20, Sep!C20)</f>
        <v>98756</v>
      </c>
      <c r="D20" s="13">
        <f>SUM(Jul!D20, Aug!D20, Sep!D20)</f>
        <v>0</v>
      </c>
      <c r="E20" s="13">
        <f t="shared" ref="E20:E25" si="6">IF(AND(ISNUMBER(C20),ISNUMBER(D20)), C20-D20, "")</f>
        <v>98756</v>
      </c>
      <c r="F20" s="14" t="str">
        <f t="shared" ref="F20:F25" si="7">IFERROR(E20/D20, "")</f>
        <v/>
      </c>
      <c r="G20" s="15">
        <f>SUM(Jul!G20, Aug!G20, Sep!G20)</f>
        <v>97787.839999999997</v>
      </c>
      <c r="H20" s="15">
        <f>SUM(Jul!H20, Aug!H20, Sep!H20)</f>
        <v>968.16000000000349</v>
      </c>
      <c r="I20" s="16">
        <f t="shared" ref="I20:I25" si="8">IFERROR(H20/G20, "")</f>
        <v>9.9006175000900271E-3</v>
      </c>
    </row>
    <row r="21" spans="1:9" ht="15.75">
      <c r="A21" s="49" t="str">
        <v>Kohls - Middletown</v>
      </c>
      <c r="B21" s="17" t="str">
        <v>NJ</v>
      </c>
      <c r="C21" s="11">
        <f>SUM(Jul!C21, Aug!C21, Sep!C21)</f>
        <v>145443</v>
      </c>
      <c r="D21" s="18">
        <f>SUM(Jul!D21, Aug!D21, Sep!D21)</f>
        <v>0</v>
      </c>
      <c r="E21" s="18">
        <f t="shared" si="6"/>
        <v>145443</v>
      </c>
      <c r="F21" s="19" t="str">
        <f t="shared" si="7"/>
        <v/>
      </c>
      <c r="G21" s="20">
        <f>SUM(Jul!G21, Aug!G21, Sep!G21)</f>
        <v>137108.31</v>
      </c>
      <c r="H21" s="20">
        <f>SUM(Jul!H21, Aug!H21, Sep!H21)</f>
        <v>8334.6900000000023</v>
      </c>
      <c r="I21" s="19">
        <f t="shared" si="8"/>
        <v>6.0789094402811925E-2</v>
      </c>
    </row>
    <row r="22" spans="1:9" ht="15.75">
      <c r="A22" s="48" t="str">
        <v>Kohls - North Amherst</v>
      </c>
      <c r="B22" s="12" t="str">
        <v>NY</v>
      </c>
      <c r="C22" s="24">
        <f>SUM(Jul!C22, Aug!C22, Sep!C22)</f>
        <v>44588</v>
      </c>
      <c r="D22" s="13">
        <f>SUM(Jul!D22, Aug!D22, Sep!D22)</f>
        <v>0</v>
      </c>
      <c r="E22" s="13">
        <f t="shared" si="6"/>
        <v>44588</v>
      </c>
      <c r="F22" s="14" t="str">
        <f t="shared" si="7"/>
        <v/>
      </c>
      <c r="G22" s="15">
        <f>SUM(Jul!G22, Aug!G22, Sep!G22)</f>
        <v>85665.37</v>
      </c>
      <c r="H22" s="15">
        <f>SUM(Jul!H22, Aug!H22, Sep!H22)</f>
        <v>-41077.370000000003</v>
      </c>
      <c r="I22" s="16">
        <f t="shared" si="8"/>
        <v>-0.47950963148819653</v>
      </c>
    </row>
    <row r="23" spans="1:9" ht="15.75">
      <c r="A23" s="49" t="str">
        <v>Kohls - Staten Island</v>
      </c>
      <c r="B23" s="17" t="str">
        <v>NY</v>
      </c>
      <c r="C23" s="11">
        <f>SUM(Jul!C23, Aug!C23, Sep!C23)</f>
        <v>53149</v>
      </c>
      <c r="D23" s="18">
        <f>SUM(Jul!D23, Aug!D23, Sep!D23)</f>
        <v>0</v>
      </c>
      <c r="E23" s="18">
        <f t="shared" si="6"/>
        <v>53149</v>
      </c>
      <c r="F23" s="19" t="str">
        <f t="shared" si="7"/>
        <v/>
      </c>
      <c r="G23" s="20">
        <f>SUM(Jul!G23, Aug!G23, Sep!G23)</f>
        <v>79419.05</v>
      </c>
      <c r="H23" s="20">
        <f>SUM(Jul!H23, Aug!H23, Sep!H23)</f>
        <v>-26270.050000000003</v>
      </c>
      <c r="I23" s="19">
        <f t="shared" si="8"/>
        <v>-0.3307776912466216</v>
      </c>
    </row>
    <row r="24" spans="1:9" ht="15.75">
      <c r="A24" s="48" t="str">
        <v>Kohls - Warminster</v>
      </c>
      <c r="B24" s="12" t="str">
        <v>PA</v>
      </c>
      <c r="C24" s="24">
        <f>SUM(Jul!C24, Aug!C24, Sep!C24)</f>
        <v>95654</v>
      </c>
      <c r="D24" s="13">
        <f>SUM(Jul!D24, Aug!D24, Sep!D24)</f>
        <v>0</v>
      </c>
      <c r="E24" s="13">
        <f t="shared" si="6"/>
        <v>95654</v>
      </c>
      <c r="F24" s="14" t="str">
        <f t="shared" si="7"/>
        <v/>
      </c>
      <c r="G24" s="15">
        <f>SUM(Jul!G24, Aug!G24, Sep!G24)</f>
        <v>95611.13</v>
      </c>
      <c r="H24" s="15">
        <f>SUM(Jul!H24, Aug!H24, Sep!H24)</f>
        <v>42.870000000002619</v>
      </c>
      <c r="I24" s="16">
        <f t="shared" si="8"/>
        <v>4.4837876092461849E-4</v>
      </c>
    </row>
    <row r="25" spans="1:9" ht="15.75">
      <c r="A25" s="49" t="str">
        <v xml:space="preserve">Kohls - Waterbury </v>
      </c>
      <c r="B25" s="17" t="str">
        <v>CT</v>
      </c>
      <c r="C25" s="11">
        <f>SUM(Jul!C25, Aug!C25, Sep!C25)</f>
        <v>77301</v>
      </c>
      <c r="D25" s="18">
        <f>SUM(Jul!D25, Aug!D25, Sep!D25)</f>
        <v>0</v>
      </c>
      <c r="E25" s="18">
        <f t="shared" si="6"/>
        <v>77301</v>
      </c>
      <c r="F25" s="19" t="str">
        <f t="shared" si="7"/>
        <v/>
      </c>
      <c r="G25" s="20">
        <f>SUM(Jul!G25, Aug!G25, Sep!G25)</f>
        <v>80952.63</v>
      </c>
      <c r="H25" s="20">
        <f>SUM(Jul!H25, Aug!H25, Sep!H25)</f>
        <v>-3651.6299999999974</v>
      </c>
      <c r="I25" s="19">
        <f t="shared" si="8"/>
        <v>-4.5108231814086797E-2</v>
      </c>
    </row>
    <row r="26" spans="1:9" ht="15.75">
      <c r="A26" s="48" t="str">
        <v>Mojave Water Agency - Headquarters</v>
      </c>
      <c r="B26" s="12" t="str">
        <v>CA</v>
      </c>
      <c r="C26" s="24">
        <f>SUM(Jul!C26, Aug!C26, Sep!C26)</f>
        <v>47225</v>
      </c>
      <c r="D26" s="13">
        <f>SUM(Jul!D26, Aug!D26, Sep!D26)</f>
        <v>0</v>
      </c>
      <c r="E26" s="13">
        <f t="shared" ref="E26:E68" si="9">IF(AND(ISNUMBER(C26),ISNUMBER(D26)), C26-D26, "")</f>
        <v>47225</v>
      </c>
      <c r="F26" s="14" t="str">
        <f t="shared" ref="F26:F68" si="10">IFERROR(E26/D26, "")</f>
        <v/>
      </c>
      <c r="G26" s="15">
        <f>SUM(Jul!G26, Aug!G26, Sep!G26)</f>
        <v>38126</v>
      </c>
      <c r="H26" s="15">
        <f>SUM(Jul!H26, Aug!H26, Sep!H26)</f>
        <v>9099</v>
      </c>
      <c r="I26" s="16">
        <f t="shared" ref="I26:I68" si="11">IFERROR(H26/G26, "")</f>
        <v>0.23865603525153439</v>
      </c>
    </row>
    <row r="27" spans="1:9" ht="15.75">
      <c r="A27" s="49" t="str">
        <v>CSU - Bakersfield</v>
      </c>
      <c r="B27" s="17" t="str">
        <v>CA</v>
      </c>
      <c r="C27" s="11">
        <f>SUM(Jul!C27, Aug!C27, Sep!C27)</f>
        <v>12502</v>
      </c>
      <c r="D27" s="18">
        <f>SUM(Jul!D27, Aug!D27, Sep!D27)</f>
        <v>0</v>
      </c>
      <c r="E27" s="18">
        <f t="shared" si="9"/>
        <v>12502</v>
      </c>
      <c r="F27" s="19" t="str">
        <f t="shared" si="10"/>
        <v/>
      </c>
      <c r="G27" s="20">
        <f>SUM(Jul!G27, Aug!G27, Sep!G27)</f>
        <v>175723.62</v>
      </c>
      <c r="H27" s="20">
        <f>SUM(Jul!H27, Aug!H27, Sep!H27)</f>
        <v>-163221.62</v>
      </c>
      <c r="I27" s="19">
        <f t="shared" si="11"/>
        <v>-0.92885418590853064</v>
      </c>
    </row>
    <row r="28" spans="1:9" ht="15.75">
      <c r="A28" s="48" t="str">
        <v>Greenfield USD - Fairfield ES</v>
      </c>
      <c r="B28" s="12" t="str">
        <v>CA</v>
      </c>
      <c r="C28" s="24">
        <f>SUM(Jul!C28, Aug!C28, Sep!C28)</f>
        <v>5479</v>
      </c>
      <c r="D28" s="13">
        <f>SUM(Jul!D28, Aug!D28, Sep!D28)</f>
        <v>0</v>
      </c>
      <c r="E28" s="13">
        <f t="shared" si="9"/>
        <v>5479</v>
      </c>
      <c r="F28" s="14" t="str">
        <f t="shared" si="10"/>
        <v/>
      </c>
      <c r="G28" s="15">
        <f>SUM(Jul!G28, Aug!G28, Sep!G28)</f>
        <v>16661.509999999998</v>
      </c>
      <c r="H28" s="15">
        <f>SUM(Jul!H28, Aug!H28, Sep!H28)</f>
        <v>-11182.509999999998</v>
      </c>
      <c r="I28" s="16">
        <f t="shared" si="11"/>
        <v>-0.6711582563645192</v>
      </c>
    </row>
    <row r="29" spans="1:9" ht="15.75">
      <c r="A29" s="49" t="str">
        <v>Greenfield USD - Granite Point ES</v>
      </c>
      <c r="B29" s="17" t="str">
        <v>CA</v>
      </c>
      <c r="C29" s="11">
        <f>SUM(Jul!C29, Aug!C29, Sep!C29)</f>
        <v>25332</v>
      </c>
      <c r="D29" s="18">
        <f>SUM(Jul!D29, Aug!D29, Sep!D29)</f>
        <v>0</v>
      </c>
      <c r="E29" s="18">
        <f t="shared" si="9"/>
        <v>25332</v>
      </c>
      <c r="F29" s="19" t="str">
        <f t="shared" si="10"/>
        <v/>
      </c>
      <c r="G29" s="20">
        <f>SUM(Jul!G29, Aug!G29, Sep!G29)</f>
        <v>44010.44</v>
      </c>
      <c r="H29" s="20">
        <f>SUM(Jul!H29, Aug!H29, Sep!H29)</f>
        <v>-18678.440000000002</v>
      </c>
      <c r="I29" s="19">
        <f t="shared" si="11"/>
        <v>-0.42440929924808751</v>
      </c>
    </row>
    <row r="30" spans="1:9" ht="15.75">
      <c r="A30" s="48" t="str">
        <v>Greenfield USD - Greenfield MS</v>
      </c>
      <c r="B30" s="12" t="str">
        <v>CA</v>
      </c>
      <c r="C30" s="24">
        <f>SUM(Jul!C30, Aug!C30, Sep!C30)</f>
        <v>15624</v>
      </c>
      <c r="D30" s="13">
        <f>SUM(Jul!D30, Aug!D30, Sep!D30)</f>
        <v>0</v>
      </c>
      <c r="E30" s="13">
        <f t="shared" si="9"/>
        <v>15624</v>
      </c>
      <c r="F30" s="14" t="str">
        <f t="shared" si="10"/>
        <v/>
      </c>
      <c r="G30" s="15">
        <f>SUM(Jul!G30, Aug!G30, Sep!G30)</f>
        <v>29990.71</v>
      </c>
      <c r="H30" s="15">
        <f>SUM(Jul!H30, Aug!H30, Sep!H30)</f>
        <v>-14366.71</v>
      </c>
      <c r="I30" s="16">
        <f t="shared" si="11"/>
        <v>-0.47903867564322417</v>
      </c>
    </row>
    <row r="31" spans="1:9" ht="15.75">
      <c r="A31" s="49" t="str">
        <v>Greenfield USD - Horizon ES</v>
      </c>
      <c r="B31" s="17" t="str">
        <v>CA</v>
      </c>
      <c r="C31" s="11">
        <f>SUM(Jul!C31, Aug!C31, Sep!C31)</f>
        <v>24256</v>
      </c>
      <c r="D31" s="18">
        <f>SUM(Jul!D31, Aug!D31, Sep!D31)</f>
        <v>0</v>
      </c>
      <c r="E31" s="18">
        <f t="shared" si="9"/>
        <v>24256</v>
      </c>
      <c r="F31" s="19" t="str">
        <f t="shared" si="10"/>
        <v/>
      </c>
      <c r="G31" s="20">
        <f>SUM(Jul!G31, Aug!G31, Sep!G31)</f>
        <v>45661.78</v>
      </c>
      <c r="H31" s="20">
        <f>SUM(Jul!H31, Aug!H31, Sep!H31)</f>
        <v>-21405.78</v>
      </c>
      <c r="I31" s="19">
        <f t="shared" si="11"/>
        <v>-0.46878987196732147</v>
      </c>
    </row>
    <row r="32" spans="1:9" ht="15.75">
      <c r="A32" s="48" t="str">
        <v>Greenfield USD - McKee MS</v>
      </c>
      <c r="B32" s="12" t="str">
        <v>CA</v>
      </c>
      <c r="C32" s="24">
        <f>SUM(Jul!C32, Aug!C32, Sep!C32)</f>
        <v>17189</v>
      </c>
      <c r="D32" s="13">
        <f>SUM(Jul!D32, Aug!D32, Sep!D32)</f>
        <v>0</v>
      </c>
      <c r="E32" s="13">
        <f t="shared" si="9"/>
        <v>17189</v>
      </c>
      <c r="F32" s="14" t="str">
        <f t="shared" si="10"/>
        <v/>
      </c>
      <c r="G32" s="15">
        <f>SUM(Jul!G32, Aug!G32, Sep!G32)</f>
        <v>27880.25</v>
      </c>
      <c r="H32" s="15">
        <f>SUM(Jul!H32, Aug!H32, Sep!H32)</f>
        <v>-10691.25</v>
      </c>
      <c r="I32" s="16">
        <f t="shared" si="11"/>
        <v>-0.38347037777638293</v>
      </c>
    </row>
    <row r="33" spans="1:9" ht="15.75">
      <c r="A33" s="49" t="str">
        <v>Greenfield USD - Plantation ES</v>
      </c>
      <c r="B33" s="17" t="str">
        <v>CA</v>
      </c>
      <c r="C33" s="11">
        <f>SUM(Jul!C33, Aug!C33, Sep!C33)</f>
        <v>9374</v>
      </c>
      <c r="D33" s="18">
        <f>SUM(Jul!D33, Aug!D33, Sep!D33)</f>
        <v>0</v>
      </c>
      <c r="E33" s="18">
        <f t="shared" si="9"/>
        <v>9374</v>
      </c>
      <c r="F33" s="19" t="str">
        <f t="shared" si="10"/>
        <v/>
      </c>
      <c r="G33" s="20">
        <f>SUM(Jul!G33, Aug!G33, Sep!G33)</f>
        <v>19929.009999999998</v>
      </c>
      <c r="H33" s="20">
        <f>SUM(Jul!H33, Aug!H33, Sep!H33)</f>
        <v>-10555.009999999998</v>
      </c>
      <c r="I33" s="19">
        <f t="shared" si="11"/>
        <v>-0.52963042318710263</v>
      </c>
    </row>
    <row r="34" spans="1:9" ht="15.75">
      <c r="A34" s="48" t="str">
        <v>Greenfield USD - Planz ES</v>
      </c>
      <c r="B34" s="12" t="str">
        <v>CA</v>
      </c>
      <c r="C34" s="24">
        <f>SUM(Jul!C34, Aug!C34, Sep!C34)</f>
        <v>6294</v>
      </c>
      <c r="D34" s="13">
        <f>SUM(Jul!D34, Aug!D34, Sep!D34)</f>
        <v>0</v>
      </c>
      <c r="E34" s="13">
        <f t="shared" si="9"/>
        <v>6294</v>
      </c>
      <c r="F34" s="14" t="str">
        <f t="shared" si="10"/>
        <v/>
      </c>
      <c r="G34" s="15">
        <f>SUM(Jul!G34, Aug!G34, Sep!G34)</f>
        <v>22548.57</v>
      </c>
      <c r="H34" s="15">
        <f>SUM(Jul!H34, Aug!H34, Sep!H34)</f>
        <v>-16254.57</v>
      </c>
      <c r="I34" s="16">
        <f t="shared" si="11"/>
        <v>-0.72086921698360473</v>
      </c>
    </row>
    <row r="35" spans="1:9" ht="15.75">
      <c r="A35" s="49" t="str">
        <v>Greenfield USD - Raffaello Palla ES</v>
      </c>
      <c r="B35" s="17" t="str">
        <v>CA</v>
      </c>
      <c r="C35" s="11">
        <f>SUM(Jul!C35, Aug!C35, Sep!C35)</f>
        <v>34936</v>
      </c>
      <c r="D35" s="18">
        <f>SUM(Jul!D35, Aug!D35, Sep!D35)</f>
        <v>0</v>
      </c>
      <c r="E35" s="18">
        <f t="shared" si="9"/>
        <v>34936</v>
      </c>
      <c r="F35" s="19" t="str">
        <f t="shared" si="10"/>
        <v/>
      </c>
      <c r="G35" s="20">
        <f>SUM(Jul!G35, Aug!G35, Sep!G35)</f>
        <v>49336.57</v>
      </c>
      <c r="H35" s="20">
        <f>SUM(Jul!H35, Aug!H35, Sep!H35)</f>
        <v>-14400.57</v>
      </c>
      <c r="I35" s="19">
        <f t="shared" si="11"/>
        <v>-0.29188429596950094</v>
      </c>
    </row>
    <row r="36" spans="1:9" ht="15.75">
      <c r="A36" s="48" t="str">
        <v>Greenfield USD - Valle Verde ES</v>
      </c>
      <c r="B36" s="12" t="str">
        <v>CA</v>
      </c>
      <c r="C36" s="24">
        <f>SUM(Jul!C36, Aug!C36, Sep!C36)</f>
        <v>38421</v>
      </c>
      <c r="D36" s="13">
        <f>SUM(Jul!D36, Aug!D36, Sep!D36)</f>
        <v>0</v>
      </c>
      <c r="E36" s="13">
        <f t="shared" si="9"/>
        <v>38421</v>
      </c>
      <c r="F36" s="14" t="str">
        <f t="shared" si="10"/>
        <v/>
      </c>
      <c r="G36" s="15">
        <f>SUM(Jul!G36, Aug!G36, Sep!G36)</f>
        <v>45985.760000000002</v>
      </c>
      <c r="H36" s="15">
        <f>SUM(Jul!H36, Aug!H36, Sep!H36)</f>
        <v>-7564.760000000002</v>
      </c>
      <c r="I36" s="16">
        <f t="shared" si="11"/>
        <v>-0.16450222851595803</v>
      </c>
    </row>
    <row r="37" spans="1:9" ht="15.75">
      <c r="A37" s="49" t="str">
        <v>Greenfield USD - W.A. Kendrick ES</v>
      </c>
      <c r="B37" s="17" t="str">
        <v>CA</v>
      </c>
      <c r="C37" s="11">
        <f>SUM(Jul!C37, Aug!C37, Sep!C37)</f>
        <v>0</v>
      </c>
      <c r="D37" s="18">
        <f>SUM(Jul!D37, Aug!D37, Sep!D37)</f>
        <v>0</v>
      </c>
      <c r="E37" s="18">
        <f t="shared" si="9"/>
        <v>0</v>
      </c>
      <c r="F37" s="19" t="str">
        <f t="shared" si="10"/>
        <v/>
      </c>
      <c r="G37" s="20">
        <f>SUM(Jul!G37, Aug!G37, Sep!G37)</f>
        <v>17725.990000000002</v>
      </c>
      <c r="H37" s="20">
        <f>SUM(Jul!H37, Aug!H37, Sep!H37)</f>
        <v>-17725.990000000002</v>
      </c>
      <c r="I37" s="19">
        <f t="shared" si="11"/>
        <v>-1</v>
      </c>
    </row>
    <row r="38" spans="1:9" ht="15.75">
      <c r="A38" s="48" t="str">
        <v>Muroc Joint USD - Boron HS</v>
      </c>
      <c r="B38" s="12" t="str">
        <v>CA</v>
      </c>
      <c r="C38" s="24">
        <f>SUM(Jul!C38, Aug!C38, Sep!C38)</f>
        <v>0</v>
      </c>
      <c r="D38" s="13">
        <f>SUM(Jul!D38, Aug!D38, Sep!D38)</f>
        <v>0</v>
      </c>
      <c r="E38" s="13">
        <f t="shared" si="9"/>
        <v>0</v>
      </c>
      <c r="F38" s="14" t="str">
        <f t="shared" si="10"/>
        <v/>
      </c>
      <c r="G38" s="15">
        <f>SUM(Jul!G38, Aug!G38, Sep!G38)</f>
        <v>38193</v>
      </c>
      <c r="H38" s="15">
        <f>SUM(Jul!H38, Aug!H38, Sep!H38)</f>
        <v>-38193</v>
      </c>
      <c r="I38" s="16">
        <f t="shared" si="11"/>
        <v>-1</v>
      </c>
    </row>
    <row r="39" spans="1:9" ht="15.75">
      <c r="A39" s="49" t="str">
        <v>Muroc Joint USD - W. Boron ES</v>
      </c>
      <c r="B39" s="17" t="str">
        <v>CA</v>
      </c>
      <c r="C39" s="11">
        <f>SUM(Jul!C39, Aug!C39, Sep!C39)</f>
        <v>7600</v>
      </c>
      <c r="D39" s="18">
        <f>SUM(Jul!D39, Aug!D39, Sep!D39)</f>
        <v>0</v>
      </c>
      <c r="E39" s="18">
        <f t="shared" si="9"/>
        <v>7600</v>
      </c>
      <c r="F39" s="19" t="str">
        <f t="shared" si="10"/>
        <v/>
      </c>
      <c r="G39" s="20">
        <f>SUM(Jul!G39, Aug!G39, Sep!G39)</f>
        <v>14088.83</v>
      </c>
      <c r="H39" s="20">
        <f>SUM(Jul!H39, Aug!H39, Sep!H39)</f>
        <v>-6488.83</v>
      </c>
      <c r="I39" s="19">
        <f t="shared" si="11"/>
        <v>-0.46056556861002651</v>
      </c>
    </row>
    <row r="40" spans="1:9" ht="15.75">
      <c r="A40" s="48" t="str">
        <v>Colusa - WTP</v>
      </c>
      <c r="B40" s="12" t="str">
        <v>CA</v>
      </c>
      <c r="C40" s="24">
        <f>SUM(Jul!C40, Aug!C40, Sep!C40)</f>
        <v>0</v>
      </c>
      <c r="D40" s="13">
        <f>SUM(Jul!D40, Aug!D40, Sep!D40)</f>
        <v>0</v>
      </c>
      <c r="E40" s="13">
        <f t="shared" si="9"/>
        <v>0</v>
      </c>
      <c r="F40" s="14" t="str">
        <f t="shared" si="10"/>
        <v/>
      </c>
      <c r="G40" s="15">
        <f>SUM(Jul!G40, Aug!G40, Sep!G40)</f>
        <v>57962.212</v>
      </c>
      <c r="H40" s="15">
        <f>SUM(Jul!H40, Aug!H40, Sep!H40)</f>
        <v>-57962.212</v>
      </c>
      <c r="I40" s="16">
        <f t="shared" si="11"/>
        <v>-1</v>
      </c>
    </row>
    <row r="41" spans="1:9" ht="15.75">
      <c r="A41" s="49" t="str">
        <v>CDCR-North Kern State Prision</v>
      </c>
      <c r="B41" s="17" t="str">
        <v>CA</v>
      </c>
      <c r="C41" s="11">
        <f>SUM(Jul!C41, Aug!C41, Sep!C41)</f>
        <v>99430</v>
      </c>
      <c r="D41" s="18">
        <f>SUM(Jul!D41, Aug!D41, Sep!D41)</f>
        <v>0</v>
      </c>
      <c r="E41" s="18">
        <f t="shared" si="9"/>
        <v>99430</v>
      </c>
      <c r="F41" s="19" t="str">
        <f t="shared" si="10"/>
        <v/>
      </c>
      <c r="G41" s="20">
        <f>SUM(Jul!G41, Aug!G41, Sep!G41)</f>
        <v>250932.45</v>
      </c>
      <c r="H41" s="20">
        <f>SUM(Jul!H41, Aug!H41, Sep!H41)</f>
        <v>-151502.45000000001</v>
      </c>
      <c r="I41" s="19">
        <f t="shared" si="11"/>
        <v>-0.60375790377051675</v>
      </c>
    </row>
    <row r="42" spans="1:9" ht="15.75">
      <c r="A42" s="48" t="str">
        <v>Muroc Joint USD - District Office</v>
      </c>
      <c r="B42" s="12" t="str">
        <v>CA</v>
      </c>
      <c r="C42" s="24">
        <f>SUM(Jul!C42, Aug!C42, Sep!C42)</f>
        <v>3768</v>
      </c>
      <c r="D42" s="13">
        <f>SUM(Jul!D42, Aug!D42, Sep!D42)</f>
        <v>0</v>
      </c>
      <c r="E42" s="13">
        <f t="shared" si="9"/>
        <v>3768</v>
      </c>
      <c r="F42" s="14" t="str">
        <f t="shared" si="10"/>
        <v/>
      </c>
      <c r="G42" s="15">
        <f>SUM(Jul!G42, Aug!G42, Sep!G42)</f>
        <v>9935.02</v>
      </c>
      <c r="H42" s="15">
        <f>SUM(Jul!H42, Aug!H42, Sep!H42)</f>
        <v>-6167.02</v>
      </c>
      <c r="I42" s="16">
        <f t="shared" si="11"/>
        <v>-0.62073553953590432</v>
      </c>
    </row>
    <row r="43" spans="1:9" ht="15.75">
      <c r="A43" s="49" t="str">
        <v>Whole Foods - Manhattan Beach</v>
      </c>
      <c r="B43" s="17" t="str">
        <v>CA</v>
      </c>
      <c r="C43" s="11">
        <f>SUM(Jul!C43, Aug!C43, Sep!C43)</f>
        <v>20073</v>
      </c>
      <c r="D43" s="18">
        <f>SUM(Jul!D43, Aug!D43, Sep!D43)</f>
        <v>0</v>
      </c>
      <c r="E43" s="18">
        <f t="shared" si="9"/>
        <v>20073</v>
      </c>
      <c r="F43" s="19" t="str">
        <f t="shared" si="10"/>
        <v/>
      </c>
      <c r="G43" s="20">
        <f>SUM(Jul!G43, Aug!G43, Sep!G43)</f>
        <v>21967.919999999998</v>
      </c>
      <c r="H43" s="20">
        <f>SUM(Jul!H43, Aug!H43, Sep!H43)</f>
        <v>-1894.9199999999983</v>
      </c>
      <c r="I43" s="19">
        <f t="shared" si="11"/>
        <v>-8.6258507860552947E-2</v>
      </c>
    </row>
    <row r="44" spans="1:9" ht="15.75">
      <c r="A44" s="48" t="str">
        <v>Pioneer USD - Frontier ES</v>
      </c>
      <c r="B44" s="12" t="str">
        <v>CA</v>
      </c>
      <c r="C44" s="24">
        <f>SUM(Jul!C44, Aug!C44, Sep!C44)</f>
        <v>32052</v>
      </c>
      <c r="D44" s="13">
        <f>SUM(Jul!D44, Aug!D44, Sep!D44)</f>
        <v>0</v>
      </c>
      <c r="E44" s="13">
        <f t="shared" si="9"/>
        <v>32052</v>
      </c>
      <c r="F44" s="14" t="str">
        <f t="shared" si="10"/>
        <v/>
      </c>
      <c r="G44" s="15">
        <f>SUM(Jul!G44, Aug!G44, Sep!G44)</f>
        <v>39025.040000000001</v>
      </c>
      <c r="H44" s="15">
        <f>SUM(Jul!H44, Aug!H44, Sep!H44)</f>
        <v>-6973.0400000000009</v>
      </c>
      <c r="I44" s="16">
        <f t="shared" si="11"/>
        <v>-0.17868117495843697</v>
      </c>
    </row>
    <row r="45" spans="1:9" ht="15.75">
      <c r="A45" s="49" t="str">
        <v>Pioneer USD - Pioneer ES</v>
      </c>
      <c r="B45" s="17" t="str">
        <v>CA</v>
      </c>
      <c r="C45" s="11">
        <f>SUM(Jul!C45, Aug!C45, Sep!C45)</f>
        <v>18816</v>
      </c>
      <c r="D45" s="18">
        <f>SUM(Jul!D45, Aug!D45, Sep!D45)</f>
        <v>0</v>
      </c>
      <c r="E45" s="18">
        <f t="shared" si="9"/>
        <v>18816</v>
      </c>
      <c r="F45" s="19" t="str">
        <f t="shared" si="10"/>
        <v/>
      </c>
      <c r="G45" s="20">
        <f>SUM(Jul!G45, Aug!G45, Sep!G45)</f>
        <v>39672.160000000003</v>
      </c>
      <c r="H45" s="20">
        <f>SUM(Jul!H45, Aug!H45, Sep!H45)</f>
        <v>-20856.160000000003</v>
      </c>
      <c r="I45" s="19">
        <f t="shared" si="11"/>
        <v>-0.52571274163040282</v>
      </c>
    </row>
    <row r="46" spans="1:9" ht="15.75">
      <c r="A46" s="48" t="str">
        <v>Pioneer USD - Pioneer MS</v>
      </c>
      <c r="B46" s="12" t="str">
        <v>CA</v>
      </c>
      <c r="C46" s="24">
        <f>SUM(Jul!C46, Aug!C46, Sep!C46)</f>
        <v>40716</v>
      </c>
      <c r="D46" s="13">
        <f>SUM(Jul!D46, Aug!D46, Sep!D46)</f>
        <v>0</v>
      </c>
      <c r="E46" s="13">
        <f t="shared" si="9"/>
        <v>40716</v>
      </c>
      <c r="F46" s="14" t="str">
        <f t="shared" si="10"/>
        <v/>
      </c>
      <c r="G46" s="15">
        <f>SUM(Jul!G46, Aug!G46, Sep!G46)</f>
        <v>53195.61</v>
      </c>
      <c r="H46" s="15">
        <f>SUM(Jul!H46, Aug!H46, Sep!H46)</f>
        <v>-12479.61</v>
      </c>
      <c r="I46" s="16">
        <f t="shared" si="11"/>
        <v>-0.23459849412385722</v>
      </c>
    </row>
    <row r="47" spans="1:9" ht="15.75">
      <c r="A47" s="49" t="str">
        <v>Kingsburg Joint UHSD - Kingsburg HS</v>
      </c>
      <c r="B47" s="17" t="str">
        <v>CA</v>
      </c>
      <c r="C47" s="11">
        <f>SUM(Jul!C47, Aug!C47, Sep!C47)</f>
        <v>61245</v>
      </c>
      <c r="D47" s="18">
        <f>SUM(Jul!D47, Aug!D47, Sep!D47)</f>
        <v>0</v>
      </c>
      <c r="E47" s="18">
        <f t="shared" si="9"/>
        <v>61245</v>
      </c>
      <c r="F47" s="19" t="str">
        <f t="shared" si="10"/>
        <v/>
      </c>
      <c r="G47" s="20">
        <f>SUM(Jul!G47, Aug!G47, Sep!G47)</f>
        <v>91972.44</v>
      </c>
      <c r="H47" s="20">
        <f>SUM(Jul!H47, Aug!H47, Sep!H47)</f>
        <v>-30727.440000000002</v>
      </c>
      <c r="I47" s="19">
        <f t="shared" si="11"/>
        <v>-0.33409399598401435</v>
      </c>
    </row>
    <row r="48" spans="1:9" ht="15.75">
      <c r="A48" s="48" t="str">
        <v>CADRB</v>
      </c>
      <c r="B48" s="12" t="str">
        <v>CA</v>
      </c>
      <c r="C48" s="24">
        <f>SUM(Jul!C48, Aug!C48, Sep!C48)</f>
        <v>649009</v>
      </c>
      <c r="D48" s="13">
        <f>SUM(Jul!D48, Aug!D48, Sep!D48)</f>
        <v>0</v>
      </c>
      <c r="E48" s="13">
        <f t="shared" si="9"/>
        <v>649009</v>
      </c>
      <c r="F48" s="14" t="str">
        <f t="shared" si="10"/>
        <v/>
      </c>
      <c r="G48" s="15">
        <f>SUM(Jul!G48, Aug!G48, Sep!G48)</f>
        <v>838748</v>
      </c>
      <c r="H48" s="15">
        <f>SUM(Jul!H48, Aug!H48, Sep!H48)</f>
        <v>-189739</v>
      </c>
      <c r="I48" s="16">
        <f t="shared" si="11"/>
        <v>-0.22621693285706793</v>
      </c>
    </row>
    <row r="49" spans="1:9" ht="15.75">
      <c r="A49" s="49" t="str">
        <v>CDCR-CA State Prison LA County</v>
      </c>
      <c r="B49" s="17" t="str">
        <v>CA</v>
      </c>
      <c r="C49" s="11">
        <f>SUM(Jul!C49, Aug!C49, Sep!C49)</f>
        <v>304987</v>
      </c>
      <c r="D49" s="18">
        <f>SUM(Jul!D49, Aug!D49, Sep!D49)</f>
        <v>0</v>
      </c>
      <c r="E49" s="18">
        <f t="shared" si="9"/>
        <v>304987</v>
      </c>
      <c r="F49" s="19" t="str">
        <f t="shared" si="10"/>
        <v/>
      </c>
      <c r="G49" s="20">
        <f>SUM(Jul!G49, Aug!G49, Sep!G49)</f>
        <v>530579</v>
      </c>
      <c r="H49" s="20">
        <f>SUM(Jul!H49, Aug!H49, Sep!H49)</f>
        <v>-225592</v>
      </c>
      <c r="I49" s="19">
        <f t="shared" si="11"/>
        <v>-0.42518079305814971</v>
      </c>
    </row>
    <row r="50" spans="1:9" ht="15.75">
      <c r="A50" s="48" t="str">
        <v>Central USD Akers ES</v>
      </c>
      <c r="B50" s="12" t="str">
        <v>CA</v>
      </c>
      <c r="C50" s="24">
        <f>SUM(Jul!C50, Aug!C50, Sep!C50)</f>
        <v>30828</v>
      </c>
      <c r="D50" s="13">
        <f>SUM(Jul!D50, Aug!D50, Sep!D50)</f>
        <v>0</v>
      </c>
      <c r="E50" s="13">
        <f t="shared" si="9"/>
        <v>30828</v>
      </c>
      <c r="F50" s="14" t="str">
        <f t="shared" si="10"/>
        <v/>
      </c>
      <c r="G50" s="15">
        <f>SUM(Jul!G50, Aug!G50, Sep!G50)</f>
        <v>40023</v>
      </c>
      <c r="H50" s="15">
        <f>SUM(Jul!H50, Aug!H50, Sep!H50)</f>
        <v>-9195</v>
      </c>
      <c r="I50" s="16">
        <f t="shared" si="11"/>
        <v>-0.2297428978337456</v>
      </c>
    </row>
    <row r="51" spans="1:9" ht="15.75">
      <c r="A51" s="49" t="str">
        <v>CUSD - District Office</v>
      </c>
      <c r="B51" s="17" t="str">
        <v>CA</v>
      </c>
      <c r="C51" s="11">
        <f>SUM(Jul!C51, Aug!C51, Sep!C51)</f>
        <v>25512</v>
      </c>
      <c r="D51" s="18">
        <f>SUM(Jul!D51, Aug!D51, Sep!D51)</f>
        <v>0</v>
      </c>
      <c r="E51" s="18">
        <f t="shared" si="9"/>
        <v>25512</v>
      </c>
      <c r="F51" s="19" t="str">
        <f t="shared" si="10"/>
        <v/>
      </c>
      <c r="G51" s="20">
        <f>SUM(Jul!G51, Aug!G51, Sep!G51)</f>
        <v>33540.14</v>
      </c>
      <c r="H51" s="20">
        <f>SUM(Jul!H51, Aug!H51, Sep!H51)</f>
        <v>-8028.1399999999994</v>
      </c>
      <c r="I51" s="19">
        <f t="shared" si="11"/>
        <v>-0.23935916785081993</v>
      </c>
    </row>
    <row r="52" spans="1:9" ht="15.75">
      <c r="A52" s="48" t="str">
        <v>Parlier - WTP</v>
      </c>
      <c r="B52" s="12" t="str">
        <v>CA</v>
      </c>
      <c r="C52" s="24">
        <f>SUM(Jul!C52, Aug!C52, Sep!C52)</f>
        <v>43735</v>
      </c>
      <c r="D52" s="13">
        <f>SUM(Jul!D52, Aug!D52, Sep!D52)</f>
        <v>0</v>
      </c>
      <c r="E52" s="13">
        <f t="shared" si="9"/>
        <v>43735</v>
      </c>
      <c r="F52" s="14" t="str">
        <f t="shared" si="10"/>
        <v/>
      </c>
      <c r="G52" s="15">
        <f>SUM(Jul!G52, Aug!G52, Sep!G52)</f>
        <v>105214</v>
      </c>
      <c r="H52" s="15">
        <f>SUM(Jul!H52, Aug!H52, Sep!H52)</f>
        <v>-61479</v>
      </c>
      <c r="I52" s="16">
        <f t="shared" si="11"/>
        <v>-0.58432337901800135</v>
      </c>
    </row>
    <row r="53" spans="1:9" ht="15.75">
      <c r="A53" s="49" t="str">
        <v>Snowline SD - Quail Valley MS</v>
      </c>
      <c r="B53" s="17" t="str">
        <v>CA</v>
      </c>
      <c r="C53" s="11">
        <f>SUM(Jul!C53, Aug!C53, Sep!C53)</f>
        <v>46328</v>
      </c>
      <c r="D53" s="18">
        <f>SUM(Jul!D53, Aug!D53, Sep!D53)</f>
        <v>0</v>
      </c>
      <c r="E53" s="18">
        <f t="shared" si="9"/>
        <v>46328</v>
      </c>
      <c r="F53" s="19" t="str">
        <f t="shared" si="10"/>
        <v/>
      </c>
      <c r="G53" s="20">
        <f>SUM(Jul!G53, Aug!G53, Sep!G53)</f>
        <v>46059.09</v>
      </c>
      <c r="H53" s="20">
        <f>SUM(Jul!H53, Aug!H53, Sep!H53)</f>
        <v>268.91000000000349</v>
      </c>
      <c r="I53" s="19">
        <f t="shared" si="11"/>
        <v>5.8383697984481136E-3</v>
      </c>
    </row>
    <row r="54" spans="1:9" ht="15.75">
      <c r="A54" s="48" t="str">
        <v>Snowline SD - Serrano HS - Middle Lot</v>
      </c>
      <c r="B54" s="12" t="str">
        <v>CA</v>
      </c>
      <c r="C54" s="24">
        <f>SUM(Jul!C54, Aug!C54, Sep!C54)</f>
        <v>39558</v>
      </c>
      <c r="D54" s="13">
        <f>SUM(Jul!D54, Aug!D54, Sep!D54)</f>
        <v>0</v>
      </c>
      <c r="E54" s="13">
        <f t="shared" si="9"/>
        <v>39558</v>
      </c>
      <c r="F54" s="14" t="str">
        <f t="shared" si="10"/>
        <v/>
      </c>
      <c r="G54" s="15">
        <f>SUM(Jul!G54, Aug!G54, Sep!G54)</f>
        <v>55638</v>
      </c>
      <c r="H54" s="15">
        <f>SUM(Jul!H54, Aug!H54, Sep!H54)</f>
        <v>-16080</v>
      </c>
      <c r="I54" s="16">
        <f t="shared" si="11"/>
        <v>-0.2890111075164456</v>
      </c>
    </row>
    <row r="55" spans="1:9" ht="15.75">
      <c r="A55" s="49" t="str">
        <v>Snowline SD - Pinon Hills ES</v>
      </c>
      <c r="B55" s="17" t="str">
        <v>CA</v>
      </c>
      <c r="C55" s="11">
        <f>SUM(Jul!C55, Aug!C55, Sep!C55)</f>
        <v>0</v>
      </c>
      <c r="D55" s="18">
        <f>SUM(Jul!D55, Aug!D55, Sep!D55)</f>
        <v>0</v>
      </c>
      <c r="E55" s="18">
        <f t="shared" si="9"/>
        <v>0</v>
      </c>
      <c r="F55" s="19" t="str">
        <f t="shared" si="10"/>
        <v/>
      </c>
      <c r="G55" s="20">
        <f>SUM(Jul!G55, Aug!G55, Sep!G55)</f>
        <v>25006.66</v>
      </c>
      <c r="H55" s="20">
        <f>SUM(Jul!H55, Aug!H55, Sep!H55)</f>
        <v>-25006.66</v>
      </c>
      <c r="I55" s="19">
        <f t="shared" si="11"/>
        <v>-1</v>
      </c>
    </row>
    <row r="56" spans="1:9" ht="15.75">
      <c r="A56" s="48" t="str">
        <v>Ramona - Santa Maria WTP</v>
      </c>
      <c r="B56" s="12" t="str">
        <v>CA</v>
      </c>
      <c r="C56" s="24">
        <f>SUM(Jul!C56, Aug!C56, Sep!C56)</f>
        <v>75841</v>
      </c>
      <c r="D56" s="13">
        <f>SUM(Jul!D56, Aug!D56, Sep!D56)</f>
        <v>0</v>
      </c>
      <c r="E56" s="13">
        <f t="shared" si="9"/>
        <v>75841</v>
      </c>
      <c r="F56" s="14" t="str">
        <f t="shared" si="10"/>
        <v/>
      </c>
      <c r="G56" s="15">
        <f>SUM(Jul!G56, Aug!G56, Sep!G56)</f>
        <v>85658.65</v>
      </c>
      <c r="H56" s="15">
        <f>SUM(Jul!H56, Aug!H56, Sep!H56)</f>
        <v>-9817.6499999999942</v>
      </c>
      <c r="I56" s="16">
        <f t="shared" si="11"/>
        <v>-0.114613643805967</v>
      </c>
    </row>
    <row r="57" spans="1:9" ht="15.75">
      <c r="A57" s="49" t="str">
        <v>Kohls - Redding</v>
      </c>
      <c r="B57" s="17" t="str">
        <v>CA</v>
      </c>
      <c r="C57" s="11">
        <f>SUM(Jul!C57, Aug!C57, Sep!C57)</f>
        <v>3328</v>
      </c>
      <c r="D57" s="18">
        <f>SUM(Jul!D57, Aug!D57, Sep!D57)</f>
        <v>0</v>
      </c>
      <c r="E57" s="18">
        <f t="shared" si="9"/>
        <v>3328</v>
      </c>
      <c r="F57" s="19" t="str">
        <f t="shared" si="10"/>
        <v/>
      </c>
      <c r="G57" s="20">
        <f>SUM(Jul!G57, Aug!G57, Sep!G57)</f>
        <v>34726.47</v>
      </c>
      <c r="H57" s="20">
        <f>SUM(Jul!H57, Aug!H57, Sep!H57)</f>
        <v>-31398.47</v>
      </c>
      <c r="I57" s="19">
        <f t="shared" si="11"/>
        <v>-0.90416532403091932</v>
      </c>
    </row>
    <row r="58" spans="1:9" ht="15.75">
      <c r="A58" s="48" t="str">
        <v>Kohls - Salinas</v>
      </c>
      <c r="B58" s="12" t="str">
        <v>CA</v>
      </c>
      <c r="C58" s="24">
        <f>SUM(Jul!C58, Aug!C58, Sep!C58)</f>
        <v>40543</v>
      </c>
      <c r="D58" s="13">
        <f>SUM(Jul!D58, Aug!D58, Sep!D58)</f>
        <v>0</v>
      </c>
      <c r="E58" s="13">
        <f t="shared" si="9"/>
        <v>40543</v>
      </c>
      <c r="F58" s="14" t="str">
        <f t="shared" si="10"/>
        <v/>
      </c>
      <c r="G58" s="15">
        <f>SUM(Jul!G58, Aug!G58, Sep!G58)</f>
        <v>50234.44</v>
      </c>
      <c r="H58" s="15">
        <f>SUM(Jul!H58, Aug!H58, Sep!H58)</f>
        <v>-9691.4400000000023</v>
      </c>
      <c r="I58" s="16">
        <f t="shared" si="11"/>
        <v>-0.1929242169316509</v>
      </c>
    </row>
    <row r="59" spans="1:9" ht="15.75">
      <c r="A59" s="49" t="str">
        <v>Kohls - San Bernardino - Central</v>
      </c>
      <c r="B59" s="17" t="str">
        <v>CA</v>
      </c>
      <c r="C59" s="11">
        <f>SUM(Jul!C59, Aug!C59, Sep!C59)</f>
        <v>133441</v>
      </c>
      <c r="D59" s="18">
        <f>SUM(Jul!D59, Aug!D59, Sep!D59)</f>
        <v>0</v>
      </c>
      <c r="E59" s="18">
        <f t="shared" si="9"/>
        <v>133441</v>
      </c>
      <c r="F59" s="19" t="str">
        <f t="shared" si="10"/>
        <v/>
      </c>
      <c r="G59" s="20">
        <f>SUM(Jul!G59, Aug!G59, Sep!G59)</f>
        <v>160429.9</v>
      </c>
      <c r="H59" s="20">
        <f>SUM(Jul!H59, Aug!H59, Sep!H59)</f>
        <v>-26988.899999999994</v>
      </c>
      <c r="I59" s="19">
        <f t="shared" si="11"/>
        <v>-0.1682286157380887</v>
      </c>
    </row>
    <row r="60" spans="1:9" ht="15.75">
      <c r="A60" s="48" t="str">
        <v>Kohls - Sonora</v>
      </c>
      <c r="B60" s="12" t="str">
        <v>CA</v>
      </c>
      <c r="C60" s="24">
        <f>SUM(Jul!C60, Aug!C60, Sep!C60)</f>
        <v>32035</v>
      </c>
      <c r="D60" s="13">
        <f>SUM(Jul!D60, Aug!D60, Sep!D60)</f>
        <v>0</v>
      </c>
      <c r="E60" s="13">
        <f t="shared" si="9"/>
        <v>32035</v>
      </c>
      <c r="F60" s="14" t="str">
        <f t="shared" si="10"/>
        <v/>
      </c>
      <c r="G60" s="15">
        <f>SUM(Jul!G60, Aug!G60, Sep!G60)</f>
        <v>35172.44</v>
      </c>
      <c r="H60" s="15">
        <f>SUM(Jul!H60, Aug!H60, Sep!H60)</f>
        <v>-3137.4400000000023</v>
      </c>
      <c r="I60" s="16">
        <f t="shared" si="11"/>
        <v>-8.9201659026214908E-2</v>
      </c>
    </row>
    <row r="61" spans="1:9" ht="15.75">
      <c r="A61" s="49" t="str">
        <v>CUSD - Stratford ES</v>
      </c>
      <c r="B61" s="17" t="str">
        <v>CA</v>
      </c>
      <c r="C61" s="11">
        <f>SUM(Jul!C61, Aug!C61, Sep!C61)</f>
        <v>24519</v>
      </c>
      <c r="D61" s="18">
        <f>SUM(Jul!D61, Aug!D61, Sep!D61)</f>
        <v>0</v>
      </c>
      <c r="E61" s="18">
        <f t="shared" si="9"/>
        <v>24519</v>
      </c>
      <c r="F61" s="19" t="str">
        <f t="shared" si="10"/>
        <v/>
      </c>
      <c r="G61" s="20">
        <f>SUM(Jul!G61, Aug!G61, Sep!G61)</f>
        <v>24455.16</v>
      </c>
      <c r="H61" s="20">
        <f>SUM(Jul!H61, Aug!H61, Sep!H61)</f>
        <v>63.840000000000146</v>
      </c>
      <c r="I61" s="19">
        <f t="shared" si="11"/>
        <v>2.6104920188622827E-3</v>
      </c>
    </row>
    <row r="62" spans="1:9" ht="15.75">
      <c r="A62" s="48" t="str">
        <v>Taft - City Hall</v>
      </c>
      <c r="B62" s="12" t="str">
        <v>CA</v>
      </c>
      <c r="C62" s="24">
        <f>SUM(Jul!C62, Aug!C62, Sep!C62)</f>
        <v>7913</v>
      </c>
      <c r="D62" s="13">
        <f>SUM(Jul!D62, Aug!D62, Sep!D62)</f>
        <v>0</v>
      </c>
      <c r="E62" s="13">
        <f t="shared" si="9"/>
        <v>7913</v>
      </c>
      <c r="F62" s="14" t="str">
        <f t="shared" si="10"/>
        <v/>
      </c>
      <c r="G62" s="15">
        <f>SUM(Jul!G62, Aug!G62, Sep!G62)</f>
        <v>10929.73</v>
      </c>
      <c r="H62" s="15">
        <f>SUM(Jul!H62, Aug!H62, Sep!H62)</f>
        <v>-3016.7299999999996</v>
      </c>
      <c r="I62" s="16">
        <f t="shared" si="11"/>
        <v>-0.27601139277914455</v>
      </c>
    </row>
    <row r="63" spans="1:9" ht="15.75">
      <c r="A63" s="49" t="str">
        <v>Taft - Federal Prison</v>
      </c>
      <c r="B63" s="17" t="str">
        <v>CA</v>
      </c>
      <c r="C63" s="11">
        <f>SUM(Jul!C63, Aug!C63, Sep!C63)</f>
        <v>8481</v>
      </c>
      <c r="D63" s="18">
        <f>SUM(Jul!D63, Aug!D63, Sep!D63)</f>
        <v>0</v>
      </c>
      <c r="E63" s="18">
        <f t="shared" si="9"/>
        <v>8481</v>
      </c>
      <c r="F63" s="19" t="str">
        <f t="shared" si="10"/>
        <v/>
      </c>
      <c r="G63" s="20">
        <f>SUM(Jul!G63, Aug!G63, Sep!G63)</f>
        <v>17202.07</v>
      </c>
      <c r="H63" s="20">
        <f>SUM(Jul!H63, Aug!H63, Sep!H63)</f>
        <v>-8721.07</v>
      </c>
      <c r="I63" s="19">
        <f t="shared" si="11"/>
        <v>-0.50697793928288859</v>
      </c>
    </row>
    <row r="64" spans="1:9" ht="15.75">
      <c r="A64" s="48" t="str">
        <v>Taft - Police Department</v>
      </c>
      <c r="B64" s="12" t="str">
        <v>CA</v>
      </c>
      <c r="C64" s="24">
        <f>SUM(Jul!C64, Aug!C64, Sep!C64)</f>
        <v>13121</v>
      </c>
      <c r="D64" s="13">
        <f>SUM(Jul!D64, Aug!D64, Sep!D64)</f>
        <v>0</v>
      </c>
      <c r="E64" s="13">
        <f t="shared" si="9"/>
        <v>13121</v>
      </c>
      <c r="F64" s="14" t="str">
        <f t="shared" si="10"/>
        <v/>
      </c>
      <c r="G64" s="15">
        <f>SUM(Jul!G64, Aug!G64, Sep!G64)</f>
        <v>12499.65</v>
      </c>
      <c r="H64" s="15">
        <f>SUM(Jul!H64, Aug!H64, Sep!H64)</f>
        <v>621.35000000000036</v>
      </c>
      <c r="I64" s="16">
        <f t="shared" si="11"/>
        <v>4.9709391862972192E-2</v>
      </c>
    </row>
    <row r="65" spans="1:9" ht="15.75">
      <c r="A65" s="49" t="str">
        <v>Taft - WTP</v>
      </c>
      <c r="B65" s="17" t="str">
        <v>CA</v>
      </c>
      <c r="C65" s="11">
        <f>SUM(Jul!C65, Aug!C65, Sep!C65)</f>
        <v>0</v>
      </c>
      <c r="D65" s="18">
        <f>SUM(Jul!D65, Aug!D65, Sep!D65)</f>
        <v>0</v>
      </c>
      <c r="E65" s="18">
        <f t="shared" si="9"/>
        <v>0</v>
      </c>
      <c r="F65" s="19" t="str">
        <f t="shared" si="10"/>
        <v/>
      </c>
      <c r="G65" s="20">
        <f>SUM(Jul!G65, Aug!G65, Sep!G65)</f>
        <v>0</v>
      </c>
      <c r="H65" s="20">
        <f>SUM(Jul!H65, Aug!H65, Sep!H65)</f>
        <v>0</v>
      </c>
      <c r="I65" s="19" t="str">
        <f t="shared" si="11"/>
        <v/>
      </c>
    </row>
    <row r="66" spans="1:9" ht="15.75">
      <c r="A66" s="48" t="str">
        <v>CDCR - CA Correctional Institution</v>
      </c>
      <c r="B66" s="12" t="str">
        <v>CA</v>
      </c>
      <c r="C66" s="24">
        <f>SUM(Jul!C66, Aug!C66, Sep!C66)</f>
        <v>7488</v>
      </c>
      <c r="D66" s="13">
        <f>SUM(Jul!D66, Aug!D66, Sep!D66)</f>
        <v>0</v>
      </c>
      <c r="E66" s="13">
        <f t="shared" si="9"/>
        <v>7488</v>
      </c>
      <c r="F66" s="14" t="str">
        <f t="shared" si="10"/>
        <v/>
      </c>
      <c r="G66" s="15">
        <f>SUM(Jul!G66, Aug!G66, Sep!G66)</f>
        <v>26205.7</v>
      </c>
      <c r="H66" s="15">
        <f>SUM(Jul!H66, Aug!H66, Sep!H66)</f>
        <v>-18717.7</v>
      </c>
      <c r="I66" s="16">
        <f t="shared" si="11"/>
        <v>-0.71426063795281181</v>
      </c>
    </row>
    <row r="67" spans="1:9" ht="15.75">
      <c r="A67" s="49" t="str">
        <v>CDCR - CA Correctional Institution II</v>
      </c>
      <c r="B67" s="17" t="str">
        <v>CA</v>
      </c>
      <c r="C67" s="11">
        <f>SUM(Jul!C67, Aug!C67, Sep!C67)</f>
        <v>81731</v>
      </c>
      <c r="D67" s="18">
        <f>SUM(Jul!D67, Aug!D67, Sep!D67)</f>
        <v>0</v>
      </c>
      <c r="E67" s="18">
        <f t="shared" si="9"/>
        <v>81731</v>
      </c>
      <c r="F67" s="19" t="str">
        <f t="shared" si="10"/>
        <v/>
      </c>
      <c r="G67" s="20">
        <f>SUM(Jul!G67, Aug!G67, Sep!G67)</f>
        <v>390993</v>
      </c>
      <c r="H67" s="20">
        <f>SUM(Jul!H67, Aug!H67, Sep!H67)</f>
        <v>-309262</v>
      </c>
      <c r="I67" s="19">
        <f t="shared" si="11"/>
        <v>-0.79096556715849131</v>
      </c>
    </row>
    <row r="68" spans="1:9" ht="15.75">
      <c r="A68" s="48" t="str">
        <v>Snowline SD - Vista Verde ES</v>
      </c>
      <c r="B68" s="12" t="str">
        <v>CA</v>
      </c>
      <c r="C68" s="24">
        <f>SUM(Jul!C68, Aug!C68, Sep!C68)</f>
        <v>33695</v>
      </c>
      <c r="D68" s="13">
        <f>SUM(Jul!D68, Aug!D68, Sep!D68)</f>
        <v>0</v>
      </c>
      <c r="E68" s="13">
        <f t="shared" si="9"/>
        <v>33695</v>
      </c>
      <c r="F68" s="14" t="str">
        <f t="shared" si="10"/>
        <v/>
      </c>
      <c r="G68" s="15">
        <f>SUM(Jul!G68, Aug!G68, Sep!G68)</f>
        <v>33905.040000000001</v>
      </c>
      <c r="H68" s="15">
        <f>SUM(Jul!H68, Aug!H68, Sep!H68)</f>
        <v>-210.04000000000087</v>
      </c>
      <c r="I68" s="16">
        <f t="shared" si="11"/>
        <v>-6.194949187495454E-3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M43" sqref="M4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Silicon Ranch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9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48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49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48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49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48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49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48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49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48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49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48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49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75">
      <c r="A19" s="49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0" si="6">IF(AND(ISNUMBER(C19),ISNUMBER(D19)), C19-D19, "")</f>
        <v>0</v>
      </c>
      <c r="F19" s="14" t="str">
        <f t="shared" ref="F19:F20" si="7">IFERROR(E19/D19, "")</f>
        <v/>
      </c>
      <c r="G19" s="15"/>
      <c r="H19" s="15">
        <f>SUM(Oct!H19, Nov!H19, Dec!H19)</f>
        <v>0</v>
      </c>
      <c r="I19" s="16" t="str">
        <f t="shared" ref="I19:I20" si="8">IFERROR(H19/G19, "")</f>
        <v/>
      </c>
    </row>
    <row r="20" spans="1:9" ht="15.75">
      <c r="A20" s="48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75">
      <c r="A21" s="49" t="str">
        <v>Kohls - Middletown</v>
      </c>
      <c r="B21" s="10" t="str">
        <v>NJ</v>
      </c>
      <c r="C21" s="24">
        <f>SUM(Oct!C21, Nov!C21, Dec!C21)</f>
        <v>0</v>
      </c>
      <c r="D21" s="13">
        <f>SUM(Oct!D21, Nov!D21, Dec!D21)</f>
        <v>0</v>
      </c>
      <c r="E21" s="13">
        <f t="shared" ref="E21:E68" si="9">IF(AND(ISNUMBER(C21),ISNUMBER(D21)), C21-D21, "")</f>
        <v>0</v>
      </c>
      <c r="F21" s="14" t="str">
        <f t="shared" ref="F21:F68" si="10">IFERROR(E21/D21, "")</f>
        <v/>
      </c>
      <c r="G21" s="15"/>
      <c r="H21" s="15">
        <f>SUM(Oct!H21, Nov!H21, Dec!H21)</f>
        <v>0</v>
      </c>
      <c r="I21" s="16" t="str">
        <f t="shared" ref="I21:I68" si="11">IFERROR(H21/G21, "")</f>
        <v/>
      </c>
    </row>
    <row r="22" spans="1:9" ht="15.75">
      <c r="A22" s="48" t="str">
        <v>Kohls - North Amherst</v>
      </c>
      <c r="B22" s="9" t="str">
        <v>NY</v>
      </c>
      <c r="C22" s="11">
        <f>SUM(Oct!C22, Nov!C22, Dec!C22)</f>
        <v>0</v>
      </c>
      <c r="D22" s="18">
        <f>SUM(Oct!D22, Nov!D22, Dec!D22)</f>
        <v>0</v>
      </c>
      <c r="E22" s="18">
        <f t="shared" si="9"/>
        <v>0</v>
      </c>
      <c r="F22" s="19" t="str">
        <f t="shared" si="10"/>
        <v/>
      </c>
      <c r="G22" s="20"/>
      <c r="H22" s="20">
        <f>SUM(Oct!H22, Nov!H22, Dec!H22)</f>
        <v>0</v>
      </c>
      <c r="I22" s="19" t="str">
        <f t="shared" si="11"/>
        <v/>
      </c>
    </row>
    <row r="23" spans="1:9" ht="15.75">
      <c r="A23" s="49" t="str">
        <v>Kohls - Staten Island</v>
      </c>
      <c r="B23" s="10" t="str">
        <v>NY</v>
      </c>
      <c r="C23" s="24">
        <f>SUM(Oct!C23, Nov!C23, Dec!C23)</f>
        <v>0</v>
      </c>
      <c r="D23" s="13">
        <f>SUM(Oct!D23, Nov!D23, Dec!D23)</f>
        <v>0</v>
      </c>
      <c r="E23" s="13">
        <f t="shared" si="9"/>
        <v>0</v>
      </c>
      <c r="F23" s="14" t="str">
        <f t="shared" si="10"/>
        <v/>
      </c>
      <c r="G23" s="15"/>
      <c r="H23" s="15">
        <f>SUM(Oct!H23, Nov!H23, Dec!H23)</f>
        <v>0</v>
      </c>
      <c r="I23" s="16" t="str">
        <f t="shared" si="11"/>
        <v/>
      </c>
    </row>
    <row r="24" spans="1:9" ht="15.75">
      <c r="A24" s="48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9"/>
        <v>0</v>
      </c>
      <c r="F24" s="19" t="str">
        <f t="shared" si="10"/>
        <v/>
      </c>
      <c r="G24" s="20"/>
      <c r="H24" s="20">
        <f>SUM(Oct!H24, Nov!H24, Dec!H24)</f>
        <v>0</v>
      </c>
      <c r="I24" s="19" t="str">
        <f t="shared" si="11"/>
        <v/>
      </c>
    </row>
    <row r="25" spans="1:9" ht="15.75">
      <c r="A25" s="49" t="str">
        <v xml:space="preserve">Kohls - Waterbury </v>
      </c>
      <c r="B25" s="10" t="str">
        <v>CT</v>
      </c>
      <c r="C25" s="24">
        <f>SUM(Oct!C25, Nov!C25, Dec!C25)</f>
        <v>0</v>
      </c>
      <c r="D25" s="13">
        <f>SUM(Oct!D25, Nov!D25, Dec!D25)</f>
        <v>0</v>
      </c>
      <c r="E25" s="13">
        <f t="shared" si="9"/>
        <v>0</v>
      </c>
      <c r="F25" s="14" t="str">
        <f t="shared" si="10"/>
        <v/>
      </c>
      <c r="G25" s="15"/>
      <c r="H25" s="15">
        <f>SUM(Oct!H25, Nov!H25, Dec!H25)</f>
        <v>0</v>
      </c>
      <c r="I25" s="16" t="str">
        <f t="shared" si="11"/>
        <v/>
      </c>
    </row>
    <row r="26" spans="1:9" ht="15.75">
      <c r="A26" s="48" t="str">
        <v>Mojave Water Agency - Headquarters</v>
      </c>
      <c r="B26" s="9" t="str">
        <v>CA</v>
      </c>
      <c r="C26" s="11">
        <f>SUM(Oct!C26, Nov!C26, Dec!C26)</f>
        <v>0</v>
      </c>
      <c r="D26" s="18">
        <f>SUM(Oct!D26, Nov!D26, Dec!D26)</f>
        <v>0</v>
      </c>
      <c r="E26" s="18">
        <f t="shared" si="9"/>
        <v>0</v>
      </c>
      <c r="F26" s="19" t="str">
        <f t="shared" si="10"/>
        <v/>
      </c>
      <c r="G26" s="20"/>
      <c r="H26" s="20">
        <f>SUM(Oct!H26, Nov!H26, Dec!H26)</f>
        <v>0</v>
      </c>
      <c r="I26" s="19" t="str">
        <f t="shared" si="11"/>
        <v/>
      </c>
    </row>
    <row r="27" spans="1:9" ht="15.75">
      <c r="A27" s="49" t="str">
        <v>CSU - Bakersfield</v>
      </c>
      <c r="B27" s="10" t="str">
        <v>CA</v>
      </c>
      <c r="C27" s="24">
        <f>SUM(Oct!C27, Nov!C27, Dec!C27)</f>
        <v>0</v>
      </c>
      <c r="D27" s="13">
        <f>SUM(Oct!D27, Nov!D27, Dec!D27)</f>
        <v>0</v>
      </c>
      <c r="E27" s="13">
        <f t="shared" si="9"/>
        <v>0</v>
      </c>
      <c r="F27" s="14" t="str">
        <f t="shared" si="10"/>
        <v/>
      </c>
      <c r="G27" s="15"/>
      <c r="H27" s="15">
        <f>SUM(Oct!H27, Nov!H27, Dec!H27)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11">
        <f>SUM(Oct!C28, Nov!C28, Dec!C28)</f>
        <v>0</v>
      </c>
      <c r="D28" s="18">
        <f>SUM(Oct!D28, Nov!D28, Dec!D28)</f>
        <v>0</v>
      </c>
      <c r="E28" s="18">
        <f t="shared" si="9"/>
        <v>0</v>
      </c>
      <c r="F28" s="19" t="str">
        <f t="shared" si="10"/>
        <v/>
      </c>
      <c r="G28" s="20"/>
      <c r="H28" s="20">
        <f>SUM(Oct!H28, Nov!H28, Dec!H28)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24">
        <f>SUM(Oct!C29, Nov!C29, Dec!C29)</f>
        <v>0</v>
      </c>
      <c r="D29" s="13">
        <f>SUM(Oct!D29, Nov!D29, Dec!D29)</f>
        <v>0</v>
      </c>
      <c r="E29" s="13">
        <f t="shared" si="9"/>
        <v>0</v>
      </c>
      <c r="F29" s="14" t="str">
        <f t="shared" si="10"/>
        <v/>
      </c>
      <c r="G29" s="15"/>
      <c r="H29" s="15">
        <f>SUM(Oct!H29, Nov!H29, Dec!H29)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11">
        <f>SUM(Oct!C30, Nov!C30, Dec!C30)</f>
        <v>0</v>
      </c>
      <c r="D30" s="18">
        <f>SUM(Oct!D30, Nov!D30, Dec!D30)</f>
        <v>0</v>
      </c>
      <c r="E30" s="18">
        <f t="shared" si="9"/>
        <v>0</v>
      </c>
      <c r="F30" s="19" t="str">
        <f t="shared" si="10"/>
        <v/>
      </c>
      <c r="G30" s="20"/>
      <c r="H30" s="20">
        <f>SUM(Oct!H30, Nov!H30, Dec!H30)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24">
        <f>SUM(Oct!C31, Nov!C31, Dec!C31)</f>
        <v>0</v>
      </c>
      <c r="D31" s="13">
        <f>SUM(Oct!D31, Nov!D31, Dec!D31)</f>
        <v>0</v>
      </c>
      <c r="E31" s="13">
        <f t="shared" si="9"/>
        <v>0</v>
      </c>
      <c r="F31" s="14" t="str">
        <f t="shared" si="10"/>
        <v/>
      </c>
      <c r="G31" s="15"/>
      <c r="H31" s="15">
        <f>SUM(Oct!H31, Nov!H31, Dec!H31)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11">
        <f>SUM(Oct!C32, Nov!C32, Dec!C32)</f>
        <v>0</v>
      </c>
      <c r="D32" s="18">
        <f>SUM(Oct!D32, Nov!D32, Dec!D32)</f>
        <v>0</v>
      </c>
      <c r="E32" s="18">
        <f t="shared" si="9"/>
        <v>0</v>
      </c>
      <c r="F32" s="19" t="str">
        <f t="shared" si="10"/>
        <v/>
      </c>
      <c r="G32" s="20"/>
      <c r="H32" s="20">
        <f>SUM(Oct!H32, Nov!H32, Dec!H32)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24">
        <f>SUM(Oct!C33, Nov!C33, Dec!C33)</f>
        <v>0</v>
      </c>
      <c r="D33" s="13">
        <f>SUM(Oct!D33, Nov!D33, Dec!D33)</f>
        <v>0</v>
      </c>
      <c r="E33" s="13">
        <f t="shared" si="9"/>
        <v>0</v>
      </c>
      <c r="F33" s="14" t="str">
        <f t="shared" si="10"/>
        <v/>
      </c>
      <c r="G33" s="15"/>
      <c r="H33" s="15">
        <f>SUM(Oct!H33, Nov!H33, Dec!H33)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11">
        <f>SUM(Oct!C34, Nov!C34, Dec!C34)</f>
        <v>0</v>
      </c>
      <c r="D34" s="18">
        <f>SUM(Oct!D34, Nov!D34, Dec!D34)</f>
        <v>0</v>
      </c>
      <c r="E34" s="18">
        <f t="shared" si="9"/>
        <v>0</v>
      </c>
      <c r="F34" s="19" t="str">
        <f t="shared" si="10"/>
        <v/>
      </c>
      <c r="G34" s="20"/>
      <c r="H34" s="20">
        <f>SUM(Oct!H34, Nov!H34, Dec!H34)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24">
        <f>SUM(Oct!C35, Nov!C35, Dec!C35)</f>
        <v>0</v>
      </c>
      <c r="D35" s="13">
        <f>SUM(Oct!D35, Nov!D35, Dec!D35)</f>
        <v>0</v>
      </c>
      <c r="E35" s="13">
        <f t="shared" si="9"/>
        <v>0</v>
      </c>
      <c r="F35" s="14" t="str">
        <f t="shared" si="10"/>
        <v/>
      </c>
      <c r="G35" s="15"/>
      <c r="H35" s="15">
        <f>SUM(Oct!H35, Nov!H35, Dec!H35)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11">
        <f>SUM(Oct!C36, Nov!C36, Dec!C36)</f>
        <v>0</v>
      </c>
      <c r="D36" s="18">
        <f>SUM(Oct!D36, Nov!D36, Dec!D36)</f>
        <v>0</v>
      </c>
      <c r="E36" s="18">
        <f t="shared" si="9"/>
        <v>0</v>
      </c>
      <c r="F36" s="19" t="str">
        <f t="shared" si="10"/>
        <v/>
      </c>
      <c r="G36" s="20"/>
      <c r="H36" s="20">
        <f>SUM(Oct!H36, Nov!H36, Dec!H36)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24">
        <f>SUM(Oct!C37, Nov!C37, Dec!C37)</f>
        <v>0</v>
      </c>
      <c r="D37" s="13">
        <f>SUM(Oct!D37, Nov!D37, Dec!D37)</f>
        <v>0</v>
      </c>
      <c r="E37" s="13">
        <f t="shared" si="9"/>
        <v>0</v>
      </c>
      <c r="F37" s="14" t="str">
        <f t="shared" si="10"/>
        <v/>
      </c>
      <c r="G37" s="15"/>
      <c r="H37" s="15">
        <f>SUM(Oct!H37, Nov!H37, Dec!H37)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11">
        <f>SUM(Oct!C38, Nov!C38, Dec!C38)</f>
        <v>0</v>
      </c>
      <c r="D38" s="18">
        <f>SUM(Oct!D38, Nov!D38, Dec!D38)</f>
        <v>0</v>
      </c>
      <c r="E38" s="18">
        <f t="shared" si="9"/>
        <v>0</v>
      </c>
      <c r="F38" s="19" t="str">
        <f t="shared" si="10"/>
        <v/>
      </c>
      <c r="G38" s="20"/>
      <c r="H38" s="20">
        <f>SUM(Oct!H38, Nov!H38, Dec!H38)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24">
        <f>SUM(Oct!C39, Nov!C39, Dec!C39)</f>
        <v>0</v>
      </c>
      <c r="D39" s="13">
        <f>SUM(Oct!D39, Nov!D39, Dec!D39)</f>
        <v>0</v>
      </c>
      <c r="E39" s="13">
        <f t="shared" si="9"/>
        <v>0</v>
      </c>
      <c r="F39" s="14" t="str">
        <f t="shared" si="10"/>
        <v/>
      </c>
      <c r="G39" s="15"/>
      <c r="H39" s="15">
        <f>SUM(Oct!H39, Nov!H39, Dec!H39)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11">
        <f>SUM(Oct!C40, Nov!C40, Dec!C40)</f>
        <v>0</v>
      </c>
      <c r="D40" s="18">
        <f>SUM(Oct!D40, Nov!D40, Dec!D40)</f>
        <v>0</v>
      </c>
      <c r="E40" s="18">
        <f t="shared" si="9"/>
        <v>0</v>
      </c>
      <c r="F40" s="19" t="str">
        <f t="shared" si="10"/>
        <v/>
      </c>
      <c r="G40" s="20"/>
      <c r="H40" s="20">
        <f>SUM(Oct!H40, Nov!H40, Dec!H40)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24">
        <f>SUM(Oct!C41, Nov!C41, Dec!C41)</f>
        <v>0</v>
      </c>
      <c r="D41" s="13">
        <f>SUM(Oct!D41, Nov!D41, Dec!D41)</f>
        <v>0</v>
      </c>
      <c r="E41" s="13">
        <f t="shared" si="9"/>
        <v>0</v>
      </c>
      <c r="F41" s="14" t="str">
        <f t="shared" si="10"/>
        <v/>
      </c>
      <c r="G41" s="15"/>
      <c r="H41" s="15">
        <f>SUM(Oct!H41, Nov!H41, Dec!H41)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11">
        <f>SUM(Oct!C42, Nov!C42, Dec!C42)</f>
        <v>0</v>
      </c>
      <c r="D42" s="18">
        <f>SUM(Oct!D42, Nov!D42, Dec!D42)</f>
        <v>0</v>
      </c>
      <c r="E42" s="18">
        <f t="shared" si="9"/>
        <v>0</v>
      </c>
      <c r="F42" s="19" t="str">
        <f t="shared" si="10"/>
        <v/>
      </c>
      <c r="G42" s="20"/>
      <c r="H42" s="20">
        <f>SUM(Oct!H42, Nov!H42, Dec!H42)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24">
        <f>SUM(Oct!C43, Nov!C43, Dec!C43)</f>
        <v>0</v>
      </c>
      <c r="D43" s="13">
        <f>SUM(Oct!D43, Nov!D43, Dec!D43)</f>
        <v>0</v>
      </c>
      <c r="E43" s="13">
        <f t="shared" si="9"/>
        <v>0</v>
      </c>
      <c r="F43" s="14" t="str">
        <f t="shared" si="10"/>
        <v/>
      </c>
      <c r="G43" s="15"/>
      <c r="H43" s="15">
        <f>SUM(Oct!H43, Nov!H43, Dec!H43)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11">
        <f>SUM(Oct!C44, Nov!C44, Dec!C44)</f>
        <v>0</v>
      </c>
      <c r="D44" s="18">
        <f>SUM(Oct!D44, Nov!D44, Dec!D44)</f>
        <v>0</v>
      </c>
      <c r="E44" s="18">
        <f t="shared" si="9"/>
        <v>0</v>
      </c>
      <c r="F44" s="19" t="str">
        <f t="shared" si="10"/>
        <v/>
      </c>
      <c r="G44" s="20"/>
      <c r="H44" s="20">
        <f>SUM(Oct!H44, Nov!H44, Dec!H44)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24">
        <f>SUM(Oct!C45, Nov!C45, Dec!C45)</f>
        <v>0</v>
      </c>
      <c r="D45" s="13">
        <f>SUM(Oct!D45, Nov!D45, Dec!D45)</f>
        <v>0</v>
      </c>
      <c r="E45" s="13">
        <f t="shared" si="9"/>
        <v>0</v>
      </c>
      <c r="F45" s="14" t="str">
        <f t="shared" si="10"/>
        <v/>
      </c>
      <c r="G45" s="15"/>
      <c r="H45" s="15">
        <f>SUM(Oct!H45, Nov!H45, Dec!H45)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11">
        <f>SUM(Oct!C46, Nov!C46, Dec!C46)</f>
        <v>0</v>
      </c>
      <c r="D46" s="18">
        <f>SUM(Oct!D46, Nov!D46, Dec!D46)</f>
        <v>0</v>
      </c>
      <c r="E46" s="18">
        <f t="shared" si="9"/>
        <v>0</v>
      </c>
      <c r="F46" s="19" t="str">
        <f t="shared" si="10"/>
        <v/>
      </c>
      <c r="G46" s="20"/>
      <c r="H46" s="20">
        <f>SUM(Oct!H46, Nov!H46, Dec!H46)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24">
        <f>SUM(Oct!C47, Nov!C47, Dec!C47)</f>
        <v>0</v>
      </c>
      <c r="D47" s="13">
        <f>SUM(Oct!D47, Nov!D47, Dec!D47)</f>
        <v>0</v>
      </c>
      <c r="E47" s="13">
        <f t="shared" si="9"/>
        <v>0</v>
      </c>
      <c r="F47" s="14" t="str">
        <f t="shared" si="10"/>
        <v/>
      </c>
      <c r="G47" s="15"/>
      <c r="H47" s="15">
        <f>SUM(Oct!H47, Nov!H47, Dec!H47)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11">
        <f>SUM(Oct!C48, Nov!C48, Dec!C48)</f>
        <v>0</v>
      </c>
      <c r="D48" s="18">
        <f>SUM(Oct!D48, Nov!D48, Dec!D48)</f>
        <v>0</v>
      </c>
      <c r="E48" s="18">
        <f t="shared" si="9"/>
        <v>0</v>
      </c>
      <c r="F48" s="19" t="str">
        <f t="shared" si="10"/>
        <v/>
      </c>
      <c r="G48" s="20"/>
      <c r="H48" s="20">
        <f>SUM(Oct!H48, Nov!H48, Dec!H48)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24">
        <f>SUM(Oct!C49, Nov!C49, Dec!C49)</f>
        <v>0</v>
      </c>
      <c r="D49" s="13">
        <f>SUM(Oct!D49, Nov!D49, Dec!D49)</f>
        <v>0</v>
      </c>
      <c r="E49" s="13">
        <f t="shared" si="9"/>
        <v>0</v>
      </c>
      <c r="F49" s="14" t="str">
        <f t="shared" si="10"/>
        <v/>
      </c>
      <c r="G49" s="15"/>
      <c r="H49" s="15">
        <f>SUM(Oct!H49, Nov!H49, Dec!H49)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11">
        <f>SUM(Oct!C50, Nov!C50, Dec!C50)</f>
        <v>0</v>
      </c>
      <c r="D50" s="18">
        <f>SUM(Oct!D50, Nov!D50, Dec!D50)</f>
        <v>0</v>
      </c>
      <c r="E50" s="18">
        <f t="shared" si="9"/>
        <v>0</v>
      </c>
      <c r="F50" s="19" t="str">
        <f t="shared" si="10"/>
        <v/>
      </c>
      <c r="G50" s="20"/>
      <c r="H50" s="20">
        <f>SUM(Oct!H50, Nov!H50, Dec!H50)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24">
        <f>SUM(Oct!C51, Nov!C51, Dec!C51)</f>
        <v>0</v>
      </c>
      <c r="D51" s="13">
        <f>SUM(Oct!D51, Nov!D51, Dec!D51)</f>
        <v>0</v>
      </c>
      <c r="E51" s="13">
        <f t="shared" si="9"/>
        <v>0</v>
      </c>
      <c r="F51" s="14" t="str">
        <f t="shared" si="10"/>
        <v/>
      </c>
      <c r="G51" s="15"/>
      <c r="H51" s="15">
        <f>SUM(Oct!H51, Nov!H51, Dec!H51)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11">
        <f>SUM(Oct!C52, Nov!C52, Dec!C52)</f>
        <v>0</v>
      </c>
      <c r="D52" s="18">
        <f>SUM(Oct!D52, Nov!D52, Dec!D52)</f>
        <v>0</v>
      </c>
      <c r="E52" s="18">
        <f t="shared" si="9"/>
        <v>0</v>
      </c>
      <c r="F52" s="19" t="str">
        <f t="shared" si="10"/>
        <v/>
      </c>
      <c r="G52" s="20"/>
      <c r="H52" s="20">
        <f>SUM(Oct!H52, Nov!H52, Dec!H52)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24">
        <f>SUM(Oct!C53, Nov!C53, Dec!C53)</f>
        <v>0</v>
      </c>
      <c r="D53" s="13">
        <f>SUM(Oct!D53, Nov!D53, Dec!D53)</f>
        <v>0</v>
      </c>
      <c r="E53" s="13">
        <f t="shared" si="9"/>
        <v>0</v>
      </c>
      <c r="F53" s="14" t="str">
        <f t="shared" si="10"/>
        <v/>
      </c>
      <c r="G53" s="15"/>
      <c r="H53" s="15">
        <f>SUM(Oct!H53, Nov!H53, Dec!H53)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11">
        <f>SUM(Oct!C54, Nov!C54, Dec!C54)</f>
        <v>0</v>
      </c>
      <c r="D54" s="18">
        <f>SUM(Oct!D54, Nov!D54, Dec!D54)</f>
        <v>0</v>
      </c>
      <c r="E54" s="18">
        <f t="shared" si="9"/>
        <v>0</v>
      </c>
      <c r="F54" s="19" t="str">
        <f t="shared" si="10"/>
        <v/>
      </c>
      <c r="G54" s="20"/>
      <c r="H54" s="20">
        <f>SUM(Oct!H54, Nov!H54, Dec!H54)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24">
        <f>SUM(Oct!C55, Nov!C55, Dec!C55)</f>
        <v>0</v>
      </c>
      <c r="D55" s="13">
        <f>SUM(Oct!D55, Nov!D55, Dec!D55)</f>
        <v>0</v>
      </c>
      <c r="E55" s="13">
        <f t="shared" si="9"/>
        <v>0</v>
      </c>
      <c r="F55" s="14" t="str">
        <f t="shared" si="10"/>
        <v/>
      </c>
      <c r="G55" s="15"/>
      <c r="H55" s="15">
        <f>SUM(Oct!H55, Nov!H55, Dec!H55)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11">
        <f>SUM(Oct!C56, Nov!C56, Dec!C56)</f>
        <v>0</v>
      </c>
      <c r="D56" s="18">
        <f>SUM(Oct!D56, Nov!D56, Dec!D56)</f>
        <v>0</v>
      </c>
      <c r="E56" s="18">
        <f t="shared" si="9"/>
        <v>0</v>
      </c>
      <c r="F56" s="19" t="str">
        <f t="shared" si="10"/>
        <v/>
      </c>
      <c r="G56" s="20"/>
      <c r="H56" s="20">
        <f>SUM(Oct!H56, Nov!H56, Dec!H56)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24">
        <f>SUM(Oct!C57, Nov!C57, Dec!C57)</f>
        <v>0</v>
      </c>
      <c r="D57" s="13">
        <f>SUM(Oct!D57, Nov!D57, Dec!D57)</f>
        <v>0</v>
      </c>
      <c r="E57" s="13">
        <f t="shared" si="9"/>
        <v>0</v>
      </c>
      <c r="F57" s="14" t="str">
        <f t="shared" si="10"/>
        <v/>
      </c>
      <c r="G57" s="15"/>
      <c r="H57" s="15">
        <f>SUM(Oct!H57, Nov!H57, Dec!H57)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11">
        <f>SUM(Oct!C58, Nov!C58, Dec!C58)</f>
        <v>0</v>
      </c>
      <c r="D58" s="18">
        <f>SUM(Oct!D58, Nov!D58, Dec!D58)</f>
        <v>0</v>
      </c>
      <c r="E58" s="18">
        <f t="shared" si="9"/>
        <v>0</v>
      </c>
      <c r="F58" s="19" t="str">
        <f t="shared" si="10"/>
        <v/>
      </c>
      <c r="G58" s="20"/>
      <c r="H58" s="20">
        <f>SUM(Oct!H58, Nov!H58, Dec!H58)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24">
        <f>SUM(Oct!C59, Nov!C59, Dec!C59)</f>
        <v>0</v>
      </c>
      <c r="D59" s="13">
        <f>SUM(Oct!D59, Nov!D59, Dec!D59)</f>
        <v>0</v>
      </c>
      <c r="E59" s="13">
        <f t="shared" si="9"/>
        <v>0</v>
      </c>
      <c r="F59" s="14" t="str">
        <f t="shared" si="10"/>
        <v/>
      </c>
      <c r="G59" s="15"/>
      <c r="H59" s="15">
        <f>SUM(Oct!H59, Nov!H59, Dec!H59)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11">
        <f>SUM(Oct!C60, Nov!C60, Dec!C60)</f>
        <v>0</v>
      </c>
      <c r="D60" s="18">
        <f>SUM(Oct!D60, Nov!D60, Dec!D60)</f>
        <v>0</v>
      </c>
      <c r="E60" s="18">
        <f t="shared" si="9"/>
        <v>0</v>
      </c>
      <c r="F60" s="19" t="str">
        <f t="shared" si="10"/>
        <v/>
      </c>
      <c r="G60" s="20"/>
      <c r="H60" s="20">
        <f>SUM(Oct!H60, Nov!H60, Dec!H60)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24">
        <f>SUM(Oct!C61, Nov!C61, Dec!C61)</f>
        <v>0</v>
      </c>
      <c r="D61" s="13">
        <f>SUM(Oct!D61, Nov!D61, Dec!D61)</f>
        <v>0</v>
      </c>
      <c r="E61" s="13">
        <f t="shared" si="9"/>
        <v>0</v>
      </c>
      <c r="F61" s="14" t="str">
        <f t="shared" si="10"/>
        <v/>
      </c>
      <c r="G61" s="15"/>
      <c r="H61" s="15">
        <f>SUM(Oct!H61, Nov!H61, Dec!H61)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11">
        <f>SUM(Oct!C62, Nov!C62, Dec!C62)</f>
        <v>0</v>
      </c>
      <c r="D62" s="18">
        <f>SUM(Oct!D62, Nov!D62, Dec!D62)</f>
        <v>0</v>
      </c>
      <c r="E62" s="18">
        <f t="shared" si="9"/>
        <v>0</v>
      </c>
      <c r="F62" s="19" t="str">
        <f t="shared" si="10"/>
        <v/>
      </c>
      <c r="G62" s="20"/>
      <c r="H62" s="20">
        <f>SUM(Oct!H62, Nov!H62, Dec!H62)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24">
        <f>SUM(Oct!C63, Nov!C63, Dec!C63)</f>
        <v>0</v>
      </c>
      <c r="D63" s="13">
        <f>SUM(Oct!D63, Nov!D63, Dec!D63)</f>
        <v>0</v>
      </c>
      <c r="E63" s="13">
        <f t="shared" si="9"/>
        <v>0</v>
      </c>
      <c r="F63" s="14" t="str">
        <f t="shared" si="10"/>
        <v/>
      </c>
      <c r="G63" s="15"/>
      <c r="H63" s="15">
        <f>SUM(Oct!H63, Nov!H63, Dec!H63)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11">
        <f>SUM(Oct!C64, Nov!C64, Dec!C64)</f>
        <v>0</v>
      </c>
      <c r="D64" s="18">
        <f>SUM(Oct!D64, Nov!D64, Dec!D64)</f>
        <v>0</v>
      </c>
      <c r="E64" s="18">
        <f t="shared" si="9"/>
        <v>0</v>
      </c>
      <c r="F64" s="19" t="str">
        <f t="shared" si="10"/>
        <v/>
      </c>
      <c r="G64" s="20"/>
      <c r="H64" s="20">
        <f>SUM(Oct!H64, Nov!H64, Dec!H64)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24">
        <f>SUM(Oct!C65, Nov!C65, Dec!C65)</f>
        <v>0</v>
      </c>
      <c r="D65" s="13">
        <f>SUM(Oct!D65, Nov!D65, Dec!D65)</f>
        <v>0</v>
      </c>
      <c r="E65" s="13">
        <f t="shared" si="9"/>
        <v>0</v>
      </c>
      <c r="F65" s="14" t="str">
        <f t="shared" si="10"/>
        <v/>
      </c>
      <c r="G65" s="15"/>
      <c r="H65" s="15">
        <f>SUM(Oct!H65, Nov!H65, Dec!H65)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11">
        <f>SUM(Oct!C66, Nov!C66, Dec!C66)</f>
        <v>0</v>
      </c>
      <c r="D66" s="18">
        <f>SUM(Oct!D66, Nov!D66, Dec!D66)</f>
        <v>0</v>
      </c>
      <c r="E66" s="18">
        <f t="shared" si="9"/>
        <v>0</v>
      </c>
      <c r="F66" s="19" t="str">
        <f t="shared" si="10"/>
        <v/>
      </c>
      <c r="G66" s="20"/>
      <c r="H66" s="20">
        <f>SUM(Oct!H66, Nov!H66, Dec!H66)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24">
        <f>SUM(Oct!C67, Nov!C67, Dec!C67)</f>
        <v>0</v>
      </c>
      <c r="D67" s="13">
        <f>SUM(Oct!D67, Nov!D67, Dec!D67)</f>
        <v>0</v>
      </c>
      <c r="E67" s="13">
        <f t="shared" si="9"/>
        <v>0</v>
      </c>
      <c r="F67" s="14" t="str">
        <f t="shared" si="10"/>
        <v/>
      </c>
      <c r="G67" s="15"/>
      <c r="H67" s="15">
        <f>SUM(Oct!H67, Nov!H67, Dec!H67)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11">
        <f>SUM(Oct!C68, Nov!C68, Dec!C68)</f>
        <v>0</v>
      </c>
      <c r="D68" s="18">
        <f>SUM(Oct!D68, Nov!D68, Dec!D68)</f>
        <v>0</v>
      </c>
      <c r="E68" s="18">
        <f t="shared" si="9"/>
        <v>0</v>
      </c>
      <c r="F68" s="19" t="str">
        <f t="shared" si="10"/>
        <v/>
      </c>
      <c r="G68" s="20"/>
      <c r="H68" s="20">
        <f>SUM(Oct!H68, Nov!H68, Dec!H68)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0" activePane="bottomRight" state="frozen"/>
      <selection pane="bottomRight" activeCell="J26" sqref="J26:K94"/>
      <selection pane="bottomLeft"/>
      <selection pane="topRight"/>
    </sheetView>
  </sheetViews>
  <sheetFormatPr defaultRowHeight="13.5"/>
  <cols>
    <col min="1" max="1" width="34.140625" bestFit="1" customWidth="1"/>
    <col min="2" max="2" width="5.7109375" style="34" bestFit="1" customWidth="1"/>
    <col min="3" max="3" width="9.4257812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5">
      <c r="A5" s="52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3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2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3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2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3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3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2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3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2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3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2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3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2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3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2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3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2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5">
      <c r="A24" s="53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2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5.75">
      <c r="A26" s="53" t="str">
        <v>Mojave Water Agency - Headquarters</v>
      </c>
      <c r="B26" s="28" t="str">
        <v>CA</v>
      </c>
      <c r="C26" s="13"/>
      <c r="D26" s="13"/>
      <c r="E26" s="13" t="str">
        <f t="shared" ref="E26:E68" si="11">IF(AND(ISNUMBER(C26),ISNUMBER(D26)), C26-D26, "")</f>
        <v/>
      </c>
      <c r="F26" s="13" t="str">
        <f t="shared" ref="F26:F68" si="12">IFERROR(E26/D26, "")</f>
        <v/>
      </c>
      <c r="G26" s="15"/>
      <c r="H26" s="15" t="str">
        <f t="shared" ref="H26:H68" si="13">IF(AND(ISNUMBER(C26),ISNUMBER(G26)), C26-G26, "")</f>
        <v/>
      </c>
      <c r="I26" s="16" t="str">
        <f t="shared" ref="I26:I68" si="14">IFERROR(H26/G26, "")</f>
        <v/>
      </c>
      <c r="J26" s="41"/>
      <c r="K26" s="41"/>
    </row>
    <row r="27" spans="1:11" ht="15.75">
      <c r="A27" s="52" t="str">
        <v>CSU - Bakersfield</v>
      </c>
      <c r="B27" s="30" t="str">
        <v>CA</v>
      </c>
      <c r="C27" s="18"/>
      <c r="D27" s="18"/>
      <c r="E27" s="18" t="str">
        <f t="shared" si="11"/>
        <v/>
      </c>
      <c r="F27" s="18" t="str">
        <f t="shared" si="12"/>
        <v/>
      </c>
      <c r="G27" s="45"/>
      <c r="H27" s="45" t="str">
        <f t="shared" si="13"/>
        <v/>
      </c>
      <c r="I27" s="16" t="str">
        <f t="shared" si="14"/>
        <v/>
      </c>
      <c r="J27" s="42"/>
      <c r="K27" s="42"/>
    </row>
    <row r="28" spans="1:11" ht="15.75">
      <c r="A28" s="53" t="str">
        <v>Greenfield USD - Fairfield ES</v>
      </c>
      <c r="B28" s="28" t="str">
        <v>CA</v>
      </c>
      <c r="C28" s="13"/>
      <c r="D28" s="13"/>
      <c r="E28" s="13" t="str">
        <f t="shared" si="11"/>
        <v/>
      </c>
      <c r="F28" s="13" t="str">
        <f t="shared" si="12"/>
        <v/>
      </c>
      <c r="G28" s="15"/>
      <c r="H28" s="15" t="str">
        <f t="shared" si="13"/>
        <v/>
      </c>
      <c r="I28" s="16" t="str">
        <f t="shared" si="14"/>
        <v/>
      </c>
      <c r="J28" s="41"/>
      <c r="K28" s="41"/>
    </row>
    <row r="29" spans="1:11" ht="15.75">
      <c r="A29" s="52" t="str">
        <v>Greenfield USD - Granite Point ES</v>
      </c>
      <c r="B29" s="30" t="str">
        <v>CA</v>
      </c>
      <c r="C29" s="18"/>
      <c r="D29" s="18"/>
      <c r="E29" s="18" t="str">
        <f t="shared" si="11"/>
        <v/>
      </c>
      <c r="F29" s="18" t="str">
        <f t="shared" si="12"/>
        <v/>
      </c>
      <c r="G29" s="45"/>
      <c r="H29" s="45" t="str">
        <f t="shared" si="13"/>
        <v/>
      </c>
      <c r="I29" s="16" t="str">
        <f t="shared" si="14"/>
        <v/>
      </c>
      <c r="J29" s="42"/>
      <c r="K29" s="42"/>
    </row>
    <row r="30" spans="1:11" ht="15.75">
      <c r="A30" s="53" t="str">
        <v>Greenfield USD - Greenfield MS</v>
      </c>
      <c r="B30" s="28" t="str">
        <v>CA</v>
      </c>
      <c r="C30" s="13"/>
      <c r="D30" s="13"/>
      <c r="E30" s="13" t="str">
        <f t="shared" si="11"/>
        <v/>
      </c>
      <c r="F30" s="13" t="str">
        <f t="shared" si="12"/>
        <v/>
      </c>
      <c r="G30" s="15"/>
      <c r="H30" s="15" t="str">
        <f t="shared" si="13"/>
        <v/>
      </c>
      <c r="I30" s="16" t="str">
        <f t="shared" si="14"/>
        <v/>
      </c>
      <c r="J30" s="41"/>
      <c r="K30" s="41"/>
    </row>
    <row r="31" spans="1:11" ht="15.75">
      <c r="A31" s="52" t="str">
        <v>Greenfield USD - Horizon ES</v>
      </c>
      <c r="B31" s="30" t="str">
        <v>CA</v>
      </c>
      <c r="C31" s="18"/>
      <c r="D31" s="18"/>
      <c r="E31" s="18" t="str">
        <f t="shared" si="11"/>
        <v/>
      </c>
      <c r="F31" s="18" t="str">
        <f t="shared" si="12"/>
        <v/>
      </c>
      <c r="G31" s="45"/>
      <c r="H31" s="45" t="str">
        <f t="shared" si="13"/>
        <v/>
      </c>
      <c r="I31" s="16" t="str">
        <f t="shared" si="14"/>
        <v/>
      </c>
      <c r="J31" s="42"/>
      <c r="K31" s="42"/>
    </row>
    <row r="32" spans="1:11" ht="15.75">
      <c r="A32" s="53" t="str">
        <v>Greenfield USD - McKee MS</v>
      </c>
      <c r="B32" s="28" t="str">
        <v>CA</v>
      </c>
      <c r="C32" s="13"/>
      <c r="D32" s="13"/>
      <c r="E32" s="13" t="str">
        <f t="shared" si="11"/>
        <v/>
      </c>
      <c r="F32" s="13" t="str">
        <f t="shared" si="12"/>
        <v/>
      </c>
      <c r="G32" s="15"/>
      <c r="H32" s="15" t="str">
        <f t="shared" si="13"/>
        <v/>
      </c>
      <c r="I32" s="16" t="str">
        <f t="shared" si="14"/>
        <v/>
      </c>
      <c r="J32" s="41"/>
      <c r="K32" s="41"/>
    </row>
    <row r="33" spans="1:11" ht="15.75">
      <c r="A33" s="52" t="str">
        <v>Greenfield USD - Plantation ES</v>
      </c>
      <c r="B33" s="30" t="str">
        <v>CA</v>
      </c>
      <c r="C33" s="18"/>
      <c r="D33" s="18"/>
      <c r="E33" s="18" t="str">
        <f t="shared" si="11"/>
        <v/>
      </c>
      <c r="F33" s="18" t="str">
        <f t="shared" si="12"/>
        <v/>
      </c>
      <c r="G33" s="45"/>
      <c r="H33" s="45" t="str">
        <f t="shared" si="13"/>
        <v/>
      </c>
      <c r="I33" s="16" t="str">
        <f t="shared" si="14"/>
        <v/>
      </c>
      <c r="J33" s="42"/>
      <c r="K33" s="42"/>
    </row>
    <row r="34" spans="1:11" ht="15.75">
      <c r="A34" s="53" t="str">
        <v>Greenfield USD - Planz ES</v>
      </c>
      <c r="B34" s="28" t="str">
        <v>CA</v>
      </c>
      <c r="C34" s="13"/>
      <c r="D34" s="13"/>
      <c r="E34" s="13" t="str">
        <f t="shared" si="11"/>
        <v/>
      </c>
      <c r="F34" s="13" t="str">
        <f t="shared" si="12"/>
        <v/>
      </c>
      <c r="G34" s="15"/>
      <c r="H34" s="15" t="str">
        <f t="shared" si="13"/>
        <v/>
      </c>
      <c r="I34" s="16" t="str">
        <f t="shared" si="14"/>
        <v/>
      </c>
      <c r="J34" s="41"/>
      <c r="K34" s="41"/>
    </row>
    <row r="35" spans="1:11" ht="15.75">
      <c r="A35" s="52" t="str">
        <v>Greenfield USD - Raffaello Palla ES</v>
      </c>
      <c r="B35" s="30" t="str">
        <v>CA</v>
      </c>
      <c r="C35" s="18"/>
      <c r="D35" s="18"/>
      <c r="E35" s="18" t="str">
        <f t="shared" si="11"/>
        <v/>
      </c>
      <c r="F35" s="18" t="str">
        <f t="shared" si="12"/>
        <v/>
      </c>
      <c r="G35" s="45"/>
      <c r="H35" s="45" t="str">
        <f t="shared" si="13"/>
        <v/>
      </c>
      <c r="I35" s="16" t="str">
        <f t="shared" si="14"/>
        <v/>
      </c>
      <c r="J35" s="42"/>
      <c r="K35" s="42"/>
    </row>
    <row r="36" spans="1:11" ht="15.75">
      <c r="A36" s="53" t="str">
        <v>Greenfield USD - Valle Verde ES</v>
      </c>
      <c r="B36" s="28" t="str">
        <v>CA</v>
      </c>
      <c r="C36" s="13"/>
      <c r="D36" s="13"/>
      <c r="E36" s="13" t="str">
        <f t="shared" si="11"/>
        <v/>
      </c>
      <c r="F36" s="13" t="str">
        <f t="shared" si="12"/>
        <v/>
      </c>
      <c r="G36" s="15"/>
      <c r="H36" s="15" t="str">
        <f t="shared" si="13"/>
        <v/>
      </c>
      <c r="I36" s="16" t="str">
        <f t="shared" si="14"/>
        <v/>
      </c>
      <c r="J36" s="41"/>
      <c r="K36" s="41"/>
    </row>
    <row r="37" spans="1:11" ht="15.75">
      <c r="A37" s="52" t="str">
        <v>Greenfield USD - W.A. Kendrick ES</v>
      </c>
      <c r="B37" s="30" t="str">
        <v>CA</v>
      </c>
      <c r="C37" s="18"/>
      <c r="D37" s="18"/>
      <c r="E37" s="18" t="str">
        <f t="shared" si="11"/>
        <v/>
      </c>
      <c r="F37" s="18" t="str">
        <f t="shared" si="12"/>
        <v/>
      </c>
      <c r="G37" s="45"/>
      <c r="H37" s="45" t="str">
        <f t="shared" si="13"/>
        <v/>
      </c>
      <c r="I37" s="16" t="str">
        <f t="shared" si="14"/>
        <v/>
      </c>
      <c r="J37" s="42"/>
      <c r="K37" s="42"/>
    </row>
    <row r="38" spans="1:11" ht="15.75">
      <c r="A38" s="53" t="str">
        <v>Muroc Joint USD - Boron HS</v>
      </c>
      <c r="B38" s="28" t="str">
        <v>CA</v>
      </c>
      <c r="C38" s="13"/>
      <c r="D38" s="13"/>
      <c r="E38" s="13" t="str">
        <f t="shared" si="11"/>
        <v/>
      </c>
      <c r="F38" s="13" t="str">
        <f t="shared" si="12"/>
        <v/>
      </c>
      <c r="G38" s="15"/>
      <c r="H38" s="15" t="str">
        <f t="shared" si="13"/>
        <v/>
      </c>
      <c r="I38" s="16" t="str">
        <f t="shared" si="14"/>
        <v/>
      </c>
      <c r="J38" s="41"/>
      <c r="K38" s="41"/>
    </row>
    <row r="39" spans="1:11" ht="15.75">
      <c r="A39" s="52" t="str">
        <v>Muroc Joint USD - W. Boron ES</v>
      </c>
      <c r="B39" s="30" t="str">
        <v>CA</v>
      </c>
      <c r="C39" s="18"/>
      <c r="D39" s="18"/>
      <c r="E39" s="18" t="str">
        <f t="shared" si="11"/>
        <v/>
      </c>
      <c r="F39" s="18" t="str">
        <f t="shared" si="12"/>
        <v/>
      </c>
      <c r="G39" s="45"/>
      <c r="H39" s="45" t="str">
        <f t="shared" si="13"/>
        <v/>
      </c>
      <c r="I39" s="16" t="str">
        <f t="shared" si="14"/>
        <v/>
      </c>
      <c r="J39" s="42"/>
      <c r="K39" s="42"/>
    </row>
    <row r="40" spans="1:11" ht="15.75">
      <c r="A40" s="53" t="str">
        <v>Colusa - WTP</v>
      </c>
      <c r="B40" s="28" t="str">
        <v>CA</v>
      </c>
      <c r="C40" s="13"/>
      <c r="D40" s="13"/>
      <c r="E40" s="13" t="str">
        <f t="shared" si="11"/>
        <v/>
      </c>
      <c r="F40" s="13" t="str">
        <f t="shared" si="12"/>
        <v/>
      </c>
      <c r="G40" s="15"/>
      <c r="H40" s="15" t="str">
        <f t="shared" si="13"/>
        <v/>
      </c>
      <c r="I40" s="16" t="str">
        <f t="shared" si="14"/>
        <v/>
      </c>
      <c r="J40" s="41"/>
      <c r="K40" s="41"/>
    </row>
    <row r="41" spans="1:11" ht="15.75">
      <c r="A41" s="52" t="str">
        <v>CDCR-North Kern State Prision</v>
      </c>
      <c r="B41" s="30" t="str">
        <v>CA</v>
      </c>
      <c r="C41" s="18"/>
      <c r="D41" s="18"/>
      <c r="E41" s="18" t="str">
        <f t="shared" si="11"/>
        <v/>
      </c>
      <c r="F41" s="18" t="str">
        <f t="shared" si="12"/>
        <v/>
      </c>
      <c r="G41" s="45"/>
      <c r="H41" s="45" t="str">
        <f t="shared" si="13"/>
        <v/>
      </c>
      <c r="I41" s="16" t="str">
        <f t="shared" si="14"/>
        <v/>
      </c>
      <c r="J41" s="42"/>
      <c r="K41" s="42"/>
    </row>
    <row r="42" spans="1:11" ht="15.75">
      <c r="A42" s="53" t="str">
        <v>Muroc Joint USD - District Office</v>
      </c>
      <c r="B42" s="28" t="str">
        <v>CA</v>
      </c>
      <c r="C42" s="13"/>
      <c r="D42" s="13"/>
      <c r="E42" s="13" t="str">
        <f t="shared" si="11"/>
        <v/>
      </c>
      <c r="F42" s="13" t="str">
        <f t="shared" si="12"/>
        <v/>
      </c>
      <c r="G42" s="15"/>
      <c r="H42" s="15" t="str">
        <f t="shared" si="13"/>
        <v/>
      </c>
      <c r="I42" s="16" t="str">
        <f t="shared" si="14"/>
        <v/>
      </c>
      <c r="J42" s="41"/>
      <c r="K42" s="41"/>
    </row>
    <row r="43" spans="1:11" ht="15.75">
      <c r="A43" s="52" t="str">
        <v>Whole Foods - Manhattan Beach</v>
      </c>
      <c r="B43" s="30" t="str">
        <v>CA</v>
      </c>
      <c r="C43" s="18"/>
      <c r="D43" s="18"/>
      <c r="E43" s="18" t="str">
        <f t="shared" si="11"/>
        <v/>
      </c>
      <c r="F43" s="18" t="str">
        <f t="shared" si="12"/>
        <v/>
      </c>
      <c r="G43" s="45"/>
      <c r="H43" s="45" t="str">
        <f t="shared" si="13"/>
        <v/>
      </c>
      <c r="I43" s="16" t="str">
        <f t="shared" si="14"/>
        <v/>
      </c>
      <c r="J43" s="42"/>
      <c r="K43" s="42"/>
    </row>
    <row r="44" spans="1:11" ht="15.75">
      <c r="A44" s="53" t="str">
        <v>Pioneer USD - Frontier ES</v>
      </c>
      <c r="B44" s="28" t="str">
        <v>CA</v>
      </c>
      <c r="C44" s="13"/>
      <c r="D44" s="13"/>
      <c r="E44" s="13" t="str">
        <f t="shared" si="11"/>
        <v/>
      </c>
      <c r="F44" s="13" t="str">
        <f t="shared" si="12"/>
        <v/>
      </c>
      <c r="G44" s="15"/>
      <c r="H44" s="15" t="str">
        <f t="shared" si="13"/>
        <v/>
      </c>
      <c r="I44" s="16" t="str">
        <f t="shared" si="14"/>
        <v/>
      </c>
      <c r="J44" s="41"/>
      <c r="K44" s="41"/>
    </row>
    <row r="45" spans="1:11" ht="15.75">
      <c r="A45" s="52" t="str">
        <v>Pioneer USD - Pioneer ES</v>
      </c>
      <c r="B45" s="30" t="str">
        <v>CA</v>
      </c>
      <c r="C45" s="18"/>
      <c r="D45" s="18"/>
      <c r="E45" s="18" t="str">
        <f t="shared" si="11"/>
        <v/>
      </c>
      <c r="F45" s="18" t="str">
        <f t="shared" si="12"/>
        <v/>
      </c>
      <c r="G45" s="45"/>
      <c r="H45" s="45" t="str">
        <f t="shared" si="13"/>
        <v/>
      </c>
      <c r="I45" s="16" t="str">
        <f t="shared" si="14"/>
        <v/>
      </c>
      <c r="J45" s="42"/>
      <c r="K45" s="42"/>
    </row>
    <row r="46" spans="1:11" ht="15.75">
      <c r="A46" s="53" t="str">
        <v>Pioneer USD - Pioneer MS</v>
      </c>
      <c r="B46" s="28" t="str">
        <v>CA</v>
      </c>
      <c r="C46" s="13"/>
      <c r="D46" s="13"/>
      <c r="E46" s="13" t="str">
        <f t="shared" si="11"/>
        <v/>
      </c>
      <c r="F46" s="13" t="str">
        <f t="shared" si="12"/>
        <v/>
      </c>
      <c r="G46" s="15"/>
      <c r="H46" s="15" t="str">
        <f t="shared" si="13"/>
        <v/>
      </c>
      <c r="I46" s="16" t="str">
        <f t="shared" si="14"/>
        <v/>
      </c>
      <c r="J46" s="41"/>
      <c r="K46" s="41"/>
    </row>
    <row r="47" spans="1:11" ht="15.75">
      <c r="A47" s="52" t="str">
        <v>Kingsburg Joint UHSD - Kingsburg HS</v>
      </c>
      <c r="B47" s="30" t="str">
        <v>CA</v>
      </c>
      <c r="C47" s="18"/>
      <c r="D47" s="18"/>
      <c r="E47" s="18" t="str">
        <f t="shared" si="11"/>
        <v/>
      </c>
      <c r="F47" s="18" t="str">
        <f t="shared" si="12"/>
        <v/>
      </c>
      <c r="G47" s="45"/>
      <c r="H47" s="45" t="str">
        <f t="shared" si="13"/>
        <v/>
      </c>
      <c r="I47" s="16" t="str">
        <f t="shared" si="14"/>
        <v/>
      </c>
      <c r="J47" s="42"/>
      <c r="K47" s="42"/>
    </row>
    <row r="48" spans="1:11" ht="15.75">
      <c r="A48" s="53" t="str">
        <v>CADRB</v>
      </c>
      <c r="B48" s="28" t="str">
        <v>CA</v>
      </c>
      <c r="C48" s="13"/>
      <c r="D48" s="13"/>
      <c r="E48" s="13" t="str">
        <f t="shared" si="11"/>
        <v/>
      </c>
      <c r="F48" s="13" t="str">
        <f t="shared" si="12"/>
        <v/>
      </c>
      <c r="G48" s="15"/>
      <c r="H48" s="15" t="str">
        <f t="shared" si="13"/>
        <v/>
      </c>
      <c r="I48" s="16" t="str">
        <f t="shared" si="14"/>
        <v/>
      </c>
      <c r="J48" s="41"/>
      <c r="K48" s="41"/>
    </row>
    <row r="49" spans="1:11" ht="15.75">
      <c r="A49" s="52" t="str">
        <v>CDCR-CA State Prison LA County</v>
      </c>
      <c r="B49" s="30" t="str">
        <v>CA</v>
      </c>
      <c r="C49" s="18"/>
      <c r="D49" s="18"/>
      <c r="E49" s="18" t="str">
        <f t="shared" si="11"/>
        <v/>
      </c>
      <c r="F49" s="18" t="str">
        <f t="shared" si="12"/>
        <v/>
      </c>
      <c r="G49" s="45"/>
      <c r="H49" s="45" t="str">
        <f t="shared" si="13"/>
        <v/>
      </c>
      <c r="I49" s="16" t="str">
        <f t="shared" si="14"/>
        <v/>
      </c>
      <c r="J49" s="42"/>
      <c r="K49" s="42"/>
    </row>
    <row r="50" spans="1:11" ht="15.75">
      <c r="A50" s="53" t="str">
        <v>Central USD Akers ES</v>
      </c>
      <c r="B50" s="28" t="str">
        <v>CA</v>
      </c>
      <c r="C50" s="13"/>
      <c r="D50" s="13"/>
      <c r="E50" s="13" t="str">
        <f t="shared" si="11"/>
        <v/>
      </c>
      <c r="F50" s="13" t="str">
        <f t="shared" si="12"/>
        <v/>
      </c>
      <c r="G50" s="15"/>
      <c r="H50" s="15" t="str">
        <f t="shared" si="13"/>
        <v/>
      </c>
      <c r="I50" s="16" t="str">
        <f t="shared" si="14"/>
        <v/>
      </c>
      <c r="J50" s="41"/>
      <c r="K50" s="41"/>
    </row>
    <row r="51" spans="1:11" ht="15.75">
      <c r="A51" s="52" t="str">
        <v>CUSD - District Office</v>
      </c>
      <c r="B51" s="30" t="str">
        <v>CA</v>
      </c>
      <c r="C51" s="18"/>
      <c r="D51" s="18"/>
      <c r="E51" s="18" t="str">
        <f t="shared" si="11"/>
        <v/>
      </c>
      <c r="F51" s="18" t="str">
        <f t="shared" si="12"/>
        <v/>
      </c>
      <c r="G51" s="45"/>
      <c r="H51" s="45" t="str">
        <f t="shared" si="13"/>
        <v/>
      </c>
      <c r="I51" s="16" t="str">
        <f t="shared" si="14"/>
        <v/>
      </c>
      <c r="J51" s="42"/>
      <c r="K51" s="42"/>
    </row>
    <row r="52" spans="1:11" ht="15.75">
      <c r="A52" s="53" t="str">
        <v>Parlier - WTP</v>
      </c>
      <c r="B52" s="28" t="str">
        <v>CA</v>
      </c>
      <c r="C52" s="13"/>
      <c r="D52" s="13"/>
      <c r="E52" s="13" t="str">
        <f t="shared" si="11"/>
        <v/>
      </c>
      <c r="F52" s="13" t="str">
        <f t="shared" si="12"/>
        <v/>
      </c>
      <c r="G52" s="15"/>
      <c r="H52" s="15" t="str">
        <f t="shared" si="13"/>
        <v/>
      </c>
      <c r="I52" s="16" t="str">
        <f t="shared" si="14"/>
        <v/>
      </c>
      <c r="J52" s="41"/>
      <c r="K52" s="41"/>
    </row>
    <row r="53" spans="1:11" ht="15.75">
      <c r="A53" s="52" t="str">
        <v>Snowline SD - Quail Valley MS</v>
      </c>
      <c r="B53" s="30" t="str">
        <v>CA</v>
      </c>
      <c r="C53" s="18"/>
      <c r="D53" s="18"/>
      <c r="E53" s="18" t="str">
        <f t="shared" si="11"/>
        <v/>
      </c>
      <c r="F53" s="18" t="str">
        <f t="shared" si="12"/>
        <v/>
      </c>
      <c r="G53" s="45"/>
      <c r="H53" s="45" t="str">
        <f t="shared" si="13"/>
        <v/>
      </c>
      <c r="I53" s="16" t="str">
        <f t="shared" si="14"/>
        <v/>
      </c>
      <c r="J53" s="42"/>
      <c r="K53" s="42"/>
    </row>
    <row r="54" spans="1:11" ht="15.75">
      <c r="A54" s="53" t="str">
        <v>Snowline SD - Serrano HS - Middle Lot</v>
      </c>
      <c r="B54" s="28" t="str">
        <v>CA</v>
      </c>
      <c r="C54" s="13"/>
      <c r="D54" s="13"/>
      <c r="E54" s="13" t="str">
        <f t="shared" si="11"/>
        <v/>
      </c>
      <c r="F54" s="13" t="str">
        <f t="shared" si="12"/>
        <v/>
      </c>
      <c r="G54" s="15"/>
      <c r="H54" s="15" t="str">
        <f t="shared" si="13"/>
        <v/>
      </c>
      <c r="I54" s="16" t="str">
        <f t="shared" si="14"/>
        <v/>
      </c>
      <c r="J54" s="41"/>
      <c r="K54" s="41"/>
    </row>
    <row r="55" spans="1:11" ht="15.75">
      <c r="A55" s="52" t="str">
        <v>Snowline SD - Pinon Hills ES</v>
      </c>
      <c r="B55" s="30" t="str">
        <v>CA</v>
      </c>
      <c r="C55" s="18"/>
      <c r="D55" s="18"/>
      <c r="E55" s="18" t="str">
        <f t="shared" si="11"/>
        <v/>
      </c>
      <c r="F55" s="18" t="str">
        <f t="shared" si="12"/>
        <v/>
      </c>
      <c r="G55" s="45"/>
      <c r="H55" s="45" t="str">
        <f t="shared" si="13"/>
        <v/>
      </c>
      <c r="I55" s="16" t="str">
        <f t="shared" si="14"/>
        <v/>
      </c>
      <c r="J55" s="42"/>
      <c r="K55" s="42"/>
    </row>
    <row r="56" spans="1:11" ht="15.75">
      <c r="A56" s="53" t="str">
        <v>Ramona - Santa Maria WTP</v>
      </c>
      <c r="B56" s="28" t="str">
        <v>CA</v>
      </c>
      <c r="C56" s="13"/>
      <c r="D56" s="13"/>
      <c r="E56" s="13" t="str">
        <f t="shared" si="11"/>
        <v/>
      </c>
      <c r="F56" s="13" t="str">
        <f t="shared" si="12"/>
        <v/>
      </c>
      <c r="G56" s="15"/>
      <c r="H56" s="15" t="str">
        <f t="shared" si="13"/>
        <v/>
      </c>
      <c r="I56" s="16" t="str">
        <f t="shared" si="14"/>
        <v/>
      </c>
      <c r="J56" s="41"/>
      <c r="K56" s="41"/>
    </row>
    <row r="57" spans="1:11" ht="15.75">
      <c r="A57" s="52" t="str">
        <v>Kohls - Redding</v>
      </c>
      <c r="B57" s="30" t="str">
        <v>CA</v>
      </c>
      <c r="C57" s="18"/>
      <c r="D57" s="18"/>
      <c r="E57" s="18" t="str">
        <f t="shared" si="11"/>
        <v/>
      </c>
      <c r="F57" s="18" t="str">
        <f t="shared" si="12"/>
        <v/>
      </c>
      <c r="G57" s="45"/>
      <c r="H57" s="45" t="str">
        <f t="shared" si="13"/>
        <v/>
      </c>
      <c r="I57" s="16" t="str">
        <f t="shared" si="14"/>
        <v/>
      </c>
      <c r="J57" s="42"/>
      <c r="K57" s="42"/>
    </row>
    <row r="58" spans="1:11" ht="15.75">
      <c r="A58" s="53" t="str">
        <v>Kohls - Salinas</v>
      </c>
      <c r="B58" s="28" t="str">
        <v>CA</v>
      </c>
      <c r="C58" s="13"/>
      <c r="D58" s="13"/>
      <c r="E58" s="13" t="str">
        <f t="shared" si="11"/>
        <v/>
      </c>
      <c r="F58" s="13" t="str">
        <f t="shared" si="12"/>
        <v/>
      </c>
      <c r="G58" s="15"/>
      <c r="H58" s="15" t="str">
        <f t="shared" si="13"/>
        <v/>
      </c>
      <c r="I58" s="16" t="str">
        <f t="shared" si="14"/>
        <v/>
      </c>
      <c r="J58" s="41"/>
      <c r="K58" s="41"/>
    </row>
    <row r="59" spans="1:11" ht="15.75">
      <c r="A59" s="52" t="str">
        <v>Kohls - San Bernardino - Central</v>
      </c>
      <c r="B59" s="30" t="str">
        <v>CA</v>
      </c>
      <c r="C59" s="18"/>
      <c r="D59" s="18"/>
      <c r="E59" s="18" t="str">
        <f t="shared" si="11"/>
        <v/>
      </c>
      <c r="F59" s="18" t="str">
        <f t="shared" si="12"/>
        <v/>
      </c>
      <c r="G59" s="45"/>
      <c r="H59" s="45" t="str">
        <f t="shared" si="13"/>
        <v/>
      </c>
      <c r="I59" s="16" t="str">
        <f t="shared" si="14"/>
        <v/>
      </c>
      <c r="J59" s="42"/>
      <c r="K59" s="42"/>
    </row>
    <row r="60" spans="1:11" ht="15.75">
      <c r="A60" s="53" t="str">
        <v>Kohls - Sonora</v>
      </c>
      <c r="B60" s="28" t="str">
        <v>CA</v>
      </c>
      <c r="C60" s="13"/>
      <c r="D60" s="13"/>
      <c r="E60" s="13" t="str">
        <f t="shared" si="11"/>
        <v/>
      </c>
      <c r="F60" s="13" t="str">
        <f t="shared" si="12"/>
        <v/>
      </c>
      <c r="G60" s="15"/>
      <c r="H60" s="15" t="str">
        <f t="shared" si="13"/>
        <v/>
      </c>
      <c r="I60" s="16" t="str">
        <f t="shared" si="14"/>
        <v/>
      </c>
      <c r="J60" s="41"/>
      <c r="K60" s="41"/>
    </row>
    <row r="61" spans="1:11" ht="15.75">
      <c r="A61" s="52" t="str">
        <v>CUSD - Stratford ES</v>
      </c>
      <c r="B61" s="30" t="str">
        <v>CA</v>
      </c>
      <c r="C61" s="18"/>
      <c r="D61" s="18"/>
      <c r="E61" s="18" t="str">
        <f t="shared" si="11"/>
        <v/>
      </c>
      <c r="F61" s="18" t="str">
        <f t="shared" si="12"/>
        <v/>
      </c>
      <c r="G61" s="45"/>
      <c r="H61" s="45" t="str">
        <f t="shared" si="13"/>
        <v/>
      </c>
      <c r="I61" s="16" t="str">
        <f t="shared" si="14"/>
        <v/>
      </c>
      <c r="J61" s="42"/>
      <c r="K61" s="42"/>
    </row>
    <row r="62" spans="1:11" ht="15.75">
      <c r="A62" s="53" t="str">
        <v>Taft - City Hall</v>
      </c>
      <c r="B62" s="28" t="str">
        <v>CA</v>
      </c>
      <c r="C62" s="13"/>
      <c r="D62" s="13"/>
      <c r="E62" s="13" t="str">
        <f t="shared" si="11"/>
        <v/>
      </c>
      <c r="F62" s="13" t="str">
        <f t="shared" si="12"/>
        <v/>
      </c>
      <c r="G62" s="15"/>
      <c r="H62" s="15" t="str">
        <f t="shared" si="13"/>
        <v/>
      </c>
      <c r="I62" s="16" t="str">
        <f t="shared" si="14"/>
        <v/>
      </c>
      <c r="J62" s="41"/>
      <c r="K62" s="41"/>
    </row>
    <row r="63" spans="1:11" ht="15.75">
      <c r="A63" s="52" t="str">
        <v>Taft - Federal Prison</v>
      </c>
      <c r="B63" s="30" t="str">
        <v>CA</v>
      </c>
      <c r="C63" s="18"/>
      <c r="D63" s="18"/>
      <c r="E63" s="18" t="str">
        <f t="shared" si="11"/>
        <v/>
      </c>
      <c r="F63" s="18" t="str">
        <f t="shared" si="12"/>
        <v/>
      </c>
      <c r="G63" s="45"/>
      <c r="H63" s="45" t="str">
        <f t="shared" si="13"/>
        <v/>
      </c>
      <c r="I63" s="16" t="str">
        <f t="shared" si="14"/>
        <v/>
      </c>
      <c r="J63" s="42"/>
      <c r="K63" s="42"/>
    </row>
    <row r="64" spans="1:11" ht="15.75">
      <c r="A64" s="53" t="str">
        <v>Taft - Police Department</v>
      </c>
      <c r="B64" s="28" t="str">
        <v>CA</v>
      </c>
      <c r="C64" s="13"/>
      <c r="D64" s="13"/>
      <c r="E64" s="13" t="str">
        <f t="shared" si="11"/>
        <v/>
      </c>
      <c r="F64" s="13" t="str">
        <f t="shared" si="12"/>
        <v/>
      </c>
      <c r="G64" s="15"/>
      <c r="H64" s="15" t="str">
        <f t="shared" si="13"/>
        <v/>
      </c>
      <c r="I64" s="16" t="str">
        <f t="shared" si="14"/>
        <v/>
      </c>
      <c r="J64" s="41"/>
      <c r="K64" s="41"/>
    </row>
    <row r="65" spans="1:11" ht="15.75">
      <c r="A65" s="52" t="str">
        <v>Taft - WTP</v>
      </c>
      <c r="B65" s="30" t="str">
        <v>CA</v>
      </c>
      <c r="C65" s="18"/>
      <c r="D65" s="18"/>
      <c r="E65" s="18" t="str">
        <f t="shared" si="11"/>
        <v/>
      </c>
      <c r="F65" s="18" t="str">
        <f t="shared" si="12"/>
        <v/>
      </c>
      <c r="G65" s="45"/>
      <c r="H65" s="45" t="str">
        <f t="shared" si="13"/>
        <v/>
      </c>
      <c r="I65" s="16" t="str">
        <f t="shared" si="14"/>
        <v/>
      </c>
      <c r="J65" s="42"/>
      <c r="K65" s="42"/>
    </row>
    <row r="66" spans="1:11" ht="15.75">
      <c r="A66" s="53" t="str">
        <v>CDCR - CA Correctional Institution</v>
      </c>
      <c r="B66" s="28" t="str">
        <v>CA</v>
      </c>
      <c r="C66" s="13"/>
      <c r="D66" s="13"/>
      <c r="E66" s="13" t="str">
        <f t="shared" si="11"/>
        <v/>
      </c>
      <c r="F66" s="13" t="str">
        <f t="shared" si="12"/>
        <v/>
      </c>
      <c r="G66" s="15"/>
      <c r="H66" s="15" t="str">
        <f t="shared" si="13"/>
        <v/>
      </c>
      <c r="I66" s="16" t="str">
        <f t="shared" si="14"/>
        <v/>
      </c>
      <c r="J66" s="41"/>
      <c r="K66" s="41"/>
    </row>
    <row r="67" spans="1:11" ht="15.75">
      <c r="A67" s="52" t="str">
        <v>CDCR - CA Correctional Institution II</v>
      </c>
      <c r="B67" s="30" t="str">
        <v>CA</v>
      </c>
      <c r="C67" s="18"/>
      <c r="D67" s="18"/>
      <c r="E67" s="18" t="str">
        <f t="shared" si="11"/>
        <v/>
      </c>
      <c r="F67" s="18" t="str">
        <f t="shared" si="12"/>
        <v/>
      </c>
      <c r="G67" s="45"/>
      <c r="H67" s="45" t="str">
        <f t="shared" si="13"/>
        <v/>
      </c>
      <c r="I67" s="16" t="str">
        <f t="shared" si="14"/>
        <v/>
      </c>
      <c r="J67" s="42"/>
      <c r="K67" s="42"/>
    </row>
    <row r="68" spans="1:11" ht="15.75">
      <c r="A68" s="53" t="str">
        <v>Snowline SD - Vista Verde ES</v>
      </c>
      <c r="B68" s="28" t="str">
        <v>CA</v>
      </c>
      <c r="C68" s="13"/>
      <c r="D68" s="13"/>
      <c r="E68" s="13" t="str">
        <f t="shared" si="11"/>
        <v/>
      </c>
      <c r="F68" s="13" t="str">
        <f t="shared" si="12"/>
        <v/>
      </c>
      <c r="G68" s="15"/>
      <c r="H68" s="15" t="str">
        <f t="shared" si="13"/>
        <v/>
      </c>
      <c r="I68" s="16" t="str">
        <f t="shared" si="14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38" type="noConversion"/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69:F99">
    <cfRule type="cellIs" dxfId="46" priority="1" stopIfTrue="1" operator="lessThanOrEqual">
      <formula>-0.1</formula>
    </cfRule>
    <cfRule type="expression" dxfId="45" priority="2">
      <formula>AND(ISNUMBER(F69), F69&gt;=0.1)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5" activePane="bottomRight" state="frozen"/>
      <selection pane="bottomRight" activeCell="G26" sqref="G26:G7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36</v>
      </c>
      <c r="E1" s="66"/>
      <c r="F1" s="66"/>
      <c r="G1" s="64" t="s">
        <v>37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2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3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2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5">
      <c r="A8" s="53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2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3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3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2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3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2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3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2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1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2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3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2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3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2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3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2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5.75">
      <c r="A26" s="53" t="str">
        <v>Mojave Water Agency - Headquarters</v>
      </c>
      <c r="B26" s="29" t="str">
        <v>CA</v>
      </c>
      <c r="C26" s="24"/>
      <c r="D26" s="13"/>
      <c r="E26" s="13" t="str">
        <f t="shared" ref="E26:E68" si="10">IF(AND(ISNUMBER(C26),ISNUMBER(D26)), C26-D26, "")</f>
        <v/>
      </c>
      <c r="F26" s="13" t="str">
        <f t="shared" ref="F26:F68" si="11">IFERROR(E26/D26, "")</f>
        <v/>
      </c>
      <c r="G26" s="15"/>
      <c r="H26" s="15" t="str">
        <f t="shared" ref="H26:H68" si="12">IF(AND(ISNUMBER(C26),ISNUMBER(G26)), C26-G26, "")</f>
        <v/>
      </c>
      <c r="I26" s="19" t="str">
        <f t="shared" ref="I26:I68" si="13">IFERROR(H26/G26, "")</f>
        <v/>
      </c>
      <c r="J26" s="41"/>
      <c r="K26" s="41"/>
    </row>
    <row r="27" spans="1:11" ht="15.75">
      <c r="A27" s="52" t="str">
        <v>CSU - Bakersfield</v>
      </c>
      <c r="B27" s="31" t="str">
        <v>CA</v>
      </c>
      <c r="C27" s="11"/>
      <c r="D27" s="18"/>
      <c r="E27" s="18" t="str">
        <f t="shared" si="10"/>
        <v/>
      </c>
      <c r="F27" s="18" t="str">
        <f t="shared" si="11"/>
        <v/>
      </c>
      <c r="G27" s="45"/>
      <c r="H27" s="45" t="str">
        <f t="shared" si="12"/>
        <v/>
      </c>
      <c r="I27" s="19" t="str">
        <f t="shared" si="13"/>
        <v/>
      </c>
      <c r="J27" s="42"/>
      <c r="K27" s="43"/>
    </row>
    <row r="28" spans="1:11" ht="15.75">
      <c r="A28" s="53" t="str">
        <v>Greenfield USD - Fairfield ES</v>
      </c>
      <c r="B28" s="29" t="str">
        <v>CA</v>
      </c>
      <c r="C28" s="24"/>
      <c r="D28" s="13"/>
      <c r="E28" s="13" t="str">
        <f t="shared" si="10"/>
        <v/>
      </c>
      <c r="F28" s="13" t="str">
        <f t="shared" si="11"/>
        <v/>
      </c>
      <c r="G28" s="15"/>
      <c r="H28" s="15" t="str">
        <f t="shared" si="12"/>
        <v/>
      </c>
      <c r="I28" s="19" t="str">
        <f t="shared" si="13"/>
        <v/>
      </c>
      <c r="J28" s="41"/>
      <c r="K28" s="41"/>
    </row>
    <row r="29" spans="1:11" ht="15.75">
      <c r="A29" s="52" t="str">
        <v>Greenfield USD - Granite Point ES</v>
      </c>
      <c r="B29" s="31" t="str">
        <v>CA</v>
      </c>
      <c r="C29" s="11"/>
      <c r="D29" s="18"/>
      <c r="E29" s="18" t="str">
        <f t="shared" si="10"/>
        <v/>
      </c>
      <c r="F29" s="18" t="str">
        <f t="shared" si="11"/>
        <v/>
      </c>
      <c r="G29" s="45"/>
      <c r="H29" s="45" t="str">
        <f t="shared" si="12"/>
        <v/>
      </c>
      <c r="I29" s="19" t="str">
        <f t="shared" si="13"/>
        <v/>
      </c>
      <c r="J29" s="42"/>
      <c r="K29" s="43"/>
    </row>
    <row r="30" spans="1:11" ht="15.75">
      <c r="A30" s="53" t="str">
        <v>Greenfield USD - Greenfield MS</v>
      </c>
      <c r="B30" s="29" t="str">
        <v>CA</v>
      </c>
      <c r="C30" s="24"/>
      <c r="D30" s="13"/>
      <c r="E30" s="13" t="str">
        <f t="shared" si="10"/>
        <v/>
      </c>
      <c r="F30" s="13" t="str">
        <f t="shared" si="11"/>
        <v/>
      </c>
      <c r="G30" s="15"/>
      <c r="H30" s="15" t="str">
        <f t="shared" si="12"/>
        <v/>
      </c>
      <c r="I30" s="19" t="str">
        <f t="shared" si="13"/>
        <v/>
      </c>
      <c r="J30" s="41"/>
      <c r="K30" s="41"/>
    </row>
    <row r="31" spans="1:11" ht="15.75">
      <c r="A31" s="52" t="str">
        <v>Greenfield USD - Horizon ES</v>
      </c>
      <c r="B31" s="31" t="str">
        <v>CA</v>
      </c>
      <c r="C31" s="11"/>
      <c r="D31" s="18"/>
      <c r="E31" s="18" t="str">
        <f t="shared" si="10"/>
        <v/>
      </c>
      <c r="F31" s="18" t="str">
        <f t="shared" si="11"/>
        <v/>
      </c>
      <c r="G31" s="45"/>
      <c r="H31" s="45" t="str">
        <f t="shared" si="12"/>
        <v/>
      </c>
      <c r="I31" s="19" t="str">
        <f t="shared" si="13"/>
        <v/>
      </c>
      <c r="J31" s="42"/>
      <c r="K31" s="43"/>
    </row>
    <row r="32" spans="1:11" ht="15.75">
      <c r="A32" s="53" t="str">
        <v>Greenfield USD - McKee MS</v>
      </c>
      <c r="B32" s="29" t="str">
        <v>CA</v>
      </c>
      <c r="C32" s="24"/>
      <c r="D32" s="13"/>
      <c r="E32" s="13" t="str">
        <f t="shared" si="10"/>
        <v/>
      </c>
      <c r="F32" s="13" t="str">
        <f t="shared" si="11"/>
        <v/>
      </c>
      <c r="G32" s="15"/>
      <c r="H32" s="15" t="str">
        <f t="shared" si="12"/>
        <v/>
      </c>
      <c r="I32" s="19" t="str">
        <f t="shared" si="13"/>
        <v/>
      </c>
      <c r="J32" s="41"/>
      <c r="K32" s="41"/>
    </row>
    <row r="33" spans="1:11" ht="15.75">
      <c r="A33" s="52" t="str">
        <v>Greenfield USD - Plantation ES</v>
      </c>
      <c r="B33" s="31" t="str">
        <v>CA</v>
      </c>
      <c r="C33" s="11"/>
      <c r="D33" s="18"/>
      <c r="E33" s="18" t="str">
        <f t="shared" si="10"/>
        <v/>
      </c>
      <c r="F33" s="18" t="str">
        <f t="shared" si="11"/>
        <v/>
      </c>
      <c r="G33" s="45"/>
      <c r="H33" s="45" t="str">
        <f t="shared" si="12"/>
        <v/>
      </c>
      <c r="I33" s="19" t="str">
        <f t="shared" si="13"/>
        <v/>
      </c>
      <c r="J33" s="42"/>
      <c r="K33" s="43"/>
    </row>
    <row r="34" spans="1:11" ht="15.75">
      <c r="A34" s="53" t="str">
        <v>Greenfield USD - Planz ES</v>
      </c>
      <c r="B34" s="29" t="str">
        <v>CA</v>
      </c>
      <c r="C34" s="24"/>
      <c r="D34" s="13"/>
      <c r="E34" s="13" t="str">
        <f t="shared" si="10"/>
        <v/>
      </c>
      <c r="F34" s="13" t="str">
        <f t="shared" si="11"/>
        <v/>
      </c>
      <c r="G34" s="15"/>
      <c r="H34" s="15" t="str">
        <f t="shared" si="12"/>
        <v/>
      </c>
      <c r="I34" s="19" t="str">
        <f t="shared" si="13"/>
        <v/>
      </c>
      <c r="J34" s="41"/>
      <c r="K34" s="41"/>
    </row>
    <row r="35" spans="1:11" ht="15.75">
      <c r="A35" s="52" t="str">
        <v>Greenfield USD - Raffaello Palla ES</v>
      </c>
      <c r="B35" s="31" t="str">
        <v>CA</v>
      </c>
      <c r="C35" s="11"/>
      <c r="D35" s="18"/>
      <c r="E35" s="18" t="str">
        <f t="shared" si="10"/>
        <v/>
      </c>
      <c r="F35" s="18" t="str">
        <f t="shared" si="11"/>
        <v/>
      </c>
      <c r="G35" s="45"/>
      <c r="H35" s="45" t="str">
        <f t="shared" si="12"/>
        <v/>
      </c>
      <c r="I35" s="19" t="str">
        <f t="shared" si="13"/>
        <v/>
      </c>
      <c r="J35" s="42"/>
      <c r="K35" s="43"/>
    </row>
    <row r="36" spans="1:11" ht="15.75">
      <c r="A36" s="53" t="str">
        <v>Greenfield USD - Valle Verde ES</v>
      </c>
      <c r="B36" s="29" t="str">
        <v>CA</v>
      </c>
      <c r="C36" s="24"/>
      <c r="D36" s="13"/>
      <c r="E36" s="13" t="str">
        <f t="shared" si="10"/>
        <v/>
      </c>
      <c r="F36" s="13" t="str">
        <f t="shared" si="11"/>
        <v/>
      </c>
      <c r="G36" s="15"/>
      <c r="H36" s="15" t="str">
        <f t="shared" si="12"/>
        <v/>
      </c>
      <c r="I36" s="19" t="str">
        <f t="shared" si="13"/>
        <v/>
      </c>
      <c r="J36" s="41"/>
      <c r="K36" s="41"/>
    </row>
    <row r="37" spans="1:11" ht="15.75">
      <c r="A37" s="52" t="str">
        <v>Greenfield USD - W.A. Kendrick ES</v>
      </c>
      <c r="B37" s="31" t="str">
        <v>CA</v>
      </c>
      <c r="C37" s="11"/>
      <c r="D37" s="18"/>
      <c r="E37" s="18" t="str">
        <f t="shared" si="10"/>
        <v/>
      </c>
      <c r="F37" s="18" t="str">
        <f t="shared" si="11"/>
        <v/>
      </c>
      <c r="G37" s="45"/>
      <c r="H37" s="45" t="str">
        <f t="shared" si="12"/>
        <v/>
      </c>
      <c r="I37" s="19" t="str">
        <f t="shared" si="13"/>
        <v/>
      </c>
      <c r="J37" s="42"/>
      <c r="K37" s="43"/>
    </row>
    <row r="38" spans="1:11" ht="15.75">
      <c r="A38" s="53" t="str">
        <v>Muroc Joint USD - Boron HS</v>
      </c>
      <c r="B38" s="29" t="str">
        <v>CA</v>
      </c>
      <c r="C38" s="24"/>
      <c r="D38" s="13"/>
      <c r="E38" s="13" t="str">
        <f t="shared" si="10"/>
        <v/>
      </c>
      <c r="F38" s="13" t="str">
        <f t="shared" si="11"/>
        <v/>
      </c>
      <c r="G38" s="15"/>
      <c r="H38" s="15" t="str">
        <f t="shared" si="12"/>
        <v/>
      </c>
      <c r="I38" s="19" t="str">
        <f t="shared" si="13"/>
        <v/>
      </c>
      <c r="J38" s="41"/>
      <c r="K38" s="41"/>
    </row>
    <row r="39" spans="1:11" ht="15.75">
      <c r="A39" s="52" t="str">
        <v>Muroc Joint USD - W. Boron ES</v>
      </c>
      <c r="B39" s="31" t="str">
        <v>CA</v>
      </c>
      <c r="C39" s="11"/>
      <c r="D39" s="18"/>
      <c r="E39" s="18" t="str">
        <f t="shared" si="10"/>
        <v/>
      </c>
      <c r="F39" s="18" t="str">
        <f t="shared" si="11"/>
        <v/>
      </c>
      <c r="G39" s="45"/>
      <c r="H39" s="45" t="str">
        <f t="shared" si="12"/>
        <v/>
      </c>
      <c r="I39" s="19" t="str">
        <f t="shared" si="13"/>
        <v/>
      </c>
      <c r="J39" s="42"/>
      <c r="K39" s="43"/>
    </row>
    <row r="40" spans="1:11" ht="15.75">
      <c r="A40" s="53" t="str">
        <v>Colusa - WTP</v>
      </c>
      <c r="B40" s="29" t="str">
        <v>CA</v>
      </c>
      <c r="C40" s="24"/>
      <c r="D40" s="13"/>
      <c r="E40" s="13" t="str">
        <f t="shared" si="10"/>
        <v/>
      </c>
      <c r="F40" s="13" t="str">
        <f t="shared" si="11"/>
        <v/>
      </c>
      <c r="G40" s="15"/>
      <c r="H40" s="15" t="str">
        <f t="shared" si="12"/>
        <v/>
      </c>
      <c r="I40" s="19" t="str">
        <f t="shared" si="13"/>
        <v/>
      </c>
      <c r="J40" s="41"/>
      <c r="K40" s="41"/>
    </row>
    <row r="41" spans="1:11" ht="15.75">
      <c r="A41" s="52" t="str">
        <v>CDCR-North Kern State Prision</v>
      </c>
      <c r="B41" s="31" t="str">
        <v>CA</v>
      </c>
      <c r="C41" s="11"/>
      <c r="D41" s="18"/>
      <c r="E41" s="18" t="str">
        <f t="shared" si="10"/>
        <v/>
      </c>
      <c r="F41" s="18" t="str">
        <f t="shared" si="11"/>
        <v/>
      </c>
      <c r="G41" s="45"/>
      <c r="H41" s="45" t="str">
        <f t="shared" si="12"/>
        <v/>
      </c>
      <c r="I41" s="19" t="str">
        <f t="shared" si="13"/>
        <v/>
      </c>
      <c r="J41" s="42"/>
      <c r="K41" s="43"/>
    </row>
    <row r="42" spans="1:11" ht="15.75">
      <c r="A42" s="53" t="str">
        <v>Muroc Joint USD - District Office</v>
      </c>
      <c r="B42" s="29" t="str">
        <v>CA</v>
      </c>
      <c r="C42" s="24"/>
      <c r="D42" s="13"/>
      <c r="E42" s="13" t="str">
        <f t="shared" si="10"/>
        <v/>
      </c>
      <c r="F42" s="13" t="str">
        <f t="shared" si="11"/>
        <v/>
      </c>
      <c r="G42" s="15"/>
      <c r="H42" s="15" t="str">
        <f t="shared" si="12"/>
        <v/>
      </c>
      <c r="I42" s="19" t="str">
        <f t="shared" si="13"/>
        <v/>
      </c>
      <c r="J42" s="41"/>
      <c r="K42" s="41"/>
    </row>
    <row r="43" spans="1:11" ht="15.75">
      <c r="A43" s="52" t="str">
        <v>Whole Foods - Manhattan Beach</v>
      </c>
      <c r="B43" s="31" t="str">
        <v>CA</v>
      </c>
      <c r="C43" s="11"/>
      <c r="D43" s="18"/>
      <c r="E43" s="18" t="str">
        <f t="shared" si="10"/>
        <v/>
      </c>
      <c r="F43" s="18" t="str">
        <f t="shared" si="11"/>
        <v/>
      </c>
      <c r="G43" s="45"/>
      <c r="H43" s="45" t="str">
        <f t="shared" si="12"/>
        <v/>
      </c>
      <c r="I43" s="19" t="str">
        <f t="shared" si="13"/>
        <v/>
      </c>
      <c r="J43" s="42"/>
      <c r="K43" s="43"/>
    </row>
    <row r="44" spans="1:11" ht="15.75">
      <c r="A44" s="53" t="str">
        <v>Pioneer USD - Frontier ES</v>
      </c>
      <c r="B44" s="29" t="str">
        <v>CA</v>
      </c>
      <c r="C44" s="24"/>
      <c r="D44" s="13"/>
      <c r="E44" s="13" t="str">
        <f t="shared" si="10"/>
        <v/>
      </c>
      <c r="F44" s="13" t="str">
        <f t="shared" si="11"/>
        <v/>
      </c>
      <c r="G44" s="15"/>
      <c r="H44" s="15" t="str">
        <f t="shared" si="12"/>
        <v/>
      </c>
      <c r="I44" s="19" t="str">
        <f t="shared" si="13"/>
        <v/>
      </c>
      <c r="J44" s="41"/>
      <c r="K44" s="41"/>
    </row>
    <row r="45" spans="1:11" ht="15.75">
      <c r="A45" s="52" t="str">
        <v>Pioneer USD - Pioneer ES</v>
      </c>
      <c r="B45" s="31" t="str">
        <v>CA</v>
      </c>
      <c r="C45" s="11"/>
      <c r="D45" s="18"/>
      <c r="E45" s="18" t="str">
        <f t="shared" si="10"/>
        <v/>
      </c>
      <c r="F45" s="18" t="str">
        <f t="shared" si="11"/>
        <v/>
      </c>
      <c r="G45" s="45"/>
      <c r="H45" s="45" t="str">
        <f t="shared" si="12"/>
        <v/>
      </c>
      <c r="I45" s="19" t="str">
        <f t="shared" si="13"/>
        <v/>
      </c>
      <c r="J45" s="42"/>
      <c r="K45" s="43"/>
    </row>
    <row r="46" spans="1:11" ht="15.75">
      <c r="A46" s="53" t="str">
        <v>Pioneer USD - Pioneer MS</v>
      </c>
      <c r="B46" s="29" t="str">
        <v>CA</v>
      </c>
      <c r="C46" s="24"/>
      <c r="D46" s="13"/>
      <c r="E46" s="13" t="str">
        <f t="shared" si="10"/>
        <v/>
      </c>
      <c r="F46" s="13" t="str">
        <f t="shared" si="11"/>
        <v/>
      </c>
      <c r="G46" s="15"/>
      <c r="H46" s="15" t="str">
        <f t="shared" si="12"/>
        <v/>
      </c>
      <c r="I46" s="19" t="str">
        <f t="shared" si="13"/>
        <v/>
      </c>
      <c r="J46" s="41"/>
      <c r="K46" s="41"/>
    </row>
    <row r="47" spans="1:11" ht="15.75">
      <c r="A47" s="52" t="str">
        <v>Kingsburg Joint UHSD - Kingsburg HS</v>
      </c>
      <c r="B47" s="31" t="str">
        <v>CA</v>
      </c>
      <c r="C47" s="11"/>
      <c r="D47" s="18"/>
      <c r="E47" s="18" t="str">
        <f t="shared" si="10"/>
        <v/>
      </c>
      <c r="F47" s="18" t="str">
        <f t="shared" si="11"/>
        <v/>
      </c>
      <c r="G47" s="45"/>
      <c r="H47" s="45" t="str">
        <f t="shared" si="12"/>
        <v/>
      </c>
      <c r="I47" s="19" t="str">
        <f t="shared" si="13"/>
        <v/>
      </c>
      <c r="J47" s="42"/>
      <c r="K47" s="43"/>
    </row>
    <row r="48" spans="1:11" ht="15.75">
      <c r="A48" s="53" t="str">
        <v>CADRB</v>
      </c>
      <c r="B48" s="29" t="str">
        <v>CA</v>
      </c>
      <c r="C48" s="24"/>
      <c r="D48" s="13"/>
      <c r="E48" s="13" t="str">
        <f t="shared" si="10"/>
        <v/>
      </c>
      <c r="F48" s="13" t="str">
        <f t="shared" si="11"/>
        <v/>
      </c>
      <c r="G48" s="15"/>
      <c r="H48" s="15" t="str">
        <f t="shared" si="12"/>
        <v/>
      </c>
      <c r="I48" s="19" t="str">
        <f t="shared" si="13"/>
        <v/>
      </c>
      <c r="J48" s="41"/>
      <c r="K48" s="41"/>
    </row>
    <row r="49" spans="1:11" ht="15.75">
      <c r="A49" s="52" t="str">
        <v>CDCR-CA State Prison LA County</v>
      </c>
      <c r="B49" s="31" t="str">
        <v>CA</v>
      </c>
      <c r="C49" s="11"/>
      <c r="D49" s="18"/>
      <c r="E49" s="18" t="str">
        <f t="shared" si="10"/>
        <v/>
      </c>
      <c r="F49" s="18" t="str">
        <f t="shared" si="11"/>
        <v/>
      </c>
      <c r="G49" s="45"/>
      <c r="H49" s="45" t="str">
        <f t="shared" si="12"/>
        <v/>
      </c>
      <c r="I49" s="19" t="str">
        <f t="shared" si="13"/>
        <v/>
      </c>
      <c r="J49" s="42"/>
      <c r="K49" s="43"/>
    </row>
    <row r="50" spans="1:11" ht="15.75">
      <c r="A50" s="53" t="str">
        <v>Central USD Akers ES</v>
      </c>
      <c r="B50" s="29" t="str">
        <v>CA</v>
      </c>
      <c r="C50" s="24"/>
      <c r="D50" s="13"/>
      <c r="E50" s="13" t="str">
        <f t="shared" si="10"/>
        <v/>
      </c>
      <c r="F50" s="13" t="str">
        <f t="shared" si="11"/>
        <v/>
      </c>
      <c r="G50" s="15"/>
      <c r="H50" s="15" t="str">
        <f t="shared" si="12"/>
        <v/>
      </c>
      <c r="I50" s="19" t="str">
        <f t="shared" si="13"/>
        <v/>
      </c>
      <c r="J50" s="41"/>
      <c r="K50" s="41"/>
    </row>
    <row r="51" spans="1:11" ht="15.75">
      <c r="A51" s="52" t="str">
        <v>CUSD - District Office</v>
      </c>
      <c r="B51" s="31" t="str">
        <v>CA</v>
      </c>
      <c r="C51" s="11"/>
      <c r="D51" s="18"/>
      <c r="E51" s="18" t="str">
        <f t="shared" si="10"/>
        <v/>
      </c>
      <c r="F51" s="18" t="str">
        <f t="shared" si="11"/>
        <v/>
      </c>
      <c r="G51" s="45"/>
      <c r="H51" s="45" t="str">
        <f t="shared" si="12"/>
        <v/>
      </c>
      <c r="I51" s="19" t="str">
        <f t="shared" si="13"/>
        <v/>
      </c>
      <c r="J51" s="42"/>
      <c r="K51" s="43"/>
    </row>
    <row r="52" spans="1:11" ht="15.75">
      <c r="A52" s="53" t="str">
        <v>Parlier - WTP</v>
      </c>
      <c r="B52" s="29" t="str">
        <v>CA</v>
      </c>
      <c r="C52" s="24"/>
      <c r="D52" s="13"/>
      <c r="E52" s="13" t="str">
        <f t="shared" si="10"/>
        <v/>
      </c>
      <c r="F52" s="13" t="str">
        <f t="shared" si="11"/>
        <v/>
      </c>
      <c r="G52" s="15"/>
      <c r="H52" s="15" t="str">
        <f t="shared" si="12"/>
        <v/>
      </c>
      <c r="I52" s="19" t="str">
        <f t="shared" si="13"/>
        <v/>
      </c>
      <c r="J52" s="41"/>
      <c r="K52" s="41"/>
    </row>
    <row r="53" spans="1:11" ht="15.75">
      <c r="A53" s="52" t="str">
        <v>Snowline SD - Quail Valley MS</v>
      </c>
      <c r="B53" s="31" t="str">
        <v>CA</v>
      </c>
      <c r="C53" s="11"/>
      <c r="D53" s="18"/>
      <c r="E53" s="18" t="str">
        <f t="shared" si="10"/>
        <v/>
      </c>
      <c r="F53" s="18" t="str">
        <f t="shared" si="11"/>
        <v/>
      </c>
      <c r="G53" s="45"/>
      <c r="H53" s="45" t="str">
        <f t="shared" si="12"/>
        <v/>
      </c>
      <c r="I53" s="19" t="str">
        <f t="shared" si="13"/>
        <v/>
      </c>
      <c r="J53" s="42"/>
      <c r="K53" s="43"/>
    </row>
    <row r="54" spans="1:11" ht="15.75">
      <c r="A54" s="53" t="str">
        <v>Snowline SD - Serrano HS - Middle Lot</v>
      </c>
      <c r="B54" s="29" t="str">
        <v>CA</v>
      </c>
      <c r="C54" s="24"/>
      <c r="D54" s="13"/>
      <c r="E54" s="13" t="str">
        <f t="shared" si="10"/>
        <v/>
      </c>
      <c r="F54" s="13" t="str">
        <f t="shared" si="11"/>
        <v/>
      </c>
      <c r="G54" s="15"/>
      <c r="H54" s="15" t="str">
        <f t="shared" si="12"/>
        <v/>
      </c>
      <c r="I54" s="19" t="str">
        <f t="shared" si="13"/>
        <v/>
      </c>
      <c r="J54" s="41"/>
      <c r="K54" s="41"/>
    </row>
    <row r="55" spans="1:11" ht="15.75">
      <c r="A55" s="52" t="str">
        <v>Snowline SD - Pinon Hills ES</v>
      </c>
      <c r="B55" s="31" t="str">
        <v>CA</v>
      </c>
      <c r="C55" s="11"/>
      <c r="D55" s="18"/>
      <c r="E55" s="18" t="str">
        <f t="shared" si="10"/>
        <v/>
      </c>
      <c r="F55" s="18" t="str">
        <f t="shared" si="11"/>
        <v/>
      </c>
      <c r="G55" s="45"/>
      <c r="H55" s="45" t="str">
        <f t="shared" si="12"/>
        <v/>
      </c>
      <c r="I55" s="19" t="str">
        <f t="shared" si="13"/>
        <v/>
      </c>
      <c r="J55" s="42"/>
      <c r="K55" s="43"/>
    </row>
    <row r="56" spans="1:11" ht="15.75">
      <c r="A56" s="53" t="str">
        <v>Ramona - Santa Maria WTP</v>
      </c>
      <c r="B56" s="29" t="str">
        <v>CA</v>
      </c>
      <c r="C56" s="24"/>
      <c r="D56" s="13"/>
      <c r="E56" s="13" t="str">
        <f t="shared" si="10"/>
        <v/>
      </c>
      <c r="F56" s="13" t="str">
        <f t="shared" si="11"/>
        <v/>
      </c>
      <c r="G56" s="15"/>
      <c r="H56" s="15" t="str">
        <f t="shared" si="12"/>
        <v/>
      </c>
      <c r="I56" s="19" t="str">
        <f t="shared" si="13"/>
        <v/>
      </c>
      <c r="J56" s="41"/>
      <c r="K56" s="41"/>
    </row>
    <row r="57" spans="1:11" ht="15.75">
      <c r="A57" s="52" t="str">
        <v>Kohls - Redding</v>
      </c>
      <c r="B57" s="31" t="str">
        <v>CA</v>
      </c>
      <c r="C57" s="11"/>
      <c r="D57" s="18"/>
      <c r="E57" s="18" t="str">
        <f t="shared" si="10"/>
        <v/>
      </c>
      <c r="F57" s="18" t="str">
        <f t="shared" si="11"/>
        <v/>
      </c>
      <c r="G57" s="45"/>
      <c r="H57" s="45" t="str">
        <f t="shared" si="12"/>
        <v/>
      </c>
      <c r="I57" s="19" t="str">
        <f t="shared" si="13"/>
        <v/>
      </c>
      <c r="J57" s="42"/>
      <c r="K57" s="43"/>
    </row>
    <row r="58" spans="1:11" ht="15.75">
      <c r="A58" s="53" t="str">
        <v>Kohls - Salinas</v>
      </c>
      <c r="B58" s="29" t="str">
        <v>CA</v>
      </c>
      <c r="C58" s="24"/>
      <c r="D58" s="13"/>
      <c r="E58" s="13" t="str">
        <f t="shared" si="10"/>
        <v/>
      </c>
      <c r="F58" s="13" t="str">
        <f t="shared" si="11"/>
        <v/>
      </c>
      <c r="G58" s="15"/>
      <c r="H58" s="15" t="str">
        <f t="shared" si="12"/>
        <v/>
      </c>
      <c r="I58" s="19" t="str">
        <f t="shared" si="13"/>
        <v/>
      </c>
      <c r="J58" s="41"/>
      <c r="K58" s="41"/>
    </row>
    <row r="59" spans="1:11" ht="15.75">
      <c r="A59" s="52" t="str">
        <v>Kohls - San Bernardino - Central</v>
      </c>
      <c r="B59" s="31" t="str">
        <v>CA</v>
      </c>
      <c r="C59" s="11"/>
      <c r="D59" s="18"/>
      <c r="E59" s="18" t="str">
        <f t="shared" si="10"/>
        <v/>
      </c>
      <c r="F59" s="18" t="str">
        <f t="shared" si="11"/>
        <v/>
      </c>
      <c r="G59" s="45"/>
      <c r="H59" s="45" t="str">
        <f t="shared" si="12"/>
        <v/>
      </c>
      <c r="I59" s="19" t="str">
        <f t="shared" si="13"/>
        <v/>
      </c>
      <c r="J59" s="42"/>
      <c r="K59" s="43"/>
    </row>
    <row r="60" spans="1:11" ht="15.75">
      <c r="A60" s="53" t="str">
        <v>Kohls - Sonora</v>
      </c>
      <c r="B60" s="29" t="str">
        <v>CA</v>
      </c>
      <c r="C60" s="24"/>
      <c r="D60" s="13"/>
      <c r="E60" s="13" t="str">
        <f t="shared" si="10"/>
        <v/>
      </c>
      <c r="F60" s="13" t="str">
        <f t="shared" si="11"/>
        <v/>
      </c>
      <c r="G60" s="15"/>
      <c r="H60" s="15" t="str">
        <f t="shared" si="12"/>
        <v/>
      </c>
      <c r="I60" s="19" t="str">
        <f t="shared" si="13"/>
        <v/>
      </c>
      <c r="J60" s="41"/>
      <c r="K60" s="41"/>
    </row>
    <row r="61" spans="1:11" ht="15.75">
      <c r="A61" s="52" t="str">
        <v>CUSD - Stratford ES</v>
      </c>
      <c r="B61" s="31" t="str">
        <v>CA</v>
      </c>
      <c r="C61" s="11"/>
      <c r="D61" s="18"/>
      <c r="E61" s="18" t="str">
        <f t="shared" si="10"/>
        <v/>
      </c>
      <c r="F61" s="18" t="str">
        <f t="shared" si="11"/>
        <v/>
      </c>
      <c r="G61" s="45"/>
      <c r="H61" s="45" t="str">
        <f t="shared" si="12"/>
        <v/>
      </c>
      <c r="I61" s="19" t="str">
        <f t="shared" si="13"/>
        <v/>
      </c>
      <c r="J61" s="42"/>
      <c r="K61" s="43"/>
    </row>
    <row r="62" spans="1:11" ht="15.75">
      <c r="A62" s="53" t="str">
        <v>Taft - City Hall</v>
      </c>
      <c r="B62" s="29" t="str">
        <v>CA</v>
      </c>
      <c r="C62" s="24"/>
      <c r="D62" s="13"/>
      <c r="E62" s="13" t="str">
        <f t="shared" si="10"/>
        <v/>
      </c>
      <c r="F62" s="13" t="str">
        <f t="shared" si="11"/>
        <v/>
      </c>
      <c r="G62" s="15"/>
      <c r="H62" s="15" t="str">
        <f t="shared" si="12"/>
        <v/>
      </c>
      <c r="I62" s="19" t="str">
        <f t="shared" si="13"/>
        <v/>
      </c>
      <c r="J62" s="41"/>
      <c r="K62" s="41"/>
    </row>
    <row r="63" spans="1:11" ht="15.75">
      <c r="A63" s="52" t="str">
        <v>Taft - Federal Prison</v>
      </c>
      <c r="B63" s="31" t="str">
        <v>CA</v>
      </c>
      <c r="C63" s="11"/>
      <c r="D63" s="18"/>
      <c r="E63" s="18" t="str">
        <f t="shared" si="10"/>
        <v/>
      </c>
      <c r="F63" s="18" t="str">
        <f t="shared" si="11"/>
        <v/>
      </c>
      <c r="G63" s="45"/>
      <c r="H63" s="45" t="str">
        <f t="shared" si="12"/>
        <v/>
      </c>
      <c r="I63" s="19" t="str">
        <f t="shared" si="13"/>
        <v/>
      </c>
      <c r="J63" s="42"/>
      <c r="K63" s="43"/>
    </row>
    <row r="64" spans="1:11" ht="15.75">
      <c r="A64" s="53" t="str">
        <v>Taft - Police Department</v>
      </c>
      <c r="B64" s="29" t="str">
        <v>CA</v>
      </c>
      <c r="C64" s="24"/>
      <c r="D64" s="13"/>
      <c r="E64" s="13" t="str">
        <f t="shared" si="10"/>
        <v/>
      </c>
      <c r="F64" s="13" t="str">
        <f t="shared" si="11"/>
        <v/>
      </c>
      <c r="G64" s="15"/>
      <c r="H64" s="15" t="str">
        <f t="shared" si="12"/>
        <v/>
      </c>
      <c r="I64" s="19" t="str">
        <f t="shared" si="13"/>
        <v/>
      </c>
      <c r="J64" s="41"/>
      <c r="K64" s="41"/>
    </row>
    <row r="65" spans="1:11" ht="15.75">
      <c r="A65" s="52" t="str">
        <v>Taft - WTP</v>
      </c>
      <c r="B65" s="31" t="str">
        <v>CA</v>
      </c>
      <c r="C65" s="11"/>
      <c r="D65" s="18"/>
      <c r="E65" s="18" t="str">
        <f t="shared" si="10"/>
        <v/>
      </c>
      <c r="F65" s="18" t="str">
        <f t="shared" si="11"/>
        <v/>
      </c>
      <c r="G65" s="45"/>
      <c r="H65" s="45" t="str">
        <f t="shared" si="12"/>
        <v/>
      </c>
      <c r="I65" s="19" t="str">
        <f t="shared" si="13"/>
        <v/>
      </c>
      <c r="J65" s="42"/>
      <c r="K65" s="43"/>
    </row>
    <row r="66" spans="1:11" ht="15.75">
      <c r="A66" s="53" t="str">
        <v>CDCR - CA Correctional Institution</v>
      </c>
      <c r="B66" s="29" t="str">
        <v>CA</v>
      </c>
      <c r="C66" s="24"/>
      <c r="D66" s="13"/>
      <c r="E66" s="13" t="str">
        <f t="shared" si="10"/>
        <v/>
      </c>
      <c r="F66" s="13" t="str">
        <f t="shared" si="11"/>
        <v/>
      </c>
      <c r="G66" s="15"/>
      <c r="H66" s="15" t="str">
        <f t="shared" si="12"/>
        <v/>
      </c>
      <c r="I66" s="19" t="str">
        <f t="shared" si="13"/>
        <v/>
      </c>
      <c r="J66" s="41"/>
      <c r="K66" s="41"/>
    </row>
    <row r="67" spans="1:11" ht="15.75">
      <c r="A67" s="52" t="str">
        <v>CDCR - CA Correctional Institution II</v>
      </c>
      <c r="B67" s="31" t="str">
        <v>CA</v>
      </c>
      <c r="C67" s="11"/>
      <c r="D67" s="18"/>
      <c r="E67" s="18" t="str">
        <f t="shared" si="10"/>
        <v/>
      </c>
      <c r="F67" s="18" t="str">
        <f t="shared" si="11"/>
        <v/>
      </c>
      <c r="G67" s="45"/>
      <c r="H67" s="45" t="str">
        <f t="shared" si="12"/>
        <v/>
      </c>
      <c r="I67" s="19" t="str">
        <f t="shared" si="13"/>
        <v/>
      </c>
      <c r="J67" s="42"/>
      <c r="K67" s="43"/>
    </row>
    <row r="68" spans="1:11" ht="15.75">
      <c r="A68" s="53" t="str">
        <v>Snowline SD - Vista Verde ES</v>
      </c>
      <c r="B68" s="29" t="str">
        <v>CA</v>
      </c>
      <c r="C68" s="24"/>
      <c r="D68" s="13"/>
      <c r="E68" s="13" t="str">
        <f t="shared" si="10"/>
        <v/>
      </c>
      <c r="F68" s="13" t="str">
        <f t="shared" si="11"/>
        <v/>
      </c>
      <c r="G68" s="15"/>
      <c r="H68" s="15" t="str">
        <f t="shared" si="12"/>
        <v/>
      </c>
      <c r="I68" s="19" t="str">
        <f t="shared" si="13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69:F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3" activePane="bottomRight" state="frozen"/>
      <selection pane="bottomRight" activeCell="J26" sqref="J26:K10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42</v>
      </c>
      <c r="E1" s="66"/>
      <c r="F1" s="66"/>
      <c r="G1" s="64" t="s">
        <v>43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5" t="s">
        <v>44</v>
      </c>
      <c r="K21" s="54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9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9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9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9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9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9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9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9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9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9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9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9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9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9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9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9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9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9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9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9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9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9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38" type="noConversion"/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C35" activePane="bottomRight" state="frozen"/>
      <selection pane="bottomRight" activeCell="G26" sqref="G26:G6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47</v>
      </c>
      <c r="E1" s="66"/>
      <c r="F1" s="66"/>
      <c r="G1" s="64" t="s">
        <v>48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6"/>
      <c r="K9" s="43"/>
    </row>
    <row r="10" spans="1:11" ht="15.7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8.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5" t="s">
        <v>49</v>
      </c>
      <c r="K15" s="55" t="s">
        <v>50</v>
      </c>
    </row>
    <row r="16" spans="1:11" ht="15.7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7"/>
      <c r="K16" s="57"/>
    </row>
    <row r="17" spans="1:11" ht="15.7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5"/>
      <c r="K17" s="59"/>
    </row>
    <row r="18" spans="1:11" ht="15.7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7"/>
      <c r="K18" s="57"/>
    </row>
    <row r="19" spans="1:11" ht="28.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5" t="s">
        <v>51</v>
      </c>
      <c r="K19" s="55" t="s">
        <v>52</v>
      </c>
    </row>
    <row r="20" spans="1:11" ht="15.7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7"/>
      <c r="K20" s="57"/>
    </row>
    <row r="21" spans="1:11" ht="15.7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5" t="s">
        <v>53</v>
      </c>
      <c r="K21" s="55" t="s">
        <v>54</v>
      </c>
    </row>
    <row r="22" spans="1:11" ht="15.7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58"/>
      <c r="K22" s="57"/>
    </row>
    <row r="23" spans="1:11" ht="15.7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0"/>
      <c r="K23" s="60"/>
    </row>
    <row r="24" spans="1:11" ht="15.7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15" activePane="bottomRight" state="frozen"/>
      <selection pane="bottomRight" activeCell="G26" sqref="G26:G7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55</v>
      </c>
      <c r="E1" s="66"/>
      <c r="F1" s="66"/>
      <c r="G1" s="64" t="s">
        <v>56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75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8.5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75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8.5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75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6">IF(AND(ISNUMBER(C26),ISNUMBER(D26)), C26-D26, "")</f>
        <v/>
      </c>
      <c r="F26" s="14"/>
      <c r="G26" s="15"/>
      <c r="H26" s="15" t="str">
        <f t="shared" ref="H26:H68" si="7">IF(AND(ISNUMBER(C26),ISNUMBER(G26)), C26-G26, "")</f>
        <v/>
      </c>
      <c r="I26" s="16" t="str">
        <f t="shared" ref="I26:I68" si="8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6"/>
        <v/>
      </c>
      <c r="F27" s="19"/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6"/>
        <v/>
      </c>
      <c r="F28" s="14"/>
      <c r="G28" s="15"/>
      <c r="H28" s="15" t="str">
        <f t="shared" si="7"/>
        <v/>
      </c>
      <c r="I28" s="16" t="str">
        <f t="shared" si="8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6"/>
        <v/>
      </c>
      <c r="F29" s="19"/>
      <c r="G29" s="20"/>
      <c r="H29" s="20" t="str">
        <f t="shared" si="7"/>
        <v/>
      </c>
      <c r="I29" s="19" t="str">
        <f t="shared" si="8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6"/>
        <v/>
      </c>
      <c r="F30" s="14"/>
      <c r="G30" s="15"/>
      <c r="H30" s="15" t="str">
        <f t="shared" si="7"/>
        <v/>
      </c>
      <c r="I30" s="16" t="str">
        <f t="shared" si="8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6"/>
        <v/>
      </c>
      <c r="F31" s="19"/>
      <c r="G31" s="20"/>
      <c r="H31" s="20" t="str">
        <f t="shared" si="7"/>
        <v/>
      </c>
      <c r="I31" s="19" t="str">
        <f t="shared" si="8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6"/>
        <v/>
      </c>
      <c r="F32" s="14"/>
      <c r="G32" s="15"/>
      <c r="H32" s="15" t="str">
        <f t="shared" si="7"/>
        <v/>
      </c>
      <c r="I32" s="16" t="str">
        <f t="shared" si="8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6"/>
        <v/>
      </c>
      <c r="F33" s="19"/>
      <c r="G33" s="20"/>
      <c r="H33" s="20" t="str">
        <f t="shared" si="7"/>
        <v/>
      </c>
      <c r="I33" s="19" t="str">
        <f t="shared" si="8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6"/>
        <v/>
      </c>
      <c r="F34" s="14"/>
      <c r="G34" s="15"/>
      <c r="H34" s="15" t="str">
        <f t="shared" si="7"/>
        <v/>
      </c>
      <c r="I34" s="16" t="str">
        <f t="shared" si="8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6"/>
        <v/>
      </c>
      <c r="F35" s="19"/>
      <c r="G35" s="20"/>
      <c r="H35" s="20" t="str">
        <f t="shared" si="7"/>
        <v/>
      </c>
      <c r="I35" s="19" t="str">
        <f t="shared" si="8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6"/>
        <v/>
      </c>
      <c r="F36" s="14"/>
      <c r="G36" s="15"/>
      <c r="H36" s="15" t="str">
        <f t="shared" si="7"/>
        <v/>
      </c>
      <c r="I36" s="16" t="str">
        <f t="shared" si="8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6"/>
        <v/>
      </c>
      <c r="F37" s="19"/>
      <c r="G37" s="20"/>
      <c r="H37" s="20" t="str">
        <f t="shared" si="7"/>
        <v/>
      </c>
      <c r="I37" s="19" t="str">
        <f t="shared" si="8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6"/>
        <v/>
      </c>
      <c r="F38" s="14"/>
      <c r="G38" s="15"/>
      <c r="H38" s="15" t="str">
        <f t="shared" si="7"/>
        <v/>
      </c>
      <c r="I38" s="16" t="str">
        <f t="shared" si="8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6"/>
        <v/>
      </c>
      <c r="F39" s="19"/>
      <c r="G39" s="20"/>
      <c r="H39" s="20" t="str">
        <f t="shared" si="7"/>
        <v/>
      </c>
      <c r="I39" s="19" t="str">
        <f t="shared" si="8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6"/>
        <v/>
      </c>
      <c r="F40" s="14"/>
      <c r="G40" s="15"/>
      <c r="H40" s="15" t="str">
        <f t="shared" si="7"/>
        <v/>
      </c>
      <c r="I40" s="16" t="str">
        <f t="shared" si="8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6"/>
        <v/>
      </c>
      <c r="F41" s="19"/>
      <c r="G41" s="20"/>
      <c r="H41" s="20" t="str">
        <f t="shared" si="7"/>
        <v/>
      </c>
      <c r="I41" s="19" t="str">
        <f t="shared" si="8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6"/>
        <v/>
      </c>
      <c r="F42" s="14"/>
      <c r="G42" s="15"/>
      <c r="H42" s="15" t="str">
        <f t="shared" si="7"/>
        <v/>
      </c>
      <c r="I42" s="16" t="str">
        <f t="shared" si="8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6"/>
        <v/>
      </c>
      <c r="F43" s="19"/>
      <c r="G43" s="20"/>
      <c r="H43" s="20" t="str">
        <f t="shared" si="7"/>
        <v/>
      </c>
      <c r="I43" s="19" t="str">
        <f t="shared" si="8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6"/>
        <v/>
      </c>
      <c r="F44" s="14"/>
      <c r="G44" s="15"/>
      <c r="H44" s="15" t="str">
        <f t="shared" si="7"/>
        <v/>
      </c>
      <c r="I44" s="16" t="str">
        <f t="shared" si="8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6"/>
        <v/>
      </c>
      <c r="F45" s="19"/>
      <c r="G45" s="20"/>
      <c r="H45" s="20" t="str">
        <f t="shared" si="7"/>
        <v/>
      </c>
      <c r="I45" s="19" t="str">
        <f t="shared" si="8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6"/>
        <v/>
      </c>
      <c r="F46" s="14"/>
      <c r="G46" s="15"/>
      <c r="H46" s="15" t="str">
        <f t="shared" si="7"/>
        <v/>
      </c>
      <c r="I46" s="16" t="str">
        <f t="shared" si="8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6"/>
        <v/>
      </c>
      <c r="F47" s="19"/>
      <c r="G47" s="20"/>
      <c r="H47" s="20" t="str">
        <f t="shared" si="7"/>
        <v/>
      </c>
      <c r="I47" s="19" t="str">
        <f t="shared" si="8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6"/>
        <v/>
      </c>
      <c r="F48" s="14"/>
      <c r="G48" s="15"/>
      <c r="H48" s="15" t="str">
        <f t="shared" si="7"/>
        <v/>
      </c>
      <c r="I48" s="16" t="str">
        <f t="shared" si="8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6"/>
        <v/>
      </c>
      <c r="F49" s="19"/>
      <c r="G49" s="20"/>
      <c r="H49" s="20" t="str">
        <f t="shared" si="7"/>
        <v/>
      </c>
      <c r="I49" s="19" t="str">
        <f t="shared" si="8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6"/>
        <v/>
      </c>
      <c r="F50" s="14"/>
      <c r="G50" s="15"/>
      <c r="H50" s="15" t="str">
        <f t="shared" si="7"/>
        <v/>
      </c>
      <c r="I50" s="16" t="str">
        <f t="shared" si="8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6"/>
        <v/>
      </c>
      <c r="F51" s="19"/>
      <c r="G51" s="20"/>
      <c r="H51" s="20" t="str">
        <f t="shared" si="7"/>
        <v/>
      </c>
      <c r="I51" s="19" t="str">
        <f t="shared" si="8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6"/>
        <v/>
      </c>
      <c r="F52" s="14"/>
      <c r="G52" s="15"/>
      <c r="H52" s="15" t="str">
        <f t="shared" si="7"/>
        <v/>
      </c>
      <c r="I52" s="16" t="str">
        <f t="shared" si="8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6"/>
        <v/>
      </c>
      <c r="F53" s="19"/>
      <c r="G53" s="20"/>
      <c r="H53" s="20" t="str">
        <f t="shared" si="7"/>
        <v/>
      </c>
      <c r="I53" s="19" t="str">
        <f t="shared" si="8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6"/>
        <v/>
      </c>
      <c r="F54" s="14"/>
      <c r="G54" s="15"/>
      <c r="H54" s="15" t="str">
        <f t="shared" si="7"/>
        <v/>
      </c>
      <c r="I54" s="16" t="str">
        <f t="shared" si="8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6"/>
        <v/>
      </c>
      <c r="F55" s="19"/>
      <c r="G55" s="20"/>
      <c r="H55" s="20" t="str">
        <f t="shared" si="7"/>
        <v/>
      </c>
      <c r="I55" s="19" t="str">
        <f t="shared" si="8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6"/>
        <v/>
      </c>
      <c r="F56" s="14"/>
      <c r="G56" s="15"/>
      <c r="H56" s="15" t="str">
        <f t="shared" si="7"/>
        <v/>
      </c>
      <c r="I56" s="16" t="str">
        <f t="shared" si="8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6"/>
        <v/>
      </c>
      <c r="F57" s="19"/>
      <c r="G57" s="20"/>
      <c r="H57" s="20" t="str">
        <f t="shared" si="7"/>
        <v/>
      </c>
      <c r="I57" s="19" t="str">
        <f t="shared" si="8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6"/>
        <v/>
      </c>
      <c r="F58" s="14"/>
      <c r="G58" s="15"/>
      <c r="H58" s="15" t="str">
        <f t="shared" si="7"/>
        <v/>
      </c>
      <c r="I58" s="16" t="str">
        <f t="shared" si="8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6"/>
        <v/>
      </c>
      <c r="F59" s="19"/>
      <c r="G59" s="20"/>
      <c r="H59" s="20" t="str">
        <f t="shared" si="7"/>
        <v/>
      </c>
      <c r="I59" s="19" t="str">
        <f t="shared" si="8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6"/>
        <v/>
      </c>
      <c r="F60" s="14"/>
      <c r="G60" s="15"/>
      <c r="H60" s="15" t="str">
        <f t="shared" si="7"/>
        <v/>
      </c>
      <c r="I60" s="16" t="str">
        <f t="shared" si="8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6"/>
        <v/>
      </c>
      <c r="F61" s="19"/>
      <c r="G61" s="20"/>
      <c r="H61" s="20" t="str">
        <f t="shared" si="7"/>
        <v/>
      </c>
      <c r="I61" s="19" t="str">
        <f t="shared" si="8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6"/>
        <v/>
      </c>
      <c r="F62" s="14"/>
      <c r="G62" s="15"/>
      <c r="H62" s="15" t="str">
        <f t="shared" si="7"/>
        <v/>
      </c>
      <c r="I62" s="16" t="str">
        <f t="shared" si="8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6"/>
        <v/>
      </c>
      <c r="F63" s="19"/>
      <c r="G63" s="20"/>
      <c r="H63" s="20" t="str">
        <f t="shared" si="7"/>
        <v/>
      </c>
      <c r="I63" s="19" t="str">
        <f t="shared" si="8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6"/>
        <v/>
      </c>
      <c r="F64" s="14"/>
      <c r="G64" s="15"/>
      <c r="H64" s="15" t="str">
        <f t="shared" si="7"/>
        <v/>
      </c>
      <c r="I64" s="16" t="str">
        <f t="shared" si="8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6"/>
        <v/>
      </c>
      <c r="F65" s="19"/>
      <c r="G65" s="20"/>
      <c r="H65" s="20" t="str">
        <f t="shared" si="7"/>
        <v/>
      </c>
      <c r="I65" s="19" t="str">
        <f t="shared" si="8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6"/>
        <v/>
      </c>
      <c r="F66" s="14"/>
      <c r="G66" s="15"/>
      <c r="H66" s="15" t="str">
        <f t="shared" si="7"/>
        <v/>
      </c>
      <c r="I66" s="16" t="str">
        <f t="shared" si="8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6"/>
        <v/>
      </c>
      <c r="F67" s="19"/>
      <c r="G67" s="20"/>
      <c r="H67" s="20" t="str">
        <f t="shared" si="7"/>
        <v/>
      </c>
      <c r="I67" s="19" t="str">
        <f t="shared" si="8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6"/>
        <v/>
      </c>
      <c r="F68" s="14"/>
      <c r="G68" s="15"/>
      <c r="H68" s="15" t="str">
        <f t="shared" si="7"/>
        <v/>
      </c>
      <c r="I68" s="16" t="str">
        <f t="shared" si="8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33" activePane="bottomRight" state="frozen"/>
      <selection pane="bottomRight" activeCell="O49" sqref="O4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63</v>
      </c>
      <c r="E1" s="66"/>
      <c r="F1" s="66"/>
      <c r="G1" s="64" t="s">
        <v>64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1251894</v>
      </c>
      <c r="D2" s="5">
        <f>SUM(D4:D100)</f>
        <v>0</v>
      </c>
      <c r="E2" s="5">
        <f>C2-D2</f>
        <v>1251894</v>
      </c>
      <c r="F2" s="6">
        <f>IFERROR(E2/D2, 0)</f>
        <v>0</v>
      </c>
      <c r="G2" s="5">
        <f>SUM(G4:G100)</f>
        <v>1285796.0530000001</v>
      </c>
      <c r="H2" s="7">
        <f>C2-G2</f>
        <v>-33902.053000000073</v>
      </c>
      <c r="I2" s="6">
        <f>IFERROR(H2/G2, 0)</f>
        <v>-2.636658661449482E-2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38861</v>
      </c>
      <c r="D4" s="13">
        <v>0</v>
      </c>
      <c r="E4" s="13">
        <f>IF(AND(ISNUMBER(C4),ISNUMBER(D4)), C4-D4, "")</f>
        <v>38861</v>
      </c>
      <c r="F4" s="14" t="str">
        <f>IFERROR(E4/D4, "")</f>
        <v/>
      </c>
      <c r="G4" s="15">
        <v>36643</v>
      </c>
      <c r="H4" s="15">
        <f>IF(AND(ISNUMBER(C4),ISNUMBER(G4)), C4-G4, "")</f>
        <v>2218</v>
      </c>
      <c r="I4" s="16">
        <f>IFERROR(H4/G4, "")</f>
        <v>6.0529978440629864E-2</v>
      </c>
      <c r="J4" s="57"/>
      <c r="K4" s="57"/>
    </row>
    <row r="5" spans="1:11" ht="15.75">
      <c r="A5" s="30" t="str">
        <v>Kohls - Auburn</v>
      </c>
      <c r="B5" s="31" t="str">
        <v>NY</v>
      </c>
      <c r="C5" s="11">
        <v>38967</v>
      </c>
      <c r="D5" s="18">
        <v>0</v>
      </c>
      <c r="E5" s="18">
        <f t="shared" ref="E5:E25" si="0">IF(AND(ISNUMBER(C5),ISNUMBER(D5)), C5-D5, "")</f>
        <v>38967</v>
      </c>
      <c r="F5" s="19" t="str">
        <f>IFERROR(E5/D5, "")</f>
        <v/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1"/>
      <c r="K5" s="61"/>
    </row>
    <row r="6" spans="1:11" ht="15.75">
      <c r="A6" s="28" t="str">
        <v>Kohls - Bensalem</v>
      </c>
      <c r="B6" s="29" t="str">
        <v>PA</v>
      </c>
      <c r="C6" s="24">
        <v>48041</v>
      </c>
      <c r="D6" s="13">
        <v>0</v>
      </c>
      <c r="E6" s="13">
        <f t="shared" si="0"/>
        <v>48041</v>
      </c>
      <c r="F6" s="14" t="str">
        <f t="shared" ref="F6:F17" si="3">IFERROR(E6/D6, "")</f>
        <v/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7"/>
      <c r="K6" s="57"/>
    </row>
    <row r="7" spans="1:11" ht="15.75">
      <c r="A7" s="30" t="str">
        <v>Kohls - Brick</v>
      </c>
      <c r="B7" s="31" t="str">
        <v>NJ</v>
      </c>
      <c r="C7" s="11">
        <v>55066</v>
      </c>
      <c r="D7" s="18">
        <v>0</v>
      </c>
      <c r="E7" s="18">
        <f t="shared" si="0"/>
        <v>55066</v>
      </c>
      <c r="F7" s="19" t="str">
        <f t="shared" si="3"/>
        <v/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1"/>
      <c r="K7" s="62"/>
    </row>
    <row r="8" spans="1:11" ht="28.5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7" t="s">
        <v>65</v>
      </c>
      <c r="K8" s="57" t="s">
        <v>66</v>
      </c>
    </row>
    <row r="9" spans="1:11" ht="15.75">
      <c r="A9" s="30" t="str">
        <v>Kohls - Canton</v>
      </c>
      <c r="B9" s="31" t="str">
        <v>CT</v>
      </c>
      <c r="C9" s="11">
        <v>18924</v>
      </c>
      <c r="D9" s="18">
        <v>0</v>
      </c>
      <c r="E9" s="18">
        <f t="shared" si="0"/>
        <v>18924</v>
      </c>
      <c r="F9" s="19" t="str">
        <f t="shared" si="3"/>
        <v/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1"/>
      <c r="K9" s="62"/>
    </row>
    <row r="10" spans="1:11" ht="15.75">
      <c r="A10" s="28" t="str">
        <v>Kohls - East Amherst</v>
      </c>
      <c r="B10" s="29" t="str">
        <v>NY</v>
      </c>
      <c r="C10" s="24">
        <v>42273</v>
      </c>
      <c r="D10" s="13">
        <v>0</v>
      </c>
      <c r="E10" s="13">
        <f t="shared" si="0"/>
        <v>42273</v>
      </c>
      <c r="F10" s="14" t="str">
        <f t="shared" si="3"/>
        <v/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7" t="s">
        <v>67</v>
      </c>
      <c r="K10" s="57" t="s">
        <v>68</v>
      </c>
    </row>
    <row r="11" spans="1:11" ht="15.75">
      <c r="A11" s="30" t="str">
        <v>Kohls - East Brunswick</v>
      </c>
      <c r="B11" s="31" t="str">
        <v>NJ</v>
      </c>
      <c r="C11" s="11">
        <v>56556</v>
      </c>
      <c r="D11" s="18">
        <v>0</v>
      </c>
      <c r="E11" s="18">
        <f t="shared" si="0"/>
        <v>56556</v>
      </c>
      <c r="F11" s="19" t="str">
        <f t="shared" si="3"/>
        <v/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1"/>
      <c r="K11" s="62"/>
    </row>
    <row r="12" spans="1:11" ht="71.25">
      <c r="A12" s="28" t="str">
        <v>Kohls - Edgewood</v>
      </c>
      <c r="B12" s="29" t="str">
        <v>MD</v>
      </c>
      <c r="C12" s="24">
        <v>293146</v>
      </c>
      <c r="D12" s="13">
        <v>0</v>
      </c>
      <c r="E12" s="13">
        <f t="shared" si="0"/>
        <v>293146</v>
      </c>
      <c r="F12" s="14" t="str">
        <f t="shared" si="3"/>
        <v/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7" t="s">
        <v>69</v>
      </c>
      <c r="K12" s="57" t="s">
        <v>70</v>
      </c>
    </row>
    <row r="13" spans="1:11" ht="15.75">
      <c r="A13" s="30" t="str">
        <v>Kohls - Granite Run</v>
      </c>
      <c r="B13" s="31" t="str">
        <v>PA</v>
      </c>
      <c r="C13" s="11">
        <v>45726</v>
      </c>
      <c r="D13" s="18">
        <v>0</v>
      </c>
      <c r="E13" s="18">
        <f t="shared" si="0"/>
        <v>45726</v>
      </c>
      <c r="F13" s="19" t="str">
        <f t="shared" si="3"/>
        <v/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1"/>
      <c r="K13" s="62"/>
    </row>
    <row r="14" spans="1:11" ht="15.75">
      <c r="A14" s="28" t="str">
        <v>Kohls - Greece</v>
      </c>
      <c r="B14" s="29" t="str">
        <v>NY</v>
      </c>
      <c r="C14" s="24">
        <v>38251</v>
      </c>
      <c r="D14" s="13">
        <v>0</v>
      </c>
      <c r="E14" s="13">
        <f t="shared" si="0"/>
        <v>38251</v>
      </c>
      <c r="F14" s="14" t="str">
        <f t="shared" si="3"/>
        <v/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7"/>
      <c r="K14" s="57"/>
    </row>
    <row r="15" spans="1:11" ht="15.75">
      <c r="A15" s="30" t="str">
        <v>Kohls - Hanover</v>
      </c>
      <c r="B15" s="31" t="str">
        <v>PA</v>
      </c>
      <c r="C15" s="11">
        <v>46174</v>
      </c>
      <c r="D15" s="18">
        <v>0</v>
      </c>
      <c r="E15" s="18">
        <f t="shared" si="0"/>
        <v>46174</v>
      </c>
      <c r="F15" s="19" t="str">
        <f t="shared" si="3"/>
        <v/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1"/>
      <c r="K15" s="62"/>
    </row>
    <row r="16" spans="1:11" ht="15.75">
      <c r="A16" s="28" t="str">
        <v>Kohls - Horsehead</v>
      </c>
      <c r="B16" s="29" t="str">
        <v>NY</v>
      </c>
      <c r="C16" s="24">
        <v>33985</v>
      </c>
      <c r="D16" s="13">
        <v>0</v>
      </c>
      <c r="E16" s="13">
        <f t="shared" si="0"/>
        <v>33985</v>
      </c>
      <c r="F16" s="14" t="str">
        <f t="shared" si="3"/>
        <v/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7"/>
      <c r="K16" s="57"/>
    </row>
    <row r="17" spans="1:11" ht="28.5">
      <c r="A17" s="30" t="str">
        <v>Kohls - Hudson</v>
      </c>
      <c r="B17" s="31" t="str">
        <v>NY</v>
      </c>
      <c r="C17" s="11">
        <v>52488</v>
      </c>
      <c r="D17" s="18">
        <v>0</v>
      </c>
      <c r="E17" s="18">
        <f t="shared" si="0"/>
        <v>52488</v>
      </c>
      <c r="F17" s="19" t="str">
        <f t="shared" si="3"/>
        <v/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1" t="s">
        <v>71</v>
      </c>
      <c r="K17" s="61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0</v>
      </c>
      <c r="E18" s="13">
        <f t="shared" si="0"/>
        <v>35516</v>
      </c>
      <c r="F18" s="14"/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7"/>
      <c r="K18" s="57"/>
    </row>
    <row r="19" spans="1:11" ht="15.75">
      <c r="A19" s="30" t="str">
        <v>Kohls - Kingston</v>
      </c>
      <c r="B19" s="31" t="str">
        <v>NY</v>
      </c>
      <c r="C19" s="11">
        <v>57081</v>
      </c>
      <c r="D19" s="18">
        <v>0</v>
      </c>
      <c r="E19" s="18">
        <f t="shared" si="0"/>
        <v>57081</v>
      </c>
      <c r="F19" s="19"/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1"/>
      <c r="K19" s="61"/>
    </row>
    <row r="20" spans="1:11" ht="15.75">
      <c r="A20" s="28" t="str">
        <v>Kohls - Mechanicsburg</v>
      </c>
      <c r="B20" s="29" t="str">
        <v>PA</v>
      </c>
      <c r="C20" s="24">
        <v>56711</v>
      </c>
      <c r="D20" s="13">
        <v>0</v>
      </c>
      <c r="E20" s="13">
        <f t="shared" si="0"/>
        <v>56711</v>
      </c>
      <c r="F20" s="14"/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0</v>
      </c>
      <c r="E21" s="18">
        <f t="shared" si="0"/>
        <v>82960</v>
      </c>
      <c r="F21" s="19"/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5" t="s">
        <v>73</v>
      </c>
      <c r="K21" s="59" t="s">
        <v>74</v>
      </c>
    </row>
    <row r="22" spans="1:11" ht="15.75">
      <c r="A22" s="28" t="str">
        <v>Kohls - North Amherst</v>
      </c>
      <c r="B22" s="29" t="str">
        <v>NY</v>
      </c>
      <c r="C22" s="24">
        <v>32245</v>
      </c>
      <c r="D22" s="13">
        <v>0</v>
      </c>
      <c r="E22" s="13">
        <f t="shared" si="0"/>
        <v>32245</v>
      </c>
      <c r="F22" s="14"/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7"/>
      <c r="K22" s="57"/>
    </row>
    <row r="23" spans="1:11" ht="31.5">
      <c r="A23" s="30" t="str">
        <v>Kohls - Staten Island</v>
      </c>
      <c r="B23" s="31" t="str">
        <v>NY</v>
      </c>
      <c r="C23" s="11">
        <v>42365</v>
      </c>
      <c r="D23" s="18">
        <v>0</v>
      </c>
      <c r="E23" s="18">
        <f t="shared" si="0"/>
        <v>42365</v>
      </c>
      <c r="F23" s="19"/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1" t="s">
        <v>75</v>
      </c>
      <c r="K23" s="62" t="s">
        <v>76</v>
      </c>
    </row>
    <row r="24" spans="1:11" ht="15.75">
      <c r="A24" s="28" t="str">
        <v>Kohls - Warminster</v>
      </c>
      <c r="B24" s="29" t="str">
        <v>PA</v>
      </c>
      <c r="C24" s="24">
        <v>56614</v>
      </c>
      <c r="D24" s="13">
        <v>0</v>
      </c>
      <c r="E24" s="13">
        <f t="shared" si="0"/>
        <v>56614</v>
      </c>
      <c r="F24" s="14"/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7"/>
      <c r="K24" s="57"/>
    </row>
    <row r="25" spans="1:11" ht="15.75">
      <c r="A25" s="30" t="str">
        <v xml:space="preserve">Kohls - Waterbury </v>
      </c>
      <c r="B25" s="31" t="str">
        <v>CT</v>
      </c>
      <c r="C25" s="11">
        <v>47104</v>
      </c>
      <c r="D25" s="18">
        <v>0</v>
      </c>
      <c r="E25" s="18">
        <f t="shared" si="0"/>
        <v>47104</v>
      </c>
      <c r="F25" s="19"/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/>
      <c r="G26" s="15"/>
      <c r="H26" s="15" t="str">
        <f t="shared" ref="H26:H68" si="5">IF(AND(ISNUMBER(C26),ISNUMBER(G26)), C26-G26, "")</f>
        <v/>
      </c>
      <c r="I26" s="16" t="str">
        <f t="shared" ref="I26:I68" si="6">IFERROR(H26/G26, "")</f>
        <v/>
      </c>
      <c r="J26" s="57"/>
      <c r="K26" s="57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/>
      <c r="G27" s="20"/>
      <c r="H27" s="20" t="str">
        <f t="shared" si="5"/>
        <v/>
      </c>
      <c r="I27" s="19" t="str">
        <f t="shared" si="6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/>
      <c r="G28" s="15"/>
      <c r="H28" s="15" t="str">
        <f t="shared" si="5"/>
        <v/>
      </c>
      <c r="I28" s="16" t="str">
        <f t="shared" si="6"/>
        <v/>
      </c>
      <c r="J28" s="57"/>
      <c r="K28" s="57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/>
      <c r="G29" s="20"/>
      <c r="H29" s="20" t="str">
        <f t="shared" si="5"/>
        <v/>
      </c>
      <c r="I29" s="19" t="str">
        <f t="shared" si="6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/>
      <c r="G30" s="15"/>
      <c r="H30" s="15" t="str">
        <f t="shared" si="5"/>
        <v/>
      </c>
      <c r="I30" s="16" t="str">
        <f t="shared" si="6"/>
        <v/>
      </c>
      <c r="J30" s="57"/>
      <c r="K30" s="57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/>
      <c r="G31" s="20"/>
      <c r="H31" s="20" t="str">
        <f t="shared" si="5"/>
        <v/>
      </c>
      <c r="I31" s="19" t="str">
        <f t="shared" si="6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/>
      <c r="G32" s="15"/>
      <c r="H32" s="15" t="str">
        <f t="shared" si="5"/>
        <v/>
      </c>
      <c r="I32" s="16" t="str">
        <f t="shared" si="6"/>
        <v/>
      </c>
      <c r="J32" s="57"/>
      <c r="K32" s="57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/>
      <c r="G33" s="20"/>
      <c r="H33" s="20" t="str">
        <f t="shared" si="5"/>
        <v/>
      </c>
      <c r="I33" s="19" t="str">
        <f t="shared" si="6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/>
      <c r="G34" s="15"/>
      <c r="H34" s="15" t="str">
        <f t="shared" si="5"/>
        <v/>
      </c>
      <c r="I34" s="16" t="str">
        <f t="shared" si="6"/>
        <v/>
      </c>
      <c r="J34" s="57"/>
      <c r="K34" s="57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/>
      <c r="G35" s="20"/>
      <c r="H35" s="20" t="str">
        <f t="shared" si="5"/>
        <v/>
      </c>
      <c r="I35" s="19" t="str">
        <f t="shared" si="6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/>
      <c r="G36" s="15"/>
      <c r="H36" s="15" t="str">
        <f t="shared" si="5"/>
        <v/>
      </c>
      <c r="I36" s="16" t="str">
        <f t="shared" si="6"/>
        <v/>
      </c>
      <c r="J36" s="57"/>
      <c r="K36" s="57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/>
      <c r="G37" s="20"/>
      <c r="H37" s="20" t="str">
        <f t="shared" si="5"/>
        <v/>
      </c>
      <c r="I37" s="19" t="str">
        <f t="shared" si="6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/>
      <c r="G38" s="15"/>
      <c r="H38" s="15" t="str">
        <f t="shared" si="5"/>
        <v/>
      </c>
      <c r="I38" s="16" t="str">
        <f t="shared" si="6"/>
        <v/>
      </c>
      <c r="J38" s="57"/>
      <c r="K38" s="57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/>
      <c r="G39" s="20"/>
      <c r="H39" s="20" t="str">
        <f t="shared" si="5"/>
        <v/>
      </c>
      <c r="I39" s="19" t="str">
        <f t="shared" si="6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/>
      <c r="G40" s="15"/>
      <c r="H40" s="15" t="str">
        <f t="shared" si="5"/>
        <v/>
      </c>
      <c r="I40" s="16" t="str">
        <f t="shared" si="6"/>
        <v/>
      </c>
      <c r="J40" s="57"/>
      <c r="K40" s="57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/>
      <c r="G41" s="20"/>
      <c r="H41" s="20" t="str">
        <f t="shared" si="5"/>
        <v/>
      </c>
      <c r="I41" s="19" t="str">
        <f t="shared" si="6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/>
      <c r="G42" s="15"/>
      <c r="H42" s="15" t="str">
        <f t="shared" si="5"/>
        <v/>
      </c>
      <c r="I42" s="16" t="str">
        <f t="shared" si="6"/>
        <v/>
      </c>
      <c r="J42" s="57"/>
      <c r="K42" s="57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/>
      <c r="G43" s="20"/>
      <c r="H43" s="20" t="str">
        <f t="shared" si="5"/>
        <v/>
      </c>
      <c r="I43" s="19" t="str">
        <f t="shared" si="6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/>
      <c r="G44" s="15"/>
      <c r="H44" s="15" t="str">
        <f t="shared" si="5"/>
        <v/>
      </c>
      <c r="I44" s="16" t="str">
        <f t="shared" si="6"/>
        <v/>
      </c>
      <c r="J44" s="57"/>
      <c r="K44" s="57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/>
      <c r="G45" s="20"/>
      <c r="H45" s="20" t="str">
        <f t="shared" si="5"/>
        <v/>
      </c>
      <c r="I45" s="19" t="str">
        <f t="shared" si="6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/>
      <c r="G46" s="15"/>
      <c r="H46" s="15" t="str">
        <f t="shared" si="5"/>
        <v/>
      </c>
      <c r="I46" s="16" t="str">
        <f t="shared" si="6"/>
        <v/>
      </c>
      <c r="J46" s="57"/>
      <c r="K46" s="57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/>
      <c r="G47" s="20"/>
      <c r="H47" s="20" t="str">
        <f t="shared" si="5"/>
        <v/>
      </c>
      <c r="I47" s="19" t="str">
        <f t="shared" si="6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/>
      <c r="G48" s="15"/>
      <c r="H48" s="15" t="str">
        <f t="shared" si="5"/>
        <v/>
      </c>
      <c r="I48" s="16" t="str">
        <f t="shared" si="6"/>
        <v/>
      </c>
      <c r="J48" s="57"/>
      <c r="K48" s="57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/>
      <c r="G49" s="20"/>
      <c r="H49" s="20" t="str">
        <f t="shared" si="5"/>
        <v/>
      </c>
      <c r="I49" s="19" t="str">
        <f t="shared" si="6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/>
      <c r="G50" s="15"/>
      <c r="H50" s="15" t="str">
        <f t="shared" si="5"/>
        <v/>
      </c>
      <c r="I50" s="16" t="str">
        <f t="shared" si="6"/>
        <v/>
      </c>
      <c r="J50" s="57"/>
      <c r="K50" s="57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/>
      <c r="G51" s="20"/>
      <c r="H51" s="20" t="str">
        <f t="shared" si="5"/>
        <v/>
      </c>
      <c r="I51" s="19" t="str">
        <f t="shared" si="6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/>
      <c r="G52" s="15"/>
      <c r="H52" s="15" t="str">
        <f t="shared" si="5"/>
        <v/>
      </c>
      <c r="I52" s="16" t="str">
        <f t="shared" si="6"/>
        <v/>
      </c>
      <c r="J52" s="57"/>
      <c r="K52" s="57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/>
      <c r="G53" s="20"/>
      <c r="H53" s="20" t="str">
        <f t="shared" si="5"/>
        <v/>
      </c>
      <c r="I53" s="19" t="str">
        <f t="shared" si="6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/>
      <c r="G54" s="15"/>
      <c r="H54" s="15" t="str">
        <f t="shared" si="5"/>
        <v/>
      </c>
      <c r="I54" s="16" t="str">
        <f t="shared" si="6"/>
        <v/>
      </c>
      <c r="J54" s="57"/>
      <c r="K54" s="57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/>
      <c r="G55" s="20"/>
      <c r="H55" s="20" t="str">
        <f t="shared" si="5"/>
        <v/>
      </c>
      <c r="I55" s="19" t="str">
        <f t="shared" si="6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/>
      <c r="G56" s="15"/>
      <c r="H56" s="15" t="str">
        <f t="shared" si="5"/>
        <v/>
      </c>
      <c r="I56" s="16" t="str">
        <f t="shared" si="6"/>
        <v/>
      </c>
      <c r="J56" s="57"/>
      <c r="K56" s="57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/>
      <c r="G57" s="20"/>
      <c r="H57" s="20" t="str">
        <f t="shared" si="5"/>
        <v/>
      </c>
      <c r="I57" s="19" t="str">
        <f t="shared" si="6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/>
      <c r="G58" s="15"/>
      <c r="H58" s="15" t="str">
        <f t="shared" si="5"/>
        <v/>
      </c>
      <c r="I58" s="16" t="str">
        <f t="shared" si="6"/>
        <v/>
      </c>
      <c r="J58" s="57"/>
      <c r="K58" s="57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/>
      <c r="G59" s="20"/>
      <c r="H59" s="20" t="str">
        <f t="shared" si="5"/>
        <v/>
      </c>
      <c r="I59" s="19" t="str">
        <f t="shared" si="6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/>
      <c r="G60" s="15"/>
      <c r="H60" s="15" t="str">
        <f t="shared" si="5"/>
        <v/>
      </c>
      <c r="I60" s="16" t="str">
        <f t="shared" si="6"/>
        <v/>
      </c>
      <c r="J60" s="57"/>
      <c r="K60" s="57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/>
      <c r="G61" s="20"/>
      <c r="H61" s="20" t="str">
        <f t="shared" si="5"/>
        <v/>
      </c>
      <c r="I61" s="19" t="str">
        <f t="shared" si="6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/>
      <c r="G62" s="15"/>
      <c r="H62" s="15" t="str">
        <f t="shared" si="5"/>
        <v/>
      </c>
      <c r="I62" s="16" t="str">
        <f t="shared" si="6"/>
        <v/>
      </c>
      <c r="J62" s="57"/>
      <c r="K62" s="57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/>
      <c r="G63" s="20"/>
      <c r="H63" s="20" t="str">
        <f t="shared" si="5"/>
        <v/>
      </c>
      <c r="I63" s="19" t="str">
        <f t="shared" si="6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/>
      <c r="G64" s="15"/>
      <c r="H64" s="15" t="str">
        <f t="shared" si="5"/>
        <v/>
      </c>
      <c r="I64" s="16" t="str">
        <f t="shared" si="6"/>
        <v/>
      </c>
      <c r="J64" s="57"/>
      <c r="K64" s="57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/>
      <c r="G65" s="20"/>
      <c r="H65" s="20" t="str">
        <f t="shared" si="5"/>
        <v/>
      </c>
      <c r="I65" s="19" t="str">
        <f t="shared" si="6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/>
      <c r="G66" s="15"/>
      <c r="H66" s="15" t="str">
        <f t="shared" si="5"/>
        <v/>
      </c>
      <c r="I66" s="16" t="str">
        <f t="shared" si="6"/>
        <v/>
      </c>
      <c r="J66" s="57"/>
      <c r="K66" s="57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/>
      <c r="G67" s="20"/>
      <c r="H67" s="20" t="str">
        <f t="shared" si="5"/>
        <v/>
      </c>
      <c r="I67" s="19" t="str">
        <f t="shared" si="6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/>
      <c r="G68" s="15"/>
      <c r="H68" s="15" t="str">
        <f t="shared" si="5"/>
        <v/>
      </c>
      <c r="I68" s="16" t="str">
        <f t="shared" si="6"/>
        <v/>
      </c>
      <c r="J68" s="57"/>
      <c r="K68" s="57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77</v>
      </c>
      <c r="E1" s="66"/>
      <c r="F1" s="66"/>
      <c r="G1" s="64" t="s">
        <v>78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1219814</v>
      </c>
      <c r="D2" s="5">
        <f>SUM(D4:D100)</f>
        <v>0</v>
      </c>
      <c r="E2" s="5">
        <f>C2-D2</f>
        <v>1219814</v>
      </c>
      <c r="F2" s="6">
        <f>IFERROR(E2/D2, 0)</f>
        <v>0</v>
      </c>
      <c r="G2" s="5">
        <f>SUM(G4:G100)</f>
        <v>1290222</v>
      </c>
      <c r="H2" s="7">
        <f>C2-G2</f>
        <v>-70408</v>
      </c>
      <c r="I2" s="6">
        <f>IFERROR(H2/G2, 0)</f>
        <v>-5.4570453766871127E-2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35782</v>
      </c>
      <c r="D4" s="13">
        <v>0</v>
      </c>
      <c r="E4" s="13">
        <f>IF(AND(ISNUMBER(C4),ISNUMBER(D4)), C4-D4, "")</f>
        <v>35782</v>
      </c>
      <c r="F4" s="14" t="str">
        <f>IFERROR(E4/D4, "")</f>
        <v/>
      </c>
      <c r="G4" s="15">
        <v>35953</v>
      </c>
      <c r="H4" s="15">
        <f>IF(AND(ISNUMBER(C4),ISNUMBER(G4)), C4-G4, "")</f>
        <v>-171</v>
      </c>
      <c r="I4" s="16">
        <f>IFERROR(H4/G4, "")</f>
        <v>-4.7562094957305373E-3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43412</v>
      </c>
      <c r="D5" s="18">
        <v>0</v>
      </c>
      <c r="E5" s="18">
        <f t="shared" ref="E5:E25" si="0">IF(AND(ISNUMBER(C5),ISNUMBER(D5)), C5-D5, "")</f>
        <v>43412</v>
      </c>
      <c r="F5" s="19" t="str">
        <f>IFERROR(E5/D5, "")</f>
        <v/>
      </c>
      <c r="G5" s="20">
        <v>44557</v>
      </c>
      <c r="H5" s="20">
        <f t="shared" ref="H5:H25" si="1">IF(AND(ISNUMBER(C5),ISNUMBER(G5)), C5-G5, "")</f>
        <v>-1145</v>
      </c>
      <c r="I5" s="19">
        <f t="shared" ref="I5:I25" si="2">IFERROR(H5/G5, "")</f>
        <v>-2.5697421280606862E-2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42901</v>
      </c>
      <c r="D6" s="13">
        <v>0</v>
      </c>
      <c r="E6" s="13">
        <f t="shared" si="0"/>
        <v>42901</v>
      </c>
      <c r="F6" s="14" t="str">
        <f t="shared" ref="F6:F25" si="3">IFERROR(E6/D6, "")</f>
        <v/>
      </c>
      <c r="G6" s="15">
        <v>39812</v>
      </c>
      <c r="H6" s="15">
        <f t="shared" si="1"/>
        <v>3089</v>
      </c>
      <c r="I6" s="16">
        <f t="shared" si="2"/>
        <v>7.758967145584246E-2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51013</v>
      </c>
      <c r="D7" s="18">
        <v>0</v>
      </c>
      <c r="E7" s="18">
        <f t="shared" si="0"/>
        <v>51013</v>
      </c>
      <c r="F7" s="19" t="str">
        <f t="shared" si="3"/>
        <v/>
      </c>
      <c r="G7" s="20">
        <v>49484</v>
      </c>
      <c r="H7" s="20">
        <f t="shared" si="1"/>
        <v>1529</v>
      </c>
      <c r="I7" s="19">
        <f t="shared" si="2"/>
        <v>3.0898876404494381E-2</v>
      </c>
      <c r="J7" s="42"/>
      <c r="K7" s="43"/>
    </row>
    <row r="8" spans="1:11" ht="42.75">
      <c r="A8" s="28" t="str">
        <v>Kohls - Buffalo</v>
      </c>
      <c r="B8" s="29" t="str">
        <v>NY</v>
      </c>
      <c r="C8" s="24">
        <v>65280</v>
      </c>
      <c r="D8" s="13">
        <v>0</v>
      </c>
      <c r="E8" s="13">
        <f t="shared" si="0"/>
        <v>65280</v>
      </c>
      <c r="F8" s="14" t="str">
        <f t="shared" si="3"/>
        <v/>
      </c>
      <c r="G8" s="15">
        <v>52881</v>
      </c>
      <c r="H8" s="15">
        <f t="shared" si="1"/>
        <v>12399</v>
      </c>
      <c r="I8" s="16">
        <f t="shared" si="2"/>
        <v>0.23446984739320362</v>
      </c>
      <c r="J8" s="41" t="s">
        <v>79</v>
      </c>
      <c r="K8" s="41" t="s">
        <v>80</v>
      </c>
    </row>
    <row r="9" spans="1:11" ht="15.75">
      <c r="A9" s="30" t="str">
        <v>Kohls - Canton</v>
      </c>
      <c r="B9" s="31" t="str">
        <v>CT</v>
      </c>
      <c r="C9" s="11">
        <v>17428</v>
      </c>
      <c r="D9" s="18">
        <v>0</v>
      </c>
      <c r="E9" s="18">
        <f t="shared" si="0"/>
        <v>17428</v>
      </c>
      <c r="F9" s="19" t="str">
        <f t="shared" si="3"/>
        <v/>
      </c>
      <c r="G9" s="20">
        <v>16394</v>
      </c>
      <c r="H9" s="20">
        <f t="shared" si="1"/>
        <v>1034</v>
      </c>
      <c r="I9" s="19">
        <f t="shared" si="2"/>
        <v>6.3071855556911069E-2</v>
      </c>
      <c r="J9" s="42" t="s">
        <v>81</v>
      </c>
      <c r="K9" s="43" t="s">
        <v>82</v>
      </c>
    </row>
    <row r="10" spans="1:11" ht="15.75">
      <c r="A10" s="28" t="str">
        <v>Kohls - East Amherst</v>
      </c>
      <c r="B10" s="29" t="str">
        <v>NY</v>
      </c>
      <c r="C10" s="24">
        <v>47699</v>
      </c>
      <c r="D10" s="13">
        <v>0</v>
      </c>
      <c r="E10" s="13">
        <f t="shared" si="0"/>
        <v>47699</v>
      </c>
      <c r="F10" s="14" t="str">
        <f t="shared" si="3"/>
        <v/>
      </c>
      <c r="G10" s="15">
        <v>48565</v>
      </c>
      <c r="H10" s="15">
        <f t="shared" si="1"/>
        <v>-866</v>
      </c>
      <c r="I10" s="16">
        <f t="shared" si="2"/>
        <v>-1.7831771852156904E-2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59413</v>
      </c>
      <c r="D11" s="18">
        <v>0</v>
      </c>
      <c r="E11" s="18">
        <f t="shared" si="0"/>
        <v>59413</v>
      </c>
      <c r="F11" s="19" t="str">
        <f t="shared" si="3"/>
        <v/>
      </c>
      <c r="G11" s="20">
        <v>61415</v>
      </c>
      <c r="H11" s="20">
        <f t="shared" si="1"/>
        <v>-2002</v>
      </c>
      <c r="I11" s="19">
        <f t="shared" si="2"/>
        <v>-3.259789953594399E-2</v>
      </c>
      <c r="J11" s="42"/>
      <c r="K11" s="43"/>
    </row>
    <row r="12" spans="1:11" ht="57">
      <c r="A12" s="28" t="str">
        <v>Kohls - Edgewood</v>
      </c>
      <c r="B12" s="29" t="str">
        <v>MD</v>
      </c>
      <c r="C12" s="24">
        <v>282815</v>
      </c>
      <c r="D12" s="13">
        <v>0</v>
      </c>
      <c r="E12" s="13">
        <f t="shared" si="0"/>
        <v>282815</v>
      </c>
      <c r="F12" s="14" t="str">
        <f t="shared" si="3"/>
        <v/>
      </c>
      <c r="G12" s="15">
        <v>324326</v>
      </c>
      <c r="H12" s="15">
        <f t="shared" si="1"/>
        <v>-41511</v>
      </c>
      <c r="I12" s="16">
        <f t="shared" si="2"/>
        <v>-0.127991588710125</v>
      </c>
      <c r="J12" s="41" t="s">
        <v>83</v>
      </c>
      <c r="K12" s="41" t="s">
        <v>84</v>
      </c>
    </row>
    <row r="13" spans="1:11" ht="15.75">
      <c r="A13" s="30" t="str">
        <v>Kohls - Granite Run</v>
      </c>
      <c r="B13" s="31" t="str">
        <v>PA</v>
      </c>
      <c r="C13" s="11">
        <v>41499</v>
      </c>
      <c r="D13" s="18">
        <v>0</v>
      </c>
      <c r="E13" s="18">
        <f t="shared" si="0"/>
        <v>41499</v>
      </c>
      <c r="F13" s="19" t="str">
        <f t="shared" si="3"/>
        <v/>
      </c>
      <c r="G13" s="20">
        <v>39471</v>
      </c>
      <c r="H13" s="20">
        <f t="shared" si="1"/>
        <v>2028</v>
      </c>
      <c r="I13" s="19">
        <f t="shared" si="2"/>
        <v>5.1379493805578783E-2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32688</v>
      </c>
      <c r="D14" s="13">
        <v>0</v>
      </c>
      <c r="E14" s="13">
        <f t="shared" si="0"/>
        <v>32688</v>
      </c>
      <c r="F14" s="14" t="str">
        <f t="shared" si="3"/>
        <v/>
      </c>
      <c r="G14" s="15">
        <v>50411</v>
      </c>
      <c r="H14" s="15">
        <f t="shared" si="1"/>
        <v>-17723</v>
      </c>
      <c r="I14" s="16">
        <f t="shared" si="2"/>
        <v>-0.35157009382872784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33019</v>
      </c>
      <c r="D15" s="18">
        <v>0</v>
      </c>
      <c r="E15" s="18">
        <f t="shared" si="0"/>
        <v>33019</v>
      </c>
      <c r="F15" s="19" t="str">
        <f t="shared" si="3"/>
        <v/>
      </c>
      <c r="G15" s="20">
        <v>44333</v>
      </c>
      <c r="H15" s="20">
        <f t="shared" si="1"/>
        <v>-11314</v>
      </c>
      <c r="I15" s="19">
        <f t="shared" si="2"/>
        <v>-0.25520492635282971</v>
      </c>
      <c r="J15" s="42" t="s">
        <v>85</v>
      </c>
      <c r="K15" s="43" t="s">
        <v>86</v>
      </c>
    </row>
    <row r="16" spans="1:11" ht="15.75">
      <c r="A16" s="28" t="str">
        <v>Kohls - Horsehead</v>
      </c>
      <c r="B16" s="29" t="str">
        <v>NY</v>
      </c>
      <c r="C16" s="24">
        <v>37604</v>
      </c>
      <c r="D16" s="13">
        <v>0</v>
      </c>
      <c r="E16" s="13">
        <f t="shared" si="0"/>
        <v>37604</v>
      </c>
      <c r="F16" s="14" t="str">
        <f t="shared" si="3"/>
        <v/>
      </c>
      <c r="G16" s="15">
        <v>37006</v>
      </c>
      <c r="H16" s="15">
        <f t="shared" si="1"/>
        <v>598</v>
      </c>
      <c r="I16" s="16">
        <f t="shared" si="2"/>
        <v>1.61595416959412E-2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42163</v>
      </c>
      <c r="D17" s="18">
        <v>0</v>
      </c>
      <c r="E17" s="18">
        <f t="shared" si="0"/>
        <v>42163</v>
      </c>
      <c r="F17" s="19" t="str">
        <f t="shared" si="3"/>
        <v/>
      </c>
      <c r="G17" s="20">
        <v>41900</v>
      </c>
      <c r="H17" s="20">
        <f t="shared" si="1"/>
        <v>263</v>
      </c>
      <c r="I17" s="19">
        <f t="shared" si="2"/>
        <v>6.2768496420047733E-3</v>
      </c>
      <c r="J17" s="54" t="s">
        <v>87</v>
      </c>
      <c r="K17" s="43" t="s">
        <v>88</v>
      </c>
    </row>
    <row r="18" spans="1:11" ht="12.75" customHeight="1">
      <c r="A18" s="32" t="str">
        <v>Kohls - Ithaca</v>
      </c>
      <c r="B18" s="29" t="str">
        <v>NY</v>
      </c>
      <c r="C18" s="24">
        <v>39218</v>
      </c>
      <c r="D18" s="13">
        <v>0</v>
      </c>
      <c r="E18" s="13">
        <f t="shared" si="0"/>
        <v>39218</v>
      </c>
      <c r="F18" s="14" t="str">
        <f t="shared" si="3"/>
        <v/>
      </c>
      <c r="G18" s="15">
        <v>42348</v>
      </c>
      <c r="H18" s="15">
        <f t="shared" si="1"/>
        <v>-3130</v>
      </c>
      <c r="I18" s="16">
        <f t="shared" si="2"/>
        <v>-7.3911400774534813E-2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57863</v>
      </c>
      <c r="D19" s="18">
        <v>0</v>
      </c>
      <c r="E19" s="18">
        <f t="shared" si="0"/>
        <v>57863</v>
      </c>
      <c r="F19" s="19" t="str">
        <f t="shared" si="3"/>
        <v/>
      </c>
      <c r="G19" s="20">
        <v>61988</v>
      </c>
      <c r="H19" s="20">
        <f t="shared" si="1"/>
        <v>-4125</v>
      </c>
      <c r="I19" s="19">
        <f t="shared" si="2"/>
        <v>-6.6545137768600368E-2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53334</v>
      </c>
      <c r="D20" s="13">
        <v>0</v>
      </c>
      <c r="E20" s="13">
        <f t="shared" si="0"/>
        <v>53334</v>
      </c>
      <c r="F20" s="14" t="str">
        <f t="shared" si="3"/>
        <v/>
      </c>
      <c r="G20" s="15">
        <v>51760</v>
      </c>
      <c r="H20" s="15">
        <f t="shared" si="1"/>
        <v>1574</v>
      </c>
      <c r="I20" s="16">
        <f t="shared" si="2"/>
        <v>3.0409582689335395E-2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76290</v>
      </c>
      <c r="D21" s="18">
        <v>0</v>
      </c>
      <c r="E21" s="18">
        <f t="shared" si="0"/>
        <v>76290</v>
      </c>
      <c r="F21" s="19" t="str">
        <f t="shared" si="3"/>
        <v/>
      </c>
      <c r="G21" s="20">
        <v>70863</v>
      </c>
      <c r="H21" s="20">
        <f t="shared" si="1"/>
        <v>5427</v>
      </c>
      <c r="I21" s="19">
        <f t="shared" si="2"/>
        <v>7.6584395241522371E-2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35059</v>
      </c>
      <c r="D22" s="13">
        <v>0</v>
      </c>
      <c r="E22" s="13">
        <f t="shared" si="0"/>
        <v>35059</v>
      </c>
      <c r="F22" s="14" t="str">
        <f t="shared" si="3"/>
        <v/>
      </c>
      <c r="G22" s="15">
        <v>45023</v>
      </c>
      <c r="H22" s="15">
        <f t="shared" si="1"/>
        <v>-9964</v>
      </c>
      <c r="I22" s="16">
        <f t="shared" si="2"/>
        <v>-0.22130910867778691</v>
      </c>
      <c r="J22" s="41" t="s">
        <v>89</v>
      </c>
      <c r="K22" s="41" t="s">
        <v>90</v>
      </c>
    </row>
    <row r="23" spans="1:11" ht="42.75">
      <c r="A23" s="30" t="str">
        <v>Kohls - Staten Island</v>
      </c>
      <c r="B23" s="31" t="str">
        <v>NY</v>
      </c>
      <c r="C23" s="11">
        <v>36847</v>
      </c>
      <c r="D23" s="18">
        <v>0</v>
      </c>
      <c r="E23" s="18">
        <f t="shared" si="0"/>
        <v>36847</v>
      </c>
      <c r="F23" s="19" t="str">
        <f t="shared" si="3"/>
        <v/>
      </c>
      <c r="G23" s="20">
        <v>40968</v>
      </c>
      <c r="H23" s="20">
        <f t="shared" si="1"/>
        <v>-4121</v>
      </c>
      <c r="I23" s="19">
        <f t="shared" si="2"/>
        <v>-0.10059070494044133</v>
      </c>
      <c r="J23" s="42" t="s">
        <v>91</v>
      </c>
      <c r="K23" s="63" t="s">
        <v>92</v>
      </c>
    </row>
    <row r="24" spans="1:11" ht="15.75">
      <c r="A24" s="28" t="str">
        <v>Kohls - Warminster</v>
      </c>
      <c r="B24" s="29" t="str">
        <v>PA</v>
      </c>
      <c r="C24" s="24">
        <v>49126</v>
      </c>
      <c r="D24" s="13">
        <v>0</v>
      </c>
      <c r="E24" s="13">
        <f t="shared" si="0"/>
        <v>49126</v>
      </c>
      <c r="F24" s="14" t="str">
        <f t="shared" si="3"/>
        <v/>
      </c>
      <c r="G24" s="15">
        <v>48666</v>
      </c>
      <c r="H24" s="15">
        <f t="shared" si="1"/>
        <v>460</v>
      </c>
      <c r="I24" s="16">
        <f t="shared" si="2"/>
        <v>9.4521842764969388E-3</v>
      </c>
      <c r="J24" s="41" t="s">
        <v>93</v>
      </c>
      <c r="K24" s="41" t="s">
        <v>94</v>
      </c>
    </row>
    <row r="25" spans="1:11" ht="15.75">
      <c r="A25" s="30" t="str">
        <v xml:space="preserve">Kohls - Waterbury </v>
      </c>
      <c r="B25" s="31" t="str">
        <v>CT</v>
      </c>
      <c r="C25" s="11">
        <v>39361</v>
      </c>
      <c r="D25" s="18">
        <v>0</v>
      </c>
      <c r="E25" s="18">
        <f t="shared" si="0"/>
        <v>39361</v>
      </c>
      <c r="F25" s="19" t="str">
        <f t="shared" si="3"/>
        <v/>
      </c>
      <c r="G25" s="20">
        <v>42098</v>
      </c>
      <c r="H25" s="20">
        <f t="shared" si="1"/>
        <v>-2737</v>
      </c>
      <c r="I25" s="19">
        <f t="shared" si="2"/>
        <v>-6.5014965081476556E-2</v>
      </c>
      <c r="J25" s="42" t="s">
        <v>95</v>
      </c>
      <c r="K25" s="43" t="s">
        <v>96</v>
      </c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38" type="noConversion"/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zoomScale="80" zoomScaleNormal="80" workbookViewId="0">
      <pane xSplit="2" ySplit="3" topLeftCell="C4" activePane="bottomRight" state="frozen"/>
      <selection pane="bottomRight" activeCell="H73" sqref="H7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97</v>
      </c>
      <c r="E1" s="66"/>
      <c r="F1" s="66"/>
      <c r="G1" s="64" t="s">
        <v>98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3139844</v>
      </c>
      <c r="D2" s="5">
        <f>SUM(D4:D100)</f>
        <v>0</v>
      </c>
      <c r="E2" s="5">
        <f>C2-D2</f>
        <v>3139844</v>
      </c>
      <c r="F2" s="6">
        <f>IFERROR(E2/D2, 0)</f>
        <v>0</v>
      </c>
      <c r="G2" s="5">
        <f>SUM(G4:G100)</f>
        <v>4879636.3030000022</v>
      </c>
      <c r="H2" s="7">
        <f>C2-G2</f>
        <v>-1739792.3030000022</v>
      </c>
      <c r="I2" s="6">
        <f>IFERROR(H2/G2, 0)</f>
        <v>-0.35654138853143158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31134</v>
      </c>
      <c r="D4" s="13">
        <v>0</v>
      </c>
      <c r="E4" s="13">
        <f t="shared" ref="E4:E10" si="0">IF(AND(ISNUMBER(C4),ISNUMBER(D4)), C4-D4, "")</f>
        <v>31134</v>
      </c>
      <c r="F4" s="14" t="str">
        <f t="shared" ref="F4:F11" si="1">IFERROR(E4/D4, "")</f>
        <v/>
      </c>
      <c r="G4" s="15">
        <v>32647.29</v>
      </c>
      <c r="H4" s="15">
        <f t="shared" ref="H4:H10" si="2">IF(AND(ISNUMBER(C4),ISNUMBER(G4)), C4-G4, "")</f>
        <v>-1513.2900000000009</v>
      </c>
      <c r="I4" s="16">
        <f t="shared" ref="I4:I10" si="3">IFERROR(H4/G4, "")</f>
        <v>-4.6352698799808523E-2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35466</v>
      </c>
      <c r="D5" s="18">
        <v>0</v>
      </c>
      <c r="E5" s="18">
        <f t="shared" si="0"/>
        <v>35466</v>
      </c>
      <c r="F5" s="19" t="str">
        <f t="shared" si="1"/>
        <v/>
      </c>
      <c r="G5" s="20">
        <v>40166.959999999999</v>
      </c>
      <c r="H5" s="20">
        <f t="shared" si="2"/>
        <v>-4700.9599999999991</v>
      </c>
      <c r="I5" s="19">
        <f t="shared" si="3"/>
        <v>-0.11703549384867561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39773</v>
      </c>
      <c r="D6" s="13">
        <v>0</v>
      </c>
      <c r="E6" s="13">
        <f t="shared" si="0"/>
        <v>39773</v>
      </c>
      <c r="F6" s="14" t="str">
        <f t="shared" si="1"/>
        <v/>
      </c>
      <c r="G6" s="15">
        <v>38397.449999999997</v>
      </c>
      <c r="H6" s="15">
        <f t="shared" si="2"/>
        <v>1375.5500000000029</v>
      </c>
      <c r="I6" s="16">
        <f t="shared" si="3"/>
        <v>3.5823993520403129E-2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47399</v>
      </c>
      <c r="D7" s="18">
        <v>0</v>
      </c>
      <c r="E7" s="18">
        <f t="shared" si="0"/>
        <v>47399</v>
      </c>
      <c r="F7" s="19" t="str">
        <f t="shared" si="1"/>
        <v/>
      </c>
      <c r="G7" s="20">
        <v>42300.23</v>
      </c>
      <c r="H7" s="20">
        <f t="shared" si="2"/>
        <v>5098.7699999999968</v>
      </c>
      <c r="I7" s="19">
        <f t="shared" si="3"/>
        <v>0.12053764246671936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42103</v>
      </c>
      <c r="D8" s="13">
        <v>0</v>
      </c>
      <c r="E8" s="13">
        <f t="shared" si="0"/>
        <v>42103</v>
      </c>
      <c r="F8" s="14" t="str">
        <f t="shared" si="1"/>
        <v/>
      </c>
      <c r="G8" s="15">
        <v>48752.2</v>
      </c>
      <c r="H8" s="15">
        <f t="shared" si="2"/>
        <v>-6649.1999999999971</v>
      </c>
      <c r="I8" s="16">
        <f t="shared" si="3"/>
        <v>-0.13638769122213967</v>
      </c>
      <c r="J8" s="41" t="s">
        <v>99</v>
      </c>
      <c r="K8" s="41" t="s">
        <v>100</v>
      </c>
    </row>
    <row r="9" spans="1:11" ht="15.75">
      <c r="A9" s="30" t="str">
        <v>Kohls - Canton</v>
      </c>
      <c r="B9" s="31" t="str">
        <v>CT</v>
      </c>
      <c r="C9" s="11">
        <v>15464</v>
      </c>
      <c r="D9" s="18">
        <v>0</v>
      </c>
      <c r="E9" s="18">
        <f t="shared" si="0"/>
        <v>15464</v>
      </c>
      <c r="F9" s="19" t="str">
        <f t="shared" si="1"/>
        <v/>
      </c>
      <c r="G9" s="20">
        <v>15010.35</v>
      </c>
      <c r="H9" s="20">
        <f t="shared" si="2"/>
        <v>453.64999999999964</v>
      </c>
      <c r="I9" s="19">
        <f t="shared" si="3"/>
        <v>3.0222479822255951E-2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38077</v>
      </c>
      <c r="D10" s="13">
        <v>0</v>
      </c>
      <c r="E10" s="13">
        <f t="shared" si="0"/>
        <v>38077</v>
      </c>
      <c r="F10" s="14" t="str">
        <f t="shared" si="1"/>
        <v/>
      </c>
      <c r="G10" s="15">
        <v>42693.13</v>
      </c>
      <c r="H10" s="15">
        <f t="shared" si="2"/>
        <v>-4616.1299999999974</v>
      </c>
      <c r="I10" s="16">
        <f t="shared" si="3"/>
        <v>-0.10812348497287497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52428</v>
      </c>
      <c r="D11" s="18">
        <v>0</v>
      </c>
      <c r="E11" s="18">
        <f t="shared" ref="E11:E17" si="4">IF(AND(ISNUMBER(C11),ISNUMBER(D11)), C11-D11, "")</f>
        <v>52428</v>
      </c>
      <c r="F11" s="19" t="str">
        <f t="shared" si="1"/>
        <v/>
      </c>
      <c r="G11" s="20">
        <v>54698.89</v>
      </c>
      <c r="H11" s="20">
        <f t="shared" ref="H11:H17" si="5">IF(AND(ISNUMBER(C11),ISNUMBER(G11)), C11-G11, "")</f>
        <v>-2270.8899999999994</v>
      </c>
      <c r="I11" s="19">
        <f t="shared" ref="I11:I17" si="6">IFERROR(H11/G11, "")</f>
        <v>-4.1516198957602238E-2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275040</v>
      </c>
      <c r="D12" s="13">
        <v>0</v>
      </c>
      <c r="E12" s="13">
        <f t="shared" si="4"/>
        <v>275040</v>
      </c>
      <c r="F12" s="14" t="str">
        <f t="shared" ref="F12:F17" si="7">IFERROR(E12/D12, "")</f>
        <v/>
      </c>
      <c r="G12" s="15">
        <v>288701.82</v>
      </c>
      <c r="H12" s="15">
        <f t="shared" si="5"/>
        <v>-13661.820000000007</v>
      </c>
      <c r="I12" s="16">
        <f t="shared" si="6"/>
        <v>-4.7321558277672121E-2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36675</v>
      </c>
      <c r="D13" s="18">
        <v>0</v>
      </c>
      <c r="E13" s="18">
        <f t="shared" si="4"/>
        <v>36675</v>
      </c>
      <c r="F13" s="19" t="str">
        <f t="shared" si="7"/>
        <v/>
      </c>
      <c r="G13" s="20">
        <v>37691</v>
      </c>
      <c r="H13" s="20">
        <f t="shared" si="5"/>
        <v>-1016</v>
      </c>
      <c r="I13" s="19">
        <f t="shared" si="6"/>
        <v>-2.6956037250271948E-2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27051</v>
      </c>
      <c r="D14" s="13">
        <v>0</v>
      </c>
      <c r="E14" s="13">
        <f t="shared" si="4"/>
        <v>27051</v>
      </c>
      <c r="F14" s="14" t="str">
        <f t="shared" si="7"/>
        <v/>
      </c>
      <c r="G14" s="15">
        <v>45648.09</v>
      </c>
      <c r="H14" s="15">
        <f t="shared" si="5"/>
        <v>-18597.089999999997</v>
      </c>
      <c r="I14" s="16">
        <f t="shared" si="6"/>
        <v>-0.40740127352535449</v>
      </c>
      <c r="J14" s="41"/>
      <c r="K14" s="41"/>
    </row>
    <row r="15" spans="1:11" ht="30.75">
      <c r="A15" s="30" t="str">
        <v>Kohls - Hanover</v>
      </c>
      <c r="B15" s="31" t="str">
        <v>PA</v>
      </c>
      <c r="C15" s="11">
        <v>13530</v>
      </c>
      <c r="D15" s="18">
        <v>0</v>
      </c>
      <c r="E15" s="18">
        <f t="shared" si="4"/>
        <v>13530</v>
      </c>
      <c r="F15" s="19" t="str">
        <f t="shared" si="7"/>
        <v/>
      </c>
      <c r="G15" s="20">
        <v>39416.97</v>
      </c>
      <c r="H15" s="20">
        <f t="shared" si="5"/>
        <v>-25886.97</v>
      </c>
      <c r="I15" s="19">
        <f t="shared" si="6"/>
        <v>-0.65674682757198233</v>
      </c>
      <c r="J15" s="55" t="s">
        <v>101</v>
      </c>
      <c r="K15" s="55" t="s">
        <v>86</v>
      </c>
    </row>
    <row r="16" spans="1:11" ht="15.75">
      <c r="A16" s="28" t="str">
        <v>Kohls - Horsehead</v>
      </c>
      <c r="B16" s="29" t="str">
        <v>NY</v>
      </c>
      <c r="C16" s="24">
        <v>28363</v>
      </c>
      <c r="D16" s="13">
        <v>0</v>
      </c>
      <c r="E16" s="13">
        <f t="shared" si="4"/>
        <v>28363</v>
      </c>
      <c r="F16" s="14" t="str">
        <f t="shared" si="7"/>
        <v/>
      </c>
      <c r="G16" s="15">
        <v>33464.699999999997</v>
      </c>
      <c r="H16" s="15">
        <f t="shared" si="5"/>
        <v>-5101.6999999999971</v>
      </c>
      <c r="I16" s="16">
        <f t="shared" si="6"/>
        <v>-0.15245019378628816</v>
      </c>
      <c r="J16" s="41"/>
      <c r="K16" s="41"/>
    </row>
    <row r="17" spans="1:11" ht="45.75">
      <c r="A17" s="30" t="str">
        <v>Kohls - Hudson</v>
      </c>
      <c r="B17" s="31" t="str">
        <v>NY</v>
      </c>
      <c r="C17" s="11">
        <v>32446</v>
      </c>
      <c r="D17" s="18">
        <v>0</v>
      </c>
      <c r="E17" s="18">
        <f t="shared" si="4"/>
        <v>32446</v>
      </c>
      <c r="F17" s="19" t="str">
        <f t="shared" si="7"/>
        <v/>
      </c>
      <c r="G17" s="20">
        <v>38526.35</v>
      </c>
      <c r="H17" s="20">
        <f t="shared" si="5"/>
        <v>-6080.3499999999985</v>
      </c>
      <c r="I17" s="19">
        <f t="shared" si="6"/>
        <v>-0.15782315220621726</v>
      </c>
      <c r="J17" s="42" t="s">
        <v>102</v>
      </c>
      <c r="K17" s="55" t="s">
        <v>103</v>
      </c>
    </row>
    <row r="18" spans="1:11" ht="12.75" customHeight="1">
      <c r="A18" s="32" t="str">
        <v>Kohls - Ithaca</v>
      </c>
      <c r="B18" s="29" t="str">
        <v>NY</v>
      </c>
      <c r="C18" s="24">
        <v>30408</v>
      </c>
      <c r="D18" s="13">
        <v>0</v>
      </c>
      <c r="E18" s="13">
        <f t="shared" ref="E18:E68" si="8">IF(AND(ISNUMBER(C18),ISNUMBER(D18)), C18-D18, "")</f>
        <v>30408</v>
      </c>
      <c r="F18" s="14" t="str">
        <f t="shared" ref="F18:F68" si="9">IFERROR(E18/D18, "")</f>
        <v/>
      </c>
      <c r="G18" s="15">
        <v>39654.269999999997</v>
      </c>
      <c r="H18" s="15">
        <f t="shared" ref="H18:H68" si="10">IF(AND(ISNUMBER(C18),ISNUMBER(G18)), C18-G18, "")</f>
        <v>-9246.2699999999968</v>
      </c>
      <c r="I18" s="16">
        <f t="shared" ref="I18:I68" si="11">IFERROR(H18/G18, "")</f>
        <v>-0.23317211488195339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47188</v>
      </c>
      <c r="D19" s="18">
        <v>0</v>
      </c>
      <c r="E19" s="18">
        <f t="shared" si="8"/>
        <v>47188</v>
      </c>
      <c r="F19" s="19" t="str">
        <f t="shared" si="9"/>
        <v/>
      </c>
      <c r="G19" s="20">
        <v>56955.241000000002</v>
      </c>
      <c r="H19" s="20">
        <f t="shared" si="10"/>
        <v>-9767.2410000000018</v>
      </c>
      <c r="I19" s="19">
        <f t="shared" si="11"/>
        <v>-0.17148976685042913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45422</v>
      </c>
      <c r="D20" s="13">
        <v>0</v>
      </c>
      <c r="E20" s="13">
        <f t="shared" si="8"/>
        <v>45422</v>
      </c>
      <c r="F20" s="14" t="str">
        <f t="shared" si="9"/>
        <v/>
      </c>
      <c r="G20" s="15">
        <v>46027.839999999997</v>
      </c>
      <c r="H20" s="15">
        <f t="shared" si="10"/>
        <v>-605.83999999999651</v>
      </c>
      <c r="I20" s="16">
        <f t="shared" si="11"/>
        <v>-1.3162468627682649E-2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69153</v>
      </c>
      <c r="D21" s="18">
        <v>0</v>
      </c>
      <c r="E21" s="18">
        <f t="shared" si="8"/>
        <v>69153</v>
      </c>
      <c r="F21" s="19" t="str">
        <f t="shared" si="9"/>
        <v/>
      </c>
      <c r="G21" s="20">
        <v>66245.31</v>
      </c>
      <c r="H21" s="20">
        <f t="shared" si="10"/>
        <v>2907.6900000000023</v>
      </c>
      <c r="I21" s="19">
        <f t="shared" si="11"/>
        <v>4.3892767654042264E-2</v>
      </c>
      <c r="J21" s="42"/>
      <c r="K21" s="43"/>
    </row>
    <row r="22" spans="1:11" ht="30.75">
      <c r="A22" s="28" t="str">
        <v>Kohls - North Amherst</v>
      </c>
      <c r="B22" s="29" t="str">
        <v>NY</v>
      </c>
      <c r="C22" s="24">
        <v>9529</v>
      </c>
      <c r="D22" s="13">
        <v>0</v>
      </c>
      <c r="E22" s="13">
        <f t="shared" si="8"/>
        <v>9529</v>
      </c>
      <c r="F22" s="14" t="str">
        <f t="shared" si="9"/>
        <v/>
      </c>
      <c r="G22" s="15">
        <v>40642.370000000003</v>
      </c>
      <c r="H22" s="15">
        <f t="shared" si="10"/>
        <v>-31113.370000000003</v>
      </c>
      <c r="I22" s="16">
        <f t="shared" si="11"/>
        <v>-0.76554024777590479</v>
      </c>
      <c r="J22" s="41" t="s">
        <v>104</v>
      </c>
      <c r="K22" s="41" t="s">
        <v>105</v>
      </c>
    </row>
    <row r="23" spans="1:11" ht="16.5">
      <c r="A23" s="30" t="str">
        <v>Kohls - Staten Island</v>
      </c>
      <c r="B23" s="31" t="str">
        <v>NY</v>
      </c>
      <c r="C23" s="11">
        <v>16302</v>
      </c>
      <c r="D23" s="18">
        <v>0</v>
      </c>
      <c r="E23" s="18">
        <f t="shared" si="8"/>
        <v>16302</v>
      </c>
      <c r="F23" s="19" t="str">
        <f t="shared" si="9"/>
        <v/>
      </c>
      <c r="G23" s="20">
        <v>38451.050000000003</v>
      </c>
      <c r="H23" s="20">
        <f t="shared" si="10"/>
        <v>-22149.050000000003</v>
      </c>
      <c r="I23" s="19">
        <f t="shared" si="11"/>
        <v>-0.57603238403112533</v>
      </c>
      <c r="J23" s="42" t="s">
        <v>106</v>
      </c>
      <c r="K23" s="43" t="s">
        <v>107</v>
      </c>
    </row>
    <row r="24" spans="1:11" ht="15.75">
      <c r="A24" s="28" t="str">
        <v>Kohls - Warminster</v>
      </c>
      <c r="B24" s="29" t="str">
        <v>PA</v>
      </c>
      <c r="C24" s="24">
        <v>46528</v>
      </c>
      <c r="D24" s="13">
        <v>0</v>
      </c>
      <c r="E24" s="13">
        <f t="shared" si="8"/>
        <v>46528</v>
      </c>
      <c r="F24" s="14" t="str">
        <f t="shared" si="9"/>
        <v/>
      </c>
      <c r="G24" s="15">
        <v>46945.13</v>
      </c>
      <c r="H24" s="15">
        <f t="shared" si="10"/>
        <v>-417.12999999999738</v>
      </c>
      <c r="I24" s="16">
        <f t="shared" si="11"/>
        <v>-8.8854797079057496E-3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37940</v>
      </c>
      <c r="D25" s="18">
        <v>0</v>
      </c>
      <c r="E25" s="18">
        <f t="shared" si="8"/>
        <v>37940</v>
      </c>
      <c r="F25" s="19" t="str">
        <f t="shared" si="9"/>
        <v/>
      </c>
      <c r="G25" s="20">
        <v>38854.629999999997</v>
      </c>
      <c r="H25" s="20">
        <f t="shared" si="10"/>
        <v>-914.62999999999738</v>
      </c>
      <c r="I25" s="19">
        <f t="shared" si="11"/>
        <v>-2.3539794356554095E-2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47225</v>
      </c>
      <c r="D26" s="13">
        <v>0</v>
      </c>
      <c r="E26" s="13">
        <f t="shared" si="8"/>
        <v>47225</v>
      </c>
      <c r="F26" s="14" t="str">
        <f t="shared" si="9"/>
        <v/>
      </c>
      <c r="G26" s="15">
        <v>38126</v>
      </c>
      <c r="H26" s="15">
        <f t="shared" si="10"/>
        <v>9099</v>
      </c>
      <c r="I26" s="16">
        <f t="shared" si="11"/>
        <v>0.23865603525153439</v>
      </c>
      <c r="J26" s="41"/>
      <c r="K26" s="41"/>
    </row>
    <row r="27" spans="1:11" ht="15.75">
      <c r="A27" s="30" t="str">
        <v>CSU - Bakersfield</v>
      </c>
      <c r="B27" s="31" t="str">
        <v>CA</v>
      </c>
      <c r="C27" s="11">
        <v>12502</v>
      </c>
      <c r="D27" s="18">
        <v>0</v>
      </c>
      <c r="E27" s="18">
        <f t="shared" si="8"/>
        <v>12502</v>
      </c>
      <c r="F27" s="19" t="str">
        <f t="shared" si="9"/>
        <v/>
      </c>
      <c r="G27" s="20">
        <v>175723.62</v>
      </c>
      <c r="H27" s="20">
        <f t="shared" si="10"/>
        <v>-163221.62</v>
      </c>
      <c r="I27" s="19">
        <f t="shared" si="11"/>
        <v>-0.92885418590853064</v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>
        <v>5479</v>
      </c>
      <c r="D28" s="13">
        <v>0</v>
      </c>
      <c r="E28" s="13">
        <f t="shared" si="8"/>
        <v>5479</v>
      </c>
      <c r="F28" s="14" t="str">
        <f t="shared" si="9"/>
        <v/>
      </c>
      <c r="G28" s="15">
        <v>16661.509999999998</v>
      </c>
      <c r="H28" s="15">
        <f t="shared" si="10"/>
        <v>-11182.509999999998</v>
      </c>
      <c r="I28" s="16">
        <f t="shared" si="11"/>
        <v>-0.6711582563645192</v>
      </c>
      <c r="J28" s="41"/>
      <c r="K28" s="41"/>
    </row>
    <row r="29" spans="1:11" ht="42.75">
      <c r="A29" s="30" t="str">
        <v>Greenfield USD - Granite Point ES</v>
      </c>
      <c r="B29" s="31" t="str">
        <v>CA</v>
      </c>
      <c r="C29" s="11">
        <v>25332</v>
      </c>
      <c r="D29" s="18">
        <v>0</v>
      </c>
      <c r="E29" s="18">
        <f t="shared" si="8"/>
        <v>25332</v>
      </c>
      <c r="F29" s="19" t="str">
        <f t="shared" si="9"/>
        <v/>
      </c>
      <c r="G29" s="20">
        <v>44010.44</v>
      </c>
      <c r="H29" s="20">
        <f t="shared" si="10"/>
        <v>-18678.440000000002</v>
      </c>
      <c r="I29" s="19">
        <f t="shared" si="11"/>
        <v>-0.42440929924808751</v>
      </c>
      <c r="J29" s="42" t="s">
        <v>108</v>
      </c>
      <c r="K29" s="42" t="s">
        <v>109</v>
      </c>
    </row>
    <row r="30" spans="1:11" ht="42.75">
      <c r="A30" s="28" t="str">
        <v>Greenfield USD - Greenfield MS</v>
      </c>
      <c r="B30" s="29" t="str">
        <v>CA</v>
      </c>
      <c r="C30" s="24">
        <v>15624</v>
      </c>
      <c r="D30" s="13">
        <v>0</v>
      </c>
      <c r="E30" s="13">
        <f t="shared" si="8"/>
        <v>15624</v>
      </c>
      <c r="F30" s="14" t="str">
        <f t="shared" si="9"/>
        <v/>
      </c>
      <c r="G30" s="15">
        <v>29990.71</v>
      </c>
      <c r="H30" s="15">
        <f t="shared" si="10"/>
        <v>-14366.71</v>
      </c>
      <c r="I30" s="16">
        <f t="shared" si="11"/>
        <v>-0.47903867564322417</v>
      </c>
      <c r="J30" s="41" t="s">
        <v>110</v>
      </c>
      <c r="K30" s="41" t="s">
        <v>111</v>
      </c>
    </row>
    <row r="31" spans="1:11" ht="42.75">
      <c r="A31" s="30" t="str">
        <v>Greenfield USD - Horizon ES</v>
      </c>
      <c r="B31" s="31" t="str">
        <v>CA</v>
      </c>
      <c r="C31" s="11">
        <v>24256</v>
      </c>
      <c r="D31" s="18">
        <v>0</v>
      </c>
      <c r="E31" s="18">
        <f t="shared" si="8"/>
        <v>24256</v>
      </c>
      <c r="F31" s="19" t="str">
        <f t="shared" si="9"/>
        <v/>
      </c>
      <c r="G31" s="20">
        <v>45661.78</v>
      </c>
      <c r="H31" s="20">
        <f t="shared" si="10"/>
        <v>-21405.78</v>
      </c>
      <c r="I31" s="19">
        <f t="shared" si="11"/>
        <v>-0.46878987196732147</v>
      </c>
      <c r="J31" s="42" t="s">
        <v>112</v>
      </c>
      <c r="K31" s="55" t="s">
        <v>113</v>
      </c>
    </row>
    <row r="32" spans="1:11" ht="15.75">
      <c r="A32" s="28" t="str">
        <v>Greenfield USD - McKee MS</v>
      </c>
      <c r="B32" s="29" t="str">
        <v>CA</v>
      </c>
      <c r="C32" s="24">
        <v>17189</v>
      </c>
      <c r="D32" s="13">
        <v>0</v>
      </c>
      <c r="E32" s="13">
        <f t="shared" si="8"/>
        <v>17189</v>
      </c>
      <c r="F32" s="14" t="str">
        <f t="shared" si="9"/>
        <v/>
      </c>
      <c r="G32" s="15">
        <v>27880.25</v>
      </c>
      <c r="H32" s="15">
        <f t="shared" si="10"/>
        <v>-10691.25</v>
      </c>
      <c r="I32" s="16">
        <f t="shared" si="11"/>
        <v>-0.38347037777638293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9374</v>
      </c>
      <c r="D33" s="18">
        <v>0</v>
      </c>
      <c r="E33" s="18">
        <f t="shared" si="8"/>
        <v>9374</v>
      </c>
      <c r="F33" s="19" t="str">
        <f t="shared" si="9"/>
        <v/>
      </c>
      <c r="G33" s="20">
        <v>19929.009999999998</v>
      </c>
      <c r="H33" s="20">
        <f t="shared" si="10"/>
        <v>-10555.009999999998</v>
      </c>
      <c r="I33" s="19">
        <f t="shared" si="11"/>
        <v>-0.52963042318710263</v>
      </c>
      <c r="J33" s="42" t="s">
        <v>114</v>
      </c>
      <c r="K33" s="43" t="s">
        <v>115</v>
      </c>
    </row>
    <row r="34" spans="1:11" ht="15.75">
      <c r="A34" s="28" t="str">
        <v>Greenfield USD - Planz ES</v>
      </c>
      <c r="B34" s="29" t="str">
        <v>CA</v>
      </c>
      <c r="C34" s="24">
        <v>6294</v>
      </c>
      <c r="D34" s="13">
        <v>0</v>
      </c>
      <c r="E34" s="13">
        <f t="shared" si="8"/>
        <v>6294</v>
      </c>
      <c r="F34" s="14" t="str">
        <f t="shared" si="9"/>
        <v/>
      </c>
      <c r="G34" s="15">
        <v>22548.57</v>
      </c>
      <c r="H34" s="15">
        <f t="shared" si="10"/>
        <v>-16254.57</v>
      </c>
      <c r="I34" s="16">
        <f t="shared" si="11"/>
        <v>-0.72086921698360473</v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>
        <v>34936</v>
      </c>
      <c r="D35" s="18">
        <v>0</v>
      </c>
      <c r="E35" s="18">
        <f t="shared" si="8"/>
        <v>34936</v>
      </c>
      <c r="F35" s="19" t="str">
        <f t="shared" si="9"/>
        <v/>
      </c>
      <c r="G35" s="20">
        <v>49336.57</v>
      </c>
      <c r="H35" s="20">
        <f t="shared" si="10"/>
        <v>-14400.57</v>
      </c>
      <c r="I35" s="19">
        <f t="shared" si="11"/>
        <v>-0.29188429596950094</v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>
        <v>38421</v>
      </c>
      <c r="D36" s="13">
        <v>0</v>
      </c>
      <c r="E36" s="13">
        <f t="shared" si="8"/>
        <v>38421</v>
      </c>
      <c r="F36" s="14" t="str">
        <f t="shared" si="9"/>
        <v/>
      </c>
      <c r="G36" s="15">
        <v>45985.760000000002</v>
      </c>
      <c r="H36" s="15">
        <f t="shared" si="10"/>
        <v>-7564.760000000002</v>
      </c>
      <c r="I36" s="16">
        <f t="shared" si="11"/>
        <v>-0.16450222851595803</v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8"/>
        <v>0</v>
      </c>
      <c r="F37" s="19" t="str">
        <f t="shared" si="9"/>
        <v/>
      </c>
      <c r="G37" s="20">
        <v>17725.990000000002</v>
      </c>
      <c r="H37" s="20">
        <f t="shared" si="10"/>
        <v>-17725.990000000002</v>
      </c>
      <c r="I37" s="19">
        <f t="shared" si="11"/>
        <v>-1</v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8"/>
        <v>0</v>
      </c>
      <c r="F38" s="14" t="str">
        <f t="shared" si="9"/>
        <v/>
      </c>
      <c r="G38" s="15">
        <v>38193</v>
      </c>
      <c r="H38" s="15">
        <f t="shared" si="10"/>
        <v>-38193</v>
      </c>
      <c r="I38" s="16">
        <f t="shared" si="11"/>
        <v>-1</v>
      </c>
      <c r="J38" s="41" t="s">
        <v>116</v>
      </c>
      <c r="K38" s="41" t="s">
        <v>117</v>
      </c>
    </row>
    <row r="39" spans="1:11" ht="16.5">
      <c r="A39" s="30" t="str">
        <v>Muroc Joint USD - W. Boron ES</v>
      </c>
      <c r="B39" s="31" t="str">
        <v>CA</v>
      </c>
      <c r="C39" s="11">
        <v>7600</v>
      </c>
      <c r="D39" s="18">
        <v>0</v>
      </c>
      <c r="E39" s="18">
        <f t="shared" si="8"/>
        <v>7600</v>
      </c>
      <c r="F39" s="19" t="str">
        <f t="shared" si="9"/>
        <v/>
      </c>
      <c r="G39" s="20">
        <v>14088.83</v>
      </c>
      <c r="H39" s="20">
        <f t="shared" si="10"/>
        <v>-6488.83</v>
      </c>
      <c r="I39" s="19">
        <f t="shared" si="11"/>
        <v>-0.46056556861002651</v>
      </c>
      <c r="J39" s="42" t="s">
        <v>118</v>
      </c>
      <c r="K39" s="43" t="s">
        <v>119</v>
      </c>
    </row>
    <row r="40" spans="1:11" ht="15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8"/>
        <v>0</v>
      </c>
      <c r="F40" s="14" t="str">
        <f t="shared" si="9"/>
        <v/>
      </c>
      <c r="G40" s="15">
        <v>57962.212</v>
      </c>
      <c r="H40" s="15">
        <f t="shared" si="10"/>
        <v>-57962.212</v>
      </c>
      <c r="I40" s="16">
        <f t="shared" si="11"/>
        <v>-1</v>
      </c>
      <c r="J40" s="41" t="s">
        <v>120</v>
      </c>
      <c r="K40" s="41" t="s">
        <v>121</v>
      </c>
    </row>
    <row r="41" spans="1:11" ht="16.5">
      <c r="A41" s="30" t="str">
        <v>CDCR-North Kern State Prision</v>
      </c>
      <c r="B41" s="31" t="str">
        <v>CA</v>
      </c>
      <c r="C41" s="11">
        <v>99430</v>
      </c>
      <c r="D41" s="18">
        <v>0</v>
      </c>
      <c r="E41" s="18">
        <f t="shared" si="8"/>
        <v>99430</v>
      </c>
      <c r="F41" s="19" t="str">
        <f t="shared" si="9"/>
        <v/>
      </c>
      <c r="G41" s="20">
        <v>250932.45</v>
      </c>
      <c r="H41" s="20">
        <f t="shared" si="10"/>
        <v>-151502.45000000001</v>
      </c>
      <c r="I41" s="19">
        <f t="shared" si="11"/>
        <v>-0.60375790377051675</v>
      </c>
      <c r="J41" s="42" t="s">
        <v>122</v>
      </c>
      <c r="K41" s="43" t="s">
        <v>123</v>
      </c>
    </row>
    <row r="42" spans="1:11" ht="15.75">
      <c r="A42" s="28" t="str">
        <v>Muroc Joint USD - District Office</v>
      </c>
      <c r="B42" s="29" t="str">
        <v>CA</v>
      </c>
      <c r="C42" s="24">
        <v>3768</v>
      </c>
      <c r="D42" s="13">
        <v>0</v>
      </c>
      <c r="E42" s="13">
        <f t="shared" si="8"/>
        <v>3768</v>
      </c>
      <c r="F42" s="14" t="str">
        <f t="shared" si="9"/>
        <v/>
      </c>
      <c r="G42" s="15">
        <v>9935.02</v>
      </c>
      <c r="H42" s="15">
        <f t="shared" si="10"/>
        <v>-6167.02</v>
      </c>
      <c r="I42" s="16">
        <f t="shared" si="11"/>
        <v>-0.62073553953590432</v>
      </c>
      <c r="J42" s="41" t="s">
        <v>124</v>
      </c>
      <c r="K42" s="41" t="s">
        <v>125</v>
      </c>
    </row>
    <row r="43" spans="1:11" ht="16.5">
      <c r="A43" s="30" t="str">
        <v>Whole Foods - Manhattan Beach</v>
      </c>
      <c r="B43" s="31" t="str">
        <v>CA</v>
      </c>
      <c r="C43" s="11">
        <v>20073</v>
      </c>
      <c r="D43" s="18">
        <v>0</v>
      </c>
      <c r="E43" s="18">
        <f t="shared" si="8"/>
        <v>20073</v>
      </c>
      <c r="F43" s="19" t="str">
        <f t="shared" si="9"/>
        <v/>
      </c>
      <c r="G43" s="20">
        <v>21967.919999999998</v>
      </c>
      <c r="H43" s="20">
        <f t="shared" si="10"/>
        <v>-1894.9199999999983</v>
      </c>
      <c r="I43" s="19">
        <f t="shared" si="11"/>
        <v>-8.6258507860552947E-2</v>
      </c>
      <c r="J43" s="42" t="s">
        <v>126</v>
      </c>
      <c r="K43" s="43" t="s">
        <v>127</v>
      </c>
    </row>
    <row r="44" spans="1:11" ht="15.75">
      <c r="A44" s="28" t="str">
        <v>Pioneer USD - Frontier ES</v>
      </c>
      <c r="B44" s="29" t="str">
        <v>CA</v>
      </c>
      <c r="C44" s="24">
        <v>32052</v>
      </c>
      <c r="D44" s="13">
        <v>0</v>
      </c>
      <c r="E44" s="13">
        <f t="shared" si="8"/>
        <v>32052</v>
      </c>
      <c r="F44" s="14" t="str">
        <f t="shared" si="9"/>
        <v/>
      </c>
      <c r="G44" s="15">
        <v>39025.040000000001</v>
      </c>
      <c r="H44" s="15">
        <f t="shared" si="10"/>
        <v>-6973.0400000000009</v>
      </c>
      <c r="I44" s="16">
        <f t="shared" si="11"/>
        <v>-0.17868117495843697</v>
      </c>
      <c r="J44" s="41"/>
      <c r="K44" s="41"/>
    </row>
    <row r="45" spans="1:11" ht="16.5">
      <c r="A45" s="30" t="str">
        <v>Pioneer USD - Pioneer ES</v>
      </c>
      <c r="B45" s="31" t="str">
        <v>CA</v>
      </c>
      <c r="C45" s="11">
        <v>18816</v>
      </c>
      <c r="D45" s="18">
        <v>0</v>
      </c>
      <c r="E45" s="18">
        <f t="shared" si="8"/>
        <v>18816</v>
      </c>
      <c r="F45" s="19" t="str">
        <f t="shared" si="9"/>
        <v/>
      </c>
      <c r="G45" s="20">
        <v>39672.160000000003</v>
      </c>
      <c r="H45" s="20">
        <f t="shared" si="10"/>
        <v>-20856.160000000003</v>
      </c>
      <c r="I45" s="19">
        <f t="shared" si="11"/>
        <v>-0.52571274163040282</v>
      </c>
      <c r="J45" s="42" t="s">
        <v>128</v>
      </c>
      <c r="K45" s="43" t="s">
        <v>129</v>
      </c>
    </row>
    <row r="46" spans="1:11" ht="45.75">
      <c r="A46" s="28" t="str">
        <v>Pioneer USD - Pioneer MS</v>
      </c>
      <c r="B46" s="29" t="str">
        <v>CA</v>
      </c>
      <c r="C46" s="24">
        <v>40716</v>
      </c>
      <c r="D46" s="13">
        <v>0</v>
      </c>
      <c r="E46" s="13">
        <f t="shared" si="8"/>
        <v>40716</v>
      </c>
      <c r="F46" s="14" t="str">
        <f t="shared" si="9"/>
        <v/>
      </c>
      <c r="G46" s="15">
        <v>53195.61</v>
      </c>
      <c r="H46" s="15">
        <f t="shared" si="10"/>
        <v>-12479.61</v>
      </c>
      <c r="I46" s="16">
        <f t="shared" si="11"/>
        <v>-0.23459849412385722</v>
      </c>
      <c r="J46" s="41" t="s">
        <v>130</v>
      </c>
      <c r="K46" s="41" t="s">
        <v>131</v>
      </c>
    </row>
    <row r="47" spans="1:11" ht="30.75">
      <c r="A47" s="30" t="str">
        <v>Kingsburg Joint UHSD - Kingsburg HS</v>
      </c>
      <c r="B47" s="31" t="str">
        <v>CA</v>
      </c>
      <c r="C47" s="11">
        <v>61245</v>
      </c>
      <c r="D47" s="18">
        <v>0</v>
      </c>
      <c r="E47" s="18">
        <f t="shared" si="8"/>
        <v>61245</v>
      </c>
      <c r="F47" s="19" t="str">
        <f t="shared" si="9"/>
        <v/>
      </c>
      <c r="G47" s="20">
        <v>91972.44</v>
      </c>
      <c r="H47" s="20">
        <f t="shared" si="10"/>
        <v>-30727.440000000002</v>
      </c>
      <c r="I47" s="19">
        <f t="shared" si="11"/>
        <v>-0.33409399598401435</v>
      </c>
      <c r="J47" s="42" t="s">
        <v>132</v>
      </c>
      <c r="K47" s="43" t="s">
        <v>133</v>
      </c>
    </row>
    <row r="48" spans="1:11" ht="15.75">
      <c r="A48" s="28" t="str">
        <v>CADRB</v>
      </c>
      <c r="B48" s="29" t="str">
        <v>CA</v>
      </c>
      <c r="C48" s="24">
        <v>649009</v>
      </c>
      <c r="D48" s="13">
        <v>0</v>
      </c>
      <c r="E48" s="13">
        <f t="shared" si="8"/>
        <v>649009</v>
      </c>
      <c r="F48" s="14" t="str">
        <f t="shared" si="9"/>
        <v/>
      </c>
      <c r="G48" s="15">
        <v>838748</v>
      </c>
      <c r="H48" s="15">
        <f t="shared" si="10"/>
        <v>-189739</v>
      </c>
      <c r="I48" s="16">
        <f t="shared" si="11"/>
        <v>-0.22621693285706793</v>
      </c>
      <c r="J48" s="41" t="s">
        <v>134</v>
      </c>
      <c r="K48" s="41" t="s">
        <v>135</v>
      </c>
    </row>
    <row r="49" spans="1:12" ht="16.5">
      <c r="A49" s="30" t="str">
        <v>CDCR-CA State Prison LA County</v>
      </c>
      <c r="B49" s="31" t="str">
        <v>CA</v>
      </c>
      <c r="C49" s="11">
        <v>304987</v>
      </c>
      <c r="D49" s="18">
        <v>0</v>
      </c>
      <c r="E49" s="18">
        <f t="shared" si="8"/>
        <v>304987</v>
      </c>
      <c r="F49" s="19" t="str">
        <f t="shared" si="9"/>
        <v/>
      </c>
      <c r="G49" s="20">
        <v>530579</v>
      </c>
      <c r="H49" s="20">
        <f t="shared" si="10"/>
        <v>-225592</v>
      </c>
      <c r="I49" s="19">
        <f t="shared" si="11"/>
        <v>-0.42518079305814971</v>
      </c>
      <c r="J49" s="42" t="s">
        <v>136</v>
      </c>
      <c r="K49" s="43" t="s">
        <v>137</v>
      </c>
    </row>
    <row r="50" spans="1:12" ht="15.75">
      <c r="A50" s="28" t="str">
        <v>Central USD Akers ES</v>
      </c>
      <c r="B50" s="29" t="str">
        <v>CA</v>
      </c>
      <c r="C50" s="24">
        <v>30828</v>
      </c>
      <c r="D50" s="13">
        <v>0</v>
      </c>
      <c r="E50" s="13">
        <f t="shared" si="8"/>
        <v>30828</v>
      </c>
      <c r="F50" s="14" t="str">
        <f t="shared" si="9"/>
        <v/>
      </c>
      <c r="G50" s="15">
        <v>40023</v>
      </c>
      <c r="H50" s="15">
        <f t="shared" si="10"/>
        <v>-9195</v>
      </c>
      <c r="I50" s="16">
        <f t="shared" si="11"/>
        <v>-0.2297428978337456</v>
      </c>
      <c r="J50" s="41" t="s">
        <v>138</v>
      </c>
      <c r="K50" s="41" t="s">
        <v>139</v>
      </c>
    </row>
    <row r="51" spans="1:12" ht="16.5">
      <c r="A51" s="30" t="str">
        <v>CUSD - District Office</v>
      </c>
      <c r="B51" s="31" t="str">
        <v>CA</v>
      </c>
      <c r="C51" s="11">
        <v>25512</v>
      </c>
      <c r="D51" s="18">
        <v>0</v>
      </c>
      <c r="E51" s="18">
        <f t="shared" si="8"/>
        <v>25512</v>
      </c>
      <c r="F51" s="19" t="str">
        <f t="shared" si="9"/>
        <v/>
      </c>
      <c r="G51" s="20">
        <v>33540.14</v>
      </c>
      <c r="H51" s="20">
        <f t="shared" si="10"/>
        <v>-8028.1399999999994</v>
      </c>
      <c r="I51" s="19">
        <f t="shared" si="11"/>
        <v>-0.23935916785081993</v>
      </c>
      <c r="J51" s="42" t="s">
        <v>140</v>
      </c>
      <c r="K51" s="43" t="s">
        <v>141</v>
      </c>
    </row>
    <row r="52" spans="1:12" ht="15.75">
      <c r="A52" s="28" t="str">
        <v>Parlier - WTP</v>
      </c>
      <c r="B52" s="29" t="str">
        <v>CA</v>
      </c>
      <c r="C52" s="24">
        <v>43735</v>
      </c>
      <c r="D52" s="13">
        <v>0</v>
      </c>
      <c r="E52" s="13">
        <f t="shared" si="8"/>
        <v>43735</v>
      </c>
      <c r="F52" s="14" t="str">
        <f t="shared" si="9"/>
        <v/>
      </c>
      <c r="G52" s="15">
        <v>105214</v>
      </c>
      <c r="H52" s="15">
        <f t="shared" si="10"/>
        <v>-61479</v>
      </c>
      <c r="I52" s="16">
        <f t="shared" si="11"/>
        <v>-0.58432337901800135</v>
      </c>
      <c r="J52" s="41"/>
      <c r="K52" s="41"/>
      <c r="L52" t="s">
        <v>142</v>
      </c>
    </row>
    <row r="53" spans="1:12" ht="15.75">
      <c r="A53" s="30" t="str">
        <v>Snowline SD - Quail Valley MS</v>
      </c>
      <c r="B53" s="31" t="str">
        <v>CA</v>
      </c>
      <c r="C53" s="11">
        <v>46328</v>
      </c>
      <c r="D53" s="18">
        <v>0</v>
      </c>
      <c r="E53" s="18">
        <f t="shared" si="8"/>
        <v>46328</v>
      </c>
      <c r="F53" s="19" t="str">
        <f t="shared" si="9"/>
        <v/>
      </c>
      <c r="G53" s="20">
        <v>46059.09</v>
      </c>
      <c r="H53" s="20">
        <f t="shared" si="10"/>
        <v>268.91000000000349</v>
      </c>
      <c r="I53" s="19">
        <f t="shared" si="11"/>
        <v>5.8383697984481136E-3</v>
      </c>
      <c r="J53" s="42"/>
      <c r="K53" s="43"/>
    </row>
    <row r="54" spans="1:12" ht="15.75">
      <c r="A54" s="28" t="str">
        <v>Snowline SD - Serrano HS - Middle Lot</v>
      </c>
      <c r="B54" s="29" t="str">
        <v>CA</v>
      </c>
      <c r="C54" s="24">
        <v>39558</v>
      </c>
      <c r="D54" s="13">
        <v>0</v>
      </c>
      <c r="E54" s="13">
        <f t="shared" si="8"/>
        <v>39558</v>
      </c>
      <c r="F54" s="14" t="str">
        <f t="shared" si="9"/>
        <v/>
      </c>
      <c r="G54" s="15">
        <v>55638</v>
      </c>
      <c r="H54" s="15">
        <f t="shared" si="10"/>
        <v>-16080</v>
      </c>
      <c r="I54" s="16">
        <f t="shared" si="11"/>
        <v>-0.2890111075164456</v>
      </c>
      <c r="J54" s="41"/>
      <c r="K54" s="41"/>
    </row>
    <row r="55" spans="1:12" ht="16.5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8"/>
        <v>0</v>
      </c>
      <c r="F55" s="19" t="str">
        <f t="shared" si="9"/>
        <v/>
      </c>
      <c r="G55" s="20">
        <v>25006.66</v>
      </c>
      <c r="H55" s="20">
        <f t="shared" si="10"/>
        <v>-25006.66</v>
      </c>
      <c r="I55" s="19">
        <f t="shared" si="11"/>
        <v>-1</v>
      </c>
      <c r="J55" t="s">
        <v>143</v>
      </c>
      <c r="K55" s="43" t="s">
        <v>144</v>
      </c>
    </row>
    <row r="56" spans="1:12" ht="15.75">
      <c r="A56" s="28" t="str">
        <v>Ramona - Santa Maria WTP</v>
      </c>
      <c r="B56" s="29" t="str">
        <v>CA</v>
      </c>
      <c r="C56" s="24">
        <v>75841</v>
      </c>
      <c r="D56" s="13">
        <v>0</v>
      </c>
      <c r="E56" s="13">
        <f t="shared" si="8"/>
        <v>75841</v>
      </c>
      <c r="F56" s="14" t="str">
        <f t="shared" si="9"/>
        <v/>
      </c>
      <c r="G56" s="15">
        <v>85658.65</v>
      </c>
      <c r="H56" s="15">
        <f t="shared" si="10"/>
        <v>-9817.6499999999942</v>
      </c>
      <c r="I56" s="16">
        <f t="shared" si="11"/>
        <v>-0.114613643805967</v>
      </c>
      <c r="J56" s="41"/>
      <c r="K56" s="41"/>
    </row>
    <row r="57" spans="1:12" ht="15.75">
      <c r="A57" s="30" t="str">
        <v>Kohls - Redding</v>
      </c>
      <c r="B57" s="31" t="str">
        <v>CA</v>
      </c>
      <c r="C57" s="11">
        <v>3328</v>
      </c>
      <c r="D57" s="18">
        <v>0</v>
      </c>
      <c r="E57" s="18">
        <f t="shared" si="8"/>
        <v>3328</v>
      </c>
      <c r="F57" s="19" t="str">
        <f t="shared" si="9"/>
        <v/>
      </c>
      <c r="G57" s="20">
        <v>34726.47</v>
      </c>
      <c r="H57" s="20">
        <f t="shared" si="10"/>
        <v>-31398.47</v>
      </c>
      <c r="I57" s="19">
        <f t="shared" si="11"/>
        <v>-0.90416532403091932</v>
      </c>
      <c r="J57" s="42" t="s">
        <v>145</v>
      </c>
      <c r="K57" s="43" t="s">
        <v>146</v>
      </c>
      <c r="L57" t="s">
        <v>142</v>
      </c>
    </row>
    <row r="58" spans="1:12" ht="15.75">
      <c r="A58" s="28" t="str">
        <v>Kohls - Salinas</v>
      </c>
      <c r="B58" s="29" t="str">
        <v>CA</v>
      </c>
      <c r="C58" s="24">
        <v>40543</v>
      </c>
      <c r="D58" s="13">
        <v>0</v>
      </c>
      <c r="E58" s="13">
        <f t="shared" si="8"/>
        <v>40543</v>
      </c>
      <c r="F58" s="14" t="str">
        <f t="shared" si="9"/>
        <v/>
      </c>
      <c r="G58" s="15">
        <v>50234.44</v>
      </c>
      <c r="H58" s="15">
        <f t="shared" si="10"/>
        <v>-9691.4400000000023</v>
      </c>
      <c r="I58" s="16">
        <f t="shared" si="11"/>
        <v>-0.1929242169316509</v>
      </c>
      <c r="J58" s="41" t="s">
        <v>147</v>
      </c>
      <c r="K58" s="41" t="s">
        <v>148</v>
      </c>
    </row>
    <row r="59" spans="1:12" ht="15.75">
      <c r="A59" s="30" t="str">
        <v>Kohls - San Bernardino - Central</v>
      </c>
      <c r="B59" s="31" t="str">
        <v>CA</v>
      </c>
      <c r="C59" s="11">
        <v>133441</v>
      </c>
      <c r="D59" s="18">
        <v>0</v>
      </c>
      <c r="E59" s="18">
        <f t="shared" si="8"/>
        <v>133441</v>
      </c>
      <c r="F59" s="19" t="str">
        <f t="shared" si="9"/>
        <v/>
      </c>
      <c r="G59" s="20">
        <v>160429.9</v>
      </c>
      <c r="H59" s="20">
        <f t="shared" si="10"/>
        <v>-26988.899999999994</v>
      </c>
      <c r="I59" s="19">
        <f t="shared" si="11"/>
        <v>-0.1682286157380887</v>
      </c>
      <c r="J59" s="42"/>
      <c r="K59" s="43"/>
    </row>
    <row r="60" spans="1:12" ht="15.75">
      <c r="A60" s="28" t="str">
        <v>Kohls - Sonora</v>
      </c>
      <c r="B60" s="29" t="str">
        <v>CA</v>
      </c>
      <c r="C60" s="24">
        <v>32035</v>
      </c>
      <c r="D60" s="13">
        <v>0</v>
      </c>
      <c r="E60" s="13">
        <f t="shared" si="8"/>
        <v>32035</v>
      </c>
      <c r="F60" s="14" t="str">
        <f t="shared" si="9"/>
        <v/>
      </c>
      <c r="G60" s="15">
        <v>35172.44</v>
      </c>
      <c r="H60" s="15">
        <f t="shared" si="10"/>
        <v>-3137.4400000000023</v>
      </c>
      <c r="I60" s="16">
        <f t="shared" si="11"/>
        <v>-8.9201659026214908E-2</v>
      </c>
      <c r="J60" s="41" t="s">
        <v>149</v>
      </c>
      <c r="K60" s="41"/>
    </row>
    <row r="61" spans="1:12" ht="15.75">
      <c r="A61" s="30" t="str">
        <v>CUSD - Stratford ES</v>
      </c>
      <c r="B61" s="31" t="str">
        <v>CA</v>
      </c>
      <c r="C61" s="11">
        <v>24519</v>
      </c>
      <c r="D61" s="18">
        <v>0</v>
      </c>
      <c r="E61" s="18">
        <f t="shared" si="8"/>
        <v>24519</v>
      </c>
      <c r="F61" s="19" t="str">
        <f t="shared" si="9"/>
        <v/>
      </c>
      <c r="G61" s="20">
        <v>24455.16</v>
      </c>
      <c r="H61" s="20">
        <f t="shared" si="10"/>
        <v>63.840000000000146</v>
      </c>
      <c r="I61" s="19">
        <f t="shared" si="11"/>
        <v>2.6104920188622827E-3</v>
      </c>
      <c r="J61" s="42"/>
      <c r="K61" s="43"/>
    </row>
    <row r="62" spans="1:12" ht="15.75">
      <c r="A62" s="28" t="str">
        <v>Taft - City Hall</v>
      </c>
      <c r="B62" s="29" t="str">
        <v>CA</v>
      </c>
      <c r="C62" s="24">
        <v>7913</v>
      </c>
      <c r="D62" s="13">
        <v>0</v>
      </c>
      <c r="E62" s="13">
        <f t="shared" si="8"/>
        <v>7913</v>
      </c>
      <c r="F62" s="14" t="str">
        <f t="shared" si="9"/>
        <v/>
      </c>
      <c r="G62" s="15">
        <v>10929.73</v>
      </c>
      <c r="H62" s="15">
        <f t="shared" si="10"/>
        <v>-3016.7299999999996</v>
      </c>
      <c r="I62" s="16">
        <f t="shared" si="11"/>
        <v>-0.27601139277914455</v>
      </c>
      <c r="J62" s="41"/>
      <c r="K62" s="41"/>
    </row>
    <row r="63" spans="1:12" ht="45.75">
      <c r="A63" s="30" t="str">
        <v>Taft - Federal Prison</v>
      </c>
      <c r="B63" s="31" t="str">
        <v>CA</v>
      </c>
      <c r="C63" s="11">
        <v>8481</v>
      </c>
      <c r="D63" s="18">
        <v>0</v>
      </c>
      <c r="E63" s="18">
        <f t="shared" si="8"/>
        <v>8481</v>
      </c>
      <c r="F63" s="19" t="str">
        <f t="shared" si="9"/>
        <v/>
      </c>
      <c r="G63" s="20">
        <v>17202.07</v>
      </c>
      <c r="H63" s="20">
        <f t="shared" si="10"/>
        <v>-8721.07</v>
      </c>
      <c r="I63" s="19">
        <f t="shared" si="11"/>
        <v>-0.50697793928288859</v>
      </c>
      <c r="J63" s="42" t="s">
        <v>150</v>
      </c>
      <c r="K63" s="43" t="s">
        <v>151</v>
      </c>
    </row>
    <row r="64" spans="1:12" ht="15.75">
      <c r="A64" s="28" t="str">
        <v>Taft - Police Department</v>
      </c>
      <c r="B64" s="29" t="str">
        <v>CA</v>
      </c>
      <c r="C64" s="24">
        <v>13121</v>
      </c>
      <c r="D64" s="13">
        <v>0</v>
      </c>
      <c r="E64" s="13">
        <f t="shared" si="8"/>
        <v>13121</v>
      </c>
      <c r="F64" s="14" t="str">
        <f t="shared" si="9"/>
        <v/>
      </c>
      <c r="G64" s="15">
        <v>12499.65</v>
      </c>
      <c r="H64" s="15">
        <f t="shared" si="10"/>
        <v>621.35000000000036</v>
      </c>
      <c r="I64" s="16">
        <f t="shared" si="11"/>
        <v>4.9709391862972192E-2</v>
      </c>
      <c r="J64" s="41"/>
      <c r="K64" s="41"/>
    </row>
    <row r="65" spans="1:11" ht="15.7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8"/>
        <v>0</v>
      </c>
      <c r="F65" s="19" t="str">
        <f t="shared" si="9"/>
        <v/>
      </c>
      <c r="G65" s="20"/>
      <c r="H65" s="20" t="str">
        <f t="shared" si="10"/>
        <v/>
      </c>
      <c r="I65" s="19" t="str">
        <f t="shared" si="11"/>
        <v/>
      </c>
      <c r="J65" s="42" t="s">
        <v>152</v>
      </c>
      <c r="K65" s="43" t="s">
        <v>153</v>
      </c>
    </row>
    <row r="66" spans="1:11" ht="28.5">
      <c r="A66" s="28" t="str">
        <v>CDCR - CA Correctional Institution</v>
      </c>
      <c r="B66" s="29" t="str">
        <v>CA</v>
      </c>
      <c r="C66" s="24">
        <v>7488</v>
      </c>
      <c r="D66" s="13">
        <v>0</v>
      </c>
      <c r="E66" s="13">
        <f t="shared" si="8"/>
        <v>7488</v>
      </c>
      <c r="F66" s="14" t="str">
        <f t="shared" si="9"/>
        <v/>
      </c>
      <c r="G66" s="15">
        <v>26205.7</v>
      </c>
      <c r="H66" s="15">
        <f t="shared" si="10"/>
        <v>-18717.7</v>
      </c>
      <c r="I66" s="16">
        <f t="shared" si="11"/>
        <v>-0.71426063795281181</v>
      </c>
      <c r="J66" s="41" t="s">
        <v>154</v>
      </c>
      <c r="K66" s="41" t="s">
        <v>155</v>
      </c>
    </row>
    <row r="67" spans="1:11" ht="32.25">
      <c r="A67" s="30" t="str">
        <v>CDCR - CA Correctional Institution II</v>
      </c>
      <c r="B67" s="31" t="str">
        <v>CA</v>
      </c>
      <c r="C67" s="11">
        <v>81731</v>
      </c>
      <c r="D67" s="18">
        <v>0</v>
      </c>
      <c r="E67" s="18">
        <f t="shared" si="8"/>
        <v>81731</v>
      </c>
      <c r="F67" s="19" t="str">
        <f t="shared" si="9"/>
        <v/>
      </c>
      <c r="G67" s="20">
        <v>390993</v>
      </c>
      <c r="H67" s="20">
        <f t="shared" si="10"/>
        <v>-309262</v>
      </c>
      <c r="I67" s="19">
        <f t="shared" si="11"/>
        <v>-0.79096556715849131</v>
      </c>
      <c r="J67" s="42" t="s">
        <v>156</v>
      </c>
      <c r="K67" s="59" t="s">
        <v>157</v>
      </c>
    </row>
    <row r="68" spans="1:11" ht="15.75">
      <c r="A68" s="28" t="str">
        <v>Snowline SD - Vista Verde ES</v>
      </c>
      <c r="B68" s="29" t="str">
        <v>CA</v>
      </c>
      <c r="C68" s="24">
        <v>33695</v>
      </c>
      <c r="D68" s="13">
        <v>0</v>
      </c>
      <c r="E68" s="13">
        <f t="shared" si="8"/>
        <v>33695</v>
      </c>
      <c r="F68" s="14" t="str">
        <f t="shared" si="9"/>
        <v/>
      </c>
      <c r="G68" s="15">
        <v>33905.040000000001</v>
      </c>
      <c r="H68" s="15">
        <f t="shared" si="10"/>
        <v>-210.04000000000087</v>
      </c>
      <c r="I68" s="16">
        <f t="shared" si="11"/>
        <v>-6.194949187495454E-3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36" activePane="bottomRight" state="frozen"/>
      <selection pane="bottomRight" activeCell="A24" sqref="A24:K6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158</v>
      </c>
      <c r="E1" s="66"/>
      <c r="F1" s="66"/>
      <c r="G1" s="64" t="s">
        <v>159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39" activePane="bottomRight" state="frozen"/>
      <selection pane="bottomRight" activeCell="A24" sqref="A24:K6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160</v>
      </c>
      <c r="E1" s="66"/>
      <c r="F1" s="66"/>
      <c r="G1" s="64" t="s">
        <v>161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D13" activePane="bottomRight" state="frozen"/>
      <selection pane="bottomRight" activeCell="A24" sqref="A24:L6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162</v>
      </c>
      <c r="E1" s="66"/>
      <c r="F1" s="66"/>
      <c r="G1" s="64" t="s">
        <v>163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76" sqref="E7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Silicon Ranch</v>
      </c>
      <c r="B1" s="65"/>
      <c r="C1" s="65"/>
      <c r="D1" s="66" t="s">
        <v>164</v>
      </c>
      <c r="E1" s="66"/>
      <c r="F1" s="66"/>
      <c r="G1" s="64" t="s">
        <v>165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8"/>
  <sheetViews>
    <sheetView tabSelected="1" workbookViewId="0">
      <pane ySplit="3" topLeftCell="A40" activePane="bottomLeft" state="frozen"/>
      <selection pane="bottomLeft" activeCell="K88" sqref="A80:K8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166</v>
      </c>
      <c r="B1" t="s">
        <v>167</v>
      </c>
    </row>
    <row r="3" spans="1:12">
      <c r="A3" t="s">
        <v>168</v>
      </c>
      <c r="B3" t="s">
        <v>3</v>
      </c>
      <c r="C3" t="s">
        <v>4</v>
      </c>
      <c r="D3" t="s">
        <v>169</v>
      </c>
      <c r="E3" s="2" t="s">
        <v>170</v>
      </c>
    </row>
    <row r="4" spans="1:12" ht="14.25">
      <c r="A4" s="50" t="s">
        <v>171</v>
      </c>
      <c r="B4" t="s">
        <v>172</v>
      </c>
      <c r="C4" s="47" t="s">
        <v>173</v>
      </c>
      <c r="D4" s="46" t="s">
        <v>174</v>
      </c>
      <c r="E4" t="s">
        <v>175</v>
      </c>
      <c r="G4" s="3"/>
    </row>
    <row r="5" spans="1:12" ht="14.25">
      <c r="A5" s="50" t="s">
        <v>176</v>
      </c>
      <c r="B5" t="s">
        <v>177</v>
      </c>
      <c r="C5" s="47" t="s">
        <v>178</v>
      </c>
      <c r="D5" s="46" t="s">
        <v>174</v>
      </c>
      <c r="E5" t="s">
        <v>175</v>
      </c>
      <c r="G5" s="3"/>
    </row>
    <row r="6" spans="1:12" ht="14.25">
      <c r="A6" s="50" t="s">
        <v>179</v>
      </c>
      <c r="B6" t="s">
        <v>180</v>
      </c>
      <c r="C6" s="47" t="s">
        <v>181</v>
      </c>
      <c r="D6" s="46" t="s">
        <v>174</v>
      </c>
      <c r="E6" t="s">
        <v>175</v>
      </c>
      <c r="G6" s="3"/>
    </row>
    <row r="7" spans="1:12" ht="12.75" customHeight="1">
      <c r="A7" s="50" t="s">
        <v>182</v>
      </c>
      <c r="B7" t="s">
        <v>183</v>
      </c>
      <c r="C7" s="47" t="s">
        <v>184</v>
      </c>
      <c r="D7" s="46" t="s">
        <v>174</v>
      </c>
      <c r="E7" t="s">
        <v>175</v>
      </c>
    </row>
    <row r="8" spans="1:12" ht="12.75" customHeight="1">
      <c r="A8" s="50" t="s">
        <v>185</v>
      </c>
      <c r="B8" t="s">
        <v>186</v>
      </c>
      <c r="C8" s="47" t="s">
        <v>178</v>
      </c>
      <c r="D8" s="46" t="s">
        <v>174</v>
      </c>
      <c r="E8" t="s">
        <v>175</v>
      </c>
    </row>
    <row r="9" spans="1:12" ht="12.75" customHeight="1">
      <c r="A9" s="50" t="s">
        <v>187</v>
      </c>
      <c r="B9" t="s">
        <v>188</v>
      </c>
      <c r="C9" s="47" t="s">
        <v>173</v>
      </c>
      <c r="D9" s="46" t="s">
        <v>174</v>
      </c>
      <c r="E9" t="s">
        <v>175</v>
      </c>
    </row>
    <row r="10" spans="1:12" ht="12.75" customHeight="1">
      <c r="A10" s="50" t="s">
        <v>189</v>
      </c>
      <c r="B10" t="s">
        <v>190</v>
      </c>
      <c r="C10" s="47" t="s">
        <v>178</v>
      </c>
      <c r="D10" s="46" t="s">
        <v>174</v>
      </c>
      <c r="E10" t="s">
        <v>175</v>
      </c>
      <c r="K10" s="44"/>
      <c r="L10" s="44"/>
    </row>
    <row r="11" spans="1:12" ht="12.75" customHeight="1">
      <c r="A11" s="50" t="s">
        <v>191</v>
      </c>
      <c r="B11" t="s">
        <v>192</v>
      </c>
      <c r="C11" s="47" t="s">
        <v>184</v>
      </c>
      <c r="D11" s="46" t="s">
        <v>174</v>
      </c>
      <c r="E11" t="s">
        <v>175</v>
      </c>
      <c r="K11" s="44"/>
      <c r="L11" s="44"/>
    </row>
    <row r="12" spans="1:12" ht="12.75" customHeight="1">
      <c r="A12" s="50" t="s">
        <v>193</v>
      </c>
      <c r="B12" t="s">
        <v>194</v>
      </c>
      <c r="C12" s="47" t="s">
        <v>195</v>
      </c>
      <c r="D12" s="46" t="s">
        <v>174</v>
      </c>
      <c r="E12" t="s">
        <v>175</v>
      </c>
      <c r="K12" s="44"/>
      <c r="L12" s="44"/>
    </row>
    <row r="13" spans="1:12" ht="12.75" customHeight="1">
      <c r="A13" s="50" t="s">
        <v>196</v>
      </c>
      <c r="B13" t="s">
        <v>197</v>
      </c>
      <c r="C13" s="47" t="s">
        <v>181</v>
      </c>
      <c r="D13" s="46" t="s">
        <v>174</v>
      </c>
      <c r="E13" t="s">
        <v>175</v>
      </c>
      <c r="K13" s="44"/>
      <c r="L13" s="44"/>
    </row>
    <row r="14" spans="1:12" ht="12.75" customHeight="1">
      <c r="A14" s="50" t="s">
        <v>198</v>
      </c>
      <c r="B14" t="s">
        <v>199</v>
      </c>
      <c r="C14" s="47" t="s">
        <v>178</v>
      </c>
      <c r="D14" s="46" t="s">
        <v>174</v>
      </c>
      <c r="E14" t="s">
        <v>175</v>
      </c>
      <c r="K14" s="44"/>
      <c r="L14" s="44"/>
    </row>
    <row r="15" spans="1:12" ht="12.75" customHeight="1">
      <c r="A15" s="50" t="s">
        <v>200</v>
      </c>
      <c r="B15" t="s">
        <v>201</v>
      </c>
      <c r="C15" s="47" t="s">
        <v>181</v>
      </c>
      <c r="D15" s="46" t="s">
        <v>174</v>
      </c>
      <c r="E15" t="s">
        <v>175</v>
      </c>
      <c r="K15" s="44"/>
      <c r="L15" s="44"/>
    </row>
    <row r="16" spans="1:12" ht="12.75" customHeight="1">
      <c r="A16" s="50" t="s">
        <v>202</v>
      </c>
      <c r="B16" t="s">
        <v>203</v>
      </c>
      <c r="C16" s="47" t="s">
        <v>178</v>
      </c>
      <c r="D16" s="46" t="s">
        <v>174</v>
      </c>
      <c r="E16" t="s">
        <v>175</v>
      </c>
      <c r="K16" s="44"/>
      <c r="L16" s="44"/>
    </row>
    <row r="17" spans="1:12" ht="12.75" customHeight="1">
      <c r="A17" s="50" t="s">
        <v>204</v>
      </c>
      <c r="B17" t="s">
        <v>205</v>
      </c>
      <c r="C17" s="47" t="s">
        <v>178</v>
      </c>
      <c r="D17" s="46" t="s">
        <v>174</v>
      </c>
      <c r="E17" t="s">
        <v>175</v>
      </c>
      <c r="K17" s="44"/>
      <c r="L17" s="44"/>
    </row>
    <row r="18" spans="1:12" ht="12.75" customHeight="1">
      <c r="A18" s="50" t="s">
        <v>206</v>
      </c>
      <c r="B18" t="s">
        <v>207</v>
      </c>
      <c r="C18" s="47" t="s">
        <v>178</v>
      </c>
      <c r="D18" s="46" t="s">
        <v>174</v>
      </c>
      <c r="E18" t="s">
        <v>175</v>
      </c>
      <c r="K18" s="44"/>
      <c r="L18" s="44"/>
    </row>
    <row r="19" spans="1:12" ht="12.75" customHeight="1">
      <c r="A19" s="50" t="s">
        <v>208</v>
      </c>
      <c r="B19" t="s">
        <v>209</v>
      </c>
      <c r="C19" s="47" t="s">
        <v>178</v>
      </c>
      <c r="D19" s="46" t="s">
        <v>174</v>
      </c>
      <c r="E19" t="s">
        <v>175</v>
      </c>
      <c r="K19" s="44"/>
      <c r="L19" s="44"/>
    </row>
    <row r="20" spans="1:12" ht="12.75" customHeight="1">
      <c r="A20" s="50" t="s">
        <v>210</v>
      </c>
      <c r="B20" t="s">
        <v>211</v>
      </c>
      <c r="C20" s="47" t="s">
        <v>181</v>
      </c>
      <c r="D20" s="46" t="s">
        <v>174</v>
      </c>
      <c r="E20" t="s">
        <v>175</v>
      </c>
      <c r="K20" s="44"/>
      <c r="L20" s="44"/>
    </row>
    <row r="21" spans="1:12" ht="12.75" customHeight="1">
      <c r="A21" s="50" t="s">
        <v>212</v>
      </c>
      <c r="B21" t="s">
        <v>213</v>
      </c>
      <c r="C21" s="47" t="s">
        <v>184</v>
      </c>
      <c r="D21" s="46" t="s">
        <v>174</v>
      </c>
      <c r="E21" t="s">
        <v>175</v>
      </c>
      <c r="K21" s="44"/>
      <c r="L21" s="44"/>
    </row>
    <row r="22" spans="1:12" ht="12.75" customHeight="1">
      <c r="A22" s="50" t="s">
        <v>214</v>
      </c>
      <c r="B22" t="s">
        <v>215</v>
      </c>
      <c r="C22" s="47" t="s">
        <v>178</v>
      </c>
      <c r="D22" s="46" t="s">
        <v>174</v>
      </c>
      <c r="E22" t="s">
        <v>175</v>
      </c>
      <c r="K22" s="44"/>
      <c r="L22" s="44"/>
    </row>
    <row r="23" spans="1:12" ht="12.75" customHeight="1">
      <c r="A23" s="50" t="s">
        <v>216</v>
      </c>
      <c r="B23" t="s">
        <v>217</v>
      </c>
      <c r="C23" s="47" t="s">
        <v>178</v>
      </c>
      <c r="D23" s="46" t="s">
        <v>174</v>
      </c>
      <c r="E23" t="s">
        <v>175</v>
      </c>
      <c r="K23" s="44"/>
      <c r="L23" s="44"/>
    </row>
    <row r="24" spans="1:12" ht="12.75" customHeight="1">
      <c r="A24" s="50" t="s">
        <v>218</v>
      </c>
      <c r="B24" t="s">
        <v>219</v>
      </c>
      <c r="C24" s="47" t="s">
        <v>181</v>
      </c>
      <c r="D24" s="46" t="s">
        <v>174</v>
      </c>
      <c r="E24" t="s">
        <v>175</v>
      </c>
      <c r="K24" s="44"/>
      <c r="L24" s="44"/>
    </row>
    <row r="25" spans="1:12" ht="12.75" customHeight="1">
      <c r="A25" s="50" t="s">
        <v>220</v>
      </c>
      <c r="B25" t="s">
        <v>221</v>
      </c>
      <c r="C25" s="47" t="s">
        <v>173</v>
      </c>
      <c r="D25" s="46" t="s">
        <v>174</v>
      </c>
      <c r="E25" t="s">
        <v>175</v>
      </c>
      <c r="K25" s="44"/>
      <c r="L25" s="44"/>
    </row>
    <row r="26" spans="1:12" ht="12.75" customHeight="1">
      <c r="A26" t="s">
        <v>222</v>
      </c>
      <c r="B26" t="s">
        <v>223</v>
      </c>
      <c r="C26" s="47" t="s">
        <v>224</v>
      </c>
      <c r="D26" t="s">
        <v>174</v>
      </c>
      <c r="E26" t="s">
        <v>175</v>
      </c>
      <c r="K26" s="44"/>
      <c r="L26" s="44"/>
    </row>
    <row r="27" spans="1:12" ht="12.75" customHeight="1">
      <c r="A27" t="s">
        <v>225</v>
      </c>
      <c r="B27" t="s">
        <v>226</v>
      </c>
      <c r="C27" s="47" t="s">
        <v>224</v>
      </c>
      <c r="D27" t="s">
        <v>174</v>
      </c>
      <c r="E27" t="s">
        <v>175</v>
      </c>
      <c r="K27" s="44"/>
      <c r="L27" s="44"/>
    </row>
    <row r="28" spans="1:12" ht="12.75" customHeight="1">
      <c r="A28" t="s">
        <v>227</v>
      </c>
      <c r="B28" t="s">
        <v>228</v>
      </c>
      <c r="C28" s="47" t="s">
        <v>224</v>
      </c>
      <c r="D28" t="s">
        <v>174</v>
      </c>
      <c r="E28" t="s">
        <v>175</v>
      </c>
      <c r="K28" s="44"/>
      <c r="L28" s="44"/>
    </row>
    <row r="29" spans="1:12" ht="12.75" customHeight="1">
      <c r="A29" t="s">
        <v>229</v>
      </c>
      <c r="B29" t="s">
        <v>230</v>
      </c>
      <c r="C29" s="47" t="s">
        <v>224</v>
      </c>
      <c r="D29" t="s">
        <v>174</v>
      </c>
      <c r="E29" t="s">
        <v>175</v>
      </c>
      <c r="K29" s="44"/>
      <c r="L29" s="44"/>
    </row>
    <row r="30" spans="1:12" ht="12.75" customHeight="1">
      <c r="A30" t="s">
        <v>231</v>
      </c>
      <c r="B30" t="s">
        <v>232</v>
      </c>
      <c r="C30" s="47" t="s">
        <v>224</v>
      </c>
      <c r="D30" t="s">
        <v>174</v>
      </c>
      <c r="E30" t="s">
        <v>175</v>
      </c>
      <c r="K30" s="44"/>
      <c r="L30" s="44"/>
    </row>
    <row r="31" spans="1:12" ht="12.75" customHeight="1">
      <c r="A31" t="s">
        <v>233</v>
      </c>
      <c r="B31" t="s">
        <v>234</v>
      </c>
      <c r="C31" s="47" t="s">
        <v>224</v>
      </c>
      <c r="D31" t="s">
        <v>174</v>
      </c>
      <c r="E31" t="s">
        <v>175</v>
      </c>
      <c r="K31" s="44"/>
      <c r="L31" s="44"/>
    </row>
    <row r="32" spans="1:12" ht="12.75" customHeight="1">
      <c r="A32" t="s">
        <v>235</v>
      </c>
      <c r="B32" t="s">
        <v>236</v>
      </c>
      <c r="C32" s="47" t="s">
        <v>224</v>
      </c>
      <c r="D32" t="s">
        <v>174</v>
      </c>
      <c r="E32" t="s">
        <v>175</v>
      </c>
    </row>
    <row r="33" spans="1:5" ht="12.75" customHeight="1">
      <c r="A33" t="s">
        <v>237</v>
      </c>
      <c r="B33" t="s">
        <v>238</v>
      </c>
      <c r="C33" s="47" t="s">
        <v>224</v>
      </c>
      <c r="D33" t="s">
        <v>174</v>
      </c>
      <c r="E33" t="s">
        <v>175</v>
      </c>
    </row>
    <row r="34" spans="1:5" ht="12.75" customHeight="1">
      <c r="A34" t="s">
        <v>239</v>
      </c>
      <c r="B34" t="s">
        <v>240</v>
      </c>
      <c r="C34" s="47" t="s">
        <v>224</v>
      </c>
      <c r="D34" t="s">
        <v>174</v>
      </c>
      <c r="E34" t="s">
        <v>175</v>
      </c>
    </row>
    <row r="35" spans="1:5" ht="12.75" customHeight="1">
      <c r="A35" t="s">
        <v>241</v>
      </c>
      <c r="B35" t="s">
        <v>242</v>
      </c>
      <c r="C35" s="47" t="s">
        <v>224</v>
      </c>
      <c r="D35" t="s">
        <v>174</v>
      </c>
      <c r="E35" t="s">
        <v>175</v>
      </c>
    </row>
    <row r="36" spans="1:5" ht="12.75" customHeight="1">
      <c r="A36" t="s">
        <v>243</v>
      </c>
      <c r="B36" t="s">
        <v>244</v>
      </c>
      <c r="C36" s="47" t="s">
        <v>224</v>
      </c>
      <c r="D36" t="s">
        <v>174</v>
      </c>
      <c r="E36" t="s">
        <v>175</v>
      </c>
    </row>
    <row r="37" spans="1:5" ht="12.75" customHeight="1">
      <c r="A37" t="s">
        <v>245</v>
      </c>
      <c r="B37" t="s">
        <v>246</v>
      </c>
      <c r="C37" s="47" t="s">
        <v>224</v>
      </c>
      <c r="D37" t="s">
        <v>174</v>
      </c>
      <c r="E37" t="s">
        <v>175</v>
      </c>
    </row>
    <row r="38" spans="1:5" ht="12.75" customHeight="1">
      <c r="A38" t="s">
        <v>247</v>
      </c>
      <c r="B38" t="s">
        <v>248</v>
      </c>
      <c r="C38" s="47" t="s">
        <v>224</v>
      </c>
      <c r="D38" t="s">
        <v>174</v>
      </c>
      <c r="E38" t="s">
        <v>175</v>
      </c>
    </row>
    <row r="39" spans="1:5" ht="12.75" customHeight="1">
      <c r="A39" t="s">
        <v>249</v>
      </c>
      <c r="B39" t="s">
        <v>250</v>
      </c>
      <c r="C39" s="47" t="s">
        <v>224</v>
      </c>
      <c r="D39" t="s">
        <v>174</v>
      </c>
      <c r="E39" t="s">
        <v>175</v>
      </c>
    </row>
    <row r="40" spans="1:5" ht="12.75" customHeight="1">
      <c r="A40" t="s">
        <v>251</v>
      </c>
      <c r="B40" t="s">
        <v>252</v>
      </c>
      <c r="C40" s="47" t="s">
        <v>224</v>
      </c>
      <c r="D40" t="s">
        <v>174</v>
      </c>
      <c r="E40" t="s">
        <v>175</v>
      </c>
    </row>
    <row r="41" spans="1:5" ht="12.75" customHeight="1">
      <c r="A41" t="s">
        <v>253</v>
      </c>
      <c r="B41" t="s">
        <v>254</v>
      </c>
      <c r="C41" s="47" t="s">
        <v>224</v>
      </c>
      <c r="E41" t="s">
        <v>175</v>
      </c>
    </row>
    <row r="42" spans="1:5" ht="12.75" customHeight="1">
      <c r="A42" t="s">
        <v>255</v>
      </c>
      <c r="B42" t="s">
        <v>256</v>
      </c>
      <c r="C42" s="47" t="s">
        <v>224</v>
      </c>
      <c r="D42" t="s">
        <v>174</v>
      </c>
      <c r="E42" t="s">
        <v>175</v>
      </c>
    </row>
    <row r="43" spans="1:5" ht="12.75" customHeight="1">
      <c r="A43" t="s">
        <v>257</v>
      </c>
      <c r="B43" t="s">
        <v>258</v>
      </c>
      <c r="C43" s="47" t="s">
        <v>224</v>
      </c>
      <c r="D43" t="s">
        <v>174</v>
      </c>
      <c r="E43" t="s">
        <v>175</v>
      </c>
    </row>
    <row r="44" spans="1:5" ht="12.75" customHeight="1">
      <c r="A44" t="s">
        <v>259</v>
      </c>
      <c r="B44" t="s">
        <v>260</v>
      </c>
      <c r="C44" s="47" t="s">
        <v>224</v>
      </c>
      <c r="D44" t="s">
        <v>174</v>
      </c>
      <c r="E44" t="s">
        <v>175</v>
      </c>
    </row>
    <row r="45" spans="1:5" ht="12.75" customHeight="1">
      <c r="A45" t="s">
        <v>261</v>
      </c>
      <c r="B45" t="s">
        <v>262</v>
      </c>
      <c r="C45" s="47" t="s">
        <v>224</v>
      </c>
      <c r="D45" t="s">
        <v>174</v>
      </c>
      <c r="E45" t="s">
        <v>175</v>
      </c>
    </row>
    <row r="46" spans="1:5" ht="12.75" customHeight="1">
      <c r="A46" t="s">
        <v>263</v>
      </c>
      <c r="B46" t="s">
        <v>264</v>
      </c>
      <c r="C46" s="47" t="s">
        <v>224</v>
      </c>
      <c r="D46" t="s">
        <v>174</v>
      </c>
      <c r="E46" t="s">
        <v>175</v>
      </c>
    </row>
    <row r="47" spans="1:5" ht="12.75" customHeight="1">
      <c r="A47" t="s">
        <v>265</v>
      </c>
      <c r="B47" t="s">
        <v>266</v>
      </c>
      <c r="C47" s="47" t="s">
        <v>224</v>
      </c>
      <c r="D47" t="s">
        <v>174</v>
      </c>
      <c r="E47" t="s">
        <v>175</v>
      </c>
    </row>
    <row r="48" spans="1:5" ht="12.75" customHeight="1">
      <c r="A48" t="s">
        <v>267</v>
      </c>
      <c r="B48" t="s">
        <v>267</v>
      </c>
      <c r="C48" s="47" t="s">
        <v>224</v>
      </c>
      <c r="D48" t="s">
        <v>174</v>
      </c>
      <c r="E48" t="s">
        <v>175</v>
      </c>
    </row>
    <row r="49" spans="1:5" ht="12.75" customHeight="1">
      <c r="A49" t="s">
        <v>268</v>
      </c>
      <c r="B49" t="s">
        <v>269</v>
      </c>
      <c r="C49" s="47" t="s">
        <v>224</v>
      </c>
      <c r="E49" t="s">
        <v>175</v>
      </c>
    </row>
    <row r="50" spans="1:5" ht="12.75" customHeight="1">
      <c r="A50" t="s">
        <v>270</v>
      </c>
      <c r="B50" t="s">
        <v>271</v>
      </c>
      <c r="C50" s="47" t="s">
        <v>224</v>
      </c>
      <c r="E50" t="s">
        <v>175</v>
      </c>
    </row>
    <row r="51" spans="1:5" ht="12.75" customHeight="1">
      <c r="A51" t="s">
        <v>272</v>
      </c>
      <c r="B51" t="s">
        <v>273</v>
      </c>
      <c r="C51" s="47" t="s">
        <v>224</v>
      </c>
      <c r="D51" t="s">
        <v>174</v>
      </c>
      <c r="E51" t="s">
        <v>175</v>
      </c>
    </row>
    <row r="52" spans="1:5" ht="12.75" customHeight="1">
      <c r="A52" t="s">
        <v>274</v>
      </c>
      <c r="B52" t="s">
        <v>275</v>
      </c>
      <c r="C52" s="47" t="s">
        <v>224</v>
      </c>
      <c r="E52" t="s">
        <v>175</v>
      </c>
    </row>
    <row r="53" spans="1:5" ht="12.75" customHeight="1">
      <c r="A53" t="s">
        <v>276</v>
      </c>
      <c r="B53" t="s">
        <v>277</v>
      </c>
      <c r="C53" s="47" t="s">
        <v>224</v>
      </c>
      <c r="D53" t="s">
        <v>174</v>
      </c>
      <c r="E53" t="s">
        <v>175</v>
      </c>
    </row>
    <row r="54" spans="1:5" ht="12.75" customHeight="1">
      <c r="A54" t="s">
        <v>278</v>
      </c>
      <c r="B54" t="s">
        <v>279</v>
      </c>
      <c r="C54" s="47" t="s">
        <v>224</v>
      </c>
      <c r="E54" t="s">
        <v>175</v>
      </c>
    </row>
    <row r="55" spans="1:5" ht="12.75" customHeight="1">
      <c r="A55" t="s">
        <v>280</v>
      </c>
      <c r="B55" t="s">
        <v>281</v>
      </c>
      <c r="C55" s="47" t="s">
        <v>224</v>
      </c>
      <c r="D55" t="s">
        <v>174</v>
      </c>
      <c r="E55" t="s">
        <v>175</v>
      </c>
    </row>
    <row r="56" spans="1:5" ht="12.75" customHeight="1">
      <c r="A56" t="s">
        <v>282</v>
      </c>
      <c r="B56" t="s">
        <v>283</v>
      </c>
      <c r="C56" s="47" t="s">
        <v>224</v>
      </c>
      <c r="D56" t="s">
        <v>174</v>
      </c>
      <c r="E56" t="s">
        <v>175</v>
      </c>
    </row>
    <row r="57" spans="1:5" ht="12.75" customHeight="1">
      <c r="A57" t="s">
        <v>284</v>
      </c>
      <c r="B57" t="s">
        <v>285</v>
      </c>
      <c r="C57" s="47" t="s">
        <v>224</v>
      </c>
      <c r="D57" t="s">
        <v>174</v>
      </c>
      <c r="E57" t="s">
        <v>175</v>
      </c>
    </row>
    <row r="58" spans="1:5" ht="12.75" customHeight="1">
      <c r="A58" t="s">
        <v>286</v>
      </c>
      <c r="B58" t="s">
        <v>287</v>
      </c>
      <c r="C58" s="47" t="s">
        <v>224</v>
      </c>
      <c r="D58" t="s">
        <v>174</v>
      </c>
      <c r="E58" t="s">
        <v>175</v>
      </c>
    </row>
    <row r="59" spans="1:5" ht="12.75" customHeight="1">
      <c r="A59" t="s">
        <v>288</v>
      </c>
      <c r="B59" t="s">
        <v>289</v>
      </c>
      <c r="C59" s="47" t="s">
        <v>224</v>
      </c>
      <c r="E59" t="s">
        <v>175</v>
      </c>
    </row>
    <row r="60" spans="1:5" ht="12.75" customHeight="1">
      <c r="A60" t="s">
        <v>290</v>
      </c>
      <c r="B60" t="s">
        <v>291</v>
      </c>
      <c r="C60" s="47" t="s">
        <v>224</v>
      </c>
      <c r="D60" t="s">
        <v>174</v>
      </c>
      <c r="E60" t="s">
        <v>175</v>
      </c>
    </row>
    <row r="61" spans="1:5" ht="12.75" customHeight="1">
      <c r="A61" t="s">
        <v>292</v>
      </c>
      <c r="B61" t="s">
        <v>293</v>
      </c>
      <c r="C61" s="47" t="s">
        <v>224</v>
      </c>
      <c r="D61" t="s">
        <v>174</v>
      </c>
      <c r="E61" t="s">
        <v>175</v>
      </c>
    </row>
    <row r="62" spans="1:5" ht="12.75" customHeight="1">
      <c r="A62" t="s">
        <v>294</v>
      </c>
      <c r="B62" t="s">
        <v>295</v>
      </c>
      <c r="C62" s="47" t="s">
        <v>224</v>
      </c>
      <c r="D62" t="s">
        <v>174</v>
      </c>
      <c r="E62" t="s">
        <v>175</v>
      </c>
    </row>
    <row r="63" spans="1:5" ht="12.75" customHeight="1">
      <c r="A63" t="s">
        <v>296</v>
      </c>
      <c r="B63" t="s">
        <v>297</v>
      </c>
      <c r="C63" s="47" t="s">
        <v>224</v>
      </c>
      <c r="D63" t="s">
        <v>174</v>
      </c>
      <c r="E63" t="s">
        <v>175</v>
      </c>
    </row>
    <row r="64" spans="1:5" ht="12.75" customHeight="1">
      <c r="A64" t="s">
        <v>298</v>
      </c>
      <c r="B64" t="s">
        <v>299</v>
      </c>
      <c r="C64" s="47" t="s">
        <v>224</v>
      </c>
      <c r="D64" t="s">
        <v>174</v>
      </c>
      <c r="E64" t="s">
        <v>175</v>
      </c>
    </row>
    <row r="65" spans="1:5" ht="12.75" customHeight="1">
      <c r="A65" t="s">
        <v>251</v>
      </c>
      <c r="B65" t="s">
        <v>300</v>
      </c>
      <c r="C65" s="47" t="s">
        <v>224</v>
      </c>
      <c r="E65" t="s">
        <v>175</v>
      </c>
    </row>
    <row r="66" spans="1:5" ht="12.75" customHeight="1">
      <c r="A66" t="s">
        <v>301</v>
      </c>
      <c r="B66" t="s">
        <v>302</v>
      </c>
      <c r="C66" s="47" t="s">
        <v>224</v>
      </c>
      <c r="E66" t="s">
        <v>175</v>
      </c>
    </row>
    <row r="67" spans="1:5" ht="12.75" customHeight="1">
      <c r="A67" t="s">
        <v>303</v>
      </c>
      <c r="B67" t="s">
        <v>304</v>
      </c>
      <c r="C67" s="47" t="s">
        <v>224</v>
      </c>
      <c r="E67" t="s">
        <v>175</v>
      </c>
    </row>
    <row r="68" spans="1:5" ht="12.75" customHeight="1">
      <c r="A68" t="s">
        <v>305</v>
      </c>
      <c r="B68" t="s">
        <v>306</v>
      </c>
      <c r="C68" s="47" t="s">
        <v>224</v>
      </c>
      <c r="D68" t="s">
        <v>174</v>
      </c>
      <c r="E68" t="s">
        <v>175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2024-10-04T02:12:36Z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