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4199" documentId="13_ncr:1_{548D2527-80AD-4810-B49D-3A4B45A465A3}" xr6:coauthVersionLast="47" xr6:coauthVersionMax="47" xr10:uidLastSave="{0521EA64-8839-4F62-8D1F-079178A081AF}"/>
  <bookViews>
    <workbookView xWindow="1520" yWindow="0" windowWidth="16390" windowHeight="2019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2" l="1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F48" i="72"/>
  <c r="F49" i="72"/>
  <c r="F50" i="72"/>
  <c r="F51" i="72"/>
  <c r="F52" i="72"/>
  <c r="F53" i="72"/>
  <c r="F54" i="72"/>
  <c r="F55" i="72"/>
  <c r="F56" i="72"/>
  <c r="F57" i="72"/>
  <c r="F58" i="72"/>
  <c r="F59" i="72"/>
  <c r="F60" i="72"/>
  <c r="F61" i="72"/>
  <c r="F62" i="72"/>
  <c r="F63" i="72"/>
  <c r="F64" i="72"/>
  <c r="F65" i="72"/>
  <c r="F66" i="72"/>
  <c r="F67" i="72"/>
  <c r="F68" i="72"/>
  <c r="F4" i="72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8" i="3"/>
  <c r="F59" i="3"/>
  <c r="F60" i="3"/>
  <c r="F61" i="3"/>
  <c r="F62" i="3"/>
  <c r="F63" i="3"/>
  <c r="F64" i="3"/>
  <c r="F65" i="3"/>
  <c r="F66" i="3"/>
  <c r="F67" i="3"/>
  <c r="F68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9" i="3"/>
  <c r="F4" i="3"/>
  <c r="F18" i="20"/>
  <c r="F19" i="20"/>
  <c r="F20" i="20"/>
  <c r="F21" i="20"/>
  <c r="F22" i="20"/>
  <c r="F23" i="20"/>
  <c r="F24" i="20"/>
  <c r="F25" i="20"/>
  <c r="F26" i="20"/>
  <c r="F27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18" i="31"/>
  <c r="F19" i="31"/>
  <c r="F20" i="31"/>
  <c r="F21" i="31"/>
  <c r="F22" i="31"/>
  <c r="F23" i="31"/>
  <c r="F24" i="31"/>
  <c r="F25" i="31"/>
  <c r="F26" i="31"/>
  <c r="F27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3" i="31"/>
  <c r="F64" i="31"/>
  <c r="F65" i="31"/>
  <c r="F66" i="31"/>
  <c r="F67" i="31"/>
  <c r="F68" i="31"/>
  <c r="F18" i="32"/>
  <c r="F19" i="32"/>
  <c r="F20" i="32"/>
  <c r="F21" i="32"/>
  <c r="F22" i="32"/>
  <c r="F23" i="32"/>
  <c r="F24" i="32"/>
  <c r="F25" i="32"/>
  <c r="F26" i="32"/>
  <c r="F27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1" i="32"/>
  <c r="F62" i="32"/>
  <c r="F63" i="32"/>
  <c r="F64" i="32"/>
  <c r="F65" i="32"/>
  <c r="F66" i="32"/>
  <c r="F67" i="32"/>
  <c r="F68" i="32"/>
  <c r="F22" i="33"/>
  <c r="F23" i="33"/>
  <c r="F24" i="33"/>
  <c r="F25" i="33"/>
  <c r="F26" i="33"/>
  <c r="F27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1" i="33"/>
  <c r="F63" i="33"/>
  <c r="F64" i="33"/>
  <c r="F65" i="33"/>
  <c r="F66" i="33"/>
  <c r="F67" i="33"/>
  <c r="F68" i="33"/>
  <c r="F21" i="33"/>
  <c r="F18" i="33"/>
  <c r="F19" i="33"/>
  <c r="F20" i="33"/>
  <c r="I41" i="33"/>
  <c r="I49" i="33"/>
  <c r="I65" i="33"/>
  <c r="H17" i="33"/>
  <c r="H18" i="33"/>
  <c r="I18" i="33" s="1"/>
  <c r="H19" i="33"/>
  <c r="H20" i="33"/>
  <c r="I20" i="33" s="1"/>
  <c r="H21" i="33"/>
  <c r="I21" i="33" s="1"/>
  <c r="H22" i="33"/>
  <c r="I22" i="33" s="1"/>
  <c r="H23" i="33"/>
  <c r="I23" i="33" s="1"/>
  <c r="H24" i="33"/>
  <c r="I24" i="33" s="1"/>
  <c r="H25" i="33"/>
  <c r="I25" i="33" s="1"/>
  <c r="H26" i="33"/>
  <c r="I26" i="33" s="1"/>
  <c r="H27" i="33"/>
  <c r="H28" i="33"/>
  <c r="H29" i="33"/>
  <c r="H30" i="33"/>
  <c r="I30" i="33" s="1"/>
  <c r="H31" i="33"/>
  <c r="H32" i="33"/>
  <c r="I32" i="33" s="1"/>
  <c r="H33" i="33"/>
  <c r="I33" i="33" s="1"/>
  <c r="H34" i="33"/>
  <c r="I34" i="33" s="1"/>
  <c r="H35" i="33"/>
  <c r="I35" i="33" s="1"/>
  <c r="H36" i="33"/>
  <c r="H37" i="33"/>
  <c r="H38" i="33"/>
  <c r="I38" i="33" s="1"/>
  <c r="H39" i="33"/>
  <c r="H40" i="33"/>
  <c r="I40" i="33" s="1"/>
  <c r="H41" i="33"/>
  <c r="H42" i="33"/>
  <c r="I42" i="33" s="1"/>
  <c r="H43" i="33"/>
  <c r="H43" i="30" s="1"/>
  <c r="H44" i="33"/>
  <c r="H45" i="33"/>
  <c r="I45" i="33" s="1"/>
  <c r="H46" i="33"/>
  <c r="I46" i="33" s="1"/>
  <c r="H47" i="33"/>
  <c r="I47" i="33" s="1"/>
  <c r="H48" i="33"/>
  <c r="I48" i="33" s="1"/>
  <c r="H49" i="33"/>
  <c r="H49" i="30" s="1"/>
  <c r="H50" i="33"/>
  <c r="I50" i="33" s="1"/>
  <c r="H51" i="33"/>
  <c r="H52" i="33"/>
  <c r="H52" i="30" s="1"/>
  <c r="H53" i="33"/>
  <c r="I53" i="33" s="1"/>
  <c r="H54" i="33"/>
  <c r="I54" i="33" s="1"/>
  <c r="H55" i="33"/>
  <c r="H56" i="33"/>
  <c r="I56" i="33" s="1"/>
  <c r="H57" i="33"/>
  <c r="I57" i="33" s="1"/>
  <c r="H58" i="33"/>
  <c r="I58" i="33" s="1"/>
  <c r="H59" i="33"/>
  <c r="I59" i="33" s="1"/>
  <c r="H60" i="33"/>
  <c r="H61" i="33"/>
  <c r="H62" i="33"/>
  <c r="I62" i="33" s="1"/>
  <c r="H63" i="33"/>
  <c r="H64" i="33"/>
  <c r="I64" i="33" s="1"/>
  <c r="H65" i="33"/>
  <c r="H66" i="33"/>
  <c r="I66" i="33" s="1"/>
  <c r="H67" i="33"/>
  <c r="H68" i="33"/>
  <c r="I68" i="33" s="1"/>
  <c r="E17" i="33"/>
  <c r="F17" i="33" s="1"/>
  <c r="E18" i="33"/>
  <c r="E19" i="33"/>
  <c r="E20" i="33"/>
  <c r="E21" i="33"/>
  <c r="E22" i="33"/>
  <c r="E23" i="33"/>
  <c r="E24" i="33"/>
  <c r="E25" i="33"/>
  <c r="E26" i="33"/>
  <c r="E27" i="33"/>
  <c r="E28" i="33"/>
  <c r="F28" i="33" s="1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F60" i="33" s="1"/>
  <c r="E61" i="33"/>
  <c r="E62" i="33"/>
  <c r="F62" i="33" s="1"/>
  <c r="E63" i="33"/>
  <c r="E64" i="33"/>
  <c r="E65" i="33"/>
  <c r="E66" i="33"/>
  <c r="E67" i="33"/>
  <c r="E68" i="33"/>
  <c r="G42" i="30"/>
  <c r="G43" i="30"/>
  <c r="G26" i="29"/>
  <c r="G27" i="29"/>
  <c r="D67" i="29"/>
  <c r="D68" i="29"/>
  <c r="C67" i="29"/>
  <c r="C68" i="29"/>
  <c r="G61" i="29"/>
  <c r="G62" i="29"/>
  <c r="G63" i="29"/>
  <c r="G64" i="29"/>
  <c r="G65" i="29"/>
  <c r="G66" i="29"/>
  <c r="G67" i="29"/>
  <c r="G68" i="29"/>
  <c r="G55" i="29"/>
  <c r="G56" i="29"/>
  <c r="G57" i="29"/>
  <c r="G46" i="29"/>
  <c r="G47" i="29"/>
  <c r="G40" i="29"/>
  <c r="I39" i="32"/>
  <c r="I41" i="32"/>
  <c r="I43" i="32"/>
  <c r="I49" i="32"/>
  <c r="I50" i="32"/>
  <c r="I51" i="32"/>
  <c r="I52" i="32"/>
  <c r="I54" i="32"/>
  <c r="I59" i="32"/>
  <c r="I64" i="32"/>
  <c r="I65" i="32"/>
  <c r="I66" i="32"/>
  <c r="H18" i="32"/>
  <c r="I18" i="32" s="1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H25" i="32"/>
  <c r="I25" i="32" s="1"/>
  <c r="H26" i="32"/>
  <c r="I26" i="32" s="1"/>
  <c r="H27" i="32"/>
  <c r="I27" i="32" s="1"/>
  <c r="H28" i="32"/>
  <c r="I28" i="32" s="1"/>
  <c r="H29" i="32"/>
  <c r="I29" i="32" s="1"/>
  <c r="H30" i="32"/>
  <c r="I30" i="32" s="1"/>
  <c r="H31" i="32"/>
  <c r="I31" i="32" s="1"/>
  <c r="H32" i="32"/>
  <c r="I32" i="32" s="1"/>
  <c r="H33" i="32"/>
  <c r="I33" i="32" s="1"/>
  <c r="H34" i="32"/>
  <c r="I34" i="32" s="1"/>
  <c r="H35" i="32"/>
  <c r="I35" i="32" s="1"/>
  <c r="H36" i="32"/>
  <c r="I36" i="32" s="1"/>
  <c r="H37" i="32"/>
  <c r="I37" i="32" s="1"/>
  <c r="H38" i="32"/>
  <c r="I38" i="32" s="1"/>
  <c r="H39" i="32"/>
  <c r="H40" i="32"/>
  <c r="I40" i="32" s="1"/>
  <c r="H41" i="32"/>
  <c r="H42" i="32"/>
  <c r="I42" i="32" s="1"/>
  <c r="H43" i="32"/>
  <c r="H44" i="32"/>
  <c r="I44" i="32" s="1"/>
  <c r="H45" i="32"/>
  <c r="I45" i="32" s="1"/>
  <c r="H46" i="32"/>
  <c r="I46" i="32" s="1"/>
  <c r="H47" i="32"/>
  <c r="I47" i="32" s="1"/>
  <c r="H48" i="32"/>
  <c r="I48" i="32" s="1"/>
  <c r="H49" i="32"/>
  <c r="H50" i="32"/>
  <c r="H51" i="32"/>
  <c r="H52" i="32"/>
  <c r="H53" i="32"/>
  <c r="I53" i="32" s="1"/>
  <c r="H54" i="32"/>
  <c r="H55" i="32"/>
  <c r="I55" i="32" s="1"/>
  <c r="H56" i="32"/>
  <c r="I56" i="32" s="1"/>
  <c r="H57" i="32"/>
  <c r="H58" i="32"/>
  <c r="I58" i="32" s="1"/>
  <c r="H59" i="32"/>
  <c r="H60" i="32"/>
  <c r="I60" i="32" s="1"/>
  <c r="H61" i="32"/>
  <c r="I61" i="32" s="1"/>
  <c r="H62" i="32"/>
  <c r="I62" i="32" s="1"/>
  <c r="H63" i="32"/>
  <c r="I63" i="32" s="1"/>
  <c r="H64" i="32"/>
  <c r="H65" i="32"/>
  <c r="H66" i="32"/>
  <c r="H67" i="32"/>
  <c r="I67" i="32" s="1"/>
  <c r="H68" i="32"/>
  <c r="I68" i="32" s="1"/>
  <c r="E18" i="32"/>
  <c r="E19" i="32"/>
  <c r="E20" i="32"/>
  <c r="E21" i="32"/>
  <c r="E22" i="32"/>
  <c r="E23" i="32"/>
  <c r="E24" i="32"/>
  <c r="E25" i="32"/>
  <c r="E26" i="32"/>
  <c r="E27" i="32"/>
  <c r="E28" i="32"/>
  <c r="F28" i="32" s="1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F60" i="32" s="1"/>
  <c r="E61" i="32"/>
  <c r="E62" i="32"/>
  <c r="E63" i="32"/>
  <c r="E64" i="32"/>
  <c r="E65" i="32"/>
  <c r="E66" i="32"/>
  <c r="E67" i="32"/>
  <c r="E68" i="32"/>
  <c r="I59" i="28"/>
  <c r="I65" i="28"/>
  <c r="I66" i="28"/>
  <c r="I56" i="28"/>
  <c r="I54" i="28"/>
  <c r="I52" i="28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4" i="34" s="1"/>
  <c r="G65" i="30"/>
  <c r="G65" i="34" s="1"/>
  <c r="G66" i="30"/>
  <c r="G67" i="30"/>
  <c r="G68" i="30"/>
  <c r="G5" i="30"/>
  <c r="G4" i="30"/>
  <c r="A4" i="31" a="1"/>
  <c r="A4" i="31"/>
  <c r="I41" i="31"/>
  <c r="I49" i="31"/>
  <c r="I50" i="31"/>
  <c r="I52" i="31"/>
  <c r="I54" i="31"/>
  <c r="I59" i="31"/>
  <c r="I64" i="31"/>
  <c r="I65" i="31"/>
  <c r="I66" i="31"/>
  <c r="I68" i="31"/>
  <c r="E26" i="31"/>
  <c r="E27" i="31"/>
  <c r="E28" i="31"/>
  <c r="F28" i="31" s="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F62" i="31" s="1"/>
  <c r="E63" i="31"/>
  <c r="E64" i="31"/>
  <c r="E65" i="31"/>
  <c r="E66" i="31"/>
  <c r="E67" i="31"/>
  <c r="E68" i="31"/>
  <c r="I20" i="31"/>
  <c r="H17" i="31"/>
  <c r="I17" i="31" s="1"/>
  <c r="H18" i="31"/>
  <c r="H19" i="31"/>
  <c r="I19" i="31" s="1"/>
  <c r="H20" i="31"/>
  <c r="H21" i="31"/>
  <c r="I21" i="31" s="1"/>
  <c r="H22" i="31"/>
  <c r="I22" i="31" s="1"/>
  <c r="H23" i="31"/>
  <c r="I23" i="31" s="1"/>
  <c r="H24" i="31"/>
  <c r="I24" i="31" s="1"/>
  <c r="H25" i="31"/>
  <c r="I25" i="31" s="1"/>
  <c r="H26" i="31"/>
  <c r="I26" i="31" s="1"/>
  <c r="H27" i="31"/>
  <c r="I27" i="31" s="1"/>
  <c r="H28" i="31"/>
  <c r="I28" i="31" s="1"/>
  <c r="H29" i="31"/>
  <c r="I29" i="31" s="1"/>
  <c r="H30" i="31"/>
  <c r="I30" i="31" s="1"/>
  <c r="H31" i="31"/>
  <c r="I31" i="31" s="1"/>
  <c r="H32" i="31"/>
  <c r="H33" i="31"/>
  <c r="I33" i="31" s="1"/>
  <c r="H34" i="31"/>
  <c r="I34" i="31" s="1"/>
  <c r="H35" i="31"/>
  <c r="I35" i="31" s="1"/>
  <c r="H36" i="31"/>
  <c r="I36" i="31" s="1"/>
  <c r="H37" i="31"/>
  <c r="I37" i="31" s="1"/>
  <c r="H38" i="31"/>
  <c r="H39" i="31"/>
  <c r="I39" i="31" s="1"/>
  <c r="H40" i="31"/>
  <c r="I40" i="31" s="1"/>
  <c r="H41" i="31"/>
  <c r="H42" i="31"/>
  <c r="I42" i="31" s="1"/>
  <c r="H43" i="31"/>
  <c r="I43" i="31" s="1"/>
  <c r="H44" i="31"/>
  <c r="I44" i="31" s="1"/>
  <c r="H45" i="31"/>
  <c r="I45" i="31" s="1"/>
  <c r="H46" i="31"/>
  <c r="I46" i="31" s="1"/>
  <c r="H47" i="31"/>
  <c r="H48" i="31"/>
  <c r="I48" i="31" s="1"/>
  <c r="H49" i="31"/>
  <c r="H50" i="31"/>
  <c r="H51" i="31"/>
  <c r="I51" i="31" s="1"/>
  <c r="H52" i="31"/>
  <c r="H53" i="31"/>
  <c r="H54" i="31"/>
  <c r="H55" i="31"/>
  <c r="I55" i="31" s="1"/>
  <c r="H56" i="31"/>
  <c r="I56" i="31" s="1"/>
  <c r="H57" i="31"/>
  <c r="I57" i="31" s="1"/>
  <c r="H58" i="31"/>
  <c r="H59" i="31"/>
  <c r="H60" i="31"/>
  <c r="I60" i="31" s="1"/>
  <c r="H61" i="31"/>
  <c r="I61" i="31" s="1"/>
  <c r="H62" i="31"/>
  <c r="I62" i="31" s="1"/>
  <c r="H63" i="31"/>
  <c r="I63" i="31" s="1"/>
  <c r="H64" i="31"/>
  <c r="H65" i="31"/>
  <c r="H66" i="31"/>
  <c r="H67" i="31"/>
  <c r="I67" i="31" s="1"/>
  <c r="H68" i="31"/>
  <c r="E18" i="31"/>
  <c r="E19" i="31"/>
  <c r="E20" i="31"/>
  <c r="E21" i="31"/>
  <c r="E22" i="31"/>
  <c r="E23" i="31"/>
  <c r="E24" i="31"/>
  <c r="E25" i="31"/>
  <c r="H65" i="28"/>
  <c r="H60" i="28"/>
  <c r="I60" i="28" s="1"/>
  <c r="H64" i="28"/>
  <c r="I64" i="28" s="1"/>
  <c r="H63" i="28"/>
  <c r="I63" i="28" s="1"/>
  <c r="H62" i="28"/>
  <c r="I62" i="28" s="1"/>
  <c r="H59" i="28"/>
  <c r="H38" i="28"/>
  <c r="I38" i="28" s="1"/>
  <c r="H37" i="28"/>
  <c r="I37" i="28" s="1"/>
  <c r="H36" i="28"/>
  <c r="I36" i="28" s="1"/>
  <c r="H35" i="28"/>
  <c r="I35" i="28" s="1"/>
  <c r="H34" i="28"/>
  <c r="I34" i="28" s="1"/>
  <c r="H33" i="28"/>
  <c r="I33" i="28" s="1"/>
  <c r="H39" i="28"/>
  <c r="I39" i="28" s="1"/>
  <c r="H44" i="28"/>
  <c r="I44" i="28" s="1"/>
  <c r="H32" i="28"/>
  <c r="I32" i="28" s="1"/>
  <c r="H25" i="28"/>
  <c r="I25" i="28" s="1"/>
  <c r="H24" i="28"/>
  <c r="I24" i="28" s="1"/>
  <c r="H23" i="28"/>
  <c r="I23" i="28" s="1"/>
  <c r="H22" i="28"/>
  <c r="I22" i="28" s="1"/>
  <c r="H21" i="28"/>
  <c r="I21" i="28" s="1"/>
  <c r="H19" i="28"/>
  <c r="I19" i="28" s="1"/>
  <c r="H20" i="28"/>
  <c r="I20" i="28" s="1"/>
  <c r="H26" i="28"/>
  <c r="I26" i="28" s="1"/>
  <c r="H31" i="28"/>
  <c r="I31" i="28" s="1"/>
  <c r="H30" i="28"/>
  <c r="I30" i="28" s="1"/>
  <c r="H50" i="28"/>
  <c r="I50" i="28"/>
  <c r="H48" i="28"/>
  <c r="I48" i="28" s="1"/>
  <c r="E19" i="28"/>
  <c r="E20" i="28"/>
  <c r="H57" i="28"/>
  <c r="I57" i="28" s="1"/>
  <c r="H58" i="28"/>
  <c r="I58" i="28" s="1"/>
  <c r="H28" i="28"/>
  <c r="I28" i="28" s="1"/>
  <c r="H29" i="28"/>
  <c r="I29" i="28" s="1"/>
  <c r="H42" i="28"/>
  <c r="I42" i="28" s="1"/>
  <c r="A3" i="27" a="1"/>
  <c r="A3" i="27" s="1"/>
  <c r="H18" i="28"/>
  <c r="I18" i="28" s="1"/>
  <c r="H27" i="28"/>
  <c r="H40" i="28"/>
  <c r="I40" i="28" s="1"/>
  <c r="H41" i="28"/>
  <c r="I41" i="28" s="1"/>
  <c r="H43" i="28"/>
  <c r="I43" i="28" s="1"/>
  <c r="H45" i="28"/>
  <c r="I45" i="28" s="1"/>
  <c r="H46" i="28"/>
  <c r="I46" i="28" s="1"/>
  <c r="H47" i="28"/>
  <c r="I47" i="28" s="1"/>
  <c r="H49" i="28"/>
  <c r="I49" i="28" s="1"/>
  <c r="H51" i="28"/>
  <c r="I51" i="28" s="1"/>
  <c r="H52" i="28"/>
  <c r="H53" i="28"/>
  <c r="I53" i="28" s="1"/>
  <c r="H54" i="28"/>
  <c r="H55" i="28"/>
  <c r="I55" i="28" s="1"/>
  <c r="H56" i="28"/>
  <c r="H54" i="29" s="1"/>
  <c r="H61" i="28"/>
  <c r="H59" i="29" s="1"/>
  <c r="H66" i="28"/>
  <c r="H67" i="28"/>
  <c r="H65" i="29" s="1"/>
  <c r="H68" i="28"/>
  <c r="I68" i="28" s="1"/>
  <c r="E18" i="28"/>
  <c r="F18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33" i="28"/>
  <c r="F33" i="28" s="1"/>
  <c r="E34" i="28"/>
  <c r="F34" i="28" s="1"/>
  <c r="E35" i="28"/>
  <c r="F35" i="28" s="1"/>
  <c r="E36" i="28"/>
  <c r="F36" i="28" s="1"/>
  <c r="E37" i="28"/>
  <c r="F37" i="28" s="1"/>
  <c r="E38" i="28"/>
  <c r="F38" i="28" s="1"/>
  <c r="E39" i="28"/>
  <c r="F39" i="28" s="1"/>
  <c r="E40" i="28"/>
  <c r="F40" i="28" s="1"/>
  <c r="E41" i="28"/>
  <c r="F41" i="28" s="1"/>
  <c r="E42" i="28"/>
  <c r="F42" i="28" s="1"/>
  <c r="E43" i="28"/>
  <c r="F43" i="28" s="1"/>
  <c r="E44" i="28"/>
  <c r="F44" i="28" s="1"/>
  <c r="E45" i="28"/>
  <c r="F45" i="28" s="1"/>
  <c r="E46" i="28"/>
  <c r="F46" i="28" s="1"/>
  <c r="E47" i="28"/>
  <c r="F47" i="28" s="1"/>
  <c r="E48" i="28"/>
  <c r="F48" i="28" s="1"/>
  <c r="E49" i="28"/>
  <c r="F49" i="28" s="1"/>
  <c r="E50" i="28"/>
  <c r="F50" i="28" s="1"/>
  <c r="E51" i="28"/>
  <c r="F51" i="28" s="1"/>
  <c r="E52" i="28"/>
  <c r="F52" i="28" s="1"/>
  <c r="E53" i="28"/>
  <c r="F53" i="28" s="1"/>
  <c r="E54" i="28"/>
  <c r="F54" i="28" s="1"/>
  <c r="E55" i="28"/>
  <c r="F55" i="28" s="1"/>
  <c r="E56" i="28"/>
  <c r="F56" i="28" s="1"/>
  <c r="E57" i="28"/>
  <c r="F57" i="28" s="1"/>
  <c r="E58" i="28"/>
  <c r="F58" i="28" s="1"/>
  <c r="E59" i="28"/>
  <c r="F59" i="28" s="1"/>
  <c r="E60" i="28"/>
  <c r="F60" i="28" s="1"/>
  <c r="E61" i="28"/>
  <c r="F61" i="28" s="1"/>
  <c r="E62" i="28"/>
  <c r="F62" i="28" s="1"/>
  <c r="E63" i="28"/>
  <c r="F63" i="28" s="1"/>
  <c r="E64" i="28"/>
  <c r="F64" i="28" s="1"/>
  <c r="E65" i="28"/>
  <c r="F65" i="28" s="1"/>
  <c r="E66" i="28"/>
  <c r="F66" i="28" s="1"/>
  <c r="E67" i="28"/>
  <c r="F67" i="28" s="1"/>
  <c r="E68" i="28"/>
  <c r="F68" i="28" s="1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I23" i="27" s="1"/>
  <c r="H24" i="27"/>
  <c r="I24" i="27" s="1"/>
  <c r="H25" i="27"/>
  <c r="I25" i="27" s="1"/>
  <c r="H26" i="27"/>
  <c r="I26" i="27" s="1"/>
  <c r="H27" i="27"/>
  <c r="I27" i="27" s="1"/>
  <c r="H28" i="27"/>
  <c r="I28" i="27" s="1"/>
  <c r="H29" i="27"/>
  <c r="I29" i="27" s="1"/>
  <c r="H30" i="27"/>
  <c r="I30" i="27" s="1"/>
  <c r="H31" i="27"/>
  <c r="I31" i="27" s="1"/>
  <c r="H32" i="27"/>
  <c r="I32" i="27" s="1"/>
  <c r="H33" i="27"/>
  <c r="I33" i="27" s="1"/>
  <c r="H34" i="27"/>
  <c r="I34" i="27" s="1"/>
  <c r="H35" i="27"/>
  <c r="I35" i="27" s="1"/>
  <c r="H36" i="27"/>
  <c r="I36" i="27" s="1"/>
  <c r="H37" i="27"/>
  <c r="I37" i="27" s="1"/>
  <c r="H38" i="27"/>
  <c r="I38" i="27" s="1"/>
  <c r="H39" i="27"/>
  <c r="I39" i="27" s="1"/>
  <c r="H40" i="27"/>
  <c r="I40" i="27" s="1"/>
  <c r="H41" i="27"/>
  <c r="I41" i="27"/>
  <c r="H42" i="27"/>
  <c r="I42" i="27" s="1"/>
  <c r="H43" i="27"/>
  <c r="I43" i="27" s="1"/>
  <c r="H44" i="27"/>
  <c r="I44" i="27" s="1"/>
  <c r="H45" i="27"/>
  <c r="I45" i="27" s="1"/>
  <c r="H46" i="27"/>
  <c r="I46" i="27" s="1"/>
  <c r="H47" i="27"/>
  <c r="I47" i="27" s="1"/>
  <c r="H48" i="27"/>
  <c r="I48" i="27" s="1"/>
  <c r="H49" i="27"/>
  <c r="I49" i="27"/>
  <c r="H50" i="27"/>
  <c r="I50" i="27" s="1"/>
  <c r="H51" i="27"/>
  <c r="I51" i="27" s="1"/>
  <c r="H52" i="27"/>
  <c r="I52" i="27" s="1"/>
  <c r="H53" i="27"/>
  <c r="I53" i="27"/>
  <c r="H54" i="27"/>
  <c r="I54" i="27" s="1"/>
  <c r="H55" i="27"/>
  <c r="I55" i="27" s="1"/>
  <c r="H56" i="27"/>
  <c r="I56" i="27" s="1"/>
  <c r="H57" i="27"/>
  <c r="I57" i="27" s="1"/>
  <c r="H58" i="27"/>
  <c r="I58" i="27" s="1"/>
  <c r="H59" i="27"/>
  <c r="I59" i="27" s="1"/>
  <c r="H60" i="27"/>
  <c r="I60" i="27" s="1"/>
  <c r="H61" i="27"/>
  <c r="I61" i="27" s="1"/>
  <c r="H62" i="27"/>
  <c r="I62" i="27" s="1"/>
  <c r="H63" i="27"/>
  <c r="I63" i="27" s="1"/>
  <c r="H64" i="27"/>
  <c r="I64" i="27" s="1"/>
  <c r="H65" i="27"/>
  <c r="I65" i="27"/>
  <c r="H66" i="27"/>
  <c r="I66" i="27" s="1"/>
  <c r="H67" i="27"/>
  <c r="I67" i="27" s="1"/>
  <c r="H68" i="27"/>
  <c r="I68" i="27" s="1"/>
  <c r="H4" i="27"/>
  <c r="I4" i="27" s="1"/>
  <c r="H5" i="27"/>
  <c r="I5" i="27" s="1"/>
  <c r="H6" i="27"/>
  <c r="I6" i="27" s="1"/>
  <c r="H7" i="27"/>
  <c r="I7" i="27" s="1"/>
  <c r="H8" i="27"/>
  <c r="I8" i="27" s="1"/>
  <c r="H9" i="27"/>
  <c r="I9" i="27" s="1"/>
  <c r="H10" i="27"/>
  <c r="I10" i="27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F26" i="27" s="1"/>
  <c r="E27" i="27"/>
  <c r="F27" i="27" s="1"/>
  <c r="E28" i="27"/>
  <c r="F28" i="27" s="1"/>
  <c r="E29" i="27"/>
  <c r="F29" i="27" s="1"/>
  <c r="E30" i="27"/>
  <c r="F30" i="27" s="1"/>
  <c r="E31" i="27"/>
  <c r="F31" i="27" s="1"/>
  <c r="E32" i="27"/>
  <c r="F32" i="27" s="1"/>
  <c r="E33" i="27"/>
  <c r="F33" i="27" s="1"/>
  <c r="E34" i="27"/>
  <c r="F34" i="27" s="1"/>
  <c r="E35" i="27"/>
  <c r="F35" i="27" s="1"/>
  <c r="E36" i="27"/>
  <c r="F36" i="27" s="1"/>
  <c r="E37" i="27"/>
  <c r="F37" i="27" s="1"/>
  <c r="E38" i="27"/>
  <c r="F38" i="27" s="1"/>
  <c r="E39" i="27"/>
  <c r="F39" i="27" s="1"/>
  <c r="E40" i="27"/>
  <c r="F40" i="27" s="1"/>
  <c r="E41" i="27"/>
  <c r="F41" i="27" s="1"/>
  <c r="E42" i="27"/>
  <c r="F42" i="27" s="1"/>
  <c r="E43" i="27"/>
  <c r="F43" i="27" s="1"/>
  <c r="E44" i="27"/>
  <c r="F44" i="27" s="1"/>
  <c r="E45" i="27"/>
  <c r="F45" i="27" s="1"/>
  <c r="E46" i="27"/>
  <c r="F46" i="27" s="1"/>
  <c r="E47" i="27"/>
  <c r="F47" i="27" s="1"/>
  <c r="E48" i="27"/>
  <c r="F48" i="27" s="1"/>
  <c r="E49" i="27"/>
  <c r="F49" i="27"/>
  <c r="E50" i="27"/>
  <c r="F50" i="27" s="1"/>
  <c r="E51" i="27"/>
  <c r="F51" i="27" s="1"/>
  <c r="E52" i="27"/>
  <c r="F52" i="27" s="1"/>
  <c r="E53" i="27"/>
  <c r="F53" i="27" s="1"/>
  <c r="E54" i="27"/>
  <c r="F54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 s="1"/>
  <c r="E61" i="27"/>
  <c r="F61" i="27" s="1"/>
  <c r="E62" i="27"/>
  <c r="F62" i="27" s="1"/>
  <c r="E63" i="27"/>
  <c r="F63" i="27" s="1"/>
  <c r="E64" i="27"/>
  <c r="F64" i="27"/>
  <c r="E65" i="27"/>
  <c r="F65" i="27"/>
  <c r="E66" i="27"/>
  <c r="F66" i="27" s="1"/>
  <c r="E67" i="27"/>
  <c r="F67" i="27" s="1"/>
  <c r="E68" i="27"/>
  <c r="F68" i="27" s="1"/>
  <c r="E4" i="27"/>
  <c r="F4" i="27" s="1"/>
  <c r="E5" i="27"/>
  <c r="F5" i="27" s="1"/>
  <c r="E6" i="27"/>
  <c r="F6" i="27" s="1"/>
  <c r="E7" i="27"/>
  <c r="F7" i="27" s="1"/>
  <c r="E8" i="27"/>
  <c r="F8" i="27" s="1"/>
  <c r="E9" i="27"/>
  <c r="F9" i="27" s="1"/>
  <c r="E10" i="27"/>
  <c r="F10" i="27" s="1"/>
  <c r="C21" i="30"/>
  <c r="D21" i="30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C29" i="30"/>
  <c r="D29" i="30"/>
  <c r="C30" i="30"/>
  <c r="D30" i="30"/>
  <c r="C31" i="30"/>
  <c r="D31" i="30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39" i="30"/>
  <c r="D39" i="30"/>
  <c r="C40" i="30"/>
  <c r="D40" i="30"/>
  <c r="C41" i="30"/>
  <c r="D41" i="30"/>
  <c r="H41" i="30"/>
  <c r="H41" i="34" s="1"/>
  <c r="C42" i="30"/>
  <c r="D42" i="30"/>
  <c r="C43" i="30"/>
  <c r="D43" i="30"/>
  <c r="C44" i="30"/>
  <c r="D44" i="30"/>
  <c r="C45" i="30"/>
  <c r="D45" i="30"/>
  <c r="C46" i="30"/>
  <c r="D46" i="30"/>
  <c r="C47" i="30"/>
  <c r="D47" i="30"/>
  <c r="C48" i="30"/>
  <c r="D48" i="30"/>
  <c r="C49" i="30"/>
  <c r="D49" i="30"/>
  <c r="C50" i="30"/>
  <c r="D50" i="30"/>
  <c r="H50" i="30"/>
  <c r="C51" i="30"/>
  <c r="D51" i="30"/>
  <c r="C52" i="30"/>
  <c r="D52" i="30"/>
  <c r="C53" i="30"/>
  <c r="D53" i="30"/>
  <c r="C54" i="30"/>
  <c r="D54" i="30"/>
  <c r="H54" i="30"/>
  <c r="C55" i="30"/>
  <c r="D55" i="30"/>
  <c r="C56" i="30"/>
  <c r="D56" i="30"/>
  <c r="C57" i="30"/>
  <c r="D57" i="30"/>
  <c r="C58" i="30"/>
  <c r="D58" i="30"/>
  <c r="C59" i="30"/>
  <c r="D59" i="30"/>
  <c r="H59" i="30"/>
  <c r="C60" i="30"/>
  <c r="D60" i="30"/>
  <c r="C61" i="30"/>
  <c r="D61" i="30"/>
  <c r="C62" i="30"/>
  <c r="D62" i="30"/>
  <c r="C63" i="30"/>
  <c r="D63" i="30"/>
  <c r="C64" i="30"/>
  <c r="D64" i="30"/>
  <c r="C65" i="30"/>
  <c r="D65" i="30"/>
  <c r="H65" i="30"/>
  <c r="C66" i="30"/>
  <c r="D66" i="30"/>
  <c r="H66" i="30"/>
  <c r="I66" i="30" s="1"/>
  <c r="C67" i="30"/>
  <c r="D67" i="30"/>
  <c r="C68" i="30"/>
  <c r="D68" i="30"/>
  <c r="C26" i="1"/>
  <c r="D26" i="1"/>
  <c r="G26" i="1"/>
  <c r="C27" i="1"/>
  <c r="D27" i="1"/>
  <c r="G27" i="1"/>
  <c r="C28" i="1"/>
  <c r="D28" i="1"/>
  <c r="G28" i="1"/>
  <c r="C29" i="1"/>
  <c r="D29" i="1"/>
  <c r="G29" i="1"/>
  <c r="C30" i="1"/>
  <c r="D30" i="1"/>
  <c r="G30" i="1"/>
  <c r="C31" i="1"/>
  <c r="D31" i="1"/>
  <c r="G31" i="1"/>
  <c r="C32" i="1"/>
  <c r="D32" i="1"/>
  <c r="G32" i="1"/>
  <c r="C33" i="1"/>
  <c r="D33" i="1"/>
  <c r="E33" i="1"/>
  <c r="F33" i="1" s="1"/>
  <c r="G33" i="1"/>
  <c r="C34" i="1"/>
  <c r="D34" i="1"/>
  <c r="E34" i="1" s="1"/>
  <c r="F34" i="1" s="1"/>
  <c r="G34" i="1"/>
  <c r="C35" i="1"/>
  <c r="D35" i="1"/>
  <c r="G35" i="1"/>
  <c r="C36" i="1"/>
  <c r="D36" i="1"/>
  <c r="G36" i="1"/>
  <c r="C37" i="1"/>
  <c r="D37" i="1"/>
  <c r="G37" i="1"/>
  <c r="C38" i="1"/>
  <c r="D38" i="1"/>
  <c r="G38" i="1"/>
  <c r="C39" i="1"/>
  <c r="D39" i="1"/>
  <c r="G39" i="1"/>
  <c r="C40" i="1"/>
  <c r="D40" i="1"/>
  <c r="G40" i="1"/>
  <c r="C41" i="1"/>
  <c r="D41" i="1"/>
  <c r="E41" i="1"/>
  <c r="F41" i="1"/>
  <c r="G41" i="1"/>
  <c r="H41" i="1"/>
  <c r="I41" i="1"/>
  <c r="C42" i="1"/>
  <c r="D42" i="1"/>
  <c r="G42" i="1"/>
  <c r="C43" i="1"/>
  <c r="D43" i="1"/>
  <c r="E43" i="1"/>
  <c r="F43" i="1"/>
  <c r="G43" i="1"/>
  <c r="H43" i="1"/>
  <c r="I43" i="1"/>
  <c r="C44" i="1"/>
  <c r="D44" i="1"/>
  <c r="G44" i="1"/>
  <c r="C45" i="1"/>
  <c r="D45" i="1"/>
  <c r="G45" i="1"/>
  <c r="C46" i="1"/>
  <c r="D46" i="1"/>
  <c r="G46" i="1"/>
  <c r="C47" i="1"/>
  <c r="D47" i="1"/>
  <c r="G47" i="1"/>
  <c r="C48" i="1"/>
  <c r="D48" i="1"/>
  <c r="G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G51" i="1"/>
  <c r="C52" i="1"/>
  <c r="D52" i="1"/>
  <c r="E52" i="1"/>
  <c r="F52" i="1"/>
  <c r="G52" i="1"/>
  <c r="I52" i="1" s="1"/>
  <c r="H52" i="1"/>
  <c r="C53" i="1"/>
  <c r="D53" i="1"/>
  <c r="G53" i="1"/>
  <c r="C54" i="1"/>
  <c r="D54" i="1"/>
  <c r="E54" i="1"/>
  <c r="F54" i="1"/>
  <c r="G54" i="1"/>
  <c r="I54" i="1" s="1"/>
  <c r="H54" i="1"/>
  <c r="C55" i="1"/>
  <c r="D55" i="1"/>
  <c r="G55" i="1"/>
  <c r="C56" i="1"/>
  <c r="D56" i="1"/>
  <c r="G56" i="1"/>
  <c r="C57" i="1"/>
  <c r="D57" i="1"/>
  <c r="G57" i="1"/>
  <c r="C58" i="1"/>
  <c r="D58" i="1"/>
  <c r="G58" i="1"/>
  <c r="C59" i="1"/>
  <c r="D59" i="1"/>
  <c r="E59" i="1"/>
  <c r="F59" i="1"/>
  <c r="G59" i="1"/>
  <c r="H59" i="1"/>
  <c r="I59" i="1"/>
  <c r="C60" i="1"/>
  <c r="D60" i="1"/>
  <c r="E60" i="1" s="1"/>
  <c r="F60" i="1" s="1"/>
  <c r="G60" i="1"/>
  <c r="C61" i="1"/>
  <c r="D61" i="1"/>
  <c r="G61" i="1"/>
  <c r="C62" i="1"/>
  <c r="D62" i="1"/>
  <c r="G62" i="1"/>
  <c r="C63" i="1"/>
  <c r="D63" i="1"/>
  <c r="G63" i="1"/>
  <c r="C64" i="1"/>
  <c r="D64" i="1"/>
  <c r="G64" i="1"/>
  <c r="C65" i="1"/>
  <c r="D65" i="1"/>
  <c r="E65" i="1"/>
  <c r="F65" i="1"/>
  <c r="G65" i="1"/>
  <c r="H65" i="1"/>
  <c r="I65" i="1"/>
  <c r="C66" i="1"/>
  <c r="D66" i="1"/>
  <c r="E66" i="1"/>
  <c r="F66" i="1"/>
  <c r="G66" i="1"/>
  <c r="I66" i="1" s="1"/>
  <c r="H66" i="1"/>
  <c r="C67" i="1"/>
  <c r="D67" i="1"/>
  <c r="G67" i="1"/>
  <c r="C68" i="1"/>
  <c r="D68" i="1"/>
  <c r="G68" i="1"/>
  <c r="C26" i="18"/>
  <c r="D26" i="18"/>
  <c r="G26" i="18"/>
  <c r="C27" i="18"/>
  <c r="D27" i="18"/>
  <c r="G27" i="18"/>
  <c r="C28" i="18"/>
  <c r="D28" i="18"/>
  <c r="G28" i="18"/>
  <c r="C29" i="18"/>
  <c r="D29" i="18"/>
  <c r="G29" i="18"/>
  <c r="C30" i="18"/>
  <c r="D30" i="18"/>
  <c r="G30" i="18"/>
  <c r="C31" i="18"/>
  <c r="D31" i="18"/>
  <c r="G31" i="18"/>
  <c r="C32" i="18"/>
  <c r="D32" i="18"/>
  <c r="G32" i="18"/>
  <c r="C33" i="18"/>
  <c r="D33" i="18"/>
  <c r="G33" i="18"/>
  <c r="C34" i="18"/>
  <c r="D34" i="18"/>
  <c r="E34" i="18" s="1"/>
  <c r="F34" i="18" s="1"/>
  <c r="G34" i="18"/>
  <c r="C35" i="18"/>
  <c r="D35" i="18"/>
  <c r="G35" i="18"/>
  <c r="C36" i="18"/>
  <c r="D36" i="18"/>
  <c r="G36" i="18"/>
  <c r="C37" i="18"/>
  <c r="D37" i="18"/>
  <c r="G37" i="18"/>
  <c r="C38" i="18"/>
  <c r="D38" i="18"/>
  <c r="G38" i="18"/>
  <c r="C39" i="18"/>
  <c r="E39" i="18" s="1"/>
  <c r="F39" i="18" s="1"/>
  <c r="D39" i="18"/>
  <c r="G39" i="18"/>
  <c r="C40" i="18"/>
  <c r="D40" i="18"/>
  <c r="G40" i="18"/>
  <c r="C41" i="18"/>
  <c r="D41" i="18"/>
  <c r="E41" i="18"/>
  <c r="F41" i="18"/>
  <c r="G41" i="18"/>
  <c r="H41" i="18"/>
  <c r="I41" i="18"/>
  <c r="C42" i="18"/>
  <c r="D42" i="18"/>
  <c r="G42" i="18"/>
  <c r="C43" i="18"/>
  <c r="D43" i="18"/>
  <c r="E43" i="18"/>
  <c r="F43" i="18"/>
  <c r="G43" i="18"/>
  <c r="H43" i="18"/>
  <c r="I43" i="18"/>
  <c r="C44" i="18"/>
  <c r="D44" i="18"/>
  <c r="G44" i="18"/>
  <c r="C45" i="18"/>
  <c r="D45" i="18"/>
  <c r="E45" i="18"/>
  <c r="F45" i="18" s="1"/>
  <c r="G45" i="18"/>
  <c r="C46" i="18"/>
  <c r="D46" i="18"/>
  <c r="G46" i="18"/>
  <c r="C47" i="18"/>
  <c r="D47" i="18"/>
  <c r="G47" i="18"/>
  <c r="C48" i="18"/>
  <c r="D48" i="18"/>
  <c r="G48" i="18"/>
  <c r="C49" i="18"/>
  <c r="D49" i="18"/>
  <c r="E49" i="18"/>
  <c r="F49" i="18"/>
  <c r="G49" i="18"/>
  <c r="H49" i="18"/>
  <c r="I49" i="18"/>
  <c r="C50" i="18"/>
  <c r="D50" i="18"/>
  <c r="E50" i="18"/>
  <c r="F50" i="18"/>
  <c r="G50" i="18"/>
  <c r="H50" i="18"/>
  <c r="I50" i="18"/>
  <c r="C51" i="18"/>
  <c r="D51" i="18"/>
  <c r="G51" i="18"/>
  <c r="C52" i="18"/>
  <c r="D52" i="18"/>
  <c r="E52" i="18"/>
  <c r="F52" i="18"/>
  <c r="G52" i="18"/>
  <c r="H52" i="18"/>
  <c r="I52" i="18"/>
  <c r="C53" i="18"/>
  <c r="D53" i="18"/>
  <c r="G53" i="18"/>
  <c r="C54" i="18"/>
  <c r="D54" i="18"/>
  <c r="E54" i="18"/>
  <c r="F54" i="18"/>
  <c r="G54" i="18"/>
  <c r="H54" i="18"/>
  <c r="I54" i="18"/>
  <c r="C55" i="18"/>
  <c r="D55" i="18"/>
  <c r="G55" i="18"/>
  <c r="C56" i="18"/>
  <c r="D56" i="18"/>
  <c r="G56" i="18"/>
  <c r="C57" i="18"/>
  <c r="D57" i="18"/>
  <c r="G57" i="18"/>
  <c r="C58" i="18"/>
  <c r="D58" i="18"/>
  <c r="G58" i="18"/>
  <c r="C59" i="18"/>
  <c r="D59" i="18"/>
  <c r="E59" i="18"/>
  <c r="F59" i="18"/>
  <c r="G59" i="18"/>
  <c r="H59" i="18"/>
  <c r="I59" i="18"/>
  <c r="C60" i="18"/>
  <c r="D60" i="18"/>
  <c r="G60" i="18"/>
  <c r="C61" i="18"/>
  <c r="D61" i="18"/>
  <c r="G61" i="18"/>
  <c r="C62" i="18"/>
  <c r="D62" i="18"/>
  <c r="G62" i="18"/>
  <c r="C63" i="18"/>
  <c r="D63" i="18"/>
  <c r="G63" i="18"/>
  <c r="C64" i="18"/>
  <c r="D64" i="18"/>
  <c r="G64" i="18"/>
  <c r="C65" i="18"/>
  <c r="D65" i="18"/>
  <c r="E65" i="18"/>
  <c r="F65" i="18"/>
  <c r="G65" i="18"/>
  <c r="H65" i="18"/>
  <c r="I65" i="18"/>
  <c r="C66" i="18"/>
  <c r="D66" i="18"/>
  <c r="E66" i="18"/>
  <c r="F66" i="18"/>
  <c r="G66" i="18"/>
  <c r="H66" i="18"/>
  <c r="I66" i="18"/>
  <c r="C67" i="18"/>
  <c r="D67" i="18"/>
  <c r="G67" i="18"/>
  <c r="C68" i="18"/>
  <c r="D68" i="18"/>
  <c r="G68" i="18"/>
  <c r="C26" i="29"/>
  <c r="D26" i="29"/>
  <c r="C27" i="29"/>
  <c r="D27" i="29"/>
  <c r="C28" i="29"/>
  <c r="D28" i="29"/>
  <c r="G28" i="29"/>
  <c r="C29" i="29"/>
  <c r="D29" i="29"/>
  <c r="G29" i="29"/>
  <c r="C30" i="29"/>
  <c r="D30" i="29"/>
  <c r="G30" i="29"/>
  <c r="C31" i="29"/>
  <c r="D31" i="29"/>
  <c r="G31" i="29"/>
  <c r="C32" i="29"/>
  <c r="D32" i="29"/>
  <c r="G32" i="29"/>
  <c r="C33" i="29"/>
  <c r="D33" i="29"/>
  <c r="G33" i="29"/>
  <c r="C34" i="29"/>
  <c r="D34" i="29"/>
  <c r="G34" i="29"/>
  <c r="C35" i="29"/>
  <c r="D35" i="29"/>
  <c r="G35" i="29"/>
  <c r="C36" i="29"/>
  <c r="D36" i="29"/>
  <c r="G36" i="29"/>
  <c r="C37" i="29"/>
  <c r="D37" i="29"/>
  <c r="G37" i="29"/>
  <c r="C38" i="29"/>
  <c r="D38" i="29"/>
  <c r="G38" i="29"/>
  <c r="C39" i="29"/>
  <c r="D39" i="29"/>
  <c r="G39" i="29"/>
  <c r="C40" i="29"/>
  <c r="D40" i="29"/>
  <c r="C41" i="29"/>
  <c r="D41" i="29"/>
  <c r="G41" i="29"/>
  <c r="C42" i="29"/>
  <c r="D42" i="29"/>
  <c r="G42" i="29"/>
  <c r="C43" i="29"/>
  <c r="D43" i="29"/>
  <c r="G43" i="29"/>
  <c r="C44" i="29"/>
  <c r="D44" i="29"/>
  <c r="G44" i="29"/>
  <c r="C45" i="29"/>
  <c r="D45" i="29"/>
  <c r="G45" i="29"/>
  <c r="C46" i="29"/>
  <c r="D46" i="29"/>
  <c r="C47" i="29"/>
  <c r="D47" i="29"/>
  <c r="C48" i="29"/>
  <c r="D48" i="29"/>
  <c r="G48" i="29"/>
  <c r="C49" i="29"/>
  <c r="D49" i="29"/>
  <c r="G49" i="29"/>
  <c r="C50" i="29"/>
  <c r="D50" i="29"/>
  <c r="G50" i="29"/>
  <c r="H50" i="29"/>
  <c r="C51" i="29"/>
  <c r="D51" i="29"/>
  <c r="G51" i="29"/>
  <c r="C52" i="29"/>
  <c r="D52" i="29"/>
  <c r="G52" i="29"/>
  <c r="C53" i="29"/>
  <c r="D53" i="29"/>
  <c r="G53" i="29"/>
  <c r="C54" i="29"/>
  <c r="D54" i="29"/>
  <c r="G54" i="29"/>
  <c r="C55" i="29"/>
  <c r="D55" i="29"/>
  <c r="C56" i="29"/>
  <c r="D56" i="29"/>
  <c r="C57" i="29"/>
  <c r="D57" i="29"/>
  <c r="C58" i="29"/>
  <c r="D58" i="29"/>
  <c r="G58" i="29"/>
  <c r="C59" i="29"/>
  <c r="D59" i="29"/>
  <c r="G59" i="29"/>
  <c r="C60" i="29"/>
  <c r="D60" i="29"/>
  <c r="G60" i="29"/>
  <c r="C61" i="29"/>
  <c r="D61" i="29"/>
  <c r="C62" i="29"/>
  <c r="D62" i="29"/>
  <c r="C63" i="29"/>
  <c r="D63" i="29"/>
  <c r="C64" i="29"/>
  <c r="D64" i="29"/>
  <c r="C65" i="29"/>
  <c r="D65" i="29"/>
  <c r="C66" i="29"/>
  <c r="D66" i="29"/>
  <c r="E26" i="26"/>
  <c r="F26" i="26"/>
  <c r="H26" i="26"/>
  <c r="I26" i="26" s="1"/>
  <c r="E27" i="26"/>
  <c r="F27" i="26" s="1"/>
  <c r="H27" i="26"/>
  <c r="E28" i="26"/>
  <c r="F28" i="26" s="1"/>
  <c r="H28" i="26"/>
  <c r="I28" i="26" s="1"/>
  <c r="E29" i="26"/>
  <c r="F29" i="26" s="1"/>
  <c r="H29" i="26"/>
  <c r="I29" i="26" s="1"/>
  <c r="E30" i="26"/>
  <c r="F30" i="26" s="1"/>
  <c r="H30" i="26"/>
  <c r="I30" i="26" s="1"/>
  <c r="E31" i="26"/>
  <c r="F31" i="26" s="1"/>
  <c r="H31" i="26"/>
  <c r="I31" i="26" s="1"/>
  <c r="E32" i="26"/>
  <c r="F32" i="26" s="1"/>
  <c r="H32" i="26"/>
  <c r="I32" i="26"/>
  <c r="E33" i="26"/>
  <c r="F33" i="26" s="1"/>
  <c r="H33" i="26"/>
  <c r="I33" i="26" s="1"/>
  <c r="E34" i="26"/>
  <c r="F34" i="26" s="1"/>
  <c r="H34" i="26"/>
  <c r="E35" i="26"/>
  <c r="F35" i="26" s="1"/>
  <c r="H35" i="26"/>
  <c r="I35" i="26" s="1"/>
  <c r="E36" i="26"/>
  <c r="F36" i="26" s="1"/>
  <c r="H36" i="26"/>
  <c r="I36" i="26" s="1"/>
  <c r="E37" i="26"/>
  <c r="F37" i="26" s="1"/>
  <c r="H37" i="26"/>
  <c r="I37" i="26" s="1"/>
  <c r="E38" i="26"/>
  <c r="F38" i="26" s="1"/>
  <c r="H38" i="26"/>
  <c r="I38" i="26" s="1"/>
  <c r="E39" i="26"/>
  <c r="F39" i="26" s="1"/>
  <c r="H39" i="26"/>
  <c r="I39" i="26" s="1"/>
  <c r="E40" i="26"/>
  <c r="F40" i="26" s="1"/>
  <c r="H40" i="26"/>
  <c r="H40" i="29" s="1"/>
  <c r="I40" i="26"/>
  <c r="E41" i="26"/>
  <c r="F41" i="26"/>
  <c r="H41" i="26"/>
  <c r="I41" i="26"/>
  <c r="E42" i="26"/>
  <c r="F42" i="26" s="1"/>
  <c r="H42" i="26"/>
  <c r="I42" i="26" s="1"/>
  <c r="E43" i="26"/>
  <c r="F43" i="26"/>
  <c r="H43" i="26"/>
  <c r="I43" i="26"/>
  <c r="E44" i="26"/>
  <c r="F44" i="26" s="1"/>
  <c r="H44" i="26"/>
  <c r="I44" i="26" s="1"/>
  <c r="E45" i="26"/>
  <c r="F45" i="26" s="1"/>
  <c r="H45" i="26"/>
  <c r="I45" i="26" s="1"/>
  <c r="E46" i="26"/>
  <c r="F46" i="26" s="1"/>
  <c r="H46" i="26"/>
  <c r="I46" i="26" s="1"/>
  <c r="E47" i="26"/>
  <c r="F47" i="26" s="1"/>
  <c r="H47" i="26"/>
  <c r="I47" i="26" s="1"/>
  <c r="E48" i="26"/>
  <c r="F48" i="26" s="1"/>
  <c r="H48" i="26"/>
  <c r="E49" i="26"/>
  <c r="F49" i="26"/>
  <c r="H49" i="26"/>
  <c r="I49" i="26"/>
  <c r="E50" i="26"/>
  <c r="F50" i="26"/>
  <c r="H50" i="26"/>
  <c r="I50" i="26"/>
  <c r="E51" i="26"/>
  <c r="F51" i="26" s="1"/>
  <c r="H51" i="26"/>
  <c r="I51" i="26" s="1"/>
  <c r="E52" i="26"/>
  <c r="F52" i="26"/>
  <c r="H52" i="26"/>
  <c r="I52" i="26"/>
  <c r="E53" i="26"/>
  <c r="F53" i="26" s="1"/>
  <c r="H53" i="26"/>
  <c r="I53" i="26" s="1"/>
  <c r="E54" i="26"/>
  <c r="F54" i="26"/>
  <c r="H54" i="26"/>
  <c r="I54" i="26"/>
  <c r="E55" i="26"/>
  <c r="F55" i="26" s="1"/>
  <c r="H55" i="26"/>
  <c r="I55" i="26" s="1"/>
  <c r="E56" i="26"/>
  <c r="F56" i="26" s="1"/>
  <c r="H56" i="26"/>
  <c r="I56" i="26" s="1"/>
  <c r="E57" i="26"/>
  <c r="F57" i="26" s="1"/>
  <c r="H57" i="26"/>
  <c r="I57" i="26" s="1"/>
  <c r="E58" i="26"/>
  <c r="F58" i="26" s="1"/>
  <c r="H58" i="26"/>
  <c r="I58" i="26" s="1"/>
  <c r="E59" i="26"/>
  <c r="F59" i="26"/>
  <c r="H59" i="26"/>
  <c r="I59" i="26"/>
  <c r="E60" i="26"/>
  <c r="F60" i="26" s="1"/>
  <c r="H60" i="26"/>
  <c r="I60" i="26" s="1"/>
  <c r="E61" i="26"/>
  <c r="F61" i="26" s="1"/>
  <c r="H61" i="26"/>
  <c r="I61" i="26" s="1"/>
  <c r="E62" i="26"/>
  <c r="F62" i="26" s="1"/>
  <c r="H62" i="26"/>
  <c r="I62" i="26" s="1"/>
  <c r="E63" i="26"/>
  <c r="F63" i="26" s="1"/>
  <c r="H63" i="26"/>
  <c r="I63" i="26" s="1"/>
  <c r="E64" i="26"/>
  <c r="F64" i="26" s="1"/>
  <c r="H64" i="26"/>
  <c r="I64" i="26" s="1"/>
  <c r="E65" i="26"/>
  <c r="F65" i="26"/>
  <c r="H65" i="26"/>
  <c r="I65" i="26"/>
  <c r="E66" i="26"/>
  <c r="F66" i="26"/>
  <c r="H66" i="26"/>
  <c r="I66" i="26"/>
  <c r="E67" i="26"/>
  <c r="F67" i="26"/>
  <c r="H67" i="26"/>
  <c r="I67" i="26" s="1"/>
  <c r="E68" i="26"/>
  <c r="F68" i="26" s="1"/>
  <c r="H68" i="26"/>
  <c r="E26" i="19"/>
  <c r="H26" i="19"/>
  <c r="I26" i="19" s="1"/>
  <c r="E27" i="19"/>
  <c r="H27" i="19"/>
  <c r="I27" i="19" s="1"/>
  <c r="E28" i="19"/>
  <c r="H28" i="19"/>
  <c r="I28" i="19" s="1"/>
  <c r="E29" i="19"/>
  <c r="H29" i="19"/>
  <c r="I29" i="19" s="1"/>
  <c r="E30" i="19"/>
  <c r="H30" i="19"/>
  <c r="I30" i="19" s="1"/>
  <c r="E31" i="19"/>
  <c r="H31" i="19"/>
  <c r="I31" i="19" s="1"/>
  <c r="E32" i="19"/>
  <c r="H32" i="19"/>
  <c r="I32" i="19" s="1"/>
  <c r="E33" i="19"/>
  <c r="H33" i="19"/>
  <c r="I33" i="19" s="1"/>
  <c r="E34" i="19"/>
  <c r="H34" i="19"/>
  <c r="I34" i="19" s="1"/>
  <c r="E35" i="19"/>
  <c r="H35" i="19"/>
  <c r="I35" i="19" s="1"/>
  <c r="E36" i="19"/>
  <c r="H36" i="19"/>
  <c r="I36" i="19" s="1"/>
  <c r="E37" i="19"/>
  <c r="H37" i="19"/>
  <c r="I37" i="19" s="1"/>
  <c r="E38" i="19"/>
  <c r="H38" i="19"/>
  <c r="I38" i="19" s="1"/>
  <c r="E39" i="19"/>
  <c r="H39" i="19"/>
  <c r="I39" i="19" s="1"/>
  <c r="E40" i="19"/>
  <c r="H40" i="19"/>
  <c r="I40" i="19" s="1"/>
  <c r="E41" i="19"/>
  <c r="H41" i="19"/>
  <c r="I41" i="19"/>
  <c r="E42" i="19"/>
  <c r="H42" i="19"/>
  <c r="I42" i="19" s="1"/>
  <c r="E43" i="19"/>
  <c r="H43" i="19"/>
  <c r="I43" i="19"/>
  <c r="E44" i="19"/>
  <c r="H44" i="19"/>
  <c r="I44" i="19" s="1"/>
  <c r="E45" i="19"/>
  <c r="H45" i="19"/>
  <c r="I45" i="19" s="1"/>
  <c r="E46" i="19"/>
  <c r="H46" i="19"/>
  <c r="I46" i="19" s="1"/>
  <c r="E47" i="19"/>
  <c r="H47" i="19"/>
  <c r="I47" i="19" s="1"/>
  <c r="E48" i="19"/>
  <c r="H48" i="19"/>
  <c r="I48" i="19" s="1"/>
  <c r="E49" i="19"/>
  <c r="H49" i="19"/>
  <c r="I49" i="19"/>
  <c r="E50" i="19"/>
  <c r="H50" i="19"/>
  <c r="I50" i="19"/>
  <c r="E51" i="19"/>
  <c r="H51" i="19"/>
  <c r="I51" i="19" s="1"/>
  <c r="E52" i="19"/>
  <c r="H52" i="19"/>
  <c r="I52" i="19"/>
  <c r="E53" i="19"/>
  <c r="H53" i="19"/>
  <c r="I53" i="19" s="1"/>
  <c r="E54" i="19"/>
  <c r="H54" i="19"/>
  <c r="I54" i="19"/>
  <c r="E55" i="19"/>
  <c r="H55" i="19"/>
  <c r="I55" i="19" s="1"/>
  <c r="E56" i="19"/>
  <c r="H56" i="19"/>
  <c r="I56" i="19" s="1"/>
  <c r="E57" i="19"/>
  <c r="H57" i="19"/>
  <c r="I57" i="19" s="1"/>
  <c r="E58" i="19"/>
  <c r="H58" i="19"/>
  <c r="I58" i="19"/>
  <c r="E59" i="19"/>
  <c r="H59" i="19"/>
  <c r="I59" i="19"/>
  <c r="E60" i="19"/>
  <c r="H60" i="19"/>
  <c r="I60" i="19" s="1"/>
  <c r="E61" i="19"/>
  <c r="H61" i="19"/>
  <c r="I61" i="19" s="1"/>
  <c r="E62" i="19"/>
  <c r="H62" i="19"/>
  <c r="I62" i="19" s="1"/>
  <c r="E63" i="19"/>
  <c r="H63" i="19"/>
  <c r="I63" i="19" s="1"/>
  <c r="E64" i="19"/>
  <c r="H64" i="19"/>
  <c r="I64" i="19" s="1"/>
  <c r="E65" i="19"/>
  <c r="H65" i="19"/>
  <c r="I65" i="19"/>
  <c r="E66" i="19"/>
  <c r="H66" i="19"/>
  <c r="I66" i="19"/>
  <c r="E67" i="19"/>
  <c r="H67" i="19"/>
  <c r="I67" i="19" s="1"/>
  <c r="E68" i="19"/>
  <c r="H68" i="19"/>
  <c r="I68" i="19" s="1"/>
  <c r="E26" i="20"/>
  <c r="H26" i="20"/>
  <c r="I26" i="20" s="1"/>
  <c r="E27" i="20"/>
  <c r="H27" i="20"/>
  <c r="I27" i="20" s="1"/>
  <c r="E28" i="20"/>
  <c r="F28" i="20" s="1"/>
  <c r="H28" i="20"/>
  <c r="I28" i="20" s="1"/>
  <c r="E29" i="20"/>
  <c r="H29" i="20"/>
  <c r="I29" i="20" s="1"/>
  <c r="E30" i="20"/>
  <c r="H30" i="20"/>
  <c r="E31" i="20"/>
  <c r="H31" i="20"/>
  <c r="I31" i="20" s="1"/>
  <c r="E32" i="20"/>
  <c r="H32" i="20"/>
  <c r="I32" i="20" s="1"/>
  <c r="E33" i="20"/>
  <c r="H33" i="20"/>
  <c r="I33" i="20" s="1"/>
  <c r="E34" i="20"/>
  <c r="H34" i="20"/>
  <c r="I34" i="20" s="1"/>
  <c r="E35" i="20"/>
  <c r="H35" i="20"/>
  <c r="I35" i="20" s="1"/>
  <c r="E36" i="20"/>
  <c r="H36" i="20"/>
  <c r="I36" i="20" s="1"/>
  <c r="E37" i="20"/>
  <c r="H37" i="20"/>
  <c r="I37" i="20" s="1"/>
  <c r="E38" i="20"/>
  <c r="H38" i="20"/>
  <c r="I38" i="20" s="1"/>
  <c r="E39" i="20"/>
  <c r="H39" i="20"/>
  <c r="I39" i="20" s="1"/>
  <c r="E40" i="20"/>
  <c r="H40" i="20"/>
  <c r="I40" i="20" s="1"/>
  <c r="E41" i="20"/>
  <c r="H41" i="20"/>
  <c r="I41" i="20"/>
  <c r="E42" i="20"/>
  <c r="H42" i="20"/>
  <c r="I42" i="20" s="1"/>
  <c r="E43" i="20"/>
  <c r="H43" i="20"/>
  <c r="I43" i="20"/>
  <c r="E44" i="20"/>
  <c r="H44" i="20"/>
  <c r="I44" i="20" s="1"/>
  <c r="E45" i="20"/>
  <c r="H45" i="20"/>
  <c r="I45" i="20" s="1"/>
  <c r="E46" i="20"/>
  <c r="H46" i="20"/>
  <c r="I46" i="20"/>
  <c r="E47" i="20"/>
  <c r="H47" i="20"/>
  <c r="I47" i="20" s="1"/>
  <c r="E48" i="20"/>
  <c r="H48" i="20"/>
  <c r="I48" i="20" s="1"/>
  <c r="E49" i="20"/>
  <c r="H49" i="20"/>
  <c r="I49" i="20"/>
  <c r="E50" i="20"/>
  <c r="H50" i="20"/>
  <c r="I50" i="20"/>
  <c r="E51" i="20"/>
  <c r="H51" i="20"/>
  <c r="I51" i="20" s="1"/>
  <c r="E52" i="20"/>
  <c r="H52" i="20"/>
  <c r="I52" i="20"/>
  <c r="E53" i="20"/>
  <c r="H53" i="20"/>
  <c r="I53" i="20" s="1"/>
  <c r="E54" i="20"/>
  <c r="H54" i="20"/>
  <c r="I54" i="20"/>
  <c r="E55" i="20"/>
  <c r="H55" i="20"/>
  <c r="I55" i="20" s="1"/>
  <c r="E56" i="20"/>
  <c r="H56" i="20"/>
  <c r="I56" i="20" s="1"/>
  <c r="E57" i="20"/>
  <c r="H57" i="20"/>
  <c r="I57" i="20" s="1"/>
  <c r="E58" i="20"/>
  <c r="H58" i="20"/>
  <c r="I58" i="20" s="1"/>
  <c r="E59" i="20"/>
  <c r="H59" i="20"/>
  <c r="I59" i="20"/>
  <c r="E60" i="20"/>
  <c r="H60" i="20"/>
  <c r="I60" i="20" s="1"/>
  <c r="E61" i="20"/>
  <c r="H61" i="20"/>
  <c r="I61" i="20" s="1"/>
  <c r="E62" i="20"/>
  <c r="H62" i="20"/>
  <c r="I62" i="20" s="1"/>
  <c r="E63" i="20"/>
  <c r="H63" i="20"/>
  <c r="E64" i="20"/>
  <c r="H64" i="20"/>
  <c r="I64" i="20" s="1"/>
  <c r="E65" i="20"/>
  <c r="H65" i="20"/>
  <c r="I65" i="20"/>
  <c r="E66" i="20"/>
  <c r="H66" i="20"/>
  <c r="I66" i="20"/>
  <c r="E67" i="20"/>
  <c r="H67" i="20"/>
  <c r="I67" i="20" s="1"/>
  <c r="E68" i="20"/>
  <c r="H68" i="20"/>
  <c r="I68" i="20" s="1"/>
  <c r="E26" i="21"/>
  <c r="F26" i="21" s="1"/>
  <c r="H26" i="21"/>
  <c r="I26" i="21" s="1"/>
  <c r="E27" i="21"/>
  <c r="F27" i="21" s="1"/>
  <c r="H27" i="21"/>
  <c r="I27" i="21" s="1"/>
  <c r="E28" i="21"/>
  <c r="F28" i="21" s="1"/>
  <c r="H28" i="21"/>
  <c r="I28" i="21" s="1"/>
  <c r="E29" i="21"/>
  <c r="F29" i="21" s="1"/>
  <c r="H29" i="21"/>
  <c r="I29" i="21" s="1"/>
  <c r="E30" i="21"/>
  <c r="F30" i="21" s="1"/>
  <c r="H30" i="21"/>
  <c r="I30" i="21" s="1"/>
  <c r="E31" i="21"/>
  <c r="F31" i="21" s="1"/>
  <c r="H31" i="21"/>
  <c r="I31" i="21" s="1"/>
  <c r="E32" i="21"/>
  <c r="F32" i="21" s="1"/>
  <c r="H32" i="21"/>
  <c r="I32" i="21"/>
  <c r="E33" i="21"/>
  <c r="F33" i="21" s="1"/>
  <c r="H33" i="21"/>
  <c r="I33" i="21" s="1"/>
  <c r="E34" i="21"/>
  <c r="F34" i="21" s="1"/>
  <c r="H34" i="21"/>
  <c r="I34" i="21" s="1"/>
  <c r="E35" i="21"/>
  <c r="F35" i="21" s="1"/>
  <c r="H35" i="21"/>
  <c r="I35" i="21" s="1"/>
  <c r="E36" i="21"/>
  <c r="F36" i="21" s="1"/>
  <c r="H36" i="21"/>
  <c r="I36" i="21" s="1"/>
  <c r="E37" i="21"/>
  <c r="F37" i="21" s="1"/>
  <c r="H37" i="21"/>
  <c r="E38" i="21"/>
  <c r="F38" i="21" s="1"/>
  <c r="H38" i="21"/>
  <c r="I38" i="21" s="1"/>
  <c r="E39" i="21"/>
  <c r="F39" i="21" s="1"/>
  <c r="H39" i="21"/>
  <c r="E40" i="21"/>
  <c r="F40" i="21" s="1"/>
  <c r="H40" i="21"/>
  <c r="I40" i="21" s="1"/>
  <c r="E41" i="21"/>
  <c r="F41" i="21"/>
  <c r="H41" i="21"/>
  <c r="I41" i="21"/>
  <c r="E42" i="21"/>
  <c r="F42" i="21" s="1"/>
  <c r="H42" i="21"/>
  <c r="I42" i="21" s="1"/>
  <c r="E43" i="21"/>
  <c r="F43" i="21"/>
  <c r="H43" i="21"/>
  <c r="I43" i="21"/>
  <c r="E44" i="21"/>
  <c r="F44" i="21" s="1"/>
  <c r="H44" i="21"/>
  <c r="E45" i="21"/>
  <c r="F45" i="21" s="1"/>
  <c r="H45" i="21"/>
  <c r="E46" i="21"/>
  <c r="F46" i="21" s="1"/>
  <c r="H46" i="21"/>
  <c r="I46" i="21" s="1"/>
  <c r="E47" i="21"/>
  <c r="F47" i="21" s="1"/>
  <c r="H47" i="21"/>
  <c r="I47" i="21" s="1"/>
  <c r="E48" i="21"/>
  <c r="F48" i="21" s="1"/>
  <c r="H48" i="21"/>
  <c r="I48" i="21" s="1"/>
  <c r="E49" i="21"/>
  <c r="F49" i="21"/>
  <c r="H49" i="21"/>
  <c r="I49" i="21"/>
  <c r="E50" i="21"/>
  <c r="F50" i="21"/>
  <c r="H50" i="21"/>
  <c r="I50" i="21"/>
  <c r="E51" i="21"/>
  <c r="F51" i="21" s="1"/>
  <c r="H51" i="21"/>
  <c r="I51" i="21" s="1"/>
  <c r="E52" i="21"/>
  <c r="F52" i="21"/>
  <c r="H52" i="21"/>
  <c r="I52" i="21"/>
  <c r="E53" i="21"/>
  <c r="F53" i="21"/>
  <c r="H53" i="21"/>
  <c r="I53" i="21" s="1"/>
  <c r="E54" i="21"/>
  <c r="F54" i="21"/>
  <c r="H54" i="21"/>
  <c r="I54" i="21"/>
  <c r="E55" i="21"/>
  <c r="F55" i="21" s="1"/>
  <c r="H55" i="21"/>
  <c r="E56" i="21"/>
  <c r="F56" i="21"/>
  <c r="H56" i="21"/>
  <c r="I56" i="21" s="1"/>
  <c r="E57" i="21"/>
  <c r="F57" i="21" s="1"/>
  <c r="H57" i="21"/>
  <c r="I57" i="21" s="1"/>
  <c r="E58" i="21"/>
  <c r="F58" i="21" s="1"/>
  <c r="H58" i="21"/>
  <c r="I58" i="21"/>
  <c r="E59" i="21"/>
  <c r="F59" i="21"/>
  <c r="H59" i="21"/>
  <c r="I59" i="21"/>
  <c r="E60" i="21"/>
  <c r="F60" i="21" s="1"/>
  <c r="H60" i="21"/>
  <c r="E61" i="21"/>
  <c r="F61" i="21" s="1"/>
  <c r="H61" i="21"/>
  <c r="E62" i="21"/>
  <c r="F62" i="21" s="1"/>
  <c r="H62" i="21"/>
  <c r="E63" i="21"/>
  <c r="F63" i="21" s="1"/>
  <c r="H63" i="21"/>
  <c r="I63" i="21" s="1"/>
  <c r="E64" i="21"/>
  <c r="F64" i="21" s="1"/>
  <c r="H64" i="21"/>
  <c r="I64" i="21"/>
  <c r="E65" i="21"/>
  <c r="F65" i="21"/>
  <c r="H65" i="21"/>
  <c r="I65" i="21"/>
  <c r="E66" i="21"/>
  <c r="F66" i="21"/>
  <c r="H66" i="21"/>
  <c r="I66" i="21"/>
  <c r="E67" i="21"/>
  <c r="F67" i="21" s="1"/>
  <c r="H67" i="21"/>
  <c r="I67" i="21" s="1"/>
  <c r="E68" i="21"/>
  <c r="F68" i="21" s="1"/>
  <c r="H68" i="21"/>
  <c r="I68" i="21" s="1"/>
  <c r="E26" i="4"/>
  <c r="F26" i="4" s="1"/>
  <c r="H26" i="4"/>
  <c r="I26" i="4" s="1"/>
  <c r="E27" i="4"/>
  <c r="F27" i="4" s="1"/>
  <c r="H27" i="4"/>
  <c r="I27" i="4" s="1"/>
  <c r="E28" i="4"/>
  <c r="F28" i="4" s="1"/>
  <c r="H28" i="4"/>
  <c r="I28" i="4" s="1"/>
  <c r="E29" i="4"/>
  <c r="F29" i="4" s="1"/>
  <c r="H29" i="4"/>
  <c r="I29" i="4" s="1"/>
  <c r="E30" i="4"/>
  <c r="F30" i="4" s="1"/>
  <c r="H30" i="4"/>
  <c r="I30" i="4" s="1"/>
  <c r="E31" i="4"/>
  <c r="F31" i="4" s="1"/>
  <c r="H31" i="4"/>
  <c r="I31" i="4" s="1"/>
  <c r="E32" i="4"/>
  <c r="F32" i="4" s="1"/>
  <c r="H32" i="4"/>
  <c r="I32" i="4" s="1"/>
  <c r="E33" i="4"/>
  <c r="F33" i="4" s="1"/>
  <c r="H33" i="4"/>
  <c r="I33" i="4" s="1"/>
  <c r="E34" i="4"/>
  <c r="F34" i="4" s="1"/>
  <c r="H34" i="4"/>
  <c r="I34" i="4" s="1"/>
  <c r="E35" i="4"/>
  <c r="F35" i="4" s="1"/>
  <c r="H35" i="4"/>
  <c r="I35" i="4" s="1"/>
  <c r="E36" i="4"/>
  <c r="F36" i="4" s="1"/>
  <c r="H36" i="4"/>
  <c r="I36" i="4" s="1"/>
  <c r="E37" i="4"/>
  <c r="F37" i="4" s="1"/>
  <c r="H37" i="4"/>
  <c r="I37" i="4" s="1"/>
  <c r="E38" i="4"/>
  <c r="F38" i="4" s="1"/>
  <c r="H38" i="4"/>
  <c r="I38" i="4" s="1"/>
  <c r="E39" i="4"/>
  <c r="F39" i="4" s="1"/>
  <c r="H39" i="4"/>
  <c r="I39" i="4" s="1"/>
  <c r="E40" i="4"/>
  <c r="F40" i="4" s="1"/>
  <c r="H40" i="4"/>
  <c r="I40" i="4" s="1"/>
  <c r="E41" i="4"/>
  <c r="F41" i="4"/>
  <c r="H41" i="4"/>
  <c r="I41" i="4"/>
  <c r="E42" i="4"/>
  <c r="F42" i="4" s="1"/>
  <c r="H42" i="4"/>
  <c r="I42" i="4" s="1"/>
  <c r="E43" i="4"/>
  <c r="F43" i="4"/>
  <c r="H43" i="4"/>
  <c r="I43" i="4"/>
  <c r="E44" i="4"/>
  <c r="F44" i="4" s="1"/>
  <c r="H44" i="4"/>
  <c r="I44" i="4" s="1"/>
  <c r="E45" i="4"/>
  <c r="F45" i="4" s="1"/>
  <c r="H45" i="4"/>
  <c r="I45" i="4"/>
  <c r="E46" i="4"/>
  <c r="F46" i="4" s="1"/>
  <c r="H46" i="4"/>
  <c r="I46" i="4" s="1"/>
  <c r="E47" i="4"/>
  <c r="F47" i="4" s="1"/>
  <c r="H47" i="4"/>
  <c r="I47" i="4" s="1"/>
  <c r="E48" i="4"/>
  <c r="F48" i="4" s="1"/>
  <c r="H48" i="4"/>
  <c r="I48" i="4"/>
  <c r="E49" i="4"/>
  <c r="F49" i="4"/>
  <c r="H49" i="4"/>
  <c r="I49" i="4"/>
  <c r="E50" i="4"/>
  <c r="F50" i="4"/>
  <c r="H50" i="4"/>
  <c r="I50" i="4"/>
  <c r="E51" i="4"/>
  <c r="F51" i="4" s="1"/>
  <c r="H51" i="4"/>
  <c r="I51" i="4" s="1"/>
  <c r="E52" i="4"/>
  <c r="F52" i="4"/>
  <c r="H52" i="4"/>
  <c r="I52" i="4"/>
  <c r="E53" i="4"/>
  <c r="F53" i="4" s="1"/>
  <c r="H53" i="4"/>
  <c r="I53" i="4" s="1"/>
  <c r="E54" i="4"/>
  <c r="F54" i="4"/>
  <c r="H54" i="4"/>
  <c r="I54" i="4"/>
  <c r="E55" i="4"/>
  <c r="F55" i="4" s="1"/>
  <c r="H55" i="4"/>
  <c r="I55" i="4" s="1"/>
  <c r="E56" i="4"/>
  <c r="F56" i="4" s="1"/>
  <c r="H56" i="4"/>
  <c r="I56" i="4" s="1"/>
  <c r="E57" i="4"/>
  <c r="F57" i="4" s="1"/>
  <c r="H57" i="4"/>
  <c r="I57" i="4" s="1"/>
  <c r="E58" i="4"/>
  <c r="F58" i="4" s="1"/>
  <c r="H58" i="4"/>
  <c r="I58" i="4" s="1"/>
  <c r="E59" i="4"/>
  <c r="F59" i="4"/>
  <c r="H59" i="4"/>
  <c r="I59" i="4"/>
  <c r="E60" i="4"/>
  <c r="F60" i="4" s="1"/>
  <c r="H60" i="4"/>
  <c r="I60" i="4"/>
  <c r="E61" i="4"/>
  <c r="F61" i="4" s="1"/>
  <c r="H61" i="4"/>
  <c r="I61" i="4" s="1"/>
  <c r="E62" i="4"/>
  <c r="F62" i="4" s="1"/>
  <c r="H62" i="4"/>
  <c r="I62" i="4" s="1"/>
  <c r="E63" i="4"/>
  <c r="F63" i="4" s="1"/>
  <c r="H63" i="4"/>
  <c r="I63" i="4" s="1"/>
  <c r="E64" i="4"/>
  <c r="F64" i="4" s="1"/>
  <c r="H64" i="4"/>
  <c r="I64" i="4" s="1"/>
  <c r="E65" i="4"/>
  <c r="F65" i="4"/>
  <c r="H65" i="4"/>
  <c r="I65" i="4"/>
  <c r="E66" i="4"/>
  <c r="F66" i="4"/>
  <c r="H66" i="4"/>
  <c r="I66" i="4"/>
  <c r="E67" i="4"/>
  <c r="F67" i="4" s="1"/>
  <c r="H67" i="4"/>
  <c r="I67" i="4" s="1"/>
  <c r="E68" i="4"/>
  <c r="F68" i="4" s="1"/>
  <c r="H68" i="4"/>
  <c r="I68" i="4" s="1"/>
  <c r="E26" i="3"/>
  <c r="H26" i="3"/>
  <c r="E27" i="3"/>
  <c r="H27" i="3"/>
  <c r="I27" i="3" s="1"/>
  <c r="E28" i="3"/>
  <c r="F28" i="3" s="1"/>
  <c r="H28" i="3"/>
  <c r="I28" i="3" s="1"/>
  <c r="E29" i="3"/>
  <c r="H29" i="3"/>
  <c r="I29" i="3" s="1"/>
  <c r="E30" i="3"/>
  <c r="H30" i="3"/>
  <c r="I30" i="3" s="1"/>
  <c r="E31" i="3"/>
  <c r="H31" i="3"/>
  <c r="I31" i="3" s="1"/>
  <c r="E32" i="3"/>
  <c r="H32" i="3"/>
  <c r="I32" i="3" s="1"/>
  <c r="E33" i="3"/>
  <c r="H33" i="3"/>
  <c r="I33" i="3" s="1"/>
  <c r="E34" i="3"/>
  <c r="H34" i="3"/>
  <c r="I34" i="3" s="1"/>
  <c r="E35" i="3"/>
  <c r="H35" i="3"/>
  <c r="I35" i="3" s="1"/>
  <c r="E36" i="3"/>
  <c r="H36" i="3"/>
  <c r="I36" i="3" s="1"/>
  <c r="E37" i="3"/>
  <c r="H37" i="3"/>
  <c r="I37" i="3" s="1"/>
  <c r="E38" i="3"/>
  <c r="H38" i="3"/>
  <c r="I38" i="3"/>
  <c r="E39" i="3"/>
  <c r="H39" i="3"/>
  <c r="I39" i="3" s="1"/>
  <c r="E40" i="3"/>
  <c r="H40" i="3"/>
  <c r="I40" i="3" s="1"/>
  <c r="E41" i="3"/>
  <c r="H41" i="3"/>
  <c r="I41" i="3"/>
  <c r="E42" i="3"/>
  <c r="H42" i="3"/>
  <c r="I42" i="3" s="1"/>
  <c r="E43" i="3"/>
  <c r="H43" i="3"/>
  <c r="I43" i="3"/>
  <c r="E44" i="3"/>
  <c r="H44" i="3"/>
  <c r="I44" i="3" s="1"/>
  <c r="E45" i="3"/>
  <c r="H45" i="3"/>
  <c r="I45" i="3" s="1"/>
  <c r="E46" i="3"/>
  <c r="H46" i="3"/>
  <c r="I46" i="3" s="1"/>
  <c r="E47" i="3"/>
  <c r="H47" i="3"/>
  <c r="H47" i="1" s="1"/>
  <c r="E48" i="3"/>
  <c r="H48" i="3"/>
  <c r="I48" i="3" s="1"/>
  <c r="E49" i="3"/>
  <c r="H49" i="3"/>
  <c r="I49" i="3"/>
  <c r="E50" i="3"/>
  <c r="H50" i="3"/>
  <c r="I50" i="3"/>
  <c r="E51" i="3"/>
  <c r="H51" i="3"/>
  <c r="I51" i="3" s="1"/>
  <c r="E52" i="3"/>
  <c r="H52" i="3"/>
  <c r="I52" i="3"/>
  <c r="E53" i="3"/>
  <c r="H53" i="3"/>
  <c r="E54" i="3"/>
  <c r="H54" i="3"/>
  <c r="I54" i="3"/>
  <c r="E55" i="3"/>
  <c r="H55" i="3"/>
  <c r="I55" i="3" s="1"/>
  <c r="E56" i="3"/>
  <c r="H56" i="3"/>
  <c r="I56" i="3" s="1"/>
  <c r="E57" i="3"/>
  <c r="F57" i="3" s="1"/>
  <c r="H57" i="3"/>
  <c r="I57" i="3" s="1"/>
  <c r="E58" i="3"/>
  <c r="H58" i="3"/>
  <c r="I58" i="3" s="1"/>
  <c r="E59" i="3"/>
  <c r="H59" i="3"/>
  <c r="I59" i="3"/>
  <c r="E60" i="3"/>
  <c r="H60" i="3"/>
  <c r="I60" i="3" s="1"/>
  <c r="E61" i="3"/>
  <c r="H61" i="3"/>
  <c r="I61" i="3" s="1"/>
  <c r="E62" i="3"/>
  <c r="H62" i="3"/>
  <c r="I62" i="3" s="1"/>
  <c r="E63" i="3"/>
  <c r="H63" i="3"/>
  <c r="I63" i="3" s="1"/>
  <c r="E64" i="3"/>
  <c r="H64" i="3"/>
  <c r="I64" i="3" s="1"/>
  <c r="E65" i="3"/>
  <c r="H65" i="3"/>
  <c r="I65" i="3"/>
  <c r="E66" i="3"/>
  <c r="H66" i="3"/>
  <c r="I66" i="3"/>
  <c r="E67" i="3"/>
  <c r="H67" i="3"/>
  <c r="I67" i="3" s="1"/>
  <c r="E68" i="3"/>
  <c r="H68" i="3"/>
  <c r="E26" i="72"/>
  <c r="H26" i="72"/>
  <c r="I26" i="72" s="1"/>
  <c r="E27" i="72"/>
  <c r="H27" i="72"/>
  <c r="I27" i="72" s="1"/>
  <c r="E28" i="72"/>
  <c r="F28" i="72" s="1"/>
  <c r="H28" i="72"/>
  <c r="E29" i="72"/>
  <c r="H29" i="72"/>
  <c r="I29" i="72" s="1"/>
  <c r="E30" i="72"/>
  <c r="H30" i="72"/>
  <c r="I30" i="72" s="1"/>
  <c r="E31" i="72"/>
  <c r="H31" i="72"/>
  <c r="I31" i="72" s="1"/>
  <c r="E32" i="72"/>
  <c r="H32" i="72"/>
  <c r="E33" i="72"/>
  <c r="H33" i="72"/>
  <c r="E34" i="72"/>
  <c r="H34" i="72"/>
  <c r="I34" i="72" s="1"/>
  <c r="E35" i="72"/>
  <c r="H35" i="72"/>
  <c r="I35" i="72" s="1"/>
  <c r="E36" i="72"/>
  <c r="H36" i="72"/>
  <c r="I36" i="72" s="1"/>
  <c r="E37" i="72"/>
  <c r="H37" i="72"/>
  <c r="E38" i="72"/>
  <c r="H38" i="72"/>
  <c r="I38" i="72" s="1"/>
  <c r="E39" i="72"/>
  <c r="H39" i="72"/>
  <c r="I39" i="72" s="1"/>
  <c r="E40" i="72"/>
  <c r="H40" i="72"/>
  <c r="E41" i="72"/>
  <c r="H41" i="72"/>
  <c r="I41" i="72"/>
  <c r="E42" i="72"/>
  <c r="H42" i="72"/>
  <c r="I42" i="72" s="1"/>
  <c r="E43" i="72"/>
  <c r="H43" i="72"/>
  <c r="I43" i="72"/>
  <c r="E44" i="72"/>
  <c r="H44" i="72"/>
  <c r="I44" i="72" s="1"/>
  <c r="E45" i="72"/>
  <c r="H45" i="72"/>
  <c r="I45" i="72" s="1"/>
  <c r="E46" i="72"/>
  <c r="H46" i="72"/>
  <c r="I46" i="72" s="1"/>
  <c r="E47" i="72"/>
  <c r="H47" i="72"/>
  <c r="I47" i="72" s="1"/>
  <c r="E48" i="72"/>
  <c r="H48" i="72"/>
  <c r="I48" i="72" s="1"/>
  <c r="E49" i="72"/>
  <c r="H49" i="72"/>
  <c r="I49" i="72"/>
  <c r="E50" i="72"/>
  <c r="H50" i="72"/>
  <c r="I50" i="72"/>
  <c r="E51" i="72"/>
  <c r="H51" i="72"/>
  <c r="E52" i="72"/>
  <c r="H52" i="72"/>
  <c r="I52" i="72"/>
  <c r="E53" i="72"/>
  <c r="H53" i="72"/>
  <c r="I53" i="72" s="1"/>
  <c r="E54" i="72"/>
  <c r="H54" i="72"/>
  <c r="I54" i="72"/>
  <c r="E55" i="72"/>
  <c r="H55" i="72"/>
  <c r="I55" i="72" s="1"/>
  <c r="E56" i="72"/>
  <c r="H56" i="72"/>
  <c r="E57" i="72"/>
  <c r="H57" i="72"/>
  <c r="I57" i="72"/>
  <c r="E58" i="72"/>
  <c r="H58" i="72"/>
  <c r="I58" i="72" s="1"/>
  <c r="E59" i="72"/>
  <c r="H59" i="72"/>
  <c r="I59" i="72"/>
  <c r="E60" i="72"/>
  <c r="H60" i="72"/>
  <c r="E61" i="72"/>
  <c r="H61" i="72"/>
  <c r="E62" i="72"/>
  <c r="H62" i="72"/>
  <c r="I62" i="72"/>
  <c r="E63" i="72"/>
  <c r="H63" i="72"/>
  <c r="E64" i="72"/>
  <c r="H64" i="72"/>
  <c r="E65" i="72"/>
  <c r="H65" i="72"/>
  <c r="I65" i="72"/>
  <c r="E66" i="72"/>
  <c r="H66" i="72"/>
  <c r="I66" i="72"/>
  <c r="E67" i="72"/>
  <c r="H67" i="72"/>
  <c r="I67" i="72" s="1"/>
  <c r="E68" i="72"/>
  <c r="H68" i="72"/>
  <c r="I68" i="72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H22" i="29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/>
  <c r="H18" i="26"/>
  <c r="I18" i="26" s="1"/>
  <c r="E18" i="26"/>
  <c r="F18" i="26" s="1"/>
  <c r="G25" i="1"/>
  <c r="H18" i="19"/>
  <c r="I18" i="19" s="1"/>
  <c r="H19" i="19"/>
  <c r="I19" i="19" s="1"/>
  <c r="H20" i="19"/>
  <c r="I20" i="19" s="1"/>
  <c r="H21" i="19"/>
  <c r="I21" i="19" s="1"/>
  <c r="H22" i="19"/>
  <c r="I22" i="19" s="1"/>
  <c r="H23" i="19"/>
  <c r="I23" i="19" s="1"/>
  <c r="H24" i="19"/>
  <c r="I24" i="19" s="1"/>
  <c r="H25" i="19"/>
  <c r="I25" i="19" s="1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I18" i="20" s="1"/>
  <c r="H19" i="20"/>
  <c r="I19" i="20" s="1"/>
  <c r="H20" i="20"/>
  <c r="H21" i="20"/>
  <c r="I21" i="20" s="1"/>
  <c r="H22" i="20"/>
  <c r="I22" i="20" s="1"/>
  <c r="H23" i="20"/>
  <c r="I23" i="20" s="1"/>
  <c r="H24" i="20"/>
  <c r="I24" i="20" s="1"/>
  <c r="H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 s="1"/>
  <c r="H19" i="21"/>
  <c r="H20" i="21"/>
  <c r="I20" i="21" s="1"/>
  <c r="H21" i="21"/>
  <c r="I21" i="21" s="1"/>
  <c r="H22" i="21"/>
  <c r="I22" i="21" s="1"/>
  <c r="H23" i="21"/>
  <c r="I23" i="21" s="1"/>
  <c r="H24" i="21"/>
  <c r="H25" i="21"/>
  <c r="I25" i="21" s="1"/>
  <c r="E25" i="21"/>
  <c r="F25" i="21" s="1"/>
  <c r="E24" i="21"/>
  <c r="F24" i="21" s="1"/>
  <c r="E23" i="21"/>
  <c r="F23" i="21" s="1"/>
  <c r="E22" i="21"/>
  <c r="F22" i="21" s="1"/>
  <c r="E21" i="21"/>
  <c r="F21" i="21" s="1"/>
  <c r="E20" i="21"/>
  <c r="F20" i="21" s="1"/>
  <c r="E19" i="21"/>
  <c r="F19" i="21" s="1"/>
  <c r="E18" i="21"/>
  <c r="F18" i="21" s="1"/>
  <c r="H23" i="4"/>
  <c r="H24" i="4"/>
  <c r="H25" i="4"/>
  <c r="I25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H18" i="4"/>
  <c r="I18" i="4" s="1"/>
  <c r="H19" i="4"/>
  <c r="I19" i="4" s="1"/>
  <c r="H20" i="4"/>
  <c r="I20" i="4" s="1"/>
  <c r="H21" i="4"/>
  <c r="I21" i="4" s="1"/>
  <c r="H22" i="4"/>
  <c r="I22" i="4" s="1"/>
  <c r="E24" i="3"/>
  <c r="E25" i="3"/>
  <c r="E18" i="3"/>
  <c r="E19" i="3"/>
  <c r="E20" i="3"/>
  <c r="E21" i="3"/>
  <c r="E22" i="3"/>
  <c r="E23" i="3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C2" i="3"/>
  <c r="C18" i="29"/>
  <c r="D18" i="29"/>
  <c r="C19" i="29"/>
  <c r="D19" i="29"/>
  <c r="C20" i="29"/>
  <c r="D20" i="29"/>
  <c r="C21" i="29"/>
  <c r="D21" i="29"/>
  <c r="C22" i="29"/>
  <c r="D22" i="29"/>
  <c r="C23" i="29"/>
  <c r="D23" i="29"/>
  <c r="C24" i="29"/>
  <c r="C24" i="1"/>
  <c r="D24" i="29"/>
  <c r="D24" i="1"/>
  <c r="C25" i="29"/>
  <c r="C25" i="1"/>
  <c r="D25" i="29"/>
  <c r="D25" i="1"/>
  <c r="C17" i="18"/>
  <c r="D17" i="18"/>
  <c r="C18" i="18"/>
  <c r="D18" i="18"/>
  <c r="C19" i="18"/>
  <c r="D19" i="18"/>
  <c r="C20" i="18"/>
  <c r="D20" i="18"/>
  <c r="C21" i="18"/>
  <c r="D21" i="18"/>
  <c r="C22" i="18"/>
  <c r="D22" i="18"/>
  <c r="C23" i="18"/>
  <c r="D23" i="18"/>
  <c r="E23" i="18" s="1"/>
  <c r="F23" i="18" s="1"/>
  <c r="C24" i="18"/>
  <c r="D24" i="18"/>
  <c r="C25" i="18"/>
  <c r="D25" i="18"/>
  <c r="C18" i="1"/>
  <c r="D18" i="1"/>
  <c r="G18" i="1"/>
  <c r="C19" i="1"/>
  <c r="D19" i="1"/>
  <c r="G19" i="1"/>
  <c r="C20" i="1"/>
  <c r="D20" i="1"/>
  <c r="G20" i="1"/>
  <c r="C21" i="1"/>
  <c r="E21" i="1" s="1"/>
  <c r="F21" i="1" s="1"/>
  <c r="D21" i="1"/>
  <c r="G21" i="1"/>
  <c r="C22" i="1"/>
  <c r="D22" i="1"/>
  <c r="G22" i="1"/>
  <c r="C23" i="1"/>
  <c r="D23" i="1"/>
  <c r="G23" i="1"/>
  <c r="G24" i="1"/>
  <c r="C18" i="30"/>
  <c r="D18" i="30"/>
  <c r="C19" i="30"/>
  <c r="D19" i="30"/>
  <c r="C20" i="30"/>
  <c r="D20" i="30"/>
  <c r="E18" i="72"/>
  <c r="E19" i="72"/>
  <c r="E20" i="72"/>
  <c r="E21" i="72"/>
  <c r="E22" i="72"/>
  <c r="E23" i="72"/>
  <c r="E24" i="72"/>
  <c r="E25" i="72"/>
  <c r="H18" i="72"/>
  <c r="H19" i="72"/>
  <c r="H20" i="72"/>
  <c r="H21" i="72"/>
  <c r="I21" i="72" s="1"/>
  <c r="H22" i="72"/>
  <c r="H23" i="72"/>
  <c r="I23" i="72" s="1"/>
  <c r="H24" i="72"/>
  <c r="H25" i="72"/>
  <c r="I25" i="72" s="1"/>
  <c r="C16" i="30"/>
  <c r="D16" i="30"/>
  <c r="C17" i="30"/>
  <c r="D17" i="30"/>
  <c r="C16" i="29"/>
  <c r="D16" i="29"/>
  <c r="C17" i="29"/>
  <c r="D17" i="29"/>
  <c r="C16" i="18"/>
  <c r="D16" i="18"/>
  <c r="C16" i="1"/>
  <c r="D16" i="1"/>
  <c r="E16" i="1" s="1"/>
  <c r="F16" i="1" s="1"/>
  <c r="G16" i="1"/>
  <c r="C17" i="1"/>
  <c r="D17" i="1"/>
  <c r="G17" i="1"/>
  <c r="I17" i="33"/>
  <c r="H16" i="33"/>
  <c r="I16" i="33" s="1"/>
  <c r="E16" i="33"/>
  <c r="F16" i="33" s="1"/>
  <c r="H17" i="32"/>
  <c r="I17" i="32" s="1"/>
  <c r="E17" i="32"/>
  <c r="F17" i="32"/>
  <c r="H16" i="32"/>
  <c r="I16" i="32" s="1"/>
  <c r="E16" i="32"/>
  <c r="F16" i="32" s="1"/>
  <c r="E17" i="31"/>
  <c r="F17" i="31"/>
  <c r="H16" i="31"/>
  <c r="I16" i="31" s="1"/>
  <c r="E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H16" i="3"/>
  <c r="I16" i="3"/>
  <c r="E17" i="3"/>
  <c r="H17" i="3"/>
  <c r="I17" i="3" s="1"/>
  <c r="E16" i="72"/>
  <c r="H16" i="72"/>
  <c r="I16" i="72" s="1"/>
  <c r="E17" i="72"/>
  <c r="H17" i="72"/>
  <c r="E15" i="72"/>
  <c r="E14" i="72"/>
  <c r="E13" i="72"/>
  <c r="E12" i="72"/>
  <c r="E11" i="72"/>
  <c r="E10" i="72"/>
  <c r="E9" i="72"/>
  <c r="E8" i="72"/>
  <c r="E7" i="72"/>
  <c r="E6" i="72"/>
  <c r="E5" i="72"/>
  <c r="E4" i="72"/>
  <c r="B4" i="33" a="1"/>
  <c r="B4" i="33" s="1"/>
  <c r="A4" i="33" a="1"/>
  <c r="A4" i="33" s="1"/>
  <c r="B4" i="32" a="1"/>
  <c r="B4" i="32"/>
  <c r="A4" i="32" a="1"/>
  <c r="A4" i="32"/>
  <c r="B4" i="31" a="1"/>
  <c r="B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H4" i="3"/>
  <c r="I4" i="3" s="1"/>
  <c r="E5" i="3"/>
  <c r="H5" i="3"/>
  <c r="I5" i="3" s="1"/>
  <c r="E6" i="3"/>
  <c r="H6" i="3"/>
  <c r="I6" i="3" s="1"/>
  <c r="E7" i="3"/>
  <c r="H7" i="3"/>
  <c r="I7" i="3" s="1"/>
  <c r="E8" i="3"/>
  <c r="H8" i="3"/>
  <c r="I8" i="3" s="1"/>
  <c r="E9" i="3"/>
  <c r="H9" i="3"/>
  <c r="I9" i="3" s="1"/>
  <c r="E10" i="3"/>
  <c r="H10" i="3"/>
  <c r="I10" i="3" s="1"/>
  <c r="E11" i="3"/>
  <c r="H11" i="3"/>
  <c r="I11" i="3" s="1"/>
  <c r="E12" i="3"/>
  <c r="H12" i="3"/>
  <c r="I12" i="3" s="1"/>
  <c r="E13" i="3"/>
  <c r="H13" i="3"/>
  <c r="I13" i="3" s="1"/>
  <c r="E14" i="3"/>
  <c r="H14" i="3"/>
  <c r="I14" i="3" s="1"/>
  <c r="E15" i="3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B4" i="34" a="1"/>
  <c r="B4" i="34"/>
  <c r="A4" i="34" a="1"/>
  <c r="A4" i="34"/>
  <c r="A1" i="34" a="1"/>
  <c r="A1" i="34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E10" i="18" s="1"/>
  <c r="F10" i="18" s="1"/>
  <c r="C10" i="18"/>
  <c r="D9" i="18"/>
  <c r="C9" i="18"/>
  <c r="D8" i="18"/>
  <c r="E8" i="18" s="1"/>
  <c r="F8" i="18" s="1"/>
  <c r="C8" i="18"/>
  <c r="D7" i="18"/>
  <c r="C7" i="18"/>
  <c r="D6" i="18"/>
  <c r="C6" i="18"/>
  <c r="D5" i="18"/>
  <c r="C5" i="18"/>
  <c r="D4" i="18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C15" i="1"/>
  <c r="C14" i="1"/>
  <c r="C13" i="1"/>
  <c r="C12" i="1"/>
  <c r="C11" i="1"/>
  <c r="C10" i="1"/>
  <c r="C9" i="1"/>
  <c r="C8" i="1"/>
  <c r="C7" i="1"/>
  <c r="E7" i="1" s="1"/>
  <c r="F7" i="1" s="1"/>
  <c r="C6" i="1"/>
  <c r="C5" i="1"/>
  <c r="C4" i="1"/>
  <c r="D6" i="1"/>
  <c r="D7" i="1"/>
  <c r="D8" i="1"/>
  <c r="D9" i="1"/>
  <c r="D10" i="1"/>
  <c r="E10" i="1" s="1"/>
  <c r="F10" i="1" s="1"/>
  <c r="D11" i="1"/>
  <c r="D12" i="1"/>
  <c r="D13" i="1"/>
  <c r="D14" i="1"/>
  <c r="D15" i="1"/>
  <c r="D5" i="1"/>
  <c r="D4" i="1"/>
  <c r="B4" i="1" a="1"/>
  <c r="B4" i="1"/>
  <c r="A4" i="1" a="1"/>
  <c r="A4" i="1"/>
  <c r="A1" i="1" a="1"/>
  <c r="A1" i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E12" i="33"/>
  <c r="F12" i="33" s="1"/>
  <c r="H11" i="33"/>
  <c r="E11" i="33"/>
  <c r="F11" i="33" s="1"/>
  <c r="H10" i="33"/>
  <c r="E10" i="33"/>
  <c r="F10" i="33" s="1"/>
  <c r="H9" i="33"/>
  <c r="I9" i="33" s="1"/>
  <c r="E9" i="33"/>
  <c r="F9" i="33" s="1"/>
  <c r="H8" i="33"/>
  <c r="I8" i="33" s="1"/>
  <c r="E8" i="33"/>
  <c r="F8" i="33" s="1"/>
  <c r="H7" i="33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/>
  <c r="E5" i="32"/>
  <c r="F5" i="32" s="1"/>
  <c r="H4" i="32"/>
  <c r="I4" i="32" s="1"/>
  <c r="E4" i="32"/>
  <c r="F4" i="32" s="1"/>
  <c r="G2" i="32"/>
  <c r="D2" i="32"/>
  <c r="C2" i="32"/>
  <c r="A1" i="32" a="1"/>
  <c r="A1" i="32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/>
  <c r="E9" i="31"/>
  <c r="F9" i="31" s="1"/>
  <c r="H8" i="31"/>
  <c r="I8" i="31" s="1"/>
  <c r="E8" i="31"/>
  <c r="F8" i="31" s="1"/>
  <c r="H7" i="31"/>
  <c r="I7" i="31"/>
  <c r="E7" i="31"/>
  <c r="F7" i="31" s="1"/>
  <c r="H6" i="31"/>
  <c r="I6" i="3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J2" i="28" s="1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G2" i="27"/>
  <c r="D2" i="27"/>
  <c r="C2" i="27"/>
  <c r="A1" i="27" a="1"/>
  <c r="A1" i="27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/>
  <c r="E6" i="19"/>
  <c r="F6" i="19" s="1"/>
  <c r="H5" i="19"/>
  <c r="I5" i="19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/>
  <c r="H10" i="20"/>
  <c r="I10" i="20" s="1"/>
  <c r="E10" i="20"/>
  <c r="F10" i="20" s="1"/>
  <c r="H9" i="20"/>
  <c r="I9" i="20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/>
  <c r="E6" i="20"/>
  <c r="F6" i="20" s="1"/>
  <c r="H5" i="20"/>
  <c r="I5" i="20" s="1"/>
  <c r="E5" i="20"/>
  <c r="F5" i="20"/>
  <c r="H4" i="20"/>
  <c r="I4" i="20" s="1"/>
  <c r="E4" i="20"/>
  <c r="F4" i="20" s="1"/>
  <c r="G2" i="20"/>
  <c r="D2" i="20"/>
  <c r="C2" i="20"/>
  <c r="J2" i="20" s="1"/>
  <c r="A1" i="20" a="1"/>
  <c r="A1" i="20"/>
  <c r="H15" i="21"/>
  <c r="E15" i="21"/>
  <c r="F15" i="21" s="1"/>
  <c r="H14" i="21"/>
  <c r="I14" i="21" s="1"/>
  <c r="E14" i="21"/>
  <c r="F14" i="21" s="1"/>
  <c r="H13" i="21"/>
  <c r="I13" i="21" s="1"/>
  <c r="E13" i="21"/>
  <c r="F13" i="21"/>
  <c r="H12" i="2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E5" i="21"/>
  <c r="F5" i="21" s="1"/>
  <c r="H4" i="21"/>
  <c r="E4" i="21"/>
  <c r="F4" i="21" s="1"/>
  <c r="G2" i="21"/>
  <c r="D2" i="21"/>
  <c r="C2" i="21"/>
  <c r="A1" i="21" a="1"/>
  <c r="A1" i="2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/>
  <c r="E9" i="4"/>
  <c r="F9" i="4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/>
  <c r="G2" i="3"/>
  <c r="D2" i="3"/>
  <c r="A1" i="3" a="1"/>
  <c r="A1" i="3"/>
  <c r="H6" i="72"/>
  <c r="H6" i="1" s="1"/>
  <c r="H7" i="72"/>
  <c r="I7" i="72"/>
  <c r="H8" i="72"/>
  <c r="I8" i="72"/>
  <c r="H9" i="72"/>
  <c r="I9" i="72" s="1"/>
  <c r="H10" i="72"/>
  <c r="I10" i="72" s="1"/>
  <c r="H11" i="72"/>
  <c r="I11" i="72"/>
  <c r="H12" i="72"/>
  <c r="I12" i="72" s="1"/>
  <c r="H13" i="72"/>
  <c r="I13" i="72" s="1"/>
  <c r="H14" i="72"/>
  <c r="H15" i="72"/>
  <c r="H5" i="72"/>
  <c r="I5" i="72" s="1"/>
  <c r="H4" i="72"/>
  <c r="I4" i="72" s="1"/>
  <c r="G2" i="72"/>
  <c r="D2" i="72"/>
  <c r="C2" i="72"/>
  <c r="J2" i="72" s="1"/>
  <c r="A1" i="72" a="1"/>
  <c r="A1" i="72"/>
  <c r="I17" i="21"/>
  <c r="I24" i="72"/>
  <c r="I18" i="72"/>
  <c r="E6" i="1"/>
  <c r="F6" i="1" s="1"/>
  <c r="H62" i="18" l="1"/>
  <c r="I62" i="18" s="1"/>
  <c r="H62" i="1"/>
  <c r="I62" i="1"/>
  <c r="H62" i="30"/>
  <c r="H66" i="29"/>
  <c r="H68" i="29"/>
  <c r="E53" i="1"/>
  <c r="F53" i="1" s="1"/>
  <c r="E55" i="18"/>
  <c r="F55" i="18" s="1"/>
  <c r="E56" i="18"/>
  <c r="F56" i="18" s="1"/>
  <c r="H54" i="34"/>
  <c r="E39" i="1"/>
  <c r="F39" i="1" s="1"/>
  <c r="E26" i="1"/>
  <c r="F26" i="1" s="1"/>
  <c r="H25" i="29"/>
  <c r="H24" i="1"/>
  <c r="H23" i="1"/>
  <c r="E23" i="1"/>
  <c r="F23" i="1" s="1"/>
  <c r="E58" i="18"/>
  <c r="F58" i="18" s="1"/>
  <c r="E57" i="1"/>
  <c r="F57" i="1" s="1"/>
  <c r="E22" i="1"/>
  <c r="F22" i="1" s="1"/>
  <c r="H20" i="1"/>
  <c r="I20" i="1" s="1"/>
  <c r="E15" i="1"/>
  <c r="F15" i="1" s="1"/>
  <c r="H15" i="18"/>
  <c r="E14" i="1"/>
  <c r="F14" i="1" s="1"/>
  <c r="E11" i="18"/>
  <c r="F11" i="18" s="1"/>
  <c r="H9" i="1"/>
  <c r="E9" i="18"/>
  <c r="F9" i="18" s="1"/>
  <c r="E8" i="1"/>
  <c r="F8" i="1" s="1"/>
  <c r="E7" i="18"/>
  <c r="F7" i="18" s="1"/>
  <c r="I6" i="1"/>
  <c r="E6" i="18"/>
  <c r="F6" i="18" s="1"/>
  <c r="I6" i="72"/>
  <c r="H5" i="29"/>
  <c r="I47" i="1"/>
  <c r="E47" i="18"/>
  <c r="F47" i="18" s="1"/>
  <c r="E47" i="1"/>
  <c r="F47" i="1" s="1"/>
  <c r="I47" i="3"/>
  <c r="H4" i="18"/>
  <c r="E4" i="18"/>
  <c r="F4" i="18" s="1"/>
  <c r="I4" i="21"/>
  <c r="E37" i="1"/>
  <c r="F37" i="1" s="1"/>
  <c r="E36" i="1"/>
  <c r="F36" i="1" s="1"/>
  <c r="H33" i="1"/>
  <c r="I33" i="1" s="1"/>
  <c r="E31" i="18"/>
  <c r="F31" i="18" s="1"/>
  <c r="E28" i="18"/>
  <c r="F28" i="18" s="1"/>
  <c r="E28" i="1"/>
  <c r="F28" i="1" s="1"/>
  <c r="H26" i="29"/>
  <c r="I61" i="28"/>
  <c r="H61" i="30"/>
  <c r="E61" i="18"/>
  <c r="F61" i="18" s="1"/>
  <c r="E61" i="1"/>
  <c r="F61" i="1" s="1"/>
  <c r="E40" i="18"/>
  <c r="F40" i="18" s="1"/>
  <c r="E67" i="18"/>
  <c r="F67" i="18" s="1"/>
  <c r="E48" i="18"/>
  <c r="F48" i="18" s="1"/>
  <c r="H48" i="29"/>
  <c r="H64" i="30"/>
  <c r="I64" i="30" s="1"/>
  <c r="H64" i="29"/>
  <c r="I64" i="29" s="1"/>
  <c r="H64" i="18"/>
  <c r="I64" i="18" s="1"/>
  <c r="H64" i="1"/>
  <c r="I64" i="1" s="1"/>
  <c r="I64" i="72"/>
  <c r="E64" i="18"/>
  <c r="F64" i="18" s="1"/>
  <c r="E64" i="1"/>
  <c r="F64" i="1" s="1"/>
  <c r="G63" i="34"/>
  <c r="E63" i="18"/>
  <c r="F63" i="18" s="1"/>
  <c r="E63" i="1"/>
  <c r="F63" i="1" s="1"/>
  <c r="H63" i="30"/>
  <c r="I63" i="30" s="1"/>
  <c r="H63" i="18"/>
  <c r="I63" i="18" s="1"/>
  <c r="I63" i="20"/>
  <c r="H63" i="1"/>
  <c r="I63" i="1" s="1"/>
  <c r="I63" i="72"/>
  <c r="G62" i="34"/>
  <c r="E62" i="18"/>
  <c r="F62" i="18" s="1"/>
  <c r="E62" i="1"/>
  <c r="F62" i="1" s="1"/>
  <c r="H62" i="29"/>
  <c r="I62" i="29" s="1"/>
  <c r="I62" i="21"/>
  <c r="D68" i="34"/>
  <c r="E68" i="18"/>
  <c r="F68" i="18" s="1"/>
  <c r="E68" i="1"/>
  <c r="F68" i="1" s="1"/>
  <c r="I68" i="26"/>
  <c r="H68" i="18"/>
  <c r="I68" i="18" s="1"/>
  <c r="H68" i="1"/>
  <c r="I68" i="1" s="1"/>
  <c r="I68" i="3"/>
  <c r="H53" i="1"/>
  <c r="I53" i="1" s="1"/>
  <c r="E53" i="18"/>
  <c r="F53" i="18" s="1"/>
  <c r="H53" i="30"/>
  <c r="I53" i="31"/>
  <c r="H51" i="29"/>
  <c r="I51" i="29" s="1"/>
  <c r="H53" i="18"/>
  <c r="I53" i="18" s="1"/>
  <c r="I53" i="3"/>
  <c r="E55" i="1"/>
  <c r="F55" i="1" s="1"/>
  <c r="H55" i="30"/>
  <c r="I55" i="30" s="1"/>
  <c r="H55" i="29"/>
  <c r="I55" i="29" s="1"/>
  <c r="H55" i="18"/>
  <c r="I55" i="18" s="1"/>
  <c r="I55" i="21"/>
  <c r="H55" i="1"/>
  <c r="I55" i="1" s="1"/>
  <c r="H56" i="29"/>
  <c r="H56" i="1"/>
  <c r="I56" i="1" s="1"/>
  <c r="I56" i="72"/>
  <c r="E56" i="1"/>
  <c r="F56" i="1" s="1"/>
  <c r="H56" i="30"/>
  <c r="H56" i="18"/>
  <c r="I56" i="18" s="1"/>
  <c r="H46" i="29"/>
  <c r="E46" i="18"/>
  <c r="F46" i="18" s="1"/>
  <c r="E46" i="1"/>
  <c r="F46" i="1" s="1"/>
  <c r="H46" i="30"/>
  <c r="H46" i="18"/>
  <c r="I46" i="18" s="1"/>
  <c r="H46" i="1"/>
  <c r="I46" i="1" s="1"/>
  <c r="H43" i="29"/>
  <c r="I43" i="29" s="1"/>
  <c r="E45" i="1"/>
  <c r="F45" i="1" s="1"/>
  <c r="H45" i="18"/>
  <c r="I45" i="18" s="1"/>
  <c r="I45" i="21"/>
  <c r="H45" i="1"/>
  <c r="I45" i="1" s="1"/>
  <c r="E44" i="18"/>
  <c r="F44" i="18" s="1"/>
  <c r="E44" i="1"/>
  <c r="F44" i="1" s="1"/>
  <c r="H44" i="30"/>
  <c r="H42" i="29"/>
  <c r="H44" i="18"/>
  <c r="I44" i="18" s="1"/>
  <c r="I44" i="21"/>
  <c r="H44" i="1"/>
  <c r="I44" i="1" s="1"/>
  <c r="H39" i="30"/>
  <c r="H39" i="29"/>
  <c r="I39" i="29" s="1"/>
  <c r="H39" i="18"/>
  <c r="I39" i="18" s="1"/>
  <c r="I39" i="21"/>
  <c r="H39" i="1"/>
  <c r="I39" i="1" s="1"/>
  <c r="H42" i="18"/>
  <c r="I42" i="18" s="1"/>
  <c r="E42" i="18"/>
  <c r="F42" i="18" s="1"/>
  <c r="E42" i="1"/>
  <c r="F42" i="1" s="1"/>
  <c r="H42" i="30"/>
  <c r="H42" i="1"/>
  <c r="I42" i="1" s="1"/>
  <c r="H38" i="18"/>
  <c r="I38" i="18" s="1"/>
  <c r="E38" i="18"/>
  <c r="F38" i="18" s="1"/>
  <c r="E38" i="1"/>
  <c r="F38" i="1" s="1"/>
  <c r="H38" i="30"/>
  <c r="I38" i="30" s="1"/>
  <c r="I38" i="31"/>
  <c r="H38" i="1"/>
  <c r="I38" i="1" s="1"/>
  <c r="H26" i="30"/>
  <c r="H26" i="18"/>
  <c r="I26" i="18" s="1"/>
  <c r="E26" i="18"/>
  <c r="F26" i="18" s="1"/>
  <c r="H26" i="1"/>
  <c r="I26" i="1" s="1"/>
  <c r="I26" i="3"/>
  <c r="H25" i="18"/>
  <c r="I25" i="20"/>
  <c r="I25" i="18"/>
  <c r="I24" i="1"/>
  <c r="H25" i="1"/>
  <c r="I25" i="1" s="1"/>
  <c r="E25" i="18"/>
  <c r="F25" i="18" s="1"/>
  <c r="E25" i="1"/>
  <c r="F25" i="1" s="1"/>
  <c r="H25" i="30"/>
  <c r="I25" i="30" s="1"/>
  <c r="E24" i="18"/>
  <c r="F24" i="18" s="1"/>
  <c r="E24" i="1"/>
  <c r="F24" i="1" s="1"/>
  <c r="H24" i="30"/>
  <c r="H24" i="29"/>
  <c r="I24" i="29" s="1"/>
  <c r="H24" i="18"/>
  <c r="I24" i="18" s="1"/>
  <c r="I24" i="21"/>
  <c r="I24" i="4"/>
  <c r="H23" i="30"/>
  <c r="I23" i="30" s="1"/>
  <c r="I23" i="4"/>
  <c r="I23" i="1"/>
  <c r="H21" i="29"/>
  <c r="I21" i="29" s="1"/>
  <c r="H23" i="18"/>
  <c r="I23" i="18" s="1"/>
  <c r="H60" i="18"/>
  <c r="I60" i="18" s="1"/>
  <c r="E60" i="18"/>
  <c r="F60" i="18" s="1"/>
  <c r="H60" i="30"/>
  <c r="I60" i="30" s="1"/>
  <c r="H60" i="29"/>
  <c r="I60" i="29" s="1"/>
  <c r="I60" i="21"/>
  <c r="H60" i="1"/>
  <c r="I60" i="72"/>
  <c r="G56" i="34"/>
  <c r="E58" i="1"/>
  <c r="F58" i="1" s="1"/>
  <c r="H58" i="30"/>
  <c r="I58" i="30" s="1"/>
  <c r="I58" i="31"/>
  <c r="H58" i="29"/>
  <c r="I58" i="29" s="1"/>
  <c r="H58" i="18"/>
  <c r="I58" i="18" s="1"/>
  <c r="H58" i="1"/>
  <c r="I58" i="1" s="1"/>
  <c r="G55" i="34"/>
  <c r="E57" i="18"/>
  <c r="F57" i="18" s="1"/>
  <c r="H57" i="30"/>
  <c r="I57" i="32"/>
  <c r="H57" i="18"/>
  <c r="I57" i="18" s="1"/>
  <c r="H57" i="1"/>
  <c r="I57" i="1" s="1"/>
  <c r="H22" i="1"/>
  <c r="I22" i="1" s="1"/>
  <c r="E22" i="18"/>
  <c r="F22" i="18" s="1"/>
  <c r="H22" i="30"/>
  <c r="I22" i="26"/>
  <c r="H22" i="18"/>
  <c r="I22" i="18" s="1"/>
  <c r="I22" i="72"/>
  <c r="E21" i="18"/>
  <c r="F21" i="18" s="1"/>
  <c r="H21" i="18"/>
  <c r="I21" i="18" s="1"/>
  <c r="H21" i="1"/>
  <c r="I21" i="1" s="1"/>
  <c r="H20" i="18"/>
  <c r="I20" i="18" s="1"/>
  <c r="E20" i="18"/>
  <c r="F20" i="18" s="1"/>
  <c r="E20" i="1"/>
  <c r="F20" i="1" s="1"/>
  <c r="I20" i="20"/>
  <c r="I20" i="72"/>
  <c r="H19" i="18"/>
  <c r="I19" i="18" s="1"/>
  <c r="H19" i="1"/>
  <c r="I19" i="1" s="1"/>
  <c r="I19" i="72"/>
  <c r="E19" i="18"/>
  <c r="F19" i="18" s="1"/>
  <c r="E19" i="1"/>
  <c r="F19" i="1" s="1"/>
  <c r="H19" i="30"/>
  <c r="I19" i="30" s="1"/>
  <c r="H19" i="29"/>
  <c r="I19" i="21"/>
  <c r="H18" i="1"/>
  <c r="I18" i="1" s="1"/>
  <c r="E18" i="18"/>
  <c r="F18" i="18" s="1"/>
  <c r="E18" i="1"/>
  <c r="F18" i="1" s="1"/>
  <c r="H18" i="30"/>
  <c r="I18" i="30" s="1"/>
  <c r="I18" i="31"/>
  <c r="H18" i="29"/>
  <c r="I18" i="29" s="1"/>
  <c r="H18" i="18"/>
  <c r="I18" i="18" s="1"/>
  <c r="H17" i="30"/>
  <c r="I17" i="30" s="1"/>
  <c r="G17" i="34"/>
  <c r="E17" i="18"/>
  <c r="F17" i="18" s="1"/>
  <c r="E17" i="1"/>
  <c r="F17" i="1" s="1"/>
  <c r="H17" i="29"/>
  <c r="I17" i="29" s="1"/>
  <c r="H17" i="18"/>
  <c r="I17" i="18" s="1"/>
  <c r="H17" i="1"/>
  <c r="I17" i="1" s="1"/>
  <c r="I17" i="72"/>
  <c r="E16" i="18"/>
  <c r="F16" i="18" s="1"/>
  <c r="H16" i="18"/>
  <c r="I16" i="18" s="1"/>
  <c r="H16" i="1"/>
  <c r="I16" i="1" s="1"/>
  <c r="I15" i="18"/>
  <c r="I15" i="21"/>
  <c r="H15" i="1"/>
  <c r="I15" i="1" s="1"/>
  <c r="E15" i="18"/>
  <c r="F15" i="18" s="1"/>
  <c r="H15" i="30"/>
  <c r="I15" i="30" s="1"/>
  <c r="H15" i="29"/>
  <c r="I15" i="29" s="1"/>
  <c r="I15" i="72"/>
  <c r="H14" i="1"/>
  <c r="I14" i="1" s="1"/>
  <c r="I14" i="72"/>
  <c r="E14" i="18"/>
  <c r="F14" i="18" s="1"/>
  <c r="H14" i="18"/>
  <c r="I14" i="18" s="1"/>
  <c r="H13" i="1"/>
  <c r="I13" i="1" s="1"/>
  <c r="E13" i="18"/>
  <c r="F13" i="18" s="1"/>
  <c r="E13" i="1"/>
  <c r="F13" i="1" s="1"/>
  <c r="H13" i="18"/>
  <c r="I13" i="18" s="1"/>
  <c r="H12" i="30"/>
  <c r="I12" i="30" s="1"/>
  <c r="E12" i="18"/>
  <c r="F12" i="18" s="1"/>
  <c r="E12" i="1"/>
  <c r="F12" i="1" s="1"/>
  <c r="H12" i="18"/>
  <c r="I12" i="18" s="1"/>
  <c r="I12" i="21"/>
  <c r="H12" i="1"/>
  <c r="I12" i="1" s="1"/>
  <c r="H11" i="18"/>
  <c r="I11" i="18" s="1"/>
  <c r="H11" i="1"/>
  <c r="I11" i="1" s="1"/>
  <c r="E11" i="1"/>
  <c r="F11" i="1" s="1"/>
  <c r="H11" i="30"/>
  <c r="I11" i="30" s="1"/>
  <c r="H10" i="18"/>
  <c r="I10" i="18" s="1"/>
  <c r="H10" i="1"/>
  <c r="I10" i="1" s="1"/>
  <c r="H10" i="30"/>
  <c r="I9" i="1"/>
  <c r="E9" i="1"/>
  <c r="F9" i="1" s="1"/>
  <c r="H9" i="18"/>
  <c r="I9" i="18" s="1"/>
  <c r="H8" i="18"/>
  <c r="I8" i="18" s="1"/>
  <c r="G8" i="34"/>
  <c r="H8" i="1"/>
  <c r="I8" i="1" s="1"/>
  <c r="H8" i="29"/>
  <c r="I8" i="29" s="1"/>
  <c r="H7" i="30"/>
  <c r="I7" i="30" s="1"/>
  <c r="H7" i="18"/>
  <c r="I7" i="18" s="1"/>
  <c r="H7" i="1"/>
  <c r="I7" i="1" s="1"/>
  <c r="H6" i="18"/>
  <c r="I6" i="18" s="1"/>
  <c r="E5" i="18"/>
  <c r="F5" i="18" s="1"/>
  <c r="E5" i="1"/>
  <c r="F5" i="1" s="1"/>
  <c r="H5" i="18"/>
  <c r="I5" i="18" s="1"/>
  <c r="I5" i="21"/>
  <c r="H5" i="1"/>
  <c r="I5" i="1" s="1"/>
  <c r="G47" i="34"/>
  <c r="D47" i="34"/>
  <c r="H47" i="30"/>
  <c r="I47" i="30" s="1"/>
  <c r="I47" i="31"/>
  <c r="H47" i="18"/>
  <c r="I47" i="18" s="1"/>
  <c r="I4" i="18"/>
  <c r="E4" i="1"/>
  <c r="F4" i="1" s="1"/>
  <c r="H4" i="29"/>
  <c r="I4" i="29" s="1"/>
  <c r="H4" i="1"/>
  <c r="I4" i="1" s="1"/>
  <c r="E37" i="18"/>
  <c r="F37" i="18" s="1"/>
  <c r="H37" i="30"/>
  <c r="H37" i="18"/>
  <c r="I37" i="18" s="1"/>
  <c r="I37" i="21"/>
  <c r="H37" i="1"/>
  <c r="I37" i="1" s="1"/>
  <c r="I37" i="72"/>
  <c r="E36" i="18"/>
  <c r="F36" i="18" s="1"/>
  <c r="H36" i="30"/>
  <c r="H36" i="18"/>
  <c r="I36" i="18" s="1"/>
  <c r="H36" i="1"/>
  <c r="I36" i="1" s="1"/>
  <c r="H35" i="1"/>
  <c r="I35" i="1" s="1"/>
  <c r="E35" i="18"/>
  <c r="F35" i="18" s="1"/>
  <c r="E35" i="1"/>
  <c r="F35" i="1" s="1"/>
  <c r="H35" i="30"/>
  <c r="I35" i="30" s="1"/>
  <c r="E35" i="30"/>
  <c r="F35" i="30" s="1"/>
  <c r="H35" i="18"/>
  <c r="I35" i="18" s="1"/>
  <c r="H34" i="29"/>
  <c r="I34" i="29" s="1"/>
  <c r="I34" i="26"/>
  <c r="H34" i="18"/>
  <c r="I34" i="18" s="1"/>
  <c r="H34" i="30"/>
  <c r="I34" i="30" s="1"/>
  <c r="H34" i="1"/>
  <c r="I34" i="1" s="1"/>
  <c r="H33" i="29"/>
  <c r="I33" i="29" s="1"/>
  <c r="E33" i="18"/>
  <c r="F33" i="18" s="1"/>
  <c r="H33" i="30"/>
  <c r="H33" i="18"/>
  <c r="I33" i="18" s="1"/>
  <c r="I33" i="72"/>
  <c r="H32" i="18"/>
  <c r="I32" i="18" s="1"/>
  <c r="E32" i="18"/>
  <c r="F32" i="18" s="1"/>
  <c r="E2" i="4"/>
  <c r="F2" i="4" s="1"/>
  <c r="E32" i="1"/>
  <c r="F32" i="1" s="1"/>
  <c r="H32" i="30"/>
  <c r="I32" i="30" s="1"/>
  <c r="I32" i="31"/>
  <c r="H32" i="29"/>
  <c r="I32" i="29" s="1"/>
  <c r="H32" i="1"/>
  <c r="I32" i="1" s="1"/>
  <c r="I32" i="72"/>
  <c r="D2" i="18"/>
  <c r="E31" i="1"/>
  <c r="F31" i="1" s="1"/>
  <c r="H31" i="30"/>
  <c r="I31" i="30" s="1"/>
  <c r="H31" i="18"/>
  <c r="I31" i="18" s="1"/>
  <c r="H31" i="1"/>
  <c r="I31" i="1" s="1"/>
  <c r="H30" i="30"/>
  <c r="I30" i="30" s="1"/>
  <c r="H30" i="29"/>
  <c r="I30" i="29" s="1"/>
  <c r="H30" i="18"/>
  <c r="I30" i="18" s="1"/>
  <c r="E30" i="18"/>
  <c r="F30" i="18" s="1"/>
  <c r="E30" i="1"/>
  <c r="F30" i="1" s="1"/>
  <c r="I30" i="20"/>
  <c r="H30" i="1"/>
  <c r="I30" i="1" s="1"/>
  <c r="H27" i="29"/>
  <c r="I27" i="29" s="1"/>
  <c r="E29" i="18"/>
  <c r="F29" i="18" s="1"/>
  <c r="E29" i="1"/>
  <c r="F29" i="1" s="1"/>
  <c r="H29" i="30"/>
  <c r="I29" i="30" s="1"/>
  <c r="H29" i="18"/>
  <c r="I29" i="18" s="1"/>
  <c r="H29" i="1"/>
  <c r="I29" i="1" s="1"/>
  <c r="H28" i="1"/>
  <c r="I28" i="1" s="1"/>
  <c r="H28" i="30"/>
  <c r="I28" i="30" s="1"/>
  <c r="H28" i="18"/>
  <c r="I28" i="18" s="1"/>
  <c r="I28" i="72"/>
  <c r="H61" i="18"/>
  <c r="I61" i="18" s="1"/>
  <c r="H61" i="1"/>
  <c r="I61" i="1" s="1"/>
  <c r="G61" i="34"/>
  <c r="H59" i="34"/>
  <c r="I61" i="21"/>
  <c r="I61" i="72"/>
  <c r="E51" i="18"/>
  <c r="F51" i="18" s="1"/>
  <c r="E51" i="1"/>
  <c r="F51" i="1" s="1"/>
  <c r="H51" i="30"/>
  <c r="H51" i="18"/>
  <c r="I51" i="18" s="1"/>
  <c r="H51" i="1"/>
  <c r="I51" i="1" s="1"/>
  <c r="I51" i="72"/>
  <c r="I27" i="26"/>
  <c r="G27" i="34"/>
  <c r="G26" i="34"/>
  <c r="E27" i="18"/>
  <c r="F27" i="18" s="1"/>
  <c r="E27" i="1"/>
  <c r="F27" i="1" s="1"/>
  <c r="H27" i="30"/>
  <c r="I27" i="30" s="1"/>
  <c r="E2" i="26"/>
  <c r="F2" i="26" s="1"/>
  <c r="H27" i="18"/>
  <c r="I27" i="18" s="1"/>
  <c r="H27" i="1"/>
  <c r="I27" i="1" s="1"/>
  <c r="H2" i="32"/>
  <c r="I2" i="32" s="1"/>
  <c r="H38" i="29"/>
  <c r="I38" i="29" s="1"/>
  <c r="H2" i="21"/>
  <c r="I2" i="21" s="1"/>
  <c r="G2" i="18"/>
  <c r="H2" i="3"/>
  <c r="I2" i="3" s="1"/>
  <c r="H40" i="1"/>
  <c r="I40" i="1" s="1"/>
  <c r="G2" i="1"/>
  <c r="G40" i="34"/>
  <c r="E40" i="1"/>
  <c r="F40" i="1" s="1"/>
  <c r="J2" i="32"/>
  <c r="E2" i="32"/>
  <c r="F2" i="32" s="1"/>
  <c r="H40" i="30"/>
  <c r="I40" i="30" s="1"/>
  <c r="H2" i="19"/>
  <c r="I2" i="19" s="1"/>
  <c r="H40" i="18"/>
  <c r="I40" i="18" s="1"/>
  <c r="H2" i="4"/>
  <c r="I2" i="4" s="1"/>
  <c r="I40" i="72"/>
  <c r="H2" i="31"/>
  <c r="I2" i="31" s="1"/>
  <c r="H67" i="18"/>
  <c r="I67" i="18" s="1"/>
  <c r="G66" i="34"/>
  <c r="H67" i="1"/>
  <c r="I67" i="1" s="1"/>
  <c r="G67" i="34"/>
  <c r="E67" i="1"/>
  <c r="F67" i="1" s="1"/>
  <c r="D2" i="1"/>
  <c r="H67" i="30"/>
  <c r="I67" i="30" s="1"/>
  <c r="J2" i="31"/>
  <c r="I67" i="28"/>
  <c r="H65" i="34"/>
  <c r="I65" i="34" s="1"/>
  <c r="H67" i="29"/>
  <c r="C2" i="18"/>
  <c r="E2" i="19"/>
  <c r="F2" i="19" s="1"/>
  <c r="E2" i="20"/>
  <c r="F2" i="20" s="1"/>
  <c r="H2" i="20"/>
  <c r="I2" i="20" s="1"/>
  <c r="J2" i="21"/>
  <c r="E2" i="21"/>
  <c r="F2" i="21" s="1"/>
  <c r="E2" i="3"/>
  <c r="F2" i="3" s="1"/>
  <c r="J2" i="3"/>
  <c r="C2" i="1"/>
  <c r="E2" i="72"/>
  <c r="F2" i="72" s="1"/>
  <c r="H2" i="26"/>
  <c r="I2" i="26" s="1"/>
  <c r="H2" i="72"/>
  <c r="I2" i="72" s="1"/>
  <c r="E2" i="33"/>
  <c r="F2" i="33" s="1"/>
  <c r="E2" i="31"/>
  <c r="F2" i="31" s="1"/>
  <c r="H48" i="30"/>
  <c r="I48" i="30" s="1"/>
  <c r="I48" i="26"/>
  <c r="H48" i="18"/>
  <c r="I48" i="18" s="1"/>
  <c r="J2" i="4"/>
  <c r="H48" i="1"/>
  <c r="I48" i="1" s="1"/>
  <c r="E48" i="1"/>
  <c r="F48" i="1" s="1"/>
  <c r="H68" i="30"/>
  <c r="I68" i="30" s="1"/>
  <c r="H21" i="30"/>
  <c r="I63" i="33"/>
  <c r="I55" i="33"/>
  <c r="I39" i="33"/>
  <c r="I31" i="33"/>
  <c r="I11" i="33"/>
  <c r="H20" i="30"/>
  <c r="I20" i="30" s="1"/>
  <c r="G15" i="34"/>
  <c r="C47" i="34"/>
  <c r="D44" i="34"/>
  <c r="E61" i="30"/>
  <c r="F61" i="30" s="1"/>
  <c r="H45" i="30"/>
  <c r="I61" i="33"/>
  <c r="I37" i="33"/>
  <c r="I29" i="33"/>
  <c r="I60" i="33"/>
  <c r="I52" i="33"/>
  <c r="I44" i="33"/>
  <c r="I36" i="33"/>
  <c r="I28" i="33"/>
  <c r="I67" i="33"/>
  <c r="I51" i="33"/>
  <c r="I43" i="33"/>
  <c r="I27" i="33"/>
  <c r="I19" i="33"/>
  <c r="I10" i="33"/>
  <c r="E22" i="30"/>
  <c r="F22" i="30" s="1"/>
  <c r="E55" i="30"/>
  <c r="F55" i="30" s="1"/>
  <c r="E39" i="30"/>
  <c r="F39" i="30" s="1"/>
  <c r="E11" i="30"/>
  <c r="F11" i="30" s="1"/>
  <c r="D22" i="34"/>
  <c r="E8" i="30"/>
  <c r="F8" i="30" s="1"/>
  <c r="E47" i="30"/>
  <c r="F47" i="30" s="1"/>
  <c r="E29" i="30"/>
  <c r="F29" i="30" s="1"/>
  <c r="I22" i="30"/>
  <c r="H16" i="30"/>
  <c r="G34" i="34"/>
  <c r="G50" i="34"/>
  <c r="I50" i="30"/>
  <c r="E49" i="30"/>
  <c r="F49" i="30" s="1"/>
  <c r="H2" i="33"/>
  <c r="I2" i="33" s="1"/>
  <c r="G44" i="34"/>
  <c r="G13" i="34"/>
  <c r="D35" i="34"/>
  <c r="C54" i="34"/>
  <c r="I10" i="30"/>
  <c r="E58" i="30"/>
  <c r="F58" i="30" s="1"/>
  <c r="H8" i="30"/>
  <c r="H5" i="30"/>
  <c r="H4" i="30"/>
  <c r="H4" i="34" s="1"/>
  <c r="I7" i="33"/>
  <c r="H13" i="30"/>
  <c r="I13" i="30" s="1"/>
  <c r="H9" i="30"/>
  <c r="I9" i="30" s="1"/>
  <c r="J2" i="33"/>
  <c r="E7" i="30"/>
  <c r="F7" i="30" s="1"/>
  <c r="C39" i="34"/>
  <c r="D34" i="34"/>
  <c r="E59" i="30"/>
  <c r="F59" i="30" s="1"/>
  <c r="G19" i="34"/>
  <c r="G52" i="34"/>
  <c r="D38" i="34"/>
  <c r="C38" i="34"/>
  <c r="I52" i="30"/>
  <c r="C30" i="34"/>
  <c r="G42" i="34"/>
  <c r="G32" i="34"/>
  <c r="E37" i="30"/>
  <c r="F37" i="30" s="1"/>
  <c r="E57" i="30"/>
  <c r="F57" i="30" s="1"/>
  <c r="D30" i="34"/>
  <c r="D66" i="34"/>
  <c r="G43" i="34"/>
  <c r="D6" i="34"/>
  <c r="C17" i="34"/>
  <c r="G39" i="34"/>
  <c r="E14" i="30"/>
  <c r="F14" i="30" s="1"/>
  <c r="G33" i="34"/>
  <c r="C15" i="34"/>
  <c r="C62" i="34"/>
  <c r="E67" i="30"/>
  <c r="F67" i="30" s="1"/>
  <c r="I61" i="30"/>
  <c r="I46" i="30"/>
  <c r="H14" i="30"/>
  <c r="G4" i="34"/>
  <c r="G10" i="34"/>
  <c r="I43" i="30"/>
  <c r="I12" i="33"/>
  <c r="E5" i="30"/>
  <c r="F5" i="30" s="1"/>
  <c r="D62" i="34"/>
  <c r="G51" i="34"/>
  <c r="C42" i="34"/>
  <c r="D8" i="34"/>
  <c r="C57" i="34"/>
  <c r="H6" i="30"/>
  <c r="E20" i="30"/>
  <c r="F20" i="30" s="1"/>
  <c r="C51" i="34"/>
  <c r="E68" i="30"/>
  <c r="F68" i="30" s="1"/>
  <c r="I57" i="30"/>
  <c r="I42" i="30"/>
  <c r="E16" i="30"/>
  <c r="F16" i="30" s="1"/>
  <c r="I62" i="30"/>
  <c r="G5" i="34"/>
  <c r="C67" i="34"/>
  <c r="C61" i="34"/>
  <c r="D26" i="34"/>
  <c r="E50" i="30"/>
  <c r="F50" i="30" s="1"/>
  <c r="I45" i="30"/>
  <c r="E9" i="30"/>
  <c r="F9" i="30" s="1"/>
  <c r="I24" i="30"/>
  <c r="I39" i="30"/>
  <c r="G28" i="34"/>
  <c r="I44" i="30"/>
  <c r="G12" i="34"/>
  <c r="G11" i="34"/>
  <c r="C11" i="34"/>
  <c r="G21" i="34"/>
  <c r="G20" i="34"/>
  <c r="G60" i="34"/>
  <c r="C55" i="34"/>
  <c r="G35" i="34"/>
  <c r="C26" i="34"/>
  <c r="E15" i="30"/>
  <c r="F15" i="30" s="1"/>
  <c r="E65" i="30"/>
  <c r="F65" i="30" s="1"/>
  <c r="I59" i="30"/>
  <c r="E46" i="30"/>
  <c r="F46" i="30" s="1"/>
  <c r="E36" i="30"/>
  <c r="F36" i="30" s="1"/>
  <c r="I26" i="30"/>
  <c r="H66" i="34"/>
  <c r="I66" i="34" s="1"/>
  <c r="H50" i="34"/>
  <c r="D13" i="34"/>
  <c r="C24" i="34"/>
  <c r="D51" i="34"/>
  <c r="D46" i="34"/>
  <c r="G41" i="34"/>
  <c r="I41" i="34" s="1"/>
  <c r="C37" i="34"/>
  <c r="C27" i="34"/>
  <c r="E21" i="30"/>
  <c r="F21" i="30" s="1"/>
  <c r="I49" i="30"/>
  <c r="E31" i="30"/>
  <c r="F31" i="30" s="1"/>
  <c r="E45" i="30"/>
  <c r="F45" i="30" s="1"/>
  <c r="E26" i="30"/>
  <c r="F26" i="30" s="1"/>
  <c r="C6" i="34"/>
  <c r="E6" i="34" s="1"/>
  <c r="F6" i="34" s="1"/>
  <c r="D23" i="34"/>
  <c r="G31" i="34"/>
  <c r="E10" i="30"/>
  <c r="F10" i="30" s="1"/>
  <c r="G16" i="34"/>
  <c r="C66" i="34"/>
  <c r="E66" i="34" s="1"/>
  <c r="F66" i="34" s="1"/>
  <c r="G45" i="34"/>
  <c r="E63" i="30"/>
  <c r="F63" i="30" s="1"/>
  <c r="I53" i="30"/>
  <c r="E44" i="30"/>
  <c r="F44" i="30" s="1"/>
  <c r="H42" i="34"/>
  <c r="D7" i="34"/>
  <c r="D15" i="34"/>
  <c r="E53" i="30"/>
  <c r="F53" i="30" s="1"/>
  <c r="E48" i="30"/>
  <c r="F48" i="30" s="1"/>
  <c r="C22" i="34"/>
  <c r="C50" i="34"/>
  <c r="E62" i="30"/>
  <c r="F62" i="30" s="1"/>
  <c r="E43" i="30"/>
  <c r="F43" i="30" s="1"/>
  <c r="E38" i="30"/>
  <c r="F38" i="30" s="1"/>
  <c r="D16" i="34"/>
  <c r="G59" i="34"/>
  <c r="G49" i="34"/>
  <c r="I37" i="30"/>
  <c r="I33" i="30"/>
  <c r="G7" i="34"/>
  <c r="E13" i="30"/>
  <c r="F13" i="30" s="1"/>
  <c r="C64" i="34"/>
  <c r="C59" i="34"/>
  <c r="G53" i="34"/>
  <c r="C49" i="34"/>
  <c r="G29" i="34"/>
  <c r="I56" i="30"/>
  <c r="I51" i="30"/>
  <c r="G2" i="30"/>
  <c r="I54" i="30"/>
  <c r="G25" i="34"/>
  <c r="G9" i="34"/>
  <c r="D53" i="34"/>
  <c r="G48" i="34"/>
  <c r="I41" i="30"/>
  <c r="E6" i="30"/>
  <c r="F6" i="30" s="1"/>
  <c r="G24" i="34"/>
  <c r="D63" i="34"/>
  <c r="G58" i="34"/>
  <c r="I65" i="30"/>
  <c r="E56" i="30"/>
  <c r="F56" i="30" s="1"/>
  <c r="E51" i="30"/>
  <c r="F51" i="30" s="1"/>
  <c r="E41" i="30"/>
  <c r="F41" i="30" s="1"/>
  <c r="I36" i="30"/>
  <c r="E27" i="30"/>
  <c r="F27" i="30" s="1"/>
  <c r="H52" i="34"/>
  <c r="E33" i="30"/>
  <c r="F33" i="30" s="1"/>
  <c r="C2" i="30"/>
  <c r="D17" i="34"/>
  <c r="E18" i="30"/>
  <c r="F18" i="30" s="1"/>
  <c r="C65" i="34"/>
  <c r="G38" i="34"/>
  <c r="C31" i="34"/>
  <c r="E42" i="30"/>
  <c r="F42" i="30" s="1"/>
  <c r="E40" i="30"/>
  <c r="F40" i="30" s="1"/>
  <c r="G54" i="34"/>
  <c r="I54" i="34" s="1"/>
  <c r="C45" i="34"/>
  <c r="D2" i="30"/>
  <c r="E12" i="30"/>
  <c r="F12" i="30" s="1"/>
  <c r="D54" i="34"/>
  <c r="G30" i="34"/>
  <c r="E66" i="30"/>
  <c r="F66" i="30" s="1"/>
  <c r="E64" i="30"/>
  <c r="F64" i="30" s="1"/>
  <c r="E34" i="30"/>
  <c r="F34" i="30" s="1"/>
  <c r="E32" i="30"/>
  <c r="F32" i="30" s="1"/>
  <c r="E24" i="30"/>
  <c r="F24" i="30" s="1"/>
  <c r="D10" i="34"/>
  <c r="D14" i="34"/>
  <c r="C16" i="34"/>
  <c r="E19" i="30"/>
  <c r="F19" i="30" s="1"/>
  <c r="G22" i="34"/>
  <c r="G14" i="34"/>
  <c r="G6" i="34"/>
  <c r="D61" i="34"/>
  <c r="E60" i="30"/>
  <c r="F60" i="30" s="1"/>
  <c r="E30" i="30"/>
  <c r="F30" i="30" s="1"/>
  <c r="E28" i="30"/>
  <c r="F28" i="30" s="1"/>
  <c r="C44" i="34"/>
  <c r="D27" i="34"/>
  <c r="E17" i="30"/>
  <c r="F17" i="30" s="1"/>
  <c r="D39" i="34"/>
  <c r="E54" i="30"/>
  <c r="F54" i="30" s="1"/>
  <c r="E52" i="30"/>
  <c r="F52" i="30" s="1"/>
  <c r="E23" i="30"/>
  <c r="F23" i="30" s="1"/>
  <c r="C8" i="34"/>
  <c r="D21" i="34"/>
  <c r="C63" i="34"/>
  <c r="E25" i="30"/>
  <c r="F25" i="30" s="1"/>
  <c r="C12" i="34"/>
  <c r="D12" i="34"/>
  <c r="E4" i="30"/>
  <c r="F4" i="30" s="1"/>
  <c r="D60" i="34"/>
  <c r="D41" i="34"/>
  <c r="D29" i="34"/>
  <c r="C56" i="34"/>
  <c r="C32" i="34"/>
  <c r="C5" i="34"/>
  <c r="C9" i="34"/>
  <c r="C13" i="34"/>
  <c r="D65" i="34"/>
  <c r="C60" i="34"/>
  <c r="C58" i="34"/>
  <c r="D55" i="34"/>
  <c r="C48" i="34"/>
  <c r="D43" i="34"/>
  <c r="C41" i="34"/>
  <c r="D36" i="34"/>
  <c r="C29" i="34"/>
  <c r="D32" i="34"/>
  <c r="D9" i="34"/>
  <c r="D52" i="34"/>
  <c r="D45" i="34"/>
  <c r="D56" i="34"/>
  <c r="C10" i="34"/>
  <c r="D25" i="34"/>
  <c r="D57" i="34"/>
  <c r="C52" i="34"/>
  <c r="D40" i="34"/>
  <c r="D33" i="34"/>
  <c r="D28" i="34"/>
  <c r="D64" i="34"/>
  <c r="C40" i="34"/>
  <c r="C28" i="34"/>
  <c r="D20" i="34"/>
  <c r="D19" i="34"/>
  <c r="D18" i="34"/>
  <c r="D4" i="34"/>
  <c r="H52" i="29"/>
  <c r="H36" i="29"/>
  <c r="H36" i="34" s="1"/>
  <c r="H35" i="29"/>
  <c r="H61" i="29"/>
  <c r="I61" i="29" s="1"/>
  <c r="H9" i="29"/>
  <c r="I9" i="29" s="1"/>
  <c r="H44" i="29"/>
  <c r="H28" i="29"/>
  <c r="I28" i="29" s="1"/>
  <c r="H53" i="29"/>
  <c r="E7" i="29"/>
  <c r="F7" i="29" s="1"/>
  <c r="H20" i="29"/>
  <c r="I20" i="29" s="1"/>
  <c r="H10" i="29"/>
  <c r="I10" i="29" s="1"/>
  <c r="H45" i="29"/>
  <c r="H37" i="29"/>
  <c r="H37" i="34" s="1"/>
  <c r="I15" i="28"/>
  <c r="H29" i="29"/>
  <c r="I29" i="29" s="1"/>
  <c r="H23" i="29"/>
  <c r="H23" i="34" s="1"/>
  <c r="H63" i="29"/>
  <c r="I63" i="29" s="1"/>
  <c r="I27" i="28"/>
  <c r="E50" i="29"/>
  <c r="F50" i="29" s="1"/>
  <c r="H47" i="29"/>
  <c r="H31" i="29"/>
  <c r="I31" i="29" s="1"/>
  <c r="I8" i="28"/>
  <c r="E24" i="29"/>
  <c r="F24" i="29" s="1"/>
  <c r="H6" i="29"/>
  <c r="I6" i="29" s="1"/>
  <c r="C7" i="34"/>
  <c r="E58" i="29"/>
  <c r="F58" i="29" s="1"/>
  <c r="E52" i="29"/>
  <c r="F52" i="29" s="1"/>
  <c r="E43" i="29"/>
  <c r="F43" i="29" s="1"/>
  <c r="E66" i="29"/>
  <c r="F66" i="29" s="1"/>
  <c r="D50" i="34"/>
  <c r="H41" i="29"/>
  <c r="I41" i="29" s="1"/>
  <c r="H57" i="29"/>
  <c r="I57" i="29" s="1"/>
  <c r="H49" i="29"/>
  <c r="I49" i="29" s="1"/>
  <c r="E8" i="29"/>
  <c r="F8" i="29" s="1"/>
  <c r="E14" i="29"/>
  <c r="F14" i="29" s="1"/>
  <c r="E21" i="29"/>
  <c r="F21" i="29" s="1"/>
  <c r="E20" i="29"/>
  <c r="F20" i="29" s="1"/>
  <c r="E4" i="29"/>
  <c r="F4" i="29" s="1"/>
  <c r="I25" i="29"/>
  <c r="H16" i="29"/>
  <c r="I16" i="29" s="1"/>
  <c r="E13" i="29"/>
  <c r="F13" i="29" s="1"/>
  <c r="H12" i="29"/>
  <c r="I12" i="29" s="1"/>
  <c r="H7" i="29"/>
  <c r="I7" i="29" s="1"/>
  <c r="E5" i="29"/>
  <c r="F5" i="29" s="1"/>
  <c r="C4" i="34"/>
  <c r="H2" i="28"/>
  <c r="I2" i="28" s="1"/>
  <c r="E2" i="28"/>
  <c r="F2" i="28" s="1"/>
  <c r="E48" i="29"/>
  <c r="F48" i="29" s="1"/>
  <c r="I65" i="29"/>
  <c r="I5" i="29"/>
  <c r="C20" i="34"/>
  <c r="E55" i="29"/>
  <c r="F55" i="29" s="1"/>
  <c r="E49" i="29"/>
  <c r="F49" i="29" s="1"/>
  <c r="I40" i="29"/>
  <c r="E9" i="29"/>
  <c r="F9" i="29" s="1"/>
  <c r="E67" i="29"/>
  <c r="F67" i="29" s="1"/>
  <c r="E59" i="29"/>
  <c r="F59" i="29" s="1"/>
  <c r="I56" i="29"/>
  <c r="I52" i="29"/>
  <c r="E40" i="29"/>
  <c r="F40" i="29" s="1"/>
  <c r="C21" i="34"/>
  <c r="I66" i="29"/>
  <c r="I54" i="29"/>
  <c r="I50" i="29"/>
  <c r="E42" i="29"/>
  <c r="F42" i="29" s="1"/>
  <c r="C14" i="34"/>
  <c r="E56" i="29"/>
  <c r="F56" i="29" s="1"/>
  <c r="E46" i="29"/>
  <c r="F46" i="29" s="1"/>
  <c r="E31" i="29"/>
  <c r="F31" i="29" s="1"/>
  <c r="E37" i="29"/>
  <c r="F37" i="29" s="1"/>
  <c r="I26" i="29"/>
  <c r="I59" i="29"/>
  <c r="I68" i="29"/>
  <c r="I46" i="29"/>
  <c r="E17" i="29"/>
  <c r="F17" i="29" s="1"/>
  <c r="D24" i="34"/>
  <c r="E30" i="29"/>
  <c r="F30" i="29" s="1"/>
  <c r="E10" i="29"/>
  <c r="F10" i="29" s="1"/>
  <c r="E35" i="29"/>
  <c r="F35" i="29" s="1"/>
  <c r="E15" i="29"/>
  <c r="F15" i="29" s="1"/>
  <c r="E68" i="29"/>
  <c r="F68" i="29" s="1"/>
  <c r="D5" i="34"/>
  <c r="E6" i="29"/>
  <c r="F6" i="29" s="1"/>
  <c r="D2" i="29"/>
  <c r="E11" i="29"/>
  <c r="F11" i="29" s="1"/>
  <c r="E22" i="29"/>
  <c r="F22" i="29" s="1"/>
  <c r="E63" i="29"/>
  <c r="F63" i="29" s="1"/>
  <c r="E41" i="29"/>
  <c r="F41" i="29" s="1"/>
  <c r="E32" i="29"/>
  <c r="F32" i="29" s="1"/>
  <c r="D58" i="34"/>
  <c r="D42" i="34"/>
  <c r="D11" i="34"/>
  <c r="E54" i="29"/>
  <c r="F54" i="29" s="1"/>
  <c r="E38" i="29"/>
  <c r="F38" i="29" s="1"/>
  <c r="D67" i="34"/>
  <c r="D49" i="34"/>
  <c r="E12" i="29"/>
  <c r="F12" i="29" s="1"/>
  <c r="E23" i="29"/>
  <c r="F23" i="29" s="1"/>
  <c r="E18" i="29"/>
  <c r="F18" i="29" s="1"/>
  <c r="E64" i="29"/>
  <c r="F64" i="29" s="1"/>
  <c r="E47" i="29"/>
  <c r="F47" i="29" s="1"/>
  <c r="D59" i="34"/>
  <c r="D31" i="34"/>
  <c r="E33" i="29"/>
  <c r="F33" i="29" s="1"/>
  <c r="D48" i="34"/>
  <c r="E65" i="29"/>
  <c r="F65" i="29" s="1"/>
  <c r="E36" i="29"/>
  <c r="F36" i="29" s="1"/>
  <c r="E28" i="29"/>
  <c r="F28" i="29" s="1"/>
  <c r="D37" i="34"/>
  <c r="E25" i="29"/>
  <c r="F25" i="29" s="1"/>
  <c r="E19" i="29"/>
  <c r="F19" i="29" s="1"/>
  <c r="E53" i="29"/>
  <c r="F53" i="29" s="1"/>
  <c r="E34" i="29"/>
  <c r="F34" i="29" s="1"/>
  <c r="C43" i="34"/>
  <c r="E62" i="29"/>
  <c r="F62" i="29" s="1"/>
  <c r="G68" i="34"/>
  <c r="C68" i="34"/>
  <c r="C53" i="34"/>
  <c r="G46" i="34"/>
  <c r="C46" i="34"/>
  <c r="E45" i="29"/>
  <c r="F45" i="29" s="1"/>
  <c r="E44" i="29"/>
  <c r="F44" i="29" s="1"/>
  <c r="E39" i="29"/>
  <c r="F39" i="29" s="1"/>
  <c r="I42" i="29"/>
  <c r="E26" i="29"/>
  <c r="F26" i="29" s="1"/>
  <c r="C25" i="34"/>
  <c r="G23" i="34"/>
  <c r="C23" i="34"/>
  <c r="E60" i="29"/>
  <c r="F60" i="29" s="1"/>
  <c r="G57" i="34"/>
  <c r="E57" i="29"/>
  <c r="F57" i="29" s="1"/>
  <c r="I22" i="29"/>
  <c r="C19" i="34"/>
  <c r="G18" i="34"/>
  <c r="C18" i="34"/>
  <c r="E16" i="29"/>
  <c r="F16" i="29" s="1"/>
  <c r="H14" i="29"/>
  <c r="I14" i="29" s="1"/>
  <c r="H13" i="29"/>
  <c r="I13" i="29" s="1"/>
  <c r="H11" i="29"/>
  <c r="I11" i="29" s="1"/>
  <c r="G37" i="34"/>
  <c r="G36" i="34"/>
  <c r="C36" i="34"/>
  <c r="C2" i="29"/>
  <c r="C35" i="34"/>
  <c r="C34" i="34"/>
  <c r="C33" i="34"/>
  <c r="G2" i="29"/>
  <c r="E29" i="29"/>
  <c r="F29" i="29" s="1"/>
  <c r="E61" i="29"/>
  <c r="F61" i="29" s="1"/>
  <c r="E51" i="29"/>
  <c r="F51" i="29" s="1"/>
  <c r="E27" i="29"/>
  <c r="F27" i="29" s="1"/>
  <c r="H2" i="27"/>
  <c r="I2" i="27" s="1"/>
  <c r="I48" i="29"/>
  <c r="J2" i="27"/>
  <c r="E2" i="27"/>
  <c r="F2" i="27" s="1"/>
  <c r="H64" i="34" l="1"/>
  <c r="I64" i="34" s="1"/>
  <c r="E68" i="34"/>
  <c r="F68" i="34" s="1"/>
  <c r="H53" i="34"/>
  <c r="H55" i="34"/>
  <c r="H56" i="34"/>
  <c r="H46" i="34"/>
  <c r="H43" i="34"/>
  <c r="H44" i="34"/>
  <c r="H24" i="34"/>
  <c r="I55" i="34"/>
  <c r="H57" i="34"/>
  <c r="H22" i="34"/>
  <c r="H21" i="34"/>
  <c r="I21" i="34" s="1"/>
  <c r="H19" i="34"/>
  <c r="I19" i="34" s="1"/>
  <c r="H17" i="34"/>
  <c r="H15" i="34"/>
  <c r="I15" i="34" s="1"/>
  <c r="H11" i="34"/>
  <c r="I11" i="34" s="1"/>
  <c r="H8" i="34"/>
  <c r="I8" i="34" s="1"/>
  <c r="E47" i="34"/>
  <c r="F47" i="34" s="1"/>
  <c r="H47" i="34"/>
  <c r="I47" i="34" s="1"/>
  <c r="E34" i="34"/>
  <c r="F34" i="34" s="1"/>
  <c r="H30" i="34"/>
  <c r="I30" i="34" s="1"/>
  <c r="H28" i="34"/>
  <c r="I59" i="34"/>
  <c r="H38" i="34"/>
  <c r="I38" i="34" s="1"/>
  <c r="H67" i="34"/>
  <c r="I67" i="34" s="1"/>
  <c r="H62" i="34"/>
  <c r="I62" i="34" s="1"/>
  <c r="H63" i="34"/>
  <c r="I63" i="34" s="1"/>
  <c r="H60" i="34"/>
  <c r="I60" i="34" s="1"/>
  <c r="H68" i="34"/>
  <c r="I68" i="34" s="1"/>
  <c r="E51" i="34"/>
  <c r="F51" i="34" s="1"/>
  <c r="I53" i="29"/>
  <c r="I53" i="34"/>
  <c r="I56" i="34"/>
  <c r="I46" i="34"/>
  <c r="I44" i="34"/>
  <c r="H45" i="34"/>
  <c r="I45" i="34" s="1"/>
  <c r="E44" i="34"/>
  <c r="F44" i="34" s="1"/>
  <c r="I44" i="29"/>
  <c r="H39" i="34"/>
  <c r="I39" i="34" s="1"/>
  <c r="I36" i="29"/>
  <c r="H26" i="34"/>
  <c r="I26" i="34" s="1"/>
  <c r="H25" i="34"/>
  <c r="I25" i="34" s="1"/>
  <c r="I23" i="29"/>
  <c r="I60" i="1"/>
  <c r="H58" i="34"/>
  <c r="I58" i="34" s="1"/>
  <c r="I22" i="34"/>
  <c r="E22" i="34"/>
  <c r="F22" i="34" s="1"/>
  <c r="I21" i="30"/>
  <c r="I19" i="29"/>
  <c r="H20" i="34"/>
  <c r="I20" i="34" s="1"/>
  <c r="H18" i="34"/>
  <c r="I18" i="34" s="1"/>
  <c r="I17" i="34"/>
  <c r="H16" i="34"/>
  <c r="I16" i="34" s="1"/>
  <c r="H14" i="34"/>
  <c r="H12" i="34"/>
  <c r="H10" i="34"/>
  <c r="I10" i="34" s="1"/>
  <c r="E8" i="34"/>
  <c r="F8" i="34" s="1"/>
  <c r="H7" i="34"/>
  <c r="I7" i="34" s="1"/>
  <c r="H6" i="34"/>
  <c r="I6" i="34" s="1"/>
  <c r="H5" i="34"/>
  <c r="I5" i="34" s="1"/>
  <c r="I45" i="29"/>
  <c r="I47" i="29"/>
  <c r="I37" i="29"/>
  <c r="H34" i="34"/>
  <c r="I34" i="34" s="1"/>
  <c r="H35" i="34"/>
  <c r="I35" i="34" s="1"/>
  <c r="I35" i="29"/>
  <c r="H33" i="34"/>
  <c r="I33" i="34" s="1"/>
  <c r="H32" i="34"/>
  <c r="I32" i="34" s="1"/>
  <c r="H31" i="34"/>
  <c r="I31" i="34" s="1"/>
  <c r="H29" i="34"/>
  <c r="I29" i="34" s="1"/>
  <c r="H61" i="34"/>
  <c r="I61" i="34" s="1"/>
  <c r="H51" i="34"/>
  <c r="I51" i="34" s="1"/>
  <c r="I50" i="34"/>
  <c r="H49" i="34"/>
  <c r="I49" i="34" s="1"/>
  <c r="H2" i="18"/>
  <c r="I2" i="18" s="1"/>
  <c r="H2" i="1"/>
  <c r="I2" i="1" s="1"/>
  <c r="E2" i="18"/>
  <c r="F2" i="18" s="1"/>
  <c r="H27" i="34"/>
  <c r="I27" i="34" s="1"/>
  <c r="H40" i="34"/>
  <c r="I40" i="34" s="1"/>
  <c r="E2" i="1"/>
  <c r="F2" i="1" s="1"/>
  <c r="I67" i="29"/>
  <c r="H48" i="34"/>
  <c r="I48" i="34" s="1"/>
  <c r="E35" i="34"/>
  <c r="F35" i="34" s="1"/>
  <c r="I5" i="30"/>
  <c r="I42" i="34"/>
  <c r="E54" i="34"/>
  <c r="F54" i="34" s="1"/>
  <c r="E21" i="34"/>
  <c r="F21" i="34" s="1"/>
  <c r="E38" i="34"/>
  <c r="F38" i="34" s="1"/>
  <c r="E55" i="34"/>
  <c r="F55" i="34" s="1"/>
  <c r="E39" i="34"/>
  <c r="F39" i="34" s="1"/>
  <c r="I43" i="34"/>
  <c r="I52" i="34"/>
  <c r="I14" i="34"/>
  <c r="I16" i="30"/>
  <c r="I14" i="30"/>
  <c r="H9" i="34"/>
  <c r="I9" i="34" s="1"/>
  <c r="I6" i="30"/>
  <c r="I4" i="34"/>
  <c r="E30" i="34"/>
  <c r="F30" i="34" s="1"/>
  <c r="E26" i="34"/>
  <c r="F26" i="34" s="1"/>
  <c r="E17" i="34"/>
  <c r="F17" i="34" s="1"/>
  <c r="E52" i="34"/>
  <c r="F52" i="34" s="1"/>
  <c r="E27" i="34"/>
  <c r="F27" i="34" s="1"/>
  <c r="E18" i="34"/>
  <c r="F18" i="34" s="1"/>
  <c r="E62" i="34"/>
  <c r="F62" i="34" s="1"/>
  <c r="E16" i="34"/>
  <c r="F16" i="34" s="1"/>
  <c r="I4" i="30"/>
  <c r="H2" i="30"/>
  <c r="I2" i="30" s="1"/>
  <c r="I37" i="34"/>
  <c r="E32" i="34"/>
  <c r="F32" i="34" s="1"/>
  <c r="I8" i="30"/>
  <c r="H13" i="34"/>
  <c r="I13" i="34" s="1"/>
  <c r="E67" i="34"/>
  <c r="F67" i="34" s="1"/>
  <c r="E57" i="34"/>
  <c r="F57" i="34" s="1"/>
  <c r="I12" i="34"/>
  <c r="I28" i="34"/>
  <c r="E11" i="34"/>
  <c r="F11" i="34" s="1"/>
  <c r="E41" i="34"/>
  <c r="F41" i="34" s="1"/>
  <c r="E12" i="34"/>
  <c r="F12" i="34" s="1"/>
  <c r="E61" i="34"/>
  <c r="F61" i="34" s="1"/>
  <c r="E5" i="34"/>
  <c r="F5" i="34" s="1"/>
  <c r="E50" i="34"/>
  <c r="F50" i="34" s="1"/>
  <c r="I24" i="34"/>
  <c r="E15" i="34"/>
  <c r="F15" i="34" s="1"/>
  <c r="E42" i="34"/>
  <c r="F42" i="34" s="1"/>
  <c r="E7" i="34"/>
  <c r="F7" i="34" s="1"/>
  <c r="E2" i="30"/>
  <c r="F2" i="30" s="1"/>
  <c r="E23" i="34"/>
  <c r="F23" i="34" s="1"/>
  <c r="E45" i="34"/>
  <c r="F45" i="34" s="1"/>
  <c r="E63" i="34"/>
  <c r="F63" i="34" s="1"/>
  <c r="E20" i="34"/>
  <c r="F20" i="34" s="1"/>
  <c r="E64" i="34"/>
  <c r="F64" i="34" s="1"/>
  <c r="E46" i="34"/>
  <c r="F46" i="34" s="1"/>
  <c r="E13" i="34"/>
  <c r="F13" i="34" s="1"/>
  <c r="E4" i="34"/>
  <c r="F4" i="34" s="1"/>
  <c r="E10" i="34"/>
  <c r="F10" i="34" s="1"/>
  <c r="E40" i="34"/>
  <c r="F40" i="34" s="1"/>
  <c r="E36" i="34"/>
  <c r="F36" i="34" s="1"/>
  <c r="E31" i="34"/>
  <c r="F31" i="34" s="1"/>
  <c r="E65" i="34"/>
  <c r="F65" i="34" s="1"/>
  <c r="E33" i="34"/>
  <c r="F33" i="34" s="1"/>
  <c r="E9" i="34"/>
  <c r="F9" i="34" s="1"/>
  <c r="E53" i="34"/>
  <c r="F53" i="34" s="1"/>
  <c r="E49" i="34"/>
  <c r="F49" i="34" s="1"/>
  <c r="I57" i="34"/>
  <c r="E24" i="34"/>
  <c r="F24" i="34" s="1"/>
  <c r="E48" i="34"/>
  <c r="F48" i="34" s="1"/>
  <c r="E59" i="34"/>
  <c r="F59" i="34" s="1"/>
  <c r="E28" i="34"/>
  <c r="F28" i="34" s="1"/>
  <c r="E60" i="34"/>
  <c r="F60" i="34" s="1"/>
  <c r="I23" i="34"/>
  <c r="I36" i="34"/>
  <c r="E43" i="34"/>
  <c r="F43" i="34" s="1"/>
  <c r="E14" i="34"/>
  <c r="F14" i="34" s="1"/>
  <c r="E25" i="34"/>
  <c r="F25" i="34" s="1"/>
  <c r="E56" i="34"/>
  <c r="F56" i="34" s="1"/>
  <c r="E29" i="34"/>
  <c r="F29" i="34" s="1"/>
  <c r="E19" i="34"/>
  <c r="F19" i="34" s="1"/>
  <c r="E58" i="34"/>
  <c r="F58" i="34" s="1"/>
  <c r="C2" i="34"/>
  <c r="D2" i="34"/>
  <c r="E37" i="34"/>
  <c r="F37" i="34" s="1"/>
  <c r="E2" i="29"/>
  <c r="F2" i="29" s="1"/>
  <c r="G2" i="34"/>
  <c r="H2" i="29"/>
  <c r="I2" i="29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<sst xmlns="http://schemas.openxmlformats.org/spreadsheetml/2006/main" count="896" uniqueCount="448">
  <si>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</si>
  <si>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</si>
  <si>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</si>
  <si>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</si>
  <si>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</si>
  <si>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</si>
  <si>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</si>
  <si>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</si>
  <si>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</si>
  <si>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</si>
  <si>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</si>
  <si>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</si>
  <si>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</si>
  <si>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</si>
  <si>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</si>
  <si>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</si>
  <si>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</si>
  <si>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</si>
  <si>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</si>
  <si>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</si>
  <si>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</si>
  <si>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</si>
  <si>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</si>
  <si>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</si>
  <si>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</si>
  <si>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</si>
  <si>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</si>
  <si>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</si>
  <si>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</si>
  <si>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</si>
  <si>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</si>
  <si>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</si>
  <si>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</si>
  <si>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</si>
  <si>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</si>
  <si>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</si>
  <si>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</si>
  <si>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</si>
  <si>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</si>
  <si>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</si>
  <si>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</si>
  <si>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</si>
  <si>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</si>
  <si>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</si>
  <si>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</si>
  <si>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</si>
  <si>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</si>
  <si>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</si>
  <si>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</si>
  <si>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</si>
  <si>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</si>
  <si>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</si>
  <si>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</si>
  <si>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</si>
  <si>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</si>
  <si>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</si>
  <si>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</si>
  <si>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</si>
  <si>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</si>
  <si>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</si>
  <si>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</si>
  <si>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</si>
  <si>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</si>
  <si>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</si>
  <si>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</si>
  <si>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1. Meter was stopped reporting from 6/17 at 7:00 AM and still no communication, due to that the actual generation values were low</t>
  </si>
  <si>
    <t>1. SR086338</t>
  </si>
  <si>
    <t>1. Site tripped offline at 01:05PM on 06/15 and back online at 2:20PM on 06/15</t>
  </si>
  <si>
    <t>1. 	SR086266</t>
  </si>
  <si>
    <t>1. Inverter 3 offline from 07:30AM on 06/08 and back online at 07:30AM on 06/11
Inverter again offline from 07:30AM on 06/18 and back online at 07:35AM on 06/22 and also Inverter again offline from 06/23 
2. Inverter 1 tripped offline at 07:00AM on 06/28 and back online at 07:00AM on 06/30. and also Inverter 1 again tripped offline at on 06/30 and back online at on 07/03.</t>
  </si>
  <si>
    <t>1. 	SR087100
2. SR087100</t>
  </si>
  <si>
    <t>1. Meter was stopped reporting from 12:05PM on 06/04 and again started reporting from 11:30AM on 06/19</t>
  </si>
  <si>
    <t>1. SR085729</t>
  </si>
  <si>
    <t>1. Inverter was offline from 10:25AM to 12:10PM on 06/20.
2. Inverter was offline from 13:35 to 16:45 on 06/21.
3. Inverter tripped offline at 16:10 on 06/22 and back online at 08:15AM on 06/23</t>
  </si>
  <si>
    <t>1. SR086482
2. SR086612
3. SR086720</t>
  </si>
  <si>
    <t>1. Inverter 10 was offline on 06/17 and is being RMA'd 
2. Inverter 20 was offline from 06/27</t>
  </si>
  <si>
    <t>1. SR086339,SR086973
2. SR087029</t>
  </si>
  <si>
    <t>July Actual v. Expected</t>
  </si>
  <si>
    <t>July Actual v. Forecasted</t>
  </si>
  <si>
    <t>1.Inverter 5 tripped offline at 10:40am on 07/12 and back online at 3:30pm on 07/22. 
2.Meter has not communicated from 06/17 and regained its communication on 07/13. Again meter stopped communicating on 07/23 and regained communication on 07/30.</t>
  </si>
  <si>
    <t>1.SR087625
2.SR086338</t>
  </si>
  <si>
    <t>1.Inverter was taken offline from 12:20 on 07/15 to 14:50 on 07/15.</t>
  </si>
  <si>
    <t>1.PM8439</t>
  </si>
  <si>
    <t>1.Inverter 3 offline from 07/01 and back online at 07:35AM on 07/02.
2.Inverter 1 offline from 07/01 and back online at 02:40PM on 07/03.
3.Inverter 2 is offline on 07/16 and back online on 07/17 and also again offline on 07/19 and back online on 07/20.</t>
  </si>
  <si>
    <t>1.SR087100
2.SR087100
3.SR087740</t>
  </si>
  <si>
    <t>1.Inverter have multiple tripping events through out the month.</t>
  </si>
  <si>
    <t>1.SR087422</t>
  </si>
  <si>
    <t>1.Inverter tripped offline at 03:20PM on 07/17 and back online at 4:25PM on same day.</t>
  </si>
  <si>
    <t>1.SR087851</t>
  </si>
  <si>
    <t>1.site is underperforming compared to previous year by about 2.5%, and peak power is about 9% low</t>
  </si>
  <si>
    <t>1.SR087900</t>
  </si>
  <si>
    <t xml:space="preserve">1.Inverter 20 offline from 07/01 and back online on 07/19 at 10:15AM and also again offline from 07/22.
2.Inverter 10 offline from 07/01 and is being RMA'd </t>
  </si>
  <si>
    <t>1.SR087994
2.SR086339,SR086973</t>
  </si>
  <si>
    <t>1.Inverter tripped offline at 2:40 on 07/10 and back online at 04:20PM.</t>
  </si>
  <si>
    <t>1.SR087560</t>
  </si>
  <si>
    <t>1.Site tripped offline on 07/09 at 06:20AM and back online at 12:45PM on 07/10.</t>
  </si>
  <si>
    <t>1.SR087539</t>
  </si>
  <si>
    <t>August Actual v. Expected</t>
  </si>
  <si>
    <t>August Actual v. Forecasted</t>
  </si>
  <si>
    <t>1.Inverter 5 underperforming ~10kW, possibly 2 strings down.</t>
  </si>
  <si>
    <t>1.SR089711</t>
  </si>
  <si>
    <t>1.Inverter frequently tripping on and off and reporting Erroneous values  from 08/08</t>
  </si>
  <si>
    <t>1.Site stopped communicating at 01:05 PM on 08/30, thermal damage to A and C phase blades and conductors in the AC Disconnect. The disconnect has been left in the off position.</t>
  </si>
  <si>
    <t>1.SR089765</t>
  </si>
  <si>
    <t xml:space="preserve">1.Site tripped offline at 09:30 Am On 08/12 , inverter voltages are dropped to zero but meter voltages are available </t>
  </si>
  <si>
    <t>1.SR088924</t>
  </si>
  <si>
    <t>1.site tripped offline at 9:05am on 08/17 till date</t>
  </si>
  <si>
    <t>1.SR089189</t>
  </si>
  <si>
    <t>1.Inverter 1 Pad 1 is back online at 14:40 on 08/02
2.Inverter 1 pad 1 and inverter 2 pad 1 were offline from 16:25 on 08/07 and back online at 15:30 on 08/19</t>
  </si>
  <si>
    <t>1.SR088545
2.SR088546</t>
  </si>
  <si>
    <t xml:space="preserve">1.Inverter Pad 2 Offline is offline from 08/01 and back online from 13:35 on 08/14
2.Inverter Pad 1 is offline from 08/25 and back online on 08/27 at 09:30
</t>
  </si>
  <si>
    <t xml:space="preserve">1.SR089022
2.SR089518
</t>
  </si>
  <si>
    <t>1.Inverter 2 Pad b is offline from 08/01 and inverter 1 pad b has tripped offline on 08/14 at 16:00 and inverter 1 pad b is back online on 08/23 at 14:05 &amp; inverter 2 pad A is offline on 08/25 through out the month</t>
  </si>
  <si>
    <t>1.SR088247, SR089669</t>
  </si>
  <si>
    <t>1.Site is online from 08/15 at 08:50</t>
  </si>
  <si>
    <t>1.SR089051</t>
  </si>
  <si>
    <t>1.Site is back online on 08/28</t>
  </si>
  <si>
    <t>1.SR089027</t>
  </si>
  <si>
    <t>1.Site back online on 08/15 at 13:05</t>
  </si>
  <si>
    <t>1.SR089028</t>
  </si>
  <si>
    <t>1.No communication to DAS, need a replacement needed for meter and modem</t>
  </si>
  <si>
    <t>1.SR089464</t>
  </si>
  <si>
    <t>1.Inverter 3 is offline throughout the month</t>
  </si>
  <si>
    <t>1.SR089460</t>
  </si>
  <si>
    <t>1.Site is back online on 08/15 at 13:15</t>
  </si>
  <si>
    <t>1.SR089031</t>
  </si>
  <si>
    <t>1.Inverters 3 &amp; 8 are offline through out the month</t>
  </si>
  <si>
    <t>1.SR089461</t>
  </si>
  <si>
    <t>1.Weather station is not communicating through out the month</t>
  </si>
  <si>
    <t>1.SR085968</t>
  </si>
  <si>
    <t xml:space="preserve">1.Weather station is not communicating through out the month
2.Inverter 2 offline through out the month
</t>
  </si>
  <si>
    <t>1.SR089470
2.SR089470</t>
  </si>
  <si>
    <t>1.Inverters A and B are offline through out the month, Pad C inverters 2 and 3 trip offline frequently</t>
  </si>
  <si>
    <t>1.SR089612</t>
  </si>
  <si>
    <t>1. Inverter 3 is being RMA'd (inverter 3 is offline from 08/19)</t>
  </si>
  <si>
    <t>1. SR086220</t>
  </si>
  <si>
    <t>1. Inverter 1 was not communicatig and inverter 3, 4 were offline.</t>
  </si>
  <si>
    <t>1. 	SR082817</t>
  </si>
  <si>
    <t>1. Weather station is reporting 0w/m2</t>
  </si>
  <si>
    <t>No SR</t>
  </si>
  <si>
    <t>1. Inverter 1 and 2 were offline from 08/01 and back online on 08/02 at 12:05pm</t>
  </si>
  <si>
    <t>1. SR089555</t>
  </si>
  <si>
    <t>1. Site offline through out the month</t>
  </si>
  <si>
    <t>1.SR080516</t>
  </si>
  <si>
    <t>1.Site is offline since 8/4</t>
  </si>
  <si>
    <t>1.SR089473</t>
  </si>
  <si>
    <t>1. Inverters 3, 7, 10, 11, 14, and 21 are offline for whole month.</t>
  </si>
  <si>
    <t>1. SR089474</t>
  </si>
  <si>
    <t>1. Inverters 3, 7 and 2 were offline for whole month</t>
  </si>
  <si>
    <t>1.Inverter 1 is back online on 09/04 at 15:00 inverter 2 offline for whole month</t>
  </si>
  <si>
    <t>1.SR089732</t>
  </si>
  <si>
    <t xml:space="preserve">1. Site was offline from 08/01 to 08/02 and again site tripped offline on 08/07 and back online on 08/08 site tripped offline on 08/16 and backonline on 08/20 and site tripped offline on 08/23. </t>
  </si>
  <si>
    <t>1. SR088795</t>
  </si>
  <si>
    <t xml:space="preserve">1. Inverter 1 being replaced and inverter 2 logic board being replaced. </t>
  </si>
  <si>
    <t>1. 	SR089732</t>
  </si>
  <si>
    <t>1. Site was not communicated from 08/01 to 08/15 and again site stopped communicating on 08/17.</t>
  </si>
  <si>
    <t>1. SR087889, SR088675</t>
  </si>
  <si>
    <t>1. Site is offline since 08/17. 
2. Inverter 1 was offline for whole month.</t>
  </si>
  <si>
    <t>1. SR089260
2. 	SR082867</t>
  </si>
  <si>
    <t>September Actual v. Expected</t>
  </si>
  <si>
    <t>September Actual v. Forecasted</t>
  </si>
  <si>
    <t>1.Site is back online on 09/27/2024</t>
  </si>
  <si>
    <t xml:space="preserve">1.Site tripped offline from 10:35 to 11:45 on 09/26/2024 </t>
  </si>
  <si>
    <t xml:space="preserve">1.SR090362	</t>
  </si>
  <si>
    <t>1.Inverter 2 pad (A&amp;B) and inverter 1 pad B offline whole month</t>
  </si>
  <si>
    <t>1. Inverter 2 pad A is offline from 08/25 and also Inverter 1 pad B offline from 9/10 through out the month</t>
  </si>
  <si>
    <t>1.SR089669</t>
  </si>
  <si>
    <t>1.SR089461,SR090375</t>
  </si>
  <si>
    <t>1.SR089470</t>
  </si>
  <si>
    <t>1.Inverters A and B are offline through out the month, Pad C inverters 2 and 3 trip offline frequently
2.Weather station stopped communicating since 9/11 through out the month.</t>
  </si>
  <si>
    <t>1.	SR089612
2.SR090298</t>
  </si>
  <si>
    <t>1.Inverter 3 is being RMA'd (inverter 3 is offline from 08/19)
2.Pyranometer has been giving bad readings. Prior to 9/25, the pyranometer read at most 450 W/m2. Since then, readings are between 950 and 400 W/m2
3.weather station 1 is offline</t>
  </si>
  <si>
    <t>1.SR086220
2.SR091312
3.SR090659</t>
  </si>
  <si>
    <t>1.Inverter 1 was not communicatig and inverter 3, 4 were offline.</t>
  </si>
  <si>
    <t>1.	SR090378</t>
  </si>
  <si>
    <t>1.Weather station is reporting 0w/m2</t>
  </si>
  <si>
    <t>1.Inverter trips on and offline frequently</t>
  </si>
  <si>
    <t>1.SR090965</t>
  </si>
  <si>
    <t>1.Site back online on 9/5 at 02:00pm</t>
  </si>
  <si>
    <t>1.Inverters 1 &amp; 2 were left offline due to AC surge warnings</t>
  </si>
  <si>
    <t>1.SR090053</t>
  </si>
  <si>
    <t>1. Weather station does not report irradiance during the day. Likely a faulty pyranometer through out the month.</t>
  </si>
  <si>
    <t>1.	SR090293</t>
  </si>
  <si>
    <t>1.Inverters 3, 7, 10, 11, 14, and 21 are offline. Inverter 2 may have a string down through out the month</t>
  </si>
  <si>
    <t>1.	SR090381,SR090380
SR089474</t>
  </si>
  <si>
    <t>1.Inverters 3, 7, and 12 are offline through out month</t>
  </si>
  <si>
    <t>1.SR089477</t>
  </si>
  <si>
    <t>1.Inverter 1 offline from 9/14 back online on 9/19</t>
  </si>
  <si>
    <t>1.	SR090519</t>
  </si>
  <si>
    <t>1.Site back online on 9/21</t>
  </si>
  <si>
    <t>1.SR088795</t>
  </si>
  <si>
    <t>1.Site back online on 9/4
2.Inverter 3 offline from 9/6 back online on 9/12 at 13:40
3.Site offline from 9/24</t>
  </si>
  <si>
    <t>1. SR087889, SR088675
2.SR090295
3.	SR091141</t>
  </si>
  <si>
    <t xml:space="preserve">1.Site back online on 9/4
2.Inverter 1 offline from 9/4 through out the month
</t>
  </si>
  <si>
    <t>1.	SR089260
2.SR090296</t>
  </si>
  <si>
    <t>October Actual v. Expected</t>
  </si>
  <si>
    <t>October Actual v. Forecasted</t>
  </si>
  <si>
    <t>1. Inverter tripped offline at 17:45 on 10/03 and back online at 07:00AM on 10/04.</t>
  </si>
  <si>
    <t>1. SR091028</t>
  </si>
  <si>
    <t>1. Weather station reporting erroneous values from 10/11.
2. Site was not communicating from 10/25.</t>
  </si>
  <si>
    <t>1. SR092099
2. SR091792</t>
  </si>
  <si>
    <t>1. Inverter tripped offline  10/14, 10/15,10/16,10/25,10/26,10/27 and 10/28.</t>
  </si>
  <si>
    <t>1. SR092131, SR092936</t>
  </si>
  <si>
    <t>1. Meter production dropped at 11:00 10/11/24 and back online on 10/15/24.</t>
  </si>
  <si>
    <t>1. SR092067</t>
  </si>
  <si>
    <t xml:space="preserve">1.Site tripped offline at 09:30 AM on 08/12 , inverter voltages are dropped to zero but meter voltages are available </t>
  </si>
  <si>
    <t>1.Site tripped offline at 9:05am on 08/17 till date</t>
  </si>
  <si>
    <t>1.Inverter 1 offline from 10/19 through out the month.</t>
  </si>
  <si>
    <t>1.SR092376</t>
  </si>
  <si>
    <t>1.Inverter 2 pad (A&amp;B) and inverter 1 pad B back online on 10/28</t>
  </si>
  <si>
    <t>1. Meter is not capturing production. But we can confirm production at inverter level through out the month</t>
  </si>
  <si>
    <t>1.	SR091550</t>
  </si>
  <si>
    <t>1. Inverter tripped offline at 09:25AM on 10/20/2024 and back online at 08:25AM on 10/21/2024.</t>
  </si>
  <si>
    <t>1. SR092375</t>
  </si>
  <si>
    <t>1. SR092023, SR089707</t>
  </si>
  <si>
    <t>1. Inverter 3 tripped offline at 07:05PM on 03/31/2024 and back online at 2:00PM on 10/25/2024.</t>
  </si>
  <si>
    <t>1. Weather station is not communicating through out the month.</t>
  </si>
  <si>
    <t>1. SR092276</t>
  </si>
  <si>
    <t>1.Weather station is not communicating through out the month.
2. Pad 1 inverter 1 and 2 have no communication nor its respective meter and pad 2 the inverter 1 is not communicating but production is at the meter.</t>
  </si>
  <si>
    <t xml:space="preserve">1.SR085968
2. SR092256, SR090090 </t>
  </si>
  <si>
    <t>1. SR089470</t>
  </si>
  <si>
    <t xml:space="preserve">1.Inverters A and B are offline through out the month, Pad C inverters 2 and 3 trip offline frequently
2.Weather station stopped communicating since 9/11 through out the month.
</t>
  </si>
  <si>
    <t>1.SR089612
2.SR090298</t>
  </si>
  <si>
    <t xml:space="preserve">1.Inverter 3 is being RMA'd (inverter 3 is offline from 08/19)
2.Pyranometer has been giving bad readings. Prior to 9/25, the pyranometer read at most 450 W/m2. Since then, readings are between 950 and 400 W/m2
</t>
  </si>
  <si>
    <t>1.SR086220
2.SR091312</t>
  </si>
  <si>
    <t xml:space="preserve">1. Inverter 2 tripped offline at 7 AM and back online at 02:15PM on 10/29/2024.
2. The Site is underperforming by approximately 50kW, when comparing similar irradiance days from this year to last year around the same time period.
</t>
  </si>
  <si>
    <t>1. SR092737
2. SR092045</t>
  </si>
  <si>
    <t>1.Inverter trips on and offline frequently.</t>
  </si>
  <si>
    <t>1. 23 Modules need to be replace.</t>
  </si>
  <si>
    <t>1. SR090734</t>
  </si>
  <si>
    <t>1. Inverter 1 is offline through out the month and inverter 2 tripped offine at 12:15PM on 09/13/24 and back online at 8:45AM on 10/18/24.</t>
  </si>
  <si>
    <t>1. SR090053</t>
  </si>
  <si>
    <t>1. SR089474, SR090381, SR090380</t>
  </si>
  <si>
    <t>1. SR089477</t>
  </si>
  <si>
    <t>1. Due to technician dispacth site tripped offline on 10/30 from 09:50AM to 10:20AM.</t>
  </si>
  <si>
    <t xml:space="preserve">1. SR089732
</t>
  </si>
  <si>
    <t>1. Site tripped offline at 7:35 AM on 09/24 and back online at 1:00PM on 10/02/24.
2. Site tripped offline at 8:35PM on 10/04 and back online at 08:50AM on 10/09/24.
3. Inverter 1 is underperforming 130KW compared to its peers.</t>
  </si>
  <si>
    <t>1. SR091141
2. SR091814
3. SR092170</t>
  </si>
  <si>
    <t>1. Inverter 1 is offline from 9/06 and back online 10/10, again tripped offline at 11:55AM on 10/15 and back online on 10/16.
2. Site is offline from 6:45AM to 12:45PM on 10/02/24
3. Site tripped offline at 11:55AM on 10/15/24 and back online at 9:25AM on 10/16/24.
4. Inverter 2 is underperforming  130KW compared to its peers.</t>
  </si>
  <si>
    <t>1. SR090296
2. SR091672
3. SR092177
4. SR092171, SR092170</t>
  </si>
  <si>
    <t>November Actual v. Expected</t>
  </si>
  <si>
    <t>November Actual v. Forecasted</t>
  </si>
  <si>
    <t>1. Weather station is reporting accurate values from 11/20/24
2. Site started communicating at 10:25 from 11/20/24</t>
  </si>
  <si>
    <t xml:space="preserve">1. Inverter is tripping on and off through out the month </t>
  </si>
  <si>
    <t>1. SR093122, SR092936,  SR092131</t>
  </si>
  <si>
    <t xml:space="preserve">1. Site tripped offline at 09:30 AM on 08/12 , inverter voltages are dropped to zero but meter voltages are available </t>
  </si>
  <si>
    <t>1. SR088924,SR093861</t>
  </si>
  <si>
    <t>1. Site tripped offline at 9:05am on 08/17 till date</t>
  </si>
  <si>
    <t>1. SR089189</t>
  </si>
  <si>
    <t>1. Inverter 1 back online at 12:45PM on 11/13/24.</t>
  </si>
  <si>
    <r>
      <t>1.</t>
    </r>
    <r>
      <rPr>
        <sz val="11"/>
        <color rgb="FF000000"/>
        <rFont val="Calibri"/>
        <scheme val="minor"/>
      </rPr>
      <t xml:space="preserve"> SR092376</t>
    </r>
  </si>
  <si>
    <t>1. Inverter 2 Pad B tripped offline at 9:35AM from 11/02/24 through out the month
2. Inverter 1 is offline from 11/28/24 through out the month.</t>
  </si>
  <si>
    <t>1. SR089669
2. SR093710</t>
  </si>
  <si>
    <t>1. No communication to DAS, need a replacement needed for meter and modem
2. Weather station reporting zero value through out the month.</t>
  </si>
  <si>
    <t>1. SR092023, SR089707
2. SR093065</t>
  </si>
  <si>
    <t>1.No communication to DAS, need a replacement needed for meter and modem.</t>
  </si>
  <si>
    <t>1.SR089464, SR093180, SR093174</t>
  </si>
  <si>
    <t>1. Inverter 3 is offline from 11/27/24 through out the month.</t>
  </si>
  <si>
    <t>1. SR093680</t>
  </si>
  <si>
    <t>1. SR089461, SR090375</t>
  </si>
  <si>
    <t xml:space="preserve">1. SR085968
2. SR092256, SR090090 </t>
  </si>
  <si>
    <t>1. SR089470, SR092603</t>
  </si>
  <si>
    <t>1. No communication to DAS from 10/14.
2.Inverter 3 was back online on 11/15/2024 but we cannot confirm through SCADA since site is not communicating
3.Pyranometer has been giving bad readings. Prior to 9/25, the pyranometer read at most 450 W/m2. Since then, readings are between 950 and 400 W/m2</t>
  </si>
  <si>
    <t>1. SR092166
2. SR086220
3. SR091312</t>
  </si>
  <si>
    <t>1. Inverter 1 tripped offline at 01:50 PST on 11/21.</t>
  </si>
  <si>
    <t>1. SR093510</t>
  </si>
  <si>
    <t>1. Inverter 2 tripped offline at 4:30PM on 11/15/24 and back online at 02:05PM on 11/22/24.</t>
  </si>
  <si>
    <t>1. SR093369, SR093695</t>
  </si>
  <si>
    <t>1. Inverter 1 is offline through out the month.</t>
  </si>
  <si>
    <t>1. SR090053, SR092987</t>
  </si>
  <si>
    <t>1. SR090293</t>
  </si>
  <si>
    <t>1. Inverter 1 &amp;2 are offline and parts needed to bring these two  inverters back online</t>
  </si>
  <si>
    <t>1. SR089732</t>
  </si>
  <si>
    <t>1.Planned outage from10:45AM on 11/17/24 and back online at 10:35AM on 11/18/24.</t>
  </si>
  <si>
    <t>1. SR093359, SR092562</t>
  </si>
  <si>
    <t xml:space="preserve">1. Inverter 2's production being affected in the afternoon hours possibly due to stuck trackers.
2. Planned outage from 10:40AM on 11/17/24 and back online at 10:10AM on 11/18/24.
3. Inverter 1 is underperforming and needs to have its surge protectors replaced.
</t>
  </si>
  <si>
    <t>1. SR092171, SR092455
2. SR093360
3. SR090296</t>
  </si>
  <si>
    <t>December Actual v. Expected</t>
  </si>
  <si>
    <t>December Actual v. Forecasted</t>
  </si>
  <si>
    <t>1. Inverter is tripped offline at 8:25AM on 12/06/24 and back online at 8:00AM on 12/07.</t>
  </si>
  <si>
    <t>1. SR094211</t>
  </si>
  <si>
    <t>1. Inverter 7 and 8 tripped offline at 8:30AM on 12/03/2024 through the month.
2. Inverter 4 is  tripped offline at 13:35 on 12/30/2024 through the month.</t>
  </si>
  <si>
    <t>1. SR093917
2. SR095177</t>
  </si>
  <si>
    <t>1. Inverter is tripping on and off from 10/14/24 and issue resolved on 12/18</t>
  </si>
  <si>
    <t>1. Inverter 1 is tripped offline at 10:35AM on 12/12 and back online at 7:15AM on 12/13.</t>
  </si>
  <si>
    <t>1. SR094529</t>
  </si>
  <si>
    <t xml:space="preserve">1. Site tripped offline at 09:30 AM from 08/12 , inverter voltages are dropped to zero but meter voltages are available </t>
  </si>
  <si>
    <t xml:space="preserve">1. Inverter 2 Pad B tripped offline at 9:35AM from 11/02/24 through out the month.
2. Inverter 1 Pad  A is back online at 11:10AM  on  12/11/24.
</t>
  </si>
  <si>
    <t>1. Site back communication at  9:15AM on 12/30/2024 and Inverter remains offline. 
2. Weather station started repoerting values from 12/30/2024.</t>
  </si>
  <si>
    <t>1.Inverter 3 came back online at 11:00 AM on 12/2/2024, then tripped offline again on 12/25 and came back online on 12/27. It went offline again on 12/29 and back  online on 12/30.</t>
  </si>
  <si>
    <t>1. SR093680, SR095083</t>
  </si>
  <si>
    <t>1.Inverters 3 &amp; 8 are offline through out the month.</t>
  </si>
  <si>
    <t>1. Inverters A is offline through out the month and Inverter B is trip offline frequently.</t>
  </si>
  <si>
    <t>1. Weather station is reporting 0w/m2
Meter showing negative values from 12/04 at 12:00 and meter issue resolved on 12/28</t>
  </si>
  <si>
    <t>1.	SR090370</t>
  </si>
  <si>
    <t>1. Inverter 1 is  back online at 11:45 on 12/11/2024.
2. Inverter 1 is tripped offline at 16:05 on 12/30/2024 through out the month.</t>
  </si>
  <si>
    <t>1. SR093510
2. SR095191</t>
  </si>
  <si>
    <t>1. Inverter 2 is offline from 12/18/2024 and back online on 12/25/2024.</t>
  </si>
  <si>
    <t>1.SR090965, SR094547
&amp; SR094545</t>
  </si>
  <si>
    <t>1. Site tripped offline at 18:00 on 12/09/2024 and back online at  12:30 on 12/11/2024.
2. Inverter 1 is back online at 12:40 on 12/26/2024.</t>
  </si>
  <si>
    <t>1. SR094379
2. SR090053, SR092987</t>
  </si>
  <si>
    <t>1. Inverter 2 is offline and parts needed to bring these inverter back online.</t>
  </si>
  <si>
    <t>1. SR089732, SR094323</t>
  </si>
  <si>
    <t>1. Due to technician dispatch site tripped tripped offline from 7:55AM to 11:25AM on 12/24/2024.</t>
  </si>
  <si>
    <t>1. SR092562</t>
  </si>
  <si>
    <t>1. Inverter 2's production being affected in the afternoon hours possibly due to stuck trackers.
2. Inverter 1 is underperforming and needs to have its surge protectors replaced.</t>
  </si>
  <si>
    <t xml:space="preserve">1. SR092171, SR092455
2. SR090296  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</si>
  <si>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</si>
  <si>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</si>
  <si>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</si>
  <si>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</si>
  <si>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</si>
  <si>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</si>
  <si>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</si>
  <si>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</si>
  <si>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AAAAAAAAAAAAEEEEEEEEEEEEFFFFFFFFFFFF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</si>
  <si>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</si>
  <si>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</si>
  <si>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</si>
  <si>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</si>
  <si>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</si>
  <si>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</si>
  <si>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</si>
  <si>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</si>
  <si>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</si>
  <si>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</si>
  <si>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</si>
  <si>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</si>
  <si>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</si>
  <si>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</si>
  <si>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</si>
  <si>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</si>
  <si>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</si>
  <si>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</si>
  <si>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</si>
  <si>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</si>
  <si>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</si>
  <si>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</si>
  <si>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</si>
  <si>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</si>
  <si>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</si>
  <si>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</si>
  <si>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</si>
  <si>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</si>
  <si>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</si>
  <si>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</si>
  <si>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</si>
  <si>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</si>
  <si>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</si>
  <si>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</si>
  <si>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</si>
  <si>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</si>
  <si>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</si>
  <si>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</si>
  <si>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</si>
  <si>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</si>
  <si>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</si>
  <si>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</si>
  <si>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</si>
  <si>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</si>
  <si>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</si>
  <si>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</si>
  <si>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</si>
  <si>
    <t>zz.Mojave Water Agency - Headquarters</t>
  </si>
  <si>
    <t>Mojave Water Agency - Headquarters</t>
  </si>
  <si>
    <t>CA</t>
  </si>
  <si>
    <t>zz.CSU - Bakersfield</t>
  </si>
  <si>
    <t>CSU - Bakersfield</t>
  </si>
  <si>
    <t>zz.Greenfield USD - Fairfield ES</t>
  </si>
  <si>
    <t>Greenfield USD - Fairfield ES</t>
  </si>
  <si>
    <t>zz.Greenfield USD - Granite Point ES</t>
  </si>
  <si>
    <t>Greenfield USD - Granite Point ES</t>
  </si>
  <si>
    <t>zz.Greenfield USD - Greenfield MS</t>
  </si>
  <si>
    <t>Greenfield USD - Greenfield MS</t>
  </si>
  <si>
    <t>zz.Greenfield USD - Horizon ES</t>
  </si>
  <si>
    <t>Greenfield USD - Horizon ES</t>
  </si>
  <si>
    <t>zz.Greenfield USD - McKee MS</t>
  </si>
  <si>
    <t>Greenfield USD - McKee MS</t>
  </si>
  <si>
    <t>zz.Greenfield USD - Plantation ES</t>
  </si>
  <si>
    <t>Greenfield USD - Plantation ES</t>
  </si>
  <si>
    <t>zz.Greenfield USD - Planz ES</t>
  </si>
  <si>
    <t>Greenfield USD - Planz ES</t>
  </si>
  <si>
    <t>zz.Greenfield USD - Raffaello Palla ES</t>
  </si>
  <si>
    <t>Greenfield USD - Raffaello Palla ES</t>
  </si>
  <si>
    <t>zz.Greenfield USD - Valle Verde ES</t>
  </si>
  <si>
    <t>Greenfield USD - Valle Verde ES</t>
  </si>
  <si>
    <t>zz.Greenfield USD - W.A. Kendrick ES</t>
  </si>
  <si>
    <t>Greenfield USD - W.A. Kendrick ES</t>
  </si>
  <si>
    <t>zz.Muroc Joint USD - Boron HS</t>
  </si>
  <si>
    <t>Muroc Joint USD - Boron HS</t>
  </si>
  <si>
    <t>zz.Muroc Joint USD - W. Boron ES</t>
  </si>
  <si>
    <t>Muroc Joint USD - W. Boron ES</t>
  </si>
  <si>
    <t>zz.Colusa - WTP</t>
  </si>
  <si>
    <t>Colusa - WTP</t>
  </si>
  <si>
    <t>zz.CDCR-North Kern State Prision</t>
  </si>
  <si>
    <t>CDCR-North Kern State Prision</t>
  </si>
  <si>
    <t>zz.Muroc Joint USD - District Office</t>
  </si>
  <si>
    <t>Muroc Joint USD - District Office</t>
  </si>
  <si>
    <t>zz.Whole Foods - Manhattan Beach</t>
  </si>
  <si>
    <t>Whole Foods - Manhattan Beach</t>
  </si>
  <si>
    <t>zz.Pioneer USD - Frontier ES</t>
  </si>
  <si>
    <t>Pioneer USD - Frontier ES</t>
  </si>
  <si>
    <t>zz.Pioneer USD - Pioneer ES</t>
  </si>
  <si>
    <t>Pioneer USD - Pioneer ES</t>
  </si>
  <si>
    <t>zz.Pioneer USD - Pioneer MS</t>
  </si>
  <si>
    <t>Pioneer USD - Pioneer MS</t>
  </si>
  <si>
    <t>zz.Kingsburg Joint UHSD - Kingsburg HS</t>
  </si>
  <si>
    <t>Kingsburg Joint UHSD - Kingsburg HS</t>
  </si>
  <si>
    <t>CADRB</t>
  </si>
  <si>
    <t>zz.CDCR-CA State Prison LA County</t>
  </si>
  <si>
    <t>CDCR-CA State Prison LA County</t>
  </si>
  <si>
    <t>zz.Central USD Akers ES</t>
  </si>
  <si>
    <t>Central USD Akers ES</t>
  </si>
  <si>
    <t>zz.CUSD - District Office</t>
  </si>
  <si>
    <t>CUSD - District Office</t>
  </si>
  <si>
    <t>zz.Parlier - WTP</t>
  </si>
  <si>
    <t>Parlier - WTP</t>
  </si>
  <si>
    <t>zz.Snowline SD - Quail Valley MS</t>
  </si>
  <si>
    <t>Snowline SD - Quail Valley MS</t>
  </si>
  <si>
    <t>zz.Snowline SD - Serrano HS - Middle Lot</t>
  </si>
  <si>
    <t>Snowline SD - Serrano HS - Middle Lot</t>
  </si>
  <si>
    <t>zz.Snowline SD - Pinon Hills ES</t>
  </si>
  <si>
    <t>Snowline SD - Pinon Hills ES</t>
  </si>
  <si>
    <t>zz.Ramona - Santa Maria WTP</t>
  </si>
  <si>
    <t>Ramona - Santa Maria WTP</t>
  </si>
  <si>
    <t>zz.Kohls - Redding</t>
  </si>
  <si>
    <t>Kohls - Redding</t>
  </si>
  <si>
    <t>zz.Kohls - Salinas</t>
  </si>
  <si>
    <t>Kohls - Salinas</t>
  </si>
  <si>
    <t>zz.Kohls - San Bernardino - Central</t>
  </si>
  <si>
    <t>Kohls - San Bernardino - Central</t>
  </si>
  <si>
    <t>zz.Kohls - Sonora</t>
  </si>
  <si>
    <t>Kohls - Sonora</t>
  </si>
  <si>
    <t>zz.CUSD - Stratford ES</t>
  </si>
  <si>
    <t>CUSD - Stratford ES</t>
  </si>
  <si>
    <t>zz.Taft - City Hall</t>
  </si>
  <si>
    <t>Taft - City Hall</t>
  </si>
  <si>
    <t>zz.Taft - Federal Prison</t>
  </si>
  <si>
    <t>Taft - Federal Prison</t>
  </si>
  <si>
    <t>zz.Taft - Police Department</t>
  </si>
  <si>
    <t>Taft - Police Department</t>
  </si>
  <si>
    <t>Taft - WTP</t>
  </si>
  <si>
    <t>zz.CDCR - CA Correctional Institution</t>
  </si>
  <si>
    <t>CDCR - CA Correctional Institution</t>
  </si>
  <si>
    <t>zz.CDCR - CA Correctional Institution II</t>
  </si>
  <si>
    <t>CDCR - CA Correctional Institution II</t>
  </si>
  <si>
    <t>zz.Snowline SD - Vista Verde ES</t>
  </si>
  <si>
    <t>Snowline SD - Vista Verde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</si>
</sst>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9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  <font>
      <sz val="8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0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</cellStyleXfs>
  <cellXfs count="103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3" fontId="27" fillId="36" borderId="1" xfId="0" applyNumberFormat="1" applyFont="1" applyFill="1" applyBorder="1" applyAlignment="1">
      <alignment horizontal="center" vertical="center"/>
    </xf>
    <xf numFmtId="9" fontId="27" fillId="36" borderId="1" xfId="0" applyNumberFormat="1" applyFont="1" applyFill="1" applyBorder="1" applyAlignment="1">
      <alignment horizontal="center" vertical="center"/>
    </xf>
    <xf numFmtId="3" fontId="27" fillId="36" borderId="1" xfId="1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49" fontId="30" fillId="40" borderId="0" xfId="0" applyNumberFormat="1" applyFont="1" applyFill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164" fontId="30" fillId="0" borderId="0" xfId="1" applyNumberFormat="1" applyFont="1" applyBorder="1" applyAlignment="1">
      <alignment horizontal="center" vertical="center"/>
    </xf>
    <xf numFmtId="49" fontId="29" fillId="40" borderId="0" xfId="0" applyNumberFormat="1" applyFont="1" applyFill="1" applyAlignment="1">
      <alignment horizontal="center" vertical="center"/>
    </xf>
    <xf numFmtId="3" fontId="32" fillId="3" borderId="0" xfId="0" applyNumberFormat="1" applyFont="1" applyFill="1" applyAlignment="1">
      <alignment horizontal="right" vertical="center"/>
    </xf>
    <xf numFmtId="9" fontId="32" fillId="3" borderId="0" xfId="2" applyFont="1" applyFill="1" applyBorder="1" applyAlignment="1">
      <alignment horizontal="center" vertical="center"/>
    </xf>
    <xf numFmtId="3" fontId="32" fillId="4" borderId="0" xfId="1" applyNumberFormat="1" applyFont="1" applyFill="1" applyBorder="1" applyAlignment="1">
      <alignment vertical="center"/>
    </xf>
    <xf numFmtId="9" fontId="32" fillId="37" borderId="0" xfId="2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right" vertical="center"/>
    </xf>
    <xf numFmtId="9" fontId="32" fillId="0" borderId="0" xfId="2" applyFont="1" applyFill="1" applyBorder="1" applyAlignment="1">
      <alignment horizontal="center" vertical="center"/>
    </xf>
    <xf numFmtId="3" fontId="32" fillId="0" borderId="0" xfId="1" applyNumberFormat="1" applyFont="1" applyFill="1" applyBorder="1" applyAlignment="1">
      <alignment vertical="center"/>
    </xf>
    <xf numFmtId="0" fontId="34" fillId="0" borderId="0" xfId="0" applyFont="1"/>
    <xf numFmtId="9" fontId="33" fillId="0" borderId="0" xfId="2" applyFont="1" applyAlignment="1">
      <alignment horizontal="center"/>
    </xf>
    <xf numFmtId="0" fontId="31" fillId="43" borderId="1" xfId="0" applyFont="1" applyFill="1" applyBorder="1" applyAlignment="1">
      <alignment horizontal="center" vertical="center" wrapText="1"/>
    </xf>
    <xf numFmtId="164" fontId="30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1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0" fillId="40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40" borderId="0" xfId="0" applyFont="1" applyFill="1" applyAlignment="1">
      <alignment horizontal="center"/>
    </xf>
    <xf numFmtId="0" fontId="32" fillId="0" borderId="0" xfId="0" applyFont="1"/>
    <xf numFmtId="0" fontId="27" fillId="0" borderId="0" xfId="0" applyFont="1"/>
    <xf numFmtId="0" fontId="26" fillId="41" borderId="1" xfId="0" applyFont="1" applyFill="1" applyBorder="1" applyAlignment="1">
      <alignment horizontal="center" vertical="center" wrapText="1"/>
    </xf>
    <xf numFmtId="9" fontId="26" fillId="41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/>
    </xf>
    <xf numFmtId="0" fontId="26" fillId="42" borderId="1" xfId="0" applyFont="1" applyFill="1" applyBorder="1" applyAlignment="1">
      <alignment horizontal="center" vertical="center" wrapText="1"/>
    </xf>
    <xf numFmtId="9" fontId="26" fillId="42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 vertical="center"/>
    </xf>
    <xf numFmtId="49" fontId="32" fillId="38" borderId="0" xfId="2" applyNumberFormat="1" applyFont="1" applyFill="1" applyBorder="1" applyAlignment="1">
      <alignment vertical="top" wrapText="1"/>
    </xf>
    <xf numFmtId="49" fontId="30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24" fillId="0" borderId="0" xfId="43" applyFont="1" applyAlignment="1">
      <alignment horizontal="center" vertical="center"/>
    </xf>
    <xf numFmtId="49" fontId="29" fillId="40" borderId="0" xfId="0" applyNumberFormat="1" applyFont="1" applyFill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6" fillId="40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29" fillId="40" borderId="0" xfId="0" applyFont="1" applyFill="1" applyAlignment="1">
      <alignment horizontal="left" vertical="center"/>
    </xf>
    <xf numFmtId="49" fontId="30" fillId="0" borderId="0" xfId="0" applyNumberFormat="1" applyFont="1" applyAlignment="1">
      <alignment vertical="top" wrapText="1"/>
    </xf>
    <xf numFmtId="49" fontId="30" fillId="0" borderId="0" xfId="0" applyNumberFormat="1" applyFont="1" applyAlignment="1">
      <alignment horizontal="left" vertical="top" wrapText="1"/>
    </xf>
    <xf numFmtId="49" fontId="38" fillId="0" borderId="0" xfId="0" applyNumberFormat="1" applyFont="1" applyAlignment="1">
      <alignment vertical="center" wrapText="1"/>
    </xf>
    <xf numFmtId="49" fontId="32" fillId="38" borderId="0" xfId="2" applyNumberFormat="1" applyFont="1" applyFill="1" applyBorder="1" applyAlignment="1">
      <alignment horizontal="left" vertical="top" wrapText="1"/>
    </xf>
    <xf numFmtId="49" fontId="37" fillId="38" borderId="0" xfId="2" applyNumberFormat="1" applyFont="1" applyFill="1" applyBorder="1" applyAlignment="1">
      <alignment horizontal="left" vertical="top" wrapText="1"/>
    </xf>
    <xf numFmtId="49" fontId="29" fillId="0" borderId="0" xfId="0" applyNumberFormat="1" applyFont="1" applyAlignment="1">
      <alignment horizontal="left" vertical="top" wrapText="1"/>
    </xf>
    <xf numFmtId="0" fontId="39" fillId="0" borderId="0" xfId="0" applyFont="1"/>
    <xf numFmtId="49" fontId="30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vertical="top" wrapText="1"/>
    </xf>
    <xf numFmtId="9" fontId="32" fillId="3" borderId="0" xfId="2" applyFont="1" applyFill="1" applyAlignment="1">
      <alignment horizontal="center" vertical="center"/>
    </xf>
    <xf numFmtId="3" fontId="32" fillId="0" borderId="0" xfId="1" applyNumberFormat="1" applyFont="1" applyAlignment="1">
      <alignment vertical="center"/>
    </xf>
    <xf numFmtId="9" fontId="32" fillId="0" borderId="0" xfId="2" applyFont="1" applyAlignment="1">
      <alignment horizontal="center" vertical="center"/>
    </xf>
    <xf numFmtId="3" fontId="32" fillId="4" borderId="0" xfId="1" applyNumberFormat="1" applyFont="1" applyFill="1" applyAlignment="1">
      <alignment vertical="center"/>
    </xf>
    <xf numFmtId="9" fontId="32" fillId="37" borderId="0" xfId="2" applyFont="1" applyFill="1" applyAlignment="1">
      <alignment horizontal="center" vertical="center"/>
    </xf>
    <xf numFmtId="164" fontId="30" fillId="44" borderId="0" xfId="1" applyNumberFormat="1" applyFont="1" applyFill="1" applyAlignment="1">
      <alignment horizontal="center" vertical="center"/>
    </xf>
    <xf numFmtId="49" fontId="32" fillId="38" borderId="0" xfId="2" applyNumberFormat="1" applyFont="1" applyFill="1" applyAlignment="1">
      <alignment vertical="top" wrapText="1"/>
    </xf>
    <xf numFmtId="164" fontId="30" fillId="0" borderId="0" xfId="1" applyNumberFormat="1" applyFont="1" applyAlignment="1">
      <alignment horizontal="center" vertical="center"/>
    </xf>
    <xf numFmtId="3" fontId="32" fillId="0" borderId="0" xfId="1" applyNumberFormat="1" applyFont="1" applyAlignment="1">
      <alignment horizontal="center" vertical="center"/>
    </xf>
    <xf numFmtId="3" fontId="32" fillId="0" borderId="0" xfId="1" applyNumberFormat="1" applyFont="1" applyAlignment="1">
      <alignment vertical="center" wrapText="1"/>
    </xf>
    <xf numFmtId="3" fontId="32" fillId="0" borderId="0" xfId="1" applyNumberFormat="1" applyFont="1" applyAlignment="1">
      <alignment horizontal="left" vertical="top" wrapText="1"/>
    </xf>
    <xf numFmtId="0" fontId="31" fillId="2" borderId="1" xfId="0" applyFont="1" applyFill="1" applyBorder="1" applyAlignment="1">
      <alignment horizontal="left" vertical="center" wrapText="1" indent="2"/>
    </xf>
    <xf numFmtId="0" fontId="30" fillId="40" borderId="0" xfId="0" applyFont="1" applyFill="1" applyAlignment="1">
      <alignment horizontal="left" vertical="center" indent="2"/>
    </xf>
    <xf numFmtId="0" fontId="30" fillId="0" borderId="0" xfId="0" applyFont="1" applyAlignment="1">
      <alignment horizontal="left" vertical="center" indent="2"/>
    </xf>
    <xf numFmtId="3" fontId="32" fillId="0" borderId="0" xfId="1" applyNumberFormat="1" applyFont="1" applyAlignment="1">
      <alignment horizontal="left" vertical="center" indent="2"/>
    </xf>
    <xf numFmtId="0" fontId="32" fillId="0" borderId="0" xfId="0" applyFont="1" applyAlignment="1">
      <alignment horizontal="left" indent="2"/>
    </xf>
    <xf numFmtId="0" fontId="27" fillId="0" borderId="0" xfId="0" applyFont="1" applyAlignment="1">
      <alignment horizontal="left" indent="2"/>
    </xf>
    <xf numFmtId="0" fontId="41" fillId="0" borderId="0" xfId="0" applyFont="1"/>
    <xf numFmtId="49" fontId="25" fillId="0" borderId="0" xfId="0" applyNumberFormat="1" applyFont="1" applyAlignment="1">
      <alignment vertical="center" wrapText="1"/>
    </xf>
    <xf numFmtId="3" fontId="32" fillId="0" borderId="0" xfId="1" applyNumberFormat="1" applyFont="1" applyAlignment="1">
      <alignment vertical="top"/>
    </xf>
    <xf numFmtId="49" fontId="37" fillId="0" borderId="0" xfId="0" applyNumberFormat="1" applyFont="1" applyAlignment="1">
      <alignment vertical="top" wrapText="1"/>
    </xf>
    <xf numFmtId="49" fontId="43" fillId="38" borderId="0" xfId="2" applyNumberFormat="1" applyFont="1" applyFill="1" applyBorder="1" applyAlignment="1">
      <alignment horizontal="left" vertical="top" wrapText="1"/>
    </xf>
    <xf numFmtId="49" fontId="44" fillId="0" borderId="0" xfId="0" applyNumberFormat="1" applyFont="1" applyAlignment="1">
      <alignment horizontal="left" vertical="top" wrapText="1"/>
    </xf>
    <xf numFmtId="49" fontId="45" fillId="0" borderId="0" xfId="0" applyNumberFormat="1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49" fontId="43" fillId="38" borderId="0" xfId="2" applyNumberFormat="1" applyFont="1" applyFill="1" applyAlignment="1">
      <alignment horizontal="left" vertical="top" wrapText="1"/>
    </xf>
    <xf numFmtId="49" fontId="42" fillId="0" borderId="0" xfId="0" applyNumberFormat="1" applyFont="1" applyAlignment="1">
      <alignment horizontal="left" vertical="top" wrapText="1"/>
    </xf>
    <xf numFmtId="0" fontId="47" fillId="0" borderId="0" xfId="0" applyFont="1" applyAlignment="1">
      <alignment horizontal="left" vertical="top"/>
    </xf>
    <xf numFmtId="49" fontId="41" fillId="38" borderId="0" xfId="2" applyNumberFormat="1" applyFont="1" applyFill="1" applyBorder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48" fillId="0" borderId="0" xfId="0" applyNumberFormat="1" applyFont="1" applyAlignment="1">
      <alignment horizontal="left" vertical="top" wrapText="1"/>
    </xf>
    <xf numFmtId="2" fontId="3" fillId="0" borderId="0" xfId="43" applyNumberFormat="1" applyAlignment="1">
      <alignment wrapText="1"/>
    </xf>
    <xf numFmtId="49" fontId="30" fillId="0" borderId="0" xfId="0" applyNumberFormat="1" applyFont="1" applyAlignment="1">
      <alignment horizontal="left" wrapText="1"/>
    </xf>
    <xf numFmtId="0" fontId="5" fillId="4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8" totalsRowShown="0">
  <autoFilter ref="A3:E6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zoomScale="90" zoomScaleNormal="90" workbookViewId="0">
      <pane xSplit="2" ySplit="3" topLeftCell="C4" activePane="bottomRight" state="frozen"/>
      <selection pane="bottomRight" activeCell="H4" sqref="H4:H68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0</v>
      </c>
      <c r="E1" s="100"/>
      <c r="F1" s="100"/>
      <c r="G1" s="98" t="s">
        <v>1</v>
      </c>
      <c r="H1" s="98"/>
      <c r="I1" s="98"/>
    </row>
    <row r="2" spans="1:9" ht="19.5" customHeight="1">
      <c r="A2" s="101" t="s">
        <v>2</v>
      </c>
      <c r="B2" s="101"/>
      <c r="C2" s="5">
        <f>SUM(C4:C100)</f>
        <v>27535333.800000001</v>
      </c>
      <c r="D2" s="5">
        <f>SUM(D4:D100)</f>
        <v>35811635.228</v>
      </c>
      <c r="E2" s="5">
        <f>C2-D2</f>
        <v>-8276301.4279999994</v>
      </c>
      <c r="F2" s="6">
        <f>IFERROR(E2/D2, 0)</f>
        <v>-0.23110649305198488</v>
      </c>
      <c r="G2" s="5">
        <f>SUM(G4:G100)</f>
        <v>39406686.046999991</v>
      </c>
      <c r="H2" s="7">
        <f>C2-G2</f>
        <v>-11871352.24699999</v>
      </c>
      <c r="I2" s="6">
        <f>IFERROR(H2/G2, 0)</f>
        <v>-0.30125223503547438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51" t="str" cm="1">
        <f t="array" ref="A4:A68">Sites[Site]</f>
        <v>Iron Mountain - Windsor</v>
      </c>
      <c r="B4" s="32" t="str" cm="1">
        <f t="array" ref="B4:B68">Sites[State]</f>
        <v>CT</v>
      </c>
      <c r="C4" s="24">
        <f>SUM('1st Qtr'!C4, '2nd Qtr'!C4, '3rd Qtr'!C4, '4th Qtr'!C4)</f>
        <v>302493</v>
      </c>
      <c r="D4" s="13">
        <f>SUM('1st Qtr'!D4, '2nd Qtr'!D4, '3rd Qtr'!D4, '4th Qtr'!D4)</f>
        <v>404774</v>
      </c>
      <c r="E4" s="13">
        <f>IF(AND(ISNUMBER(C4),ISNUMBER(D4)), C4-D4, "")</f>
        <v>-102281</v>
      </c>
      <c r="F4" s="14">
        <f>IFERROR(E4/D4, "")</f>
        <v>-0.25268668442143022</v>
      </c>
      <c r="G4" s="15">
        <f>SUM('1st Qtr'!G4, '2nd Qtr'!G4, '3rd Qtr'!G4, '4th Qtr'!G4)</f>
        <v>297048.82</v>
      </c>
      <c r="H4" s="15">
        <f>SUM('1st Qtr'!H4, '2nd Qtr'!H4, '3rd Qtr'!H4, '4th Qtr'!H4)</f>
        <v>5444.1799999999967</v>
      </c>
      <c r="I4" s="16">
        <f>IFERROR(H4/G4, "")</f>
        <v>1.8327559759368835E-2</v>
      </c>
    </row>
    <row r="5" spans="1:9" ht="15.6">
      <c r="A5" s="52" t="str">
        <v>Kohls - Auburn</v>
      </c>
      <c r="B5" s="30" t="str">
        <v>NY</v>
      </c>
      <c r="C5" s="11">
        <f>SUM('1st Qtr'!C5, '2nd Qtr'!C5, '3rd Qtr'!C5, '4th Qtr'!C5)</f>
        <v>313557</v>
      </c>
      <c r="D5" s="18">
        <f>SUM('1st Qtr'!D5, '2nd Qtr'!D5, '3rd Qtr'!D5, '4th Qtr'!D5)</f>
        <v>438734</v>
      </c>
      <c r="E5" s="18">
        <f t="shared" ref="E5:E15" si="0">IF(AND(ISNUMBER(C5),ISNUMBER(D5)), C5-D5, "")</f>
        <v>-125177</v>
      </c>
      <c r="F5" s="19">
        <f>IFERROR(E5/D5, "")</f>
        <v>-0.28531410832075926</v>
      </c>
      <c r="G5" s="20">
        <f>SUM('1st Qtr'!G5, '2nd Qtr'!G5, '3rd Qtr'!G5, '4th Qtr'!G5)</f>
        <v>321522.62</v>
      </c>
      <c r="H5" s="20">
        <f>SUM('1st Qtr'!H5, '2nd Qtr'!H5, '3rd Qtr'!H5, '4th Qtr'!H5)</f>
        <v>-7965.619999999999</v>
      </c>
      <c r="I5" s="19">
        <f>IFERROR(H5/G5, "")</f>
        <v>-2.4774679927651744E-2</v>
      </c>
    </row>
    <row r="6" spans="1:9" ht="15.6">
      <c r="A6" s="53" t="str">
        <v>Kohls - Bensalem</v>
      </c>
      <c r="B6" s="28" t="str">
        <v>PA</v>
      </c>
      <c r="C6" s="24">
        <f>SUM('1st Qtr'!C6, '2nd Qtr'!C6, '3rd Qtr'!C6, '4th Qtr'!C6)</f>
        <v>374314</v>
      </c>
      <c r="D6" s="13">
        <f>SUM('1st Qtr'!D6, '2nd Qtr'!D6, '3rd Qtr'!D6, '4th Qtr'!D6)</f>
        <v>485342</v>
      </c>
      <c r="E6" s="13">
        <f t="shared" si="0"/>
        <v>-111028</v>
      </c>
      <c r="F6" s="14">
        <f t="shared" ref="F6:F15" si="1">IFERROR(E6/D6, "")</f>
        <v>-0.22876239847365362</v>
      </c>
      <c r="G6" s="15">
        <f>SUM('1st Qtr'!G6, '2nd Qtr'!G6, '3rd Qtr'!G6, '4th Qtr'!G6)</f>
        <v>339231.43</v>
      </c>
      <c r="H6" s="15">
        <f>SUM('1st Qtr'!H6, '2nd Qtr'!H6, '3rd Qtr'!H6, '4th Qtr'!H6)</f>
        <v>35082.570000000007</v>
      </c>
      <c r="I6" s="16">
        <f t="shared" ref="I6:I15" si="2">IFERROR(H6/G6, "")</f>
        <v>0.10341780536078278</v>
      </c>
    </row>
    <row r="7" spans="1:9" ht="15.6">
      <c r="A7" s="52" t="str">
        <v>Kohls - Brick</v>
      </c>
      <c r="B7" s="30" t="str">
        <v>NJ</v>
      </c>
      <c r="C7" s="11">
        <f>SUM('1st Qtr'!C7, '2nd Qtr'!C7, '3rd Qtr'!C7, '4th Qtr'!C7)</f>
        <v>433565</v>
      </c>
      <c r="D7" s="18">
        <f>SUM('1st Qtr'!D7, '2nd Qtr'!D7, '3rd Qtr'!D7, '4th Qtr'!D7)</f>
        <v>606770</v>
      </c>
      <c r="E7" s="18">
        <f t="shared" si="0"/>
        <v>-173205</v>
      </c>
      <c r="F7" s="19">
        <f t="shared" si="1"/>
        <v>-0.28545412594558067</v>
      </c>
      <c r="G7" s="20">
        <f>SUM('1st Qtr'!G7, '2nd Qtr'!G7, '3rd Qtr'!G7, '4th Qtr'!G7)</f>
        <v>405212.23</v>
      </c>
      <c r="H7" s="20">
        <f>SUM('1st Qtr'!H7, '2nd Qtr'!H7, '3rd Qtr'!H7, '4th Qtr'!H7)</f>
        <v>28352.770000000008</v>
      </c>
      <c r="I7" s="19">
        <f t="shared" si="2"/>
        <v>6.9970173407648648E-2</v>
      </c>
    </row>
    <row r="8" spans="1:9" ht="15.6">
      <c r="A8" s="53" t="str">
        <v>Kohls - Buffalo</v>
      </c>
      <c r="B8" s="28" t="str">
        <v>NY</v>
      </c>
      <c r="C8" s="24">
        <f>SUM('1st Qtr'!C8, '2nd Qtr'!C8, '3rd Qtr'!C8, '4th Qtr'!C8)</f>
        <v>370883</v>
      </c>
      <c r="D8" s="13">
        <f>SUM('1st Qtr'!D8, '2nd Qtr'!D8, '3rd Qtr'!D8, '4th Qtr'!D8)</f>
        <v>0</v>
      </c>
      <c r="E8" s="13">
        <f t="shared" si="0"/>
        <v>370883</v>
      </c>
      <c r="F8" s="14" t="str">
        <f t="shared" si="1"/>
        <v/>
      </c>
      <c r="G8" s="15">
        <f>SUM('1st Qtr'!G8, '2nd Qtr'!G8, '3rd Qtr'!G8, '4th Qtr'!G8)</f>
        <v>390335.04</v>
      </c>
      <c r="H8" s="15">
        <f>SUM('1st Qtr'!H8, '2nd Qtr'!H8, '3rd Qtr'!H8, '4th Qtr'!H8)</f>
        <v>-19452.039999999997</v>
      </c>
      <c r="I8" s="16">
        <f t="shared" si="2"/>
        <v>-4.9834214217611618E-2</v>
      </c>
    </row>
    <row r="9" spans="1:9" ht="15.6">
      <c r="A9" s="52" t="str">
        <v>Kohls - Canton</v>
      </c>
      <c r="B9" s="30" t="str">
        <v>CT</v>
      </c>
      <c r="C9" s="11">
        <f>SUM('1st Qtr'!C9, '2nd Qtr'!C9, '3rd Qtr'!C9, '4th Qtr'!C9)</f>
        <v>150821</v>
      </c>
      <c r="D9" s="18">
        <f>SUM('1st Qtr'!D9, '2nd Qtr'!D9, '3rd Qtr'!D9, '4th Qtr'!D9)</f>
        <v>191713</v>
      </c>
      <c r="E9" s="18">
        <f t="shared" si="0"/>
        <v>-40892</v>
      </c>
      <c r="F9" s="19">
        <f t="shared" si="1"/>
        <v>-0.21329800274368457</v>
      </c>
      <c r="G9" s="20">
        <f>SUM('1st Qtr'!G9, '2nd Qtr'!G9, '3rd Qtr'!G9, '4th Qtr'!G9)</f>
        <v>134134.91</v>
      </c>
      <c r="H9" s="20">
        <f>SUM('1st Qtr'!H9, '2nd Qtr'!H9, '3rd Qtr'!H9, '4th Qtr'!H9)</f>
        <v>16686.09</v>
      </c>
      <c r="I9" s="19">
        <f t="shared" si="2"/>
        <v>0.12439781709325334</v>
      </c>
    </row>
    <row r="10" spans="1:9" ht="15.6">
      <c r="A10" s="53" t="str">
        <v>Kohls - East Amherst</v>
      </c>
      <c r="B10" s="28" t="str">
        <v>NY</v>
      </c>
      <c r="C10" s="24">
        <f>SUM('1st Qtr'!C10, '2nd Qtr'!C10, '3rd Qtr'!C10, '4th Qtr'!C10)</f>
        <v>344050</v>
      </c>
      <c r="D10" s="13">
        <f>SUM('1st Qtr'!D10, '2nd Qtr'!D10, '3rd Qtr'!D10, '4th Qtr'!D10)</f>
        <v>467114</v>
      </c>
      <c r="E10" s="13">
        <f t="shared" si="0"/>
        <v>-123064</v>
      </c>
      <c r="F10" s="14">
        <f t="shared" si="1"/>
        <v>-0.26345603000552326</v>
      </c>
      <c r="G10" s="15">
        <f>SUM('1st Qtr'!G10, '2nd Qtr'!G10, '3rd Qtr'!G10, '4th Qtr'!G10)</f>
        <v>352579.04000000004</v>
      </c>
      <c r="H10" s="15">
        <f>SUM('1st Qtr'!H10, '2nd Qtr'!H10, '3rd Qtr'!H10, '4th Qtr'!H10)</f>
        <v>-8529.0399999999954</v>
      </c>
      <c r="I10" s="16">
        <f t="shared" si="2"/>
        <v>-2.4190434008782808E-2</v>
      </c>
    </row>
    <row r="11" spans="1:9" ht="15.6">
      <c r="A11" s="52" t="str">
        <v>Kohls - East Brunswick</v>
      </c>
      <c r="B11" s="30" t="str">
        <v>NJ</v>
      </c>
      <c r="C11" s="11">
        <f>SUM('1st Qtr'!C11, '2nd Qtr'!C11, '3rd Qtr'!C11, '4th Qtr'!C11)</f>
        <v>460176</v>
      </c>
      <c r="D11" s="18">
        <f>SUM('1st Qtr'!D11, '2nd Qtr'!D11, '3rd Qtr'!D11, '4th Qtr'!D11)</f>
        <v>632835</v>
      </c>
      <c r="E11" s="18">
        <f t="shared" si="0"/>
        <v>-172659</v>
      </c>
      <c r="F11" s="19">
        <f t="shared" si="1"/>
        <v>-0.27283415108203563</v>
      </c>
      <c r="G11" s="20">
        <f>SUM('1st Qtr'!G11, '2nd Qtr'!G11, '3rd Qtr'!G11, '4th Qtr'!G11)</f>
        <v>524749.53</v>
      </c>
      <c r="H11" s="20">
        <f>SUM('1st Qtr'!H11, '2nd Qtr'!H11, '3rd Qtr'!H11, '4th Qtr'!H11)</f>
        <v>-64573.53</v>
      </c>
      <c r="I11" s="19">
        <f t="shared" si="2"/>
        <v>-0.12305590821586823</v>
      </c>
    </row>
    <row r="12" spans="1:9" ht="15.6">
      <c r="A12" s="53" t="str">
        <v>Kohls - Edgewood</v>
      </c>
      <c r="B12" s="28" t="str">
        <v>MD</v>
      </c>
      <c r="C12" s="24">
        <f>SUM('1st Qtr'!C12, '2nd Qtr'!C12, '3rd Qtr'!C12, '4th Qtr'!C12)</f>
        <v>2545083</v>
      </c>
      <c r="D12" s="13">
        <f>SUM('1st Qtr'!D12, '2nd Qtr'!D12, '3rd Qtr'!D12, '4th Qtr'!D12)</f>
        <v>3904541</v>
      </c>
      <c r="E12" s="13">
        <f t="shared" si="0"/>
        <v>-1359458</v>
      </c>
      <c r="F12" s="14">
        <f t="shared" si="1"/>
        <v>-0.34817357533190202</v>
      </c>
      <c r="G12" s="15">
        <f>SUM('1st Qtr'!G12, '2nd Qtr'!G12, '3rd Qtr'!G12, '4th Qtr'!G12)</f>
        <v>2806012.5</v>
      </c>
      <c r="H12" s="15">
        <f>SUM('1st Qtr'!H12, '2nd Qtr'!H12, '3rd Qtr'!H12, '4th Qtr'!H12)</f>
        <v>-260929.50000000012</v>
      </c>
      <c r="I12" s="16">
        <f t="shared" si="2"/>
        <v>-9.2989428949443426E-2</v>
      </c>
    </row>
    <row r="13" spans="1:9" ht="15.6">
      <c r="A13" s="52" t="str">
        <v>Kohls - Granite Run</v>
      </c>
      <c r="B13" s="30" t="str">
        <v>PA</v>
      </c>
      <c r="C13" s="11">
        <f>SUM('1st Qtr'!C13, '2nd Qtr'!C13, '3rd Qtr'!C13, '4th Qtr'!C13)</f>
        <v>350820</v>
      </c>
      <c r="D13" s="18">
        <f>SUM('1st Qtr'!D13, '2nd Qtr'!D13, '3rd Qtr'!D13, '4th Qtr'!D13)</f>
        <v>473579</v>
      </c>
      <c r="E13" s="18">
        <f t="shared" si="0"/>
        <v>-122759</v>
      </c>
      <c r="F13" s="19">
        <f t="shared" si="1"/>
        <v>-0.25921546352350927</v>
      </c>
      <c r="G13" s="20">
        <f>SUM('1st Qtr'!G13, '2nd Qtr'!G13, '3rd Qtr'!G13, '4th Qtr'!G13)</f>
        <v>338058.23</v>
      </c>
      <c r="H13" s="20">
        <f>SUM('1st Qtr'!H13, '2nd Qtr'!H13, '3rd Qtr'!H13, '4th Qtr'!H13)</f>
        <v>12761.769999999995</v>
      </c>
      <c r="I13" s="19">
        <f t="shared" si="2"/>
        <v>3.775021244121167E-2</v>
      </c>
    </row>
    <row r="14" spans="1:9" ht="15.6">
      <c r="A14" s="53" t="str">
        <v>Kohls - Greece</v>
      </c>
      <c r="B14" s="28" t="str">
        <v>NY</v>
      </c>
      <c r="C14" s="24">
        <f>SUM('1st Qtr'!C14, '2nd Qtr'!C14, '3rd Qtr'!C14, '4th Qtr'!C14)</f>
        <v>260889</v>
      </c>
      <c r="D14" s="13">
        <f>SUM('1st Qtr'!D14, '2nd Qtr'!D14, '3rd Qtr'!D14, '4th Qtr'!D14)</f>
        <v>314943</v>
      </c>
      <c r="E14" s="13">
        <f t="shared" si="0"/>
        <v>-54054</v>
      </c>
      <c r="F14" s="14">
        <f t="shared" si="1"/>
        <v>-0.17163105704841827</v>
      </c>
      <c r="G14" s="15">
        <f>SUM('1st Qtr'!G14, '2nd Qtr'!G14, '3rd Qtr'!G14, '4th Qtr'!G14)</f>
        <v>377359.76999999996</v>
      </c>
      <c r="H14" s="15">
        <f>SUM('1st Qtr'!H14, '2nd Qtr'!H14, '3rd Qtr'!H14, '4th Qtr'!H14)</f>
        <v>-116470.76999999999</v>
      </c>
      <c r="I14" s="16">
        <f t="shared" si="2"/>
        <v>-0.30864649403406197</v>
      </c>
    </row>
    <row r="15" spans="1:9" ht="15.6">
      <c r="A15" s="52" t="str">
        <v>Kohls - Hanover</v>
      </c>
      <c r="B15" s="30" t="str">
        <v>PA</v>
      </c>
      <c r="C15" s="11">
        <f>SUM('1st Qtr'!C15, '2nd Qtr'!C15, '3rd Qtr'!C15, '4th Qtr'!C15)</f>
        <v>265138</v>
      </c>
      <c r="D15" s="18">
        <f>SUM('1st Qtr'!D15, '2nd Qtr'!D15, '3rd Qtr'!D15, '4th Qtr'!D15)</f>
        <v>404546</v>
      </c>
      <c r="E15" s="18">
        <f t="shared" si="0"/>
        <v>-139408</v>
      </c>
      <c r="F15" s="19">
        <f t="shared" si="1"/>
        <v>-0.34460358030977933</v>
      </c>
      <c r="G15" s="20">
        <f>SUM('1st Qtr'!G15, '2nd Qtr'!G15, '3rd Qtr'!G15, '4th Qtr'!G15)</f>
        <v>374902.52</v>
      </c>
      <c r="H15" s="20">
        <f>SUM('1st Qtr'!H15, '2nd Qtr'!H15, '3rd Qtr'!H15, '4th Qtr'!H15)</f>
        <v>-109764.51999999999</v>
      </c>
      <c r="I15" s="19">
        <f t="shared" si="2"/>
        <v>-0.29278149424015604</v>
      </c>
    </row>
    <row r="16" spans="1:9" ht="15.6">
      <c r="A16" s="53" t="str">
        <v>Kohls - Horsehead</v>
      </c>
      <c r="B16" s="28" t="str">
        <v>NY</v>
      </c>
      <c r="C16" s="24">
        <f>SUM('1st Qtr'!C16, '2nd Qtr'!C16, '3rd Qtr'!C16, '4th Qtr'!C16)</f>
        <v>275561</v>
      </c>
      <c r="D16" s="13">
        <f>SUM('1st Qtr'!D16, '2nd Qtr'!D16, '3rd Qtr'!D16, '4th Qtr'!D16)</f>
        <v>380603</v>
      </c>
      <c r="E16" s="13">
        <f t="shared" ref="E16:E19" si="3">IF(AND(ISNUMBER(C16),ISNUMBER(D16)), C16-D16, "")</f>
        <v>-105042</v>
      </c>
      <c r="F16" s="14">
        <f t="shared" ref="F16:F19" si="4">IFERROR(E16/D16, "")</f>
        <v>-0.27598836583001185</v>
      </c>
      <c r="G16" s="15">
        <f>SUM('1st Qtr'!G16, '2nd Qtr'!G16, '3rd Qtr'!G16, '4th Qtr'!G16)</f>
        <v>296119.43</v>
      </c>
      <c r="H16" s="15">
        <f>SUM('1st Qtr'!H16, '2nd Qtr'!H16, '3rd Qtr'!H16, '4th Qtr'!H16)</f>
        <v>-20558.43</v>
      </c>
      <c r="I16" s="16">
        <f t="shared" ref="I16:I19" si="5">IFERROR(H16/G16, "")</f>
        <v>-6.9426143363844783E-2</v>
      </c>
    </row>
    <row r="17" spans="1:9" ht="15.6">
      <c r="A17" s="52" t="str">
        <v>Kohls - Hudson</v>
      </c>
      <c r="B17" s="30" t="str">
        <v>NY</v>
      </c>
      <c r="C17" s="11">
        <f>SUM('1st Qtr'!C17, '2nd Qtr'!C17, '3rd Qtr'!C17, '4th Qtr'!C17)</f>
        <v>268922</v>
      </c>
      <c r="D17" s="18">
        <f>SUM('1st Qtr'!D17, '2nd Qtr'!D17, '3rd Qtr'!D17, '4th Qtr'!D17)</f>
        <v>427506</v>
      </c>
      <c r="E17" s="18">
        <f t="shared" si="3"/>
        <v>-158584</v>
      </c>
      <c r="F17" s="19">
        <f t="shared" si="4"/>
        <v>-0.37095151880909272</v>
      </c>
      <c r="G17" s="20">
        <f>SUM('1st Qtr'!G17, '2nd Qtr'!G17, '3rd Qtr'!G17, '4th Qtr'!G17)</f>
        <v>332197.69000000006</v>
      </c>
      <c r="H17" s="20">
        <f>SUM('1st Qtr'!H17, '2nd Qtr'!H17, '3rd Qtr'!H17, '4th Qtr'!H17)</f>
        <v>-63275.69000000001</v>
      </c>
      <c r="I17" s="19">
        <f t="shared" si="5"/>
        <v>-0.19047600842739154</v>
      </c>
    </row>
    <row r="18" spans="1:9" ht="12.75" customHeight="1">
      <c r="A18" s="53" t="str">
        <v>Kohls - Ithaca</v>
      </c>
      <c r="B18" s="28" t="str">
        <v>NY</v>
      </c>
      <c r="C18" s="24">
        <f>SUM('1st Qtr'!C18, '2nd Qtr'!C18, '3rd Qtr'!C18, '4th Qtr'!C18)</f>
        <v>284477</v>
      </c>
      <c r="D18" s="13">
        <f>SUM('1st Qtr'!D18, '2nd Qtr'!D18, '3rd Qtr'!D18, '4th Qtr'!D18)</f>
        <v>418256</v>
      </c>
      <c r="E18" s="13">
        <f t="shared" si="3"/>
        <v>-133779</v>
      </c>
      <c r="F18" s="14">
        <f t="shared" si="4"/>
        <v>-0.31984956581615087</v>
      </c>
      <c r="G18" s="15">
        <f>SUM('1st Qtr'!G18, '2nd Qtr'!G18, '3rd Qtr'!G18, '4th Qtr'!G18)</f>
        <v>336164.81</v>
      </c>
      <c r="H18" s="15">
        <f>SUM('1st Qtr'!H18, '2nd Qtr'!H18, '3rd Qtr'!H18, '4th Qtr'!H18)</f>
        <v>-51687.81</v>
      </c>
      <c r="I18" s="16">
        <f t="shared" si="5"/>
        <v>-0.15375734896225454</v>
      </c>
    </row>
    <row r="19" spans="1:9" ht="15.6">
      <c r="A19" s="52" t="str">
        <v>Kohls - Kingston</v>
      </c>
      <c r="B19" s="30" t="str">
        <v>NY</v>
      </c>
      <c r="C19" s="11">
        <f>SUM('1st Qtr'!C19, '2nd Qtr'!C19, '3rd Qtr'!C19, '4th Qtr'!C19)</f>
        <v>473580</v>
      </c>
      <c r="D19" s="18">
        <f>SUM('1st Qtr'!D19, '2nd Qtr'!D19, '3rd Qtr'!D19, '4th Qtr'!D19)</f>
        <v>677143</v>
      </c>
      <c r="E19" s="18">
        <f t="shared" si="3"/>
        <v>-203563</v>
      </c>
      <c r="F19" s="19">
        <f t="shared" si="4"/>
        <v>-0.30062040071299562</v>
      </c>
      <c r="G19" s="20">
        <f>SUM('1st Qtr'!G19, '2nd Qtr'!G19, '3rd Qtr'!G19, '4th Qtr'!G19)</f>
        <v>511286.93799999997</v>
      </c>
      <c r="H19" s="20">
        <f>SUM('1st Qtr'!H19, '2nd Qtr'!H19, '3rd Qtr'!H19, '4th Qtr'!H19)</f>
        <v>-47767.428999999996</v>
      </c>
      <c r="I19" s="19">
        <f t="shared" si="5"/>
        <v>-9.3425873907226634E-2</v>
      </c>
    </row>
    <row r="20" spans="1:9" ht="15.6">
      <c r="A20" s="53" t="str">
        <v>Kohls - Mechanicsburg</v>
      </c>
      <c r="B20" s="28" t="str">
        <v>PA</v>
      </c>
      <c r="C20" s="24">
        <f>SUM('1st Qtr'!C20, '2nd Qtr'!C20, '3rd Qtr'!C20, '4th Qtr'!C20)</f>
        <v>410717</v>
      </c>
      <c r="D20" s="13">
        <f>SUM('1st Qtr'!D20, '2nd Qtr'!D20, '3rd Qtr'!D20, '4th Qtr'!D20)</f>
        <v>550029</v>
      </c>
      <c r="E20" s="13">
        <f t="shared" ref="E20:E25" si="6">IF(AND(ISNUMBER(C20),ISNUMBER(D20)), C20-D20, "")</f>
        <v>-139312</v>
      </c>
      <c r="F20" s="14">
        <f t="shared" ref="F20:F25" si="7">IFERROR(E20/D20, "")</f>
        <v>-0.25328119062813054</v>
      </c>
      <c r="G20" s="15">
        <f>SUM('1st Qtr'!G20, '2nd Qtr'!G20, '3rd Qtr'!G20, '4th Qtr'!G20)</f>
        <v>435706.6</v>
      </c>
      <c r="H20" s="15">
        <f>SUM('1st Qtr'!H20, '2nd Qtr'!H20, '3rd Qtr'!H20, '4th Qtr'!H20)</f>
        <v>-20523.419999999998</v>
      </c>
      <c r="I20" s="16">
        <f t="shared" ref="I20:I25" si="8">IFERROR(H20/G20, "")</f>
        <v>-4.7103762027015425E-2</v>
      </c>
    </row>
    <row r="21" spans="1:9" ht="15.6">
      <c r="A21" s="52" t="str">
        <v>Kohls - Middletown</v>
      </c>
      <c r="B21" s="30" t="str">
        <v>NJ</v>
      </c>
      <c r="C21" s="11">
        <f>SUM('1st Qtr'!C21, '2nd Qtr'!C21, '3rd Qtr'!C21, '4th Qtr'!C21)</f>
        <v>499400</v>
      </c>
      <c r="D21" s="18">
        <f>SUM('1st Qtr'!D21, '2nd Qtr'!D21, '3rd Qtr'!D21, '4th Qtr'!D21)</f>
        <v>677152.10699999996</v>
      </c>
      <c r="E21" s="18">
        <f t="shared" si="6"/>
        <v>-177752.10699999996</v>
      </c>
      <c r="F21" s="19">
        <f t="shared" si="7"/>
        <v>-0.26249952582662489</v>
      </c>
      <c r="G21" s="20">
        <f>SUM('1st Qtr'!G21, '2nd Qtr'!G21, '3rd Qtr'!G21, '4th Qtr'!G21)</f>
        <v>619126.56999999995</v>
      </c>
      <c r="H21" s="20">
        <f>SUM('1st Qtr'!H21, '2nd Qtr'!H21, '3rd Qtr'!H21, '4th Qtr'!H21)</f>
        <v>-94300.469999999987</v>
      </c>
      <c r="I21" s="19">
        <f t="shared" si="8"/>
        <v>-0.15231210316171698</v>
      </c>
    </row>
    <row r="22" spans="1:9" ht="15.6">
      <c r="A22" s="53" t="str">
        <v>Kohls - North Amherst</v>
      </c>
      <c r="B22" s="28" t="str">
        <v>NY</v>
      </c>
      <c r="C22" s="24">
        <f>SUM('1st Qtr'!C22, '2nd Qtr'!C22, '3rd Qtr'!C22, '4th Qtr'!C22)</f>
        <v>214437</v>
      </c>
      <c r="D22" s="13">
        <f>SUM('1st Qtr'!D22, '2nd Qtr'!D22, '3rd Qtr'!D22, '4th Qtr'!D22)</f>
        <v>341469</v>
      </c>
      <c r="E22" s="13">
        <f t="shared" si="6"/>
        <v>-127032</v>
      </c>
      <c r="F22" s="14">
        <f t="shared" si="7"/>
        <v>-0.37201620059214746</v>
      </c>
      <c r="G22" s="15">
        <f>SUM('1st Qtr'!G22, '2nd Qtr'!G22, '3rd Qtr'!G22, '4th Qtr'!G22)</f>
        <v>330857.21000000002</v>
      </c>
      <c r="H22" s="15">
        <f>SUM('1st Qtr'!H22, '2nd Qtr'!H22, '3rd Qtr'!H22, '4th Qtr'!H22)</f>
        <v>-119727.22999999998</v>
      </c>
      <c r="I22" s="16">
        <f t="shared" si="8"/>
        <v>-0.36186979271208863</v>
      </c>
    </row>
    <row r="23" spans="1:9" ht="15.6">
      <c r="A23" s="52" t="str">
        <v>Kohls - Staten Island</v>
      </c>
      <c r="B23" s="30" t="str">
        <v>NY</v>
      </c>
      <c r="C23" s="11">
        <f>SUM('1st Qtr'!C23, '2nd Qtr'!C23, '3rd Qtr'!C23, '4th Qtr'!C23)</f>
        <v>264584.5</v>
      </c>
      <c r="D23" s="18">
        <f>SUM('1st Qtr'!D23, '2nd Qtr'!D23, '3rd Qtr'!D23, '4th Qtr'!D23)</f>
        <v>424427</v>
      </c>
      <c r="E23" s="18">
        <f t="shared" si="6"/>
        <v>-159842.5</v>
      </c>
      <c r="F23" s="19">
        <f t="shared" si="7"/>
        <v>-0.37660775586850037</v>
      </c>
      <c r="G23" s="20">
        <f>SUM('1st Qtr'!G23, '2nd Qtr'!G23, '3rd Qtr'!G23, '4th Qtr'!G23)</f>
        <v>368476.56</v>
      </c>
      <c r="H23" s="20">
        <f>SUM('1st Qtr'!H23, '2nd Qtr'!H23, '3rd Qtr'!H23, '4th Qtr'!H23)</f>
        <v>-99381.77</v>
      </c>
      <c r="I23" s="19">
        <f t="shared" si="8"/>
        <v>-0.26970988330980944</v>
      </c>
    </row>
    <row r="24" spans="1:9" ht="15.6">
      <c r="A24" s="53" t="str">
        <v>Kohls - Warminster</v>
      </c>
      <c r="B24" s="28" t="str">
        <v>PA</v>
      </c>
      <c r="C24" s="24">
        <f>SUM('1st Qtr'!C24, '2nd Qtr'!C24, '3rd Qtr'!C24, '4th Qtr'!C24)</f>
        <v>404087</v>
      </c>
      <c r="D24" s="13">
        <f>SUM('1st Qtr'!D24, '2nd Qtr'!D24, '3rd Qtr'!D24, '4th Qtr'!D24)</f>
        <v>527309</v>
      </c>
      <c r="E24" s="13">
        <f t="shared" si="6"/>
        <v>-123222</v>
      </c>
      <c r="F24" s="14">
        <f t="shared" si="7"/>
        <v>-0.23368082092283651</v>
      </c>
      <c r="G24" s="15">
        <f>SUM('1st Qtr'!G24, '2nd Qtr'!G24, '3rd Qtr'!G24, '4th Qtr'!G24)</f>
        <v>407640.30000000005</v>
      </c>
      <c r="H24" s="15">
        <f>SUM('1st Qtr'!H24, '2nd Qtr'!H24, '3rd Qtr'!H24, '4th Qtr'!H24)</f>
        <v>-9110.1299999999937</v>
      </c>
      <c r="I24" s="16">
        <f t="shared" si="8"/>
        <v>-2.2348452790364428E-2</v>
      </c>
    </row>
    <row r="25" spans="1:9" ht="15.6">
      <c r="A25" s="52" t="str">
        <v xml:space="preserve">Kohls - Waterbury </v>
      </c>
      <c r="B25" s="30" t="str">
        <v>CT</v>
      </c>
      <c r="C25" s="11">
        <f>SUM('1st Qtr'!C25, '2nd Qtr'!C25, '3rd Qtr'!C25, '4th Qtr'!C25)</f>
        <v>436085</v>
      </c>
      <c r="D25" s="18">
        <f>SUM('1st Qtr'!D25, '2nd Qtr'!D25, '3rd Qtr'!D25, '4th Qtr'!D25)</f>
        <v>606415</v>
      </c>
      <c r="E25" s="18">
        <f t="shared" si="6"/>
        <v>-170330</v>
      </c>
      <c r="F25" s="19">
        <f t="shared" si="7"/>
        <v>-0.28088025527073046</v>
      </c>
      <c r="G25" s="20">
        <f>SUM('1st Qtr'!G25, '2nd Qtr'!G25, '3rd Qtr'!G25, '4th Qtr'!G25)</f>
        <v>465254.95</v>
      </c>
      <c r="H25" s="20">
        <f>SUM('1st Qtr'!H25, '2nd Qtr'!H25, '3rd Qtr'!H25, '4th Qtr'!H25)</f>
        <v>-29169.950000000008</v>
      </c>
      <c r="I25" s="19">
        <f t="shared" si="8"/>
        <v>-6.2696699949135432E-2</v>
      </c>
    </row>
    <row r="26" spans="1:9" ht="15.6">
      <c r="A26" s="53" t="str">
        <v>Mojave Water Agency - Headquarters</v>
      </c>
      <c r="B26" s="28" t="str">
        <v>CA</v>
      </c>
      <c r="C26" s="24">
        <f>SUM('1st Qtr'!C26, '2nd Qtr'!C26, '3rd Qtr'!C26, '4th Qtr'!C26)</f>
        <v>428811</v>
      </c>
      <c r="D26" s="13">
        <f>SUM('1st Qtr'!D26, '2nd Qtr'!D26, '3rd Qtr'!D26, '4th Qtr'!D26)</f>
        <v>552935</v>
      </c>
      <c r="E26" s="13">
        <f t="shared" ref="E26:E68" si="9">IF(AND(ISNUMBER(C26),ISNUMBER(D26)), C26-D26, "")</f>
        <v>-124124</v>
      </c>
      <c r="F26" s="14">
        <f t="shared" ref="F26:F68" si="10">IFERROR(E26/D26, "")</f>
        <v>-0.22448208198070296</v>
      </c>
      <c r="G26" s="15">
        <f>SUM('1st Qtr'!G26, '2nd Qtr'!G26, '3rd Qtr'!G26, '4th Qtr'!G26)</f>
        <v>488460.12</v>
      </c>
      <c r="H26" s="15">
        <f>SUM('1st Qtr'!H26, '2nd Qtr'!H26, '3rd Qtr'!H26, '4th Qtr'!H26)</f>
        <v>43838.549999999996</v>
      </c>
      <c r="I26" s="16">
        <f t="shared" ref="I26:I68" si="11">IFERROR(H26/G26, "")</f>
        <v>8.9748473222337977E-2</v>
      </c>
    </row>
    <row r="27" spans="1:9" ht="15.6">
      <c r="A27" s="52" t="str">
        <v>CSU - Bakersfield</v>
      </c>
      <c r="B27" s="30" t="str">
        <v>CA</v>
      </c>
      <c r="C27" s="11">
        <f>SUM('1st Qtr'!C27, '2nd Qtr'!C27, '3rd Qtr'!C27, '4th Qtr'!C27)</f>
        <v>1352551</v>
      </c>
      <c r="D27" s="18">
        <f>SUM('1st Qtr'!D27, '2nd Qtr'!D27, '3rd Qtr'!D27, '4th Qtr'!D27)</f>
        <v>2230628</v>
      </c>
      <c r="E27" s="18">
        <f t="shared" si="9"/>
        <v>-878077</v>
      </c>
      <c r="F27" s="19">
        <f t="shared" si="10"/>
        <v>-0.3936456459795179</v>
      </c>
      <c r="G27" s="20">
        <f>SUM('1st Qtr'!G27, '2nd Qtr'!G27, '3rd Qtr'!G27, '4th Qtr'!G27)</f>
        <v>1424723.76</v>
      </c>
      <c r="H27" s="20">
        <f>SUM('1st Qtr'!H27, '2nd Qtr'!H27, '3rd Qtr'!H27, '4th Qtr'!H27)</f>
        <v>-72172.760000000009</v>
      </c>
      <c r="I27" s="19">
        <f t="shared" si="11"/>
        <v>-5.0657370941858938E-2</v>
      </c>
    </row>
    <row r="28" spans="1:9" ht="15.6">
      <c r="A28" s="53" t="str">
        <v>Greenfield USD - Fairfield ES</v>
      </c>
      <c r="B28" s="28" t="str">
        <v>CA</v>
      </c>
      <c r="C28" s="24">
        <f>SUM('1st Qtr'!C28, '2nd Qtr'!C28, '3rd Qtr'!C28, '4th Qtr'!C28)</f>
        <v>108953</v>
      </c>
      <c r="D28" s="13">
        <f>SUM('1st Qtr'!D28, '2nd Qtr'!D28, '3rd Qtr'!D28, '4th Qtr'!D28)</f>
        <v>36589.120999999999</v>
      </c>
      <c r="E28" s="13">
        <f t="shared" si="9"/>
        <v>72363.879000000001</v>
      </c>
      <c r="F28" s="14">
        <f t="shared" si="10"/>
        <v>1.9777430291369942</v>
      </c>
      <c r="G28" s="15">
        <f>SUM('1st Qtr'!G28, '2nd Qtr'!G28, '3rd Qtr'!G28, '4th Qtr'!G28)</f>
        <v>169601.53</v>
      </c>
      <c r="H28" s="15">
        <f>SUM('1st Qtr'!H28, '2nd Qtr'!H28, '3rd Qtr'!H28, '4th Qtr'!H28)</f>
        <v>-53914.5</v>
      </c>
      <c r="I28" s="16">
        <f t="shared" si="11"/>
        <v>-0.31788923130587327</v>
      </c>
    </row>
    <row r="29" spans="1:9" ht="15.6">
      <c r="A29" s="52" t="str">
        <v>Greenfield USD - Granite Point ES</v>
      </c>
      <c r="B29" s="30" t="str">
        <v>CA</v>
      </c>
      <c r="C29" s="11">
        <f>SUM('1st Qtr'!C29, '2nd Qtr'!C29, '3rd Qtr'!C29, '4th Qtr'!C29)</f>
        <v>325515</v>
      </c>
      <c r="D29" s="18">
        <f>SUM('1st Qtr'!D29, '2nd Qtr'!D29, '3rd Qtr'!D29, '4th Qtr'!D29)</f>
        <v>578360</v>
      </c>
      <c r="E29" s="18">
        <f t="shared" si="9"/>
        <v>-252845</v>
      </c>
      <c r="F29" s="19">
        <f t="shared" si="10"/>
        <v>-0.437175807455564</v>
      </c>
      <c r="G29" s="20">
        <f>SUM('1st Qtr'!G29, '2nd Qtr'!G29, '3rd Qtr'!G29, '4th Qtr'!G29)</f>
        <v>398635.24</v>
      </c>
      <c r="H29" s="20">
        <f>SUM('1st Qtr'!H29, '2nd Qtr'!H29, '3rd Qtr'!H29, '4th Qtr'!H29)</f>
        <v>-74265.25</v>
      </c>
      <c r="I29" s="19">
        <f t="shared" si="11"/>
        <v>-0.18629875773150412</v>
      </c>
    </row>
    <row r="30" spans="1:9" ht="15.6">
      <c r="A30" s="53" t="str">
        <v>Greenfield USD - Greenfield MS</v>
      </c>
      <c r="B30" s="28" t="str">
        <v>CA</v>
      </c>
      <c r="C30" s="24">
        <f>SUM('1st Qtr'!C30, '2nd Qtr'!C30, '3rd Qtr'!C30, '4th Qtr'!C30)</f>
        <v>204914</v>
      </c>
      <c r="D30" s="13">
        <f>SUM('1st Qtr'!D30, '2nd Qtr'!D30, '3rd Qtr'!D30, '4th Qtr'!D30)</f>
        <v>378830</v>
      </c>
      <c r="E30" s="13">
        <f t="shared" si="9"/>
        <v>-173916</v>
      </c>
      <c r="F30" s="14">
        <f t="shared" si="10"/>
        <v>-0.45908718950452709</v>
      </c>
      <c r="G30" s="15">
        <f>SUM('1st Qtr'!G30, '2nd Qtr'!G30, '3rd Qtr'!G30, '4th Qtr'!G30)</f>
        <v>282590.95999999996</v>
      </c>
      <c r="H30" s="15">
        <f>SUM('1st Qtr'!H30, '2nd Qtr'!H30, '3rd Qtr'!H30, '4th Qtr'!H30)</f>
        <v>-65449.259999999995</v>
      </c>
      <c r="I30" s="16">
        <f t="shared" si="11"/>
        <v>-0.23160422399923905</v>
      </c>
    </row>
    <row r="31" spans="1:9" ht="15.6">
      <c r="A31" s="52" t="str">
        <v>Greenfield USD - Horizon ES</v>
      </c>
      <c r="B31" s="30" t="str">
        <v>CA</v>
      </c>
      <c r="C31" s="11">
        <f>SUM('1st Qtr'!C31, '2nd Qtr'!C31, '3rd Qtr'!C31, '4th Qtr'!C31)</f>
        <v>210986</v>
      </c>
      <c r="D31" s="18">
        <f>SUM('1st Qtr'!D31, '2nd Qtr'!D31, '3rd Qtr'!D31, '4th Qtr'!D31)</f>
        <v>550472</v>
      </c>
      <c r="E31" s="18">
        <f t="shared" si="9"/>
        <v>-339486</v>
      </c>
      <c r="F31" s="19">
        <f t="shared" si="10"/>
        <v>-0.6167180165385342</v>
      </c>
      <c r="G31" s="20">
        <f>SUM('1st Qtr'!G31, '2nd Qtr'!G31, '3rd Qtr'!G31, '4th Qtr'!G31)</f>
        <v>411285.74</v>
      </c>
      <c r="H31" s="20">
        <f>SUM('1st Qtr'!H31, '2nd Qtr'!H31, '3rd Qtr'!H31, '4th Qtr'!H31)</f>
        <v>-178149.2</v>
      </c>
      <c r="I31" s="19">
        <f t="shared" si="11"/>
        <v>-0.43315190067129489</v>
      </c>
    </row>
    <row r="32" spans="1:9" ht="15.6">
      <c r="A32" s="53" t="str">
        <v>Greenfield USD - McKee MS</v>
      </c>
      <c r="B32" s="28" t="str">
        <v>CA</v>
      </c>
      <c r="C32" s="24">
        <f>SUM('1st Qtr'!C32, '2nd Qtr'!C32, '3rd Qtr'!C32, '4th Qtr'!C32)</f>
        <v>156787</v>
      </c>
      <c r="D32" s="13">
        <f>SUM('1st Qtr'!D32, '2nd Qtr'!D32, '3rd Qtr'!D32, '4th Qtr'!D32)</f>
        <v>344240</v>
      </c>
      <c r="E32" s="13">
        <f t="shared" si="9"/>
        <v>-187453</v>
      </c>
      <c r="F32" s="14">
        <f t="shared" si="10"/>
        <v>-0.54454159888449916</v>
      </c>
      <c r="G32" s="15">
        <f>SUM('1st Qtr'!G32, '2nd Qtr'!G32, '3rd Qtr'!G32, '4th Qtr'!G32)</f>
        <v>246093.57</v>
      </c>
      <c r="H32" s="15">
        <f>SUM('1st Qtr'!H32, '2nd Qtr'!H32, '3rd Qtr'!H32, '4th Qtr'!H32)</f>
        <v>-90287.75</v>
      </c>
      <c r="I32" s="16">
        <f t="shared" si="11"/>
        <v>-0.36688382390486673</v>
      </c>
    </row>
    <row r="33" spans="1:9" ht="15.6">
      <c r="A33" s="52" t="str">
        <v>Greenfield USD - Plantation ES</v>
      </c>
      <c r="B33" s="30" t="str">
        <v>CA</v>
      </c>
      <c r="C33" s="11">
        <f>SUM('1st Qtr'!C33, '2nd Qtr'!C33, '3rd Qtr'!C33, '4th Qtr'!C33)</f>
        <v>152038</v>
      </c>
      <c r="D33" s="18">
        <f>SUM('1st Qtr'!D33, '2nd Qtr'!D33, '3rd Qtr'!D33, '4th Qtr'!D33)</f>
        <v>241640</v>
      </c>
      <c r="E33" s="18">
        <f t="shared" si="9"/>
        <v>-89602</v>
      </c>
      <c r="F33" s="19">
        <f t="shared" si="10"/>
        <v>-0.3708078132759477</v>
      </c>
      <c r="G33" s="20">
        <f>SUM('1st Qtr'!G33, '2nd Qtr'!G33, '3rd Qtr'!G33, '4th Qtr'!G33)</f>
        <v>179620.01999999996</v>
      </c>
      <c r="H33" s="20">
        <f>SUM('1st Qtr'!H33, '2nd Qtr'!H33, '3rd Qtr'!H33, '4th Qtr'!H33)</f>
        <v>-53361.070000000007</v>
      </c>
      <c r="I33" s="19">
        <f t="shared" si="11"/>
        <v>-0.29707751953262235</v>
      </c>
    </row>
    <row r="34" spans="1:9" ht="15.6">
      <c r="A34" s="53" t="str">
        <v>Greenfield USD - Planz ES</v>
      </c>
      <c r="B34" s="28" t="str">
        <v>CA</v>
      </c>
      <c r="C34" s="24">
        <f>SUM('1st Qtr'!C34, '2nd Qtr'!C34, '3rd Qtr'!C34, '4th Qtr'!C34)</f>
        <v>91573</v>
      </c>
      <c r="D34" s="13">
        <f>SUM('1st Qtr'!D34, '2nd Qtr'!D34, '3rd Qtr'!D34, '4th Qtr'!D34)</f>
        <v>308743</v>
      </c>
      <c r="E34" s="13">
        <f t="shared" si="9"/>
        <v>-217170</v>
      </c>
      <c r="F34" s="14">
        <f t="shared" si="10"/>
        <v>-0.70340056292774245</v>
      </c>
      <c r="G34" s="15">
        <f>SUM('1st Qtr'!G34, '2nd Qtr'!G34, '3rd Qtr'!G34, '4th Qtr'!G34)</f>
        <v>221937.13</v>
      </c>
      <c r="H34" s="15">
        <f>SUM('1st Qtr'!H34, '2nd Qtr'!H34, '3rd Qtr'!H34, '4th Qtr'!H34)</f>
        <v>-132437.56</v>
      </c>
      <c r="I34" s="16">
        <f t="shared" si="11"/>
        <v>-0.59673457974337141</v>
      </c>
    </row>
    <row r="35" spans="1:9" ht="15.6">
      <c r="A35" s="52" t="str">
        <v>Greenfield USD - Raffaello Palla ES</v>
      </c>
      <c r="B35" s="30" t="str">
        <v>CA</v>
      </c>
      <c r="C35" s="11">
        <f>SUM('1st Qtr'!C35, '2nd Qtr'!C35, '3rd Qtr'!C35, '4th Qtr'!C35)</f>
        <v>336508</v>
      </c>
      <c r="D35" s="18">
        <f>SUM('1st Qtr'!D35, '2nd Qtr'!D35, '3rd Qtr'!D35, '4th Qtr'!D35)</f>
        <v>561085</v>
      </c>
      <c r="E35" s="18">
        <f t="shared" si="9"/>
        <v>-224577</v>
      </c>
      <c r="F35" s="19">
        <f t="shared" si="10"/>
        <v>-0.40025486334512594</v>
      </c>
      <c r="G35" s="20">
        <f>SUM('1st Qtr'!G35, '2nd Qtr'!G35, '3rd Qtr'!G35, '4th Qtr'!G35)</f>
        <v>447297.29000000004</v>
      </c>
      <c r="H35" s="20">
        <f>SUM('1st Qtr'!H35, '2nd Qtr'!H35, '3rd Qtr'!H35, '4th Qtr'!H35)</f>
        <v>-83316.320000000007</v>
      </c>
      <c r="I35" s="19">
        <f t="shared" si="11"/>
        <v>-0.18626609609014175</v>
      </c>
    </row>
    <row r="36" spans="1:9" ht="15.6">
      <c r="A36" s="53" t="str">
        <v>Greenfield USD - Valle Verde ES</v>
      </c>
      <c r="B36" s="28" t="str">
        <v>CA</v>
      </c>
      <c r="C36" s="24">
        <f>SUM('1st Qtr'!C36, '2nd Qtr'!C36, '3rd Qtr'!C36, '4th Qtr'!C36)</f>
        <v>373087</v>
      </c>
      <c r="D36" s="13">
        <f>SUM('1st Qtr'!D36, '2nd Qtr'!D36, '3rd Qtr'!D36, '4th Qtr'!D36)</f>
        <v>543892</v>
      </c>
      <c r="E36" s="13">
        <f t="shared" si="9"/>
        <v>-170805</v>
      </c>
      <c r="F36" s="14">
        <f t="shared" si="10"/>
        <v>-0.3140421260103109</v>
      </c>
      <c r="G36" s="15">
        <f>SUM('1st Qtr'!G36, '2nd Qtr'!G36, '3rd Qtr'!G36, '4th Qtr'!G36)</f>
        <v>398887.66000000003</v>
      </c>
      <c r="H36" s="15">
        <f>SUM('1st Qtr'!H36, '2nd Qtr'!H36, '3rd Qtr'!H36, '4th Qtr'!H36)</f>
        <v>-39656.860000000015</v>
      </c>
      <c r="I36" s="16">
        <f t="shared" si="11"/>
        <v>-9.9418618264601147E-2</v>
      </c>
    </row>
    <row r="37" spans="1:9" ht="15.6">
      <c r="A37" s="52" t="str">
        <v>Greenfield USD - W.A. Kendrick ES</v>
      </c>
      <c r="B37" s="30" t="str">
        <v>CA</v>
      </c>
      <c r="C37" s="11">
        <f>SUM('1st Qtr'!C37, '2nd Qtr'!C37, '3rd Qtr'!C37, '4th Qtr'!C37)</f>
        <v>12443</v>
      </c>
      <c r="D37" s="18">
        <f>SUM('1st Qtr'!D37, '2nd Qtr'!D37, '3rd Qtr'!D37, '4th Qtr'!D37)</f>
        <v>19420</v>
      </c>
      <c r="E37" s="18">
        <f t="shared" si="9"/>
        <v>-6977</v>
      </c>
      <c r="F37" s="19">
        <f t="shared" si="10"/>
        <v>-0.35926879505664261</v>
      </c>
      <c r="G37" s="20">
        <f>SUM('1st Qtr'!G37, '2nd Qtr'!G37, '3rd Qtr'!G37, '4th Qtr'!G37)</f>
        <v>161074.97</v>
      </c>
      <c r="H37" s="20">
        <f>SUM('1st Qtr'!H37, '2nd Qtr'!H37, '3rd Qtr'!H37, '4th Qtr'!H37)</f>
        <v>-146072.04</v>
      </c>
      <c r="I37" s="19">
        <f t="shared" si="11"/>
        <v>-0.90685747139980843</v>
      </c>
    </row>
    <row r="38" spans="1:9" ht="15.6">
      <c r="A38" s="53" t="str">
        <v>Muroc Joint USD - Boron HS</v>
      </c>
      <c r="B38" s="28" t="str">
        <v>CA</v>
      </c>
      <c r="C38" s="24">
        <f>SUM('1st Qtr'!C38, '2nd Qtr'!C38, '3rd Qtr'!C38, '4th Qtr'!C38)</f>
        <v>0</v>
      </c>
      <c r="D38" s="13">
        <f>SUM('1st Qtr'!D38, '2nd Qtr'!D38, '3rd Qtr'!D38, '4th Qtr'!D38)</f>
        <v>0</v>
      </c>
      <c r="E38" s="13">
        <f t="shared" si="9"/>
        <v>0</v>
      </c>
      <c r="F38" s="14" t="str">
        <f t="shared" si="10"/>
        <v/>
      </c>
      <c r="G38" s="15">
        <f>SUM('1st Qtr'!G38, '2nd Qtr'!G38, '3rd Qtr'!G38, '4th Qtr'!G38)</f>
        <v>383709.28500000003</v>
      </c>
      <c r="H38" s="15">
        <f>SUM('1st Qtr'!H38, '2nd Qtr'!H38, '3rd Qtr'!H38, '4th Qtr'!H38)</f>
        <v>-406103.91500000004</v>
      </c>
      <c r="I38" s="16">
        <f t="shared" si="11"/>
        <v>-1.0583635342574522</v>
      </c>
    </row>
    <row r="39" spans="1:9" ht="15.6">
      <c r="A39" s="52" t="str">
        <v>Muroc Joint USD - W. Boron ES</v>
      </c>
      <c r="B39" s="30" t="str">
        <v>CA</v>
      </c>
      <c r="C39" s="11">
        <f>SUM('1st Qtr'!C39, '2nd Qtr'!C39, '3rd Qtr'!C39, '4th Qtr'!C39)</f>
        <v>160954</v>
      </c>
      <c r="D39" s="18">
        <f>SUM('1st Qtr'!D39, '2nd Qtr'!D39, '3rd Qtr'!D39, '4th Qtr'!D39)</f>
        <v>169065</v>
      </c>
      <c r="E39" s="18">
        <f t="shared" si="9"/>
        <v>-8111</v>
      </c>
      <c r="F39" s="19">
        <f t="shared" si="10"/>
        <v>-4.7975630674592609E-2</v>
      </c>
      <c r="G39" s="20">
        <f>SUM('1st Qtr'!G39, '2nd Qtr'!G39, '3rd Qtr'!G39, '4th Qtr'!G39)</f>
        <v>337993.8</v>
      </c>
      <c r="H39" s="20">
        <f>SUM('1st Qtr'!H39, '2nd Qtr'!H39, '3rd Qtr'!H39, '4th Qtr'!H39)</f>
        <v>-177039.80000000002</v>
      </c>
      <c r="I39" s="19">
        <f t="shared" si="11"/>
        <v>-0.52379599862482695</v>
      </c>
    </row>
    <row r="40" spans="1:9" ht="15.6">
      <c r="A40" s="53" t="str">
        <v>Colusa - WTP</v>
      </c>
      <c r="B40" s="28" t="str">
        <v>CA</v>
      </c>
      <c r="C40" s="24">
        <f>SUM('1st Qtr'!C40, '2nd Qtr'!C40, '3rd Qtr'!C40, '4th Qtr'!C40)</f>
        <v>6209</v>
      </c>
      <c r="D40" s="13">
        <f>SUM('1st Qtr'!D40, '2nd Qtr'!D40, '3rd Qtr'!D40, '4th Qtr'!D40)</f>
        <v>13924</v>
      </c>
      <c r="E40" s="13">
        <f t="shared" si="9"/>
        <v>-7715</v>
      </c>
      <c r="F40" s="14">
        <f t="shared" si="10"/>
        <v>-0.55407928756104563</v>
      </c>
      <c r="G40" s="15">
        <f>SUM('1st Qtr'!G40, '2nd Qtr'!G40, '3rd Qtr'!G40, '4th Qtr'!G40)</f>
        <v>437469.88099999994</v>
      </c>
      <c r="H40" s="15">
        <f>SUM('1st Qtr'!H40, '2nd Qtr'!H40, '3rd Qtr'!H40, '4th Qtr'!H40)</f>
        <v>-474277.55599999998</v>
      </c>
      <c r="I40" s="16">
        <f t="shared" si="11"/>
        <v>-1.0841376208937228</v>
      </c>
    </row>
    <row r="41" spans="1:9" ht="15.6">
      <c r="A41" s="52" t="str">
        <v>CDCR-North Kern State Prision</v>
      </c>
      <c r="B41" s="30" t="str">
        <v>CA</v>
      </c>
      <c r="C41" s="11">
        <f>SUM('1st Qtr'!C41, '2nd Qtr'!C41, '3rd Qtr'!C41, '4th Qtr'!C41)</f>
        <v>231045</v>
      </c>
      <c r="D41" s="18">
        <f>SUM('1st Qtr'!D41, '2nd Qtr'!D41, '3rd Qtr'!D41, '4th Qtr'!D41)</f>
        <v>0</v>
      </c>
      <c r="E41" s="18">
        <f t="shared" si="9"/>
        <v>231045</v>
      </c>
      <c r="F41" s="19" t="str">
        <f t="shared" si="10"/>
        <v/>
      </c>
      <c r="G41" s="20">
        <f>SUM('1st Qtr'!G41, '2nd Qtr'!G41, '3rd Qtr'!G41, '4th Qtr'!G41)</f>
        <v>607669.37</v>
      </c>
      <c r="H41" s="20">
        <f>SUM('1st Qtr'!H41, '2nd Qtr'!H41, '3rd Qtr'!H41, '4th Qtr'!H41)</f>
        <v>-376624.37</v>
      </c>
      <c r="I41" s="19">
        <f t="shared" si="11"/>
        <v>-0.61978501565744548</v>
      </c>
    </row>
    <row r="42" spans="1:9" ht="15.6">
      <c r="A42" s="53" t="str">
        <v>Muroc Joint USD - District Office</v>
      </c>
      <c r="B42" s="28" t="str">
        <v>CA</v>
      </c>
      <c r="C42" s="24">
        <f>SUM('1st Qtr'!C42, '2nd Qtr'!C42, '3rd Qtr'!C42, '4th Qtr'!C42)</f>
        <v>82148</v>
      </c>
      <c r="D42" s="13">
        <f>SUM('1st Qtr'!D42, '2nd Qtr'!D42, '3rd Qtr'!D42, '4th Qtr'!D42)</f>
        <v>124736</v>
      </c>
      <c r="E42" s="13">
        <f t="shared" si="9"/>
        <v>-42588</v>
      </c>
      <c r="F42" s="14">
        <f t="shared" si="10"/>
        <v>-0.34142508978963571</v>
      </c>
      <c r="G42" s="15">
        <f>SUM('1st Qtr'!G42, '2nd Qtr'!G42, '3rd Qtr'!G42, '4th Qtr'!G42)</f>
        <v>93604.330000000016</v>
      </c>
      <c r="H42" s="15">
        <f>SUM('1st Qtr'!H42, '2nd Qtr'!H42, '3rd Qtr'!H42, '4th Qtr'!H42)</f>
        <v>-45755.16</v>
      </c>
      <c r="I42" s="16">
        <f t="shared" si="11"/>
        <v>-0.48881456659109673</v>
      </c>
    </row>
    <row r="43" spans="1:9" ht="15.6">
      <c r="A43" s="52" t="str">
        <v>Whole Foods - Manhattan Beach</v>
      </c>
      <c r="B43" s="30" t="str">
        <v>CA</v>
      </c>
      <c r="C43" s="11">
        <f>SUM('1st Qtr'!C43, '2nd Qtr'!C43, '3rd Qtr'!C43, '4th Qtr'!C43)</f>
        <v>62129</v>
      </c>
      <c r="D43" s="18">
        <f>SUM('1st Qtr'!D43, '2nd Qtr'!D43, '3rd Qtr'!D43, '4th Qtr'!D43)</f>
        <v>0</v>
      </c>
      <c r="E43" s="18">
        <f t="shared" si="9"/>
        <v>62129</v>
      </c>
      <c r="F43" s="19" t="str">
        <f t="shared" si="10"/>
        <v/>
      </c>
      <c r="G43" s="20">
        <f>SUM('1st Qtr'!G43, '2nd Qtr'!G43, '3rd Qtr'!G43, '4th Qtr'!G43)</f>
        <v>102116.63</v>
      </c>
      <c r="H43" s="20">
        <f>SUM('1st Qtr'!H43, '2nd Qtr'!H43, '3rd Qtr'!H43, '4th Qtr'!H43)</f>
        <v>-39987.629999999997</v>
      </c>
      <c r="I43" s="19">
        <f t="shared" si="11"/>
        <v>-0.39158783442030937</v>
      </c>
    </row>
    <row r="44" spans="1:9" ht="15.6">
      <c r="A44" s="53" t="str">
        <v>Pioneer USD - Frontier ES</v>
      </c>
      <c r="B44" s="28" t="str">
        <v>CA</v>
      </c>
      <c r="C44" s="24">
        <f>SUM('1st Qtr'!C44, '2nd Qtr'!C44, '3rd Qtr'!C44, '4th Qtr'!C44)</f>
        <v>313394</v>
      </c>
      <c r="D44" s="13">
        <f>SUM('1st Qtr'!D44, '2nd Qtr'!D44, '3rd Qtr'!D44, '4th Qtr'!D44)</f>
        <v>0</v>
      </c>
      <c r="E44" s="13">
        <f t="shared" si="9"/>
        <v>313394</v>
      </c>
      <c r="F44" s="14" t="str">
        <f t="shared" si="10"/>
        <v/>
      </c>
      <c r="G44" s="15">
        <f>SUM('1st Qtr'!G44, '2nd Qtr'!G44, '3rd Qtr'!G44, '4th Qtr'!G44)</f>
        <v>366140.02999999997</v>
      </c>
      <c r="H44" s="15">
        <f>SUM('1st Qtr'!H44, '2nd Qtr'!H44, '3rd Qtr'!H44, '4th Qtr'!H44)</f>
        <v>-51950.259999999995</v>
      </c>
      <c r="I44" s="16">
        <f t="shared" si="11"/>
        <v>-0.14188631600865931</v>
      </c>
    </row>
    <row r="45" spans="1:9" ht="15.6">
      <c r="A45" s="52" t="str">
        <v>Pioneer USD - Pioneer ES</v>
      </c>
      <c r="B45" s="30" t="str">
        <v>CA</v>
      </c>
      <c r="C45" s="11">
        <f>SUM('1st Qtr'!C45, '2nd Qtr'!C45, '3rd Qtr'!C45, '4th Qtr'!C45)</f>
        <v>256644.3</v>
      </c>
      <c r="D45" s="18">
        <f>SUM('1st Qtr'!D45, '2nd Qtr'!D45, '3rd Qtr'!D45, '4th Qtr'!D45)</f>
        <v>43149</v>
      </c>
      <c r="E45" s="18">
        <f t="shared" si="9"/>
        <v>213495.3</v>
      </c>
      <c r="F45" s="19">
        <f t="shared" si="10"/>
        <v>4.9478620593756517</v>
      </c>
      <c r="G45" s="20">
        <f>SUM('1st Qtr'!G45, '2nd Qtr'!G45, '3rd Qtr'!G45, '4th Qtr'!G45)</f>
        <v>407568.20999999996</v>
      </c>
      <c r="H45" s="20">
        <f>SUM('1st Qtr'!H45, '2nd Qtr'!H45, '3rd Qtr'!H45, '4th Qtr'!H45)</f>
        <v>-150923.91</v>
      </c>
      <c r="I45" s="19">
        <f t="shared" si="11"/>
        <v>-0.37030343951506917</v>
      </c>
    </row>
    <row r="46" spans="1:9" ht="15.6">
      <c r="A46" s="53" t="str">
        <v>Pioneer USD - Pioneer MS</v>
      </c>
      <c r="B46" s="28" t="str">
        <v>CA</v>
      </c>
      <c r="C46" s="24">
        <f>SUM('1st Qtr'!C46, '2nd Qtr'!C46, '3rd Qtr'!C46, '4th Qtr'!C46)</f>
        <v>838805</v>
      </c>
      <c r="D46" s="13">
        <f>SUM('1st Qtr'!D46, '2nd Qtr'!D46, '3rd Qtr'!D46, '4th Qtr'!D46)</f>
        <v>663700</v>
      </c>
      <c r="E46" s="13">
        <f t="shared" si="9"/>
        <v>175105</v>
      </c>
      <c r="F46" s="14">
        <f t="shared" si="10"/>
        <v>0.2638315503992768</v>
      </c>
      <c r="G46" s="15">
        <f>SUM('1st Qtr'!G46, '2nd Qtr'!G46, '3rd Qtr'!G46, '4th Qtr'!G46)</f>
        <v>1177256.3</v>
      </c>
      <c r="H46" s="15">
        <f>SUM('1st Qtr'!H46, '2nd Qtr'!H46, '3rd Qtr'!H46, '4th Qtr'!H46)</f>
        <v>-320634.06999999995</v>
      </c>
      <c r="I46" s="16">
        <f t="shared" si="11"/>
        <v>-0.27235706447270652</v>
      </c>
    </row>
    <row r="47" spans="1:9" ht="15.6">
      <c r="A47" s="52" t="str">
        <v>Kingsburg Joint UHSD - Kingsburg HS</v>
      </c>
      <c r="B47" s="30" t="str">
        <v>CA</v>
      </c>
      <c r="C47" s="11">
        <f>SUM('1st Qtr'!C47, '2nd Qtr'!C47, '3rd Qtr'!C47, '4th Qtr'!C47)</f>
        <v>902931</v>
      </c>
      <c r="D47" s="18">
        <f>SUM('1st Qtr'!D47, '2nd Qtr'!D47, '3rd Qtr'!D47, '4th Qtr'!D47)</f>
        <v>2076020</v>
      </c>
      <c r="E47" s="18">
        <f t="shared" si="9"/>
        <v>-1173089</v>
      </c>
      <c r="F47" s="19">
        <f t="shared" si="10"/>
        <v>-0.56506632884076258</v>
      </c>
      <c r="G47" s="20">
        <f>SUM('1st Qtr'!G47, '2nd Qtr'!G47, '3rd Qtr'!G47, '4th Qtr'!G47)</f>
        <v>1186230.74</v>
      </c>
      <c r="H47" s="20">
        <f>SUM('1st Qtr'!H47, '2nd Qtr'!H47, '3rd Qtr'!H47, '4th Qtr'!H47)</f>
        <v>-283299.74</v>
      </c>
      <c r="I47" s="19">
        <f t="shared" si="11"/>
        <v>-0.23882346869547488</v>
      </c>
    </row>
    <row r="48" spans="1:9" ht="15.6">
      <c r="A48" s="53" t="str">
        <v>CADRB</v>
      </c>
      <c r="B48" s="28" t="str">
        <v>CA</v>
      </c>
      <c r="C48" s="24">
        <f>SUM('1st Qtr'!C48, '2nd Qtr'!C48, '3rd Qtr'!C48, '4th Qtr'!C48)</f>
        <v>5211595</v>
      </c>
      <c r="D48" s="13">
        <f>SUM('1st Qtr'!D48, '2nd Qtr'!D48, '3rd Qtr'!D48, '4th Qtr'!D48)</f>
        <v>6517094</v>
      </c>
      <c r="E48" s="13">
        <f t="shared" si="9"/>
        <v>-1305499</v>
      </c>
      <c r="F48" s="14">
        <f t="shared" si="10"/>
        <v>-0.20031919134509951</v>
      </c>
      <c r="G48" s="15">
        <f>SUM('1st Qtr'!G48, '2nd Qtr'!G48, '3rd Qtr'!G48, '4th Qtr'!G48)</f>
        <v>7482825</v>
      </c>
      <c r="H48" s="15">
        <f>SUM('1st Qtr'!H48, '2nd Qtr'!H48, '3rd Qtr'!H48, '4th Qtr'!H48)</f>
        <v>-2285327.6799999997</v>
      </c>
      <c r="I48" s="16">
        <f t="shared" si="11"/>
        <v>-0.30540974565087381</v>
      </c>
    </row>
    <row r="49" spans="1:9" ht="15.6">
      <c r="A49" s="52" t="str">
        <v>CDCR-CA State Prison LA County</v>
      </c>
      <c r="B49" s="30" t="str">
        <v>CA</v>
      </c>
      <c r="C49" s="11">
        <f>SUM('1st Qtr'!C49, '2nd Qtr'!C49, '3rd Qtr'!C49, '4th Qtr'!C49)</f>
        <v>815624</v>
      </c>
      <c r="D49" s="18">
        <f>SUM('1st Qtr'!D49, '2nd Qtr'!D49, '3rd Qtr'!D49, '4th Qtr'!D49)</f>
        <v>37660</v>
      </c>
      <c r="E49" s="18">
        <f t="shared" si="9"/>
        <v>777964</v>
      </c>
      <c r="F49" s="19">
        <f t="shared" si="10"/>
        <v>20.657567711099311</v>
      </c>
      <c r="G49" s="20">
        <f>SUM('1st Qtr'!G49, '2nd Qtr'!G49, '3rd Qtr'!G49, '4th Qtr'!G49)</f>
        <v>1447225.21</v>
      </c>
      <c r="H49" s="20">
        <f>SUM('1st Qtr'!H49, '2nd Qtr'!H49, '3rd Qtr'!H49, '4th Qtr'!H49)</f>
        <v>-631601.21</v>
      </c>
      <c r="I49" s="19">
        <f t="shared" si="11"/>
        <v>-0.4364221999698305</v>
      </c>
    </row>
    <row r="50" spans="1:9" ht="15.6">
      <c r="A50" s="53" t="str">
        <v>Central USD Akers ES</v>
      </c>
      <c r="B50" s="28" t="str">
        <v>CA</v>
      </c>
      <c r="C50" s="24">
        <f>SUM('1st Qtr'!C50, '2nd Qtr'!C50, '3rd Qtr'!C50, '4th Qtr'!C50)</f>
        <v>99207</v>
      </c>
      <c r="D50" s="13">
        <f>SUM('1st Qtr'!D50, '2nd Qtr'!D50, '3rd Qtr'!D50, '4th Qtr'!D50)</f>
        <v>0</v>
      </c>
      <c r="E50" s="13">
        <f t="shared" si="9"/>
        <v>99207</v>
      </c>
      <c r="F50" s="14" t="str">
        <f t="shared" si="10"/>
        <v/>
      </c>
      <c r="G50" s="15">
        <f>SUM('1st Qtr'!G50, '2nd Qtr'!G50, '3rd Qtr'!G50, '4th Qtr'!G50)</f>
        <v>209121.31</v>
      </c>
      <c r="H50" s="15">
        <f>SUM('1st Qtr'!H50, '2nd Qtr'!H50, '3rd Qtr'!H50, '4th Qtr'!H50)</f>
        <v>-84106.140000000014</v>
      </c>
      <c r="I50" s="16">
        <f t="shared" si="11"/>
        <v>-0.40218828009445817</v>
      </c>
    </row>
    <row r="51" spans="1:9" ht="15.6">
      <c r="A51" s="52" t="str">
        <v>CUSD - District Office</v>
      </c>
      <c r="B51" s="30" t="str">
        <v>CA</v>
      </c>
      <c r="C51" s="11">
        <f>SUM('1st Qtr'!C51, '2nd Qtr'!C51, '3rd Qtr'!C51, '4th Qtr'!C51)</f>
        <v>279368</v>
      </c>
      <c r="D51" s="18">
        <f>SUM('1st Qtr'!D51, '2nd Qtr'!D51, '3rd Qtr'!D51, '4th Qtr'!D51)</f>
        <v>450690</v>
      </c>
      <c r="E51" s="18">
        <f t="shared" si="9"/>
        <v>-171322</v>
      </c>
      <c r="F51" s="19">
        <f t="shared" si="10"/>
        <v>-0.38013268543788414</v>
      </c>
      <c r="G51" s="20">
        <f>SUM('1st Qtr'!G51, '2nd Qtr'!G51, '3rd Qtr'!G51, '4th Qtr'!G51)</f>
        <v>314396.92</v>
      </c>
      <c r="H51" s="20">
        <f>SUM('1st Qtr'!H51, '2nd Qtr'!H51, '3rd Qtr'!H51, '4th Qtr'!H51)</f>
        <v>-35028.919999999991</v>
      </c>
      <c r="I51" s="19">
        <f t="shared" si="11"/>
        <v>-0.11141623143127481</v>
      </c>
    </row>
    <row r="52" spans="1:9" ht="15.6">
      <c r="A52" s="53" t="str">
        <v>Parlier - WTP</v>
      </c>
      <c r="B52" s="28" t="str">
        <v>CA</v>
      </c>
      <c r="C52" s="24">
        <f>SUM('1st Qtr'!C52, '2nd Qtr'!C52, '3rd Qtr'!C52, '4th Qtr'!C52)</f>
        <v>107342</v>
      </c>
      <c r="D52" s="13">
        <f>SUM('1st Qtr'!D52, '2nd Qtr'!D52, '3rd Qtr'!D52, '4th Qtr'!D52)</f>
        <v>0</v>
      </c>
      <c r="E52" s="13">
        <f t="shared" si="9"/>
        <v>107342</v>
      </c>
      <c r="F52" s="14" t="str">
        <f t="shared" si="10"/>
        <v/>
      </c>
      <c r="G52" s="15">
        <f>SUM('1st Qtr'!G52, '2nd Qtr'!G52, '3rd Qtr'!G52, '4th Qtr'!G52)</f>
        <v>317632.40000000002</v>
      </c>
      <c r="H52" s="15">
        <f>SUM('1st Qtr'!H52, '2nd Qtr'!H52, '3rd Qtr'!H52, '4th Qtr'!H52)</f>
        <v>-171492.66999999998</v>
      </c>
      <c r="I52" s="16">
        <f t="shared" si="11"/>
        <v>-0.53990924729341205</v>
      </c>
    </row>
    <row r="53" spans="1:9" ht="15.6">
      <c r="A53" s="52" t="str">
        <v>Snowline SD - Quail Valley MS</v>
      </c>
      <c r="B53" s="30" t="str">
        <v>CA</v>
      </c>
      <c r="C53" s="11">
        <f>SUM('1st Qtr'!C53, '2nd Qtr'!C53, '3rd Qtr'!C53, '4th Qtr'!C53)</f>
        <v>368689</v>
      </c>
      <c r="D53" s="18">
        <f>SUM('1st Qtr'!D53, '2nd Qtr'!D53, '3rd Qtr'!D53, '4th Qtr'!D53)</f>
        <v>631140</v>
      </c>
      <c r="E53" s="18">
        <f t="shared" si="9"/>
        <v>-262451</v>
      </c>
      <c r="F53" s="19">
        <f t="shared" si="10"/>
        <v>-0.41583642298063822</v>
      </c>
      <c r="G53" s="20">
        <f>SUM('1st Qtr'!G53, '2nd Qtr'!G53, '3rd Qtr'!G53, '4th Qtr'!G53)</f>
        <v>428967.52999999997</v>
      </c>
      <c r="H53" s="20">
        <f>SUM('1st Qtr'!H53, '2nd Qtr'!H53, '3rd Qtr'!H53, '4th Qtr'!H53)</f>
        <v>-60278.530000000013</v>
      </c>
      <c r="I53" s="19">
        <f t="shared" si="11"/>
        <v>-0.14052002956960405</v>
      </c>
    </row>
    <row r="54" spans="1:9" ht="15.6">
      <c r="A54" s="53" t="str">
        <v>Snowline SD - Serrano HS - Middle Lot</v>
      </c>
      <c r="B54" s="28" t="str">
        <v>CA</v>
      </c>
      <c r="C54" s="24">
        <f>SUM('1st Qtr'!C54, '2nd Qtr'!C54, '3rd Qtr'!C54, '4th Qtr'!C54)</f>
        <v>112728</v>
      </c>
      <c r="D54" s="13">
        <f>SUM('1st Qtr'!D54, '2nd Qtr'!D54, '3rd Qtr'!D54, '4th Qtr'!D54)</f>
        <v>45862</v>
      </c>
      <c r="E54" s="13">
        <f t="shared" si="9"/>
        <v>66866</v>
      </c>
      <c r="F54" s="14">
        <f t="shared" si="10"/>
        <v>1.4579826435829226</v>
      </c>
      <c r="G54" s="15">
        <f>SUM('1st Qtr'!G54, '2nd Qtr'!G54, '3rd Qtr'!G54, '4th Qtr'!G54)</f>
        <v>243361.163</v>
      </c>
      <c r="H54" s="15">
        <f>SUM('1st Qtr'!H54, '2nd Qtr'!H54, '3rd Qtr'!H54, '4th Qtr'!H54)</f>
        <v>-107925.323</v>
      </c>
      <c r="I54" s="16">
        <f t="shared" si="11"/>
        <v>-0.44347800474638593</v>
      </c>
    </row>
    <row r="55" spans="1:9" ht="15.6">
      <c r="A55" s="52" t="str">
        <v>Snowline SD - Pinon Hills ES</v>
      </c>
      <c r="B55" s="30" t="str">
        <v>CA</v>
      </c>
      <c r="C55" s="11">
        <f>SUM('1st Qtr'!C55, '2nd Qtr'!C55, '3rd Qtr'!C55, '4th Qtr'!C55)</f>
        <v>69962</v>
      </c>
      <c r="D55" s="18">
        <f>SUM('1st Qtr'!D55, '2nd Qtr'!D55, '3rd Qtr'!D55, '4th Qtr'!D55)</f>
        <v>84034</v>
      </c>
      <c r="E55" s="18">
        <f t="shared" si="9"/>
        <v>-14072</v>
      </c>
      <c r="F55" s="19">
        <f t="shared" si="10"/>
        <v>-0.16745602970226336</v>
      </c>
      <c r="G55" s="20">
        <f>SUM('1st Qtr'!G55, '2nd Qtr'!G55, '3rd Qtr'!G55, '4th Qtr'!G55)</f>
        <v>264242.42</v>
      </c>
      <c r="H55" s="20">
        <f>SUM('1st Qtr'!H55, '2nd Qtr'!H55, '3rd Qtr'!H55, '4th Qtr'!H55)</f>
        <v>-194280.41999999998</v>
      </c>
      <c r="I55" s="19">
        <f t="shared" si="11"/>
        <v>-0.7352355462079101</v>
      </c>
    </row>
    <row r="56" spans="1:9" ht="15.6">
      <c r="A56" s="53" t="str">
        <v>Ramona - Santa Maria WTP</v>
      </c>
      <c r="B56" s="28" t="str">
        <v>CA</v>
      </c>
      <c r="C56" s="24">
        <f>SUM('1st Qtr'!C56, '2nd Qtr'!C56, '3rd Qtr'!C56, '4th Qtr'!C56)</f>
        <v>618419</v>
      </c>
      <c r="D56" s="13">
        <f>SUM('1st Qtr'!D56, '2nd Qtr'!D56, '3rd Qtr'!D56, '4th Qtr'!D56)</f>
        <v>1082400</v>
      </c>
      <c r="E56" s="13">
        <f t="shared" si="9"/>
        <v>-463981</v>
      </c>
      <c r="F56" s="14">
        <f t="shared" si="10"/>
        <v>-0.42865946045824094</v>
      </c>
      <c r="G56" s="15">
        <f>SUM('1st Qtr'!G56, '2nd Qtr'!G56, '3rd Qtr'!G56, '4th Qtr'!G56)</f>
        <v>771671.22000000009</v>
      </c>
      <c r="H56" s="15">
        <f>SUM('1st Qtr'!H56, '2nd Qtr'!H56, '3rd Qtr'!H56, '4th Qtr'!H56)</f>
        <v>-199828.97999999998</v>
      </c>
      <c r="I56" s="16">
        <f t="shared" si="11"/>
        <v>-0.25895611345982289</v>
      </c>
    </row>
    <row r="57" spans="1:9" ht="15.6">
      <c r="A57" s="52" t="str">
        <v>Kohls - Redding</v>
      </c>
      <c r="B57" s="30" t="str">
        <v>CA</v>
      </c>
      <c r="C57" s="11">
        <f>SUM('1st Qtr'!C57, '2nd Qtr'!C57, '3rd Qtr'!C57, '4th Qtr'!C57)</f>
        <v>437296</v>
      </c>
      <c r="D57" s="18">
        <f>SUM('1st Qtr'!D57, '2nd Qtr'!D57, '3rd Qtr'!D57, '4th Qtr'!D57)</f>
        <v>26187</v>
      </c>
      <c r="E57" s="18">
        <f t="shared" si="9"/>
        <v>411109</v>
      </c>
      <c r="F57" s="19">
        <f t="shared" si="10"/>
        <v>15.698972772749837</v>
      </c>
      <c r="G57" s="20">
        <f>SUM('1st Qtr'!G57, '2nd Qtr'!G57, '3rd Qtr'!G57, '4th Qtr'!G57)</f>
        <v>433604.63</v>
      </c>
      <c r="H57" s="20">
        <f>SUM('1st Qtr'!H57, '2nd Qtr'!H57, '3rd Qtr'!H57, '4th Qtr'!H57)</f>
        <v>3691.3700000000063</v>
      </c>
      <c r="I57" s="19">
        <f t="shared" si="11"/>
        <v>8.5132162910714453E-3</v>
      </c>
    </row>
    <row r="58" spans="1:9" ht="15.6">
      <c r="A58" s="53" t="str">
        <v>Kohls - Salinas</v>
      </c>
      <c r="B58" s="28" t="str">
        <v>CA</v>
      </c>
      <c r="C58" s="24">
        <f>SUM('1st Qtr'!C58, '2nd Qtr'!C58, '3rd Qtr'!C58, '4th Qtr'!C58)</f>
        <v>380947</v>
      </c>
      <c r="D58" s="13">
        <f>SUM('1st Qtr'!D58, '2nd Qtr'!D58, '3rd Qtr'!D58, '4th Qtr'!D58)</f>
        <v>688599</v>
      </c>
      <c r="E58" s="13">
        <f t="shared" si="9"/>
        <v>-307652</v>
      </c>
      <c r="F58" s="14">
        <f t="shared" si="10"/>
        <v>-0.44677962065004451</v>
      </c>
      <c r="G58" s="15">
        <f>SUM('1st Qtr'!G58, '2nd Qtr'!G58, '3rd Qtr'!G58, '4th Qtr'!G58)</f>
        <v>441504.5</v>
      </c>
      <c r="H58" s="15">
        <f>SUM('1st Qtr'!H58, '2nd Qtr'!H58, '3rd Qtr'!H58, '4th Qtr'!H58)</f>
        <v>-92313.709999999992</v>
      </c>
      <c r="I58" s="16">
        <f t="shared" si="11"/>
        <v>-0.20908894473329262</v>
      </c>
    </row>
    <row r="59" spans="1:9" ht="15.6">
      <c r="A59" s="52" t="str">
        <v>Kohls - San Bernardino - Central</v>
      </c>
      <c r="B59" s="30" t="str">
        <v>CA</v>
      </c>
      <c r="C59" s="11">
        <f>SUM('1st Qtr'!C59, '2nd Qtr'!C59, '3rd Qtr'!C59, '4th Qtr'!C59)</f>
        <v>465640</v>
      </c>
      <c r="D59" s="18">
        <f>SUM('1st Qtr'!D59, '2nd Qtr'!D59, '3rd Qtr'!D59, '4th Qtr'!D59)</f>
        <v>31465</v>
      </c>
      <c r="E59" s="18">
        <f t="shared" si="9"/>
        <v>434175</v>
      </c>
      <c r="F59" s="19">
        <f t="shared" si="10"/>
        <v>13.798665183537263</v>
      </c>
      <c r="G59" s="20">
        <f>SUM('1st Qtr'!G59, '2nd Qtr'!G59, '3rd Qtr'!G59, '4th Qtr'!G59)</f>
        <v>521124.73</v>
      </c>
      <c r="H59" s="20">
        <f>SUM('1st Qtr'!H59, '2nd Qtr'!H59, '3rd Qtr'!H59, '4th Qtr'!H59)</f>
        <v>-55484.729999999989</v>
      </c>
      <c r="I59" s="19">
        <f t="shared" si="11"/>
        <v>-0.10647111297136098</v>
      </c>
    </row>
    <row r="60" spans="1:9" ht="15.6">
      <c r="A60" s="53" t="str">
        <v>Kohls - Sonora</v>
      </c>
      <c r="B60" s="28" t="str">
        <v>CA</v>
      </c>
      <c r="C60" s="24">
        <f>SUM('1st Qtr'!C60, '2nd Qtr'!C60, '3rd Qtr'!C60, '4th Qtr'!C60)</f>
        <v>277421</v>
      </c>
      <c r="D60" s="13">
        <f>SUM('1st Qtr'!D60, '2nd Qtr'!D60, '3rd Qtr'!D60, '4th Qtr'!D60)</f>
        <v>438233</v>
      </c>
      <c r="E60" s="13">
        <f t="shared" si="9"/>
        <v>-160812</v>
      </c>
      <c r="F60" s="14">
        <f t="shared" si="10"/>
        <v>-0.36695547802196549</v>
      </c>
      <c r="G60" s="15">
        <f>SUM('1st Qtr'!G60, '2nd Qtr'!G60, '3rd Qtr'!G60, '4th Qtr'!G60)</f>
        <v>328804.63000000006</v>
      </c>
      <c r="H60" s="15">
        <f>SUM('1st Qtr'!H60, '2nd Qtr'!H60, '3rd Qtr'!H60, '4th Qtr'!H60)</f>
        <v>-39149.560000000005</v>
      </c>
      <c r="I60" s="16">
        <f t="shared" si="11"/>
        <v>-0.11906632823266508</v>
      </c>
    </row>
    <row r="61" spans="1:9" ht="15.6">
      <c r="A61" s="52" t="str">
        <v>CUSD - Stratford ES</v>
      </c>
      <c r="B61" s="30" t="str">
        <v>CA</v>
      </c>
      <c r="C61" s="11">
        <f>SUM('1st Qtr'!C61, '2nd Qtr'!C61, '3rd Qtr'!C61, '4th Qtr'!C61)</f>
        <v>217610</v>
      </c>
      <c r="D61" s="18">
        <f>SUM('1st Qtr'!D61, '2nd Qtr'!D61, '3rd Qtr'!D61, '4th Qtr'!D61)</f>
        <v>308023</v>
      </c>
      <c r="E61" s="18">
        <f t="shared" si="9"/>
        <v>-90413</v>
      </c>
      <c r="F61" s="19">
        <f t="shared" si="10"/>
        <v>-0.29352678209094774</v>
      </c>
      <c r="G61" s="20">
        <f>SUM('1st Qtr'!G61, '2nd Qtr'!G61, '3rd Qtr'!G61, '4th Qtr'!G61)</f>
        <v>229136.3</v>
      </c>
      <c r="H61" s="20">
        <f>SUM('1st Qtr'!H61, '2nd Qtr'!H61, '3rd Qtr'!H61, '4th Qtr'!H61)</f>
        <v>-11526.299999999994</v>
      </c>
      <c r="I61" s="19">
        <f t="shared" si="11"/>
        <v>-5.0303247455771936E-2</v>
      </c>
    </row>
    <row r="62" spans="1:9" ht="15.6">
      <c r="A62" s="53" t="str">
        <v>Taft - City Hall</v>
      </c>
      <c r="B62" s="28" t="str">
        <v>CA</v>
      </c>
      <c r="C62" s="24">
        <f>SUM('1st Qtr'!C62, '2nd Qtr'!C62, '3rd Qtr'!C62, '4th Qtr'!C62)</f>
        <v>62225</v>
      </c>
      <c r="D62" s="13">
        <f>SUM('1st Qtr'!D62, '2nd Qtr'!D62, '3rd Qtr'!D62, '4th Qtr'!D62)</f>
        <v>284560</v>
      </c>
      <c r="E62" s="13">
        <f t="shared" si="9"/>
        <v>-222335</v>
      </c>
      <c r="F62" s="14">
        <f t="shared" si="10"/>
        <v>-0.78132906944053981</v>
      </c>
      <c r="G62" s="15">
        <f>SUM('1st Qtr'!G62, '2nd Qtr'!G62, '3rd Qtr'!G62, '4th Qtr'!G62)</f>
        <v>102528.37999999999</v>
      </c>
      <c r="H62" s="15">
        <f>SUM('1st Qtr'!H62, '2nd Qtr'!H62, '3rd Qtr'!H62, '4th Qtr'!H62)</f>
        <v>-36980.61</v>
      </c>
      <c r="I62" s="16">
        <f t="shared" si="11"/>
        <v>-0.36068657282988381</v>
      </c>
    </row>
    <row r="63" spans="1:9" ht="15.6">
      <c r="A63" s="52" t="str">
        <v>Taft - Federal Prison</v>
      </c>
      <c r="B63" s="30" t="str">
        <v>CA</v>
      </c>
      <c r="C63" s="11">
        <f>SUM('1st Qtr'!C63, '2nd Qtr'!C63, '3rd Qtr'!C63, '4th Qtr'!C63)</f>
        <v>134908</v>
      </c>
      <c r="D63" s="18">
        <f>SUM('1st Qtr'!D63, '2nd Qtr'!D63, '3rd Qtr'!D63, '4th Qtr'!D63)</f>
        <v>183296</v>
      </c>
      <c r="E63" s="18">
        <f t="shared" si="9"/>
        <v>-48388</v>
      </c>
      <c r="F63" s="19">
        <f t="shared" si="10"/>
        <v>-0.26398830307262572</v>
      </c>
      <c r="G63" s="20">
        <f>SUM('1st Qtr'!G63, '2nd Qtr'!G63, '3rd Qtr'!G63, '4th Qtr'!G63)</f>
        <v>211617.41</v>
      </c>
      <c r="H63" s="20">
        <f>SUM('1st Qtr'!H63, '2nd Qtr'!H63, '3rd Qtr'!H63, '4th Qtr'!H63)</f>
        <v>-76709.409999999989</v>
      </c>
      <c r="I63" s="19">
        <f t="shared" si="11"/>
        <v>-0.36249101621648233</v>
      </c>
    </row>
    <row r="64" spans="1:9" ht="15.6">
      <c r="A64" s="53" t="str">
        <v>Taft - Police Department</v>
      </c>
      <c r="B64" s="28" t="str">
        <v>CA</v>
      </c>
      <c r="C64" s="24">
        <f>SUM('1st Qtr'!C64, '2nd Qtr'!C64, '3rd Qtr'!C64, '4th Qtr'!C64)</f>
        <v>207128</v>
      </c>
      <c r="D64" s="13">
        <f>SUM('1st Qtr'!D64, '2nd Qtr'!D64, '3rd Qtr'!D64, '4th Qtr'!D64)</f>
        <v>128457</v>
      </c>
      <c r="E64" s="13">
        <f t="shared" si="9"/>
        <v>78671</v>
      </c>
      <c r="F64" s="14">
        <f t="shared" si="10"/>
        <v>0.61243061880629313</v>
      </c>
      <c r="G64" s="15">
        <f>SUM('1st Qtr'!G64, '2nd Qtr'!G64, '3rd Qtr'!G64, '4th Qtr'!G64)</f>
        <v>103803.04999999999</v>
      </c>
      <c r="H64" s="15">
        <f>SUM('1st Qtr'!H64, '2nd Qtr'!H64, '3rd Qtr'!H64, '4th Qtr'!H64)</f>
        <v>-102398.63</v>
      </c>
      <c r="I64" s="16">
        <f t="shared" si="11"/>
        <v>-0.98647033974435261</v>
      </c>
    </row>
    <row r="65" spans="1:9" ht="15.6">
      <c r="A65" s="52" t="str">
        <v>Taft - WTP</v>
      </c>
      <c r="B65" s="30" t="str">
        <v>CA</v>
      </c>
      <c r="C65" s="11">
        <f>SUM('1st Qtr'!C65, '2nd Qtr'!C65, '3rd Qtr'!C65, '4th Qtr'!C65)</f>
        <v>110217</v>
      </c>
      <c r="D65" s="18">
        <f>SUM('1st Qtr'!D65, '2nd Qtr'!D65, '3rd Qtr'!D65, '4th Qtr'!D65)</f>
        <v>260696</v>
      </c>
      <c r="E65" s="18">
        <f t="shared" si="9"/>
        <v>-150479</v>
      </c>
      <c r="F65" s="19">
        <f t="shared" si="10"/>
        <v>-0.57722021051339489</v>
      </c>
      <c r="G65" s="20">
        <f>SUM('1st Qtr'!G65, '2nd Qtr'!G65, '3rd Qtr'!G65, '4th Qtr'!G65)</f>
        <v>470689.84100000001</v>
      </c>
      <c r="H65" s="20">
        <f>SUM('1st Qtr'!H65, '2nd Qtr'!H65, '3rd Qtr'!H65, '4th Qtr'!H65)</f>
        <v>-360472.84100000001</v>
      </c>
      <c r="I65" s="19">
        <f t="shared" si="11"/>
        <v>-0.76583943310558933</v>
      </c>
    </row>
    <row r="66" spans="1:9" ht="15.6">
      <c r="A66" s="53" t="str">
        <v>CDCR - CA Correctional Institution</v>
      </c>
      <c r="B66" s="28" t="str">
        <v>CA</v>
      </c>
      <c r="C66" s="24">
        <f>SUM('1st Qtr'!C66, '2nd Qtr'!C66, '3rd Qtr'!C66, '4th Qtr'!C66)</f>
        <v>354146</v>
      </c>
      <c r="D66" s="13">
        <f>SUM('1st Qtr'!D66, '2nd Qtr'!D66, '3rd Qtr'!D66, '4th Qtr'!D66)</f>
        <v>39589</v>
      </c>
      <c r="E66" s="13">
        <f t="shared" si="9"/>
        <v>314557</v>
      </c>
      <c r="F66" s="14">
        <f t="shared" si="10"/>
        <v>7.9455656874384299</v>
      </c>
      <c r="G66" s="15">
        <f>SUM('1st Qtr'!G66, '2nd Qtr'!G66, '3rd Qtr'!G66, '4th Qtr'!G66)</f>
        <v>913751.23900000006</v>
      </c>
      <c r="H66" s="15">
        <f>SUM('1st Qtr'!H66, '2nd Qtr'!H66, '3rd Qtr'!H66, '4th Qtr'!H66)</f>
        <v>-95900.67</v>
      </c>
      <c r="I66" s="16">
        <f t="shared" si="11"/>
        <v>-0.10495271131446311</v>
      </c>
    </row>
    <row r="67" spans="1:9" ht="15.6">
      <c r="A67" s="52" t="str">
        <v>CDCR - CA Correctional Institution II</v>
      </c>
      <c r="B67" s="30" t="str">
        <v>CA</v>
      </c>
      <c r="C67" s="11">
        <f>SUM('1st Qtr'!C67, '2nd Qtr'!C67, '3rd Qtr'!C67, '4th Qtr'!C67)</f>
        <v>746634</v>
      </c>
      <c r="D67" s="18">
        <f>SUM('1st Qtr'!D67, '2nd Qtr'!D67, '3rd Qtr'!D67, '4th Qtr'!D67)</f>
        <v>1565761</v>
      </c>
      <c r="E67" s="18">
        <f t="shared" si="9"/>
        <v>-819127</v>
      </c>
      <c r="F67" s="19">
        <f t="shared" si="10"/>
        <v>-0.52314944617984482</v>
      </c>
      <c r="G67" s="20">
        <f>SUM('1st Qtr'!G67, '2nd Qtr'!G67, '3rd Qtr'!G67, '4th Qtr'!G67)</f>
        <v>3179411.87</v>
      </c>
      <c r="H67" s="20">
        <f>SUM('1st Qtr'!H67, '2nd Qtr'!H67, '3rd Qtr'!H67, '4th Qtr'!H67)</f>
        <v>-2432777.87</v>
      </c>
      <c r="I67" s="19">
        <f t="shared" si="11"/>
        <v>-0.76516600222669484</v>
      </c>
    </row>
    <row r="68" spans="1:9" ht="15.6">
      <c r="A68" s="53" t="str">
        <v>Snowline SD - Vista Verde ES</v>
      </c>
      <c r="B68" s="28" t="str">
        <v>CA</v>
      </c>
      <c r="C68" s="24">
        <f>SUM('1st Qtr'!C68, '2nd Qtr'!C68, '3rd Qtr'!C68, '4th Qtr'!C68)</f>
        <v>146163</v>
      </c>
      <c r="D68" s="13">
        <f>SUM('1st Qtr'!D68, '2nd Qtr'!D68, '3rd Qtr'!D68, '4th Qtr'!D68)</f>
        <v>215261</v>
      </c>
      <c r="E68" s="13">
        <f t="shared" si="9"/>
        <v>-69098</v>
      </c>
      <c r="F68" s="14">
        <f t="shared" si="10"/>
        <v>-0.32099637184627033</v>
      </c>
      <c r="G68" s="15">
        <f>SUM('1st Qtr'!G68, '2nd Qtr'!G68, '3rd Qtr'!G68, '4th Qtr'!G68)</f>
        <v>297322.03000000003</v>
      </c>
      <c r="H68" s="15">
        <f>SUM('1st Qtr'!H68, '2nd Qtr'!H68, '3rd Qtr'!H68, '4th Qtr'!H68)</f>
        <v>-151408.24</v>
      </c>
      <c r="I68" s="16">
        <f t="shared" si="11"/>
        <v>-0.50923989722524088</v>
      </c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64" priority="1" stopIfTrue="1" operator="lessThanOrEqual">
      <formula>-0.1</formula>
    </cfRule>
    <cfRule type="expression" dxfId="6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D66" activePane="bottomRight" state="frozen"/>
      <selection pane="bottomRight" activeCell="D66" sqref="D66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10</v>
      </c>
      <c r="E1" s="100"/>
      <c r="F1" s="100"/>
      <c r="G1" s="98" t="s">
        <v>11</v>
      </c>
      <c r="H1" s="98"/>
      <c r="I1" s="98"/>
    </row>
    <row r="2" spans="1:9" ht="19.5" customHeight="1">
      <c r="A2" s="101" t="s">
        <v>2</v>
      </c>
      <c r="B2" s="101"/>
      <c r="C2" s="5">
        <f>SUM(C4:C100)</f>
        <v>5033415.9000000004</v>
      </c>
      <c r="D2" s="5">
        <f>SUM(D4:D100)</f>
        <v>7621680</v>
      </c>
      <c r="E2" s="5">
        <f>C2-D2</f>
        <v>-2588264.0999999996</v>
      </c>
      <c r="F2" s="6">
        <f>IFERROR(E2/D2, 0)</f>
        <v>-0.33959233397361205</v>
      </c>
      <c r="G2" s="5">
        <f>SUM(G4:G100)</f>
        <v>5888396.6190000009</v>
      </c>
      <c r="H2" s="7">
        <f>C2-G2</f>
        <v>-854980.71900000051</v>
      </c>
      <c r="I2" s="6">
        <f>IFERROR(H2/G2, 0)</f>
        <v>-0.14519754261138712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SUM(Jan!C4, Feb!C4, Mar!C4)</f>
        <v>52192</v>
      </c>
      <c r="D4" s="13">
        <f>SUM(Jan!D4, Feb!D4, Mar!D4)</f>
        <v>71893</v>
      </c>
      <c r="E4" s="13">
        <f>IF(AND(ISNUMBER(C4),ISNUMBER(D4)), C4-D4, "")</f>
        <v>-19701</v>
      </c>
      <c r="F4" s="14">
        <f>IFERROR(E4/D4, "")</f>
        <v>-0.27403224236017415</v>
      </c>
      <c r="G4" s="15">
        <f>SUM(Jan!G4, Feb!G4, Mar!G4)</f>
        <v>55034.990000000005</v>
      </c>
      <c r="H4" s="15">
        <f>SUM(Jan!H4, Feb!H4, Mar!H4)</f>
        <v>-2842.9900000000016</v>
      </c>
      <c r="I4" s="16">
        <f>IFERROR(H4/G4, "")</f>
        <v>-5.16578634792157E-2</v>
      </c>
    </row>
    <row r="5" spans="1:9" ht="15.6">
      <c r="A5" s="49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72064</v>
      </c>
      <c r="E5" s="18">
        <f t="shared" ref="E5:E15" si="0">IF(AND(ISNUMBER(C5),ISNUMBER(D5)), C5-D5, "")</f>
        <v>-27264</v>
      </c>
      <c r="F5" s="19">
        <f>IFERROR(E5/D5, "")</f>
        <v>-0.37833037300177619</v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6">
      <c r="A6" s="48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88668</v>
      </c>
      <c r="E6" s="13">
        <f t="shared" si="0"/>
        <v>-21740</v>
      </c>
      <c r="F6" s="14">
        <f t="shared" ref="F6:F15" si="1">IFERROR(E6/D6, "")</f>
        <v>-0.24518428294311365</v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6">
      <c r="A7" s="49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106743</v>
      </c>
      <c r="E7" s="18">
        <f t="shared" si="0"/>
        <v>-32653</v>
      </c>
      <c r="F7" s="19">
        <f t="shared" si="1"/>
        <v>-0.30590296319196575</v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6">
      <c r="A8" s="48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6">
      <c r="A9" s="49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34849</v>
      </c>
      <c r="E9" s="18">
        <f t="shared" si="0"/>
        <v>-10284</v>
      </c>
      <c r="F9" s="19">
        <f t="shared" si="1"/>
        <v>-0.29510172458320183</v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6">
      <c r="A10" s="48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72587</v>
      </c>
      <c r="E10" s="13">
        <f t="shared" si="0"/>
        <v>-23347</v>
      </c>
      <c r="F10" s="14">
        <f t="shared" si="1"/>
        <v>-0.3216416162673757</v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6">
      <c r="A11" s="49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114350</v>
      </c>
      <c r="E11" s="18">
        <f t="shared" si="0"/>
        <v>-34357</v>
      </c>
      <c r="F11" s="19">
        <f t="shared" si="1"/>
        <v>-0.30045474420638391</v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6">
      <c r="A12" s="48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745783</v>
      </c>
      <c r="E12" s="13">
        <f t="shared" si="0"/>
        <v>-256721</v>
      </c>
      <c r="F12" s="14">
        <f t="shared" si="1"/>
        <v>-0.3442301581022898</v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6">
      <c r="A13" s="49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88202</v>
      </c>
      <c r="E13" s="18">
        <f t="shared" si="0"/>
        <v>-24553</v>
      </c>
      <c r="F13" s="19">
        <f t="shared" si="1"/>
        <v>-0.2783723725085599</v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6">
      <c r="A14" s="48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21096</v>
      </c>
      <c r="E14" s="13">
        <f t="shared" si="0"/>
        <v>19762</v>
      </c>
      <c r="F14" s="14">
        <f t="shared" si="1"/>
        <v>0.93676526355707246</v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6">
      <c r="A15" s="49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88646</v>
      </c>
      <c r="E15" s="18">
        <f t="shared" si="0"/>
        <v>-24453</v>
      </c>
      <c r="F15" s="19">
        <f t="shared" si="1"/>
        <v>-0.27585001015274235</v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6">
      <c r="A16" s="48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60943</v>
      </c>
      <c r="E16" s="13">
        <f t="shared" ref="E16:E18" si="3">IF(AND(ISNUMBER(C16),ISNUMBER(D16)), C16-D16, "")</f>
        <v>-16885</v>
      </c>
      <c r="F16" s="14">
        <f t="shared" ref="F16:F18" si="4">IFERROR(E16/D16, "")</f>
        <v>-0.2770621728500402</v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6">
      <c r="A17" s="49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64130</v>
      </c>
      <c r="E17" s="18">
        <f t="shared" si="3"/>
        <v>-43302</v>
      </c>
      <c r="F17" s="19">
        <f t="shared" si="4"/>
        <v>-0.67522220489630436</v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48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67339</v>
      </c>
      <c r="E18" s="13">
        <f t="shared" si="3"/>
        <v>-23879</v>
      </c>
      <c r="F18" s="14">
        <f t="shared" si="4"/>
        <v>-0.35460877054901319</v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6">
      <c r="A19" s="49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123541</v>
      </c>
      <c r="E19" s="18">
        <f t="shared" ref="E19:E25" si="6">IF(AND(ISNUMBER(C19),ISNUMBER(D19)), C19-D19, "")</f>
        <v>-36022</v>
      </c>
      <c r="F19" s="19">
        <f t="shared" ref="F19:F25" si="7">IFERROR(E19/D19, "")</f>
        <v>-0.29157931375009105</v>
      </c>
      <c r="G19" s="20">
        <f>SUM(Jan!G19, Feb!G19, Mar!G19)</f>
        <v>88844.583000000013</v>
      </c>
      <c r="H19" s="20">
        <f>SUM(Jan!H19, Feb!H19, Mar!H19)</f>
        <v>-1325.5830000000024</v>
      </c>
      <c r="I19" s="16">
        <f t="shared" ref="I19:I25" si="8">IFERROR(H19/G19, "")</f>
        <v>-1.4920245615875108E-2</v>
      </c>
    </row>
    <row r="20" spans="1:9" ht="15.6">
      <c r="A20" s="48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112847</v>
      </c>
      <c r="E20" s="13">
        <f t="shared" si="6"/>
        <v>-29220</v>
      </c>
      <c r="F20" s="14">
        <f t="shared" si="7"/>
        <v>-0.25893466374826091</v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6">
      <c r="A21" s="49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74025</v>
      </c>
      <c r="E21" s="18">
        <f t="shared" si="6"/>
        <v>-43314</v>
      </c>
      <c r="F21" s="19">
        <f t="shared" si="7"/>
        <v>-0.58512664640324219</v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6">
      <c r="A22" s="48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64928</v>
      </c>
      <c r="E22" s="13">
        <f t="shared" si="6"/>
        <v>-27157</v>
      </c>
      <c r="F22" s="14">
        <f t="shared" si="7"/>
        <v>-0.41826330704780679</v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6">
      <c r="A23" s="49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94770</v>
      </c>
      <c r="E23" s="18">
        <f t="shared" si="6"/>
        <v>-34832.400000000001</v>
      </c>
      <c r="F23" s="19">
        <f t="shared" si="7"/>
        <v>-0.36754669199113643</v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6">
      <c r="A24" s="48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52093</v>
      </c>
      <c r="E24" s="13">
        <f t="shared" si="6"/>
        <v>-11618</v>
      </c>
      <c r="F24" s="14">
        <f t="shared" si="7"/>
        <v>-0.22302420670723513</v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6">
      <c r="A25" s="49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82476</v>
      </c>
      <c r="E25" s="18">
        <f t="shared" si="6"/>
        <v>-21036</v>
      </c>
      <c r="F25" s="19">
        <f t="shared" si="7"/>
        <v>-0.25505601629564967</v>
      </c>
      <c r="G25" s="20">
        <f>SUM(Jan!G25, Feb!G25,Mar!G25)</f>
        <v>63468.68</v>
      </c>
      <c r="H25" s="20">
        <f>SUM(Jan!H25, Feb!H25, Mar!H25)</f>
        <v>-2028.6800000000021</v>
      </c>
      <c r="I25" s="16">
        <f t="shared" si="8"/>
        <v>-3.1963481830723471E-2</v>
      </c>
    </row>
    <row r="26" spans="1:9" ht="15.6">
      <c r="A26" s="48" t="str">
        <v>Mojave Water Agency - Headquarters</v>
      </c>
      <c r="B26" s="9" t="str">
        <v>CA</v>
      </c>
      <c r="C26" s="24">
        <f>SUM(Jan!C26, Feb!C26, Mar!C26)</f>
        <v>93896</v>
      </c>
      <c r="D26" s="13">
        <f>SUM(Jan!D26, Feb!D26, Mar!D26)</f>
        <v>115038</v>
      </c>
      <c r="E26" s="13">
        <f t="shared" ref="E26:E68" si="9">IF(AND(ISNUMBER(C26),ISNUMBER(D26)), C26-D26, "")</f>
        <v>-21142</v>
      </c>
      <c r="F26" s="14">
        <f t="shared" ref="F26:F68" si="10">IFERROR(E26/D26, "")</f>
        <v>-0.18378275004781028</v>
      </c>
      <c r="G26" s="15">
        <f>SUM(Jan!G26, Feb!G26, Mar!G27)</f>
        <v>170926.95</v>
      </c>
      <c r="H26" s="15">
        <f>SUM(Jan!H26, Feb!H26, Mar!H26)</f>
        <v>6688.9499999999971</v>
      </c>
      <c r="I26" s="19">
        <f t="shared" ref="I26:I68" si="11">IFERROR(H26/G26, "")</f>
        <v>3.913338417376544E-2</v>
      </c>
    </row>
    <row r="27" spans="1:9" ht="15.6">
      <c r="A27" s="49" t="str">
        <v>CSU - Bakersfield</v>
      </c>
      <c r="B27" s="10" t="str">
        <v>CA</v>
      </c>
      <c r="C27" s="11">
        <f>SUM(Jan!C27, Feb!C27, Mar!C27)</f>
        <v>284470</v>
      </c>
      <c r="D27" s="18">
        <f>SUM(Jan!D27, Feb!D27, Mar!D27)</f>
        <v>387265</v>
      </c>
      <c r="E27" s="18">
        <f t="shared" si="9"/>
        <v>-102795</v>
      </c>
      <c r="F27" s="19">
        <f t="shared" si="10"/>
        <v>-0.26543839489755078</v>
      </c>
      <c r="G27" s="20">
        <f>SUM(Jan!G27, Feb!G27,Mar!G27)</f>
        <v>258940.15</v>
      </c>
      <c r="H27" s="20">
        <f>SUM(Jan!H27, Feb!H27, Mar!H27)</f>
        <v>25529.849999999991</v>
      </c>
      <c r="I27" s="16">
        <f t="shared" si="11"/>
        <v>9.8593632544045379E-2</v>
      </c>
    </row>
    <row r="28" spans="1:9" ht="15.6">
      <c r="A28" s="48" t="str">
        <v>Greenfield USD - Fairfield ES</v>
      </c>
      <c r="B28" s="9" t="str">
        <v>CA</v>
      </c>
      <c r="C28" s="24">
        <f>SUM(Jan!C28, Feb!C28, Mar!C28)</f>
        <v>28711</v>
      </c>
      <c r="D28" s="13">
        <f>SUM(Jan!D28, Feb!D28, Mar!D28)</f>
        <v>0</v>
      </c>
      <c r="E28" s="13">
        <f t="shared" si="9"/>
        <v>28711</v>
      </c>
      <c r="F28" s="14" t="str">
        <f t="shared" si="10"/>
        <v/>
      </c>
      <c r="G28" s="15">
        <f>SUM(Jan!G28, Feb!G28, Mar!G29)</f>
        <v>44668.01</v>
      </c>
      <c r="H28" s="15">
        <f>SUM(Jan!H28, Feb!H28, Mar!H28)</f>
        <v>2366.0200000000004</v>
      </c>
      <c r="I28" s="19">
        <f t="shared" si="11"/>
        <v>5.2969003991894879E-2</v>
      </c>
    </row>
    <row r="29" spans="1:9" ht="15.6">
      <c r="A29" s="49" t="str">
        <v>Greenfield USD - Granite Point ES</v>
      </c>
      <c r="B29" s="10" t="str">
        <v>CA</v>
      </c>
      <c r="C29" s="11">
        <f>SUM(Jan!C29, Feb!C29, Mar!C29)</f>
        <v>82072</v>
      </c>
      <c r="D29" s="18">
        <f>SUM(Jan!D29, Feb!D29, Mar!D29)</f>
        <v>112154</v>
      </c>
      <c r="E29" s="18">
        <f t="shared" si="9"/>
        <v>-30082</v>
      </c>
      <c r="F29" s="19">
        <f t="shared" si="10"/>
        <v>-0.26822048255077841</v>
      </c>
      <c r="G29" s="20">
        <f>SUM(Jan!G29, Feb!G29,Mar!G29)</f>
        <v>69184.52</v>
      </c>
      <c r="H29" s="20">
        <f>SUM(Jan!H29, Feb!H29, Mar!H29)</f>
        <v>12887.48</v>
      </c>
      <c r="I29" s="16">
        <f t="shared" si="11"/>
        <v>0.18627693015720856</v>
      </c>
    </row>
    <row r="30" spans="1:9" ht="15.6">
      <c r="A30" s="48" t="str">
        <v>Greenfield USD - Greenfield MS</v>
      </c>
      <c r="B30" s="9" t="str">
        <v>CA</v>
      </c>
      <c r="C30" s="24">
        <f>SUM(Jan!C30, Feb!C30, Mar!C30)</f>
        <v>48228</v>
      </c>
      <c r="D30" s="13">
        <f>SUM(Jan!D30, Feb!D30, Mar!D30)</f>
        <v>71533</v>
      </c>
      <c r="E30" s="13">
        <f t="shared" si="9"/>
        <v>-23305</v>
      </c>
      <c r="F30" s="14">
        <f t="shared" si="10"/>
        <v>-0.3257936896257671</v>
      </c>
      <c r="G30" s="15">
        <f>SUM(Jan!G30, Feb!G30, Mar!G31)</f>
        <v>57697.66</v>
      </c>
      <c r="H30" s="15">
        <f>SUM(Jan!H30, Feb!H30, Mar!H30)</f>
        <v>703.1200000000008</v>
      </c>
      <c r="I30" s="19">
        <f t="shared" si="11"/>
        <v>1.2186282771259714E-2</v>
      </c>
    </row>
    <row r="31" spans="1:9" ht="15.6">
      <c r="A31" s="49" t="str">
        <v>Greenfield USD - Horizon ES</v>
      </c>
      <c r="B31" s="10" t="str">
        <v>CA</v>
      </c>
      <c r="C31" s="11">
        <f>SUM(Jan!C31, Feb!C31, Mar!C31)</f>
        <v>36504</v>
      </c>
      <c r="D31" s="18">
        <f>SUM(Jan!D31, Feb!D31, Mar!D31)</f>
        <v>107216</v>
      </c>
      <c r="E31" s="18">
        <f t="shared" si="9"/>
        <v>-70712</v>
      </c>
      <c r="F31" s="19">
        <f t="shared" si="10"/>
        <v>-0.65952842859274741</v>
      </c>
      <c r="G31" s="20">
        <f>SUM(Jan!G31, Feb!G31,Mar!G31)</f>
        <v>70743.09</v>
      </c>
      <c r="H31" s="20">
        <f>SUM(Jan!H31, Feb!H31, Mar!H31)</f>
        <v>-34239.089999999997</v>
      </c>
      <c r="I31" s="16">
        <f t="shared" si="11"/>
        <v>-0.48399200543826965</v>
      </c>
    </row>
    <row r="32" spans="1:9" ht="15.6">
      <c r="A32" s="48" t="str">
        <v>Greenfield USD - McKee MS</v>
      </c>
      <c r="B32" s="9" t="str">
        <v>CA</v>
      </c>
      <c r="C32" s="24">
        <f>SUM(Jan!C32, Feb!C32, Mar!C32)</f>
        <v>35964</v>
      </c>
      <c r="D32" s="13">
        <f>SUM(Jan!D32, Feb!D32, Mar!D32)</f>
        <v>65124</v>
      </c>
      <c r="E32" s="13">
        <f t="shared" si="9"/>
        <v>-29160</v>
      </c>
      <c r="F32" s="14">
        <f t="shared" si="10"/>
        <v>-0.44776119402985076</v>
      </c>
      <c r="G32" s="15">
        <f>SUM(Jan!G32, Feb!G32, Mar!G33)</f>
        <v>37991.370000000003</v>
      </c>
      <c r="H32" s="15">
        <f>SUM(Jan!H32, Feb!H32, Mar!H32)</f>
        <v>-7312.7700000000023</v>
      </c>
      <c r="I32" s="19">
        <f t="shared" si="11"/>
        <v>-0.19248503015290055</v>
      </c>
    </row>
    <row r="33" spans="1:9" ht="15.6">
      <c r="A33" s="49" t="str">
        <v>Greenfield USD - Plantation ES</v>
      </c>
      <c r="B33" s="10" t="str">
        <v>CA</v>
      </c>
      <c r="C33" s="11">
        <f>SUM(Jan!C33, Feb!C33, Mar!C33)</f>
        <v>34615</v>
      </c>
      <c r="D33" s="18">
        <f>SUM(Jan!D33, Feb!D33, Mar!D33)</f>
        <v>49564</v>
      </c>
      <c r="E33" s="18">
        <f t="shared" si="9"/>
        <v>-14949</v>
      </c>
      <c r="F33" s="19">
        <f t="shared" si="10"/>
        <v>-0.3016100395448309</v>
      </c>
      <c r="G33" s="20">
        <f>SUM(Jan!G33, Feb!G33,Mar!G33)</f>
        <v>30943.85</v>
      </c>
      <c r="H33" s="20">
        <f>SUM(Jan!H33, Feb!H33, Mar!H33)</f>
        <v>3671.1499999999996</v>
      </c>
      <c r="I33" s="16">
        <f t="shared" si="11"/>
        <v>0.11863908337197859</v>
      </c>
    </row>
    <row r="34" spans="1:9" ht="15.6">
      <c r="A34" s="48" t="str">
        <v>Greenfield USD - Planz ES</v>
      </c>
      <c r="B34" s="9" t="str">
        <v>CA</v>
      </c>
      <c r="C34" s="24">
        <f>SUM(Jan!C34, Feb!C34, Mar!C34)</f>
        <v>13620</v>
      </c>
      <c r="D34" s="13">
        <f>SUM(Jan!D34, Feb!D34, Mar!D34)</f>
        <v>51958</v>
      </c>
      <c r="E34" s="13">
        <f t="shared" si="9"/>
        <v>-38338</v>
      </c>
      <c r="F34" s="14">
        <f t="shared" si="10"/>
        <v>-0.73786519881442703</v>
      </c>
      <c r="G34" s="15">
        <f>SUM(Jan!G34, Feb!G34, Mar!G35)</f>
        <v>53257.89</v>
      </c>
      <c r="H34" s="15">
        <f>SUM(Jan!H34, Feb!H34, Mar!H34)</f>
        <v>-21393.54</v>
      </c>
      <c r="I34" s="19">
        <f t="shared" si="11"/>
        <v>-0.40169710065494524</v>
      </c>
    </row>
    <row r="35" spans="1:9" ht="15.6">
      <c r="A35" s="49" t="str">
        <v>Greenfield USD - Raffaello Palla ES</v>
      </c>
      <c r="B35" s="10" t="str">
        <v>CA</v>
      </c>
      <c r="C35" s="11">
        <f>SUM(Jan!C35, Feb!C35, Mar!C35)</f>
        <v>79879</v>
      </c>
      <c r="D35" s="18">
        <f>SUM(Jan!D35, Feb!D35, Mar!D35)</f>
        <v>121033</v>
      </c>
      <c r="E35" s="18">
        <f t="shared" si="9"/>
        <v>-41154</v>
      </c>
      <c r="F35" s="19">
        <f t="shared" si="10"/>
        <v>-0.34002296894235456</v>
      </c>
      <c r="G35" s="20">
        <f>SUM(Jan!G35, Feb!G35,Mar!G35)</f>
        <v>77680.3</v>
      </c>
      <c r="H35" s="20">
        <f>SUM(Jan!H35, Feb!H35, Mar!H35)</f>
        <v>2198.7000000000007</v>
      </c>
      <c r="I35" s="16">
        <f t="shared" si="11"/>
        <v>2.8304473592403744E-2</v>
      </c>
    </row>
    <row r="36" spans="1:9" ht="15.6">
      <c r="A36" s="48" t="str">
        <v>Greenfield USD - Valle Verde ES</v>
      </c>
      <c r="B36" s="9" t="str">
        <v>CA</v>
      </c>
      <c r="C36" s="24">
        <f>SUM(Jan!C36, Feb!C36, Mar!C36)</f>
        <v>86835</v>
      </c>
      <c r="D36" s="13">
        <f>SUM(Jan!D36, Feb!D36, Mar!D36)</f>
        <v>112306</v>
      </c>
      <c r="E36" s="13">
        <f t="shared" si="9"/>
        <v>-25471</v>
      </c>
      <c r="F36" s="14">
        <f t="shared" si="10"/>
        <v>-0.22679999287660499</v>
      </c>
      <c r="G36" s="15">
        <f>SUM(Jan!G36, Feb!G36, Mar!G37)</f>
        <v>53837.130000000005</v>
      </c>
      <c r="H36" s="15">
        <f>SUM(Jan!H36, Feb!H36, Mar!H36)</f>
        <v>13948.21</v>
      </c>
      <c r="I36" s="19">
        <f t="shared" si="11"/>
        <v>0.25908160408996539</v>
      </c>
    </row>
    <row r="37" spans="1:9" ht="15.6">
      <c r="A37" s="49" t="str">
        <v>Greenfield USD - W.A. Kendrick ES</v>
      </c>
      <c r="B37" s="10" t="str">
        <v>CA</v>
      </c>
      <c r="C37" s="11">
        <f>SUM(Jan!C37, Feb!C37, Mar!C37)</f>
        <v>0</v>
      </c>
      <c r="D37" s="18">
        <f>SUM(Jan!D37, Feb!D37, Mar!D37)</f>
        <v>0</v>
      </c>
      <c r="E37" s="18">
        <f t="shared" si="9"/>
        <v>0</v>
      </c>
      <c r="F37" s="19" t="str">
        <f t="shared" si="10"/>
        <v/>
      </c>
      <c r="G37" s="20">
        <f>SUM(Jan!G37, Feb!G37,Mar!G37)</f>
        <v>28097.629999999997</v>
      </c>
      <c r="H37" s="20">
        <f>SUM(Jan!H37, Feb!H37, Mar!H37)</f>
        <v>-28097.629999999997</v>
      </c>
      <c r="I37" s="16">
        <f t="shared" si="11"/>
        <v>-1</v>
      </c>
    </row>
    <row r="38" spans="1:9" ht="15.6">
      <c r="A38" s="48" t="str">
        <v>Muroc Joint USD - Boron HS</v>
      </c>
      <c r="B38" s="9" t="str">
        <v>CA</v>
      </c>
      <c r="C38" s="24">
        <f>SUM(Jan!C38, Feb!C38, Mar!C38)</f>
        <v>0</v>
      </c>
      <c r="D38" s="13">
        <f>SUM(Jan!D38, Feb!D38, Mar!D38)</f>
        <v>0</v>
      </c>
      <c r="E38" s="13">
        <f t="shared" si="9"/>
        <v>0</v>
      </c>
      <c r="F38" s="14" t="str">
        <f t="shared" si="10"/>
        <v/>
      </c>
      <c r="G38" s="15">
        <f>SUM(Jan!G38, Feb!G38, Mar!G39)</f>
        <v>61635.790000000008</v>
      </c>
      <c r="H38" s="15">
        <f>SUM(Jan!H38, Feb!H38, Mar!H38)</f>
        <v>-84030.420000000013</v>
      </c>
      <c r="I38" s="19">
        <f t="shared" si="11"/>
        <v>-1.3633380865240796</v>
      </c>
    </row>
    <row r="39" spans="1:9" ht="15.6">
      <c r="A39" s="49" t="str">
        <v>Muroc Joint USD - W. Boron ES</v>
      </c>
      <c r="B39" s="10" t="str">
        <v>CA</v>
      </c>
      <c r="C39" s="11">
        <f>SUM(Jan!C39, Feb!C39, Mar!C39)</f>
        <v>30347</v>
      </c>
      <c r="D39" s="18">
        <f>SUM(Jan!D39, Feb!D39, Mar!D39)</f>
        <v>43022</v>
      </c>
      <c r="E39" s="18">
        <f t="shared" si="9"/>
        <v>-12675</v>
      </c>
      <c r="F39" s="19">
        <f t="shared" si="10"/>
        <v>-0.29461670773092835</v>
      </c>
      <c r="G39" s="20">
        <f>SUM(Jan!G39, Feb!G39,Mar!G39)</f>
        <v>31088.01</v>
      </c>
      <c r="H39" s="20">
        <f>SUM(Jan!H39, Feb!H39, Mar!H39)</f>
        <v>-741.01000000000022</v>
      </c>
      <c r="I39" s="16">
        <f t="shared" si="11"/>
        <v>-2.3835877561799557E-2</v>
      </c>
    </row>
    <row r="40" spans="1:9" ht="15.6">
      <c r="A40" s="48" t="str">
        <v>Colusa - WTP</v>
      </c>
      <c r="B40" s="9" t="str">
        <v>CA</v>
      </c>
      <c r="C40" s="24">
        <f>SUM(Jan!C40, Feb!C40, Mar!C40)</f>
        <v>0</v>
      </c>
      <c r="D40" s="13">
        <f>SUM(Jan!D40, Feb!D40, Mar!D40)</f>
        <v>0</v>
      </c>
      <c r="E40" s="13">
        <f t="shared" si="9"/>
        <v>0</v>
      </c>
      <c r="F40" s="14" t="str">
        <f t="shared" si="10"/>
        <v/>
      </c>
      <c r="G40" s="15">
        <f>SUM(Jan!G40, Feb!G40, Mar!G41)</f>
        <v>41224.312999999995</v>
      </c>
      <c r="H40" s="15">
        <f>SUM(Jan!H40, Feb!H40, Mar!H40)</f>
        <v>-84240.987999999998</v>
      </c>
      <c r="I40" s="19">
        <f t="shared" si="11"/>
        <v>-2.0434782745803433</v>
      </c>
    </row>
    <row r="41" spans="1:9" ht="15.6">
      <c r="A41" s="49" t="str">
        <v>CDCR-North Kern State Prision</v>
      </c>
      <c r="B41" s="10" t="str">
        <v>CA</v>
      </c>
      <c r="C41" s="11">
        <f>SUM(Jan!C41, Feb!C41, Mar!C41)</f>
        <v>0</v>
      </c>
      <c r="D41" s="18">
        <f>SUM(Jan!D41, Feb!D41, Mar!D41)</f>
        <v>0</v>
      </c>
      <c r="E41" s="18">
        <f t="shared" si="9"/>
        <v>0</v>
      </c>
      <c r="F41" s="19" t="str">
        <f t="shared" si="10"/>
        <v/>
      </c>
      <c r="G41" s="20">
        <f>SUM(Jan!G41, Feb!G41,Mar!G41)</f>
        <v>0</v>
      </c>
      <c r="H41" s="20">
        <f>SUM(Jan!H41, Feb!H41, Mar!H41)</f>
        <v>0</v>
      </c>
      <c r="I41" s="16" t="str">
        <f t="shared" si="11"/>
        <v/>
      </c>
    </row>
    <row r="42" spans="1:9" ht="15.6">
      <c r="A42" s="48" t="str">
        <v>Muroc Joint USD - District Office</v>
      </c>
      <c r="B42" s="9" t="str">
        <v>CA</v>
      </c>
      <c r="C42" s="24">
        <f>SUM(Jan!C42, Feb!C42, Mar!C42)</f>
        <v>15370</v>
      </c>
      <c r="D42" s="13">
        <f>SUM(Jan!D42, Feb!D42, Mar!D42)</f>
        <v>30892</v>
      </c>
      <c r="E42" s="13">
        <f t="shared" si="9"/>
        <v>-15522</v>
      </c>
      <c r="F42" s="14">
        <f t="shared" si="10"/>
        <v>-0.50246018386637314</v>
      </c>
      <c r="G42" s="15">
        <f>SUM(Jan!G42, Feb!G42, Mar!G43)</f>
        <v>12651.95</v>
      </c>
      <c r="H42" s="15">
        <f>SUM(Jan!H42, Feb!H42, Mar!H42)</f>
        <v>-6524.21</v>
      </c>
      <c r="I42" s="19">
        <f t="shared" si="11"/>
        <v>-0.51566833571109594</v>
      </c>
    </row>
    <row r="43" spans="1:9" ht="15.6">
      <c r="A43" s="49" t="str">
        <v>Whole Foods - Manhattan Beach</v>
      </c>
      <c r="B43" s="10" t="str">
        <v>CA</v>
      </c>
      <c r="C43" s="11">
        <f>SUM(Jan!C43, Feb!C43, Mar!C43)</f>
        <v>0</v>
      </c>
      <c r="D43" s="18">
        <f>SUM(Jan!D43, Feb!D43, Mar!D43)</f>
        <v>0</v>
      </c>
      <c r="E43" s="18">
        <f t="shared" si="9"/>
        <v>0</v>
      </c>
      <c r="F43" s="19" t="str">
        <f t="shared" si="10"/>
        <v/>
      </c>
      <c r="G43" s="20">
        <f>SUM(Jan!G43, Feb!G43,Mar!G43)</f>
        <v>0</v>
      </c>
      <c r="H43" s="20">
        <f>SUM(Jan!H43, Feb!H43, Mar!H43)</f>
        <v>0</v>
      </c>
      <c r="I43" s="16" t="str">
        <f t="shared" si="11"/>
        <v/>
      </c>
    </row>
    <row r="44" spans="1:9" ht="15.6">
      <c r="A44" s="48" t="str">
        <v>Pioneer USD - Frontier ES</v>
      </c>
      <c r="B44" s="9" t="str">
        <v>CA</v>
      </c>
      <c r="C44" s="24">
        <f>SUM(Jan!C44, Feb!C44, Mar!C44)</f>
        <v>66102</v>
      </c>
      <c r="D44" s="13">
        <f>SUM(Jan!D44, Feb!D44, Mar!D44)</f>
        <v>0</v>
      </c>
      <c r="E44" s="13">
        <f t="shared" si="9"/>
        <v>66102</v>
      </c>
      <c r="F44" s="14" t="str">
        <f t="shared" si="10"/>
        <v/>
      </c>
      <c r="G44" s="15">
        <f>SUM(Jan!G44, Feb!G44, Mar!G45)</f>
        <v>62358.679999999993</v>
      </c>
      <c r="H44" s="15">
        <f>SUM(Jan!H44, Feb!H44, Mar!H44)</f>
        <v>4539.0900000000038</v>
      </c>
      <c r="I44" s="19">
        <f t="shared" si="11"/>
        <v>7.279002698581824E-2</v>
      </c>
    </row>
    <row r="45" spans="1:9" ht="15.6">
      <c r="A45" s="49" t="str">
        <v>Pioneer USD - Pioneer ES</v>
      </c>
      <c r="B45" s="10" t="str">
        <v>CA</v>
      </c>
      <c r="C45" s="11">
        <f>SUM(Jan!C45, Feb!C45, Mar!C45)</f>
        <v>67116.299999999988</v>
      </c>
      <c r="D45" s="18">
        <f>SUM(Jan!D45, Feb!D45, Mar!D45)</f>
        <v>0</v>
      </c>
      <c r="E45" s="18">
        <f t="shared" si="9"/>
        <v>67116.299999999988</v>
      </c>
      <c r="F45" s="19" t="str">
        <f t="shared" si="10"/>
        <v/>
      </c>
      <c r="G45" s="20">
        <f>SUM(Jan!G45, Feb!G45,Mar!G45)</f>
        <v>62720.3</v>
      </c>
      <c r="H45" s="20">
        <f>SUM(Jan!H45, Feb!H45, Mar!H45)</f>
        <v>4395.9999999999982</v>
      </c>
      <c r="I45" s="16">
        <f t="shared" si="11"/>
        <v>7.0088950467392497E-2</v>
      </c>
    </row>
    <row r="46" spans="1:9" ht="15.6">
      <c r="A46" s="48" t="str">
        <v>Pioneer USD - Pioneer MS</v>
      </c>
      <c r="B46" s="9" t="str">
        <v>CA</v>
      </c>
      <c r="C46" s="24">
        <f>SUM(Jan!C46, Feb!C46, Mar!C46)</f>
        <v>18491</v>
      </c>
      <c r="D46" s="13">
        <f>SUM(Jan!D46, Feb!D46, Mar!D46)</f>
        <v>0</v>
      </c>
      <c r="E46" s="13">
        <f t="shared" si="9"/>
        <v>18491</v>
      </c>
      <c r="F46" s="14" t="str">
        <f t="shared" si="10"/>
        <v/>
      </c>
      <c r="G46" s="15">
        <f>SUM(Jan!G46, Feb!G46, Mar!G47)</f>
        <v>102483.56</v>
      </c>
      <c r="H46" s="15">
        <f>SUM(Jan!H46, Feb!H46, Mar!H46)</f>
        <v>-66175.33</v>
      </c>
      <c r="I46" s="19">
        <f t="shared" si="11"/>
        <v>-0.64571654224345842</v>
      </c>
    </row>
    <row r="47" spans="1:9" ht="15.6">
      <c r="A47" s="49" t="str">
        <v>Kingsburg Joint UHSD - Kingsburg HS</v>
      </c>
      <c r="B47" s="10" t="str">
        <v>CA</v>
      </c>
      <c r="C47" s="11">
        <f>SUM(Jan!C47, Feb!C47, Mar!C47)</f>
        <v>139249</v>
      </c>
      <c r="D47" s="18">
        <f>SUM(Jan!D47, Feb!D47, Mar!D47)</f>
        <v>1123899</v>
      </c>
      <c r="E47" s="18">
        <f t="shared" si="9"/>
        <v>-984650</v>
      </c>
      <c r="F47" s="19">
        <f t="shared" si="10"/>
        <v>-0.87610185612764135</v>
      </c>
      <c r="G47" s="20">
        <f>SUM(Jan!G47, Feb!G47,Mar!G47)</f>
        <v>145536.4</v>
      </c>
      <c r="H47" s="20">
        <f>SUM(Jan!H47, Feb!H47, Mar!H47)</f>
        <v>-6287.3999999999942</v>
      </c>
      <c r="I47" s="16">
        <f t="shared" si="11"/>
        <v>-4.3201563320241498E-2</v>
      </c>
    </row>
    <row r="48" spans="1:9" ht="15.6">
      <c r="A48" s="48" t="str">
        <v>CADRB</v>
      </c>
      <c r="B48" s="9" t="str">
        <v>CA</v>
      </c>
      <c r="C48" s="24">
        <f>SUM(Jan!C48, Feb!C48, Mar!C48)</f>
        <v>1430081</v>
      </c>
      <c r="D48" s="13">
        <f>SUM(Jan!D48, Feb!D48, Mar!D48)</f>
        <v>1791900</v>
      </c>
      <c r="E48" s="13">
        <f t="shared" si="9"/>
        <v>-361819</v>
      </c>
      <c r="F48" s="14">
        <f t="shared" si="10"/>
        <v>-0.20191919191919191</v>
      </c>
      <c r="G48" s="15">
        <f>SUM(Jan!G48, Feb!G48, Mar!G49)</f>
        <v>854607</v>
      </c>
      <c r="H48" s="15">
        <f>SUM(Jan!H48, Feb!H48, Mar!H48)</f>
        <v>-128628</v>
      </c>
      <c r="I48" s="19">
        <f t="shared" si="11"/>
        <v>-0.15051128764449626</v>
      </c>
    </row>
    <row r="49" spans="1:9" ht="15.6">
      <c r="A49" s="49" t="str">
        <v>CDCR-CA State Prison LA County</v>
      </c>
      <c r="B49" s="10" t="str">
        <v>CA</v>
      </c>
      <c r="C49" s="11">
        <f>SUM(Jan!C49, Feb!C49, Mar!C49)</f>
        <v>0</v>
      </c>
      <c r="D49" s="18">
        <f>SUM(Jan!D49, Feb!D49, Mar!D49)</f>
        <v>0</v>
      </c>
      <c r="E49" s="18">
        <f t="shared" si="9"/>
        <v>0</v>
      </c>
      <c r="F49" s="19" t="str">
        <f t="shared" si="10"/>
        <v/>
      </c>
      <c r="G49" s="20">
        <f>SUM(Jan!G49, Feb!G49,Mar!G49)</f>
        <v>0</v>
      </c>
      <c r="H49" s="20">
        <f>SUM(Jan!H49, Feb!H49, Mar!H49)</f>
        <v>0</v>
      </c>
      <c r="I49" s="16" t="str">
        <f t="shared" si="11"/>
        <v/>
      </c>
    </row>
    <row r="50" spans="1:9" ht="15.6">
      <c r="A50" s="48" t="str">
        <v>Central USD Akers ES</v>
      </c>
      <c r="B50" s="9" t="str">
        <v>CA</v>
      </c>
      <c r="C50" s="24">
        <f>SUM(Jan!C50, Feb!C50, Mar!C50)</f>
        <v>0</v>
      </c>
      <c r="D50" s="13">
        <f>SUM(Jan!D50, Feb!D50, Mar!D50)</f>
        <v>0</v>
      </c>
      <c r="E50" s="13">
        <f t="shared" si="9"/>
        <v>0</v>
      </c>
      <c r="F50" s="14" t="str">
        <f t="shared" si="10"/>
        <v/>
      </c>
      <c r="G50" s="15">
        <f>SUM(Jan!G50, Feb!G50, Mar!G51)</f>
        <v>25808.17</v>
      </c>
      <c r="H50" s="15">
        <f>SUM(Jan!H50, Feb!H50, Mar!H50)</f>
        <v>0</v>
      </c>
      <c r="I50" s="19">
        <f t="shared" si="11"/>
        <v>0</v>
      </c>
    </row>
    <row r="51" spans="1:9" ht="15.6">
      <c r="A51" s="49" t="str">
        <v>CUSD - District Office</v>
      </c>
      <c r="B51" s="10" t="str">
        <v>CA</v>
      </c>
      <c r="C51" s="11">
        <f>SUM(Jan!C51, Feb!C51, Mar!C51)</f>
        <v>54675</v>
      </c>
      <c r="D51" s="18">
        <f>SUM(Jan!D51, Feb!D51, Mar!D51)</f>
        <v>72751</v>
      </c>
      <c r="E51" s="18">
        <f t="shared" si="9"/>
        <v>-18076</v>
      </c>
      <c r="F51" s="19">
        <f t="shared" si="10"/>
        <v>-0.2484639386400187</v>
      </c>
      <c r="G51" s="20">
        <f>SUM(Jan!G51, Feb!G51,Mar!G51)</f>
        <v>52098.189999999995</v>
      </c>
      <c r="H51" s="20">
        <f>SUM(Jan!H51, Feb!H51, Mar!H51)</f>
        <v>2576.8100000000031</v>
      </c>
      <c r="I51" s="16">
        <f t="shared" si="11"/>
        <v>4.946064345037713E-2</v>
      </c>
    </row>
    <row r="52" spans="1:9" ht="15.6">
      <c r="A52" s="48" t="str">
        <v>Parlier - WTP</v>
      </c>
      <c r="B52" s="9" t="str">
        <v>CA</v>
      </c>
      <c r="C52" s="24">
        <f>SUM(Jan!C52, Feb!C52, Mar!C52)</f>
        <v>0</v>
      </c>
      <c r="D52" s="13">
        <f>SUM(Jan!D52, Feb!D52, Mar!D52)</f>
        <v>0</v>
      </c>
      <c r="E52" s="13">
        <f t="shared" si="9"/>
        <v>0</v>
      </c>
      <c r="F52" s="14" t="str">
        <f t="shared" si="10"/>
        <v/>
      </c>
      <c r="G52" s="15">
        <f>SUM(Jan!G52, Feb!G52, Mar!G53)</f>
        <v>38797.730000000003</v>
      </c>
      <c r="H52" s="15">
        <f>SUM(Jan!H52, Feb!H52, Mar!H52)</f>
        <v>0</v>
      </c>
      <c r="I52" s="19">
        <f t="shared" si="11"/>
        <v>0</v>
      </c>
    </row>
    <row r="53" spans="1:9" ht="15.6">
      <c r="A53" s="49" t="str">
        <v>Snowline SD - Quail Valley MS</v>
      </c>
      <c r="B53" s="10" t="str">
        <v>CA</v>
      </c>
      <c r="C53" s="11">
        <f>SUM(Jan!C53, Feb!C53, Mar!C53)</f>
        <v>81769</v>
      </c>
      <c r="D53" s="18">
        <f>SUM(Jan!D53, Feb!D53, Mar!D53)</f>
        <v>121869</v>
      </c>
      <c r="E53" s="18">
        <f t="shared" si="9"/>
        <v>-40100</v>
      </c>
      <c r="F53" s="19">
        <f t="shared" si="10"/>
        <v>-0.32904184000853376</v>
      </c>
      <c r="G53" s="20">
        <f>SUM(Jan!G53, Feb!G53,Mar!G53)</f>
        <v>87127.15</v>
      </c>
      <c r="H53" s="20">
        <f>SUM(Jan!H53, Feb!H53, Mar!H53)</f>
        <v>-5358.1500000000051</v>
      </c>
      <c r="I53" s="16">
        <f t="shared" si="11"/>
        <v>-6.1498051984943909E-2</v>
      </c>
    </row>
    <row r="54" spans="1:9" ht="15.6">
      <c r="A54" s="48" t="str">
        <v>Snowline SD - Serrano HS - Middle Lot</v>
      </c>
      <c r="B54" s="9" t="str">
        <v>CA</v>
      </c>
      <c r="C54" s="24">
        <f>SUM(Jan!C54, Feb!C54, Mar!C54)</f>
        <v>0</v>
      </c>
      <c r="D54" s="13">
        <f>SUM(Jan!D54, Feb!D54, Mar!D54)</f>
        <v>0</v>
      </c>
      <c r="E54" s="13">
        <f t="shared" si="9"/>
        <v>0</v>
      </c>
      <c r="F54" s="14" t="str">
        <f t="shared" si="10"/>
        <v/>
      </c>
      <c r="G54" s="15">
        <f>SUM(Jan!G54, Feb!G54, Mar!G55)</f>
        <v>22707.84</v>
      </c>
      <c r="H54" s="15">
        <f>SUM(Jan!H54, Feb!H54, Mar!H54)</f>
        <v>0</v>
      </c>
      <c r="I54" s="19">
        <f t="shared" si="11"/>
        <v>0</v>
      </c>
    </row>
    <row r="55" spans="1:9" ht="15.6">
      <c r="A55" s="49" t="str">
        <v>Snowline SD - Pinon Hills ES</v>
      </c>
      <c r="B55" s="10" t="str">
        <v>CA</v>
      </c>
      <c r="C55" s="11">
        <f>SUM(Jan!C55, Feb!C55, Mar!C55)</f>
        <v>3980</v>
      </c>
      <c r="D55" s="18">
        <f>SUM(Jan!D55, Feb!D55, Mar!D55)</f>
        <v>6199</v>
      </c>
      <c r="E55" s="18">
        <f t="shared" si="9"/>
        <v>-2219</v>
      </c>
      <c r="F55" s="19">
        <f t="shared" si="10"/>
        <v>-0.35796096144539441</v>
      </c>
      <c r="G55" s="20">
        <f>SUM(Jan!G55, Feb!G55,Mar!G55)</f>
        <v>52863.979999999996</v>
      </c>
      <c r="H55" s="20">
        <f>SUM(Jan!H55, Feb!H55, Mar!H55)</f>
        <v>-48883.979999999996</v>
      </c>
      <c r="I55" s="16">
        <f t="shared" si="11"/>
        <v>-0.92471244125016694</v>
      </c>
    </row>
    <row r="56" spans="1:9" ht="15.6">
      <c r="A56" s="48" t="str">
        <v>Ramona - Santa Maria WTP</v>
      </c>
      <c r="B56" s="9" t="str">
        <v>CA</v>
      </c>
      <c r="C56" s="24">
        <f>SUM(Jan!C56, Feb!C56, Mar!C56)</f>
        <v>158173</v>
      </c>
      <c r="D56" s="13">
        <f>SUM(Jan!D56, Feb!D56, Mar!D56)</f>
        <v>229940</v>
      </c>
      <c r="E56" s="13">
        <f t="shared" si="9"/>
        <v>-71767</v>
      </c>
      <c r="F56" s="14">
        <f t="shared" si="10"/>
        <v>-0.3121118552665913</v>
      </c>
      <c r="G56" s="15">
        <f>SUM(Jan!G56, Feb!G56, Mar!G57)</f>
        <v>143216.29999999999</v>
      </c>
      <c r="H56" s="15">
        <f>SUM(Jan!H56, Feb!H56, Mar!H56)</f>
        <v>-31620.05999999999</v>
      </c>
      <c r="I56" s="19">
        <f t="shared" si="11"/>
        <v>-0.2207853435677363</v>
      </c>
    </row>
    <row r="57" spans="1:9" ht="15.6">
      <c r="A57" s="49" t="str">
        <v>Kohls - Redding</v>
      </c>
      <c r="B57" s="10" t="str">
        <v>CA</v>
      </c>
      <c r="C57" s="11">
        <f>SUM(Jan!C57, Feb!C57, Mar!C57)</f>
        <v>55816</v>
      </c>
      <c r="D57" s="18">
        <f>SUM(Jan!D57, Feb!D57, Mar!D57)</f>
        <v>5106</v>
      </c>
      <c r="E57" s="18">
        <f t="shared" si="9"/>
        <v>50710</v>
      </c>
      <c r="F57" s="19">
        <f t="shared" si="10"/>
        <v>9.931453192322758</v>
      </c>
      <c r="G57" s="20">
        <f>SUM(Jan!G57, Feb!G57,Mar!G57)</f>
        <v>57067.86</v>
      </c>
      <c r="H57" s="20">
        <f>SUM(Jan!H57, Feb!H57, Mar!H57)</f>
        <v>-1251.8599999999969</v>
      </c>
      <c r="I57" s="16">
        <f t="shared" si="11"/>
        <v>-2.1936340349892162E-2</v>
      </c>
    </row>
    <row r="58" spans="1:9" ht="15.6">
      <c r="A58" s="48" t="str">
        <v>Kohls - Salinas</v>
      </c>
      <c r="B58" s="9" t="str">
        <v>CA</v>
      </c>
      <c r="C58" s="24">
        <f>SUM(Jan!C58, Feb!C58, Mar!C58)</f>
        <v>77699</v>
      </c>
      <c r="D58" s="13">
        <f>SUM(Jan!D58, Feb!D58, Mar!D58)</f>
        <v>134978</v>
      </c>
      <c r="E58" s="13">
        <f t="shared" si="9"/>
        <v>-57279</v>
      </c>
      <c r="F58" s="14">
        <f t="shared" si="10"/>
        <v>-0.4243580435330202</v>
      </c>
      <c r="G58" s="15">
        <f>SUM(Jan!G58, Feb!G58, Mar!G59)</f>
        <v>51326.7</v>
      </c>
      <c r="H58" s="15">
        <f>SUM(Jan!H58, Feb!H58, Mar!H58)</f>
        <v>-18567.48</v>
      </c>
      <c r="I58" s="19">
        <f t="shared" si="11"/>
        <v>-0.36175090157754153</v>
      </c>
    </row>
    <row r="59" spans="1:9" ht="15.6">
      <c r="A59" s="49" t="str">
        <v>Kohls - San Bernardino - Central</v>
      </c>
      <c r="B59" s="10" t="str">
        <v>CA</v>
      </c>
      <c r="C59" s="11">
        <f>SUM(Jan!C59, Feb!C59, Mar!C59)</f>
        <v>0</v>
      </c>
      <c r="D59" s="18">
        <f>SUM(Jan!D59, Feb!D59, Mar!D59)</f>
        <v>0</v>
      </c>
      <c r="E59" s="18">
        <f t="shared" si="9"/>
        <v>0</v>
      </c>
      <c r="F59" s="19" t="str">
        <f t="shared" si="10"/>
        <v/>
      </c>
      <c r="G59" s="20">
        <f>SUM(Jan!G59, Feb!G59,Mar!G59)</f>
        <v>0</v>
      </c>
      <c r="H59" s="20">
        <f>SUM(Jan!H59, Feb!H59, Mar!H59)</f>
        <v>0</v>
      </c>
      <c r="I59" s="16" t="str">
        <f t="shared" si="11"/>
        <v/>
      </c>
    </row>
    <row r="60" spans="1:9" ht="15.6">
      <c r="A60" s="48" t="str">
        <v>Kohls - Sonora</v>
      </c>
      <c r="B60" s="9" t="str">
        <v>CA</v>
      </c>
      <c r="C60" s="24">
        <f>SUM(Jan!C60, Feb!C60, Mar!C60)</f>
        <v>55314</v>
      </c>
      <c r="D60" s="13">
        <f>SUM(Jan!D60, Feb!D60, Mar!D60)</f>
        <v>76210</v>
      </c>
      <c r="E60" s="13">
        <f t="shared" si="9"/>
        <v>-20896</v>
      </c>
      <c r="F60" s="14">
        <f t="shared" si="10"/>
        <v>-0.27418973887941217</v>
      </c>
      <c r="G60" s="15">
        <f>SUM(Jan!G60, Feb!G60, Mar!G61)</f>
        <v>54014.75</v>
      </c>
      <c r="H60" s="15">
        <f>SUM(Jan!H60, Feb!H60, Mar!H60)</f>
        <v>-6826.010000000002</v>
      </c>
      <c r="I60" s="19">
        <f t="shared" si="11"/>
        <v>-0.12637307402144787</v>
      </c>
    </row>
    <row r="61" spans="1:9" ht="15.6">
      <c r="A61" s="49" t="str">
        <v>CUSD - Stratford ES</v>
      </c>
      <c r="B61" s="10" t="str">
        <v>CA</v>
      </c>
      <c r="C61" s="11">
        <f>SUM(Jan!C61, Feb!C61, Mar!C61)</f>
        <v>53908</v>
      </c>
      <c r="D61" s="18">
        <f>SUM(Jan!D61, Feb!D61, Mar!D61)</f>
        <v>62039</v>
      </c>
      <c r="E61" s="18">
        <f t="shared" si="9"/>
        <v>-8131</v>
      </c>
      <c r="F61" s="19">
        <f t="shared" si="10"/>
        <v>-0.1310627186124857</v>
      </c>
      <c r="G61" s="20">
        <f>SUM(Jan!G61, Feb!G61,Mar!G61)</f>
        <v>44769.46</v>
      </c>
      <c r="H61" s="20">
        <f>SUM(Jan!H61, Feb!H61, Mar!H61)</f>
        <v>9138.5400000000009</v>
      </c>
      <c r="I61" s="16">
        <f t="shared" si="11"/>
        <v>0.20412441874438514</v>
      </c>
    </row>
    <row r="62" spans="1:9" ht="15.6">
      <c r="A62" s="48" t="str">
        <v>Taft - City Hall</v>
      </c>
      <c r="B62" s="9" t="str">
        <v>CA</v>
      </c>
      <c r="C62" s="24">
        <f>SUM(Jan!C62, Feb!C62, Mar!C62)</f>
        <v>5242</v>
      </c>
      <c r="D62" s="13">
        <f>SUM(Jan!D62, Feb!D62, Mar!D62)</f>
        <v>29073</v>
      </c>
      <c r="E62" s="13">
        <f t="shared" si="9"/>
        <v>-23831</v>
      </c>
      <c r="F62" s="14">
        <f t="shared" si="10"/>
        <v>-0.81969524988821241</v>
      </c>
      <c r="G62" s="15">
        <f>SUM(Jan!G62, Feb!G62, Mar!G63)</f>
        <v>21290.28</v>
      </c>
      <c r="H62" s="15">
        <f>SUM(Jan!H62, Feb!H62, Mar!H62)</f>
        <v>-11384.46</v>
      </c>
      <c r="I62" s="19">
        <f t="shared" si="11"/>
        <v>-0.53472570581504797</v>
      </c>
    </row>
    <row r="63" spans="1:9" ht="15.6">
      <c r="A63" s="49" t="str">
        <v>Taft - Federal Prison</v>
      </c>
      <c r="B63" s="10" t="str">
        <v>CA</v>
      </c>
      <c r="C63" s="11">
        <f>SUM(Jan!C63, Feb!C63, Mar!C63)</f>
        <v>35152</v>
      </c>
      <c r="D63" s="18">
        <f>SUM(Jan!D63, Feb!D63, Mar!D63)</f>
        <v>45156</v>
      </c>
      <c r="E63" s="18">
        <f t="shared" si="9"/>
        <v>-10004</v>
      </c>
      <c r="F63" s="19">
        <f t="shared" si="10"/>
        <v>-0.22154309504827707</v>
      </c>
      <c r="G63" s="20">
        <f>SUM(Jan!G63, Feb!G63,Mar!G63)</f>
        <v>28385.33</v>
      </c>
      <c r="H63" s="20">
        <f>SUM(Jan!H63, Feb!H63, Mar!H63)</f>
        <v>6766.67</v>
      </c>
      <c r="I63" s="16">
        <f t="shared" si="11"/>
        <v>0.23838616637537768</v>
      </c>
    </row>
    <row r="64" spans="1:9" ht="15.6">
      <c r="A64" s="48" t="str">
        <v>Taft - Police Department</v>
      </c>
      <c r="B64" s="9" t="str">
        <v>CA</v>
      </c>
      <c r="C64" s="24">
        <f>SUM(Jan!C64, Feb!C64, Mar!C64)</f>
        <v>23979</v>
      </c>
      <c r="D64" s="13">
        <f>SUM(Jan!D64, Feb!D64, Mar!D64)</f>
        <v>30519</v>
      </c>
      <c r="E64" s="13">
        <f t="shared" si="9"/>
        <v>-6540</v>
      </c>
      <c r="F64" s="14">
        <f t="shared" si="10"/>
        <v>-0.21429273567285953</v>
      </c>
      <c r="G64" s="15">
        <f>SUM(Jan!G64, Feb!G64, Mar!G65)</f>
        <v>10817.18</v>
      </c>
      <c r="H64" s="15">
        <f>SUM(Jan!H64, Feb!H64, Mar!H64)</f>
        <v>4886.62</v>
      </c>
      <c r="I64" s="19">
        <f t="shared" si="11"/>
        <v>0.45174620372407592</v>
      </c>
    </row>
    <row r="65" spans="1:9" ht="15.6">
      <c r="A65" s="49" t="str">
        <v>Taft - WTP</v>
      </c>
      <c r="B65" s="10" t="str">
        <v>CA</v>
      </c>
      <c r="C65" s="11">
        <f>SUM(Jan!C65, Feb!C65, Mar!C65)</f>
        <v>0</v>
      </c>
      <c r="D65" s="18">
        <f>SUM(Jan!D65, Feb!D65, Mar!D65)</f>
        <v>0</v>
      </c>
      <c r="E65" s="18">
        <f t="shared" si="9"/>
        <v>0</v>
      </c>
      <c r="F65" s="19" t="str">
        <f t="shared" si="10"/>
        <v/>
      </c>
      <c r="G65" s="20">
        <f>SUM(Jan!G65, Feb!G65,Mar!G65)</f>
        <v>0</v>
      </c>
      <c r="H65" s="20">
        <f>SUM(Jan!H65, Feb!H65, Mar!H65)</f>
        <v>0</v>
      </c>
      <c r="I65" s="16" t="str">
        <f t="shared" si="11"/>
        <v/>
      </c>
    </row>
    <row r="66" spans="1:9" ht="15.6">
      <c r="A66" s="48" t="str">
        <v>CDCR - CA Correctional Institution</v>
      </c>
      <c r="B66" s="9" t="str">
        <v>CA</v>
      </c>
      <c r="C66" s="24">
        <f>SUM(Jan!C66, Feb!C66, Mar!C66)</f>
        <v>0</v>
      </c>
      <c r="D66" s="13">
        <f>SUM(Jan!D66, Feb!D66, Mar!D66)</f>
        <v>0</v>
      </c>
      <c r="E66" s="13">
        <f t="shared" si="9"/>
        <v>0</v>
      </c>
      <c r="F66" s="14" t="str">
        <f t="shared" si="10"/>
        <v/>
      </c>
      <c r="G66" s="15">
        <f>SUM(Jan!G66, Feb!G66, Mar!G67)</f>
        <v>283657.609</v>
      </c>
      <c r="H66" s="15">
        <f>SUM(Jan!H66, Feb!H66, Mar!H66)</f>
        <v>0</v>
      </c>
      <c r="I66" s="19">
        <f t="shared" si="11"/>
        <v>0</v>
      </c>
    </row>
    <row r="67" spans="1:9" ht="15.6">
      <c r="A67" s="49" t="str">
        <v>CDCR - CA Correctional Institution II</v>
      </c>
      <c r="B67" s="10" t="str">
        <v>CA</v>
      </c>
      <c r="C67" s="11">
        <f>SUM(Jan!C67, Feb!C67, Mar!C67)</f>
        <v>172124</v>
      </c>
      <c r="D67" s="18">
        <f>SUM(Jan!D67, Feb!D67, Mar!D67)</f>
        <v>255338</v>
      </c>
      <c r="E67" s="18">
        <f t="shared" si="9"/>
        <v>-83214</v>
      </c>
      <c r="F67" s="19">
        <f t="shared" si="10"/>
        <v>-0.32589743790583464</v>
      </c>
      <c r="G67" s="20">
        <f>SUM(Jan!G67, Feb!G67,Mar!G67)</f>
        <v>630143.09400000004</v>
      </c>
      <c r="H67" s="20">
        <f>SUM(Jan!H67, Feb!H67, Mar!H67)</f>
        <v>-458019.09399999998</v>
      </c>
      <c r="I67" s="16">
        <f t="shared" si="11"/>
        <v>-0.7268493432064812</v>
      </c>
    </row>
    <row r="68" spans="1:9" ht="15.6">
      <c r="A68" s="48" t="str">
        <v>Snowline SD - Vista Verde ES</v>
      </c>
      <c r="B68" s="9" t="str">
        <v>CA</v>
      </c>
      <c r="C68" s="24">
        <f>SUM(Jan!C68, Feb!C68, Mar!C68)</f>
        <v>50729</v>
      </c>
      <c r="D68" s="13">
        <f>SUM(Jan!D68, Feb!D68, Mar!D68)</f>
        <v>67625</v>
      </c>
      <c r="E68" s="13">
        <f t="shared" si="9"/>
        <v>-16896</v>
      </c>
      <c r="F68" s="14">
        <f t="shared" si="10"/>
        <v>-0.24984842883548983</v>
      </c>
      <c r="G68" s="15">
        <f>SUM(Jan!G68, Feb!G68, Mar!G69)</f>
        <v>35145.910000000003</v>
      </c>
      <c r="H68" s="15">
        <f>SUM(Jan!H68, Feb!H68, Mar!H68)</f>
        <v>-12716.919999999998</v>
      </c>
      <c r="I68" s="19">
        <f t="shared" si="11"/>
        <v>-0.36183214490676147</v>
      </c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62" priority="1" stopIfTrue="1" operator="lessThanOrEqual">
      <formula>-0.1</formula>
    </cfRule>
    <cfRule type="expression" dxfId="6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D65" activePane="bottomRight" state="frozen"/>
      <selection pane="bottomRight" activeCell="D65" sqref="D65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12</v>
      </c>
      <c r="E1" s="100"/>
      <c r="F1" s="100"/>
      <c r="G1" s="98" t="s">
        <v>13</v>
      </c>
      <c r="H1" s="98"/>
      <c r="I1" s="98"/>
    </row>
    <row r="2" spans="1:9" ht="19.5" customHeight="1">
      <c r="A2" s="101" t="s">
        <v>2</v>
      </c>
      <c r="B2" s="101"/>
      <c r="C2" s="5">
        <f>SUM(C4:C100)</f>
        <v>8603945.9000000004</v>
      </c>
      <c r="D2" s="5">
        <f>SUM(D4:D100)</f>
        <v>11980775.111</v>
      </c>
      <c r="E2" s="5">
        <f>C2-D2</f>
        <v>-3376829.2109999992</v>
      </c>
      <c r="F2" s="6">
        <f>IFERROR(E2/D2, 0)</f>
        <v>-0.2818539852149971</v>
      </c>
      <c r="G2" s="5">
        <f>SUM(G4:G100)</f>
        <v>11270101.223999999</v>
      </c>
      <c r="H2" s="7">
        <f>C2-G2</f>
        <v>-2666155.3239999991</v>
      </c>
      <c r="I2" s="6">
        <f>IFERROR(H2/G2, 0)</f>
        <v>-0.23656888886874822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SUM(Apr!C4, May!C4, Jun!C4)</f>
        <v>103138</v>
      </c>
      <c r="D4" s="13">
        <f>SUM(Apr!D4, May!D4, Jun!D4)</f>
        <v>133875</v>
      </c>
      <c r="E4" s="13">
        <f>IF(AND(ISNUMBER(C4),ISNUMBER(D4)), C4-D4, "")</f>
        <v>-30737</v>
      </c>
      <c r="F4" s="14">
        <f>IFERROR(E4/D4, "")</f>
        <v>-0.22959477124183006</v>
      </c>
      <c r="G4" s="15">
        <f>SUM(Apr!G4, May!G4, Jun!G4)</f>
        <v>102351.64000000001</v>
      </c>
      <c r="H4" s="15">
        <f>SUM(Apr!H4, May!H4, Jun!H4)</f>
        <v>786.36000000000058</v>
      </c>
      <c r="I4" s="16">
        <f>IFERROR(H4/G4, "")</f>
        <v>7.6829252564980929E-3</v>
      </c>
    </row>
    <row r="5" spans="1:9" ht="15.6">
      <c r="A5" s="49" t="str">
        <v>Kohls - Auburn</v>
      </c>
      <c r="B5" s="10" t="str">
        <v>NY</v>
      </c>
      <c r="C5" s="11">
        <f>SUM(Apr!C5, May!C5, Jun!C5)</f>
        <v>109556</v>
      </c>
      <c r="D5" s="18">
        <f>SUM(Apr!D5, May!D5, Jun!D5)</f>
        <v>146912</v>
      </c>
      <c r="E5" s="18">
        <f t="shared" ref="E5:E15" si="0">IF(AND(ISNUMBER(C5),ISNUMBER(D5)), C5-D5, "")</f>
        <v>-37356</v>
      </c>
      <c r="F5" s="19">
        <f>IFERROR(E5/D5, "")</f>
        <v>-0.25427466782835983</v>
      </c>
      <c r="G5" s="20">
        <f>SUM(Apr!G5, May!G5, Jun!G5)</f>
        <v>123949.89000000001</v>
      </c>
      <c r="H5" s="20">
        <f>SUM(Apr!H5, May!H5, Jun!H5)</f>
        <v>-14393.89</v>
      </c>
      <c r="I5" s="19">
        <f>IFERROR(H5/G5, "")</f>
        <v>-0.11612668635688178</v>
      </c>
    </row>
    <row r="6" spans="1:9" ht="15.6">
      <c r="A6" s="48" t="str">
        <v>Kohls - Bensalem</v>
      </c>
      <c r="B6" s="9" t="str">
        <v>PA</v>
      </c>
      <c r="C6" s="24">
        <f>SUM(Apr!C6, May!C6, Jun!C6)</f>
        <v>123029</v>
      </c>
      <c r="D6" s="13">
        <f>SUM(Apr!D6, May!D6, Jun!D6)</f>
        <v>156117</v>
      </c>
      <c r="E6" s="13">
        <f t="shared" si="0"/>
        <v>-33088</v>
      </c>
      <c r="F6" s="14">
        <f t="shared" ref="F6:F15" si="1">IFERROR(E6/D6, "")</f>
        <v>-0.21194360639776577</v>
      </c>
      <c r="G6" s="15">
        <f>SUM(Apr!G6, May!G6, Jun!G6)</f>
        <v>111075.04999999999</v>
      </c>
      <c r="H6" s="15">
        <f>SUM(Apr!H6, May!H6, Jun!H6)</f>
        <v>11953.950000000004</v>
      </c>
      <c r="I6" s="16">
        <f t="shared" ref="I6:I15" si="2">IFERROR(H6/G6, "")</f>
        <v>0.10762047822620836</v>
      </c>
    </row>
    <row r="7" spans="1:9" ht="15.6">
      <c r="A7" s="49" t="str">
        <v>Kohls - Brick</v>
      </c>
      <c r="B7" s="10" t="str">
        <v>NJ</v>
      </c>
      <c r="C7" s="11">
        <f>SUM(Apr!C7, May!C7, Jun!C7)</f>
        <v>138697</v>
      </c>
      <c r="D7" s="18">
        <f>SUM(Apr!D7, May!D7, Jun!D7)</f>
        <v>196380</v>
      </c>
      <c r="E7" s="18">
        <f t="shared" si="0"/>
        <v>-57683</v>
      </c>
      <c r="F7" s="19">
        <f t="shared" si="1"/>
        <v>-0.293731540890111</v>
      </c>
      <c r="G7" s="20">
        <f>SUM(Apr!G7, May!G7, Jun!G7)</f>
        <v>135010.68</v>
      </c>
      <c r="H7" s="20">
        <f>SUM(Apr!H7, May!H7, Jun!H7)</f>
        <v>3686.320000000007</v>
      </c>
      <c r="I7" s="19">
        <f t="shared" si="2"/>
        <v>2.7303914031097446E-2</v>
      </c>
    </row>
    <row r="8" spans="1:9" ht="15.6">
      <c r="A8" s="48" t="str">
        <v>Kohls - Buffalo</v>
      </c>
      <c r="B8" s="9" t="str">
        <v>NY</v>
      </c>
      <c r="C8" s="24">
        <f>SUM(Apr!C8, May!C8, Jun!C8)</f>
        <v>119142</v>
      </c>
      <c r="D8" s="13">
        <f>SUM(Apr!D8, May!D8, Jun!D8)</f>
        <v>0</v>
      </c>
      <c r="E8" s="13">
        <f t="shared" si="0"/>
        <v>119142</v>
      </c>
      <c r="F8" s="14" t="str">
        <f t="shared" si="1"/>
        <v/>
      </c>
      <c r="G8" s="15">
        <f>SUM(Apr!G8, May!G8, Jun!G8)</f>
        <v>147114.18</v>
      </c>
      <c r="H8" s="15">
        <f>SUM(Apr!H8, May!H8, Jun!H8)</f>
        <v>-27972.18</v>
      </c>
      <c r="I8" s="16">
        <f t="shared" si="2"/>
        <v>-0.19013925102257309</v>
      </c>
    </row>
    <row r="9" spans="1:9" ht="15.6">
      <c r="A9" s="49" t="str">
        <v>Kohls - Canton</v>
      </c>
      <c r="B9" s="10" t="str">
        <v>CT</v>
      </c>
      <c r="C9" s="11">
        <f>SUM(Apr!C9, May!C9, Jun!C9)</f>
        <v>50432</v>
      </c>
      <c r="D9" s="18">
        <f>SUM(Apr!D9, May!D9, Jun!D9)</f>
        <v>62083</v>
      </c>
      <c r="E9" s="18">
        <f t="shared" si="0"/>
        <v>-11651</v>
      </c>
      <c r="F9" s="19">
        <f t="shared" si="1"/>
        <v>-0.18766812170803601</v>
      </c>
      <c r="G9" s="20">
        <f>SUM(Apr!G9, May!G9, Jun!G9)</f>
        <v>45736.67</v>
      </c>
      <c r="H9" s="20">
        <f>SUM(Apr!H9, May!H9, Jun!H9)</f>
        <v>4695.33</v>
      </c>
      <c r="I9" s="19">
        <f t="shared" si="2"/>
        <v>0.10266007560235584</v>
      </c>
    </row>
    <row r="10" spans="1:9" ht="15.6">
      <c r="A10" s="48" t="str">
        <v>Kohls - East Amherst</v>
      </c>
      <c r="B10" s="9" t="str">
        <v>NY</v>
      </c>
      <c r="C10" s="24">
        <f>SUM(Apr!C10, May!C10, Jun!C10)</f>
        <v>121956</v>
      </c>
      <c r="D10" s="13">
        <f>SUM(Apr!D10, May!D10, Jun!D10)</f>
        <v>158131</v>
      </c>
      <c r="E10" s="13">
        <f t="shared" si="0"/>
        <v>-36175</v>
      </c>
      <c r="F10" s="14">
        <f t="shared" si="1"/>
        <v>-0.22876602310742358</v>
      </c>
      <c r="G10" s="15">
        <f>SUM(Apr!G10, May!G10, Jun!G10)</f>
        <v>131248.74</v>
      </c>
      <c r="H10" s="15">
        <f>SUM(Apr!H10, May!H10, Jun!H10)</f>
        <v>-9292.739999999998</v>
      </c>
      <c r="I10" s="16">
        <f t="shared" si="2"/>
        <v>-7.0802508275508005E-2</v>
      </c>
    </row>
    <row r="11" spans="1:9" ht="15.6">
      <c r="A11" s="49" t="str">
        <v>Kohls - East Brunswick</v>
      </c>
      <c r="B11" s="10" t="str">
        <v>NJ</v>
      </c>
      <c r="C11" s="11">
        <f>SUM(Apr!C11, May!C11, Jun!C11)</f>
        <v>125982</v>
      </c>
      <c r="D11" s="18">
        <f>SUM(Apr!D11, May!D11, Jun!D11)</f>
        <v>142386</v>
      </c>
      <c r="E11" s="18">
        <f t="shared" si="0"/>
        <v>-16404</v>
      </c>
      <c r="F11" s="19">
        <f t="shared" si="1"/>
        <v>-0.1152079558383549</v>
      </c>
      <c r="G11" s="20">
        <f>SUM(Apr!G11, May!G11, Jun!G11)</f>
        <v>174470.12</v>
      </c>
      <c r="H11" s="20">
        <f>SUM(Apr!H11, May!H11, Jun!H11)</f>
        <v>-48488.119999999995</v>
      </c>
      <c r="I11" s="19">
        <f t="shared" si="2"/>
        <v>-0.27791647074009002</v>
      </c>
    </row>
    <row r="12" spans="1:9" ht="15.6">
      <c r="A12" s="48" t="str">
        <v>Kohls - Edgewood</v>
      </c>
      <c r="B12" s="9" t="str">
        <v>MD</v>
      </c>
      <c r="C12" s="24">
        <f>SUM(Apr!C12, May!C12, Jun!C12)</f>
        <v>758912</v>
      </c>
      <c r="D12" s="13">
        <f>SUM(Apr!D12, May!D12, Jun!D12)</f>
        <v>1233827</v>
      </c>
      <c r="E12" s="13">
        <f t="shared" si="0"/>
        <v>-474915</v>
      </c>
      <c r="F12" s="14">
        <f t="shared" si="1"/>
        <v>-0.38491214732697532</v>
      </c>
      <c r="G12" s="15">
        <f>SUM(Apr!G12, May!G12, Jun!G12)</f>
        <v>923709.28</v>
      </c>
      <c r="H12" s="15">
        <f>SUM(Apr!H12, May!H12, Jun!H12)</f>
        <v>-164797.28000000003</v>
      </c>
      <c r="I12" s="16">
        <f t="shared" si="2"/>
        <v>-0.17840816755678801</v>
      </c>
    </row>
    <row r="13" spans="1:9" ht="15.6">
      <c r="A13" s="49" t="str">
        <v>Kohls - Granite Run</v>
      </c>
      <c r="B13" s="10" t="str">
        <v>PA</v>
      </c>
      <c r="C13" s="11">
        <f>SUM(Apr!C13, May!C13, Jun!C13)</f>
        <v>115506</v>
      </c>
      <c r="D13" s="18">
        <f>SUM(Apr!D13, May!D13, Jun!D13)</f>
        <v>151513</v>
      </c>
      <c r="E13" s="18">
        <f t="shared" si="0"/>
        <v>-36007</v>
      </c>
      <c r="F13" s="19">
        <f t="shared" si="1"/>
        <v>-0.23764957462395966</v>
      </c>
      <c r="G13" s="20">
        <f>SUM(Apr!G13, May!G13, Jun!G13)</f>
        <v>110743.92000000001</v>
      </c>
      <c r="H13" s="20">
        <f>SUM(Apr!H13, May!H13, Jun!H13)</f>
        <v>4762.0800000000017</v>
      </c>
      <c r="I13" s="19">
        <f t="shared" si="2"/>
        <v>4.3000825688669871E-2</v>
      </c>
    </row>
    <row r="14" spans="1:9" ht="15.6">
      <c r="A14" s="48" t="str">
        <v>Kohls - Greece</v>
      </c>
      <c r="B14" s="9" t="str">
        <v>NY</v>
      </c>
      <c r="C14" s="24">
        <f>SUM(Apr!C14, May!C14, Jun!C14)</f>
        <v>107300</v>
      </c>
      <c r="D14" s="13">
        <f>SUM(Apr!D14, May!D14, Jun!D14)</f>
        <v>94791</v>
      </c>
      <c r="E14" s="13">
        <f t="shared" si="0"/>
        <v>12509</v>
      </c>
      <c r="F14" s="14">
        <f t="shared" si="1"/>
        <v>0.13196400502157377</v>
      </c>
      <c r="G14" s="15">
        <f>SUM(Apr!G14, May!G14, Jun!G14)</f>
        <v>142210.99</v>
      </c>
      <c r="H14" s="15">
        <f>SUM(Apr!H14, May!H14, Jun!H14)</f>
        <v>-34910.99</v>
      </c>
      <c r="I14" s="16">
        <f t="shared" si="2"/>
        <v>-0.24548728617949991</v>
      </c>
    </row>
    <row r="15" spans="1:9" ht="15.6">
      <c r="A15" s="49" t="str">
        <v>Kohls - Hanover</v>
      </c>
      <c r="B15" s="10" t="str">
        <v>PA</v>
      </c>
      <c r="C15" s="11">
        <f>SUM(Apr!C15, May!C15, Jun!C15)</f>
        <v>88097</v>
      </c>
      <c r="D15" s="18">
        <f>SUM(Apr!D15, May!D15, Jun!D15)</f>
        <v>120368</v>
      </c>
      <c r="E15" s="18">
        <f t="shared" si="0"/>
        <v>-32271</v>
      </c>
      <c r="F15" s="19">
        <f t="shared" si="1"/>
        <v>-0.26810281802472419</v>
      </c>
      <c r="G15" s="20">
        <f>SUM(Apr!G15, May!G15, Jun!G15)</f>
        <v>125782.70999999999</v>
      </c>
      <c r="H15" s="20">
        <f>SUM(Apr!H15, May!H15, Jun!H15)</f>
        <v>-37685.71</v>
      </c>
      <c r="I15" s="19">
        <f t="shared" si="2"/>
        <v>-0.29960962043193379</v>
      </c>
    </row>
    <row r="16" spans="1:9" ht="15.6">
      <c r="A16" s="48" t="str">
        <v>Kohls - Horsehead</v>
      </c>
      <c r="B16" s="9" t="str">
        <v>NY</v>
      </c>
      <c r="C16" s="24">
        <f>SUM(Apr!C16, May!C16, Jun!C16)</f>
        <v>95711</v>
      </c>
      <c r="D16" s="13">
        <f>SUM(Apr!D16, May!D16, Jun!D16)</f>
        <v>127835</v>
      </c>
      <c r="E16" s="13">
        <f t="shared" ref="E16:E18" si="3">IF(AND(ISNUMBER(C16),ISNUMBER(D16)), C16-D16, "")</f>
        <v>-32124</v>
      </c>
      <c r="F16" s="14">
        <f t="shared" ref="F16:F18" si="4">IFERROR(E16/D16, "")</f>
        <v>-0.25129268197285565</v>
      </c>
      <c r="G16" s="15">
        <f>SUM(Apr!G16, May!G16, Jun!G16)</f>
        <v>101605.92</v>
      </c>
      <c r="H16" s="15">
        <f>SUM(Apr!H16, May!H16, Jun!H16)</f>
        <v>-5894.9200000000019</v>
      </c>
      <c r="I16" s="16">
        <f t="shared" ref="I16:I18" si="5">IFERROR(H16/G16, "")</f>
        <v>-5.8017485595327538E-2</v>
      </c>
    </row>
    <row r="17" spans="1:9" ht="15.6">
      <c r="A17" s="49" t="str">
        <v>Kohls - Hudson</v>
      </c>
      <c r="B17" s="10" t="str">
        <v>NY</v>
      </c>
      <c r="C17" s="24">
        <f>SUM(Apr!C17, May!C17, Jun!C17)</f>
        <v>113283</v>
      </c>
      <c r="D17" s="13">
        <f>SUM(Apr!D17, May!D17, Jun!D17)</f>
        <v>175133</v>
      </c>
      <c r="E17" s="13">
        <f t="shared" si="3"/>
        <v>-61850</v>
      </c>
      <c r="F17" s="14">
        <f t="shared" si="4"/>
        <v>-0.35316016969959974</v>
      </c>
      <c r="G17" s="20">
        <f>SUM(Apr!G17, May!G17, Jun!G17)</f>
        <v>107972.6</v>
      </c>
      <c r="H17" s="15">
        <f>SUM(Apr!H17, May!H17, Jun!H17)</f>
        <v>5310.3999999999978</v>
      </c>
      <c r="I17" s="16">
        <f t="shared" si="5"/>
        <v>4.918284824112782E-2</v>
      </c>
    </row>
    <row r="18" spans="1:9" ht="12.75" customHeight="1">
      <c r="A18" s="48" t="str">
        <v>Kohls - Ithaca</v>
      </c>
      <c r="B18" s="9" t="str">
        <v>NY</v>
      </c>
      <c r="C18" s="11">
        <f>SUM(Apr!C18, May!C18, Jun!C18)</f>
        <v>100767</v>
      </c>
      <c r="D18" s="18">
        <f>SUM(Apr!D18, May!D18, Jun!D18)</f>
        <v>141804</v>
      </c>
      <c r="E18" s="18">
        <f t="shared" si="3"/>
        <v>-41037</v>
      </c>
      <c r="F18" s="19">
        <f t="shared" si="4"/>
        <v>-0.28939240077853939</v>
      </c>
      <c r="G18" s="15">
        <f>SUM(Apr!G18, May!G18, Jun!G18)</f>
        <v>117545.92000000001</v>
      </c>
      <c r="H18" s="20">
        <f>SUM(Apr!H18, May!H18, Jun!H18)</f>
        <v>-16778.919999999998</v>
      </c>
      <c r="I18" s="19">
        <f t="shared" si="5"/>
        <v>-0.14274353376110371</v>
      </c>
    </row>
    <row r="19" spans="1:9" ht="15.6">
      <c r="A19" s="49" t="str">
        <v>Kohls - Kingston</v>
      </c>
      <c r="B19" s="10" t="str">
        <v>NY</v>
      </c>
      <c r="C19" s="24">
        <f>SUM(Apr!C19, May!C19, Jun!C19)</f>
        <v>146297</v>
      </c>
      <c r="D19" s="13">
        <f>SUM(Apr!D19, May!D19, Jun!D19)</f>
        <v>207007</v>
      </c>
      <c r="E19" s="13">
        <f t="shared" ref="E19:E25" si="6">IF(AND(ISNUMBER(C19),ISNUMBER(D19)), C19-D19, "")</f>
        <v>-60710</v>
      </c>
      <c r="F19" s="14">
        <f t="shared" ref="F19:F25" si="7">IFERROR(E19/D19, "")</f>
        <v>-0.29327510663890594</v>
      </c>
      <c r="G19" s="20">
        <f>SUM(Apr!G19, May!G19, Jun!G19)</f>
        <v>175815.51500000001</v>
      </c>
      <c r="H19" s="15">
        <f>SUM(Apr!H19, May!H19, Jun!H19)</f>
        <v>-29518.514999999999</v>
      </c>
      <c r="I19" s="16">
        <f t="shared" ref="I19:I25" si="8">IFERROR(H19/G19, "")</f>
        <v>-0.16789482429920929</v>
      </c>
    </row>
    <row r="20" spans="1:9" ht="15.6">
      <c r="A20" s="48" t="str">
        <v>Kohls - Mechanicsburg</v>
      </c>
      <c r="B20" s="9" t="str">
        <v>PA</v>
      </c>
      <c r="C20" s="24">
        <f>SUM(Apr!C20, May!C20, Jun!C20)</f>
        <v>147439</v>
      </c>
      <c r="D20" s="13">
        <f>SUM(Apr!D20, May!D20, Jun!D20)</f>
        <v>192427</v>
      </c>
      <c r="E20" s="13">
        <f t="shared" si="6"/>
        <v>-44988</v>
      </c>
      <c r="F20" s="14">
        <f t="shared" si="7"/>
        <v>-0.23379255509881669</v>
      </c>
      <c r="G20" s="15">
        <f>SUM(Apr!G20, May!G20, Jun!G20)</f>
        <v>146883.1</v>
      </c>
      <c r="H20" s="15">
        <f>SUM(Apr!H20, May!H20, Jun!H20)</f>
        <v>555.90000000000146</v>
      </c>
      <c r="I20" s="16">
        <f t="shared" si="8"/>
        <v>3.7846423448306948E-3</v>
      </c>
    </row>
    <row r="21" spans="1:9" ht="15.6">
      <c r="A21" s="49" t="str">
        <v>Kohls - Middletown</v>
      </c>
      <c r="B21" s="10" t="str">
        <v>NJ</v>
      </c>
      <c r="C21" s="11">
        <f>SUM(Apr!C21, May!C21, Jun!C21)</f>
        <v>200771</v>
      </c>
      <c r="D21" s="18">
        <f>SUM(Apr!D21, May!D21, Jun!D21)</f>
        <v>267761</v>
      </c>
      <c r="E21" s="18">
        <f t="shared" si="6"/>
        <v>-66990</v>
      </c>
      <c r="F21" s="19">
        <f t="shared" si="7"/>
        <v>-0.25018580002315499</v>
      </c>
      <c r="G21" s="20">
        <f>SUM(Apr!G21, May!G21, Jun!G21)</f>
        <v>205306.40000000002</v>
      </c>
      <c r="H21" s="20">
        <f>SUM(Apr!H21, May!H21, Jun!H21)</f>
        <v>-4535.4000000000015</v>
      </c>
      <c r="I21" s="19">
        <f t="shared" si="8"/>
        <v>-2.2090884648505848E-2</v>
      </c>
    </row>
    <row r="22" spans="1:9" ht="15.6">
      <c r="A22" s="48" t="str">
        <v>Kohls - North Amherst</v>
      </c>
      <c r="B22" s="9" t="str">
        <v>NY</v>
      </c>
      <c r="C22" s="24">
        <f>SUM(Apr!C22, May!C22, Jun!C22)</f>
        <v>93267</v>
      </c>
      <c r="D22" s="13">
        <f>SUM(Apr!D22, May!D22, Jun!D22)</f>
        <v>150154</v>
      </c>
      <c r="E22" s="13">
        <f t="shared" si="6"/>
        <v>-56887</v>
      </c>
      <c r="F22" s="14">
        <f t="shared" si="7"/>
        <v>-0.3788577060884159</v>
      </c>
      <c r="G22" s="15">
        <f>SUM(Apr!G22, May!G22, Jun!G22)</f>
        <v>125842.19</v>
      </c>
      <c r="H22" s="15">
        <f>SUM(Apr!H22, May!H22, Jun!H22)</f>
        <v>-32575.189999999995</v>
      </c>
      <c r="I22" s="16">
        <f t="shared" si="8"/>
        <v>-0.25885746266812421</v>
      </c>
    </row>
    <row r="23" spans="1:9" ht="15.6">
      <c r="A23" s="49" t="str">
        <v>Kohls - Staten Island</v>
      </c>
      <c r="B23" s="10" t="str">
        <v>NY</v>
      </c>
      <c r="C23" s="24">
        <f>SUM(Apr!C23, May!C23, Jun!C23)</f>
        <v>115423.9</v>
      </c>
      <c r="D23" s="13">
        <f>SUM(Apr!D23, May!D23, Jun!D23)</f>
        <v>169874</v>
      </c>
      <c r="E23" s="13">
        <f t="shared" si="6"/>
        <v>-54450.100000000006</v>
      </c>
      <c r="F23" s="14">
        <f t="shared" si="7"/>
        <v>-0.32053227686402869</v>
      </c>
      <c r="G23" s="20">
        <f>SUM(Apr!G23, May!G23, Jun!G23)</f>
        <v>122786.03</v>
      </c>
      <c r="H23" s="15">
        <f>SUM(Apr!H23, May!H23, Jun!H23)</f>
        <v>-7362.1299999999974</v>
      </c>
      <c r="I23" s="16">
        <f t="shared" si="8"/>
        <v>-5.9959019767965437E-2</v>
      </c>
    </row>
    <row r="24" spans="1:9" ht="15.6">
      <c r="A24" s="48" t="str">
        <v>Kohls - Warminster</v>
      </c>
      <c r="B24" s="9" t="str">
        <v>PA</v>
      </c>
      <c r="C24" s="11">
        <f>SUM(Apr!C24, May!C24, Jun!C24)</f>
        <v>145673</v>
      </c>
      <c r="D24" s="18">
        <f>SUM(Apr!D24, May!D24, Jun!D24)</f>
        <v>187433</v>
      </c>
      <c r="E24" s="18">
        <f t="shared" si="6"/>
        <v>-41760</v>
      </c>
      <c r="F24" s="19">
        <f t="shared" si="7"/>
        <v>-0.22279961372863905</v>
      </c>
      <c r="G24" s="15">
        <f>SUM(Apr!G24, May!G24, Jun!G24)</f>
        <v>135580.82</v>
      </c>
      <c r="H24" s="20">
        <f>SUM(Apr!H24, May!H24, Jun!H24)</f>
        <v>10092.18</v>
      </c>
      <c r="I24" s="19">
        <f t="shared" si="8"/>
        <v>7.4436634916354688E-2</v>
      </c>
    </row>
    <row r="25" spans="1:9" ht="15.6">
      <c r="A25" s="49" t="str">
        <v xml:space="preserve">Kohls - Waterbury </v>
      </c>
      <c r="B25" s="10" t="str">
        <v>CT</v>
      </c>
      <c r="C25" s="24">
        <f>SUM(Apr!C25, May!C25, Jun!C25)</f>
        <v>124547</v>
      </c>
      <c r="D25" s="13">
        <f>SUM(Apr!D25, May!D25, Jun!D25)</f>
        <v>153709</v>
      </c>
      <c r="E25" s="13">
        <f t="shared" si="6"/>
        <v>-29162</v>
      </c>
      <c r="F25" s="14">
        <f t="shared" si="7"/>
        <v>-0.18972213728538992</v>
      </c>
      <c r="G25" s="20">
        <f>SUM(Apr!G25, May!G25, Jun!G25)</f>
        <v>121338.25</v>
      </c>
      <c r="H25" s="15">
        <f>SUM(Apr!H25, May!H25, Jun!H25)</f>
        <v>3208.75</v>
      </c>
      <c r="I25" s="16">
        <f t="shared" si="8"/>
        <v>2.6444670167898417E-2</v>
      </c>
    </row>
    <row r="26" spans="1:9" ht="15.6">
      <c r="A26" s="48" t="str">
        <v>Mojave Water Agency - Headquarters</v>
      </c>
      <c r="B26" s="9" t="str">
        <v>CA</v>
      </c>
      <c r="C26" s="11">
        <f>SUM(Apr!C26, May!C26, Jun!C26)</f>
        <v>149280</v>
      </c>
      <c r="D26" s="18">
        <f>SUM(Apr!D26, May!D26, Jun!D26)</f>
        <v>196178</v>
      </c>
      <c r="E26" s="18">
        <f t="shared" ref="E26:E68" si="9">IF(AND(ISNUMBER(C26),ISNUMBER(D26)), C26-D26, "")</f>
        <v>-46898</v>
      </c>
      <c r="F26" s="19">
        <f t="shared" ref="F26:F68" si="10">IFERROR(E26/D26, "")</f>
        <v>-0.23905840614136142</v>
      </c>
      <c r="G26" s="15">
        <f>SUM(Apr!G26, May!G26, Jun!G26)</f>
        <v>121422.55000000002</v>
      </c>
      <c r="H26" s="20">
        <f>SUM(Apr!H26, May!H26, Jun!H26)</f>
        <v>27857.449999999997</v>
      </c>
      <c r="I26" s="19">
        <f t="shared" ref="I26:I68" si="11">IFERROR(H26/G26, "")</f>
        <v>0.22942567093179969</v>
      </c>
    </row>
    <row r="27" spans="1:9" ht="15.6">
      <c r="A27" s="49" t="str">
        <v>CSU - Bakersfield</v>
      </c>
      <c r="B27" s="10" t="str">
        <v>CA</v>
      </c>
      <c r="C27" s="24">
        <f>SUM(Apr!C27, May!C27, Jun!C27)</f>
        <v>532615</v>
      </c>
      <c r="D27" s="13">
        <f>SUM(Apr!D27, May!D27, Jun!D27)</f>
        <v>783258</v>
      </c>
      <c r="E27" s="13">
        <f t="shared" si="9"/>
        <v>-250643</v>
      </c>
      <c r="F27" s="14">
        <f t="shared" si="10"/>
        <v>-0.32000056175615188</v>
      </c>
      <c r="G27" s="20">
        <f>SUM(Apr!G27, May!G27, Jun!G27)</f>
        <v>514781.93</v>
      </c>
      <c r="H27" s="15">
        <f>SUM(Apr!H27, May!H27, Jun!H27)</f>
        <v>17833.070000000007</v>
      </c>
      <c r="I27" s="16">
        <f t="shared" si="11"/>
        <v>3.4641989084581909E-2</v>
      </c>
    </row>
    <row r="28" spans="1:9" ht="15.6">
      <c r="A28" s="48" t="str">
        <v>Greenfield USD - Fairfield ES</v>
      </c>
      <c r="B28" s="9" t="str">
        <v>CA</v>
      </c>
      <c r="C28" s="11">
        <f>SUM(Apr!C28, May!C28, Jun!C28)</f>
        <v>33995</v>
      </c>
      <c r="D28" s="18">
        <f>SUM(Apr!D28, May!D28, Jun!D28)</f>
        <v>0.111</v>
      </c>
      <c r="E28" s="18">
        <f t="shared" si="9"/>
        <v>33994.889000000003</v>
      </c>
      <c r="F28" s="19">
        <f t="shared" si="10"/>
        <v>306260.2612612613</v>
      </c>
      <c r="G28" s="15">
        <f>SUM(Apr!G28, May!G28, Jun!G28)</f>
        <v>48762.67</v>
      </c>
      <c r="H28" s="20">
        <f>SUM(Apr!H28, May!H28, Jun!H28)</f>
        <v>-14767.67</v>
      </c>
      <c r="I28" s="19">
        <f t="shared" si="11"/>
        <v>-0.30284785472165493</v>
      </c>
    </row>
    <row r="29" spans="1:9" ht="15.6">
      <c r="A29" s="49" t="str">
        <v>Greenfield USD - Granite Point ES</v>
      </c>
      <c r="B29" s="10" t="str">
        <v>CA</v>
      </c>
      <c r="C29" s="24">
        <f>SUM(Apr!C29, May!C29, Jun!C29)</f>
        <v>130743</v>
      </c>
      <c r="D29" s="13">
        <f>SUM(Apr!D29, May!D29, Jun!D29)</f>
        <v>188862</v>
      </c>
      <c r="E29" s="13">
        <f t="shared" si="9"/>
        <v>-58119</v>
      </c>
      <c r="F29" s="14">
        <f t="shared" si="10"/>
        <v>-0.30773263017441305</v>
      </c>
      <c r="G29" s="20">
        <f>SUM(Apr!G29, May!G29, Jun!G29)</f>
        <v>128982.26</v>
      </c>
      <c r="H29" s="15">
        <f>SUM(Apr!H29, May!H29, Jun!H29)</f>
        <v>1760.739999999998</v>
      </c>
      <c r="I29" s="16">
        <f t="shared" si="11"/>
        <v>1.3651024567254427E-2</v>
      </c>
    </row>
    <row r="30" spans="1:9" ht="15.6">
      <c r="A30" s="48" t="str">
        <v>Greenfield USD - Greenfield MS</v>
      </c>
      <c r="B30" s="9" t="str">
        <v>CA</v>
      </c>
      <c r="C30" s="11">
        <f>SUM(Apr!C30, May!C30, Jun!C30)</f>
        <v>80494</v>
      </c>
      <c r="D30" s="18">
        <f>SUM(Apr!D30, May!D30, Jun!D30)</f>
        <v>124998</v>
      </c>
      <c r="E30" s="18">
        <f t="shared" si="9"/>
        <v>-44504</v>
      </c>
      <c r="F30" s="19">
        <f t="shared" si="10"/>
        <v>-0.35603769660314566</v>
      </c>
      <c r="G30" s="15">
        <f>SUM(Apr!G30, May!G30, Jun!G30)</f>
        <v>87713.569999999992</v>
      </c>
      <c r="H30" s="20">
        <f>SUM(Apr!H30, May!H30, Jun!H30)</f>
        <v>-7219.57</v>
      </c>
      <c r="I30" s="19">
        <f t="shared" si="11"/>
        <v>-8.2308472907897834E-2</v>
      </c>
    </row>
    <row r="31" spans="1:9" ht="15.6">
      <c r="A31" s="49" t="str">
        <v>Greenfield USD - Horizon ES</v>
      </c>
      <c r="B31" s="10" t="str">
        <v>CA</v>
      </c>
      <c r="C31" s="24">
        <f>SUM(Apr!C31, May!C31, Jun!C31)</f>
        <v>85702</v>
      </c>
      <c r="D31" s="13">
        <f>SUM(Apr!D31, May!D31, Jun!D31)</f>
        <v>193399</v>
      </c>
      <c r="E31" s="13">
        <f t="shared" si="9"/>
        <v>-107697</v>
      </c>
      <c r="F31" s="14">
        <f t="shared" si="10"/>
        <v>-0.55686430643384921</v>
      </c>
      <c r="G31" s="20">
        <f>SUM(Apr!G31, May!G31, Jun!G31)</f>
        <v>134069.58000000002</v>
      </c>
      <c r="H31" s="15">
        <f>SUM(Apr!H31, May!H31, Jun!H31)</f>
        <v>-48367.58</v>
      </c>
      <c r="I31" s="16">
        <f t="shared" si="11"/>
        <v>-0.36076476110389843</v>
      </c>
    </row>
    <row r="32" spans="1:9" ht="15.6">
      <c r="A32" s="48" t="str">
        <v>Greenfield USD - McKee MS</v>
      </c>
      <c r="B32" s="9" t="str">
        <v>CA</v>
      </c>
      <c r="C32" s="11">
        <f>SUM(Apr!C32, May!C32, Jun!C32)</f>
        <v>61454</v>
      </c>
      <c r="D32" s="18">
        <f>SUM(Apr!D32, May!D32, Jun!D32)</f>
        <v>118154</v>
      </c>
      <c r="E32" s="18">
        <f t="shared" si="9"/>
        <v>-56700</v>
      </c>
      <c r="F32" s="19">
        <f t="shared" si="10"/>
        <v>-0.47988218765340152</v>
      </c>
      <c r="G32" s="15">
        <f>SUM(Apr!G32, May!G32, Jun!G32)</f>
        <v>81863.53</v>
      </c>
      <c r="H32" s="20">
        <f>SUM(Apr!H32, May!H32, Jun!H32)</f>
        <v>-20409.53</v>
      </c>
      <c r="I32" s="19">
        <f t="shared" si="11"/>
        <v>-0.24931162875580859</v>
      </c>
    </row>
    <row r="33" spans="1:9" ht="15.6">
      <c r="A33" s="49" t="str">
        <v>Greenfield USD - Plantation ES</v>
      </c>
      <c r="B33" s="10" t="str">
        <v>CA</v>
      </c>
      <c r="C33" s="24">
        <f>SUM(Apr!C33, May!C33, Jun!C33)</f>
        <v>59383</v>
      </c>
      <c r="D33" s="13">
        <f>SUM(Apr!D33, May!D33, Jun!D33)</f>
        <v>86157</v>
      </c>
      <c r="E33" s="13">
        <f t="shared" si="9"/>
        <v>-26774</v>
      </c>
      <c r="F33" s="14">
        <f t="shared" si="10"/>
        <v>-0.31075826688487296</v>
      </c>
      <c r="G33" s="20">
        <f>SUM(Apr!G33, May!G33, Jun!G33)</f>
        <v>58565.2</v>
      </c>
      <c r="H33" s="15">
        <f>SUM(Apr!H33, May!H33, Jun!H33)</f>
        <v>817.79999999999927</v>
      </c>
      <c r="I33" s="16">
        <f t="shared" si="11"/>
        <v>1.3963923968500052E-2</v>
      </c>
    </row>
    <row r="34" spans="1:9" ht="15.6">
      <c r="A34" s="48" t="str">
        <v>Greenfield USD - Planz ES</v>
      </c>
      <c r="B34" s="9" t="str">
        <v>CA</v>
      </c>
      <c r="C34" s="11">
        <f>SUM(Apr!C34, May!C34, Jun!C34)</f>
        <v>23347</v>
      </c>
      <c r="D34" s="18">
        <f>SUM(Apr!D34, May!D34, Jun!D34)</f>
        <v>93246</v>
      </c>
      <c r="E34" s="18">
        <f t="shared" si="9"/>
        <v>-69899</v>
      </c>
      <c r="F34" s="19">
        <f t="shared" si="10"/>
        <v>-0.74961928661819277</v>
      </c>
      <c r="G34" s="15">
        <f>SUM(Apr!G34, May!G34, Jun!G34)</f>
        <v>66322.06</v>
      </c>
      <c r="H34" s="20">
        <f>SUM(Apr!H34, May!H34, Jun!H34)</f>
        <v>-42975.06</v>
      </c>
      <c r="I34" s="19">
        <f t="shared" si="11"/>
        <v>-0.64797534937847223</v>
      </c>
    </row>
    <row r="35" spans="1:9" ht="15.6">
      <c r="A35" s="49" t="str">
        <v>Greenfield USD - Raffaello Palla ES</v>
      </c>
      <c r="B35" s="10" t="str">
        <v>CA</v>
      </c>
      <c r="C35" s="24">
        <f>SUM(Apr!C35, May!C35, Jun!C35)</f>
        <v>130833</v>
      </c>
      <c r="D35" s="13">
        <f>SUM(Apr!D35, May!D35, Jun!D35)</f>
        <v>211153</v>
      </c>
      <c r="E35" s="13">
        <f t="shared" si="9"/>
        <v>-80320</v>
      </c>
      <c r="F35" s="14">
        <f t="shared" si="10"/>
        <v>-0.38038768097067055</v>
      </c>
      <c r="G35" s="20">
        <f>SUM(Apr!G35, May!G35, Jun!G35)</f>
        <v>144214.59</v>
      </c>
      <c r="H35" s="15">
        <f>SUM(Apr!H35, May!H35, Jun!H35)</f>
        <v>-13381.589999999997</v>
      </c>
      <c r="I35" s="16">
        <f t="shared" si="11"/>
        <v>-9.2789432747407849E-2</v>
      </c>
    </row>
    <row r="36" spans="1:9" ht="15.6">
      <c r="A36" s="48" t="str">
        <v>Greenfield USD - Valle Verde ES</v>
      </c>
      <c r="B36" s="9" t="str">
        <v>CA</v>
      </c>
      <c r="C36" s="11">
        <f>SUM(Apr!C36, May!C36, Jun!C36)</f>
        <v>141309</v>
      </c>
      <c r="D36" s="18">
        <f>SUM(Apr!D36, May!D36, Jun!D36)</f>
        <v>197389</v>
      </c>
      <c r="E36" s="18">
        <f t="shared" si="9"/>
        <v>-56080</v>
      </c>
      <c r="F36" s="19">
        <f t="shared" si="10"/>
        <v>-0.28410904356372441</v>
      </c>
      <c r="G36" s="15">
        <f>SUM(Apr!G36, May!G36, Jun!G36)</f>
        <v>134587.94</v>
      </c>
      <c r="H36" s="20">
        <f>SUM(Apr!H36, May!H36, Jun!H36)</f>
        <v>6721.0599999999977</v>
      </c>
      <c r="I36" s="19">
        <f t="shared" si="11"/>
        <v>4.9938055371083007E-2</v>
      </c>
    </row>
    <row r="37" spans="1:9" ht="15.6">
      <c r="A37" s="49" t="str">
        <v>Greenfield USD - W.A. Kendrick ES</v>
      </c>
      <c r="B37" s="10" t="str">
        <v>CA</v>
      </c>
      <c r="C37" s="24">
        <f>SUM(Apr!C37, May!C37, Jun!C37)</f>
        <v>0</v>
      </c>
      <c r="D37" s="13">
        <f>SUM(Apr!D37, May!D37, Jun!D37)</f>
        <v>0</v>
      </c>
      <c r="E37" s="13">
        <f t="shared" si="9"/>
        <v>0</v>
      </c>
      <c r="F37" s="14" t="str">
        <f t="shared" si="10"/>
        <v/>
      </c>
      <c r="G37" s="20">
        <f>SUM(Apr!G37, May!G37, Jun!G37)</f>
        <v>51891.340000000004</v>
      </c>
      <c r="H37" s="15">
        <f>SUM(Apr!H37, May!H37, Jun!H37)</f>
        <v>-51891.340000000004</v>
      </c>
      <c r="I37" s="16">
        <f t="shared" si="11"/>
        <v>-1</v>
      </c>
    </row>
    <row r="38" spans="1:9" ht="15.6">
      <c r="A38" s="48" t="str">
        <v>Muroc Joint USD - Boron HS</v>
      </c>
      <c r="B38" s="9" t="str">
        <v>CA</v>
      </c>
      <c r="C38" s="11">
        <f>SUM(Apr!C38, May!C38, Jun!C38)</f>
        <v>0</v>
      </c>
      <c r="D38" s="18">
        <f>SUM(Apr!D38, May!D38, Jun!D38)</f>
        <v>0</v>
      </c>
      <c r="E38" s="18">
        <f t="shared" si="9"/>
        <v>0</v>
      </c>
      <c r="F38" s="19" t="str">
        <f t="shared" si="10"/>
        <v/>
      </c>
      <c r="G38" s="15">
        <f>SUM(Apr!G38, May!G38, Jun!G38)</f>
        <v>118237.22000000002</v>
      </c>
      <c r="H38" s="20">
        <f>SUM(Apr!H38, May!H38, Jun!H38)</f>
        <v>-118237.22000000002</v>
      </c>
      <c r="I38" s="19">
        <f t="shared" si="11"/>
        <v>-1</v>
      </c>
    </row>
    <row r="39" spans="1:9" ht="15.6">
      <c r="A39" s="49" t="str">
        <v>Muroc Joint USD - W. Boron ES</v>
      </c>
      <c r="B39" s="10" t="str">
        <v>CA</v>
      </c>
      <c r="C39" s="24">
        <f>SUM(Apr!C39, May!C39, Jun!C39)</f>
        <v>42903</v>
      </c>
      <c r="D39" s="13">
        <f>SUM(Apr!D39, May!D39, Jun!D39)</f>
        <v>66007</v>
      </c>
      <c r="E39" s="13">
        <f t="shared" si="9"/>
        <v>-23104</v>
      </c>
      <c r="F39" s="14">
        <f t="shared" si="10"/>
        <v>-0.35002348235793174</v>
      </c>
      <c r="G39" s="20">
        <f>SUM(Apr!G39, May!G39, Jun!G39)</f>
        <v>43600.9</v>
      </c>
      <c r="H39" s="15">
        <f>SUM(Apr!H39, May!H39, Jun!H39)</f>
        <v>-697.89999999999964</v>
      </c>
      <c r="I39" s="16">
        <f t="shared" si="11"/>
        <v>-1.6006550323502487E-2</v>
      </c>
    </row>
    <row r="40" spans="1:9" ht="15.6">
      <c r="A40" s="48" t="str">
        <v>Colusa - WTP</v>
      </c>
      <c r="B40" s="9" t="str">
        <v>CA</v>
      </c>
      <c r="C40" s="11">
        <f>SUM(Apr!C40, May!C40, Jun!C40)</f>
        <v>0</v>
      </c>
      <c r="D40" s="18">
        <f>SUM(Apr!D40, May!D40, Jun!D40)</f>
        <v>0</v>
      </c>
      <c r="E40" s="18">
        <f t="shared" si="9"/>
        <v>0</v>
      </c>
      <c r="F40" s="19" t="str">
        <f t="shared" si="10"/>
        <v/>
      </c>
      <c r="G40" s="15">
        <f>SUM(Apr!G40, May!G40, Jun!G40)</f>
        <v>184466.16399999999</v>
      </c>
      <c r="H40" s="20">
        <f>SUM(Apr!H40, May!H40, Jun!H40)</f>
        <v>-184466.16399999999</v>
      </c>
      <c r="I40" s="19">
        <f t="shared" si="11"/>
        <v>-1</v>
      </c>
    </row>
    <row r="41" spans="1:9" ht="15.6">
      <c r="A41" s="49" t="str">
        <v>CDCR-North Kern State Prision</v>
      </c>
      <c r="B41" s="10" t="str">
        <v>CA</v>
      </c>
      <c r="C41" s="24">
        <f>SUM(Apr!C41, May!C41, Jun!C41)</f>
        <v>0</v>
      </c>
      <c r="D41" s="13">
        <f>SUM(Apr!D41, May!D41, Jun!D41)</f>
        <v>0</v>
      </c>
      <c r="E41" s="13">
        <f t="shared" si="9"/>
        <v>0</v>
      </c>
      <c r="F41" s="14" t="str">
        <f t="shared" si="10"/>
        <v/>
      </c>
      <c r="G41" s="20">
        <f>SUM(Apr!G41, May!G41, Jun!G41)</f>
        <v>0</v>
      </c>
      <c r="H41" s="15">
        <f>SUM(Apr!H41, May!H41, Jun!H41)</f>
        <v>0</v>
      </c>
      <c r="I41" s="16" t="str">
        <f t="shared" si="11"/>
        <v/>
      </c>
    </row>
    <row r="42" spans="1:9" ht="15.6">
      <c r="A42" s="48" t="str">
        <v>Muroc Joint USD - District Office</v>
      </c>
      <c r="B42" s="9" t="str">
        <v>CA</v>
      </c>
      <c r="C42" s="11">
        <f>SUM(Apr!C42, May!C42, Jun!C42)</f>
        <v>21307</v>
      </c>
      <c r="D42" s="18">
        <f>SUM(Apr!D42, May!D42, Jun!D42)</f>
        <v>46469</v>
      </c>
      <c r="E42" s="18">
        <f t="shared" si="9"/>
        <v>-25162</v>
      </c>
      <c r="F42" s="19">
        <f t="shared" si="10"/>
        <v>-0.54147926574705718</v>
      </c>
      <c r="G42" s="15">
        <f>SUM(Apr!G42, May!G42, Jun!G42)</f>
        <v>30757.030000000002</v>
      </c>
      <c r="H42" s="20">
        <f>SUM(Apr!H42, May!H42, Jun!H42)</f>
        <v>-9450.0300000000007</v>
      </c>
      <c r="I42" s="19">
        <f t="shared" si="11"/>
        <v>-0.30724780643644722</v>
      </c>
    </row>
    <row r="43" spans="1:9" ht="15.6">
      <c r="A43" s="49" t="str">
        <v>Whole Foods - Manhattan Beach</v>
      </c>
      <c r="B43" s="10" t="str">
        <v>CA</v>
      </c>
      <c r="C43" s="24">
        <f>SUM(Apr!C43, May!C43, Jun!C43)</f>
        <v>0</v>
      </c>
      <c r="D43" s="13">
        <f>SUM(Apr!D43, May!D43, Jun!D43)</f>
        <v>0</v>
      </c>
      <c r="E43" s="13">
        <f t="shared" si="9"/>
        <v>0</v>
      </c>
      <c r="F43" s="14" t="str">
        <f t="shared" si="10"/>
        <v/>
      </c>
      <c r="G43" s="20">
        <f>SUM(Apr!G43, May!G43, Jun!G43)</f>
        <v>0</v>
      </c>
      <c r="H43" s="15">
        <f>SUM(Apr!H43, May!H43, Jun!H43)</f>
        <v>0</v>
      </c>
      <c r="I43" s="16" t="str">
        <f t="shared" si="11"/>
        <v/>
      </c>
    </row>
    <row r="44" spans="1:9" ht="15.6">
      <c r="A44" s="48" t="str">
        <v>Pioneer USD - Frontier ES</v>
      </c>
      <c r="B44" s="9" t="str">
        <v>CA</v>
      </c>
      <c r="C44" s="11">
        <f>SUM(Apr!C44, May!C44, Jun!C44)</f>
        <v>102094</v>
      </c>
      <c r="D44" s="18">
        <f>SUM(Apr!D44, May!D44, Jun!D44)</f>
        <v>0</v>
      </c>
      <c r="E44" s="18">
        <f t="shared" si="9"/>
        <v>102094</v>
      </c>
      <c r="F44" s="19" t="str">
        <f t="shared" si="10"/>
        <v/>
      </c>
      <c r="G44" s="15">
        <f>SUM(Apr!G44, May!G44, Jun!G44)</f>
        <v>114260.03</v>
      </c>
      <c r="H44" s="20">
        <f>SUM(Apr!H44, May!H44, Jun!H44)</f>
        <v>-12166.029999999999</v>
      </c>
      <c r="I44" s="19">
        <f t="shared" si="11"/>
        <v>-0.10647669180552463</v>
      </c>
    </row>
    <row r="45" spans="1:9" ht="15.6">
      <c r="A45" s="49" t="str">
        <v>Pioneer USD - Pioneer ES</v>
      </c>
      <c r="B45" s="10" t="str">
        <v>CA</v>
      </c>
      <c r="C45" s="24">
        <f>SUM(Apr!C45, May!C45, Jun!C45)</f>
        <v>106552</v>
      </c>
      <c r="D45" s="13">
        <f>SUM(Apr!D45, May!D45, Jun!D45)</f>
        <v>0</v>
      </c>
      <c r="E45" s="13">
        <f t="shared" si="9"/>
        <v>106552</v>
      </c>
      <c r="F45" s="14" t="str">
        <f t="shared" si="10"/>
        <v/>
      </c>
      <c r="G45" s="20">
        <f>SUM(Apr!G45, May!G45, Jun!G45)</f>
        <v>116205.03999999998</v>
      </c>
      <c r="H45" s="15">
        <f>SUM(Apr!H45, May!H45, Jun!H45)</f>
        <v>-9653.0399999999936</v>
      </c>
      <c r="I45" s="16">
        <f t="shared" si="11"/>
        <v>-8.3069030396616145E-2</v>
      </c>
    </row>
    <row r="46" spans="1:9" ht="15.6">
      <c r="A46" s="48" t="str">
        <v>Pioneer USD - Pioneer MS</v>
      </c>
      <c r="B46" s="9" t="str">
        <v>CA</v>
      </c>
      <c r="C46" s="11">
        <f>SUM(Apr!C46, May!C46, Jun!C46)</f>
        <v>145607</v>
      </c>
      <c r="D46" s="18">
        <f>SUM(Apr!D46, May!D46, Jun!D46)</f>
        <v>0</v>
      </c>
      <c r="E46" s="18">
        <f t="shared" si="9"/>
        <v>145607</v>
      </c>
      <c r="F46" s="19" t="str">
        <f t="shared" si="10"/>
        <v/>
      </c>
      <c r="G46" s="15">
        <f>SUM(Apr!G46, May!G46, Jun!G46)</f>
        <v>155592.59999999998</v>
      </c>
      <c r="H46" s="20">
        <f>SUM(Apr!H46, May!H46, Jun!H46)</f>
        <v>-9985.5999999999985</v>
      </c>
      <c r="I46" s="19">
        <f t="shared" si="11"/>
        <v>-6.4177859358349951E-2</v>
      </c>
    </row>
    <row r="47" spans="1:9" ht="15.6">
      <c r="A47" s="49" t="str">
        <v>Kingsburg Joint UHSD - Kingsburg HS</v>
      </c>
      <c r="B47" s="10" t="str">
        <v>CA</v>
      </c>
      <c r="C47" s="24">
        <f>SUM(Apr!C47, May!C47, Jun!C47)</f>
        <v>218524</v>
      </c>
      <c r="D47" s="13">
        <f>SUM(Apr!D47, May!D47, Jun!D47)</f>
        <v>383077</v>
      </c>
      <c r="E47" s="13">
        <f t="shared" si="9"/>
        <v>-164553</v>
      </c>
      <c r="F47" s="14">
        <f t="shared" si="10"/>
        <v>-0.42955593784017315</v>
      </c>
      <c r="G47" s="20">
        <f>SUM(Apr!G47, May!G47, Jun!G47)</f>
        <v>267834.62</v>
      </c>
      <c r="H47" s="15">
        <f>SUM(Apr!H47, May!H47, Jun!H47)</f>
        <v>-49310.619999999995</v>
      </c>
      <c r="I47" s="16">
        <f t="shared" si="11"/>
        <v>-0.18410846215474308</v>
      </c>
    </row>
    <row r="48" spans="1:9" ht="15.6">
      <c r="A48" s="48" t="str">
        <v>CADRB</v>
      </c>
      <c r="B48" s="9" t="str">
        <v>CA</v>
      </c>
      <c r="C48" s="11">
        <f>SUM(Apr!C48, May!C48, Jun!C48)</f>
        <v>2162824</v>
      </c>
      <c r="D48" s="18">
        <f>SUM(Apr!D48, May!D48, Jun!D48)</f>
        <v>3094826</v>
      </c>
      <c r="E48" s="18">
        <f t="shared" si="9"/>
        <v>-932002</v>
      </c>
      <c r="F48" s="19">
        <f t="shared" si="10"/>
        <v>-0.30114843290058957</v>
      </c>
      <c r="G48" s="15">
        <f>SUM(Apr!G48, May!G48, Jun!G48)</f>
        <v>2657462</v>
      </c>
      <c r="H48" s="20">
        <f>SUM(Apr!H48, May!H48, Jun!H48)</f>
        <v>-494638</v>
      </c>
      <c r="I48" s="19">
        <f t="shared" si="11"/>
        <v>-0.18613173019971688</v>
      </c>
    </row>
    <row r="49" spans="1:9" ht="15.6">
      <c r="A49" s="49" t="str">
        <v>CDCR-CA State Prison LA County</v>
      </c>
      <c r="B49" s="10" t="str">
        <v>CA</v>
      </c>
      <c r="C49" s="24">
        <f>SUM(Apr!C49, May!C49, Jun!C49)</f>
        <v>0</v>
      </c>
      <c r="D49" s="13">
        <f>SUM(Apr!D49, May!D49, Jun!D49)</f>
        <v>0</v>
      </c>
      <c r="E49" s="13">
        <f t="shared" si="9"/>
        <v>0</v>
      </c>
      <c r="F49" s="14" t="str">
        <f t="shared" si="10"/>
        <v/>
      </c>
      <c r="G49" s="20">
        <f>SUM(Apr!G49, May!G49, Jun!G49)</f>
        <v>0</v>
      </c>
      <c r="H49" s="15">
        <f>SUM(Apr!H49, May!H49, Jun!H49)</f>
        <v>0</v>
      </c>
      <c r="I49" s="16" t="str">
        <f t="shared" si="11"/>
        <v/>
      </c>
    </row>
    <row r="50" spans="1:9" ht="15.6">
      <c r="A50" s="48" t="str">
        <v>Central USD Akers ES</v>
      </c>
      <c r="B50" s="9" t="str">
        <v>CA</v>
      </c>
      <c r="C50" s="11">
        <f>SUM(Apr!C50, May!C50, Jun!C50)</f>
        <v>0</v>
      </c>
      <c r="D50" s="18">
        <f>SUM(Apr!D50, May!D50, Jun!D50)</f>
        <v>0</v>
      </c>
      <c r="E50" s="18">
        <f t="shared" si="9"/>
        <v>0</v>
      </c>
      <c r="F50" s="19" t="str">
        <f t="shared" si="10"/>
        <v/>
      </c>
      <c r="G50" s="15">
        <f>SUM(Apr!G50, May!G50, Jun!G50)</f>
        <v>0</v>
      </c>
      <c r="H50" s="20">
        <f>SUM(Apr!H50, May!H50, Jun!H50)</f>
        <v>0</v>
      </c>
      <c r="I50" s="19" t="str">
        <f t="shared" si="11"/>
        <v/>
      </c>
    </row>
    <row r="51" spans="1:9" ht="15.6">
      <c r="A51" s="49" t="str">
        <v>CUSD - District Office</v>
      </c>
      <c r="B51" s="10" t="str">
        <v>CA</v>
      </c>
      <c r="C51" s="24">
        <f>SUM(Apr!C51, May!C51, Jun!C51)</f>
        <v>102712</v>
      </c>
      <c r="D51" s="13">
        <f>SUM(Apr!D51, May!D51, Jun!D51)</f>
        <v>157195</v>
      </c>
      <c r="E51" s="13">
        <f t="shared" si="9"/>
        <v>-54483</v>
      </c>
      <c r="F51" s="14">
        <f t="shared" si="10"/>
        <v>-0.34659499347943634</v>
      </c>
      <c r="G51" s="20">
        <f>SUM(Apr!G51, May!G51, Jun!G51)</f>
        <v>107028.79000000001</v>
      </c>
      <c r="H51" s="15">
        <f>SUM(Apr!H51, May!H51, Jun!H51)</f>
        <v>-4316.7900000000009</v>
      </c>
      <c r="I51" s="16">
        <f t="shared" si="11"/>
        <v>-4.0332979565591655E-2</v>
      </c>
    </row>
    <row r="52" spans="1:9" ht="15.6">
      <c r="A52" s="48" t="str">
        <v>Parlier - WTP</v>
      </c>
      <c r="B52" s="9" t="str">
        <v>CA</v>
      </c>
      <c r="C52" s="11">
        <f>SUM(Apr!C52, May!C52, Jun!C52)</f>
        <v>0</v>
      </c>
      <c r="D52" s="18">
        <f>SUM(Apr!D52, May!D52, Jun!D52)</f>
        <v>0</v>
      </c>
      <c r="E52" s="18">
        <f t="shared" si="9"/>
        <v>0</v>
      </c>
      <c r="F52" s="19" t="str">
        <f t="shared" si="10"/>
        <v/>
      </c>
      <c r="G52" s="15">
        <f>SUM(Apr!G52, May!G52, Jun!G52)</f>
        <v>0</v>
      </c>
      <c r="H52" s="20">
        <f>SUM(Apr!H52, May!H52, Jun!H52)</f>
        <v>0</v>
      </c>
      <c r="I52" s="19" t="str">
        <f t="shared" si="11"/>
        <v/>
      </c>
    </row>
    <row r="53" spans="1:9" ht="15.6">
      <c r="A53" s="49" t="str">
        <v>Snowline SD - Quail Valley MS</v>
      </c>
      <c r="B53" s="10" t="str">
        <v>CA</v>
      </c>
      <c r="C53" s="24">
        <f>SUM(Apr!C53, May!C53, Jun!C53)</f>
        <v>128502</v>
      </c>
      <c r="D53" s="13">
        <f>SUM(Apr!D53, May!D53, Jun!D53)</f>
        <v>219668</v>
      </c>
      <c r="E53" s="13">
        <f t="shared" si="9"/>
        <v>-91166</v>
      </c>
      <c r="F53" s="14">
        <f t="shared" si="10"/>
        <v>-0.41501720778629569</v>
      </c>
      <c r="G53" s="20">
        <f>SUM(Apr!G53, May!G53, Jun!G53)</f>
        <v>143774.96</v>
      </c>
      <c r="H53" s="15">
        <f>SUM(Apr!H53, May!H53, Jun!H53)</f>
        <v>-15272.96</v>
      </c>
      <c r="I53" s="16">
        <f t="shared" si="11"/>
        <v>-0.10622823334466586</v>
      </c>
    </row>
    <row r="54" spans="1:9" ht="15.6">
      <c r="A54" s="48" t="str">
        <v>Snowline SD - Serrano HS - Middle Lot</v>
      </c>
      <c r="B54" s="9" t="str">
        <v>CA</v>
      </c>
      <c r="C54" s="11">
        <f>SUM(Apr!C54, May!C54, Jun!C54)</f>
        <v>0</v>
      </c>
      <c r="D54" s="18">
        <f>SUM(Apr!D54, May!D54, Jun!D54)</f>
        <v>0</v>
      </c>
      <c r="E54" s="18">
        <f t="shared" si="9"/>
        <v>0</v>
      </c>
      <c r="F54" s="19" t="str">
        <f t="shared" si="10"/>
        <v/>
      </c>
      <c r="G54" s="15">
        <f>SUM(Apr!G54, May!G54, Jun!G54)</f>
        <v>0</v>
      </c>
      <c r="H54" s="20">
        <f>SUM(Apr!H54, May!H54, Jun!H54)</f>
        <v>0</v>
      </c>
      <c r="I54" s="19" t="str">
        <f t="shared" si="11"/>
        <v/>
      </c>
    </row>
    <row r="55" spans="1:9" ht="15.6">
      <c r="A55" s="49" t="str">
        <v>Snowline SD - Pinon Hills ES</v>
      </c>
      <c r="B55" s="10" t="str">
        <v>CA</v>
      </c>
      <c r="C55" s="24">
        <f>SUM(Apr!C55, May!C55, Jun!C55)</f>
        <v>0</v>
      </c>
      <c r="D55" s="13">
        <f>SUM(Apr!D55, May!D55, Jun!D55)</f>
        <v>0</v>
      </c>
      <c r="E55" s="13">
        <f t="shared" si="9"/>
        <v>0</v>
      </c>
      <c r="F55" s="14" t="str">
        <f t="shared" si="10"/>
        <v/>
      </c>
      <c r="G55" s="20">
        <f>SUM(Apr!G55, May!G55, Jun!G55)</f>
        <v>78874.02</v>
      </c>
      <c r="H55" s="15">
        <f>SUM(Apr!H55, May!H55, Jun!H55)</f>
        <v>-78874.02</v>
      </c>
      <c r="I55" s="16">
        <f t="shared" si="11"/>
        <v>-1</v>
      </c>
    </row>
    <row r="56" spans="1:9" ht="15.6">
      <c r="A56" s="48" t="str">
        <v>Ramona - Santa Maria WTP</v>
      </c>
      <c r="B56" s="9" t="str">
        <v>CA</v>
      </c>
      <c r="C56" s="11">
        <f>SUM(Apr!C56, May!C56, Jun!C56)</f>
        <v>227374</v>
      </c>
      <c r="D56" s="18">
        <f>SUM(Apr!D56, May!D56, Jun!D56)</f>
        <v>345631</v>
      </c>
      <c r="E56" s="18">
        <f t="shared" si="9"/>
        <v>-118257</v>
      </c>
      <c r="F56" s="19">
        <f t="shared" si="10"/>
        <v>-0.34214812907407033</v>
      </c>
      <c r="G56" s="15">
        <f>SUM(Apr!G56, May!G56, Jun!G56)</f>
        <v>248099.08000000002</v>
      </c>
      <c r="H56" s="20">
        <f>SUM(Apr!H56, May!H56, Jun!H56)</f>
        <v>-20725.080000000002</v>
      </c>
      <c r="I56" s="19">
        <f t="shared" si="11"/>
        <v>-8.3535497189268101E-2</v>
      </c>
    </row>
    <row r="57" spans="1:9" ht="15.6">
      <c r="A57" s="49" t="str">
        <v>Kohls - Redding</v>
      </c>
      <c r="B57" s="10" t="str">
        <v>CA</v>
      </c>
      <c r="C57" s="24">
        <f>SUM(Apr!C57, May!C57, Jun!C57)</f>
        <v>134571</v>
      </c>
      <c r="D57" s="13">
        <f>SUM(Apr!D57, May!D57, Jun!D57)</f>
        <v>0</v>
      </c>
      <c r="E57" s="13">
        <f t="shared" si="9"/>
        <v>134571</v>
      </c>
      <c r="F57" s="14" t="str">
        <f t="shared" si="10"/>
        <v/>
      </c>
      <c r="G57" s="20">
        <f>SUM(Apr!G57, May!G57, Jun!G57)</f>
        <v>106435.67</v>
      </c>
      <c r="H57" s="15">
        <f>SUM(Apr!H57, May!H57, Jun!H57)</f>
        <v>28135.33</v>
      </c>
      <c r="I57" s="16">
        <f t="shared" si="11"/>
        <v>0.2643411743450293</v>
      </c>
    </row>
    <row r="58" spans="1:9" ht="15.6">
      <c r="A58" s="48" t="str">
        <v>Kohls - Salinas</v>
      </c>
      <c r="B58" s="9" t="str">
        <v>CA</v>
      </c>
      <c r="C58" s="11">
        <f>SUM(Apr!C58, May!C58, Jun!C58)</f>
        <v>121833</v>
      </c>
      <c r="D58" s="18">
        <f>SUM(Apr!D58, May!D58, Jun!D58)</f>
        <v>217207</v>
      </c>
      <c r="E58" s="18">
        <f t="shared" si="9"/>
        <v>-95374</v>
      </c>
      <c r="F58" s="19">
        <f t="shared" si="10"/>
        <v>-0.4390926627594875</v>
      </c>
      <c r="G58" s="15">
        <f>SUM(Apr!G58, May!G58, Jun!G58)</f>
        <v>155535.15</v>
      </c>
      <c r="H58" s="20">
        <f>SUM(Apr!H58, May!H58, Jun!H58)</f>
        <v>-33702.149999999994</v>
      </c>
      <c r="I58" s="19">
        <f t="shared" si="11"/>
        <v>-0.21668510301369173</v>
      </c>
    </row>
    <row r="59" spans="1:9" ht="15.6">
      <c r="A59" s="49" t="str">
        <v>Kohls - San Bernardino - Central</v>
      </c>
      <c r="B59" s="10" t="str">
        <v>CA</v>
      </c>
      <c r="C59" s="24">
        <f>SUM(Apr!C59, May!C59, Jun!C59)</f>
        <v>0</v>
      </c>
      <c r="D59" s="13">
        <f>SUM(Apr!D59, May!D59, Jun!D59)</f>
        <v>0</v>
      </c>
      <c r="E59" s="13">
        <f t="shared" si="9"/>
        <v>0</v>
      </c>
      <c r="F59" s="14" t="str">
        <f t="shared" si="10"/>
        <v/>
      </c>
      <c r="G59" s="20">
        <f>SUM(Apr!G59, May!G59, Jun!G59)</f>
        <v>0</v>
      </c>
      <c r="H59" s="15">
        <f>SUM(Apr!H59, May!H59, Jun!H59)</f>
        <v>0</v>
      </c>
      <c r="I59" s="16" t="str">
        <f t="shared" si="11"/>
        <v/>
      </c>
    </row>
    <row r="60" spans="1:9" ht="15.6">
      <c r="A60" s="48" t="str">
        <v>Kohls - Sonora</v>
      </c>
      <c r="B60" s="9" t="str">
        <v>CA</v>
      </c>
      <c r="C60" s="11">
        <f>SUM(Apr!C60, May!C60, Jun!C60)</f>
        <v>99517</v>
      </c>
      <c r="D60" s="18">
        <f>SUM(Apr!D60, May!D60, Jun!D60)</f>
        <v>150277</v>
      </c>
      <c r="E60" s="18">
        <f t="shared" si="9"/>
        <v>-50760</v>
      </c>
      <c r="F60" s="19">
        <f t="shared" si="10"/>
        <v>-0.3377762398770271</v>
      </c>
      <c r="G60" s="15">
        <f>SUM(Apr!G60, May!G60, Jun!G60)</f>
        <v>111064.67000000001</v>
      </c>
      <c r="H60" s="20">
        <f>SUM(Apr!H60, May!H60, Jun!H60)</f>
        <v>-11547.669999999998</v>
      </c>
      <c r="I60" s="19">
        <f t="shared" si="11"/>
        <v>-0.10397248738055043</v>
      </c>
    </row>
    <row r="61" spans="1:9" ht="15.6">
      <c r="A61" s="49" t="str">
        <v>CUSD - Stratford ES</v>
      </c>
      <c r="B61" s="10" t="str">
        <v>CA</v>
      </c>
      <c r="C61" s="24">
        <f>SUM(Apr!C61, May!C61, Jun!C61)</f>
        <v>62244</v>
      </c>
      <c r="D61" s="13">
        <f>SUM(Apr!D61, May!D61, Jun!D61)</f>
        <v>105980</v>
      </c>
      <c r="E61" s="13">
        <f t="shared" si="9"/>
        <v>-43736</v>
      </c>
      <c r="F61" s="14">
        <f t="shared" si="10"/>
        <v>-0.41268163804491415</v>
      </c>
      <c r="G61" s="20">
        <f>SUM(Apr!G61, May!G61, Jun!G61)</f>
        <v>76200.47</v>
      </c>
      <c r="H61" s="15">
        <f>SUM(Apr!H61, May!H61, Jun!H61)</f>
        <v>-13956.469999999998</v>
      </c>
      <c r="I61" s="16">
        <f t="shared" si="11"/>
        <v>-0.18315464458421316</v>
      </c>
    </row>
    <row r="62" spans="1:9" ht="15.6">
      <c r="A62" s="48" t="str">
        <v>Taft - City Hall</v>
      </c>
      <c r="B62" s="9" t="str">
        <v>CA</v>
      </c>
      <c r="C62" s="11">
        <f>SUM(Apr!C62, May!C62, Jun!C62)</f>
        <v>20526</v>
      </c>
      <c r="D62" s="18">
        <f>SUM(Apr!D62, May!D62, Jun!D62)</f>
        <v>136765</v>
      </c>
      <c r="E62" s="18">
        <f t="shared" si="9"/>
        <v>-116239</v>
      </c>
      <c r="F62" s="19">
        <f t="shared" si="10"/>
        <v>-0.84991774211238258</v>
      </c>
      <c r="G62" s="15">
        <f>SUM(Apr!G62, May!G62, Jun!G62)</f>
        <v>32315.82</v>
      </c>
      <c r="H62" s="20">
        <f>SUM(Apr!H62, May!H62, Jun!H62)</f>
        <v>-11789.82</v>
      </c>
      <c r="I62" s="19">
        <f t="shared" si="11"/>
        <v>-0.3648312188890766</v>
      </c>
    </row>
    <row r="63" spans="1:9" ht="15.6">
      <c r="A63" s="49" t="str">
        <v>Taft - Federal Prison</v>
      </c>
      <c r="B63" s="10" t="str">
        <v>CA</v>
      </c>
      <c r="C63" s="24">
        <f>SUM(Apr!C63, May!C63, Jun!C63)</f>
        <v>56302</v>
      </c>
      <c r="D63" s="13">
        <f>SUM(Apr!D63, May!D63, Jun!D63)</f>
        <v>76491</v>
      </c>
      <c r="E63" s="13">
        <f t="shared" si="9"/>
        <v>-20189</v>
      </c>
      <c r="F63" s="14">
        <f t="shared" si="10"/>
        <v>-0.26393954844360773</v>
      </c>
      <c r="G63" s="20">
        <f>SUM(Apr!G63, May!G63, Jun!G63)</f>
        <v>50091.45</v>
      </c>
      <c r="H63" s="15">
        <f>SUM(Apr!H63, May!H63, Jun!H63)</f>
        <v>6210.5500000000011</v>
      </c>
      <c r="I63" s="16">
        <f t="shared" si="11"/>
        <v>0.12398423283813907</v>
      </c>
    </row>
    <row r="64" spans="1:9" ht="15.6">
      <c r="A64" s="48" t="str">
        <v>Taft - Police Department</v>
      </c>
      <c r="B64" s="9" t="str">
        <v>CA</v>
      </c>
      <c r="C64" s="11">
        <f>SUM(Apr!C64, May!C64, Jun!C64)</f>
        <v>36421</v>
      </c>
      <c r="D64" s="18">
        <f>SUM(Apr!D64, May!D64, Jun!D64)</f>
        <v>49495</v>
      </c>
      <c r="E64" s="18">
        <f t="shared" si="9"/>
        <v>-13074</v>
      </c>
      <c r="F64" s="19">
        <f t="shared" si="10"/>
        <v>-0.26414789372663905</v>
      </c>
      <c r="G64" s="15">
        <f>SUM(Apr!G64, May!G64, Jun!G64)</f>
        <v>36964.009999999995</v>
      </c>
      <c r="H64" s="20">
        <f>SUM(Apr!H64, May!H64, Jun!H64)</f>
        <v>-543.01000000000022</v>
      </c>
      <c r="I64" s="19">
        <f t="shared" si="11"/>
        <v>-1.4690235177406355E-2</v>
      </c>
    </row>
    <row r="65" spans="1:9" ht="15.6">
      <c r="A65" s="49" t="str">
        <v>Taft - WTP</v>
      </c>
      <c r="B65" s="10" t="str">
        <v>CA</v>
      </c>
      <c r="C65" s="24">
        <f>SUM(Apr!C65, May!C65, Jun!C65)</f>
        <v>0</v>
      </c>
      <c r="D65" s="13">
        <f>SUM(Apr!D65, May!D65, Jun!D65)</f>
        <v>0</v>
      </c>
      <c r="E65" s="13">
        <f t="shared" si="9"/>
        <v>0</v>
      </c>
      <c r="F65" s="14" t="str">
        <f t="shared" si="10"/>
        <v/>
      </c>
      <c r="G65" s="20">
        <f>SUM(Apr!G65, May!G65, Jun!G65)</f>
        <v>0</v>
      </c>
      <c r="H65" s="15">
        <f>SUM(Apr!H65, May!H65, Jun!H65)</f>
        <v>0</v>
      </c>
      <c r="I65" s="16" t="str">
        <f t="shared" si="11"/>
        <v/>
      </c>
    </row>
    <row r="66" spans="1:9" ht="15.6">
      <c r="A66" s="48" t="str">
        <v>CDCR - CA Correctional Institution</v>
      </c>
      <c r="B66" s="9" t="str">
        <v>CA</v>
      </c>
      <c r="C66" s="11">
        <f>SUM(Apr!C66, May!C66, Jun!C66)</f>
        <v>0</v>
      </c>
      <c r="D66" s="18">
        <f>SUM(Apr!D66, May!D66, Jun!D66)</f>
        <v>0</v>
      </c>
      <c r="E66" s="18">
        <f t="shared" si="9"/>
        <v>0</v>
      </c>
      <c r="F66" s="19" t="str">
        <f t="shared" si="10"/>
        <v/>
      </c>
      <c r="G66" s="15">
        <f>SUM(Apr!G66, May!G66, Jun!G66)</f>
        <v>0</v>
      </c>
      <c r="H66" s="20">
        <f>SUM(Apr!H66, May!H66, Jun!H66)</f>
        <v>0</v>
      </c>
      <c r="I66" s="19" t="str">
        <f t="shared" si="11"/>
        <v/>
      </c>
    </row>
    <row r="67" spans="1:9" ht="15.6">
      <c r="A67" s="49" t="str">
        <v>CDCR - CA Correctional Institution II</v>
      </c>
      <c r="B67" s="10" t="str">
        <v>CA</v>
      </c>
      <c r="C67" s="24">
        <f>SUM(Apr!C67, May!C67, Jun!C67)</f>
        <v>140052</v>
      </c>
      <c r="D67" s="13">
        <f>SUM(Apr!D67, May!D67, Jun!D67)</f>
        <v>369373</v>
      </c>
      <c r="E67" s="13">
        <f t="shared" si="9"/>
        <v>-229321</v>
      </c>
      <c r="F67" s="14">
        <f t="shared" si="10"/>
        <v>-0.62083855614785055</v>
      </c>
      <c r="G67" s="20">
        <f>SUM(Apr!G67, May!G67, Jun!G67)</f>
        <v>1121933.145</v>
      </c>
      <c r="H67" s="15">
        <f>SUM(Apr!H67, May!H67, Jun!H67)</f>
        <v>-981881.14500000002</v>
      </c>
      <c r="I67" s="16">
        <f t="shared" si="11"/>
        <v>-0.87516903246494249</v>
      </c>
    </row>
    <row r="68" spans="1:9" ht="15.6">
      <c r="A68" s="48" t="str">
        <v>Snowline SD - Vista Verde ES</v>
      </c>
      <c r="B68" s="9" t="str">
        <v>CA</v>
      </c>
      <c r="C68" s="11">
        <f>SUM(Apr!C68, May!C68, Jun!C68)</f>
        <v>0</v>
      </c>
      <c r="D68" s="18">
        <f>SUM(Apr!D68, May!D68, Jun!D68)</f>
        <v>0</v>
      </c>
      <c r="E68" s="18">
        <f t="shared" si="9"/>
        <v>0</v>
      </c>
      <c r="F68" s="19" t="str">
        <f t="shared" si="10"/>
        <v/>
      </c>
      <c r="G68" s="15">
        <f>SUM(Apr!G68, May!G68, Jun!G68)</f>
        <v>106110.55</v>
      </c>
      <c r="H68" s="20">
        <f>SUM(Apr!H68, May!H68, Jun!H68)</f>
        <v>-106110.55</v>
      </c>
      <c r="I68" s="19">
        <f t="shared" si="11"/>
        <v>-1</v>
      </c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60" priority="1" stopIfTrue="1" operator="lessThanOrEqual">
      <formula>-0.1</formula>
    </cfRule>
    <cfRule type="expression" dxfId="5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E71" activePane="bottomRight" state="frozen"/>
      <selection pane="bottomRight" activeCell="E71" sqref="E71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14</v>
      </c>
      <c r="E1" s="100"/>
      <c r="F1" s="100"/>
      <c r="G1" s="98" t="s">
        <v>15</v>
      </c>
      <c r="H1" s="98"/>
      <c r="I1" s="98"/>
    </row>
    <row r="2" spans="1:9" ht="19.5" customHeight="1">
      <c r="A2" s="101" t="s">
        <v>2</v>
      </c>
      <c r="B2" s="101"/>
      <c r="C2" s="5">
        <f>SUM(C4:C100)</f>
        <v>8843076</v>
      </c>
      <c r="D2" s="5">
        <f>SUM(D4:D100)</f>
        <v>10243912.116999999</v>
      </c>
      <c r="E2" s="5">
        <f>C2-D2</f>
        <v>-1400836.1169999987</v>
      </c>
      <c r="F2" s="6">
        <f>IFERROR(E2/D2, 0)</f>
        <v>-0.1367481584184308</v>
      </c>
      <c r="G2" s="5">
        <f>SUM(G4:G100)</f>
        <v>13903856.766000001</v>
      </c>
      <c r="H2" s="7">
        <f>C2-G2</f>
        <v>-5060780.7660000008</v>
      </c>
      <c r="I2" s="6">
        <f>IFERROR(H2/G2, 0)</f>
        <v>-0.36398395432089425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SUM(Jul!C4, Aug!C4, Sep!C4)</f>
        <v>95473</v>
      </c>
      <c r="D4" s="13">
        <f>SUM(Jul!D4, Aug!D4, Sep!D4)</f>
        <v>126479</v>
      </c>
      <c r="E4" s="13">
        <f>IF(AND(ISNUMBER(C4),ISNUMBER(D4)), C4-D4, "")</f>
        <v>-31006</v>
      </c>
      <c r="F4" s="14">
        <f>IFERROR(E4/D4, "")</f>
        <v>-0.24514741577653207</v>
      </c>
      <c r="G4" s="15">
        <f>SUM(Jul!G4, Aug!G4, Sep!G4)</f>
        <v>94963.069999999992</v>
      </c>
      <c r="H4" s="15">
        <f>SUM(Jul!H4, Aug!H4, Sep!H4)</f>
        <v>509.92999999999665</v>
      </c>
      <c r="I4" s="16">
        <f>IFERROR(H4/G4, "")</f>
        <v>5.3697716385958955E-3</v>
      </c>
    </row>
    <row r="5" spans="1:9" ht="15.6">
      <c r="A5" s="49" t="str">
        <v>Kohls - Auburn</v>
      </c>
      <c r="B5" s="10" t="str">
        <v>NY</v>
      </c>
      <c r="C5" s="11">
        <f>SUM(Jul!C5, Aug!C5, Sep!C5)</f>
        <v>112559</v>
      </c>
      <c r="D5" s="18">
        <f>SUM(Jul!D5, Aug!D5, Sep!D5)</f>
        <v>155511</v>
      </c>
      <c r="E5" s="18">
        <f t="shared" ref="E5:E15" si="0">IF(AND(ISNUMBER(C5),ISNUMBER(D5)), C5-D5, "")</f>
        <v>-42952</v>
      </c>
      <c r="F5" s="19">
        <f>IFERROR(E5/D5, "")</f>
        <v>-0.27619911131688435</v>
      </c>
      <c r="G5" s="20">
        <f>SUM(Jul!G5, Aug!G5, Sep!G5)</f>
        <v>115914.64</v>
      </c>
      <c r="H5" s="20">
        <f>SUM(Jul!H5, Aug!H5, Sep!H5)</f>
        <v>-3355.6399999999994</v>
      </c>
      <c r="I5" s="19">
        <f>IFERROR(H5/G5, "")</f>
        <v>-2.8949233677471625E-2</v>
      </c>
    </row>
    <row r="6" spans="1:9" ht="15.6">
      <c r="A6" s="48" t="str">
        <v>Kohls - Bensalem</v>
      </c>
      <c r="B6" s="9" t="str">
        <v>PA</v>
      </c>
      <c r="C6" s="24">
        <f>SUM(Jul!C6, Aug!C6, Sep!C6)</f>
        <v>115670</v>
      </c>
      <c r="D6" s="13">
        <f>SUM(Jul!D6, Aug!D6, Sep!D6)</f>
        <v>148643</v>
      </c>
      <c r="E6" s="13">
        <f t="shared" si="0"/>
        <v>-32973</v>
      </c>
      <c r="F6" s="14">
        <f t="shared" ref="F6:F15" si="1">IFERROR(E6/D6, "")</f>
        <v>-0.2218267930544997</v>
      </c>
      <c r="G6" s="15">
        <f>SUM(Jul!G6, Aug!G6, Sep!G6)</f>
        <v>108171.67000000001</v>
      </c>
      <c r="H6" s="15">
        <f>SUM(Jul!H6, Aug!H6, Sep!H6)</f>
        <v>7498.3300000000017</v>
      </c>
      <c r="I6" s="16">
        <f t="shared" ref="I6:I15" si="2">IFERROR(H6/G6, "")</f>
        <v>6.9318796686785006E-2</v>
      </c>
    </row>
    <row r="7" spans="1:9" ht="15.6">
      <c r="A7" s="49" t="str">
        <v>Kohls - Brick</v>
      </c>
      <c r="B7" s="10" t="str">
        <v>NJ</v>
      </c>
      <c r="C7" s="11">
        <f>SUM(Jul!C7, Aug!C7, Sep!C7)</f>
        <v>136639</v>
      </c>
      <c r="D7" s="18">
        <f>SUM(Jul!D7, Aug!D7, Sep!D7)</f>
        <v>188950</v>
      </c>
      <c r="E7" s="18">
        <f t="shared" si="0"/>
        <v>-52311</v>
      </c>
      <c r="F7" s="19">
        <f t="shared" si="1"/>
        <v>-0.27685101878803914</v>
      </c>
      <c r="G7" s="20">
        <f>SUM(Jul!G7, Aug!G7, Sep!G7)</f>
        <v>128301.91999999998</v>
      </c>
      <c r="H7" s="20">
        <f>SUM(Jul!H7, Aug!H7, Sep!H7)</f>
        <v>8337.0800000000017</v>
      </c>
      <c r="I7" s="19">
        <f t="shared" si="2"/>
        <v>6.4980165534545414E-2</v>
      </c>
    </row>
    <row r="8" spans="1:9" ht="15.6">
      <c r="A8" s="48" t="str">
        <v>Kohls - Buffalo</v>
      </c>
      <c r="B8" s="9" t="str">
        <v>NY</v>
      </c>
      <c r="C8" s="24">
        <f>SUM(Jul!C8, Aug!C8, Sep!C8)</f>
        <v>146025</v>
      </c>
      <c r="D8" s="13">
        <f>SUM(Jul!D8, Aug!D8, Sep!D8)</f>
        <v>0</v>
      </c>
      <c r="E8" s="13">
        <f t="shared" si="0"/>
        <v>146025</v>
      </c>
      <c r="F8" s="14" t="str">
        <f t="shared" si="1"/>
        <v/>
      </c>
      <c r="G8" s="15">
        <f>SUM(Jul!G8, Aug!G8, Sep!G8)</f>
        <v>139852.62</v>
      </c>
      <c r="H8" s="15">
        <f>SUM(Jul!H8, Aug!H8, Sep!H8)</f>
        <v>6172.3800000000047</v>
      </c>
      <c r="I8" s="16">
        <f t="shared" si="2"/>
        <v>4.41348900006307E-2</v>
      </c>
    </row>
    <row r="9" spans="1:9" ht="15.6">
      <c r="A9" s="49" t="str">
        <v>Kohls - Canton</v>
      </c>
      <c r="B9" s="10" t="str">
        <v>CT</v>
      </c>
      <c r="C9" s="11">
        <f>SUM(Jul!C9, Aug!C9, Sep!C9)</f>
        <v>47544</v>
      </c>
      <c r="D9" s="18">
        <f>SUM(Jul!D9, Aug!D9, Sep!D9)</f>
        <v>59106</v>
      </c>
      <c r="E9" s="18">
        <f t="shared" si="0"/>
        <v>-11562</v>
      </c>
      <c r="F9" s="19">
        <f t="shared" si="1"/>
        <v>-0.19561465841031367</v>
      </c>
      <c r="G9" s="20">
        <f>SUM(Jul!G9, Aug!G9, Sep!G9)</f>
        <v>43839.76</v>
      </c>
      <c r="H9" s="20">
        <f>SUM(Jul!H9, Aug!H9, Sep!H9)</f>
        <v>3704.24</v>
      </c>
      <c r="I9" s="19">
        <f t="shared" si="2"/>
        <v>8.4494988111248781E-2</v>
      </c>
    </row>
    <row r="10" spans="1:9" ht="15.6">
      <c r="A10" s="48" t="str">
        <v>Kohls - East Amherst</v>
      </c>
      <c r="B10" s="9" t="str">
        <v>NY</v>
      </c>
      <c r="C10" s="24">
        <f>SUM(Jul!C10, Aug!C10, Sep!C10)</f>
        <v>122308</v>
      </c>
      <c r="D10" s="13">
        <f>SUM(Jul!D10, Aug!D10, Sep!D10)</f>
        <v>164891</v>
      </c>
      <c r="E10" s="13">
        <f t="shared" si="0"/>
        <v>-42583</v>
      </c>
      <c r="F10" s="14">
        <f t="shared" si="1"/>
        <v>-0.2582493889903027</v>
      </c>
      <c r="G10" s="15">
        <f>SUM(Jul!G10, Aug!G10, Sep!G10)</f>
        <v>124723.59</v>
      </c>
      <c r="H10" s="15">
        <f>SUM(Jul!H10, Aug!H10, Sep!H10)</f>
        <v>-2415.5899999999965</v>
      </c>
      <c r="I10" s="16">
        <f t="shared" si="2"/>
        <v>-1.9367547069483782E-2</v>
      </c>
    </row>
    <row r="11" spans="1:9" ht="15.6">
      <c r="A11" s="49" t="str">
        <v>Kohls - East Brunswick</v>
      </c>
      <c r="B11" s="10" t="str">
        <v>NJ</v>
      </c>
      <c r="C11" s="11">
        <f>SUM(Jul!C11, Aug!C11, Sep!C11)</f>
        <v>157470</v>
      </c>
      <c r="D11" s="18">
        <f>SUM(Jul!D11, Aug!D11, Sep!D11)</f>
        <v>227115</v>
      </c>
      <c r="E11" s="18">
        <f t="shared" si="0"/>
        <v>-69645</v>
      </c>
      <c r="F11" s="19">
        <f t="shared" si="1"/>
        <v>-0.30665081566607227</v>
      </c>
      <c r="G11" s="20">
        <f>SUM(Jul!G11, Aug!G11, Sep!G11)</f>
        <v>164070.19</v>
      </c>
      <c r="H11" s="20">
        <f>SUM(Jul!H11, Aug!H11, Sep!H11)</f>
        <v>-6600.1900000000023</v>
      </c>
      <c r="I11" s="19">
        <f t="shared" si="2"/>
        <v>-4.0227843948983065E-2</v>
      </c>
    </row>
    <row r="12" spans="1:9" ht="15.6">
      <c r="A12" s="48" t="str">
        <v>Kohls - Edgewood</v>
      </c>
      <c r="B12" s="9" t="str">
        <v>MD</v>
      </c>
      <c r="C12" s="24">
        <f>SUM(Jul!C12, Aug!C12, Sep!C12)</f>
        <v>786678</v>
      </c>
      <c r="D12" s="13">
        <f>SUM(Jul!D12, Aug!D12, Sep!D12)</f>
        <v>1193000</v>
      </c>
      <c r="E12" s="13">
        <f t="shared" si="0"/>
        <v>-406322</v>
      </c>
      <c r="F12" s="14">
        <f t="shared" si="1"/>
        <v>-0.34058843252305115</v>
      </c>
      <c r="G12" s="15">
        <f>SUM(Jul!G12, Aug!G12, Sep!G12)</f>
        <v>854669</v>
      </c>
      <c r="H12" s="15">
        <f>SUM(Jul!H12, Aug!H12, Sep!H12)</f>
        <v>-67991.000000000029</v>
      </c>
      <c r="I12" s="16">
        <f t="shared" si="2"/>
        <v>-7.9552434919249473E-2</v>
      </c>
    </row>
    <row r="13" spans="1:9" ht="15.6">
      <c r="A13" s="49" t="str">
        <v>Kohls - Granite Run</v>
      </c>
      <c r="B13" s="10" t="str">
        <v>PA</v>
      </c>
      <c r="C13" s="11">
        <f>SUM(Jul!C13, Aug!C13, Sep!C13)</f>
        <v>107330</v>
      </c>
      <c r="D13" s="18">
        <f>SUM(Jul!D13, Aug!D13, Sep!D13)</f>
        <v>145388</v>
      </c>
      <c r="E13" s="18">
        <f t="shared" si="0"/>
        <v>-38058</v>
      </c>
      <c r="F13" s="19">
        <f t="shared" si="1"/>
        <v>-0.26176850909291</v>
      </c>
      <c r="G13" s="20">
        <f>SUM(Jul!G13, Aug!G13, Sep!G13)</f>
        <v>107022.55000000002</v>
      </c>
      <c r="H13" s="20">
        <f>SUM(Jul!H13, Aug!H13, Sep!H13)</f>
        <v>307.44999999999709</v>
      </c>
      <c r="I13" s="19">
        <f t="shared" si="2"/>
        <v>2.8727590587217088E-3</v>
      </c>
    </row>
    <row r="14" spans="1:9" ht="15.6">
      <c r="A14" s="48" t="str">
        <v>Kohls - Greece</v>
      </c>
      <c r="B14" s="9" t="str">
        <v>NY</v>
      </c>
      <c r="C14" s="24">
        <f>SUM(Jul!C14, Aug!C14, Sep!C14)</f>
        <v>84933</v>
      </c>
      <c r="D14" s="13">
        <f>SUM(Jul!D14, Aug!D14, Sep!D14)</f>
        <v>164495</v>
      </c>
      <c r="E14" s="13">
        <f t="shared" si="0"/>
        <v>-79562</v>
      </c>
      <c r="F14" s="14">
        <f t="shared" si="1"/>
        <v>-0.48367427581385453</v>
      </c>
      <c r="G14" s="15">
        <f>SUM(Jul!G14, Aug!G14, Sep!G14)</f>
        <v>133325.76999999999</v>
      </c>
      <c r="H14" s="15">
        <f>SUM(Jul!H14, Aug!H14, Sep!H14)</f>
        <v>-48392.77</v>
      </c>
      <c r="I14" s="16">
        <f t="shared" si="2"/>
        <v>-0.36296636426701306</v>
      </c>
    </row>
    <row r="15" spans="1:9" ht="15.6">
      <c r="A15" s="49" t="str">
        <v>Kohls - Hanover</v>
      </c>
      <c r="B15" s="10" t="str">
        <v>PA</v>
      </c>
      <c r="C15" s="11">
        <f>SUM(Jul!C15, Aug!C15, Sep!C15)</f>
        <v>55950</v>
      </c>
      <c r="D15" s="18">
        <f>SUM(Jul!D15, Aug!D15, Sep!D15)</f>
        <v>111114</v>
      </c>
      <c r="E15" s="18">
        <f t="shared" si="0"/>
        <v>-55164</v>
      </c>
      <c r="F15" s="19">
        <f t="shared" si="1"/>
        <v>-0.49646309195960903</v>
      </c>
      <c r="G15" s="20">
        <f>SUM(Jul!G15, Aug!G15, Sep!G15)</f>
        <v>116210.05</v>
      </c>
      <c r="H15" s="20">
        <f>SUM(Jul!H15, Aug!H15, Sep!H15)</f>
        <v>-60260.05</v>
      </c>
      <c r="I15" s="19">
        <f t="shared" si="2"/>
        <v>-0.51854422229402708</v>
      </c>
    </row>
    <row r="16" spans="1:9" ht="15.6">
      <c r="A16" s="48" t="str">
        <v>Kohls - Horsehead</v>
      </c>
      <c r="B16" s="9" t="str">
        <v>NY</v>
      </c>
      <c r="C16" s="24">
        <f>SUM(Jul!C16, Aug!C16, Sep!C16)</f>
        <v>93281</v>
      </c>
      <c r="D16" s="13">
        <f>SUM(Jul!D16, Aug!D16, Sep!D16)</f>
        <v>129407</v>
      </c>
      <c r="E16" s="13">
        <f t="shared" ref="E16:E19" si="3">IF(AND(ISNUMBER(C16),ISNUMBER(D16)), C16-D16, "")</f>
        <v>-36126</v>
      </c>
      <c r="F16" s="14">
        <f t="shared" ref="F16:F19" si="4">IFERROR(E16/D16, "")</f>
        <v>-0.27916573292016661</v>
      </c>
      <c r="G16" s="15">
        <f>SUM(Jul!G16, Aug!G16, Sep!G16)</f>
        <v>97500.28</v>
      </c>
      <c r="H16" s="15">
        <f>SUM(Jul!H16, Aug!H16, Sep!H16)</f>
        <v>-4219.2799999999952</v>
      </c>
      <c r="I16" s="16">
        <f t="shared" ref="I16:I19" si="5">IFERROR(H16/G16, "")</f>
        <v>-4.3274542391057699E-2</v>
      </c>
    </row>
    <row r="17" spans="1:9" ht="15.6">
      <c r="A17" s="49" t="str">
        <v>Kohls - Hudson</v>
      </c>
      <c r="B17" s="10" t="str">
        <v>NY</v>
      </c>
      <c r="C17" s="11">
        <f>SUM(Jul!C17, Aug!C17, Sep!C17)</f>
        <v>77941</v>
      </c>
      <c r="D17" s="18">
        <f>SUM(Jul!D17, Aug!D17, Sep!D17)</f>
        <v>106809</v>
      </c>
      <c r="E17" s="18">
        <f t="shared" si="3"/>
        <v>-28868</v>
      </c>
      <c r="F17" s="19">
        <f t="shared" si="4"/>
        <v>-0.27027684932917639</v>
      </c>
      <c r="G17" s="20">
        <f>SUM(Jul!G17, Aug!G17, Sep!G17)</f>
        <v>112335.13</v>
      </c>
      <c r="H17" s="20">
        <f>SUM(Jul!H17, Aug!H17, Sep!H17)</f>
        <v>-34394.130000000005</v>
      </c>
      <c r="I17" s="19">
        <f t="shared" si="5"/>
        <v>-0.30617430184128513</v>
      </c>
    </row>
    <row r="18" spans="1:9" ht="12.75" customHeight="1">
      <c r="A18" s="48" t="str">
        <v>Kohls - Ithaca</v>
      </c>
      <c r="B18" s="12" t="str">
        <v>NY</v>
      </c>
      <c r="C18" s="24">
        <f>SUM(Jul!C18, Aug!C18, Sep!C18)</f>
        <v>98733</v>
      </c>
      <c r="D18" s="13">
        <f>SUM(Jul!D18, Aug!D18, Sep!D18)</f>
        <v>146498</v>
      </c>
      <c r="E18" s="13">
        <f t="shared" si="3"/>
        <v>-47765</v>
      </c>
      <c r="F18" s="14">
        <f t="shared" si="4"/>
        <v>-0.32604540676323224</v>
      </c>
      <c r="G18" s="15">
        <f>SUM(Jul!G18, Aug!G18, Sep!G18)</f>
        <v>112085.77</v>
      </c>
      <c r="H18" s="15">
        <f>SUM(Jul!H18, Aug!H18, Sep!H18)</f>
        <v>-13352.77</v>
      </c>
      <c r="I18" s="16">
        <f t="shared" si="5"/>
        <v>-0.1191299305879774</v>
      </c>
    </row>
    <row r="19" spans="1:9" ht="15.6">
      <c r="A19" s="49" t="str">
        <v>Kohls - Kingston</v>
      </c>
      <c r="B19" s="17" t="str">
        <v>NY</v>
      </c>
      <c r="C19" s="11">
        <f>SUM(Jul!C19, Aug!C19, Sep!C21)</f>
        <v>163566</v>
      </c>
      <c r="D19" s="18">
        <f>SUM(Jul!D19, Aug!D19, Sep!D21)</f>
        <v>224460</v>
      </c>
      <c r="E19" s="18">
        <f t="shared" si="3"/>
        <v>-60894</v>
      </c>
      <c r="F19" s="19">
        <f t="shared" si="4"/>
        <v>-0.27129109863672812</v>
      </c>
      <c r="G19" s="20">
        <f>SUM(Jul!G19, Aug!G19, Sep!G19)</f>
        <v>165818.53899999999</v>
      </c>
      <c r="H19" s="20">
        <f>SUM(Jul!H19, Aug!H19, Sep!H21)</f>
        <v>-12313.029999999999</v>
      </c>
      <c r="I19" s="19">
        <f t="shared" si="5"/>
        <v>-7.4256051671037812E-2</v>
      </c>
    </row>
    <row r="20" spans="1:9" ht="15.6">
      <c r="A20" s="48" t="str">
        <v>Kohls - Mechanicsburg</v>
      </c>
      <c r="B20" s="12" t="str">
        <v>PA</v>
      </c>
      <c r="C20" s="24">
        <f>SUM(Jul!C20, Aug!C20, Sep!C22)</f>
        <v>100579</v>
      </c>
      <c r="D20" s="13">
        <f>SUM(Jul!D20, Aug!D20, Sep!D22)</f>
        <v>135668</v>
      </c>
      <c r="E20" s="13">
        <f t="shared" ref="E20:E25" si="6">IF(AND(ISNUMBER(C20),ISNUMBER(D20)), C20-D20, "")</f>
        <v>-35089</v>
      </c>
      <c r="F20" s="14">
        <f t="shared" ref="F20:F25" si="7">IFERROR(E20/D20, "")</f>
        <v>-0.25863873573724089</v>
      </c>
      <c r="G20" s="15">
        <f>SUM(Jul!G20, Aug!G20, Sep!G20)</f>
        <v>135670.26999999999</v>
      </c>
      <c r="H20" s="15">
        <f>SUM(Jul!H20, Aug!H20, Sep!H22)</f>
        <v>-30625.089999999997</v>
      </c>
      <c r="I20" s="16">
        <f t="shared" ref="I20:I25" si="8">IFERROR(H20/G20, "")</f>
        <v>-0.22573176864761896</v>
      </c>
    </row>
    <row r="21" spans="1:9" ht="15.6">
      <c r="A21" s="49" t="str">
        <v>Kohls - Middletown</v>
      </c>
      <c r="B21" s="17" t="str">
        <v>NJ</v>
      </c>
      <c r="C21" s="11">
        <f>SUM(Jul!C21, Aug!C21, Sep!C23)</f>
        <v>147680</v>
      </c>
      <c r="D21" s="18">
        <f>SUM(Jul!D21, Aug!D21, Sep!D23)</f>
        <v>186867.10699999999</v>
      </c>
      <c r="E21" s="18">
        <f t="shared" si="6"/>
        <v>-39187.106999999989</v>
      </c>
      <c r="F21" s="19">
        <f t="shared" si="7"/>
        <v>-0.20970575094310198</v>
      </c>
      <c r="G21" s="20">
        <f>SUM(Jul!G21, Aug!G21, Sep!G21)</f>
        <v>194044.05</v>
      </c>
      <c r="H21" s="20">
        <f>SUM(Jul!H21, Aug!H21, Sep!H23)</f>
        <v>-20937.95</v>
      </c>
      <c r="I21" s="19">
        <f t="shared" si="8"/>
        <v>-0.10790307664677171</v>
      </c>
    </row>
    <row r="22" spans="1:9" ht="15.6">
      <c r="A22" s="48" t="str">
        <v>Kohls - North Amherst</v>
      </c>
      <c r="B22" s="12" t="str">
        <v>NY</v>
      </c>
      <c r="C22" s="24">
        <f>SUM(Jul!C22, Aug!C22, Sep!C24)</f>
        <v>83399</v>
      </c>
      <c r="D22" s="13">
        <f>SUM(Jul!D22, Aug!D22, Sep!D24)</f>
        <v>126387</v>
      </c>
      <c r="E22" s="13">
        <f t="shared" si="6"/>
        <v>-42988</v>
      </c>
      <c r="F22" s="14">
        <f t="shared" si="7"/>
        <v>-0.3401299184251545</v>
      </c>
      <c r="G22" s="15">
        <f>SUM(Jul!G22, Aug!G22, Sep!G22)</f>
        <v>119081.49</v>
      </c>
      <c r="H22" s="15">
        <f>SUM(Jul!H22, Aug!H22, Sep!H24)</f>
        <v>-38989.51</v>
      </c>
      <c r="I22" s="16">
        <f t="shared" si="8"/>
        <v>-0.32741872813314649</v>
      </c>
    </row>
    <row r="23" spans="1:9" ht="15.6">
      <c r="A23" s="49" t="str">
        <v>Kohls - Staten Island</v>
      </c>
      <c r="B23" s="17" t="str">
        <v>NY</v>
      </c>
      <c r="C23" s="11">
        <f>SUM(Jul!C23, Aug!C23, Sep!C25)</f>
        <v>88918</v>
      </c>
      <c r="D23" s="18">
        <f>SUM(Jul!D23, Aug!D23, Sep!D25)</f>
        <v>159783</v>
      </c>
      <c r="E23" s="18">
        <f t="shared" si="6"/>
        <v>-70865</v>
      </c>
      <c r="F23" s="19">
        <f t="shared" si="7"/>
        <v>-0.44350775739596826</v>
      </c>
      <c r="G23" s="20">
        <f>SUM(Jul!G23, Aug!G23, Sep!G23)</f>
        <v>110928.59999999999</v>
      </c>
      <c r="H23" s="20">
        <f>SUM(Jul!H23, Aug!H23, Sep!H25)</f>
        <v>-22043.740000000005</v>
      </c>
      <c r="I23" s="19">
        <f t="shared" si="8"/>
        <v>-0.19872007759946494</v>
      </c>
    </row>
    <row r="24" spans="1:9" ht="15.6">
      <c r="A24" s="48" t="str">
        <v>Kohls - Warminster</v>
      </c>
      <c r="B24" s="12" t="str">
        <v>PA</v>
      </c>
      <c r="C24" s="24">
        <f>SUM(Jul!C24, Aug!C24, Sep!C26)</f>
        <v>135542</v>
      </c>
      <c r="D24" s="13">
        <f>SUM(Jul!D24, Aug!D24, Sep!D26)</f>
        <v>179804</v>
      </c>
      <c r="E24" s="13">
        <f t="shared" si="6"/>
        <v>-44262</v>
      </c>
      <c r="F24" s="14">
        <f t="shared" si="7"/>
        <v>-0.24616804965406777</v>
      </c>
      <c r="G24" s="15">
        <f>SUM(Jul!G24, Aug!G24, Sep!G24)</f>
        <v>132334.26</v>
      </c>
      <c r="H24" s="15">
        <f>SUM(Jul!H24, Aug!H24, Sep!H26)</f>
        <v>5667.0600000000049</v>
      </c>
      <c r="I24" s="16">
        <f t="shared" si="8"/>
        <v>4.2823831107681447E-2</v>
      </c>
    </row>
    <row r="25" spans="1:9" ht="15.6">
      <c r="A25" s="49" t="str">
        <v xml:space="preserve">Kohls - Waterbury </v>
      </c>
      <c r="B25" s="17" t="str">
        <v>CT</v>
      </c>
      <c r="C25" s="11">
        <f>SUM(Jul!C25, Aug!C25, Sep!C27)</f>
        <v>180366</v>
      </c>
      <c r="D25" s="18">
        <f>SUM(Jul!D25, Aug!D25, Sep!D27)</f>
        <v>283816</v>
      </c>
      <c r="E25" s="18">
        <f t="shared" si="6"/>
        <v>-103450</v>
      </c>
      <c r="F25" s="19">
        <f t="shared" si="7"/>
        <v>-0.36449671618231533</v>
      </c>
      <c r="G25" s="20">
        <f>SUM(Jul!G25, Aug!G25, Sep!G27)</f>
        <v>223054.96000000002</v>
      </c>
      <c r="H25" s="20">
        <f>SUM(Jul!H25, Aug!H25, Sep!H27)</f>
        <v>-42688.960000000006</v>
      </c>
      <c r="I25" s="19">
        <f t="shared" si="8"/>
        <v>-0.19138314610892312</v>
      </c>
    </row>
    <row r="26" spans="1:9" ht="15.6">
      <c r="A26" s="48" t="str">
        <v>Mojave Water Agency - Headquarters</v>
      </c>
      <c r="B26" s="12" t="str">
        <v>CA</v>
      </c>
      <c r="C26" s="24">
        <f>SUM(Jul!C26, Aug!C26, Sep!C28)</f>
        <v>104007</v>
      </c>
      <c r="D26" s="13">
        <f>SUM(Jul!D26, Aug!D26, Sep!D28)</f>
        <v>127415</v>
      </c>
      <c r="E26" s="13">
        <f t="shared" ref="E26:E68" si="9">IF(AND(ISNUMBER(C26),ISNUMBER(D26)), C26-D26, "")</f>
        <v>-23408</v>
      </c>
      <c r="F26" s="14">
        <f t="shared" ref="F26:F68" si="10">IFERROR(E26/D26, "")</f>
        <v>-0.18371463328493506</v>
      </c>
      <c r="G26" s="15">
        <f>SUM(Jul!G26, Aug!G26, Sep!G26)</f>
        <v>111917.29999999999</v>
      </c>
      <c r="H26" s="15">
        <f>SUM(Jul!H26, Aug!H26, Sep!H28)</f>
        <v>11857.470000000003</v>
      </c>
      <c r="I26" s="16">
        <f t="shared" ref="I26:I68" si="11">IFERROR(H26/G26, "")</f>
        <v>0.1059484994723783</v>
      </c>
    </row>
    <row r="27" spans="1:9" ht="15.6">
      <c r="A27" s="49" t="str">
        <v>CSU - Bakersfield</v>
      </c>
      <c r="B27" s="17" t="str">
        <v>CA</v>
      </c>
      <c r="C27" s="11">
        <f>SUM(Jul!C27, Aug!C27, Sep!C29)</f>
        <v>353425</v>
      </c>
      <c r="D27" s="18">
        <f>SUM(Jul!D27, Aug!D27, Sep!D29)</f>
        <v>575719</v>
      </c>
      <c r="E27" s="18">
        <f t="shared" si="9"/>
        <v>-222294</v>
      </c>
      <c r="F27" s="19">
        <f t="shared" si="10"/>
        <v>-0.38611544868243014</v>
      </c>
      <c r="G27" s="20">
        <f>SUM(Jul!G27, Aug!G27, Sep!G29)</f>
        <v>408869.1</v>
      </c>
      <c r="H27" s="20">
        <f>SUM(Jul!H27, Aug!H27, Sep!H29)</f>
        <v>-55444.1</v>
      </c>
      <c r="I27" s="19">
        <f t="shared" si="11"/>
        <v>-0.1356035464651156</v>
      </c>
    </row>
    <row r="28" spans="1:9" ht="15.6">
      <c r="A28" s="48" t="str">
        <v>Greenfield USD - Fairfield ES</v>
      </c>
      <c r="B28" s="12" t="str">
        <v>CA</v>
      </c>
      <c r="C28" s="24">
        <f>SUM(Jul!C28, Aug!C28, Sep!C30)</f>
        <v>24022</v>
      </c>
      <c r="D28" s="13">
        <f>SUM(Jul!D28, Aug!D28, Sep!D30)</f>
        <v>36589.01</v>
      </c>
      <c r="E28" s="13">
        <f t="shared" si="9"/>
        <v>-12567.010000000002</v>
      </c>
      <c r="F28" s="14">
        <f t="shared" si="10"/>
        <v>-0.34346406202299545</v>
      </c>
      <c r="G28" s="15">
        <f>SUM(Jul!G28, Aug!G28, Sep!G28)</f>
        <v>48373.909999999996</v>
      </c>
      <c r="H28" s="15">
        <f>SUM(Jul!H28, Aug!H28, Sep!H30)</f>
        <v>-35940.909999999996</v>
      </c>
      <c r="I28" s="16">
        <f t="shared" si="11"/>
        <v>-0.74298128888072101</v>
      </c>
    </row>
    <row r="29" spans="1:9" ht="15.6">
      <c r="A29" s="49" t="str">
        <v>Greenfield USD - Granite Point ES</v>
      </c>
      <c r="B29" s="17" t="str">
        <v>CA</v>
      </c>
      <c r="C29" s="11">
        <f>SUM(Jul!C29, Aug!C29, Sep!C31)</f>
        <v>47887</v>
      </c>
      <c r="D29" s="18">
        <f>SUM(Jul!D29, Aug!D29, Sep!D31)</f>
        <v>175781</v>
      </c>
      <c r="E29" s="18">
        <f t="shared" si="9"/>
        <v>-127894</v>
      </c>
      <c r="F29" s="19">
        <f t="shared" si="10"/>
        <v>-0.72757579033001296</v>
      </c>
      <c r="G29" s="20">
        <f>SUM(Jul!G29, Aug!G29, Sep!G29)</f>
        <v>127738.20999999999</v>
      </c>
      <c r="H29" s="20">
        <f>SUM(Jul!H29, Aug!H29, Sep!H31)</f>
        <v>-80996.22</v>
      </c>
      <c r="I29" s="19">
        <f t="shared" si="11"/>
        <v>-0.63407981057508167</v>
      </c>
    </row>
    <row r="30" spans="1:9" ht="15.6">
      <c r="A30" s="48" t="str">
        <v>Greenfield USD - Greenfield MS</v>
      </c>
      <c r="B30" s="12" t="str">
        <v>CA</v>
      </c>
      <c r="C30" s="24">
        <f>SUM(Jul!C30, Aug!C30, Sep!C32)</f>
        <v>38361</v>
      </c>
      <c r="D30" s="13">
        <f>SUM(Jul!D30, Aug!D30, Sep!D32)</f>
        <v>113580</v>
      </c>
      <c r="E30" s="13">
        <f t="shared" si="9"/>
        <v>-75219</v>
      </c>
      <c r="F30" s="14">
        <f t="shared" si="10"/>
        <v>-0.66225567881669312</v>
      </c>
      <c r="G30" s="15">
        <f>SUM(Jul!G30, Aug!G30, Sep!G30)</f>
        <v>87056.36</v>
      </c>
      <c r="H30" s="15">
        <f>SUM(Jul!H30, Aug!H30, Sep!H32)</f>
        <v>-46640.44</v>
      </c>
      <c r="I30" s="16">
        <f t="shared" si="11"/>
        <v>-0.53574994405922782</v>
      </c>
    </row>
    <row r="31" spans="1:9" ht="15.6">
      <c r="A31" s="49" t="str">
        <v>Greenfield USD - Horizon ES</v>
      </c>
      <c r="B31" s="17" t="str">
        <v>CA</v>
      </c>
      <c r="C31" s="11">
        <f>SUM(Jul!C31, Aug!C31, Sep!C33)</f>
        <v>54683</v>
      </c>
      <c r="D31" s="18">
        <f>SUM(Jul!D31, Aug!D31, Sep!D33)</f>
        <v>152765</v>
      </c>
      <c r="E31" s="18">
        <f t="shared" si="9"/>
        <v>-98082</v>
      </c>
      <c r="F31" s="19">
        <f t="shared" si="10"/>
        <v>-0.64204497103394098</v>
      </c>
      <c r="G31" s="20">
        <f>SUM(Jul!G31, Aug!G31, Sep!G31)</f>
        <v>132431.19</v>
      </c>
      <c r="H31" s="20">
        <f>SUM(Jul!H31, Aug!H31, Sep!H33)</f>
        <v>-55597.65</v>
      </c>
      <c r="I31" s="19">
        <f t="shared" si="11"/>
        <v>-0.41982292842041213</v>
      </c>
    </row>
    <row r="32" spans="1:9" ht="15.6">
      <c r="A32" s="48" t="str">
        <v>Greenfield USD - McKee MS</v>
      </c>
      <c r="B32" s="12" t="str">
        <v>CA</v>
      </c>
      <c r="C32" s="24">
        <f>SUM(Jul!C32, Aug!C32, Sep!C34)</f>
        <v>34989</v>
      </c>
      <c r="D32" s="13">
        <f>SUM(Jul!D32, Aug!D32, Sep!D34)</f>
        <v>102969</v>
      </c>
      <c r="E32" s="13">
        <f t="shared" si="9"/>
        <v>-67980</v>
      </c>
      <c r="F32" s="14">
        <f t="shared" si="10"/>
        <v>-0.66019870057978614</v>
      </c>
      <c r="G32" s="15">
        <f>SUM(Jul!G32, Aug!G32, Sep!G32)</f>
        <v>80900.86</v>
      </c>
      <c r="H32" s="15">
        <f>SUM(Jul!H32, Aug!H32, Sep!H34)</f>
        <v>-41607.64</v>
      </c>
      <c r="I32" s="16">
        <f t="shared" si="11"/>
        <v>-0.5143040506615133</v>
      </c>
    </row>
    <row r="33" spans="1:9" ht="15.6">
      <c r="A33" s="49" t="str">
        <v>Greenfield USD - Plantation ES</v>
      </c>
      <c r="B33" s="17" t="str">
        <v>CA</v>
      </c>
      <c r="C33" s="11">
        <f>SUM(Jul!C33, Aug!C33, Sep!C35)</f>
        <v>29937</v>
      </c>
      <c r="D33" s="18">
        <f>SUM(Jul!D33, Aug!D33, Sep!D35)</f>
        <v>59394</v>
      </c>
      <c r="E33" s="18">
        <f t="shared" si="9"/>
        <v>-29457</v>
      </c>
      <c r="F33" s="19">
        <f t="shared" si="10"/>
        <v>-0.49595918779674714</v>
      </c>
      <c r="G33" s="20">
        <f>SUM(Jul!G33, Aug!G33, Sep!G33)</f>
        <v>57815.42</v>
      </c>
      <c r="H33" s="20">
        <f>SUM(Jul!H33, Aug!H33, Sep!H35)</f>
        <v>-53657.47</v>
      </c>
      <c r="I33" s="19">
        <f t="shared" si="11"/>
        <v>-0.92808233512789495</v>
      </c>
    </row>
    <row r="34" spans="1:9" ht="15.6">
      <c r="A34" s="48" t="str">
        <v>Greenfield USD - Planz ES</v>
      </c>
      <c r="B34" s="12" t="str">
        <v>CA</v>
      </c>
      <c r="C34" s="24">
        <f>SUM(Jul!C34, Aug!C34, Sep!C36)</f>
        <v>44347</v>
      </c>
      <c r="D34" s="13">
        <f>SUM(Jul!D34, Aug!D34, Sep!D36)</f>
        <v>115956</v>
      </c>
      <c r="E34" s="13">
        <f t="shared" si="9"/>
        <v>-71609</v>
      </c>
      <c r="F34" s="14">
        <f t="shared" si="10"/>
        <v>-0.61755320983821449</v>
      </c>
      <c r="G34" s="15">
        <f>SUM(Jul!G34, Aug!G34, Sep!G34)</f>
        <v>65646.33</v>
      </c>
      <c r="H34" s="15">
        <f>SUM(Jul!H34, Aug!H34, Sep!H36)</f>
        <v>-41617.11</v>
      </c>
      <c r="I34" s="16">
        <f t="shared" si="11"/>
        <v>-0.63395943078615358</v>
      </c>
    </row>
    <row r="35" spans="1:9" ht="15.6">
      <c r="A35" s="49" t="str">
        <v>Greenfield USD - Raffaello Palla ES</v>
      </c>
      <c r="B35" s="17" t="str">
        <v>CA</v>
      </c>
      <c r="C35" s="11">
        <f>SUM(Jul!C35, Aug!C35, Sep!C37)</f>
        <v>74484</v>
      </c>
      <c r="D35" s="18">
        <f>SUM(Jul!D35, Aug!D35, Sep!D37)</f>
        <v>131749</v>
      </c>
      <c r="E35" s="18">
        <f t="shared" si="9"/>
        <v>-57265</v>
      </c>
      <c r="F35" s="19">
        <f t="shared" si="10"/>
        <v>-0.43465225542508862</v>
      </c>
      <c r="G35" s="20">
        <f>SUM(Jul!G35, Aug!G35, Sep!G35)</f>
        <v>143159.35999999999</v>
      </c>
      <c r="H35" s="20">
        <f>SUM(Jul!H35, Aug!H35, Sep!H37)</f>
        <v>-41202.39</v>
      </c>
      <c r="I35" s="19">
        <f t="shared" si="11"/>
        <v>-0.28780786670183495</v>
      </c>
    </row>
    <row r="36" spans="1:9" ht="15.6">
      <c r="A36" s="48" t="str">
        <v>Greenfield USD - Valle Verde ES</v>
      </c>
      <c r="B36" s="12" t="str">
        <v>CA</v>
      </c>
      <c r="C36" s="24">
        <f>SUM(Jul!C36, Aug!C36, Sep!C38)</f>
        <v>81211</v>
      </c>
      <c r="D36" s="13">
        <f>SUM(Jul!D36, Aug!D36, Sep!D38)</f>
        <v>131485</v>
      </c>
      <c r="E36" s="13">
        <f t="shared" si="9"/>
        <v>-50274</v>
      </c>
      <c r="F36" s="14">
        <f t="shared" si="10"/>
        <v>-0.3823554017568544</v>
      </c>
      <c r="G36" s="15">
        <f>SUM(Jul!G36, Aug!G36, Sep!G36)</f>
        <v>133532.71</v>
      </c>
      <c r="H36" s="15">
        <f>SUM(Jul!H36, Aug!H36, Sep!H38)</f>
        <v>-47128.250000000007</v>
      </c>
      <c r="I36" s="16">
        <f t="shared" si="11"/>
        <v>-0.35293412378135675</v>
      </c>
    </row>
    <row r="37" spans="1:9" ht="15.6">
      <c r="A37" s="49" t="str">
        <v>Greenfield USD - W.A. Kendrick ES</v>
      </c>
      <c r="B37" s="17" t="str">
        <v>CA</v>
      </c>
      <c r="C37" s="11">
        <f>SUM(Jul!C37, Aug!C37, Sep!C39)</f>
        <v>12443</v>
      </c>
      <c r="D37" s="18">
        <f>SUM(Jul!D37, Aug!D37, Sep!D39)</f>
        <v>19420</v>
      </c>
      <c r="E37" s="18">
        <f t="shared" si="9"/>
        <v>-6977</v>
      </c>
      <c r="F37" s="19">
        <f t="shared" si="10"/>
        <v>-0.35926879505664261</v>
      </c>
      <c r="G37" s="20">
        <f>SUM(Jul!G37, Aug!G37, Sep!G37)</f>
        <v>51465.54</v>
      </c>
      <c r="H37" s="20">
        <f>SUM(Jul!H37, Aug!H37, Sep!H39)</f>
        <v>-36462.61</v>
      </c>
      <c r="I37" s="19">
        <f t="shared" si="11"/>
        <v>-0.70848591115530901</v>
      </c>
    </row>
    <row r="38" spans="1:9" ht="15.6">
      <c r="A38" s="48" t="str">
        <v>Muroc Joint USD - Boron HS</v>
      </c>
      <c r="B38" s="12" t="str">
        <v>CA</v>
      </c>
      <c r="C38" s="24">
        <f>SUM(Jul!C38, Aug!C38, Sep!C40)</f>
        <v>0</v>
      </c>
      <c r="D38" s="13">
        <f>SUM(Jul!D38, Aug!D38, Sep!D40)</f>
        <v>0</v>
      </c>
      <c r="E38" s="13">
        <f t="shared" si="9"/>
        <v>0</v>
      </c>
      <c r="F38" s="14" t="str">
        <f t="shared" si="10"/>
        <v/>
      </c>
      <c r="G38" s="15">
        <f>SUM(Jul!G38, Aug!G38, Sep!G40)</f>
        <v>121994.905</v>
      </c>
      <c r="H38" s="15">
        <f>SUM(Jul!H38, Aug!H38, Sep!H40)</f>
        <v>-121994.905</v>
      </c>
      <c r="I38" s="16">
        <f t="shared" si="11"/>
        <v>-1</v>
      </c>
    </row>
    <row r="39" spans="1:9" ht="15.6">
      <c r="A39" s="49" t="str">
        <v>Muroc Joint USD - W. Boron ES</v>
      </c>
      <c r="B39" s="17" t="str">
        <v>CA</v>
      </c>
      <c r="C39" s="11">
        <f>SUM(Jul!C39, Aug!C39, Sep!C41)</f>
        <v>58298</v>
      </c>
      <c r="D39" s="18">
        <f>SUM(Jul!D39, Aug!D39, Sep!D41)</f>
        <v>16711</v>
      </c>
      <c r="E39" s="18">
        <f t="shared" si="9"/>
        <v>41587</v>
      </c>
      <c r="F39" s="19">
        <f t="shared" si="10"/>
        <v>2.4886003231404463</v>
      </c>
      <c r="G39" s="20">
        <f>SUM(Jul!G39, Aug!G39, Sep!G41)</f>
        <v>233344.67</v>
      </c>
      <c r="H39" s="20">
        <f>SUM(Jul!H39, Aug!H39, Sep!H41)</f>
        <v>-175046.67</v>
      </c>
      <c r="I39" s="19">
        <f t="shared" si="11"/>
        <v>-0.75016356705297793</v>
      </c>
    </row>
    <row r="40" spans="1:9" ht="15.6">
      <c r="A40" s="48" t="str">
        <v>Colusa - WTP</v>
      </c>
      <c r="B40" s="12" t="str">
        <v>CA</v>
      </c>
      <c r="C40" s="24">
        <f>SUM(Jul!C40, Aug!C40, Sep!C42)</f>
        <v>6209</v>
      </c>
      <c r="D40" s="13">
        <f>SUM(Jul!D40, Aug!D40, Sep!D42)</f>
        <v>13924</v>
      </c>
      <c r="E40" s="13">
        <f t="shared" si="9"/>
        <v>-7715</v>
      </c>
      <c r="F40" s="14">
        <f t="shared" si="10"/>
        <v>-0.55407928756104563</v>
      </c>
      <c r="G40" s="67">
        <f>SUM(Jul!G40, Aug!G40, Sep!G42)</f>
        <v>135366.01699999999</v>
      </c>
      <c r="H40" s="15">
        <f>SUM(Jul!H40, Aug!H40, Sep!H42)</f>
        <v>-129157.01699999999</v>
      </c>
      <c r="I40" s="16">
        <f t="shared" si="11"/>
        <v>-0.95413176705937941</v>
      </c>
    </row>
    <row r="41" spans="1:9" ht="15.6">
      <c r="A41" s="49" t="str">
        <v>CDCR-North Kern State Prision</v>
      </c>
      <c r="B41" s="17" t="str">
        <v>CA</v>
      </c>
      <c r="C41" s="11">
        <f>SUM(Jul!C41, Aug!C41, Sep!C43)</f>
        <v>115318</v>
      </c>
      <c r="D41" s="18">
        <f>SUM(Jul!D41, Aug!D41, Sep!D43)</f>
        <v>0</v>
      </c>
      <c r="E41" s="18">
        <f t="shared" si="9"/>
        <v>115318</v>
      </c>
      <c r="F41" s="19" t="str">
        <f t="shared" si="10"/>
        <v/>
      </c>
      <c r="G41" s="20">
        <f>SUM(Jul!G41, Aug!G41, Sep!G43)</f>
        <v>268120.74</v>
      </c>
      <c r="H41" s="20">
        <f>SUM(Jul!H41, Aug!H41, Sep!H43)</f>
        <v>-152802.74000000002</v>
      </c>
      <c r="I41" s="19">
        <f t="shared" si="11"/>
        <v>-0.56990272367590822</v>
      </c>
    </row>
    <row r="42" spans="1:9" ht="15.6">
      <c r="A42" s="48" t="str">
        <v>Muroc Joint USD - District Office</v>
      </c>
      <c r="B42" s="12" t="str">
        <v>CA</v>
      </c>
      <c r="C42" s="24">
        <f>SUM(Jul!C42, Aug!C42, Sep!C44)</f>
        <v>30836</v>
      </c>
      <c r="D42" s="13">
        <f>SUM(Jul!D42, Aug!D42, Sep!D44)</f>
        <v>15843</v>
      </c>
      <c r="E42" s="13">
        <f t="shared" si="9"/>
        <v>14993</v>
      </c>
      <c r="F42" s="14">
        <f t="shared" si="10"/>
        <v>0.94634854509878175</v>
      </c>
      <c r="G42" s="15">
        <f>SUM(Jul!G42, Aug!G42, Sep!G42)</f>
        <v>29064.840000000004</v>
      </c>
      <c r="H42" s="15">
        <f>SUM(Jul!H42, Aug!H42, Sep!H44)</f>
        <v>-23285.41</v>
      </c>
      <c r="I42" s="16">
        <f t="shared" si="11"/>
        <v>-0.80115390279113863</v>
      </c>
    </row>
    <row r="43" spans="1:9" ht="15.6">
      <c r="A43" s="49" t="str">
        <v>Whole Foods - Manhattan Beach</v>
      </c>
      <c r="B43" s="17" t="str">
        <v>CA</v>
      </c>
      <c r="C43" s="11">
        <f>SUM(Jul!C43, Aug!C43, Sep!C45)</f>
        <v>25736</v>
      </c>
      <c r="D43" s="18">
        <f>SUM(Jul!D43, Aug!D43, Sep!D45)</f>
        <v>0</v>
      </c>
      <c r="E43" s="18">
        <f t="shared" si="9"/>
        <v>25736</v>
      </c>
      <c r="F43" s="19" t="str">
        <f t="shared" si="10"/>
        <v/>
      </c>
      <c r="G43" s="20">
        <f>SUM(Jul!G43, Aug!G43, Sep!G45)</f>
        <v>56802.06</v>
      </c>
      <c r="H43" s="20">
        <f>SUM(Jul!H43, Aug!H43, Sep!H45)</f>
        <v>-31066.059999999998</v>
      </c>
      <c r="I43" s="19">
        <f t="shared" si="11"/>
        <v>-0.54691784065577898</v>
      </c>
    </row>
    <row r="44" spans="1:9" ht="15.6">
      <c r="A44" s="48" t="str">
        <v>Pioneer USD - Frontier ES</v>
      </c>
      <c r="B44" s="12" t="str">
        <v>CA</v>
      </c>
      <c r="C44" s="24">
        <f>SUM(Jul!C44, Aug!C44, Sep!C46)</f>
        <v>96244</v>
      </c>
      <c r="D44" s="13">
        <f>SUM(Jul!D44, Aug!D44, Sep!D46)</f>
        <v>0</v>
      </c>
      <c r="E44" s="13">
        <f t="shared" si="9"/>
        <v>96244</v>
      </c>
      <c r="F44" s="14" t="str">
        <f t="shared" si="10"/>
        <v/>
      </c>
      <c r="G44" s="15">
        <f>SUM(Jul!G44, Aug!G44, Sep!G46)</f>
        <v>125561.15</v>
      </c>
      <c r="H44" s="15">
        <f>SUM(Jul!H44, Aug!H44, Sep!H46)</f>
        <v>-29317.15</v>
      </c>
      <c r="I44" s="16">
        <f t="shared" si="11"/>
        <v>-0.23348902108653832</v>
      </c>
    </row>
    <row r="45" spans="1:9" ht="15.6">
      <c r="A45" s="49" t="str">
        <v>Pioneer USD - Pioneer ES</v>
      </c>
      <c r="B45" s="17" t="str">
        <v>CA</v>
      </c>
      <c r="C45" s="11">
        <f>SUM(Jul!C45, Aug!C45, Sep!C47)</f>
        <v>71117</v>
      </c>
      <c r="D45" s="18">
        <f>SUM(Jul!D45, Aug!D45, Sep!D47)</f>
        <v>43149</v>
      </c>
      <c r="E45" s="18">
        <f t="shared" si="9"/>
        <v>27968</v>
      </c>
      <c r="F45" s="19">
        <f t="shared" si="10"/>
        <v>0.6481726111845002</v>
      </c>
      <c r="G45" s="20">
        <f>SUM(Jul!G45, Aug!G45, Sep!G47)</f>
        <v>163534.38</v>
      </c>
      <c r="H45" s="20">
        <f>SUM(Jul!H45, Aug!H45, Sep!H47)</f>
        <v>-92417.38</v>
      </c>
      <c r="I45" s="19">
        <f t="shared" si="11"/>
        <v>-0.5651250825667361</v>
      </c>
    </row>
    <row r="46" spans="1:9" ht="15.6">
      <c r="A46" s="48" t="str">
        <v>Pioneer USD - Pioneer MS</v>
      </c>
      <c r="B46" s="12" t="str">
        <v>CA</v>
      </c>
      <c r="C46" s="24">
        <f>SUM(Jul!C46, Aug!C46, Sep!C48)</f>
        <v>611953</v>
      </c>
      <c r="D46" s="13">
        <f>SUM(Jul!D46, Aug!D46, Sep!D48)</f>
        <v>663700</v>
      </c>
      <c r="E46" s="13">
        <f t="shared" si="9"/>
        <v>-51747</v>
      </c>
      <c r="F46" s="14">
        <f t="shared" si="10"/>
        <v>-7.7967455175531108E-2</v>
      </c>
      <c r="G46" s="15">
        <f>SUM(Jul!G46, Aug!G46, Sep!G48)</f>
        <v>831328.04</v>
      </c>
      <c r="H46" s="15">
        <f>SUM(Jul!H46, Aug!H46, Sep!H48)</f>
        <v>-219375.04</v>
      </c>
      <c r="I46" s="16">
        <f t="shared" si="11"/>
        <v>-0.26388504831377996</v>
      </c>
    </row>
    <row r="47" spans="1:9" ht="15.6">
      <c r="A47" s="49" t="str">
        <v>Kingsburg Joint UHSD - Kingsburg HS</v>
      </c>
      <c r="B47" s="17" t="str">
        <v>CA</v>
      </c>
      <c r="C47" s="11">
        <f>SUM(Jul!C47, Aug!C47, Sep!C49)</f>
        <v>377371</v>
      </c>
      <c r="D47" s="18">
        <f>SUM(Jul!D47, Aug!D47, Sep!D49)</f>
        <v>254739</v>
      </c>
      <c r="E47" s="18">
        <f t="shared" si="9"/>
        <v>122632</v>
      </c>
      <c r="F47" s="19">
        <f t="shared" si="10"/>
        <v>0.48140253357357921</v>
      </c>
      <c r="G47" s="20">
        <f>SUM(Jul!G47, Aug!G47, Sep!G49)</f>
        <v>617512.47</v>
      </c>
      <c r="H47" s="20">
        <f>SUM(Jul!H47, Aug!H47, Sep!H49)</f>
        <v>-240141.46999999997</v>
      </c>
      <c r="I47" s="19">
        <f t="shared" si="11"/>
        <v>-0.38888521554876454</v>
      </c>
    </row>
    <row r="48" spans="1:9" ht="15.6">
      <c r="A48" s="48" t="str">
        <v>CADRB</v>
      </c>
      <c r="B48" s="12" t="str">
        <v>CA</v>
      </c>
      <c r="C48" s="24">
        <f>SUM(Jul!C48, Aug!C48, Sep!C50)</f>
        <v>1413309</v>
      </c>
      <c r="D48" s="13">
        <f>SUM(Jul!D48, Aug!D48, Sep!D50)</f>
        <v>1031345</v>
      </c>
      <c r="E48" s="13">
        <f t="shared" si="9"/>
        <v>381964</v>
      </c>
      <c r="F48" s="14">
        <f t="shared" si="10"/>
        <v>0.37035521576194191</v>
      </c>
      <c r="G48" s="15">
        <f>SUM(Jul!G48, Aug!G48, Sep!G48)</f>
        <v>2499883</v>
      </c>
      <c r="H48" s="15">
        <f>SUM(Jul!H48, Aug!H48, Sep!H50)</f>
        <v>-396569.68</v>
      </c>
      <c r="I48" s="16">
        <f t="shared" si="11"/>
        <v>-0.15863529613185898</v>
      </c>
    </row>
    <row r="49" spans="1:9" ht="15.6">
      <c r="A49" s="49" t="str">
        <v>CDCR-CA State Prison LA County</v>
      </c>
      <c r="B49" s="17" t="str">
        <v>CA</v>
      </c>
      <c r="C49" s="11">
        <f>SUM(Jul!C49, Aug!C49, Sep!C51)</f>
        <v>326177</v>
      </c>
      <c r="D49" s="18">
        <f>SUM(Jul!D49, Aug!D49, Sep!D51)</f>
        <v>37660</v>
      </c>
      <c r="E49" s="18">
        <f t="shared" si="9"/>
        <v>288517</v>
      </c>
      <c r="F49" s="19">
        <f t="shared" si="10"/>
        <v>7.6610993096123208</v>
      </c>
      <c r="G49" s="20">
        <f>SUM(Jul!G49, Aug!G49, Sep!G51)</f>
        <v>557173.05000000005</v>
      </c>
      <c r="H49" s="20">
        <f>SUM(Jul!H49, Aug!H49, Sep!H51)</f>
        <v>-230996.05</v>
      </c>
      <c r="I49" s="19">
        <f t="shared" si="11"/>
        <v>-0.41458582750906559</v>
      </c>
    </row>
    <row r="50" spans="1:9" ht="15.6">
      <c r="A50" s="48" t="str">
        <v>Central USD Akers ES</v>
      </c>
      <c r="B50" s="12" t="str">
        <v>CA</v>
      </c>
      <c r="C50" s="24">
        <f>SUM(Jul!C50, Aug!C50, Sep!C52)</f>
        <v>56703</v>
      </c>
      <c r="D50" s="13">
        <f>SUM(Jul!D50, Aug!D50, Sep!D52)</f>
        <v>0</v>
      </c>
      <c r="E50" s="13">
        <f t="shared" si="9"/>
        <v>56703</v>
      </c>
      <c r="F50" s="14" t="str">
        <f t="shared" si="10"/>
        <v/>
      </c>
      <c r="G50" s="15">
        <f>SUM(Jul!G50, Aug!G50, Sep!G52)</f>
        <v>120272.57</v>
      </c>
      <c r="H50" s="15">
        <f>SUM(Jul!H50, Aug!H50, Sep!H52)</f>
        <v>-63569.570000000007</v>
      </c>
      <c r="I50" s="16">
        <f t="shared" si="11"/>
        <v>-0.52854586877124188</v>
      </c>
    </row>
    <row r="51" spans="1:9" ht="15.6">
      <c r="A51" s="49" t="str">
        <v>CUSD - District Office</v>
      </c>
      <c r="B51" s="17" t="str">
        <v>CA</v>
      </c>
      <c r="C51" s="11">
        <f>SUM(Jul!C51, Aug!C51, Sep!C53)</f>
        <v>82410</v>
      </c>
      <c r="D51" s="18">
        <f>SUM(Jul!D51, Aug!D51, Sep!D53)</f>
        <v>156234</v>
      </c>
      <c r="E51" s="18">
        <f t="shared" si="9"/>
        <v>-73824</v>
      </c>
      <c r="F51" s="19">
        <f t="shared" si="10"/>
        <v>-0.47252198625139213</v>
      </c>
      <c r="G51" s="20">
        <f>SUM(Jul!G51, Aug!G51, Sep!G53)</f>
        <v>108803.65</v>
      </c>
      <c r="H51" s="20">
        <f>SUM(Jul!H51, Aug!H51, Sep!H53)</f>
        <v>-26393.649999999994</v>
      </c>
      <c r="I51" s="19">
        <f t="shared" si="11"/>
        <v>-0.24258055681036431</v>
      </c>
    </row>
    <row r="52" spans="1:9" ht="15.6">
      <c r="A52" s="48" t="str">
        <v>Parlier - WTP</v>
      </c>
      <c r="B52" s="12" t="str">
        <v>CA</v>
      </c>
      <c r="C52" s="24">
        <f>SUM(Jul!C52, Aug!C52, Sep!C54)</f>
        <v>72797</v>
      </c>
      <c r="D52" s="13">
        <f>SUM(Jul!D52, Aug!D52, Sep!D54)</f>
        <v>0</v>
      </c>
      <c r="E52" s="13">
        <f t="shared" si="9"/>
        <v>72797</v>
      </c>
      <c r="F52" s="14" t="str">
        <f t="shared" si="10"/>
        <v/>
      </c>
      <c r="G52" s="15">
        <f>SUM(Jul!G52, Aug!G52, Sep!G54)</f>
        <v>150939</v>
      </c>
      <c r="H52" s="15">
        <f>SUM(Jul!H52, Aug!H52, Sep!H54)</f>
        <v>-78142</v>
      </c>
      <c r="I52" s="16">
        <f t="shared" si="11"/>
        <v>-0.51770582818224575</v>
      </c>
    </row>
    <row r="53" spans="1:9" ht="15.6">
      <c r="A53" s="49" t="str">
        <v>Snowline SD - Quail Valley MS</v>
      </c>
      <c r="B53" s="17" t="str">
        <v>CA</v>
      </c>
      <c r="C53" s="11">
        <f>SUM(Jul!C53, Aug!C53, Sep!C55)</f>
        <v>104150</v>
      </c>
      <c r="D53" s="18">
        <f>SUM(Jul!D53, Aug!D53, Sep!D55)</f>
        <v>171620</v>
      </c>
      <c r="E53" s="18">
        <f t="shared" si="9"/>
        <v>-67470</v>
      </c>
      <c r="F53" s="19">
        <f t="shared" si="10"/>
        <v>-0.39313599813541544</v>
      </c>
      <c r="G53" s="20">
        <f>SUM(Jul!G53, Aug!G53, Sep!G55)</f>
        <v>117918.98999999999</v>
      </c>
      <c r="H53" s="20">
        <f>SUM(Jul!H53, Aug!H53, Sep!H55)</f>
        <v>-13768.989999999998</v>
      </c>
      <c r="I53" s="19">
        <f t="shared" si="11"/>
        <v>-0.11676651911621698</v>
      </c>
    </row>
    <row r="54" spans="1:9" ht="15.6">
      <c r="A54" s="48" t="str">
        <v>Snowline SD - Serrano HS - Middle Lot</v>
      </c>
      <c r="B54" s="12" t="str">
        <v>CA</v>
      </c>
      <c r="C54" s="24">
        <f>SUM(Jul!C54, Aug!C54, Sep!C56)</f>
        <v>57478</v>
      </c>
      <c r="D54" s="13">
        <f>SUM(Jul!D54, Aug!D54, Sep!D56)</f>
        <v>45862</v>
      </c>
      <c r="E54" s="13">
        <f t="shared" si="9"/>
        <v>11616</v>
      </c>
      <c r="F54" s="14">
        <f t="shared" si="10"/>
        <v>0.25328158388208105</v>
      </c>
      <c r="G54" s="15">
        <f>SUM(Jul!G54, Aug!G54, Sep!G56)</f>
        <v>129698.39</v>
      </c>
      <c r="H54" s="15">
        <f>SUM(Jul!H54, Aug!H54, Sep!H56)</f>
        <v>-72220.39</v>
      </c>
      <c r="I54" s="16">
        <f t="shared" si="11"/>
        <v>-0.55683335776180409</v>
      </c>
    </row>
    <row r="55" spans="1:9" ht="15.6">
      <c r="A55" s="49" t="str">
        <v>Snowline SD - Pinon Hills ES</v>
      </c>
      <c r="B55" s="17" t="str">
        <v>CA</v>
      </c>
      <c r="C55" s="11">
        <f>SUM(Jul!C55, Aug!C55, Sep!C57)</f>
        <v>37782</v>
      </c>
      <c r="D55" s="18">
        <f>SUM(Jul!D55, Aug!D55, Sep!D57)</f>
        <v>0</v>
      </c>
      <c r="E55" s="18">
        <f t="shared" si="9"/>
        <v>37782</v>
      </c>
      <c r="F55" s="19" t="str">
        <f t="shared" si="10"/>
        <v/>
      </c>
      <c r="G55" s="20">
        <f>SUM(Jul!G55, Aug!G55, Sep!G57)</f>
        <v>80472.62</v>
      </c>
      <c r="H55" s="20">
        <f>SUM(Jul!H55, Aug!H55, Sep!H57)</f>
        <v>-42690.62</v>
      </c>
      <c r="I55" s="19">
        <f t="shared" si="11"/>
        <v>-0.5304986963267756</v>
      </c>
    </row>
    <row r="56" spans="1:9" ht="15.6">
      <c r="A56" s="48" t="str">
        <v>Ramona - Santa Maria WTP</v>
      </c>
      <c r="B56" s="12" t="str">
        <v>CA</v>
      </c>
      <c r="C56" s="24">
        <f>SUM(Jul!C56, Aug!C56, Sep!C58)</f>
        <v>182759</v>
      </c>
      <c r="D56" s="13">
        <f>SUM(Jul!D56, Aug!D56, Sep!D58)</f>
        <v>306826</v>
      </c>
      <c r="E56" s="13">
        <f t="shared" si="9"/>
        <v>-124067</v>
      </c>
      <c r="F56" s="14">
        <f t="shared" si="10"/>
        <v>-0.40435621492311602</v>
      </c>
      <c r="G56" s="15">
        <f>SUM(Jul!G56, Aug!G56, Sep!G58)</f>
        <v>213316.94</v>
      </c>
      <c r="H56" s="15">
        <f>SUM(Jul!H56, Aug!H56, Sep!H58)</f>
        <v>-30557.939999999995</v>
      </c>
      <c r="I56" s="16">
        <f t="shared" si="11"/>
        <v>-0.14325135172105879</v>
      </c>
    </row>
    <row r="57" spans="1:9" ht="15.6">
      <c r="A57" s="49" t="str">
        <v>Kohls - Redding</v>
      </c>
      <c r="B57" s="17" t="str">
        <v>CA</v>
      </c>
      <c r="C57" s="11">
        <f>SUM(Jul!C57, Aug!C57, Sep!C59)</f>
        <v>190305</v>
      </c>
      <c r="D57" s="18">
        <f>SUM(Jul!D57, Aug!D57, Sep!D59)</f>
        <v>21081</v>
      </c>
      <c r="E57" s="18">
        <f t="shared" si="9"/>
        <v>169224</v>
      </c>
      <c r="F57" s="19">
        <f t="shared" si="10"/>
        <v>8.027323182012239</v>
      </c>
      <c r="G57" s="20">
        <f>SUM(Jul!G57, Aug!G57, Sep!G59)</f>
        <v>214152.85</v>
      </c>
      <c r="H57" s="20">
        <f>SUM(Jul!H57, Aug!H57, Sep!H59)</f>
        <v>-23847.85</v>
      </c>
      <c r="I57" s="19">
        <f t="shared" si="11"/>
        <v>-0.1113590129666731</v>
      </c>
    </row>
    <row r="58" spans="1:9" ht="15.6">
      <c r="A58" s="48" t="str">
        <v>Kohls - Salinas</v>
      </c>
      <c r="B58" s="12" t="str">
        <v>CA</v>
      </c>
      <c r="C58" s="24">
        <f>SUM(Jul!C58, Aug!C58, Sep!C60)</f>
        <v>109802</v>
      </c>
      <c r="D58" s="13">
        <f>SUM(Jul!D58, Aug!D58, Sep!D60)</f>
        <v>198280</v>
      </c>
      <c r="E58" s="13">
        <f t="shared" si="9"/>
        <v>-88478</v>
      </c>
      <c r="F58" s="14">
        <f t="shared" si="10"/>
        <v>-0.44622755699011502</v>
      </c>
      <c r="G58" s="15">
        <f>SUM(Jul!G58, Aug!G58, Sep!G58)</f>
        <v>145208.41</v>
      </c>
      <c r="H58" s="15">
        <f>SUM(Jul!H58, Aug!H58, Sep!H60)</f>
        <v>-22222.84</v>
      </c>
      <c r="I58" s="16">
        <f t="shared" si="11"/>
        <v>-0.15304099810747876</v>
      </c>
    </row>
    <row r="59" spans="1:9" ht="15.6">
      <c r="A59" s="49" t="str">
        <v>Kohls - San Bernardino - Central</v>
      </c>
      <c r="B59" s="17" t="str">
        <v>CA</v>
      </c>
      <c r="C59" s="11">
        <f>SUM(Jul!C59, Aug!C59, Sep!C61)</f>
        <v>154269</v>
      </c>
      <c r="D59" s="18">
        <f>SUM(Jul!D59, Aug!D59, Sep!D61)</f>
        <v>31465</v>
      </c>
      <c r="E59" s="18">
        <f t="shared" si="9"/>
        <v>122804</v>
      </c>
      <c r="F59" s="19">
        <f t="shared" si="10"/>
        <v>3.9028762116637532</v>
      </c>
      <c r="G59" s="20">
        <f>SUM(Jul!G59, Aug!G59, Sep!G61)</f>
        <v>181797.61</v>
      </c>
      <c r="H59" s="20">
        <f>SUM(Jul!H59, Aug!H59, Sep!H61)</f>
        <v>-27528.609999999993</v>
      </c>
      <c r="I59" s="19">
        <f t="shared" si="11"/>
        <v>-0.1514244879236861</v>
      </c>
    </row>
    <row r="60" spans="1:9" ht="15.6">
      <c r="A60" s="48" t="str">
        <v>Kohls - Sonora</v>
      </c>
      <c r="B60" s="12" t="str">
        <v>CA</v>
      </c>
      <c r="C60" s="24">
        <f>SUM(Jul!C60, Aug!C60, Sep!C62)</f>
        <v>70722</v>
      </c>
      <c r="D60" s="13">
        <f>SUM(Jul!D60, Aug!D60, Sep!D62)</f>
        <v>128859</v>
      </c>
      <c r="E60" s="13">
        <f t="shared" si="9"/>
        <v>-58137</v>
      </c>
      <c r="F60" s="14">
        <f t="shared" si="10"/>
        <v>-0.45116755523479152</v>
      </c>
      <c r="G60" s="15">
        <f>SUM(Jul!G60, Aug!G60, Sep!G60)</f>
        <v>104712.93000000001</v>
      </c>
      <c r="H60" s="15">
        <f>SUM(Jul!H60, Aug!H60, Sep!H62)</f>
        <v>-13631.600000000004</v>
      </c>
      <c r="I60" s="16">
        <f t="shared" si="11"/>
        <v>-0.13018067587259763</v>
      </c>
    </row>
    <row r="61" spans="1:9" ht="15.6">
      <c r="A61" s="49" t="str">
        <v>CUSD - Stratford ES</v>
      </c>
      <c r="B61" s="17" t="str">
        <v>CA</v>
      </c>
      <c r="C61" s="11">
        <f>SUM(Jul!C61, Aug!C61, Sep!C63)</f>
        <v>56148</v>
      </c>
      <c r="D61" s="18">
        <f>SUM(Jul!D61, Aug!D61, Sep!D63)</f>
        <v>80350</v>
      </c>
      <c r="E61" s="18">
        <f t="shared" si="9"/>
        <v>-24202</v>
      </c>
      <c r="F61" s="19">
        <f t="shared" si="10"/>
        <v>-0.30120721841941506</v>
      </c>
      <c r="G61" s="20">
        <f>SUM(Jul!G61, Aug!G61, Sep!G63)</f>
        <v>65328.93</v>
      </c>
      <c r="H61" s="20">
        <f>SUM(Jul!H61, Aug!H61, Sep!H63)</f>
        <v>-9180.9299999999985</v>
      </c>
      <c r="I61" s="19">
        <f t="shared" si="11"/>
        <v>-0.14053391047427224</v>
      </c>
    </row>
    <row r="62" spans="1:9" ht="15.6">
      <c r="A62" s="48" t="str">
        <v>Taft - City Hall</v>
      </c>
      <c r="B62" s="12" t="str">
        <v>CA</v>
      </c>
      <c r="C62" s="24">
        <f>SUM(Jul!C62, Aug!C62, Sep!C64)</f>
        <v>26744</v>
      </c>
      <c r="D62" s="13">
        <f>SUM(Jul!D62, Aug!D62, Sep!D64)</f>
        <v>101338</v>
      </c>
      <c r="E62" s="13">
        <f t="shared" si="9"/>
        <v>-74594</v>
      </c>
      <c r="F62" s="14">
        <f t="shared" si="10"/>
        <v>-0.73609110106771403</v>
      </c>
      <c r="G62" s="15">
        <f>SUM(Jul!G62, Aug!G62, Sep!G62)</f>
        <v>31698.14</v>
      </c>
      <c r="H62" s="15">
        <f>SUM(Jul!H62, Aug!H62, Sep!H64)</f>
        <v>-6295.1899999999987</v>
      </c>
      <c r="I62" s="16">
        <f t="shared" si="11"/>
        <v>-0.19859808808971122</v>
      </c>
    </row>
    <row r="63" spans="1:9" ht="15.6">
      <c r="A63" s="49" t="str">
        <v>Taft - Federal Prison</v>
      </c>
      <c r="B63" s="17" t="str">
        <v>CA</v>
      </c>
      <c r="C63" s="11">
        <f>SUM(Jul!C63, Aug!C63, Sep!C65)</f>
        <v>10757</v>
      </c>
      <c r="D63" s="18">
        <f>SUM(Jul!D63, Aug!D63, Sep!D65)</f>
        <v>17529</v>
      </c>
      <c r="E63" s="18">
        <f t="shared" si="9"/>
        <v>-6772</v>
      </c>
      <c r="F63" s="19">
        <f t="shared" si="10"/>
        <v>-0.38633122254549601</v>
      </c>
      <c r="G63" s="20">
        <f>SUM(Jul!G63, Aug!G63, Sep!G65)</f>
        <v>102802.84</v>
      </c>
      <c r="H63" s="20">
        <f>SUM(Jul!H63, Aug!H63, Sep!H65)</f>
        <v>-92045.84</v>
      </c>
      <c r="I63" s="19">
        <f t="shared" si="11"/>
        <v>-0.89536281293396169</v>
      </c>
    </row>
    <row r="64" spans="1:9" ht="15.6">
      <c r="A64" s="48" t="str">
        <v>Taft - Police Department</v>
      </c>
      <c r="B64" s="12" t="str">
        <v>CA</v>
      </c>
      <c r="C64" s="24">
        <f>SUM(Jul!C64, Aug!C64, Sep!C66)</f>
        <v>125399</v>
      </c>
      <c r="D64" s="13">
        <f>SUM(Jul!D64, Aug!D64, Sep!D66)</f>
        <v>19268</v>
      </c>
      <c r="E64" s="13">
        <f t="shared" si="9"/>
        <v>106131</v>
      </c>
      <c r="F64" s="14">
        <f t="shared" si="10"/>
        <v>5.5081482250363294</v>
      </c>
      <c r="G64" s="15">
        <f>SUM(Jul!G64, Aug!G64, Sep!G64)</f>
        <v>36254.409999999996</v>
      </c>
      <c r="H64" s="15">
        <f>SUM(Jul!H64, Aug!H64, Sep!H66)</f>
        <v>-108303.79000000001</v>
      </c>
      <c r="I64" s="16">
        <f t="shared" si="11"/>
        <v>-2.987327334798719</v>
      </c>
    </row>
    <row r="65" spans="1:9" ht="15.6">
      <c r="A65" s="49" t="str">
        <v>Taft - WTP</v>
      </c>
      <c r="B65" s="17" t="str">
        <v>CA</v>
      </c>
      <c r="C65" s="11">
        <f>SUM(Jul!C65, Aug!C65, Sep!C67)</f>
        <v>110217</v>
      </c>
      <c r="D65" s="18">
        <f>SUM(Jul!D65, Aug!D65, Sep!D67)</f>
        <v>260696</v>
      </c>
      <c r="E65" s="18">
        <f t="shared" si="9"/>
        <v>-150479</v>
      </c>
      <c r="F65" s="19">
        <f t="shared" si="10"/>
        <v>-0.57722021051339489</v>
      </c>
      <c r="G65" s="20">
        <f>SUM(Jul!G65, Aug!G65, Sep!G67)</f>
        <v>336377.28100000002</v>
      </c>
      <c r="H65" s="20">
        <f>SUM(Jul!H65, Aug!H65, Sep!H67)</f>
        <v>-226160.28100000002</v>
      </c>
      <c r="I65" s="19">
        <f t="shared" si="11"/>
        <v>-0.67234112936420343</v>
      </c>
    </row>
    <row r="66" spans="1:9" ht="15.6">
      <c r="A66" s="48" t="str">
        <v>CDCR - CA Correctional Institution</v>
      </c>
      <c r="B66" s="12" t="str">
        <v>CA</v>
      </c>
      <c r="C66" s="24">
        <f>SUM(Jul!C66, Aug!C66, Sep!C68)</f>
        <v>33852</v>
      </c>
      <c r="D66" s="13">
        <f>SUM(Jul!D66, Aug!D66, Sep!D68)</f>
        <v>39589</v>
      </c>
      <c r="E66" s="13">
        <f t="shared" si="9"/>
        <v>-5737</v>
      </c>
      <c r="F66" s="14">
        <f t="shared" si="10"/>
        <v>-0.14491399126019855</v>
      </c>
      <c r="G66" s="15">
        <f>SUM(Jul!G66, Aug!G66, Sep!G66)</f>
        <v>234303.46000000002</v>
      </c>
      <c r="H66" s="15">
        <f>SUM(Jul!H66, Aug!H66, Sep!H68)</f>
        <v>-20404.5</v>
      </c>
      <c r="I66" s="16">
        <f t="shared" si="11"/>
        <v>-8.7085781831817588E-2</v>
      </c>
    </row>
    <row r="67" spans="1:9" ht="15.6">
      <c r="A67" s="49" t="str">
        <v>CDCR - CA Correctional Institution II</v>
      </c>
      <c r="B67" s="17" t="str">
        <v>CA</v>
      </c>
      <c r="C67" s="11">
        <f>SUM(Jul!C67, Aug!C67, Sep!C69)</f>
        <v>146651</v>
      </c>
      <c r="D67" s="18">
        <f>SUM(Jul!D67, Aug!D67, Sep!D69)</f>
        <v>416362</v>
      </c>
      <c r="E67" s="18">
        <f t="shared" si="9"/>
        <v>-269711</v>
      </c>
      <c r="F67" s="19">
        <f t="shared" si="10"/>
        <v>-0.64778005677751571</v>
      </c>
      <c r="G67" s="20">
        <f>SUM(Jul!G67, Aug!G67, Sep!G69)</f>
        <v>809286.34400000004</v>
      </c>
      <c r="H67" s="20">
        <f>SUM(Jul!H67, Aug!H67, Sep!H69)</f>
        <v>-662635.34400000004</v>
      </c>
      <c r="I67" s="19">
        <f t="shared" si="11"/>
        <v>-0.8187897261738547</v>
      </c>
    </row>
    <row r="68" spans="1:9" ht="15.6">
      <c r="A68" s="48" t="str">
        <v>Snowline SD - Vista Verde ES</v>
      </c>
      <c r="B68" s="12" t="str">
        <v>CA</v>
      </c>
      <c r="C68" s="24">
        <f>SUM(Jul!C68, Aug!C68, Sep!C70)</f>
        <v>43183</v>
      </c>
      <c r="D68" s="13">
        <f>SUM(Jul!D68, Aug!D68, Sep!D70)</f>
        <v>64469</v>
      </c>
      <c r="E68" s="13">
        <f t="shared" si="9"/>
        <v>-21286</v>
      </c>
      <c r="F68" s="14">
        <f t="shared" si="10"/>
        <v>-0.33017419224743677</v>
      </c>
      <c r="G68" s="15">
        <f>SUM(Jul!G68, Aug!G68, Sep!G68)</f>
        <v>98001.61</v>
      </c>
      <c r="H68" s="15">
        <f>SUM(Jul!H68, Aug!H68, Sep!H70)</f>
        <v>-26767.809999999998</v>
      </c>
      <c r="I68" s="16">
        <f t="shared" si="11"/>
        <v>-0.27313643112597841</v>
      </c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68" activePane="bottomRight" state="frozen"/>
      <selection pane="bottomRight" activeCell="C68" sqref="C68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16</v>
      </c>
      <c r="E1" s="100"/>
      <c r="F1" s="100"/>
      <c r="G1" s="98" t="s">
        <v>17</v>
      </c>
      <c r="H1" s="98"/>
      <c r="I1" s="98"/>
    </row>
    <row r="2" spans="1:9" ht="19.5" customHeight="1">
      <c r="A2" s="101" t="s">
        <v>2</v>
      </c>
      <c r="B2" s="101"/>
      <c r="C2" s="5">
        <f>SUM(C4:C100)</f>
        <v>5054896</v>
      </c>
      <c r="D2" s="5">
        <f>SUM(D4:D100)</f>
        <v>5965268</v>
      </c>
      <c r="E2" s="5">
        <f>C2-D2</f>
        <v>-910372</v>
      </c>
      <c r="F2" s="6">
        <f>IFERROR(E2/D2, 0)</f>
        <v>-0.1526120871685899</v>
      </c>
      <c r="G2" s="5">
        <f>SUM(G4:G100)</f>
        <v>8344331.4380000001</v>
      </c>
      <c r="H2" s="7">
        <f>C2-G2</f>
        <v>-3289435.4380000001</v>
      </c>
      <c r="I2" s="6">
        <f>IFERROR(H2/G2, 0)</f>
        <v>-0.39421198240280159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SUM(Oct!C4, Nov!C4, Dec!C4)</f>
        <v>51690</v>
      </c>
      <c r="D4" s="13">
        <f>SUM(Oct!D4, Nov!D4, Dec!D4)</f>
        <v>72527</v>
      </c>
      <c r="E4" s="13">
        <f>IF(AND(ISNUMBER(C4),ISNUMBER(D4)), C4-D4, "")</f>
        <v>-20837</v>
      </c>
      <c r="F4" s="14">
        <f>IFERROR(E4/D4, "")</f>
        <v>-0.28729990210542283</v>
      </c>
      <c r="G4" s="15">
        <f>SUM(Oct!G4,Nov!G4,Dec!G4)</f>
        <v>44699.12</v>
      </c>
      <c r="H4" s="15">
        <f>SUM(Oct!H4, Nov!H4, Dec!H4)</f>
        <v>6990.880000000001</v>
      </c>
      <c r="I4" s="16">
        <f>IFERROR(H4/G4, "")</f>
        <v>0.15639860471526063</v>
      </c>
    </row>
    <row r="5" spans="1:9" ht="15.6">
      <c r="A5" s="49" t="str">
        <v>Kohls - Auburn</v>
      </c>
      <c r="B5" s="10" t="str">
        <v>NY</v>
      </c>
      <c r="C5" s="11">
        <f>SUM(Oct!C5, Nov!C5, Dec!C5)</f>
        <v>46642</v>
      </c>
      <c r="D5" s="18">
        <f>SUM(Oct!D5, Nov!D5, Dec!D5)</f>
        <v>64247</v>
      </c>
      <c r="E5" s="18">
        <f t="shared" ref="E5:E15" si="0">IF(AND(ISNUMBER(C5),ISNUMBER(D5)), C5-D5, "")</f>
        <v>-17605</v>
      </c>
      <c r="F5" s="19">
        <f>IFERROR(E5/D5, "")</f>
        <v>-0.27402057683627251</v>
      </c>
      <c r="G5" s="65">
        <f>SUM(Oct!G5,Nov!G5,Dec!G5)</f>
        <v>42246.18</v>
      </c>
      <c r="H5" s="20">
        <f>SUM(Oct!H5, Nov!H5, Dec!H5)</f>
        <v>4395.82</v>
      </c>
      <c r="I5" s="19">
        <f>IFERROR(H5/G5, "")</f>
        <v>0.10405248474536632</v>
      </c>
    </row>
    <row r="6" spans="1:9" ht="15.6">
      <c r="A6" s="48" t="str">
        <v>Kohls - Bensalem</v>
      </c>
      <c r="B6" s="9" t="str">
        <v>PA</v>
      </c>
      <c r="C6" s="24">
        <f>SUM(Oct!C6, Nov!C6, Dec!C6)</f>
        <v>68687</v>
      </c>
      <c r="D6" s="13">
        <f>SUM(Oct!D6, Nov!D6, Dec!D6)</f>
        <v>91914</v>
      </c>
      <c r="E6" s="13">
        <f t="shared" si="0"/>
        <v>-23227</v>
      </c>
      <c r="F6" s="14">
        <f t="shared" ref="F6:F15" si="1">IFERROR(E6/D6, "")</f>
        <v>-0.2527036142481015</v>
      </c>
      <c r="G6" s="15">
        <f>SUM(Oct!G6,Nov!G6,Dec!G6)</f>
        <v>54322.69</v>
      </c>
      <c r="H6" s="15">
        <f>SUM(Oct!H6, Nov!H6, Dec!H6)</f>
        <v>14364.309999999998</v>
      </c>
      <c r="I6" s="16">
        <f t="shared" ref="I6:I15" si="2">IFERROR(H6/G6, "")</f>
        <v>0.26442560189858044</v>
      </c>
    </row>
    <row r="7" spans="1:9" ht="15.6">
      <c r="A7" s="49" t="str">
        <v>Kohls - Brick</v>
      </c>
      <c r="B7" s="10" t="str">
        <v>NJ</v>
      </c>
      <c r="C7" s="11">
        <f>SUM(Oct!C7, Nov!C7, Dec!C7)</f>
        <v>84139</v>
      </c>
      <c r="D7" s="18">
        <f>SUM(Oct!D7, Nov!D7, Dec!D7)</f>
        <v>114697</v>
      </c>
      <c r="E7" s="18">
        <f t="shared" si="0"/>
        <v>-30558</v>
      </c>
      <c r="F7" s="19">
        <f t="shared" si="1"/>
        <v>-0.26642370768197948</v>
      </c>
      <c r="G7" s="20">
        <f>SUM(Oct!G7,Nov!G7,Dec!G7)</f>
        <v>66618.76999999999</v>
      </c>
      <c r="H7" s="20">
        <f>SUM(Oct!H7, Nov!H7, Dec!H7)</f>
        <v>17520.23</v>
      </c>
      <c r="I7" s="19">
        <f t="shared" si="2"/>
        <v>0.26299239688754389</v>
      </c>
    </row>
    <row r="8" spans="1:9" ht="15.6">
      <c r="A8" s="48" t="str">
        <v>Kohls - Buffalo</v>
      </c>
      <c r="B8" s="9" t="str">
        <v>NY</v>
      </c>
      <c r="C8" s="24">
        <f>SUM(Oct!C8, Nov!C8, Dec!C8)</f>
        <v>51807</v>
      </c>
      <c r="D8" s="13">
        <f>SUM(Oct!D8, Nov!D8, Dec!D8)</f>
        <v>0</v>
      </c>
      <c r="E8" s="13">
        <f t="shared" si="0"/>
        <v>51807</v>
      </c>
      <c r="F8" s="14" t="str">
        <f t="shared" si="1"/>
        <v/>
      </c>
      <c r="G8" s="15">
        <f>SUM(Oct!G8,Nov!G8,Dec!G8)</f>
        <v>48640.87</v>
      </c>
      <c r="H8" s="15">
        <f>SUM(Oct!H8, Nov!H8, Dec!H8)</f>
        <v>3166.130000000001</v>
      </c>
      <c r="I8" s="16">
        <f t="shared" si="2"/>
        <v>6.5091968955325041E-2</v>
      </c>
    </row>
    <row r="9" spans="1:9" ht="15.6">
      <c r="A9" s="49" t="str">
        <v>Kohls - Canton</v>
      </c>
      <c r="B9" s="10" t="str">
        <v>CT</v>
      </c>
      <c r="C9" s="11">
        <f>SUM(Oct!C9, Nov!C9, Dec!C9)</f>
        <v>28280</v>
      </c>
      <c r="D9" s="18">
        <f>SUM(Oct!D9, Nov!D9, Dec!D9)</f>
        <v>35675</v>
      </c>
      <c r="E9" s="18">
        <f t="shared" si="0"/>
        <v>-7395</v>
      </c>
      <c r="F9" s="19">
        <f t="shared" si="1"/>
        <v>-0.20728801681850034</v>
      </c>
      <c r="G9" s="20">
        <f>SUM(Oct!G9,Nov!G9,Dec!G9)</f>
        <v>20503.43</v>
      </c>
      <c r="H9" s="20">
        <f>SUM(Oct!H9, Nov!H9, Dec!H9)</f>
        <v>7776.5700000000006</v>
      </c>
      <c r="I9" s="19">
        <f t="shared" si="2"/>
        <v>0.37928141779204749</v>
      </c>
    </row>
    <row r="10" spans="1:9" ht="15.6">
      <c r="A10" s="48" t="str">
        <v>Kohls - East Amherst</v>
      </c>
      <c r="B10" s="9" t="str">
        <v>NY</v>
      </c>
      <c r="C10" s="24">
        <f>SUM(Oct!C10, Nov!C10, Dec!C10)</f>
        <v>50546</v>
      </c>
      <c r="D10" s="13">
        <f>SUM(Oct!D10, Nov!D10, Dec!D10)</f>
        <v>71505</v>
      </c>
      <c r="E10" s="13">
        <f t="shared" si="0"/>
        <v>-20959</v>
      </c>
      <c r="F10" s="14">
        <f t="shared" si="1"/>
        <v>-0.29311236976435212</v>
      </c>
      <c r="G10" s="15">
        <f>SUM(Oct!G10,Nov!G10,Dec!G10)</f>
        <v>45058.020000000004</v>
      </c>
      <c r="H10" s="15">
        <f>SUM(Oct!H10, Nov!H10, Dec!H10)</f>
        <v>5487.98</v>
      </c>
      <c r="I10" s="16">
        <f t="shared" si="2"/>
        <v>0.12179807279591955</v>
      </c>
    </row>
    <row r="11" spans="1:9" ht="15.6">
      <c r="A11" s="49" t="str">
        <v>Kohls - East Brunswick</v>
      </c>
      <c r="B11" s="10" t="str">
        <v>NJ</v>
      </c>
      <c r="C11" s="11">
        <f>SUM(Oct!C11, Nov!C11, Dec!C11)</f>
        <v>96731</v>
      </c>
      <c r="D11" s="18">
        <f>SUM(Oct!D11, Nov!D11, Dec!D11)</f>
        <v>148984</v>
      </c>
      <c r="E11" s="18">
        <f t="shared" si="0"/>
        <v>-52253</v>
      </c>
      <c r="F11" s="19">
        <f t="shared" si="1"/>
        <v>-0.35072893733555283</v>
      </c>
      <c r="G11" s="20">
        <f>SUM(Oct!G11,Nov!G11,Dec!G11)</f>
        <v>85764.5</v>
      </c>
      <c r="H11" s="20">
        <f>SUM(Oct!H11, Nov!H11, Dec!H11)</f>
        <v>10966.500000000004</v>
      </c>
      <c r="I11" s="19">
        <f t="shared" si="2"/>
        <v>0.12786759090299604</v>
      </c>
    </row>
    <row r="12" spans="1:9" ht="15.6">
      <c r="A12" s="48" t="str">
        <v>Kohls - Edgewood</v>
      </c>
      <c r="B12" s="9" t="str">
        <v>MD</v>
      </c>
      <c r="C12" s="24">
        <f>SUM(Oct!C12, Nov!C12, Dec!C12)</f>
        <v>510431</v>
      </c>
      <c r="D12" s="13">
        <f>SUM(Oct!D12, Nov!D12, Dec!D12)</f>
        <v>731931</v>
      </c>
      <c r="E12" s="13">
        <f t="shared" si="0"/>
        <v>-221500</v>
      </c>
      <c r="F12" s="14">
        <f t="shared" si="1"/>
        <v>-0.30262415446264745</v>
      </c>
      <c r="G12" s="15">
        <f>SUM(Oct!G12,Nov!G12,Dec!G12)</f>
        <v>482968.35000000003</v>
      </c>
      <c r="H12" s="15">
        <f>SUM(Oct!H12, Nov!H12, Dec!H12)</f>
        <v>27462.64999999998</v>
      </c>
      <c r="I12" s="16">
        <f t="shared" si="2"/>
        <v>5.6862214677214307E-2</v>
      </c>
    </row>
    <row r="13" spans="1:9" ht="15.6">
      <c r="A13" s="49" t="str">
        <v>Kohls - Granite Run</v>
      </c>
      <c r="B13" s="10" t="str">
        <v>PA</v>
      </c>
      <c r="C13" s="11">
        <f>SUM(Oct!C13, Nov!C13, Dec!C13)</f>
        <v>64335</v>
      </c>
      <c r="D13" s="18">
        <f>SUM(Oct!D13, Nov!D13, Dec!D13)</f>
        <v>88476</v>
      </c>
      <c r="E13" s="18">
        <f t="shared" si="0"/>
        <v>-24141</v>
      </c>
      <c r="F13" s="19">
        <f t="shared" si="1"/>
        <v>-0.27285365522853655</v>
      </c>
      <c r="G13" s="20">
        <f>SUM(Oct!G13,Nov!G13,Dec!G13)</f>
        <v>54574.6</v>
      </c>
      <c r="H13" s="20">
        <f>SUM(Oct!H13, Nov!H13, Dec!H13)</f>
        <v>9760.4</v>
      </c>
      <c r="I13" s="19">
        <f t="shared" si="2"/>
        <v>0.17884510376622093</v>
      </c>
    </row>
    <row r="14" spans="1:9" ht="15.6">
      <c r="A14" s="48" t="str">
        <v>Kohls - Greece</v>
      </c>
      <c r="B14" s="9" t="str">
        <v>NY</v>
      </c>
      <c r="C14" s="24">
        <f>SUM(Oct!C14, Nov!C14, Dec!C14)</f>
        <v>27798</v>
      </c>
      <c r="D14" s="13">
        <f>SUM(Oct!D14, Nov!D14, Dec!D14)</f>
        <v>34561</v>
      </c>
      <c r="E14" s="13">
        <f t="shared" si="0"/>
        <v>-6763</v>
      </c>
      <c r="F14" s="14">
        <f t="shared" si="1"/>
        <v>-0.19568299528370128</v>
      </c>
      <c r="G14" s="15">
        <f>SUM(Oct!G14,Nov!G14,Dec!G14)</f>
        <v>49864.18</v>
      </c>
      <c r="H14" s="15">
        <f>SUM(Oct!H14, Nov!H14, Dec!H14)</f>
        <v>-22066.18</v>
      </c>
      <c r="I14" s="16">
        <f t="shared" si="2"/>
        <v>-0.44252567674831916</v>
      </c>
    </row>
    <row r="15" spans="1:9" ht="15.6">
      <c r="A15" s="49" t="str">
        <v>Kohls - Hanover</v>
      </c>
      <c r="B15" s="10" t="str">
        <v>PA</v>
      </c>
      <c r="C15" s="11">
        <f>SUM(Oct!C15, Nov!C15, Dec!C15)</f>
        <v>56898</v>
      </c>
      <c r="D15" s="18">
        <f>SUM(Oct!D15, Nov!D15, Dec!D15)</f>
        <v>84418</v>
      </c>
      <c r="E15" s="18">
        <f t="shared" si="0"/>
        <v>-27520</v>
      </c>
      <c r="F15" s="19">
        <f t="shared" si="1"/>
        <v>-0.32599682532161389</v>
      </c>
      <c r="G15" s="20">
        <f>SUM(Oct!G15,Nov!G15,Dec!G15)</f>
        <v>59171.090000000004</v>
      </c>
      <c r="H15" s="20">
        <f>SUM(Oct!H15, Nov!H15, Dec!H15)</f>
        <v>-2273.0900000000038</v>
      </c>
      <c r="I15" s="19">
        <f t="shared" si="2"/>
        <v>-3.8415550567008377E-2</v>
      </c>
    </row>
    <row r="16" spans="1:9" ht="15.6">
      <c r="A16" s="48" t="str">
        <v>Kohls - Horsehead</v>
      </c>
      <c r="B16" s="9" t="str">
        <v>NY</v>
      </c>
      <c r="C16" s="24">
        <f>SUM(Oct!C16, Nov!C16, Dec!C16)</f>
        <v>42511</v>
      </c>
      <c r="D16" s="13">
        <f>SUM(Oct!D16, Nov!D16, Dec!D16)</f>
        <v>62418</v>
      </c>
      <c r="E16" s="13">
        <f t="shared" ref="E16:E18" si="3">IF(AND(ISNUMBER(C16),ISNUMBER(D16)), C16-D16, "")</f>
        <v>-19907</v>
      </c>
      <c r="F16" s="14">
        <f t="shared" ref="F16:F18" si="4">IFERROR(E16/D16, "")</f>
        <v>-0.31893043673299371</v>
      </c>
      <c r="G16" s="15">
        <f>SUM(Oct!G16,Nov!G16,Dec!G16)</f>
        <v>43227.350000000006</v>
      </c>
      <c r="H16" s="15">
        <f>SUM(Oct!H16, Nov!H16, Dec!H16)</f>
        <v>-716.35000000000036</v>
      </c>
      <c r="I16" s="16">
        <f t="shared" ref="I16:I18" si="5">IFERROR(H16/G16, "")</f>
        <v>-1.6571684361868129E-2</v>
      </c>
    </row>
    <row r="17" spans="1:9" ht="15.6">
      <c r="A17" s="49" t="str">
        <v>Kohls - Hudson</v>
      </c>
      <c r="B17" s="10" t="str">
        <v>NY</v>
      </c>
      <c r="C17" s="11">
        <f>SUM(Oct!C17, Nov!C17, Dec!C17)</f>
        <v>56870</v>
      </c>
      <c r="D17" s="18">
        <f>SUM(Oct!D17, Nov!D17, Dec!D17)</f>
        <v>81434</v>
      </c>
      <c r="E17" s="18">
        <f t="shared" si="3"/>
        <v>-24564</v>
      </c>
      <c r="F17" s="19">
        <f t="shared" si="4"/>
        <v>-0.30164304835817962</v>
      </c>
      <c r="G17" s="20">
        <f>SUM(Oct!G17,Nov!G17,Dec!G17)</f>
        <v>50600.15</v>
      </c>
      <c r="H17" s="20">
        <f>SUM(Oct!H17, Nov!H17, Dec!H17)</f>
        <v>6269.8499999999985</v>
      </c>
      <c r="I17" s="19">
        <f t="shared" si="5"/>
        <v>0.12390971173010354</v>
      </c>
    </row>
    <row r="18" spans="1:9" ht="12.75" customHeight="1">
      <c r="A18" s="48" t="str">
        <v>Kohls - Ithaca</v>
      </c>
      <c r="B18" s="9" t="str">
        <v>NY</v>
      </c>
      <c r="C18" s="11">
        <f>SUM(Oct!C18, Nov!C18, Dec!C18)</f>
        <v>41517</v>
      </c>
      <c r="D18" s="18">
        <f>SUM(Oct!D18, Nov!D18, Dec!D18)</f>
        <v>62615</v>
      </c>
      <c r="E18" s="18">
        <f t="shared" si="3"/>
        <v>-21098</v>
      </c>
      <c r="F18" s="19">
        <f t="shared" si="4"/>
        <v>-0.3369480156512018</v>
      </c>
      <c r="G18" s="67">
        <f>SUM(Oct!G18,Nov!G18,Dec!G18)</f>
        <v>49484.67</v>
      </c>
      <c r="H18" s="20">
        <f>SUM(Oct!H18, Nov!H18, Dec!H18)</f>
        <v>-7967.6700000000019</v>
      </c>
      <c r="I18" s="19">
        <f t="shared" si="5"/>
        <v>-0.16101289550885156</v>
      </c>
    </row>
    <row r="19" spans="1:9" ht="15.6">
      <c r="A19" s="49" t="str">
        <v>Kohls - Kingston</v>
      </c>
      <c r="B19" s="10" t="str">
        <v>NY</v>
      </c>
      <c r="C19" s="24">
        <f>SUM(Oct!C19, Nov!C19, Dec!C19)</f>
        <v>76198</v>
      </c>
      <c r="D19" s="13">
        <f>SUM(Oct!D19, Nov!D19, Dec!D19)</f>
        <v>122135</v>
      </c>
      <c r="E19" s="13">
        <f t="shared" ref="E19:E20" si="6">IF(AND(ISNUMBER(C19),ISNUMBER(D19)), C19-D19, "")</f>
        <v>-45937</v>
      </c>
      <c r="F19" s="14">
        <f t="shared" ref="F19:F20" si="7">IFERROR(E19/D19, "")</f>
        <v>-0.37611659229541083</v>
      </c>
      <c r="G19" s="65">
        <f>SUM(Oct!G19,Nov!G19,Dec!G19)</f>
        <v>80808.300999999992</v>
      </c>
      <c r="H19" s="15">
        <f>SUM(Oct!H19, Nov!H19, Dec!H19)</f>
        <v>-4610.3009999999995</v>
      </c>
      <c r="I19" s="16">
        <f t="shared" ref="I19:I20" si="8">IFERROR(H19/G19, "")</f>
        <v>-5.7052319414561133E-2</v>
      </c>
    </row>
    <row r="20" spans="1:9" ht="15.6">
      <c r="A20" s="48" t="str">
        <v>Kohls - Mechanicsburg</v>
      </c>
      <c r="B20" s="9" t="str">
        <v>PA</v>
      </c>
      <c r="C20" s="11">
        <f>SUM(Oct!C20, Nov!C20, Dec!C20)</f>
        <v>79072</v>
      </c>
      <c r="D20" s="18">
        <f>SUM(Oct!D20, Nov!D20, Dec!D20)</f>
        <v>109087</v>
      </c>
      <c r="E20" s="18">
        <f t="shared" si="6"/>
        <v>-30015</v>
      </c>
      <c r="F20" s="19">
        <f t="shared" si="7"/>
        <v>-0.27514735944704688</v>
      </c>
      <c r="G20" s="67">
        <f>SUM(Oct!G20,Nov!G20,Dec!G20)</f>
        <v>68704.509999999995</v>
      </c>
      <c r="H20" s="20">
        <f>SUM(Oct!H20, Nov!H20, Dec!H20)</f>
        <v>10367.489999999998</v>
      </c>
      <c r="I20" s="19">
        <f t="shared" si="8"/>
        <v>0.15089970076200235</v>
      </c>
    </row>
    <row r="21" spans="1:9" ht="15.6">
      <c r="A21" s="49" t="str">
        <v>Kohls - Middletown</v>
      </c>
      <c r="B21" s="10" t="str">
        <v>NJ</v>
      </c>
      <c r="C21" s="24">
        <f>SUM(Oct!C21, Nov!C21, Dec!C21)</f>
        <v>120238</v>
      </c>
      <c r="D21" s="13">
        <f>SUM(Oct!D21, Nov!D21, Dec!D21)</f>
        <v>148499</v>
      </c>
      <c r="E21" s="13">
        <f t="shared" ref="E21:E68" si="9">IF(AND(ISNUMBER(C21),ISNUMBER(D21)), C21-D21, "")</f>
        <v>-28261</v>
      </c>
      <c r="F21" s="14">
        <f t="shared" ref="F21:F68" si="10">IFERROR(E21/D21, "")</f>
        <v>-0.19031104586562872</v>
      </c>
      <c r="G21" s="65">
        <f>SUM(Oct!G21,Nov!G21,Dec!G21)</f>
        <v>100719.66</v>
      </c>
      <c r="H21" s="15">
        <f>SUM(Oct!H21, Nov!H21, Dec!H21)</f>
        <v>19518.34</v>
      </c>
      <c r="I21" s="16">
        <f t="shared" ref="I21:I68" si="11">IFERROR(H21/G21, "")</f>
        <v>0.19378877966823954</v>
      </c>
    </row>
    <row r="22" spans="1:9" ht="15.6">
      <c r="A22" s="48" t="str">
        <v>Kohls - North Amherst</v>
      </c>
      <c r="B22" s="9" t="str">
        <v>NY</v>
      </c>
      <c r="C22" s="11">
        <f>SUM(Oct!C22, Nov!C22, Dec!C22)</f>
        <v>0</v>
      </c>
      <c r="D22" s="18">
        <f>SUM(Oct!D22, Nov!D22, Dec!D22)</f>
        <v>0</v>
      </c>
      <c r="E22" s="18">
        <f t="shared" si="9"/>
        <v>0</v>
      </c>
      <c r="F22" s="19" t="str">
        <f t="shared" si="10"/>
        <v/>
      </c>
      <c r="G22" s="67">
        <f>SUM(Oct!G22,Nov!G22,Dec!G22)</f>
        <v>41376.079999999994</v>
      </c>
      <c r="H22" s="20">
        <f>SUM(Oct!H22, Nov!H22, Dec!H22)</f>
        <v>-41376.079999999994</v>
      </c>
      <c r="I22" s="19">
        <f t="shared" si="11"/>
        <v>-1</v>
      </c>
    </row>
    <row r="23" spans="1:9" ht="15.6">
      <c r="A23" s="49" t="str">
        <v>Kohls - Staten Island</v>
      </c>
      <c r="B23" s="10" t="str">
        <v>NY</v>
      </c>
      <c r="C23" s="24">
        <f>SUM(Oct!C23, Nov!C23, Dec!C23)</f>
        <v>305</v>
      </c>
      <c r="D23" s="13">
        <f>SUM(Oct!D23, Nov!D23, Dec!D23)</f>
        <v>0</v>
      </c>
      <c r="E23" s="13">
        <f t="shared" si="9"/>
        <v>305</v>
      </c>
      <c r="F23" s="14" t="str">
        <f t="shared" si="10"/>
        <v/>
      </c>
      <c r="G23" s="65">
        <f>SUM(Oct!G23,Nov!G23,Dec!G23)</f>
        <v>61360.2</v>
      </c>
      <c r="H23" s="15">
        <f>SUM(Oct!H23, Nov!H23, Dec!H23)</f>
        <v>-61055.199999999997</v>
      </c>
      <c r="I23" s="16">
        <f t="shared" si="11"/>
        <v>-0.99502935127330094</v>
      </c>
    </row>
    <row r="24" spans="1:9" ht="15.6">
      <c r="A24" s="48" t="str">
        <v>Kohls - Warminster</v>
      </c>
      <c r="B24" s="9" t="str">
        <v>PA</v>
      </c>
      <c r="C24" s="11">
        <f>SUM(Oct!C24, Nov!C24, Dec!C24)</f>
        <v>82397</v>
      </c>
      <c r="D24" s="18">
        <f>SUM(Oct!D24, Nov!D24, Dec!D24)</f>
        <v>107979</v>
      </c>
      <c r="E24" s="18">
        <f t="shared" si="9"/>
        <v>-25582</v>
      </c>
      <c r="F24" s="19">
        <f t="shared" si="10"/>
        <v>-0.23691643745543114</v>
      </c>
      <c r="G24" s="67">
        <f>SUM(Oct!G24,Nov!G24,Dec!G24)</f>
        <v>66988.59</v>
      </c>
      <c r="H24" s="20">
        <f>SUM(Oct!H24, Nov!H24, Dec!H24)</f>
        <v>15408.41</v>
      </c>
      <c r="I24" s="19">
        <f t="shared" si="11"/>
        <v>0.23001543994283208</v>
      </c>
    </row>
    <row r="25" spans="1:9" ht="15.6">
      <c r="A25" s="49" t="str">
        <v xml:space="preserve">Kohls - Waterbury </v>
      </c>
      <c r="B25" s="10" t="str">
        <v>CT</v>
      </c>
      <c r="C25" s="24">
        <f>SUM(Oct!C25, Nov!C25, Dec!C25)</f>
        <v>69732</v>
      </c>
      <c r="D25" s="13">
        <f>SUM(Oct!D25, Nov!D25, Dec!D25)</f>
        <v>86414</v>
      </c>
      <c r="E25" s="13">
        <f t="shared" si="9"/>
        <v>-16682</v>
      </c>
      <c r="F25" s="14">
        <f t="shared" si="10"/>
        <v>-0.19304742287129401</v>
      </c>
      <c r="G25" s="65">
        <f>SUM(Oct!G25,Nov!G25,Dec!G25)</f>
        <v>57393.06</v>
      </c>
      <c r="H25" s="15">
        <f>SUM(Oct!H25, Nov!H25, Dec!H25)</f>
        <v>12338.939999999999</v>
      </c>
      <c r="I25" s="16">
        <f t="shared" si="11"/>
        <v>0.21499010507542199</v>
      </c>
    </row>
    <row r="26" spans="1:9" ht="15.6">
      <c r="A26" s="48" t="str">
        <v>Mojave Water Agency - Headquarters</v>
      </c>
      <c r="B26" s="9" t="str">
        <v>CA</v>
      </c>
      <c r="C26" s="11">
        <f>SUM(Oct!C26, Nov!C26, Dec!C26)</f>
        <v>81628</v>
      </c>
      <c r="D26" s="18">
        <f>SUM(Oct!D26, Nov!D26, Dec!D26)</f>
        <v>114304</v>
      </c>
      <c r="E26" s="18">
        <f t="shared" si="9"/>
        <v>-32676</v>
      </c>
      <c r="F26" s="19">
        <f t="shared" si="10"/>
        <v>-0.2858692609182531</v>
      </c>
      <c r="G26" s="67">
        <f>SUM(Oct!G26,Nov!G26,Dec!G26)</f>
        <v>84193.32</v>
      </c>
      <c r="H26" s="20">
        <f>SUM(Oct!H26, Nov!H26, Dec!H26)</f>
        <v>-2565.3199999999997</v>
      </c>
      <c r="I26" s="19">
        <f t="shared" si="11"/>
        <v>-3.0469400660289907E-2</v>
      </c>
    </row>
    <row r="27" spans="1:9" ht="15.6">
      <c r="A27" s="49" t="str">
        <v>CSU - Bakersfield</v>
      </c>
      <c r="B27" s="10" t="str">
        <v>CA</v>
      </c>
      <c r="C27" s="24">
        <f>SUM(Oct!C27, Nov!C27, Dec!C27)</f>
        <v>182041</v>
      </c>
      <c r="D27" s="13">
        <f>SUM(Oct!D27, Nov!D27, Dec!D27)</f>
        <v>484386</v>
      </c>
      <c r="E27" s="13">
        <f t="shared" si="9"/>
        <v>-302345</v>
      </c>
      <c r="F27" s="14">
        <f t="shared" si="10"/>
        <v>-0.6241819540614304</v>
      </c>
      <c r="G27" s="65">
        <f>SUM(Oct!G27,Nov!G27,Dec!G27)</f>
        <v>242132.58000000002</v>
      </c>
      <c r="H27" s="15">
        <f>SUM(Oct!H27, Nov!H27, Dec!H27)</f>
        <v>-60091.58</v>
      </c>
      <c r="I27" s="16">
        <f t="shared" si="11"/>
        <v>-0.24817635032840271</v>
      </c>
    </row>
    <row r="28" spans="1:9" ht="15.6">
      <c r="A28" s="48" t="str">
        <v>Greenfield USD - Fairfield ES</v>
      </c>
      <c r="B28" s="9" t="str">
        <v>CA</v>
      </c>
      <c r="C28" s="11">
        <f>SUM(Oct!C28, Nov!C28, Dec!C28)</f>
        <v>22225</v>
      </c>
      <c r="D28" s="18">
        <f>SUM(Oct!D28, Nov!D28, Dec!D28)</f>
        <v>0</v>
      </c>
      <c r="E28" s="18">
        <f t="shared" si="9"/>
        <v>22225</v>
      </c>
      <c r="F28" s="19" t="str">
        <f t="shared" si="10"/>
        <v/>
      </c>
      <c r="G28" s="67">
        <f>SUM(Oct!G28,Nov!G28,Dec!G28)</f>
        <v>27796.940000000002</v>
      </c>
      <c r="H28" s="20">
        <f>SUM(Oct!H28, Nov!H28, Dec!H28)</f>
        <v>-5571.9400000000005</v>
      </c>
      <c r="I28" s="19">
        <f t="shared" si="11"/>
        <v>-0.20045156049550777</v>
      </c>
    </row>
    <row r="29" spans="1:9" ht="15.6">
      <c r="A29" s="49" t="str">
        <v>Greenfield USD - Granite Point ES</v>
      </c>
      <c r="B29" s="10" t="str">
        <v>CA</v>
      </c>
      <c r="C29" s="24">
        <f>SUM(Oct!C29, Nov!C29, Dec!C29)</f>
        <v>64813</v>
      </c>
      <c r="D29" s="13">
        <f>SUM(Oct!D29, Nov!D29, Dec!D29)</f>
        <v>101563</v>
      </c>
      <c r="E29" s="13">
        <f t="shared" si="9"/>
        <v>-36750</v>
      </c>
      <c r="F29" s="14">
        <f t="shared" si="10"/>
        <v>-0.36184437245847406</v>
      </c>
      <c r="G29" s="65">
        <f>SUM(Oct!G29,Nov!G29,Dec!G29)</f>
        <v>72730.25</v>
      </c>
      <c r="H29" s="15">
        <f>SUM(Oct!H29, Nov!H29, Dec!H29)</f>
        <v>-7917.25</v>
      </c>
      <c r="I29" s="16">
        <f t="shared" si="11"/>
        <v>-0.10885773113663159</v>
      </c>
    </row>
    <row r="30" spans="1:9" ht="15.6">
      <c r="A30" s="48" t="str">
        <v>Greenfield USD - Greenfield MS</v>
      </c>
      <c r="B30" s="9" t="str">
        <v>CA</v>
      </c>
      <c r="C30" s="11">
        <f>SUM(Oct!C30, Nov!C30, Dec!C30)</f>
        <v>37831</v>
      </c>
      <c r="D30" s="18">
        <f>SUM(Oct!D30, Nov!D30, Dec!D30)</f>
        <v>68719</v>
      </c>
      <c r="E30" s="18">
        <f t="shared" si="9"/>
        <v>-30888</v>
      </c>
      <c r="F30" s="19">
        <f t="shared" si="10"/>
        <v>-0.4494826758247355</v>
      </c>
      <c r="G30" s="67">
        <f>SUM(Oct!G30,Nov!G30,Dec!G30)</f>
        <v>50123.369999999995</v>
      </c>
      <c r="H30" s="20">
        <f>SUM(Oct!H30, Nov!H30, Dec!H30)</f>
        <v>-12292.369999999999</v>
      </c>
      <c r="I30" s="19">
        <f t="shared" si="11"/>
        <v>-0.24524228917568791</v>
      </c>
    </row>
    <row r="31" spans="1:9" ht="15.6">
      <c r="A31" s="49" t="str">
        <v>Greenfield USD - Horizon ES</v>
      </c>
      <c r="B31" s="10" t="str">
        <v>CA</v>
      </c>
      <c r="C31" s="24">
        <f>SUM(Oct!C31, Nov!C31, Dec!C31)</f>
        <v>34097</v>
      </c>
      <c r="D31" s="13">
        <f>SUM(Oct!D31, Nov!D31, Dec!D31)</f>
        <v>97092</v>
      </c>
      <c r="E31" s="13">
        <f t="shared" si="9"/>
        <v>-62995</v>
      </c>
      <c r="F31" s="14">
        <f t="shared" si="10"/>
        <v>-0.64881761628146495</v>
      </c>
      <c r="G31" s="65">
        <f>SUM(Oct!G31,Nov!G31,Dec!G31)</f>
        <v>74041.88</v>
      </c>
      <c r="H31" s="15">
        <f>SUM(Oct!H31, Nov!H31, Dec!H31)</f>
        <v>-39944.879999999997</v>
      </c>
      <c r="I31" s="16">
        <f t="shared" si="11"/>
        <v>-0.53949035329735007</v>
      </c>
    </row>
    <row r="32" spans="1:9" ht="15.6">
      <c r="A32" s="48" t="str">
        <v>Greenfield USD - McKee MS</v>
      </c>
      <c r="B32" s="9" t="str">
        <v>CA</v>
      </c>
      <c r="C32" s="11">
        <f>SUM(Oct!C32, Nov!C32, Dec!C32)</f>
        <v>24380</v>
      </c>
      <c r="D32" s="18">
        <f>SUM(Oct!D32, Nov!D32, Dec!D32)</f>
        <v>57993</v>
      </c>
      <c r="E32" s="18">
        <f t="shared" si="9"/>
        <v>-33613</v>
      </c>
      <c r="F32" s="19">
        <f t="shared" si="10"/>
        <v>-0.57960443501801939</v>
      </c>
      <c r="G32" s="67">
        <f>SUM(Oct!G32,Nov!G32,Dec!G32)</f>
        <v>45337.81</v>
      </c>
      <c r="H32" s="20">
        <f>SUM(Oct!H32, Nov!H32, Dec!H32)</f>
        <v>-20957.809999999998</v>
      </c>
      <c r="I32" s="19">
        <f t="shared" si="11"/>
        <v>-0.46225898427824369</v>
      </c>
    </row>
    <row r="33" spans="1:9" ht="15.6">
      <c r="A33" s="49" t="str">
        <v>Greenfield USD - Plantation ES</v>
      </c>
      <c r="B33" s="10" t="str">
        <v>CA</v>
      </c>
      <c r="C33" s="24">
        <f>SUM(Oct!C33, Nov!C33, Dec!C33)</f>
        <v>28103</v>
      </c>
      <c r="D33" s="13">
        <f>SUM(Oct!D33, Nov!D33, Dec!D33)</f>
        <v>46525</v>
      </c>
      <c r="E33" s="13">
        <f t="shared" si="9"/>
        <v>-18422</v>
      </c>
      <c r="F33" s="14">
        <f t="shared" si="10"/>
        <v>-0.39595916174099949</v>
      </c>
      <c r="G33" s="65">
        <f>SUM(Oct!G33,Nov!G33,Dec!G33)</f>
        <v>32295.549999999996</v>
      </c>
      <c r="H33" s="15">
        <f>SUM(Oct!H33, Nov!H33, Dec!H33)</f>
        <v>-4192.5499999999993</v>
      </c>
      <c r="I33" s="16">
        <f t="shared" si="11"/>
        <v>-0.12981819476677126</v>
      </c>
    </row>
    <row r="34" spans="1:9" ht="15.6">
      <c r="A34" s="48" t="str">
        <v>Greenfield USD - Planz ES</v>
      </c>
      <c r="B34" s="9" t="str">
        <v>CA</v>
      </c>
      <c r="C34" s="11">
        <f>SUM(Oct!C34, Nov!C34, Dec!C34)</f>
        <v>10259</v>
      </c>
      <c r="D34" s="18">
        <f>SUM(Oct!D34, Nov!D34, Dec!D34)</f>
        <v>47583</v>
      </c>
      <c r="E34" s="18">
        <f t="shared" si="9"/>
        <v>-37324</v>
      </c>
      <c r="F34" s="19">
        <f t="shared" si="10"/>
        <v>-0.78439778912636871</v>
      </c>
      <c r="G34" s="67">
        <f>SUM(Oct!G34,Nov!G34,Dec!G34)</f>
        <v>36710.85</v>
      </c>
      <c r="H34" s="20">
        <f>SUM(Oct!H34, Nov!H34, Dec!H34)</f>
        <v>-26451.85</v>
      </c>
      <c r="I34" s="19">
        <f t="shared" si="11"/>
        <v>-0.7205458331801089</v>
      </c>
    </row>
    <row r="35" spans="1:9" ht="15.6">
      <c r="A35" s="49" t="str">
        <v>Greenfield USD - Raffaello Palla ES</v>
      </c>
      <c r="B35" s="10" t="str">
        <v>CA</v>
      </c>
      <c r="C35" s="24">
        <f>SUM(Oct!C35, Nov!C35, Dec!C35)</f>
        <v>51312</v>
      </c>
      <c r="D35" s="13">
        <f>SUM(Oct!D35, Nov!D35, Dec!D35)</f>
        <v>97150</v>
      </c>
      <c r="E35" s="13">
        <f t="shared" si="9"/>
        <v>-45838</v>
      </c>
      <c r="F35" s="14">
        <f t="shared" si="10"/>
        <v>-0.47182707153885745</v>
      </c>
      <c r="G35" s="65">
        <f>SUM(Oct!G35,Nov!G35,Dec!G35)</f>
        <v>82243.040000000008</v>
      </c>
      <c r="H35" s="15">
        <f>SUM(Oct!H35, Nov!H35, Dec!H35)</f>
        <v>-30931.040000000001</v>
      </c>
      <c r="I35" s="16">
        <f t="shared" si="11"/>
        <v>-0.37609310161686627</v>
      </c>
    </row>
    <row r="36" spans="1:9" ht="15.6">
      <c r="A36" s="48" t="str">
        <v>Greenfield USD - Valle Verde ES</v>
      </c>
      <c r="B36" s="9" t="str">
        <v>CA</v>
      </c>
      <c r="C36" s="11">
        <f>SUM(Oct!C36, Nov!C36, Dec!C36)</f>
        <v>63732</v>
      </c>
      <c r="D36" s="18">
        <f>SUM(Oct!D36, Nov!D36, Dec!D36)</f>
        <v>102712</v>
      </c>
      <c r="E36" s="18">
        <f t="shared" si="9"/>
        <v>-38980</v>
      </c>
      <c r="F36" s="19">
        <f t="shared" si="10"/>
        <v>-0.37950774982475272</v>
      </c>
      <c r="G36" s="67">
        <f>SUM(Oct!G36,Nov!G36,Dec!G36)</f>
        <v>76929.88</v>
      </c>
      <c r="H36" s="20">
        <f>SUM(Oct!H36, Nov!H36, Dec!H36)</f>
        <v>-13197.880000000001</v>
      </c>
      <c r="I36" s="19">
        <f t="shared" si="11"/>
        <v>-0.17155726747526448</v>
      </c>
    </row>
    <row r="37" spans="1:9" ht="15.6">
      <c r="A37" s="49" t="str">
        <v>Greenfield USD - W.A. Kendrick ES</v>
      </c>
      <c r="B37" s="10" t="str">
        <v>CA</v>
      </c>
      <c r="C37" s="24">
        <f>SUM(Oct!C37, Nov!C37, Dec!C37)</f>
        <v>0</v>
      </c>
      <c r="D37" s="13">
        <f>SUM(Oct!D37, Nov!D37, Dec!D37)</f>
        <v>0</v>
      </c>
      <c r="E37" s="13">
        <f t="shared" si="9"/>
        <v>0</v>
      </c>
      <c r="F37" s="14" t="str">
        <f t="shared" si="10"/>
        <v/>
      </c>
      <c r="G37" s="65">
        <f>SUM(Oct!G37,Nov!G37,Dec!G37)</f>
        <v>29620.46</v>
      </c>
      <c r="H37" s="15">
        <f>SUM(Oct!H37, Nov!H37, Dec!H37)</f>
        <v>-29620.46</v>
      </c>
      <c r="I37" s="16">
        <f t="shared" si="11"/>
        <v>-1</v>
      </c>
    </row>
    <row r="38" spans="1:9" ht="15.6">
      <c r="A38" s="48" t="str">
        <v>Muroc Joint USD - Boron HS</v>
      </c>
      <c r="B38" s="9" t="str">
        <v>CA</v>
      </c>
      <c r="C38" s="11">
        <f>SUM(Oct!C38, Nov!C38, Dec!C38)</f>
        <v>0</v>
      </c>
      <c r="D38" s="18">
        <f>SUM(Oct!D38, Nov!D38, Dec!D38)</f>
        <v>0</v>
      </c>
      <c r="E38" s="18">
        <f t="shared" si="9"/>
        <v>0</v>
      </c>
      <c r="F38" s="19" t="str">
        <f t="shared" si="10"/>
        <v/>
      </c>
      <c r="G38" s="67">
        <f>SUM(Oct!G38,Nov!G38,Dec!G38)</f>
        <v>81841.37</v>
      </c>
      <c r="H38" s="20">
        <f>SUM(Oct!H38, Nov!H38, Dec!H38)</f>
        <v>-81841.37</v>
      </c>
      <c r="I38" s="19">
        <f t="shared" si="11"/>
        <v>-1</v>
      </c>
    </row>
    <row r="39" spans="1:9" ht="15.6">
      <c r="A39" s="49" t="str">
        <v>Muroc Joint USD - W. Boron ES</v>
      </c>
      <c r="B39" s="10" t="str">
        <v>CA</v>
      </c>
      <c r="C39" s="24">
        <f>SUM(Oct!C39, Nov!C39, Dec!C39)</f>
        <v>29406</v>
      </c>
      <c r="D39" s="13">
        <f>SUM(Oct!D39, Nov!D39, Dec!D39)</f>
        <v>43325</v>
      </c>
      <c r="E39" s="13">
        <f t="shared" si="9"/>
        <v>-13919</v>
      </c>
      <c r="F39" s="14">
        <f t="shared" si="10"/>
        <v>-0.32126947489901903</v>
      </c>
      <c r="G39" s="65">
        <f>SUM(Oct!G39,Nov!G39,Dec!G39)</f>
        <v>29960.219999999998</v>
      </c>
      <c r="H39" s="15">
        <f>SUM(Oct!H39, Nov!H39, Dec!H39)</f>
        <v>-554.21999999999935</v>
      </c>
      <c r="I39" s="16">
        <f t="shared" si="11"/>
        <v>-1.8498529049519642E-2</v>
      </c>
    </row>
    <row r="40" spans="1:9" ht="15.6">
      <c r="A40" s="48" t="str">
        <v>Colusa - WTP</v>
      </c>
      <c r="B40" s="9" t="str">
        <v>CA</v>
      </c>
      <c r="C40" s="11">
        <f>SUM(Oct!C40, Nov!C40, Dec!C40)</f>
        <v>0</v>
      </c>
      <c r="D40" s="18">
        <f>SUM(Oct!D40, Nov!D40, Dec!D40)</f>
        <v>0</v>
      </c>
      <c r="E40" s="18">
        <f t="shared" si="9"/>
        <v>0</v>
      </c>
      <c r="F40" s="19" t="str">
        <f t="shared" si="10"/>
        <v/>
      </c>
      <c r="G40" s="67">
        <f>SUM(Oct!G40,Nov!G40,Dec!G40)</f>
        <v>76413.386999999988</v>
      </c>
      <c r="H40" s="20">
        <f>SUM(Oct!H40, Nov!H40, Dec!H40)</f>
        <v>-76413.386999999988</v>
      </c>
      <c r="I40" s="19">
        <f t="shared" si="11"/>
        <v>-1</v>
      </c>
    </row>
    <row r="41" spans="1:9" ht="15.6">
      <c r="A41" s="49" t="str">
        <v>CDCR-North Kern State Prision</v>
      </c>
      <c r="B41" s="10" t="str">
        <v>CA</v>
      </c>
      <c r="C41" s="24">
        <f>SUM(Oct!C41, Nov!C41, Dec!C41)</f>
        <v>115727</v>
      </c>
      <c r="D41" s="13">
        <f>SUM(Oct!D41, Nov!D41, Dec!D41)</f>
        <v>0</v>
      </c>
      <c r="E41" s="13">
        <f t="shared" si="9"/>
        <v>115727</v>
      </c>
      <c r="F41" s="14" t="str">
        <f t="shared" si="10"/>
        <v/>
      </c>
      <c r="G41" s="65">
        <f>SUM(Oct!G41,Nov!G41,Dec!G41)</f>
        <v>339548.63</v>
      </c>
      <c r="H41" s="15">
        <f>SUM(Oct!H41, Nov!H41, Dec!H41)</f>
        <v>-223821.63</v>
      </c>
      <c r="I41" s="16">
        <f t="shared" si="11"/>
        <v>-0.65917400402999715</v>
      </c>
    </row>
    <row r="42" spans="1:9" ht="15.6">
      <c r="A42" s="48" t="str">
        <v>Muroc Joint USD - District Office</v>
      </c>
      <c r="B42" s="9" t="str">
        <v>CA</v>
      </c>
      <c r="C42" s="11">
        <f>SUM(Oct!C42, Nov!C42, Dec!C42)</f>
        <v>14635</v>
      </c>
      <c r="D42" s="18">
        <f>SUM(Oct!D42, Nov!D42, Dec!D42)</f>
        <v>31532</v>
      </c>
      <c r="E42" s="18">
        <f t="shared" si="9"/>
        <v>-16897</v>
      </c>
      <c r="F42" s="19">
        <f t="shared" si="10"/>
        <v>-0.53586832424203978</v>
      </c>
      <c r="G42" s="67">
        <f>SUM(Oct!G42,Nov!G42,Dec!G42)</f>
        <v>21130.510000000002</v>
      </c>
      <c r="H42" s="20">
        <f>SUM(Oct!H42, Nov!H42, Dec!H42)</f>
        <v>-6495.5100000000011</v>
      </c>
      <c r="I42" s="19">
        <f t="shared" si="11"/>
        <v>-0.30739958477102541</v>
      </c>
    </row>
    <row r="43" spans="1:9" ht="15.6">
      <c r="A43" s="49" t="str">
        <v>Whole Foods - Manhattan Beach</v>
      </c>
      <c r="B43" s="10" t="str">
        <v>CA</v>
      </c>
      <c r="C43" s="24">
        <f>SUM(Oct!C43, Nov!C43, Dec!C43)</f>
        <v>36393</v>
      </c>
      <c r="D43" s="13">
        <f>SUM(Oct!D43, Nov!D43, Dec!D43)</f>
        <v>0</v>
      </c>
      <c r="E43" s="13">
        <f t="shared" si="9"/>
        <v>36393</v>
      </c>
      <c r="F43" s="14" t="str">
        <f t="shared" si="10"/>
        <v/>
      </c>
      <c r="G43" s="65">
        <f>SUM(Oct!G43,Nov!G43,Dec!G43)</f>
        <v>45314.57</v>
      </c>
      <c r="H43" s="15">
        <f>SUM(Oct!H43, Nov!H43, Dec!H43)</f>
        <v>-8921.57</v>
      </c>
      <c r="I43" s="16">
        <f t="shared" si="11"/>
        <v>-0.19688082663037518</v>
      </c>
    </row>
    <row r="44" spans="1:9" ht="15.6">
      <c r="A44" s="48" t="str">
        <v>Pioneer USD - Frontier ES</v>
      </c>
      <c r="B44" s="9" t="str">
        <v>CA</v>
      </c>
      <c r="C44" s="11">
        <f>SUM(Oct!C44, Nov!C44, Dec!C44)</f>
        <v>48954</v>
      </c>
      <c r="D44" s="18">
        <f>SUM(Oct!D44, Nov!D44, Dec!D44)</f>
        <v>0</v>
      </c>
      <c r="E44" s="18">
        <f t="shared" si="9"/>
        <v>48954</v>
      </c>
      <c r="F44" s="19" t="str">
        <f t="shared" si="10"/>
        <v/>
      </c>
      <c r="G44" s="67">
        <f>SUM(Oct!G44,Nov!G44,Dec!G44)</f>
        <v>63960.17</v>
      </c>
      <c r="H44" s="20">
        <f>SUM(Oct!H44, Nov!H44, Dec!H44)</f>
        <v>-15006.17</v>
      </c>
      <c r="I44" s="19">
        <f t="shared" si="11"/>
        <v>-0.2346174189343149</v>
      </c>
    </row>
    <row r="45" spans="1:9" ht="15.6">
      <c r="A45" s="49" t="str">
        <v>Pioneer USD - Pioneer ES</v>
      </c>
      <c r="B45" s="10" t="str">
        <v>CA</v>
      </c>
      <c r="C45" s="24">
        <f>SUM(Oct!C45, Nov!C45, Dec!C45)</f>
        <v>11859</v>
      </c>
      <c r="D45" s="13">
        <f>SUM(Oct!D45, Nov!D45, Dec!D45)</f>
        <v>0</v>
      </c>
      <c r="E45" s="13">
        <f t="shared" si="9"/>
        <v>11859</v>
      </c>
      <c r="F45" s="14" t="str">
        <f t="shared" si="10"/>
        <v/>
      </c>
      <c r="G45" s="65">
        <f>SUM(Oct!G45,Nov!G45,Dec!G45)</f>
        <v>65108.490000000005</v>
      </c>
      <c r="H45" s="15">
        <f>SUM(Oct!H45, Nov!H45, Dec!H45)</f>
        <v>-53249.490000000005</v>
      </c>
      <c r="I45" s="16">
        <f t="shared" si="11"/>
        <v>-0.81785785540411093</v>
      </c>
    </row>
    <row r="46" spans="1:9" ht="15.6">
      <c r="A46" s="48" t="str">
        <v>Pioneer USD - Pioneer MS</v>
      </c>
      <c r="B46" s="9" t="str">
        <v>CA</v>
      </c>
      <c r="C46" s="11">
        <f>SUM(Oct!C46, Nov!C46, Dec!C46)</f>
        <v>62754</v>
      </c>
      <c r="D46" s="18">
        <f>SUM(Oct!D46, Nov!D46, Dec!D46)</f>
        <v>0</v>
      </c>
      <c r="E46" s="18">
        <f t="shared" si="9"/>
        <v>62754</v>
      </c>
      <c r="F46" s="19" t="str">
        <f t="shared" si="10"/>
        <v/>
      </c>
      <c r="G46" s="67">
        <f>SUM(Oct!G46,Nov!G46,Dec!G46)</f>
        <v>87852.099999999991</v>
      </c>
      <c r="H46" s="20">
        <f>SUM(Oct!H46, Nov!H46, Dec!H46)</f>
        <v>-25098.1</v>
      </c>
      <c r="I46" s="19">
        <f t="shared" si="11"/>
        <v>-0.28568582879635207</v>
      </c>
    </row>
    <row r="47" spans="1:9" ht="15.6">
      <c r="A47" s="49" t="str">
        <v>Kingsburg Joint UHSD - Kingsburg HS</v>
      </c>
      <c r="B47" s="10" t="str">
        <v>CA</v>
      </c>
      <c r="C47" s="24">
        <f>SUM(Oct!C47, Nov!C47, Dec!C47)</f>
        <v>167787</v>
      </c>
      <c r="D47" s="13">
        <f>SUM(Oct!D47, Nov!D47, Dec!D47)</f>
        <v>314305</v>
      </c>
      <c r="E47" s="13">
        <f t="shared" si="9"/>
        <v>-146518</v>
      </c>
      <c r="F47" s="14">
        <f t="shared" si="10"/>
        <v>-0.46616503078220201</v>
      </c>
      <c r="G47" s="65">
        <f>SUM(Oct!G47,Nov!G47,Dec!G47)</f>
        <v>155347.25</v>
      </c>
      <c r="H47" s="15">
        <f>SUM(Oct!H47, Nov!H47, Dec!H47)</f>
        <v>12439.75</v>
      </c>
      <c r="I47" s="16">
        <f t="shared" si="11"/>
        <v>8.0077053182467023E-2</v>
      </c>
    </row>
    <row r="48" spans="1:9" ht="15.6">
      <c r="A48" s="48" t="str">
        <v>CADRB</v>
      </c>
      <c r="B48" s="9" t="str">
        <v>CA</v>
      </c>
      <c r="C48" s="11">
        <f>SUM(Oct!C48, Nov!C48, Dec!C48)</f>
        <v>205381</v>
      </c>
      <c r="D48" s="18">
        <f>SUM(Oct!D48, Nov!D48, Dec!D48)</f>
        <v>599023</v>
      </c>
      <c r="E48" s="18">
        <f t="shared" si="9"/>
        <v>-393642</v>
      </c>
      <c r="F48" s="19">
        <f t="shared" si="10"/>
        <v>-0.65714004303674478</v>
      </c>
      <c r="G48" s="67">
        <f>SUM(Oct!G48,Nov!G48,Dec!G48)</f>
        <v>1470873</v>
      </c>
      <c r="H48" s="20">
        <f>SUM(Oct!H48, Nov!H48, Dec!H48)</f>
        <v>-1265492</v>
      </c>
      <c r="I48" s="19">
        <f t="shared" si="11"/>
        <v>-0.8603679583485454</v>
      </c>
    </row>
    <row r="49" spans="1:9" ht="15.6">
      <c r="A49" s="49" t="str">
        <v>CDCR-CA State Prison LA County</v>
      </c>
      <c r="B49" s="10" t="str">
        <v>CA</v>
      </c>
      <c r="C49" s="24">
        <f>SUM(Oct!C49, Nov!C49, Dec!C49)</f>
        <v>489447</v>
      </c>
      <c r="D49" s="13">
        <f>SUM(Oct!D49, Nov!D49, Dec!D49)</f>
        <v>0</v>
      </c>
      <c r="E49" s="13">
        <f t="shared" si="9"/>
        <v>489447</v>
      </c>
      <c r="F49" s="14" t="str">
        <f t="shared" si="10"/>
        <v/>
      </c>
      <c r="G49" s="65">
        <f>SUM(Oct!G49,Nov!G49,Dec!G49)</f>
        <v>890052.16</v>
      </c>
      <c r="H49" s="15">
        <f>SUM(Oct!H49, Nov!H49, Dec!H49)</f>
        <v>-400605.16000000003</v>
      </c>
      <c r="I49" s="16">
        <f t="shared" si="11"/>
        <v>-0.45009177889080121</v>
      </c>
    </row>
    <row r="50" spans="1:9" ht="15.6">
      <c r="A50" s="48" t="str">
        <v>Central USD Akers ES</v>
      </c>
      <c r="B50" s="9" t="str">
        <v>CA</v>
      </c>
      <c r="C50" s="11">
        <f>SUM(Oct!C50, Nov!C50, Dec!C50)</f>
        <v>42504</v>
      </c>
      <c r="D50" s="18">
        <f>SUM(Oct!D50, Nov!D50, Dec!D50)</f>
        <v>0</v>
      </c>
      <c r="E50" s="18">
        <f t="shared" si="9"/>
        <v>42504</v>
      </c>
      <c r="F50" s="19" t="str">
        <f t="shared" si="10"/>
        <v/>
      </c>
      <c r="G50" s="67">
        <f>SUM(Oct!G50,Nov!G50,Dec!G50)</f>
        <v>63040.57</v>
      </c>
      <c r="H50" s="20">
        <f>SUM(Oct!H50, Nov!H50, Dec!H50)</f>
        <v>-20536.57</v>
      </c>
      <c r="I50" s="19">
        <f t="shared" si="11"/>
        <v>-0.32576751764776241</v>
      </c>
    </row>
    <row r="51" spans="1:9" ht="15.6">
      <c r="A51" s="49" t="str">
        <v>CUSD - District Office</v>
      </c>
      <c r="B51" s="10" t="str">
        <v>CA</v>
      </c>
      <c r="C51" s="24">
        <f>SUM(Oct!C51, Nov!C51, Dec!C51)</f>
        <v>39571</v>
      </c>
      <c r="D51" s="13">
        <f>SUM(Oct!D51, Nov!D51, Dec!D51)</f>
        <v>64510</v>
      </c>
      <c r="E51" s="13">
        <f t="shared" si="9"/>
        <v>-24939</v>
      </c>
      <c r="F51" s="14">
        <f t="shared" si="10"/>
        <v>-0.38659122616648584</v>
      </c>
      <c r="G51" s="65">
        <f>SUM(Oct!G51,Nov!G51,Dec!G51)</f>
        <v>46466.29</v>
      </c>
      <c r="H51" s="15">
        <f>SUM(Oct!H51, Nov!H51, Dec!H51)</f>
        <v>-6895.2899999999991</v>
      </c>
      <c r="I51" s="16">
        <f t="shared" si="11"/>
        <v>-0.14839338367663954</v>
      </c>
    </row>
    <row r="52" spans="1:9" ht="15.6">
      <c r="A52" s="48" t="str">
        <v>Parlier - WTP</v>
      </c>
      <c r="B52" s="9" t="str">
        <v>CA</v>
      </c>
      <c r="C52" s="11">
        <f>SUM(Oct!C52, Nov!C52, Dec!C52)</f>
        <v>34545</v>
      </c>
      <c r="D52" s="18">
        <f>SUM(Oct!D52, Nov!D52, Dec!D52)</f>
        <v>0</v>
      </c>
      <c r="E52" s="18">
        <f t="shared" si="9"/>
        <v>34545</v>
      </c>
      <c r="F52" s="19" t="str">
        <f t="shared" si="10"/>
        <v/>
      </c>
      <c r="G52" s="67">
        <f>SUM(Oct!G52,Nov!G52,Dec!G52)</f>
        <v>127895.66999999998</v>
      </c>
      <c r="H52" s="20">
        <f>SUM(Oct!H52, Nov!H52, Dec!H52)</f>
        <v>-93350.669999999984</v>
      </c>
      <c r="I52" s="19">
        <f t="shared" si="11"/>
        <v>-0.72989703247967652</v>
      </c>
    </row>
    <row r="53" spans="1:9" ht="15.6">
      <c r="A53" s="49" t="str">
        <v>Snowline SD - Quail Valley MS</v>
      </c>
      <c r="B53" s="10" t="str">
        <v>CA</v>
      </c>
      <c r="C53" s="24">
        <f>SUM(Oct!C53, Nov!C53, Dec!C53)</f>
        <v>54268</v>
      </c>
      <c r="D53" s="13">
        <f>SUM(Oct!D53, Nov!D53, Dec!D53)</f>
        <v>117983</v>
      </c>
      <c r="E53" s="13">
        <f t="shared" si="9"/>
        <v>-63715</v>
      </c>
      <c r="F53" s="14">
        <f t="shared" si="10"/>
        <v>-0.54003542883296751</v>
      </c>
      <c r="G53" s="65">
        <f>SUM(Oct!G53,Nov!G53,Dec!G53)</f>
        <v>80146.430000000008</v>
      </c>
      <c r="H53" s="15">
        <f>SUM(Oct!H53, Nov!H53, Dec!H53)</f>
        <v>-25878.430000000004</v>
      </c>
      <c r="I53" s="16">
        <f t="shared" si="11"/>
        <v>-0.3228893663760195</v>
      </c>
    </row>
    <row r="54" spans="1:9" ht="15.6">
      <c r="A54" s="48" t="str">
        <v>Snowline SD - Serrano HS - Middle Lot</v>
      </c>
      <c r="B54" s="9" t="str">
        <v>CA</v>
      </c>
      <c r="C54" s="11">
        <f>SUM(Oct!C54, Nov!C54, Dec!C54)</f>
        <v>55250</v>
      </c>
      <c r="D54" s="18">
        <f>SUM(Oct!D54, Nov!D54, Dec!D54)</f>
        <v>0</v>
      </c>
      <c r="E54" s="18">
        <f t="shared" si="9"/>
        <v>55250</v>
      </c>
      <c r="F54" s="19" t="str">
        <f t="shared" si="10"/>
        <v/>
      </c>
      <c r="G54" s="67">
        <f>SUM(Oct!G54,Nov!G54,Dec!G54)</f>
        <v>90954.933000000005</v>
      </c>
      <c r="H54" s="20">
        <f>SUM(Oct!H54, Nov!H54, Dec!H54)</f>
        <v>-35704.933000000005</v>
      </c>
      <c r="I54" s="19">
        <f t="shared" si="11"/>
        <v>-0.39255631137675623</v>
      </c>
    </row>
    <row r="55" spans="1:9" ht="15.6">
      <c r="A55" s="49" t="str">
        <v>Snowline SD - Pinon Hills ES</v>
      </c>
      <c r="B55" s="10" t="str">
        <v>CA</v>
      </c>
      <c r="C55" s="24">
        <f>SUM(Oct!C55, Nov!C55, Dec!C55)</f>
        <v>28200</v>
      </c>
      <c r="D55" s="13">
        <f>SUM(Oct!D55, Nov!D55, Dec!D55)</f>
        <v>77835</v>
      </c>
      <c r="E55" s="13">
        <f t="shared" si="9"/>
        <v>-49635</v>
      </c>
      <c r="F55" s="14">
        <f t="shared" si="10"/>
        <v>-0.63769512430140685</v>
      </c>
      <c r="G55" s="65">
        <f>SUM(Oct!G55,Nov!G55,Dec!G55)</f>
        <v>52031.8</v>
      </c>
      <c r="H55" s="15">
        <f>SUM(Oct!H55, Nov!H55, Dec!H55)</f>
        <v>-23831.800000000003</v>
      </c>
      <c r="I55" s="16">
        <f t="shared" si="11"/>
        <v>-0.45802374701624776</v>
      </c>
    </row>
    <row r="56" spans="1:9" ht="15.6">
      <c r="A56" s="48" t="str">
        <v>Ramona - Santa Maria WTP</v>
      </c>
      <c r="B56" s="9" t="str">
        <v>CA</v>
      </c>
      <c r="C56" s="11">
        <f>SUM(Oct!C56, Nov!C56, Dec!C56)</f>
        <v>50113</v>
      </c>
      <c r="D56" s="18">
        <f>SUM(Oct!D56, Nov!D56, Dec!D56)</f>
        <v>200003</v>
      </c>
      <c r="E56" s="18">
        <f t="shared" si="9"/>
        <v>-149890</v>
      </c>
      <c r="F56" s="19">
        <f t="shared" si="10"/>
        <v>-0.74943875841862373</v>
      </c>
      <c r="G56" s="67">
        <f>SUM(Oct!G56,Nov!G56,Dec!G56)</f>
        <v>167038.90000000002</v>
      </c>
      <c r="H56" s="20">
        <f>SUM(Oct!H56, Nov!H56, Dec!H56)</f>
        <v>-116925.90000000001</v>
      </c>
      <c r="I56" s="19">
        <f t="shared" si="11"/>
        <v>-0.69999203778281582</v>
      </c>
    </row>
    <row r="57" spans="1:9" ht="15.6">
      <c r="A57" s="49" t="str">
        <v>Kohls - Redding</v>
      </c>
      <c r="B57" s="10" t="str">
        <v>CA</v>
      </c>
      <c r="C57" s="24">
        <f>SUM(Oct!C57, Nov!C57, Dec!C57)</f>
        <v>56604</v>
      </c>
      <c r="D57" s="13">
        <f>SUM(Oct!D57, Nov!D57, Dec!D57)</f>
        <v>0</v>
      </c>
      <c r="E57" s="13">
        <f t="shared" si="9"/>
        <v>56604</v>
      </c>
      <c r="F57" s="14" t="str">
        <f t="shared" si="10"/>
        <v/>
      </c>
      <c r="G57" s="65">
        <f>SUM(Oct!G57,Nov!G57,Dec!G57)</f>
        <v>55948.25</v>
      </c>
      <c r="H57" s="15">
        <f>SUM(Oct!H57, Nov!H57, Dec!H57)</f>
        <v>655.75</v>
      </c>
      <c r="I57" s="16">
        <f t="shared" si="11"/>
        <v>1.1720652567327842E-2</v>
      </c>
    </row>
    <row r="58" spans="1:9" ht="15.6">
      <c r="A58" s="48" t="str">
        <v>Kohls - Salinas</v>
      </c>
      <c r="B58" s="9" t="str">
        <v>CA</v>
      </c>
      <c r="C58" s="11">
        <f>SUM(Oct!C58, Nov!C58, Dec!C58)</f>
        <v>71613</v>
      </c>
      <c r="D58" s="18">
        <f>SUM(Oct!D58, Nov!D58, Dec!D58)</f>
        <v>138134</v>
      </c>
      <c r="E58" s="18">
        <f t="shared" si="9"/>
        <v>-66521</v>
      </c>
      <c r="F58" s="19">
        <f t="shared" si="10"/>
        <v>-0.48156862177306092</v>
      </c>
      <c r="G58" s="67">
        <f>SUM(Oct!G58,Nov!G58,Dec!G58)</f>
        <v>89434.239999999991</v>
      </c>
      <c r="H58" s="20">
        <f>SUM(Oct!H58, Nov!H58, Dec!H58)</f>
        <v>-17821.239999999998</v>
      </c>
      <c r="I58" s="19">
        <f t="shared" si="11"/>
        <v>-0.19926641071696924</v>
      </c>
    </row>
    <row r="59" spans="1:9" ht="15.6">
      <c r="A59" s="49" t="str">
        <v>Kohls - San Bernardino - Central</v>
      </c>
      <c r="B59" s="10" t="str">
        <v>CA</v>
      </c>
      <c r="C59" s="24">
        <f>SUM(Oct!C59, Nov!C59, Dec!C59)</f>
        <v>311371</v>
      </c>
      <c r="D59" s="13">
        <f>SUM(Oct!D59, Nov!D59, Dec!D59)</f>
        <v>0</v>
      </c>
      <c r="E59" s="13">
        <f t="shared" si="9"/>
        <v>311371</v>
      </c>
      <c r="F59" s="14" t="str">
        <f t="shared" si="10"/>
        <v/>
      </c>
      <c r="G59" s="65">
        <f>SUM(Oct!G59,Nov!G59,Dec!G59)</f>
        <v>339327.12</v>
      </c>
      <c r="H59" s="15">
        <f>SUM(Oct!H59, Nov!H59, Dec!H59)</f>
        <v>-27956.119999999995</v>
      </c>
      <c r="I59" s="16">
        <f t="shared" si="11"/>
        <v>-8.2386930935552674E-2</v>
      </c>
    </row>
    <row r="60" spans="1:9" ht="15.6">
      <c r="A60" s="48" t="str">
        <v>Kohls - Sonora</v>
      </c>
      <c r="B60" s="9" t="str">
        <v>CA</v>
      </c>
      <c r="C60" s="11">
        <f>SUM(Oct!C60, Nov!C60, Dec!C60)</f>
        <v>51868</v>
      </c>
      <c r="D60" s="18">
        <f>SUM(Oct!D60, Nov!D60, Dec!D60)</f>
        <v>82887</v>
      </c>
      <c r="E60" s="18">
        <f t="shared" si="9"/>
        <v>-31019</v>
      </c>
      <c r="F60" s="19">
        <f t="shared" si="10"/>
        <v>-0.37423238867373654</v>
      </c>
      <c r="G60" s="67">
        <f>SUM(Oct!G60,Nov!G60,Dec!G60)</f>
        <v>59012.280000000006</v>
      </c>
      <c r="H60" s="20">
        <f>SUM(Oct!H60, Nov!H60, Dec!H60)</f>
        <v>-7144.2800000000007</v>
      </c>
      <c r="I60" s="19">
        <f t="shared" si="11"/>
        <v>-0.12106429373682902</v>
      </c>
    </row>
    <row r="61" spans="1:9" ht="15.6">
      <c r="A61" s="49" t="str">
        <v>CUSD - Stratford ES</v>
      </c>
      <c r="B61" s="10" t="str">
        <v>CA</v>
      </c>
      <c r="C61" s="24">
        <f>SUM(Oct!C61, Nov!C61, Dec!C61)</f>
        <v>45310</v>
      </c>
      <c r="D61" s="13">
        <f>SUM(Oct!D61, Nov!D61, Dec!D61)</f>
        <v>59654</v>
      </c>
      <c r="E61" s="13">
        <f t="shared" si="9"/>
        <v>-14344</v>
      </c>
      <c r="F61" s="14">
        <f t="shared" si="10"/>
        <v>-0.24045328058470514</v>
      </c>
      <c r="G61" s="65">
        <f>SUM(Oct!G61,Nov!G61,Dec!G61)</f>
        <v>42837.439999999995</v>
      </c>
      <c r="H61" s="15">
        <f>SUM(Oct!H61, Nov!H61, Dec!H61)</f>
        <v>2472.5600000000013</v>
      </c>
      <c r="I61" s="16">
        <f t="shared" si="11"/>
        <v>5.7719602291827002E-2</v>
      </c>
    </row>
    <row r="62" spans="1:9" ht="15.6">
      <c r="A62" s="48" t="str">
        <v>Taft - City Hall</v>
      </c>
      <c r="B62" s="9" t="str">
        <v>CA</v>
      </c>
      <c r="C62" s="11">
        <f>SUM(Oct!C62, Nov!C62, Dec!C62)</f>
        <v>9713</v>
      </c>
      <c r="D62" s="18">
        <f>SUM(Oct!D62, Nov!D62, Dec!D62)</f>
        <v>17384</v>
      </c>
      <c r="E62" s="18">
        <f t="shared" si="9"/>
        <v>-7671</v>
      </c>
      <c r="F62" s="19">
        <f t="shared" si="10"/>
        <v>-0.44126783248964563</v>
      </c>
      <c r="G62" s="67">
        <f>SUM(Oct!G62,Nov!G62,Dec!G62)</f>
        <v>17224.14</v>
      </c>
      <c r="H62" s="20">
        <f>SUM(Oct!H62, Nov!H62, Dec!H62)</f>
        <v>-7511.1399999999994</v>
      </c>
      <c r="I62" s="19">
        <f t="shared" si="11"/>
        <v>-0.43608214981996196</v>
      </c>
    </row>
    <row r="63" spans="1:9" ht="15.6">
      <c r="A63" s="49" t="str">
        <v>Taft - Federal Prison</v>
      </c>
      <c r="B63" s="10" t="str">
        <v>CA</v>
      </c>
      <c r="C63" s="24">
        <f>SUM(Oct!C63, Nov!C63, Dec!C63)</f>
        <v>32697</v>
      </c>
      <c r="D63" s="13">
        <f>SUM(Oct!D63, Nov!D63, Dec!D63)</f>
        <v>44120</v>
      </c>
      <c r="E63" s="13">
        <f t="shared" si="9"/>
        <v>-11423</v>
      </c>
      <c r="F63" s="14">
        <f t="shared" si="10"/>
        <v>-0.25890752493200364</v>
      </c>
      <c r="G63" s="65">
        <f>SUM(Oct!G63,Nov!G63,Dec!G63)</f>
        <v>30337.79</v>
      </c>
      <c r="H63" s="15">
        <f>SUM(Oct!H63, Nov!H63, Dec!H63)</f>
        <v>2359.21</v>
      </c>
      <c r="I63" s="16">
        <f t="shared" si="11"/>
        <v>7.7764728412979323E-2</v>
      </c>
    </row>
    <row r="64" spans="1:9" ht="15.6">
      <c r="A64" s="48" t="str">
        <v>Taft - Police Department</v>
      </c>
      <c r="B64" s="9" t="str">
        <v>CA</v>
      </c>
      <c r="C64" s="11">
        <f>SUM(Oct!C64, Nov!C64, Dec!C64)</f>
        <v>21329</v>
      </c>
      <c r="D64" s="18">
        <f>SUM(Oct!D64, Nov!D64, Dec!D64)</f>
        <v>29175</v>
      </c>
      <c r="E64" s="18">
        <f t="shared" si="9"/>
        <v>-7846</v>
      </c>
      <c r="F64" s="19">
        <f t="shared" si="10"/>
        <v>-0.26892887746358185</v>
      </c>
      <c r="G64" s="67">
        <f>SUM(Oct!G64,Nov!G64,Dec!G64)</f>
        <v>19767.45</v>
      </c>
      <c r="H64" s="20">
        <f>SUM(Oct!H64, Nov!H64, Dec!H64)</f>
        <v>1561.5500000000002</v>
      </c>
      <c r="I64" s="19">
        <f t="shared" si="11"/>
        <v>7.8996026295753891E-2</v>
      </c>
    </row>
    <row r="65" spans="1:9" ht="15.6">
      <c r="A65" s="49" t="str">
        <v>Taft - WTP</v>
      </c>
      <c r="B65" s="10" t="str">
        <v>CA</v>
      </c>
      <c r="C65" s="24">
        <f>SUM(Oct!C65, Nov!C65, Dec!C65)</f>
        <v>0</v>
      </c>
      <c r="D65" s="13">
        <f>SUM(Oct!D65, Nov!D65, Dec!D65)</f>
        <v>0</v>
      </c>
      <c r="E65" s="13">
        <f t="shared" si="9"/>
        <v>0</v>
      </c>
      <c r="F65" s="14" t="str">
        <f t="shared" si="10"/>
        <v/>
      </c>
      <c r="G65" s="65">
        <f>SUM(Oct!G65,Nov!G65,Dec!G65)</f>
        <v>134312.56</v>
      </c>
      <c r="H65" s="15">
        <f>SUM(Oct!H65, Nov!H65, Dec!H65)</f>
        <v>-134312.56</v>
      </c>
      <c r="I65" s="16">
        <f t="shared" si="11"/>
        <v>-1</v>
      </c>
    </row>
    <row r="66" spans="1:9" ht="15.6">
      <c r="A66" s="48" t="str">
        <v>CDCR - CA Correctional Institution</v>
      </c>
      <c r="B66" s="9" t="str">
        <v>CA</v>
      </c>
      <c r="C66" s="11">
        <f>SUM(Oct!C66, Nov!C66, Dec!C66)</f>
        <v>320294</v>
      </c>
      <c r="D66" s="18">
        <f>SUM(Oct!D66, Nov!D66, Dec!D66)</f>
        <v>0</v>
      </c>
      <c r="E66" s="18">
        <f t="shared" si="9"/>
        <v>320294</v>
      </c>
      <c r="F66" s="19" t="str">
        <f t="shared" si="10"/>
        <v/>
      </c>
      <c r="G66" s="67">
        <f>SUM(Oct!G66,Nov!G66,Dec!G66)</f>
        <v>395790.17</v>
      </c>
      <c r="H66" s="20">
        <f>SUM(Oct!H66, Nov!H66, Dec!H66)</f>
        <v>-75496.17</v>
      </c>
      <c r="I66" s="19">
        <f t="shared" si="11"/>
        <v>-0.19074796627718169</v>
      </c>
    </row>
    <row r="67" spans="1:9" ht="15.6">
      <c r="A67" s="49" t="str">
        <v>CDCR - CA Correctional Institution II</v>
      </c>
      <c r="B67" s="10" t="str">
        <v>CA</v>
      </c>
      <c r="C67" s="24">
        <f>SUM(Oct!C67, Nov!C67, Dec!C67)</f>
        <v>287807</v>
      </c>
      <c r="D67" s="13">
        <f>SUM(Oct!D67, Nov!D67, Dec!D67)</f>
        <v>524688</v>
      </c>
      <c r="E67" s="13">
        <f t="shared" si="9"/>
        <v>-236881</v>
      </c>
      <c r="F67" s="14">
        <f t="shared" si="10"/>
        <v>-0.45147020705638397</v>
      </c>
      <c r="G67" s="65">
        <f>SUM(Oct!G67,Nov!G67,Dec!G67)</f>
        <v>618049.28700000001</v>
      </c>
      <c r="H67" s="15">
        <f>SUM(Oct!H67, Nov!H67, Dec!H67)</f>
        <v>-330242.28700000001</v>
      </c>
      <c r="I67" s="16">
        <f t="shared" si="11"/>
        <v>-0.53433001857018569</v>
      </c>
    </row>
    <row r="68" spans="1:9" ht="15.6">
      <c r="A68" s="48" t="str">
        <v>Snowline SD - Vista Verde ES</v>
      </c>
      <c r="B68" s="9" t="str">
        <v>CA</v>
      </c>
      <c r="C68" s="11">
        <f>SUM(Oct!C68, Nov!C68, Dec!C68)</f>
        <v>52251</v>
      </c>
      <c r="D68" s="18">
        <f>SUM(Oct!D68, Nov!D68, Dec!D68)</f>
        <v>83167</v>
      </c>
      <c r="E68" s="18">
        <f t="shared" si="9"/>
        <v>-30916</v>
      </c>
      <c r="F68" s="19">
        <f t="shared" si="10"/>
        <v>-0.37173398102612815</v>
      </c>
      <c r="G68" s="67">
        <f>SUM(Oct!G68,Nov!G68,Dec!G68)</f>
        <v>58063.96</v>
      </c>
      <c r="H68" s="20">
        <f>SUM(Oct!H68, Nov!H68, Dec!H68)</f>
        <v>-5812.9600000000009</v>
      </c>
      <c r="I68" s="19">
        <f t="shared" si="11"/>
        <v>-0.1001130477494129</v>
      </c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abSelected="1" workbookViewId="0">
      <pane xSplit="2" ySplit="3" topLeftCell="C5" activePane="bottomRight" state="frozen"/>
      <selection pane="bottomRight" activeCell="E31" sqref="E31"/>
      <selection pane="bottomLeft"/>
      <selection pane="topRight"/>
    </sheetView>
  </sheetViews>
  <sheetFormatPr defaultRowHeight="14.1"/>
  <cols>
    <col min="1" max="1" width="34.140625" bestFit="1" customWidth="1"/>
    <col min="2" max="2" width="5.7109375" style="34" bestFit="1" customWidth="1"/>
    <col min="3" max="3" width="9.42578125" bestFit="1" customWidth="1"/>
    <col min="4" max="4" width="11.5703125" customWidth="1"/>
    <col min="5" max="5" width="8.85546875" bestFit="1" customWidth="1"/>
    <col min="6" max="6" width="8.5703125" style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18</v>
      </c>
      <c r="E1" s="100"/>
      <c r="F1" s="100"/>
      <c r="G1" s="98" t="s">
        <v>19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SUM(C4:C99)</f>
        <v>1019605.3</v>
      </c>
      <c r="D2" s="5">
        <f>SUM(D4:D99)</f>
        <v>1732046</v>
      </c>
      <c r="E2" s="5">
        <f>C2-D2</f>
        <v>-712440.7</v>
      </c>
      <c r="F2" s="6">
        <f>IFERROR(E2/D2, 0)</f>
        <v>-0.41132897163239313</v>
      </c>
      <c r="G2" s="5">
        <f>SUM(G4:G99)</f>
        <v>1570063.0479999997</v>
      </c>
      <c r="H2" s="7">
        <f>C2-G2</f>
        <v>-550457.74799999967</v>
      </c>
      <c r="I2" s="6">
        <f>IFERROR(H2/G2, 0)</f>
        <v>-0.35059595135443233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13">
        <v>6324</v>
      </c>
      <c r="D4" s="13">
        <v>12026</v>
      </c>
      <c r="E4" s="13">
        <f>IF(AND(ISNUMBER(C4),ISNUMBER(D4)), C4-D4, "")</f>
        <v>-5702</v>
      </c>
      <c r="F4" s="14">
        <f>IFERROR(E4/D4, "")</f>
        <v>-0.47413936470979545</v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9.1">
      <c r="A5" s="52" t="str">
        <v>Kohls - Auburn</v>
      </c>
      <c r="B5" s="31" t="str">
        <v>NY</v>
      </c>
      <c r="C5" s="18">
        <v>4362</v>
      </c>
      <c r="D5" s="18">
        <v>10490</v>
      </c>
      <c r="E5" s="18">
        <f t="shared" ref="E5:E15" si="0">IF(AND(ISNUMBER(C5),ISNUMBER(D5)), C5-D5, "")</f>
        <v>-6128</v>
      </c>
      <c r="F5" s="14">
        <f t="shared" ref="F5:F68" si="1">IFERROR(E5/D5, "")</f>
        <v>-0.58417540514775979</v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6">
      <c r="A6" s="53" t="str">
        <v>Kohls - Bensalem</v>
      </c>
      <c r="B6" s="29" t="str">
        <v>PA</v>
      </c>
      <c r="C6" s="13">
        <v>9630</v>
      </c>
      <c r="D6" s="13">
        <v>17052</v>
      </c>
      <c r="E6" s="13">
        <f t="shared" si="0"/>
        <v>-7422</v>
      </c>
      <c r="F6" s="14">
        <f t="shared" si="1"/>
        <v>-0.43525686136523573</v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6">
      <c r="A7" s="52" t="str">
        <v>Kohls - Brick</v>
      </c>
      <c r="B7" s="31" t="str">
        <v>NJ</v>
      </c>
      <c r="C7" s="18">
        <v>11393</v>
      </c>
      <c r="D7" s="18">
        <v>21151</v>
      </c>
      <c r="E7" s="18">
        <f t="shared" si="0"/>
        <v>-9758</v>
      </c>
      <c r="F7" s="14">
        <f t="shared" si="1"/>
        <v>-0.46134934518462484</v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6">
      <c r="A8" s="53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4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6">
      <c r="A9" s="52" t="str">
        <v>Kohls - Canton</v>
      </c>
      <c r="B9" s="31" t="str">
        <v>CT</v>
      </c>
      <c r="C9" s="18">
        <v>2979</v>
      </c>
      <c r="D9" s="18">
        <v>5860</v>
      </c>
      <c r="E9" s="18">
        <f t="shared" si="0"/>
        <v>-2881</v>
      </c>
      <c r="F9" s="14">
        <f t="shared" si="1"/>
        <v>-0.49163822525597267</v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6">
      <c r="A10" s="53" t="str">
        <v>Kohls - East Amherst</v>
      </c>
      <c r="B10" s="29" t="str">
        <v>NY</v>
      </c>
      <c r="C10" s="13">
        <v>2767</v>
      </c>
      <c r="D10" s="13">
        <v>7180</v>
      </c>
      <c r="E10" s="13">
        <f t="shared" si="0"/>
        <v>-4413</v>
      </c>
      <c r="F10" s="14">
        <f t="shared" si="1"/>
        <v>-0.61462395543175485</v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6">
      <c r="A11" s="52" t="str">
        <v>Kohls - East Brunswick</v>
      </c>
      <c r="B11" s="31" t="str">
        <v>NJ</v>
      </c>
      <c r="C11" s="18">
        <v>973</v>
      </c>
      <c r="D11" s="18">
        <v>1243</v>
      </c>
      <c r="E11" s="18">
        <f t="shared" si="0"/>
        <v>-270</v>
      </c>
      <c r="F11" s="14">
        <f t="shared" si="1"/>
        <v>-0.2172164119066774</v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6">
      <c r="A12" s="53" t="str">
        <v>Kohls - Edgewood</v>
      </c>
      <c r="B12" s="29" t="str">
        <v>MD</v>
      </c>
      <c r="C12" s="13">
        <v>71866</v>
      </c>
      <c r="D12" s="13">
        <v>157899</v>
      </c>
      <c r="E12" s="13">
        <f t="shared" si="0"/>
        <v>-86033</v>
      </c>
      <c r="F12" s="14">
        <f t="shared" si="1"/>
        <v>-0.54486095542087032</v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6">
      <c r="A13" s="52" t="str">
        <v>Kohls - Granite Run</v>
      </c>
      <c r="B13" s="31" t="str">
        <v>PA</v>
      </c>
      <c r="C13" s="18">
        <v>9421</v>
      </c>
      <c r="D13" s="18">
        <v>17438</v>
      </c>
      <c r="E13" s="18">
        <f t="shared" si="0"/>
        <v>-8017</v>
      </c>
      <c r="F13" s="14">
        <f t="shared" si="1"/>
        <v>-0.45974308980387657</v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6">
      <c r="A14" s="53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4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6">
      <c r="A15" s="52" t="str">
        <v>Kohls - Hanover</v>
      </c>
      <c r="B15" s="31" t="str">
        <v>PA</v>
      </c>
      <c r="C15" s="18">
        <v>11065</v>
      </c>
      <c r="D15" s="18">
        <v>20236</v>
      </c>
      <c r="E15" s="18">
        <f t="shared" si="0"/>
        <v>-9171</v>
      </c>
      <c r="F15" s="14">
        <f t="shared" si="1"/>
        <v>-0.45320221387626014</v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6">
      <c r="A16" s="53" t="str">
        <v>Kohls - Horsehead</v>
      </c>
      <c r="B16" s="29" t="str">
        <v>NY</v>
      </c>
      <c r="C16" s="13">
        <v>2351</v>
      </c>
      <c r="D16" s="13">
        <v>4915</v>
      </c>
      <c r="E16" s="13">
        <f t="shared" ref="E16:E25" si="6">IF(AND(ISNUMBER(C16),ISNUMBER(D16)), C16-D16, "")</f>
        <v>-2564</v>
      </c>
      <c r="F16" s="14">
        <f t="shared" si="1"/>
        <v>-0.52166836215666323</v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6">
      <c r="A17" s="52" t="str">
        <v>Kohls - Hudson</v>
      </c>
      <c r="B17" s="30" t="str">
        <v>NY</v>
      </c>
      <c r="C17" s="18">
        <v>197</v>
      </c>
      <c r="D17" s="18">
        <v>3503</v>
      </c>
      <c r="E17" s="18">
        <f t="shared" si="6"/>
        <v>-3306</v>
      </c>
      <c r="F17" s="14">
        <f t="shared" si="1"/>
        <v>-0.94376248929489004</v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6">
      <c r="A18" s="53" t="str">
        <v>Kohls - Ithaca</v>
      </c>
      <c r="B18" s="28" t="str">
        <v>NY</v>
      </c>
      <c r="C18" s="13">
        <v>4385</v>
      </c>
      <c r="D18" s="13">
        <v>10734</v>
      </c>
      <c r="E18" s="13">
        <f t="shared" si="6"/>
        <v>-6349</v>
      </c>
      <c r="F18" s="14">
        <f t="shared" si="1"/>
        <v>-0.59148500093161915</v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6">
      <c r="A19" s="52" t="str">
        <v>Kohls - Kingston</v>
      </c>
      <c r="B19" s="30" t="str">
        <v>NY</v>
      </c>
      <c r="C19" s="18">
        <v>9244</v>
      </c>
      <c r="D19" s="18">
        <v>20473</v>
      </c>
      <c r="E19" s="18">
        <f t="shared" si="6"/>
        <v>-11229</v>
      </c>
      <c r="F19" s="14">
        <f t="shared" si="1"/>
        <v>-0.54847848385678699</v>
      </c>
      <c r="G19" s="20">
        <v>22381.266</v>
      </c>
      <c r="H19" s="20">
        <f t="shared" si="9"/>
        <v>-13137.266</v>
      </c>
      <c r="I19" s="16">
        <f t="shared" si="10"/>
        <v>-0.58697600037459896</v>
      </c>
      <c r="J19" s="42"/>
      <c r="K19" s="42"/>
    </row>
    <row r="20" spans="1:11" ht="15.6">
      <c r="A20" s="53" t="str">
        <v>Kohls - Mechanicsburg</v>
      </c>
      <c r="B20" s="28" t="str">
        <v>PA</v>
      </c>
      <c r="C20" s="13">
        <v>11788</v>
      </c>
      <c r="D20" s="13">
        <v>21381</v>
      </c>
      <c r="E20" s="13">
        <f t="shared" si="6"/>
        <v>-9593</v>
      </c>
      <c r="F20" s="14">
        <f t="shared" si="1"/>
        <v>-0.44866937935550255</v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6">
      <c r="A21" s="52" t="str">
        <v>Kohls - Middletown</v>
      </c>
      <c r="B21" s="30" t="str">
        <v>NJ</v>
      </c>
      <c r="C21" s="18">
        <v>15292</v>
      </c>
      <c r="D21" s="18">
        <v>27997</v>
      </c>
      <c r="E21" s="18">
        <f t="shared" si="6"/>
        <v>-12705</v>
      </c>
      <c r="F21" s="14">
        <f t="shared" si="1"/>
        <v>-0.45379862128085152</v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6">
      <c r="A22" s="53" t="str">
        <v>Kohls - North Amherst</v>
      </c>
      <c r="B22" s="28" t="str">
        <v>NY</v>
      </c>
      <c r="C22" s="13">
        <v>2846</v>
      </c>
      <c r="D22" s="13">
        <v>6902</v>
      </c>
      <c r="E22" s="13">
        <f t="shared" si="6"/>
        <v>-4056</v>
      </c>
      <c r="F22" s="14">
        <f t="shared" si="1"/>
        <v>-0.58765575195595476</v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6">
      <c r="A23" s="52" t="str">
        <v>Kohls - Staten Island</v>
      </c>
      <c r="B23" s="30" t="str">
        <v>NY</v>
      </c>
      <c r="C23" s="18">
        <v>8661.6</v>
      </c>
      <c r="D23" s="18">
        <v>17729</v>
      </c>
      <c r="E23" s="18">
        <f t="shared" si="6"/>
        <v>-9067.4</v>
      </c>
      <c r="F23" s="14">
        <f t="shared" si="1"/>
        <v>-0.5114445259179875</v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9.1">
      <c r="A24" s="53" t="str">
        <v>Kohls - Warminster</v>
      </c>
      <c r="B24" s="28" t="str">
        <v>PA</v>
      </c>
      <c r="C24" s="13">
        <v>7770</v>
      </c>
      <c r="D24" s="13">
        <v>10114</v>
      </c>
      <c r="E24" s="13">
        <f t="shared" si="6"/>
        <v>-2344</v>
      </c>
      <c r="F24" s="14">
        <f t="shared" si="1"/>
        <v>-0.231757959264386</v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6">
      <c r="A25" s="52" t="str">
        <v xml:space="preserve">Kohls - Waterbury </v>
      </c>
      <c r="B25" s="30" t="str">
        <v>CT</v>
      </c>
      <c r="C25" s="18">
        <v>8377</v>
      </c>
      <c r="D25" s="18">
        <v>14009</v>
      </c>
      <c r="E25" s="18">
        <f t="shared" si="6"/>
        <v>-5632</v>
      </c>
      <c r="F25" s="14">
        <f t="shared" si="1"/>
        <v>-0.40202726818473838</v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5.6">
      <c r="A26" s="53" t="str">
        <v>Mojave Water Agency - Headquarters</v>
      </c>
      <c r="B26" s="28" t="str">
        <v>CA</v>
      </c>
      <c r="C26" s="13">
        <v>25863</v>
      </c>
      <c r="D26" s="13">
        <v>32109</v>
      </c>
      <c r="E26" s="13">
        <f t="shared" ref="E26:E68" si="11">IF(AND(ISNUMBER(C26),ISNUMBER(D26)), C26-D26, "")</f>
        <v>-6246</v>
      </c>
      <c r="F26" s="14">
        <f t="shared" si="1"/>
        <v>-0.1945248995608708</v>
      </c>
      <c r="G26" s="15">
        <v>26035.73</v>
      </c>
      <c r="H26" s="15">
        <f t="shared" ref="H26:H68" si="12">IF(AND(ISNUMBER(C26),ISNUMBER(G26)), C26-G26, "")</f>
        <v>-172.72999999999956</v>
      </c>
      <c r="I26" s="16">
        <f t="shared" ref="I26:I68" si="13">IFERROR(H26/G26, "")</f>
        <v>-6.6343444182283178E-3</v>
      </c>
      <c r="J26" s="41"/>
      <c r="K26" s="41"/>
    </row>
    <row r="27" spans="1:11" ht="15.6">
      <c r="A27" s="52" t="str">
        <v>CSU - Bakersfield</v>
      </c>
      <c r="B27" s="30" t="str">
        <v>CA</v>
      </c>
      <c r="C27" s="18">
        <v>65619</v>
      </c>
      <c r="D27" s="18">
        <v>87482</v>
      </c>
      <c r="E27" s="18">
        <f t="shared" si="11"/>
        <v>-21863</v>
      </c>
      <c r="F27" s="14">
        <f t="shared" si="1"/>
        <v>-0.24991426807800463</v>
      </c>
      <c r="G27" s="45">
        <v>61058.58</v>
      </c>
      <c r="H27" s="45">
        <f t="shared" si="12"/>
        <v>4560.4199999999983</v>
      </c>
      <c r="I27" s="16">
        <f t="shared" si="13"/>
        <v>7.4689257431142325E-2</v>
      </c>
      <c r="J27" s="42"/>
      <c r="K27" s="42"/>
    </row>
    <row r="28" spans="1:11" ht="15.6">
      <c r="A28" s="53" t="str">
        <v>Greenfield USD - Fairfield ES</v>
      </c>
      <c r="B28" s="28" t="str">
        <v>CA</v>
      </c>
      <c r="C28" s="13">
        <v>7205</v>
      </c>
      <c r="D28" s="13">
        <v>0</v>
      </c>
      <c r="E28" s="13">
        <f t="shared" si="11"/>
        <v>7205</v>
      </c>
      <c r="F28" s="14" t="str">
        <f t="shared" si="1"/>
        <v/>
      </c>
      <c r="G28" s="15">
        <v>6795.48</v>
      </c>
      <c r="H28" s="15">
        <f t="shared" si="12"/>
        <v>409.52000000000044</v>
      </c>
      <c r="I28" s="16">
        <f t="shared" si="13"/>
        <v>6.0263586972517096E-2</v>
      </c>
      <c r="J28" s="41"/>
      <c r="K28" s="41"/>
    </row>
    <row r="29" spans="1:11" ht="15.6">
      <c r="A29" s="52" t="str">
        <v>Greenfield USD - Granite Point ES</v>
      </c>
      <c r="B29" s="30" t="str">
        <v>CA</v>
      </c>
      <c r="C29" s="18">
        <v>20040</v>
      </c>
      <c r="D29" s="18">
        <v>28777</v>
      </c>
      <c r="E29" s="18">
        <f t="shared" si="11"/>
        <v>-8737</v>
      </c>
      <c r="F29" s="14">
        <f t="shared" si="1"/>
        <v>-0.30361052229210828</v>
      </c>
      <c r="G29" s="45">
        <v>17776.37</v>
      </c>
      <c r="H29" s="45">
        <f t="shared" si="12"/>
        <v>2263.630000000001</v>
      </c>
      <c r="I29" s="16">
        <f t="shared" si="13"/>
        <v>0.12733927117853652</v>
      </c>
      <c r="J29" s="42"/>
      <c r="K29" s="42"/>
    </row>
    <row r="30" spans="1:11" ht="15.6">
      <c r="A30" s="53" t="str">
        <v>Greenfield USD - Greenfield MS</v>
      </c>
      <c r="B30" s="28" t="str">
        <v>CA</v>
      </c>
      <c r="C30" s="13">
        <v>11726</v>
      </c>
      <c r="D30" s="13">
        <v>16898</v>
      </c>
      <c r="E30" s="13">
        <f t="shared" si="11"/>
        <v>-5172</v>
      </c>
      <c r="F30" s="14">
        <f t="shared" si="1"/>
        <v>-0.30607172446443365</v>
      </c>
      <c r="G30" s="15">
        <v>12267.28</v>
      </c>
      <c r="H30" s="15">
        <f t="shared" si="12"/>
        <v>-541.28000000000065</v>
      </c>
      <c r="I30" s="16">
        <f t="shared" si="13"/>
        <v>-4.4123880762483664E-2</v>
      </c>
      <c r="J30" s="41"/>
      <c r="K30" s="41"/>
    </row>
    <row r="31" spans="1:11" ht="15.6">
      <c r="A31" s="52" t="str">
        <v>Greenfield USD - Horizon ES</v>
      </c>
      <c r="B31" s="30" t="str">
        <v>CA</v>
      </c>
      <c r="C31" s="18">
        <v>9472</v>
      </c>
      <c r="D31" s="18">
        <v>25729</v>
      </c>
      <c r="E31" s="18">
        <f t="shared" si="11"/>
        <v>-16257</v>
      </c>
      <c r="F31" s="14">
        <f t="shared" si="1"/>
        <v>-0.63185510513428422</v>
      </c>
      <c r="G31" s="45">
        <v>18009.419999999998</v>
      </c>
      <c r="H31" s="45">
        <f t="shared" si="12"/>
        <v>-8537.4199999999983</v>
      </c>
      <c r="I31" s="16">
        <f t="shared" si="13"/>
        <v>-0.47405302336221816</v>
      </c>
      <c r="J31" s="42"/>
      <c r="K31" s="42"/>
    </row>
    <row r="32" spans="1:11" ht="15.6">
      <c r="A32" s="53" t="str">
        <v>Greenfield USD - McKee MS</v>
      </c>
      <c r="B32" s="28" t="str">
        <v>CA</v>
      </c>
      <c r="C32" s="13">
        <v>8668</v>
      </c>
      <c r="D32" s="13">
        <v>15776</v>
      </c>
      <c r="E32" s="13">
        <f t="shared" si="11"/>
        <v>-7108</v>
      </c>
      <c r="F32" s="14">
        <f t="shared" si="1"/>
        <v>-0.45055780933062878</v>
      </c>
      <c r="G32" s="15">
        <v>11027.5</v>
      </c>
      <c r="H32" s="15">
        <f t="shared" si="12"/>
        <v>-2359.5</v>
      </c>
      <c r="I32" s="16">
        <f t="shared" si="13"/>
        <v>-0.2139650872817955</v>
      </c>
      <c r="J32" s="41"/>
      <c r="K32" s="41"/>
    </row>
    <row r="33" spans="1:11" ht="15.6">
      <c r="A33" s="52" t="str">
        <v>Greenfield USD - Plantation ES</v>
      </c>
      <c r="B33" s="30" t="str">
        <v>CA</v>
      </c>
      <c r="C33" s="18">
        <v>8629</v>
      </c>
      <c r="D33" s="18">
        <v>12502</v>
      </c>
      <c r="E33" s="18">
        <f t="shared" si="11"/>
        <v>-3873</v>
      </c>
      <c r="F33" s="14">
        <f t="shared" si="1"/>
        <v>-0.30979043353063512</v>
      </c>
      <c r="G33" s="45">
        <v>7895.43</v>
      </c>
      <c r="H33" s="45">
        <f t="shared" si="12"/>
        <v>733.56999999999971</v>
      </c>
      <c r="I33" s="16">
        <f t="shared" si="13"/>
        <v>9.2910709106407086E-2</v>
      </c>
      <c r="J33" s="42"/>
      <c r="K33" s="42"/>
    </row>
    <row r="34" spans="1:11" ht="15.6">
      <c r="A34" s="53" t="str">
        <v>Greenfield USD - Planz ES</v>
      </c>
      <c r="B34" s="28" t="str">
        <v>CA</v>
      </c>
      <c r="C34" s="13">
        <v>3054</v>
      </c>
      <c r="D34" s="13">
        <v>12876</v>
      </c>
      <c r="E34" s="13">
        <f t="shared" si="11"/>
        <v>-9822</v>
      </c>
      <c r="F34" s="14">
        <f t="shared" si="1"/>
        <v>-0.76281453867660765</v>
      </c>
      <c r="G34" s="15">
        <v>8771.67</v>
      </c>
      <c r="H34" s="15">
        <f t="shared" si="12"/>
        <v>-5717.67</v>
      </c>
      <c r="I34" s="16">
        <f t="shared" si="13"/>
        <v>-0.65183368731381819</v>
      </c>
      <c r="J34" s="41"/>
      <c r="K34" s="41"/>
    </row>
    <row r="35" spans="1:11" ht="15.6">
      <c r="A35" s="52" t="str">
        <v>Greenfield USD - Raffaello Palla ES</v>
      </c>
      <c r="B35" s="30" t="str">
        <v>CA</v>
      </c>
      <c r="C35" s="18">
        <v>19816</v>
      </c>
      <c r="D35" s="18">
        <v>29804</v>
      </c>
      <c r="E35" s="18">
        <f t="shared" si="11"/>
        <v>-9988</v>
      </c>
      <c r="F35" s="14">
        <f t="shared" si="1"/>
        <v>-0.33512280230841496</v>
      </c>
      <c r="G35" s="45">
        <v>19929.669999999998</v>
      </c>
      <c r="H35" s="45">
        <f t="shared" si="12"/>
        <v>-113.66999999999825</v>
      </c>
      <c r="I35" s="16">
        <f t="shared" si="13"/>
        <v>-5.7035565566313073E-3</v>
      </c>
      <c r="J35" s="42"/>
      <c r="K35" s="42"/>
    </row>
    <row r="36" spans="1:11" ht="15.6">
      <c r="A36" s="53" t="str">
        <v>Greenfield USD - Valle Verde ES</v>
      </c>
      <c r="B36" s="28" t="str">
        <v>CA</v>
      </c>
      <c r="C36" s="13">
        <v>21349</v>
      </c>
      <c r="D36" s="13">
        <v>27857</v>
      </c>
      <c r="E36" s="13">
        <f t="shared" si="11"/>
        <v>-6508</v>
      </c>
      <c r="F36" s="14">
        <f t="shared" si="1"/>
        <v>-0.23362171088056863</v>
      </c>
      <c r="G36" s="15">
        <v>18792.43</v>
      </c>
      <c r="H36" s="15">
        <f t="shared" si="12"/>
        <v>2556.5699999999997</v>
      </c>
      <c r="I36" s="16">
        <f t="shared" si="13"/>
        <v>0.13604254479064173</v>
      </c>
      <c r="J36" s="41"/>
      <c r="K36" s="41"/>
    </row>
    <row r="37" spans="1:11" ht="15.6">
      <c r="A37" s="52" t="str">
        <v>Greenfield USD - W.A. Kendrick ES</v>
      </c>
      <c r="B37" s="30" t="str">
        <v>CA</v>
      </c>
      <c r="C37" s="18">
        <v>0</v>
      </c>
      <c r="D37" s="18">
        <v>0</v>
      </c>
      <c r="E37" s="18">
        <f t="shared" si="11"/>
        <v>0</v>
      </c>
      <c r="F37" s="14" t="str">
        <f t="shared" si="1"/>
        <v/>
      </c>
      <c r="G37" s="45">
        <v>7252.24</v>
      </c>
      <c r="H37" s="45">
        <f t="shared" si="12"/>
        <v>-7252.24</v>
      </c>
      <c r="I37" s="16">
        <f t="shared" si="13"/>
        <v>-1</v>
      </c>
      <c r="J37" s="42"/>
      <c r="K37" s="42"/>
    </row>
    <row r="38" spans="1:11" ht="15.6">
      <c r="A38" s="53" t="str">
        <v>Muroc Joint USD - Boron HS</v>
      </c>
      <c r="B38" s="28" t="str">
        <v>CA</v>
      </c>
      <c r="C38" s="13">
        <v>0</v>
      </c>
      <c r="D38" s="13">
        <v>0</v>
      </c>
      <c r="E38" s="13">
        <f t="shared" si="11"/>
        <v>0</v>
      </c>
      <c r="F38" s="14" t="str">
        <f t="shared" si="1"/>
        <v/>
      </c>
      <c r="G38" s="15">
        <v>23779.58</v>
      </c>
      <c r="H38" s="15">
        <f t="shared" si="12"/>
        <v>-23779.58</v>
      </c>
      <c r="I38" s="16">
        <f t="shared" si="13"/>
        <v>-1</v>
      </c>
      <c r="J38" s="41"/>
      <c r="K38" s="41"/>
    </row>
    <row r="39" spans="1:11" ht="15.6">
      <c r="A39" s="52" t="str">
        <v>Muroc Joint USD - W. Boron ES</v>
      </c>
      <c r="B39" s="30" t="str">
        <v>CA</v>
      </c>
      <c r="C39" s="18">
        <v>8825</v>
      </c>
      <c r="D39" s="18">
        <v>12559</v>
      </c>
      <c r="E39" s="18">
        <f t="shared" si="11"/>
        <v>-3734</v>
      </c>
      <c r="F39" s="14">
        <f t="shared" si="1"/>
        <v>-0.29731666533959711</v>
      </c>
      <c r="G39" s="45">
        <v>8817.5</v>
      </c>
      <c r="H39" s="45">
        <f t="shared" si="12"/>
        <v>7.5</v>
      </c>
      <c r="I39" s="16">
        <f t="shared" si="13"/>
        <v>8.5058123050751346E-4</v>
      </c>
      <c r="J39" s="42"/>
      <c r="K39" s="42"/>
    </row>
    <row r="40" spans="1:11" ht="15.6">
      <c r="A40" s="53" t="str">
        <v>Colusa - WTP</v>
      </c>
      <c r="B40" s="28" t="str">
        <v>CA</v>
      </c>
      <c r="C40" s="13">
        <v>0</v>
      </c>
      <c r="D40" s="13">
        <v>0</v>
      </c>
      <c r="E40" s="13">
        <f t="shared" si="11"/>
        <v>0</v>
      </c>
      <c r="F40" s="14" t="str">
        <f t="shared" si="1"/>
        <v/>
      </c>
      <c r="G40" s="15">
        <v>18089.062999999998</v>
      </c>
      <c r="H40" s="15">
        <f t="shared" si="12"/>
        <v>-18089.062999999998</v>
      </c>
      <c r="I40" s="16">
        <f t="shared" si="13"/>
        <v>-1</v>
      </c>
      <c r="J40" s="41"/>
      <c r="K40" s="41"/>
    </row>
    <row r="41" spans="1:11" ht="15.6">
      <c r="A41" s="52" t="str">
        <v>CDCR-North Kern State Prision</v>
      </c>
      <c r="B41" s="30" t="str">
        <v>CA</v>
      </c>
      <c r="C41" s="18"/>
      <c r="D41" s="18"/>
      <c r="E41" s="18" t="str">
        <f t="shared" si="11"/>
        <v/>
      </c>
      <c r="F41" s="14" t="str">
        <f t="shared" si="1"/>
        <v/>
      </c>
      <c r="G41" s="45"/>
      <c r="H41" s="45" t="str">
        <f t="shared" si="12"/>
        <v/>
      </c>
      <c r="I41" s="16" t="str">
        <f t="shared" si="13"/>
        <v/>
      </c>
      <c r="J41" s="42"/>
      <c r="K41" s="42"/>
    </row>
    <row r="42" spans="1:11" ht="15.6">
      <c r="A42" s="53" t="str">
        <v>Muroc Joint USD - District Office</v>
      </c>
      <c r="B42" s="28" t="str">
        <v>CA</v>
      </c>
      <c r="C42" s="13">
        <v>4423</v>
      </c>
      <c r="D42" s="13">
        <v>9010</v>
      </c>
      <c r="E42" s="13">
        <f t="shared" si="11"/>
        <v>-4587</v>
      </c>
      <c r="F42" s="14">
        <f t="shared" si="1"/>
        <v>-0.50910099889012206</v>
      </c>
      <c r="G42" s="15">
        <v>6222.71</v>
      </c>
      <c r="H42" s="15">
        <f t="shared" si="12"/>
        <v>-1799.71</v>
      </c>
      <c r="I42" s="16">
        <f t="shared" si="13"/>
        <v>-0.28921643464021302</v>
      </c>
      <c r="J42" s="41"/>
      <c r="K42" s="41"/>
    </row>
    <row r="43" spans="1:11" ht="15.6">
      <c r="A43" s="52" t="str">
        <v>Whole Foods - Manhattan Beach</v>
      </c>
      <c r="B43" s="30" t="str">
        <v>CA</v>
      </c>
      <c r="C43" s="18"/>
      <c r="D43" s="18"/>
      <c r="E43" s="18" t="str">
        <f t="shared" si="11"/>
        <v/>
      </c>
      <c r="F43" s="14" t="str">
        <f t="shared" si="1"/>
        <v/>
      </c>
      <c r="G43" s="45"/>
      <c r="H43" s="45" t="str">
        <f t="shared" si="12"/>
        <v/>
      </c>
      <c r="I43" s="16" t="str">
        <f t="shared" si="13"/>
        <v/>
      </c>
      <c r="J43" s="42"/>
      <c r="K43" s="42"/>
    </row>
    <row r="44" spans="1:11" ht="15.6">
      <c r="A44" s="53" t="str">
        <v>Pioneer USD - Frontier ES</v>
      </c>
      <c r="B44" s="28" t="str">
        <v>CA</v>
      </c>
      <c r="C44" s="13">
        <v>15020</v>
      </c>
      <c r="D44" s="13">
        <v>0</v>
      </c>
      <c r="E44" s="13">
        <f t="shared" si="11"/>
        <v>15020</v>
      </c>
      <c r="F44" s="14" t="str">
        <f t="shared" si="1"/>
        <v/>
      </c>
      <c r="G44" s="15">
        <v>11920.14</v>
      </c>
      <c r="H44" s="15">
        <f t="shared" si="12"/>
        <v>3099.8600000000006</v>
      </c>
      <c r="I44" s="16">
        <f t="shared" si="13"/>
        <v>0.26005231482180585</v>
      </c>
      <c r="J44" s="41"/>
      <c r="K44" s="41"/>
    </row>
    <row r="45" spans="1:11" ht="15.6">
      <c r="A45" s="52" t="str">
        <v>Pioneer USD - Pioneer ES</v>
      </c>
      <c r="B45" s="30" t="str">
        <v>CA</v>
      </c>
      <c r="C45" s="18">
        <v>14727.7</v>
      </c>
      <c r="D45" s="18">
        <v>0</v>
      </c>
      <c r="E45" s="18">
        <f t="shared" si="11"/>
        <v>14727.7</v>
      </c>
      <c r="F45" s="14" t="str">
        <f t="shared" si="1"/>
        <v/>
      </c>
      <c r="G45" s="45">
        <v>11753.37</v>
      </c>
      <c r="H45" s="45">
        <f t="shared" si="12"/>
        <v>2974.33</v>
      </c>
      <c r="I45" s="16">
        <f t="shared" si="13"/>
        <v>0.25306188778197231</v>
      </c>
      <c r="J45" s="42"/>
      <c r="K45" s="42"/>
    </row>
    <row r="46" spans="1:11" ht="15.6">
      <c r="A46" s="53" t="str">
        <v>Pioneer USD - Pioneer MS</v>
      </c>
      <c r="B46" s="28" t="str">
        <v>CA</v>
      </c>
      <c r="C46" s="13">
        <v>0</v>
      </c>
      <c r="D46" s="13">
        <v>0</v>
      </c>
      <c r="E46" s="13">
        <f t="shared" si="11"/>
        <v>0</v>
      </c>
      <c r="F46" s="14" t="str">
        <f t="shared" si="1"/>
        <v/>
      </c>
      <c r="G46" s="15">
        <v>15964.21</v>
      </c>
      <c r="H46" s="15">
        <f t="shared" si="12"/>
        <v>-15964.21</v>
      </c>
      <c r="I46" s="16">
        <f t="shared" si="13"/>
        <v>-1</v>
      </c>
      <c r="J46" s="41"/>
      <c r="K46" s="41"/>
    </row>
    <row r="47" spans="1:11" ht="15.6">
      <c r="A47" s="52" t="str">
        <v>Kingsburg Joint UHSD - Kingsburg HS</v>
      </c>
      <c r="B47" s="30" t="str">
        <v>CA</v>
      </c>
      <c r="C47" s="18">
        <v>31206</v>
      </c>
      <c r="D47" s="18">
        <v>203974</v>
      </c>
      <c r="E47" s="18">
        <f t="shared" si="11"/>
        <v>-172768</v>
      </c>
      <c r="F47" s="14">
        <f t="shared" si="1"/>
        <v>-0.847009913028131</v>
      </c>
      <c r="G47" s="45">
        <v>35901.839999999997</v>
      </c>
      <c r="H47" s="45">
        <f t="shared" si="12"/>
        <v>-4695.8399999999965</v>
      </c>
      <c r="I47" s="16">
        <f t="shared" si="13"/>
        <v>-0.13079663883522397</v>
      </c>
      <c r="J47" s="42"/>
      <c r="K47" s="42"/>
    </row>
    <row r="48" spans="1:11" ht="15.6">
      <c r="A48" s="53" t="str">
        <v>CADRB</v>
      </c>
      <c r="B48" s="28" t="str">
        <v>CA</v>
      </c>
      <c r="C48" s="13">
        <v>325991</v>
      </c>
      <c r="D48" s="13">
        <v>495593</v>
      </c>
      <c r="E48" s="13">
        <f t="shared" si="11"/>
        <v>-169602</v>
      </c>
      <c r="F48" s="14">
        <f t="shared" si="1"/>
        <v>-0.34222032998851881</v>
      </c>
      <c r="G48" s="15">
        <v>408527</v>
      </c>
      <c r="H48" s="15">
        <f t="shared" si="12"/>
        <v>-82536</v>
      </c>
      <c r="I48" s="16">
        <f t="shared" si="13"/>
        <v>-0.20203315815111364</v>
      </c>
      <c r="J48" s="41"/>
      <c r="K48" s="41"/>
    </row>
    <row r="49" spans="1:11" ht="15.6">
      <c r="A49" s="52" t="str">
        <v>CDCR-CA State Prison LA County</v>
      </c>
      <c r="B49" s="30" t="str">
        <v>CA</v>
      </c>
      <c r="C49" s="18"/>
      <c r="D49" s="18"/>
      <c r="E49" s="18" t="str">
        <f t="shared" si="11"/>
        <v/>
      </c>
      <c r="F49" s="14" t="str">
        <f t="shared" si="1"/>
        <v/>
      </c>
      <c r="G49" s="45"/>
      <c r="H49" s="45" t="str">
        <f t="shared" si="12"/>
        <v/>
      </c>
      <c r="I49" s="16" t="str">
        <f t="shared" si="13"/>
        <v/>
      </c>
      <c r="J49" s="42"/>
      <c r="K49" s="42"/>
    </row>
    <row r="50" spans="1:11" ht="15.6">
      <c r="A50" s="53" t="str">
        <v>Central USD Akers ES</v>
      </c>
      <c r="B50" s="28" t="str">
        <v>CA</v>
      </c>
      <c r="C50" s="13"/>
      <c r="D50" s="13"/>
      <c r="E50" s="13" t="str">
        <f t="shared" si="11"/>
        <v/>
      </c>
      <c r="F50" s="14" t="str">
        <f t="shared" si="1"/>
        <v/>
      </c>
      <c r="G50" s="15"/>
      <c r="H50" s="15" t="str">
        <f t="shared" si="12"/>
        <v/>
      </c>
      <c r="I50" s="16" t="str">
        <f t="shared" si="13"/>
        <v/>
      </c>
      <c r="J50" s="41"/>
      <c r="K50" s="41"/>
    </row>
    <row r="51" spans="1:11" ht="15.6">
      <c r="A51" s="52" t="str">
        <v>CUSD - District Office</v>
      </c>
      <c r="B51" s="30" t="str">
        <v>CA</v>
      </c>
      <c r="C51" s="18">
        <v>11507</v>
      </c>
      <c r="D51" s="18">
        <v>15233</v>
      </c>
      <c r="E51" s="18">
        <f t="shared" si="11"/>
        <v>-3726</v>
      </c>
      <c r="F51" s="14">
        <f t="shared" si="1"/>
        <v>-0.24460053830499573</v>
      </c>
      <c r="G51" s="45">
        <v>10140.379999999999</v>
      </c>
      <c r="H51" s="45">
        <f t="shared" si="12"/>
        <v>1366.6200000000008</v>
      </c>
      <c r="I51" s="16">
        <f t="shared" si="13"/>
        <v>0.13477009737307682</v>
      </c>
      <c r="J51" s="42"/>
      <c r="K51" s="42"/>
    </row>
    <row r="52" spans="1:11" ht="15.6">
      <c r="A52" s="53" t="str">
        <v>Parlier - WTP</v>
      </c>
      <c r="B52" s="28" t="str">
        <v>CA</v>
      </c>
      <c r="C52" s="13"/>
      <c r="D52" s="13"/>
      <c r="E52" s="13" t="str">
        <f t="shared" si="11"/>
        <v/>
      </c>
      <c r="F52" s="14" t="str">
        <f t="shared" si="1"/>
        <v/>
      </c>
      <c r="G52" s="15"/>
      <c r="H52" s="15" t="str">
        <f t="shared" si="12"/>
        <v/>
      </c>
      <c r="I52" s="16" t="str">
        <f t="shared" si="13"/>
        <v/>
      </c>
      <c r="J52" s="41"/>
      <c r="K52" s="41"/>
    </row>
    <row r="53" spans="1:11" ht="15.6">
      <c r="A53" s="52" t="str">
        <v>Snowline SD - Quail Valley MS</v>
      </c>
      <c r="B53" s="30" t="str">
        <v>CA</v>
      </c>
      <c r="C53" s="18">
        <v>22714</v>
      </c>
      <c r="D53" s="18">
        <v>33438</v>
      </c>
      <c r="E53" s="18">
        <f t="shared" si="11"/>
        <v>-10724</v>
      </c>
      <c r="F53" s="14">
        <f t="shared" si="1"/>
        <v>-0.32071296130151322</v>
      </c>
      <c r="G53" s="45">
        <v>23741.9</v>
      </c>
      <c r="H53" s="45">
        <f t="shared" si="12"/>
        <v>-1027.9000000000015</v>
      </c>
      <c r="I53" s="16">
        <f t="shared" si="13"/>
        <v>-4.329476579380763E-2</v>
      </c>
      <c r="J53" s="42"/>
      <c r="K53" s="42"/>
    </row>
    <row r="54" spans="1:11" ht="15.6">
      <c r="A54" s="53" t="str">
        <v>Snowline SD - Serrano HS - Middle Lot</v>
      </c>
      <c r="B54" s="28" t="str">
        <v>CA</v>
      </c>
      <c r="C54" s="13"/>
      <c r="D54" s="13"/>
      <c r="E54" s="13" t="str">
        <f t="shared" si="11"/>
        <v/>
      </c>
      <c r="F54" s="14" t="str">
        <f t="shared" si="1"/>
        <v/>
      </c>
      <c r="G54" s="15"/>
      <c r="H54" s="15" t="str">
        <f t="shared" si="12"/>
        <v/>
      </c>
      <c r="I54" s="16" t="str">
        <f t="shared" si="13"/>
        <v/>
      </c>
      <c r="J54" s="41"/>
      <c r="K54" s="41"/>
    </row>
    <row r="55" spans="1:11" ht="15.6">
      <c r="A55" s="52" t="str">
        <v>Snowline SD - Pinon Hills ES</v>
      </c>
      <c r="B55" s="30" t="str">
        <v>CA</v>
      </c>
      <c r="C55" s="18">
        <v>3980</v>
      </c>
      <c r="D55" s="18">
        <v>6199</v>
      </c>
      <c r="E55" s="18">
        <f t="shared" si="11"/>
        <v>-2219</v>
      </c>
      <c r="F55" s="14">
        <f t="shared" si="1"/>
        <v>-0.35796096144539441</v>
      </c>
      <c r="G55" s="45">
        <v>15149.94</v>
      </c>
      <c r="H55" s="45">
        <f t="shared" si="12"/>
        <v>-11169.94</v>
      </c>
      <c r="I55" s="16">
        <f t="shared" si="13"/>
        <v>-0.73729268894794309</v>
      </c>
      <c r="J55" s="42"/>
      <c r="K55" s="42"/>
    </row>
    <row r="56" spans="1:11" ht="15.6">
      <c r="A56" s="53" t="str">
        <v>Ramona - Santa Maria WTP</v>
      </c>
      <c r="B56" s="28" t="str">
        <v>CA</v>
      </c>
      <c r="C56" s="13">
        <v>49961</v>
      </c>
      <c r="D56" s="13">
        <v>73348</v>
      </c>
      <c r="E56" s="13">
        <f t="shared" si="11"/>
        <v>-23387</v>
      </c>
      <c r="F56" s="14">
        <f t="shared" si="1"/>
        <v>-0.31884986639035828</v>
      </c>
      <c r="G56" s="15">
        <v>57963.53</v>
      </c>
      <c r="H56" s="15">
        <f t="shared" si="12"/>
        <v>-8002.5299999999988</v>
      </c>
      <c r="I56" s="16">
        <f t="shared" si="13"/>
        <v>-0.13806146727088567</v>
      </c>
      <c r="J56" s="41"/>
      <c r="K56" s="41"/>
    </row>
    <row r="57" spans="1:11" ht="15.6">
      <c r="A57" s="52" t="str">
        <v>Kohls - Redding</v>
      </c>
      <c r="B57" s="30" t="str">
        <v>CA</v>
      </c>
      <c r="C57" s="18">
        <v>10272</v>
      </c>
      <c r="D57" s="18">
        <v>0</v>
      </c>
      <c r="E57" s="18">
        <f t="shared" si="11"/>
        <v>10272</v>
      </c>
      <c r="F57" s="14" t="str">
        <f t="shared" si="1"/>
        <v/>
      </c>
      <c r="G57" s="45">
        <v>12862.72</v>
      </c>
      <c r="H57" s="45">
        <f t="shared" si="12"/>
        <v>-2590.7199999999993</v>
      </c>
      <c r="I57" s="16">
        <f t="shared" si="13"/>
        <v>-0.20141307592795299</v>
      </c>
      <c r="J57" s="42"/>
      <c r="K57" s="42"/>
    </row>
    <row r="58" spans="1:11" ht="15.6">
      <c r="A58" s="53" t="str">
        <v>Kohls - Salinas</v>
      </c>
      <c r="B58" s="28" t="str">
        <v>CA</v>
      </c>
      <c r="C58" s="13">
        <v>18597</v>
      </c>
      <c r="D58" s="13">
        <v>33226</v>
      </c>
      <c r="E58" s="13">
        <f t="shared" si="11"/>
        <v>-14629</v>
      </c>
      <c r="F58" s="14">
        <f t="shared" si="1"/>
        <v>-0.44028772647926323</v>
      </c>
      <c r="G58" s="15">
        <v>24510.93</v>
      </c>
      <c r="H58" s="15">
        <f t="shared" si="12"/>
        <v>-5913.93</v>
      </c>
      <c r="I58" s="16">
        <f t="shared" si="13"/>
        <v>-0.24127725875762365</v>
      </c>
      <c r="J58" s="41"/>
      <c r="K58" s="41"/>
    </row>
    <row r="59" spans="1:11" ht="15.6">
      <c r="A59" s="52" t="str">
        <v>Kohls - San Bernardino - Central</v>
      </c>
      <c r="B59" s="30" t="str">
        <v>CA</v>
      </c>
      <c r="C59" s="18"/>
      <c r="D59" s="18"/>
      <c r="E59" s="18" t="str">
        <f t="shared" si="11"/>
        <v/>
      </c>
      <c r="F59" s="14" t="str">
        <f t="shared" si="1"/>
        <v/>
      </c>
      <c r="G59" s="45"/>
      <c r="H59" s="45" t="str">
        <f t="shared" si="12"/>
        <v/>
      </c>
      <c r="I59" s="16" t="str">
        <f t="shared" si="13"/>
        <v/>
      </c>
      <c r="J59" s="42"/>
      <c r="K59" s="42"/>
    </row>
    <row r="60" spans="1:11" ht="15.6">
      <c r="A60" s="53" t="str">
        <v>Kohls - Sonora</v>
      </c>
      <c r="B60" s="28" t="str">
        <v>CA</v>
      </c>
      <c r="C60" s="13">
        <v>13622</v>
      </c>
      <c r="D60" s="13">
        <v>19078</v>
      </c>
      <c r="E60" s="13">
        <f t="shared" si="11"/>
        <v>-5456</v>
      </c>
      <c r="F60" s="14">
        <f t="shared" si="1"/>
        <v>-0.28598385575007862</v>
      </c>
      <c r="G60" s="15">
        <v>14770.43</v>
      </c>
      <c r="H60" s="15">
        <f t="shared" si="12"/>
        <v>-1148.4300000000003</v>
      </c>
      <c r="I60" s="16">
        <f t="shared" si="13"/>
        <v>-7.7751967952185572E-2</v>
      </c>
      <c r="J60" s="41"/>
      <c r="K60" s="41"/>
    </row>
    <row r="61" spans="1:11" ht="15.6">
      <c r="A61" s="52" t="str">
        <v>CUSD - Stratford ES</v>
      </c>
      <c r="B61" s="30" t="str">
        <v>CA</v>
      </c>
      <c r="C61" s="18">
        <v>12408</v>
      </c>
      <c r="D61" s="18">
        <v>13819</v>
      </c>
      <c r="E61" s="18">
        <f t="shared" si="11"/>
        <v>-1411</v>
      </c>
      <c r="F61" s="14">
        <f t="shared" si="1"/>
        <v>-0.10210579636732035</v>
      </c>
      <c r="G61" s="45">
        <v>8854.66</v>
      </c>
      <c r="H61" s="45">
        <f t="shared" si="12"/>
        <v>3553.34</v>
      </c>
      <c r="I61" s="16">
        <f t="shared" si="13"/>
        <v>0.40129604072883657</v>
      </c>
      <c r="J61" s="42"/>
      <c r="K61" s="42"/>
    </row>
    <row r="62" spans="1:11" ht="15.6">
      <c r="A62" s="53" t="str">
        <v>Taft - City Hall</v>
      </c>
      <c r="B62" s="28" t="str">
        <v>CA</v>
      </c>
      <c r="C62" s="13">
        <v>3678</v>
      </c>
      <c r="D62" s="13">
        <v>20201</v>
      </c>
      <c r="E62" s="13">
        <f t="shared" si="11"/>
        <v>-16523</v>
      </c>
      <c r="F62" s="14">
        <f t="shared" si="1"/>
        <v>-0.81792980545517546</v>
      </c>
      <c r="G62" s="15">
        <v>4170.01</v>
      </c>
      <c r="H62" s="15">
        <f t="shared" si="12"/>
        <v>-492.01000000000022</v>
      </c>
      <c r="I62" s="16">
        <f t="shared" si="13"/>
        <v>-0.11798772664813759</v>
      </c>
      <c r="J62" s="41"/>
      <c r="K62" s="41"/>
    </row>
    <row r="63" spans="1:11" ht="15.6">
      <c r="A63" s="52" t="str">
        <v>Taft - Federal Prison</v>
      </c>
      <c r="B63" s="30" t="str">
        <v>CA</v>
      </c>
      <c r="C63" s="18">
        <v>8873</v>
      </c>
      <c r="D63" s="18">
        <v>11804</v>
      </c>
      <c r="E63" s="18">
        <f t="shared" si="11"/>
        <v>-2931</v>
      </c>
      <c r="F63" s="14">
        <f t="shared" si="1"/>
        <v>-0.24830565909861063</v>
      </c>
      <c r="G63" s="45">
        <v>7461.58</v>
      </c>
      <c r="H63" s="45">
        <f t="shared" si="12"/>
        <v>1411.42</v>
      </c>
      <c r="I63" s="16">
        <f t="shared" si="13"/>
        <v>0.18915832839693472</v>
      </c>
      <c r="J63" s="42"/>
      <c r="K63" s="42"/>
    </row>
    <row r="64" spans="1:11" ht="15.6">
      <c r="A64" s="53" t="str">
        <v>Taft - Police Department</v>
      </c>
      <c r="B64" s="28" t="str">
        <v>CA</v>
      </c>
      <c r="C64" s="13">
        <v>6180</v>
      </c>
      <c r="D64" s="13">
        <v>7740</v>
      </c>
      <c r="E64" s="13">
        <f t="shared" si="11"/>
        <v>-1560</v>
      </c>
      <c r="F64" s="14">
        <f t="shared" si="1"/>
        <v>-0.20155038759689922</v>
      </c>
      <c r="G64" s="15">
        <v>4799.4399999999996</v>
      </c>
      <c r="H64" s="15">
        <f t="shared" si="12"/>
        <v>1380.5600000000004</v>
      </c>
      <c r="I64" s="16">
        <f t="shared" si="13"/>
        <v>0.28765022585968375</v>
      </c>
      <c r="J64" s="41"/>
      <c r="K64" s="41"/>
    </row>
    <row r="65" spans="1:11" ht="15.6">
      <c r="A65" s="52" t="str">
        <v>Taft - WTP</v>
      </c>
      <c r="B65" s="30" t="str">
        <v>CA</v>
      </c>
      <c r="C65" s="18"/>
      <c r="D65" s="18"/>
      <c r="E65" s="18" t="str">
        <f t="shared" si="11"/>
        <v/>
      </c>
      <c r="F65" s="14" t="str">
        <f t="shared" si="1"/>
        <v/>
      </c>
      <c r="G65" s="45"/>
      <c r="H65" s="45" t="str">
        <f t="shared" si="12"/>
        <v/>
      </c>
      <c r="I65" s="16" t="str">
        <f t="shared" si="13"/>
        <v/>
      </c>
      <c r="J65" s="42"/>
      <c r="K65" s="42"/>
    </row>
    <row r="66" spans="1:11" ht="15.6">
      <c r="A66" s="53" t="str">
        <v>CDCR - CA Correctional Institution</v>
      </c>
      <c r="B66" s="28" t="str">
        <v>CA</v>
      </c>
      <c r="C66" s="13"/>
      <c r="D66" s="13"/>
      <c r="E66" s="13" t="str">
        <f t="shared" si="11"/>
        <v/>
      </c>
      <c r="F66" s="14" t="str">
        <f t="shared" si="1"/>
        <v/>
      </c>
      <c r="G66" s="15"/>
      <c r="H66" s="15" t="str">
        <f t="shared" si="12"/>
        <v/>
      </c>
      <c r="I66" s="16" t="str">
        <f t="shared" si="13"/>
        <v/>
      </c>
      <c r="J66" s="41"/>
      <c r="K66" s="41"/>
    </row>
    <row r="67" spans="1:11" ht="15.6">
      <c r="A67" s="52" t="str">
        <v>CDCR - CA Correctional Institution II</v>
      </c>
      <c r="B67" s="30" t="str">
        <v>CA</v>
      </c>
      <c r="C67" s="18">
        <v>32908</v>
      </c>
      <c r="D67" s="18">
        <v>54953</v>
      </c>
      <c r="E67" s="18">
        <f t="shared" si="11"/>
        <v>-22045</v>
      </c>
      <c r="F67" s="14">
        <f t="shared" si="1"/>
        <v>-0.40116099212053935</v>
      </c>
      <c r="G67" s="45">
        <v>167323.49900000001</v>
      </c>
      <c r="H67" s="45">
        <f t="shared" si="12"/>
        <v>-134415.49900000001</v>
      </c>
      <c r="I67" s="16">
        <f t="shared" si="13"/>
        <v>-0.80332708677099807</v>
      </c>
      <c r="J67" s="42"/>
      <c r="K67" s="42"/>
    </row>
    <row r="68" spans="1:11" ht="15.6">
      <c r="A68" s="53" t="str">
        <v>Snowline SD - Vista Verde ES</v>
      </c>
      <c r="B68" s="28" t="str">
        <v>CA</v>
      </c>
      <c r="C68" s="13">
        <v>17619</v>
      </c>
      <c r="D68" s="13">
        <v>23729</v>
      </c>
      <c r="E68" s="13">
        <f t="shared" si="11"/>
        <v>-6110</v>
      </c>
      <c r="F68" s="14">
        <f t="shared" si="1"/>
        <v>-0.25749083400058997</v>
      </c>
      <c r="G68" s="15">
        <v>17128.54</v>
      </c>
      <c r="H68" s="15">
        <f t="shared" si="12"/>
        <v>490.45999999999913</v>
      </c>
      <c r="I68" s="16">
        <f t="shared" si="13"/>
        <v>2.863408089656206E-2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phoneticPr fontId="40" type="noConversion"/>
  <conditionalFormatting sqref="F2 I2 I4:I99">
    <cfRule type="cellIs" dxfId="54" priority="8" stopIfTrue="1" operator="lessThanOrEqual">
      <formula>-0.1</formula>
    </cfRule>
    <cfRule type="expression" dxfId="53" priority="9">
      <formula>AND(ISNUMBER(F2), F2&gt;=0.1)</formula>
    </cfRule>
  </conditionalFormatting>
  <conditionalFormatting sqref="F69:F99">
    <cfRule type="cellIs" dxfId="52" priority="5" stopIfTrue="1" operator="lessThanOrEqual">
      <formula>-0.1</formula>
    </cfRule>
    <cfRule type="expression" dxfId="51" priority="6">
      <formula>AND(ISNUMBER(F69), F69&gt;=0.1)</formula>
    </cfRule>
  </conditionalFormatting>
  <conditionalFormatting sqref="F4:F68">
    <cfRule type="cellIs" dxfId="50" priority="1" stopIfTrue="1" operator="lessThanOrEqual">
      <formula>-0.1</formula>
    </cfRule>
    <cfRule type="expression" dxfId="4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36</v>
      </c>
      <c r="E1" s="100"/>
      <c r="F1" s="100"/>
      <c r="G1" s="98" t="s">
        <v>37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1621985</v>
      </c>
      <c r="D2" s="5">
        <f>SUM(D4:D100)</f>
        <v>2873914</v>
      </c>
      <c r="E2" s="5">
        <f>C2-D2</f>
        <v>-1251929</v>
      </c>
      <c r="F2" s="6">
        <f>IFERROR(E2/D2, 0)</f>
        <v>-0.4356181152254382</v>
      </c>
      <c r="G2" s="5">
        <f>SUM(G4:G100)</f>
        <v>1874475.5640000002</v>
      </c>
      <c r="H2" s="7">
        <f>C2-G2</f>
        <v>-252490.56400000025</v>
      </c>
      <c r="I2" s="6">
        <f>IFERROR(H2/G2, 0)</f>
        <v>-0.13469930942241945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24">
        <v>19218</v>
      </c>
      <c r="D4" s="13">
        <v>26816</v>
      </c>
      <c r="E4" s="13">
        <f>IF(AND(ISNUMBER(C4),ISNUMBER(D4)), C4-D4, "")</f>
        <v>-7598</v>
      </c>
      <c r="F4" s="14">
        <f>IFERROR(E4/D4, "")</f>
        <v>-0.28333830548926014</v>
      </c>
      <c r="G4" s="15">
        <v>16946.75</v>
      </c>
      <c r="H4" s="15">
        <f>IF(AND(ISNUMBER(C4),ISNUMBER(G4)), C4-G4, "")</f>
        <v>2271.25</v>
      </c>
      <c r="I4" s="16">
        <f>IFERROR(H4/G4, "")</f>
        <v>0.13402274772448994</v>
      </c>
      <c r="J4" s="41"/>
      <c r="K4" s="41"/>
    </row>
    <row r="5" spans="1:11" ht="15.6">
      <c r="A5" s="52" t="str">
        <v>Kohls - Auburn</v>
      </c>
      <c r="B5" s="31" t="str">
        <v>NY</v>
      </c>
      <c r="C5" s="11">
        <v>17104</v>
      </c>
      <c r="D5" s="18">
        <v>26754</v>
      </c>
      <c r="E5" s="18">
        <f t="shared" ref="E5:E15" si="0">IF(AND(ISNUMBER(C5),ISNUMBER(D5)), C5-D5, "")</f>
        <v>-9650</v>
      </c>
      <c r="F5" s="14">
        <f t="shared" ref="F5:F68" si="1">IFERROR(E5/D5, "")</f>
        <v>-0.36069372804066679</v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6">
      <c r="A6" s="53" t="str">
        <v>Kohls - Bensalem</v>
      </c>
      <c r="B6" s="29" t="str">
        <v>PA</v>
      </c>
      <c r="C6" s="24">
        <v>24318</v>
      </c>
      <c r="D6" s="13">
        <v>32061</v>
      </c>
      <c r="E6" s="13">
        <f t="shared" si="0"/>
        <v>-7743</v>
      </c>
      <c r="F6" s="14">
        <f t="shared" si="1"/>
        <v>-0.24150837466080285</v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6">
      <c r="A7" s="52" t="str">
        <v>Kohls - Brick</v>
      </c>
      <c r="B7" s="31" t="str">
        <v>NJ</v>
      </c>
      <c r="C7" s="11">
        <v>26352</v>
      </c>
      <c r="D7" s="18">
        <v>38367</v>
      </c>
      <c r="E7" s="18">
        <f t="shared" si="0"/>
        <v>-12015</v>
      </c>
      <c r="F7" s="14">
        <f t="shared" si="1"/>
        <v>-0.31315974665728358</v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9.1">
      <c r="A8" s="53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4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6">
      <c r="A9" s="52" t="str">
        <v>Kohls - Canton</v>
      </c>
      <c r="B9" s="31" t="str">
        <v>CT</v>
      </c>
      <c r="C9" s="11">
        <v>8146</v>
      </c>
      <c r="D9" s="18">
        <v>13091</v>
      </c>
      <c r="E9" s="18">
        <f t="shared" si="0"/>
        <v>-4945</v>
      </c>
      <c r="F9" s="14">
        <f t="shared" si="1"/>
        <v>-0.37774043235810861</v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6">
      <c r="A10" s="53" t="str">
        <v>Kohls - East Amherst</v>
      </c>
      <c r="B10" s="29" t="str">
        <v>NY</v>
      </c>
      <c r="C10" s="24">
        <v>20665</v>
      </c>
      <c r="D10" s="13">
        <v>26491</v>
      </c>
      <c r="E10" s="13">
        <f t="shared" si="0"/>
        <v>-5826</v>
      </c>
      <c r="F10" s="14">
        <f t="shared" si="1"/>
        <v>-0.21992374768789399</v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6">
      <c r="A11" s="52" t="str">
        <v>Kohls - East Brunswick</v>
      </c>
      <c r="B11" s="31" t="str">
        <v>NJ</v>
      </c>
      <c r="C11" s="11">
        <v>31269</v>
      </c>
      <c r="D11" s="18">
        <v>50418</v>
      </c>
      <c r="E11" s="18">
        <f t="shared" si="0"/>
        <v>-19149</v>
      </c>
      <c r="F11" s="14">
        <f t="shared" si="1"/>
        <v>-0.37980483160775913</v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6">
      <c r="A12" s="53" t="str">
        <v>Kohls - Edgewood</v>
      </c>
      <c r="B12" s="29" t="str">
        <v>MD</v>
      </c>
      <c r="C12" s="24">
        <v>184974</v>
      </c>
      <c r="D12" s="13">
        <v>262579</v>
      </c>
      <c r="E12" s="13">
        <f t="shared" si="0"/>
        <v>-77605</v>
      </c>
      <c r="F12" s="14">
        <f t="shared" si="1"/>
        <v>-0.29554914901800983</v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6">
      <c r="A13" s="52" t="str">
        <v>Kohls - Granite Run</v>
      </c>
      <c r="B13" s="31" t="str">
        <v>PA</v>
      </c>
      <c r="C13" s="11">
        <v>22487</v>
      </c>
      <c r="D13" s="18">
        <v>31634</v>
      </c>
      <c r="E13" s="18">
        <f t="shared" si="0"/>
        <v>-9147</v>
      </c>
      <c r="F13" s="14">
        <f t="shared" si="1"/>
        <v>-0.28915091357400263</v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6">
      <c r="A14" s="53" t="str">
        <v>Kohls - Greece</v>
      </c>
      <c r="B14" s="29" t="str">
        <v>NY</v>
      </c>
      <c r="C14" s="24">
        <v>16874</v>
      </c>
      <c r="D14" s="13">
        <v>7597</v>
      </c>
      <c r="E14" s="13">
        <f t="shared" si="0"/>
        <v>9277</v>
      </c>
      <c r="F14" s="14">
        <f t="shared" si="1"/>
        <v>1.2211399236540739</v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6">
      <c r="A15" s="52" t="str">
        <v>Kohls - Hanover</v>
      </c>
      <c r="B15" s="31" t="str">
        <v>PA</v>
      </c>
      <c r="C15" s="11">
        <v>26512</v>
      </c>
      <c r="D15" s="18">
        <v>35740</v>
      </c>
      <c r="E15" s="18">
        <f t="shared" si="0"/>
        <v>-9228</v>
      </c>
      <c r="F15" s="14">
        <f t="shared" si="1"/>
        <v>-0.25819809736989369</v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6">
      <c r="A16" s="53" t="str">
        <v>Kohls - Horsehead</v>
      </c>
      <c r="B16" s="29" t="str">
        <v>NY</v>
      </c>
      <c r="C16" s="24">
        <v>18647</v>
      </c>
      <c r="D16" s="13">
        <v>25625</v>
      </c>
      <c r="E16" s="13">
        <f t="shared" ref="E16:E17" si="4">IF(AND(ISNUMBER(C16),ISNUMBER(D16)), C16-D16, "")</f>
        <v>-6978</v>
      </c>
      <c r="F16" s="14">
        <f t="shared" si="1"/>
        <v>-0.27231219512195121</v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6">
      <c r="A17" s="52" t="str">
        <v>Kohls - Hudson</v>
      </c>
      <c r="B17" s="31" t="str">
        <v>NY</v>
      </c>
      <c r="C17" s="11">
        <v>6932</v>
      </c>
      <c r="D17" s="18">
        <v>30303</v>
      </c>
      <c r="E17" s="18">
        <f t="shared" si="4"/>
        <v>-23371</v>
      </c>
      <c r="F17" s="14">
        <f t="shared" si="1"/>
        <v>-0.77124377124377119</v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1" t="str">
        <v>Kohls - Ithaca</v>
      </c>
      <c r="B18" s="29" t="str">
        <v>NY</v>
      </c>
      <c r="C18" s="24">
        <v>16819</v>
      </c>
      <c r="D18" s="13">
        <v>24507</v>
      </c>
      <c r="E18" s="13">
        <f t="shared" ref="E18:E25" si="7">IF(AND(ISNUMBER(C18),ISNUMBER(D18)), C18-D18, "")</f>
        <v>-7688</v>
      </c>
      <c r="F18" s="14">
        <f t="shared" si="1"/>
        <v>-0.31370628799934713</v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6">
      <c r="A19" s="52" t="str">
        <v>Kohls - Kingston</v>
      </c>
      <c r="B19" s="31" t="str">
        <v>NY</v>
      </c>
      <c r="C19" s="11">
        <v>35496</v>
      </c>
      <c r="D19" s="18">
        <v>46413</v>
      </c>
      <c r="E19" s="18">
        <f t="shared" si="7"/>
        <v>-10917</v>
      </c>
      <c r="F19" s="14">
        <f t="shared" si="1"/>
        <v>-0.23521427186348653</v>
      </c>
      <c r="G19" s="20">
        <v>24776.928</v>
      </c>
      <c r="H19" s="20">
        <f t="shared" si="8"/>
        <v>10719.072</v>
      </c>
      <c r="I19" s="19">
        <f t="shared" si="9"/>
        <v>0.43262312422266391</v>
      </c>
      <c r="J19" s="42"/>
      <c r="K19" s="42"/>
    </row>
    <row r="20" spans="1:11" ht="15.6">
      <c r="A20" s="53" t="str">
        <v>Kohls - Mechanicsburg</v>
      </c>
      <c r="B20" s="29" t="str">
        <v>PA</v>
      </c>
      <c r="C20" s="24">
        <v>30051</v>
      </c>
      <c r="D20" s="13">
        <v>41483</v>
      </c>
      <c r="E20" s="13">
        <f t="shared" si="7"/>
        <v>-11432</v>
      </c>
      <c r="F20" s="14">
        <f t="shared" si="1"/>
        <v>-0.27558276884506905</v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6">
      <c r="A21" s="52" t="str">
        <v>Kohls - Middletown</v>
      </c>
      <c r="B21" s="31" t="str">
        <v>NJ</v>
      </c>
      <c r="C21" s="11">
        <v>15419</v>
      </c>
      <c r="D21" s="18">
        <v>46028</v>
      </c>
      <c r="E21" s="18">
        <f t="shared" si="7"/>
        <v>-30609</v>
      </c>
      <c r="F21" s="14">
        <f t="shared" si="1"/>
        <v>-0.6650082558442687</v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6">
      <c r="A22" s="53" t="str">
        <v>Kohls - North Amherst</v>
      </c>
      <c r="B22" s="29" t="str">
        <v>NY</v>
      </c>
      <c r="C22" s="24">
        <v>15228</v>
      </c>
      <c r="D22" s="13">
        <v>23202</v>
      </c>
      <c r="E22" s="13">
        <f t="shared" si="7"/>
        <v>-7974</v>
      </c>
      <c r="F22" s="14">
        <f t="shared" si="1"/>
        <v>-0.34367726920093095</v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6">
      <c r="A23" s="52" t="str">
        <v>Kohls - Staten Island</v>
      </c>
      <c r="B23" s="31" t="str">
        <v>NY</v>
      </c>
      <c r="C23" s="11">
        <v>19596</v>
      </c>
      <c r="D23" s="18">
        <v>34080</v>
      </c>
      <c r="E23" s="18">
        <f t="shared" si="7"/>
        <v>-14484</v>
      </c>
      <c r="F23" s="14">
        <f t="shared" si="1"/>
        <v>-0.42499999999999999</v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6">
      <c r="A24" s="53" t="str">
        <v>Kohls - Warminster</v>
      </c>
      <c r="B24" s="29" t="str">
        <v>PA</v>
      </c>
      <c r="C24" s="24">
        <v>8422</v>
      </c>
      <c r="D24" s="13">
        <v>13198</v>
      </c>
      <c r="E24" s="13">
        <f t="shared" si="7"/>
        <v>-4776</v>
      </c>
      <c r="F24" s="14">
        <f t="shared" si="1"/>
        <v>-0.36187301106228215</v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6">
      <c r="A25" s="52" t="str">
        <v xml:space="preserve">Kohls - Waterbury </v>
      </c>
      <c r="B25" s="31" t="str">
        <v>CT</v>
      </c>
      <c r="C25" s="11">
        <v>19789</v>
      </c>
      <c r="D25" s="18">
        <v>30781</v>
      </c>
      <c r="E25" s="18">
        <f t="shared" si="7"/>
        <v>-10992</v>
      </c>
      <c r="F25" s="14">
        <f t="shared" si="1"/>
        <v>-0.3571034079464605</v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5.6">
      <c r="A26" s="53" t="str">
        <v>Mojave Water Agency - Headquarters</v>
      </c>
      <c r="B26" s="29" t="str">
        <v>CA</v>
      </c>
      <c r="C26" s="24">
        <v>28235</v>
      </c>
      <c r="D26" s="13">
        <v>34265</v>
      </c>
      <c r="E26" s="13">
        <f t="shared" ref="E26:E68" si="10">IF(AND(ISNUMBER(C26),ISNUMBER(D26)), C26-D26, "")</f>
        <v>-6030</v>
      </c>
      <c r="F26" s="14">
        <f t="shared" si="1"/>
        <v>-0.17598132204873779</v>
      </c>
      <c r="G26" s="15">
        <v>25566.81</v>
      </c>
      <c r="H26" s="15">
        <f t="shared" ref="H26:H68" si="11">IF(AND(ISNUMBER(C26),ISNUMBER(G26)), C26-G26, "")</f>
        <v>2668.1899999999987</v>
      </c>
      <c r="I26" s="19">
        <f t="shared" ref="I26:I68" si="12">IFERROR(H26/G26, "")</f>
        <v>0.10436147489655528</v>
      </c>
      <c r="J26" s="41"/>
      <c r="K26" s="41"/>
    </row>
    <row r="27" spans="1:11" ht="15.6">
      <c r="A27" s="52" t="str">
        <v>CSU - Bakersfield</v>
      </c>
      <c r="B27" s="31" t="str">
        <v>CA</v>
      </c>
      <c r="C27" s="11">
        <v>89144</v>
      </c>
      <c r="D27" s="18">
        <v>118395</v>
      </c>
      <c r="E27" s="18">
        <f t="shared" si="10"/>
        <v>-29251</v>
      </c>
      <c r="F27" s="14">
        <f t="shared" si="1"/>
        <v>-0.24706279826006167</v>
      </c>
      <c r="G27" s="45">
        <v>78557.16</v>
      </c>
      <c r="H27" s="45">
        <f t="shared" si="11"/>
        <v>10586.839999999997</v>
      </c>
      <c r="I27" s="19">
        <f t="shared" si="12"/>
        <v>0.13476607351895098</v>
      </c>
      <c r="J27" s="42"/>
      <c r="K27" s="43"/>
    </row>
    <row r="28" spans="1:11" ht="15.6">
      <c r="A28" s="53" t="str">
        <v>Greenfield USD - Fairfield ES</v>
      </c>
      <c r="B28" s="29" t="str">
        <v>CA</v>
      </c>
      <c r="C28" s="24">
        <v>8939</v>
      </c>
      <c r="D28" s="13">
        <v>0</v>
      </c>
      <c r="E28" s="13">
        <f t="shared" si="10"/>
        <v>8939</v>
      </c>
      <c r="F28" s="14" t="str">
        <f t="shared" si="1"/>
        <v/>
      </c>
      <c r="G28" s="15">
        <v>8340.01</v>
      </c>
      <c r="H28" s="15">
        <f t="shared" si="11"/>
        <v>598.98999999999978</v>
      </c>
      <c r="I28" s="19">
        <f t="shared" si="12"/>
        <v>7.1821256809044567E-2</v>
      </c>
      <c r="J28" s="41"/>
      <c r="K28" s="41"/>
    </row>
    <row r="29" spans="1:11" ht="15.6">
      <c r="A29" s="52" t="str">
        <v>Greenfield USD - Granite Point ES</v>
      </c>
      <c r="B29" s="31" t="str">
        <v>CA</v>
      </c>
      <c r="C29" s="11">
        <v>25914</v>
      </c>
      <c r="D29" s="18">
        <v>34504</v>
      </c>
      <c r="E29" s="18">
        <f t="shared" si="10"/>
        <v>-8590</v>
      </c>
      <c r="F29" s="14">
        <f t="shared" si="1"/>
        <v>-0.24895664270809181</v>
      </c>
      <c r="G29" s="45">
        <v>21875.63</v>
      </c>
      <c r="H29" s="45">
        <f t="shared" si="11"/>
        <v>4038.369999999999</v>
      </c>
      <c r="I29" s="19">
        <f t="shared" si="12"/>
        <v>0.18460588335055944</v>
      </c>
      <c r="J29" s="42"/>
      <c r="K29" s="43"/>
    </row>
    <row r="30" spans="1:11" ht="15.6">
      <c r="A30" s="53" t="str">
        <v>Greenfield USD - Greenfield MS</v>
      </c>
      <c r="B30" s="29" t="str">
        <v>CA</v>
      </c>
      <c r="C30" s="24">
        <v>14700</v>
      </c>
      <c r="D30" s="13">
        <v>21686</v>
      </c>
      <c r="E30" s="13">
        <f t="shared" si="10"/>
        <v>-6986</v>
      </c>
      <c r="F30" s="14">
        <f t="shared" si="1"/>
        <v>-0.32214331826985154</v>
      </c>
      <c r="G30" s="15">
        <v>15041.64</v>
      </c>
      <c r="H30" s="15">
        <f t="shared" si="11"/>
        <v>-341.63999999999942</v>
      </c>
      <c r="I30" s="19">
        <f t="shared" si="12"/>
        <v>-2.2712948853981309E-2</v>
      </c>
      <c r="J30" s="41"/>
      <c r="K30" s="41"/>
    </row>
    <row r="31" spans="1:11" ht="15.6">
      <c r="A31" s="52" t="str">
        <v>Greenfield USD - Horizon ES</v>
      </c>
      <c r="B31" s="31" t="str">
        <v>CA</v>
      </c>
      <c r="C31" s="11">
        <v>8203</v>
      </c>
      <c r="D31" s="18">
        <v>33377</v>
      </c>
      <c r="E31" s="18">
        <f t="shared" si="10"/>
        <v>-25174</v>
      </c>
      <c r="F31" s="14">
        <f t="shared" si="1"/>
        <v>-0.75423195613745997</v>
      </c>
      <c r="G31" s="45">
        <v>22344.93</v>
      </c>
      <c r="H31" s="45">
        <f t="shared" si="11"/>
        <v>-14141.93</v>
      </c>
      <c r="I31" s="19">
        <f t="shared" si="12"/>
        <v>-0.63289211467657314</v>
      </c>
      <c r="J31" s="42"/>
      <c r="K31" s="43"/>
    </row>
    <row r="32" spans="1:11" ht="15.6">
      <c r="A32" s="53" t="str">
        <v>Greenfield USD - McKee MS</v>
      </c>
      <c r="B32" s="29" t="str">
        <v>CA</v>
      </c>
      <c r="C32" s="24">
        <v>11263</v>
      </c>
      <c r="D32" s="13">
        <v>20402</v>
      </c>
      <c r="E32" s="13">
        <f t="shared" si="10"/>
        <v>-9139</v>
      </c>
      <c r="F32" s="14">
        <f t="shared" si="1"/>
        <v>-0.44794627977649248</v>
      </c>
      <c r="G32" s="15">
        <v>13671.69</v>
      </c>
      <c r="H32" s="15">
        <f t="shared" si="11"/>
        <v>-2408.6900000000005</v>
      </c>
      <c r="I32" s="19">
        <f t="shared" si="12"/>
        <v>-0.17618085255005053</v>
      </c>
      <c r="J32" s="41"/>
      <c r="K32" s="41"/>
    </row>
    <row r="33" spans="1:11" ht="15.6">
      <c r="A33" s="52" t="str">
        <v>Greenfield USD - Plantation ES</v>
      </c>
      <c r="B33" s="31" t="str">
        <v>CA</v>
      </c>
      <c r="C33" s="11">
        <v>10673</v>
      </c>
      <c r="D33" s="18">
        <v>15121</v>
      </c>
      <c r="E33" s="18">
        <f t="shared" si="10"/>
        <v>-4448</v>
      </c>
      <c r="F33" s="14">
        <f t="shared" si="1"/>
        <v>-0.29416043912439654</v>
      </c>
      <c r="G33" s="45">
        <v>9756.24</v>
      </c>
      <c r="H33" s="45">
        <f t="shared" si="11"/>
        <v>916.76000000000022</v>
      </c>
      <c r="I33" s="19">
        <f t="shared" si="12"/>
        <v>9.3966528088689924E-2</v>
      </c>
      <c r="J33" s="42"/>
      <c r="K33" s="43"/>
    </row>
    <row r="34" spans="1:11" ht="15.6">
      <c r="A34" s="53" t="str">
        <v>Greenfield USD - Planz ES</v>
      </c>
      <c r="B34" s="29" t="str">
        <v>CA</v>
      </c>
      <c r="C34" s="24">
        <v>4352</v>
      </c>
      <c r="D34" s="13">
        <v>15851</v>
      </c>
      <c r="E34" s="13">
        <f t="shared" si="10"/>
        <v>-11499</v>
      </c>
      <c r="F34" s="14">
        <f t="shared" si="1"/>
        <v>-0.72544318970411958</v>
      </c>
      <c r="G34" s="15">
        <v>11385.36</v>
      </c>
      <c r="H34" s="15">
        <f t="shared" si="11"/>
        <v>-7033.3600000000006</v>
      </c>
      <c r="I34" s="19">
        <f t="shared" si="12"/>
        <v>-0.61775473063653674</v>
      </c>
      <c r="J34" s="41"/>
      <c r="K34" s="41"/>
    </row>
    <row r="35" spans="1:11" ht="15.6">
      <c r="A35" s="52" t="str">
        <v>Greenfield USD - Raffaello Palla ES</v>
      </c>
      <c r="B35" s="31" t="str">
        <v>CA</v>
      </c>
      <c r="C35" s="11">
        <v>25033</v>
      </c>
      <c r="D35" s="18">
        <v>37413</v>
      </c>
      <c r="E35" s="18">
        <f t="shared" si="10"/>
        <v>-12380</v>
      </c>
      <c r="F35" s="14">
        <f t="shared" si="1"/>
        <v>-0.33090102370833668</v>
      </c>
      <c r="G35" s="45">
        <v>24649.77</v>
      </c>
      <c r="H35" s="45">
        <f t="shared" si="11"/>
        <v>383.22999999999956</v>
      </c>
      <c r="I35" s="19">
        <f t="shared" si="12"/>
        <v>1.5547001047068576E-2</v>
      </c>
      <c r="J35" s="42"/>
      <c r="K35" s="43"/>
    </row>
    <row r="36" spans="1:11" ht="15.6">
      <c r="A36" s="53" t="str">
        <v>Greenfield USD - Valle Verde ES</v>
      </c>
      <c r="B36" s="29" t="str">
        <v>CA</v>
      </c>
      <c r="C36" s="24">
        <v>27368</v>
      </c>
      <c r="D36" s="13">
        <v>34779</v>
      </c>
      <c r="E36" s="13">
        <f t="shared" si="10"/>
        <v>-7411</v>
      </c>
      <c r="F36" s="14">
        <f t="shared" si="1"/>
        <v>-0.2130883579171339</v>
      </c>
      <c r="G36" s="15">
        <v>23094.7</v>
      </c>
      <c r="H36" s="15">
        <f t="shared" si="11"/>
        <v>4273.2999999999993</v>
      </c>
      <c r="I36" s="19">
        <f t="shared" si="12"/>
        <v>0.1850337956327642</v>
      </c>
      <c r="J36" s="41"/>
      <c r="K36" s="41"/>
    </row>
    <row r="37" spans="1:11" ht="15.6">
      <c r="A37" s="52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10"/>
        <v>0</v>
      </c>
      <c r="F37" s="14" t="str">
        <f t="shared" si="1"/>
        <v/>
      </c>
      <c r="G37" s="45">
        <v>8895.39</v>
      </c>
      <c r="H37" s="45">
        <f t="shared" si="11"/>
        <v>-8895.39</v>
      </c>
      <c r="I37" s="19">
        <f t="shared" si="12"/>
        <v>-1</v>
      </c>
      <c r="J37" s="42"/>
      <c r="K37" s="43"/>
    </row>
    <row r="38" spans="1:11" ht="15.6">
      <c r="A38" s="53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10"/>
        <v>0</v>
      </c>
      <c r="F38" s="14" t="str">
        <f t="shared" si="1"/>
        <v/>
      </c>
      <c r="G38" s="15">
        <v>24730.3</v>
      </c>
      <c r="H38" s="15">
        <f t="shared" si="11"/>
        <v>-24730.3</v>
      </c>
      <c r="I38" s="19">
        <f t="shared" si="12"/>
        <v>-1</v>
      </c>
      <c r="J38" s="41"/>
      <c r="K38" s="41"/>
    </row>
    <row r="39" spans="1:11" ht="15.6">
      <c r="A39" s="52" t="str">
        <v>Muroc Joint USD - W. Boron ES</v>
      </c>
      <c r="B39" s="31" t="str">
        <v>CA</v>
      </c>
      <c r="C39" s="11">
        <v>9283</v>
      </c>
      <c r="D39" s="18">
        <v>13051</v>
      </c>
      <c r="E39" s="18">
        <f t="shared" si="10"/>
        <v>-3768</v>
      </c>
      <c r="F39" s="14">
        <f t="shared" si="1"/>
        <v>-0.28871350854340666</v>
      </c>
      <c r="G39" s="45">
        <v>9144.6</v>
      </c>
      <c r="H39" s="45">
        <f t="shared" si="11"/>
        <v>138.39999999999964</v>
      </c>
      <c r="I39" s="19">
        <f t="shared" si="12"/>
        <v>1.5134614964022443E-2</v>
      </c>
      <c r="J39" s="42"/>
      <c r="K39" s="43"/>
    </row>
    <row r="40" spans="1:11" ht="15.6">
      <c r="A40" s="53" t="str">
        <v>Colusa - WTP</v>
      </c>
      <c r="B40" s="29" t="str">
        <v>CA</v>
      </c>
      <c r="C40" s="24">
        <v>0</v>
      </c>
      <c r="D40" s="13">
        <v>0</v>
      </c>
      <c r="E40" s="13">
        <f t="shared" si="10"/>
        <v>0</v>
      </c>
      <c r="F40" s="14" t="str">
        <f t="shared" si="1"/>
        <v/>
      </c>
      <c r="G40" s="15">
        <v>23135.25</v>
      </c>
      <c r="H40" s="15">
        <f t="shared" si="11"/>
        <v>-23135.25</v>
      </c>
      <c r="I40" s="19">
        <f t="shared" si="12"/>
        <v>-1</v>
      </c>
      <c r="J40" s="41"/>
      <c r="K40" s="41"/>
    </row>
    <row r="41" spans="1:11" ht="15.6">
      <c r="A41" s="52" t="str">
        <v>CDCR-North Kern State Prision</v>
      </c>
      <c r="B41" s="31" t="str">
        <v>CA</v>
      </c>
      <c r="C41" s="11"/>
      <c r="D41" s="18"/>
      <c r="E41" s="18" t="str">
        <f t="shared" si="10"/>
        <v/>
      </c>
      <c r="F41" s="14" t="str">
        <f t="shared" si="1"/>
        <v/>
      </c>
      <c r="G41" s="45"/>
      <c r="H41" s="45" t="str">
        <f t="shared" si="11"/>
        <v/>
      </c>
      <c r="I41" s="19" t="str">
        <f t="shared" si="12"/>
        <v/>
      </c>
      <c r="J41" s="42"/>
      <c r="K41" s="43"/>
    </row>
    <row r="42" spans="1:11" ht="15.6">
      <c r="A42" s="53" t="str">
        <v>Muroc Joint USD - District Office</v>
      </c>
      <c r="B42" s="29" t="str">
        <v>CA</v>
      </c>
      <c r="C42" s="24">
        <v>4635</v>
      </c>
      <c r="D42" s="13">
        <v>9223</v>
      </c>
      <c r="E42" s="13">
        <f t="shared" si="10"/>
        <v>-4588</v>
      </c>
      <c r="F42" s="14">
        <f t="shared" si="1"/>
        <v>-0.4974520221186165</v>
      </c>
      <c r="G42" s="15">
        <v>6429.24</v>
      </c>
      <c r="H42" s="15">
        <f t="shared" si="11"/>
        <v>-1794.2399999999998</v>
      </c>
      <c r="I42" s="19">
        <f t="shared" si="12"/>
        <v>-0.2790749762024749</v>
      </c>
      <c r="J42" s="41"/>
      <c r="K42" s="41"/>
    </row>
    <row r="43" spans="1:11" ht="15.6">
      <c r="A43" s="52" t="str">
        <v>Whole Foods - Manhattan Beach</v>
      </c>
      <c r="B43" s="31" t="str">
        <v>CA</v>
      </c>
      <c r="C43" s="11"/>
      <c r="D43" s="18"/>
      <c r="E43" s="18" t="str">
        <f t="shared" si="10"/>
        <v/>
      </c>
      <c r="F43" s="14" t="str">
        <f t="shared" si="1"/>
        <v/>
      </c>
      <c r="G43" s="45"/>
      <c r="H43" s="45" t="str">
        <f t="shared" si="11"/>
        <v/>
      </c>
      <c r="I43" s="19" t="str">
        <f t="shared" si="12"/>
        <v/>
      </c>
      <c r="J43" s="42"/>
      <c r="K43" s="43"/>
    </row>
    <row r="44" spans="1:11" ht="15.6">
      <c r="A44" s="53" t="str">
        <v>Pioneer USD - Frontier ES</v>
      </c>
      <c r="B44" s="29" t="str">
        <v>CA</v>
      </c>
      <c r="C44" s="24">
        <v>20689</v>
      </c>
      <c r="D44" s="13">
        <v>0</v>
      </c>
      <c r="E44" s="13">
        <f t="shared" si="10"/>
        <v>20689</v>
      </c>
      <c r="F44" s="14" t="str">
        <f t="shared" si="1"/>
        <v/>
      </c>
      <c r="G44" s="15">
        <v>18731.259999999998</v>
      </c>
      <c r="H44" s="15">
        <f t="shared" si="11"/>
        <v>1957.7400000000016</v>
      </c>
      <c r="I44" s="19">
        <f t="shared" si="12"/>
        <v>0.1045172615189796</v>
      </c>
      <c r="J44" s="41"/>
      <c r="K44" s="41"/>
    </row>
    <row r="45" spans="1:11" ht="15.6">
      <c r="A45" s="52" t="str">
        <v>Pioneer USD - Pioneer ES</v>
      </c>
      <c r="B45" s="31" t="str">
        <v>CA</v>
      </c>
      <c r="C45" s="11">
        <v>20735</v>
      </c>
      <c r="D45" s="18">
        <v>0</v>
      </c>
      <c r="E45" s="18">
        <f t="shared" si="10"/>
        <v>20735</v>
      </c>
      <c r="F45" s="14" t="str">
        <f t="shared" si="1"/>
        <v/>
      </c>
      <c r="G45" s="45">
        <v>19259.650000000001</v>
      </c>
      <c r="H45" s="45">
        <f t="shared" si="11"/>
        <v>1475.3499999999985</v>
      </c>
      <c r="I45" s="19">
        <f t="shared" si="12"/>
        <v>7.660315737824927E-2</v>
      </c>
      <c r="J45" s="42"/>
      <c r="K45" s="43"/>
    </row>
    <row r="46" spans="1:11" ht="15.6">
      <c r="A46" s="53" t="str">
        <v>Pioneer USD - Pioneer MS</v>
      </c>
      <c r="B46" s="29" t="str">
        <v>CA</v>
      </c>
      <c r="C46" s="24">
        <v>0</v>
      </c>
      <c r="D46" s="13">
        <v>0</v>
      </c>
      <c r="E46" s="13">
        <f t="shared" si="10"/>
        <v>0</v>
      </c>
      <c r="F46" s="14" t="str">
        <f t="shared" si="1"/>
        <v/>
      </c>
      <c r="G46" s="15">
        <v>26040.86</v>
      </c>
      <c r="H46" s="15">
        <f t="shared" si="11"/>
        <v>-26040.86</v>
      </c>
      <c r="I46" s="19">
        <f t="shared" si="12"/>
        <v>-1</v>
      </c>
      <c r="J46" s="41"/>
      <c r="K46" s="41"/>
    </row>
    <row r="47" spans="1:11" ht="15.6">
      <c r="A47" s="52" t="str">
        <v>Kingsburg Joint UHSD - Kingsburg HS</v>
      </c>
      <c r="B47" s="31" t="str">
        <v>CA</v>
      </c>
      <c r="C47" s="11">
        <v>44413</v>
      </c>
      <c r="D47" s="18">
        <v>793940</v>
      </c>
      <c r="E47" s="18">
        <f t="shared" si="10"/>
        <v>-749527</v>
      </c>
      <c r="F47" s="14">
        <f t="shared" si="1"/>
        <v>-0.94406000453434769</v>
      </c>
      <c r="G47" s="45">
        <v>49156.07</v>
      </c>
      <c r="H47" s="45">
        <f t="shared" si="11"/>
        <v>-4743.07</v>
      </c>
      <c r="I47" s="19">
        <f t="shared" si="12"/>
        <v>-9.6490016390651245E-2</v>
      </c>
      <c r="J47" s="42"/>
      <c r="K47" s="43"/>
    </row>
    <row r="48" spans="1:11" ht="15.6">
      <c r="A48" s="53" t="str">
        <v>CADRB</v>
      </c>
      <c r="B48" s="29" t="str">
        <v>CA</v>
      </c>
      <c r="C48" s="24">
        <v>447514</v>
      </c>
      <c r="D48" s="13">
        <v>533104</v>
      </c>
      <c r="E48" s="13">
        <f t="shared" si="10"/>
        <v>-85590</v>
      </c>
      <c r="F48" s="14">
        <f t="shared" si="1"/>
        <v>-0.160550286623248</v>
      </c>
      <c r="G48" s="15">
        <v>446080</v>
      </c>
      <c r="H48" s="15">
        <f t="shared" si="11"/>
        <v>1434</v>
      </c>
      <c r="I48" s="19">
        <f t="shared" si="12"/>
        <v>3.2146700143472024E-3</v>
      </c>
      <c r="J48" s="41"/>
      <c r="K48" s="41"/>
    </row>
    <row r="49" spans="1:11" ht="15.6">
      <c r="A49" s="52" t="str">
        <v>CDCR-CA State Prison LA County</v>
      </c>
      <c r="B49" s="31" t="str">
        <v>CA</v>
      </c>
      <c r="C49" s="11"/>
      <c r="D49" s="18"/>
      <c r="E49" s="18" t="str">
        <f t="shared" si="10"/>
        <v/>
      </c>
      <c r="F49" s="14" t="str">
        <f t="shared" si="1"/>
        <v/>
      </c>
      <c r="G49" s="45"/>
      <c r="H49" s="45" t="str">
        <f t="shared" si="11"/>
        <v/>
      </c>
      <c r="I49" s="19" t="str">
        <f t="shared" si="12"/>
        <v/>
      </c>
      <c r="J49" s="42"/>
      <c r="K49" s="43"/>
    </row>
    <row r="50" spans="1:11" ht="15.6">
      <c r="A50" s="53" t="str">
        <v>Central USD Akers ES</v>
      </c>
      <c r="B50" s="29" t="str">
        <v>CA</v>
      </c>
      <c r="C50" s="24"/>
      <c r="D50" s="13"/>
      <c r="E50" s="13" t="str">
        <f t="shared" si="10"/>
        <v/>
      </c>
      <c r="F50" s="14" t="str">
        <f t="shared" si="1"/>
        <v/>
      </c>
      <c r="G50" s="15"/>
      <c r="H50" s="15" t="str">
        <f t="shared" si="11"/>
        <v/>
      </c>
      <c r="I50" s="19" t="str">
        <f t="shared" si="12"/>
        <v/>
      </c>
      <c r="J50" s="41"/>
      <c r="K50" s="41"/>
    </row>
    <row r="51" spans="1:11" ht="15.6">
      <c r="A51" s="52" t="str">
        <v>CUSD - District Office</v>
      </c>
      <c r="B51" s="31" t="str">
        <v>CA</v>
      </c>
      <c r="C51" s="11">
        <v>16744</v>
      </c>
      <c r="D51" s="18">
        <v>21950</v>
      </c>
      <c r="E51" s="18">
        <f t="shared" si="10"/>
        <v>-5206</v>
      </c>
      <c r="F51" s="14">
        <f t="shared" si="1"/>
        <v>-0.2371753986332574</v>
      </c>
      <c r="G51" s="45">
        <v>16149.64</v>
      </c>
      <c r="H51" s="45">
        <f t="shared" si="11"/>
        <v>594.36000000000058</v>
      </c>
      <c r="I51" s="19">
        <f t="shared" si="12"/>
        <v>3.6803297163280457E-2</v>
      </c>
      <c r="J51" s="42"/>
      <c r="K51" s="43"/>
    </row>
    <row r="52" spans="1:11" ht="15.6">
      <c r="A52" s="53" t="str">
        <v>Parlier - WTP</v>
      </c>
      <c r="B52" s="29" t="str">
        <v>CA</v>
      </c>
      <c r="C52" s="24"/>
      <c r="D52" s="13"/>
      <c r="E52" s="13" t="str">
        <f t="shared" si="10"/>
        <v/>
      </c>
      <c r="F52" s="14" t="str">
        <f t="shared" si="1"/>
        <v/>
      </c>
      <c r="G52" s="15"/>
      <c r="H52" s="15" t="str">
        <f t="shared" si="11"/>
        <v/>
      </c>
      <c r="I52" s="19" t="str">
        <f t="shared" si="12"/>
        <v/>
      </c>
      <c r="J52" s="41"/>
      <c r="K52" s="41"/>
    </row>
    <row r="53" spans="1:11" ht="15.6">
      <c r="A53" s="52" t="str">
        <v>Snowline SD - Quail Valley MS</v>
      </c>
      <c r="B53" s="31" t="str">
        <v>CA</v>
      </c>
      <c r="C53" s="11">
        <v>26071</v>
      </c>
      <c r="D53" s="18">
        <v>36294</v>
      </c>
      <c r="E53" s="18">
        <f t="shared" si="10"/>
        <v>-10223</v>
      </c>
      <c r="F53" s="14">
        <f t="shared" si="1"/>
        <v>-0.28167190169173967</v>
      </c>
      <c r="G53" s="45">
        <v>24587.52</v>
      </c>
      <c r="H53" s="45">
        <f t="shared" si="11"/>
        <v>1483.4799999999996</v>
      </c>
      <c r="I53" s="19">
        <f t="shared" si="12"/>
        <v>6.0334673850799082E-2</v>
      </c>
      <c r="J53" s="42"/>
      <c r="K53" s="43"/>
    </row>
    <row r="54" spans="1:11" ht="15.6">
      <c r="A54" s="53" t="str">
        <v>Snowline SD - Serrano HS - Middle Lot</v>
      </c>
      <c r="B54" s="29" t="str">
        <v>CA</v>
      </c>
      <c r="C54" s="24"/>
      <c r="D54" s="13"/>
      <c r="E54" s="13" t="str">
        <f t="shared" si="10"/>
        <v/>
      </c>
      <c r="F54" s="14" t="str">
        <f t="shared" si="1"/>
        <v/>
      </c>
      <c r="G54" s="15"/>
      <c r="H54" s="15" t="str">
        <f t="shared" si="11"/>
        <v/>
      </c>
      <c r="I54" s="19" t="str">
        <f t="shared" si="12"/>
        <v/>
      </c>
      <c r="J54" s="41"/>
      <c r="K54" s="41"/>
    </row>
    <row r="55" spans="1:11" ht="15.6">
      <c r="A55" s="52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10"/>
        <v>0</v>
      </c>
      <c r="F55" s="14" t="str">
        <f t="shared" si="1"/>
        <v/>
      </c>
      <c r="G55" s="45">
        <v>15006.2</v>
      </c>
      <c r="H55" s="45">
        <f t="shared" si="11"/>
        <v>-15006.2</v>
      </c>
      <c r="I55" s="19">
        <f t="shared" si="12"/>
        <v>-1</v>
      </c>
      <c r="J55" s="42"/>
      <c r="K55" s="43"/>
    </row>
    <row r="56" spans="1:11" ht="15.6">
      <c r="A56" s="53" t="str">
        <v>Ramona - Santa Maria WTP</v>
      </c>
      <c r="B56" s="29" t="str">
        <v>CA</v>
      </c>
      <c r="C56" s="24">
        <v>45497</v>
      </c>
      <c r="D56" s="13">
        <v>65112</v>
      </c>
      <c r="E56" s="13">
        <f t="shared" si="10"/>
        <v>-19615</v>
      </c>
      <c r="F56" s="14">
        <f t="shared" si="1"/>
        <v>-0.30125015358152107</v>
      </c>
      <c r="G56" s="15">
        <v>57352.6</v>
      </c>
      <c r="H56" s="15">
        <f t="shared" si="11"/>
        <v>-11855.599999999999</v>
      </c>
      <c r="I56" s="19">
        <f t="shared" si="12"/>
        <v>-0.20671425532582655</v>
      </c>
      <c r="J56" s="41"/>
      <c r="K56" s="41"/>
    </row>
    <row r="57" spans="1:11" ht="15.6">
      <c r="A57" s="52" t="str">
        <v>Kohls - Redding</v>
      </c>
      <c r="B57" s="31" t="str">
        <v>CA</v>
      </c>
      <c r="C57" s="11">
        <v>17653</v>
      </c>
      <c r="D57" s="18">
        <v>5106</v>
      </c>
      <c r="E57" s="18">
        <f t="shared" si="10"/>
        <v>12547</v>
      </c>
      <c r="F57" s="14">
        <f t="shared" si="1"/>
        <v>2.4573051312181748</v>
      </c>
      <c r="G57" s="45">
        <v>16304.97</v>
      </c>
      <c r="H57" s="45">
        <f t="shared" si="11"/>
        <v>1348.0300000000007</v>
      </c>
      <c r="I57" s="19">
        <f t="shared" si="12"/>
        <v>8.2676018416470598E-2</v>
      </c>
      <c r="J57" s="42"/>
      <c r="K57" s="43"/>
    </row>
    <row r="58" spans="1:11" ht="15.6">
      <c r="A58" s="53" t="str">
        <v>Kohls - Salinas</v>
      </c>
      <c r="B58" s="29" t="str">
        <v>CA</v>
      </c>
      <c r="C58" s="24">
        <v>25000</v>
      </c>
      <c r="D58" s="13">
        <v>43041</v>
      </c>
      <c r="E58" s="13">
        <f t="shared" si="10"/>
        <v>-18041</v>
      </c>
      <c r="F58" s="14">
        <f t="shared" si="1"/>
        <v>-0.41915847680118956</v>
      </c>
      <c r="G58" s="15">
        <v>26815.77</v>
      </c>
      <c r="H58" s="15">
        <f t="shared" si="11"/>
        <v>-1815.7700000000004</v>
      </c>
      <c r="I58" s="19">
        <f t="shared" si="12"/>
        <v>-6.7712767524482811E-2</v>
      </c>
      <c r="J58" s="41"/>
      <c r="K58" s="41"/>
    </row>
    <row r="59" spans="1:11" ht="15.6">
      <c r="A59" s="52" t="str">
        <v>Kohls - San Bernardino - Central</v>
      </c>
      <c r="B59" s="31" t="str">
        <v>CA</v>
      </c>
      <c r="C59" s="11"/>
      <c r="D59" s="18"/>
      <c r="E59" s="18" t="str">
        <f t="shared" si="10"/>
        <v/>
      </c>
      <c r="F59" s="14" t="str">
        <f t="shared" si="1"/>
        <v/>
      </c>
      <c r="G59" s="45"/>
      <c r="H59" s="45" t="str">
        <f t="shared" si="11"/>
        <v/>
      </c>
      <c r="I59" s="19" t="str">
        <f t="shared" si="12"/>
        <v/>
      </c>
      <c r="J59" s="42"/>
      <c r="K59" s="43"/>
    </row>
    <row r="60" spans="1:11" ht="15.6">
      <c r="A60" s="53" t="str">
        <v>Kohls - Sonora</v>
      </c>
      <c r="B60" s="29" t="str">
        <v>CA</v>
      </c>
      <c r="C60" s="24">
        <v>16944</v>
      </c>
      <c r="D60" s="13">
        <v>22301</v>
      </c>
      <c r="E60" s="13">
        <f t="shared" si="10"/>
        <v>-5357</v>
      </c>
      <c r="F60" s="14">
        <f t="shared" si="1"/>
        <v>-0.24021344334334782</v>
      </c>
      <c r="G60" s="15">
        <v>17800.04</v>
      </c>
      <c r="H60" s="15">
        <f t="shared" si="11"/>
        <v>-856.04000000000087</v>
      </c>
      <c r="I60" s="19">
        <f t="shared" si="12"/>
        <v>-4.8092026759490474E-2</v>
      </c>
      <c r="J60" s="41"/>
      <c r="K60" s="41"/>
    </row>
    <row r="61" spans="1:11" ht="15.6">
      <c r="A61" s="52" t="str">
        <v>CUSD - Stratford ES</v>
      </c>
      <c r="B61" s="31" t="str">
        <v>CA</v>
      </c>
      <c r="C61" s="11">
        <v>16998</v>
      </c>
      <c r="D61" s="18">
        <v>19333</v>
      </c>
      <c r="E61" s="18">
        <f t="shared" si="10"/>
        <v>-2335</v>
      </c>
      <c r="F61" s="14">
        <f t="shared" si="1"/>
        <v>-0.12077794444731806</v>
      </c>
      <c r="G61" s="45">
        <v>14470.52</v>
      </c>
      <c r="H61" s="45">
        <f t="shared" si="11"/>
        <v>2527.4799999999996</v>
      </c>
      <c r="I61" s="19">
        <f t="shared" si="12"/>
        <v>0.1746640756517388</v>
      </c>
      <c r="J61" s="42"/>
      <c r="K61" s="43"/>
    </row>
    <row r="62" spans="1:11" ht="15.6">
      <c r="A62" s="53" t="str">
        <v>Taft - City Hall</v>
      </c>
      <c r="B62" s="29" t="str">
        <v>CA</v>
      </c>
      <c r="C62" s="24">
        <v>1556</v>
      </c>
      <c r="D62" s="13">
        <v>8872</v>
      </c>
      <c r="E62" s="13">
        <f t="shared" si="10"/>
        <v>-7316</v>
      </c>
      <c r="F62" s="14">
        <f t="shared" si="1"/>
        <v>-0.82461677186654647</v>
      </c>
      <c r="G62" s="15">
        <v>5241.05</v>
      </c>
      <c r="H62" s="15">
        <f t="shared" si="11"/>
        <v>-3685.05</v>
      </c>
      <c r="I62" s="19">
        <f t="shared" si="12"/>
        <v>-0.70311292584501195</v>
      </c>
      <c r="J62" s="41"/>
      <c r="K62" s="41"/>
    </row>
    <row r="63" spans="1:11" ht="15.6">
      <c r="A63" s="52" t="str">
        <v>Taft - Federal Prison</v>
      </c>
      <c r="B63" s="31" t="str">
        <v>CA</v>
      </c>
      <c r="C63" s="11">
        <v>10724</v>
      </c>
      <c r="D63" s="18">
        <v>13811</v>
      </c>
      <c r="E63" s="18">
        <f t="shared" si="10"/>
        <v>-3087</v>
      </c>
      <c r="F63" s="14">
        <f t="shared" si="1"/>
        <v>-0.22351748606183477</v>
      </c>
      <c r="G63" s="45">
        <v>9044.5300000000007</v>
      </c>
      <c r="H63" s="45">
        <f t="shared" si="11"/>
        <v>1679.4699999999993</v>
      </c>
      <c r="I63" s="19">
        <f t="shared" si="12"/>
        <v>0.18568902972293744</v>
      </c>
      <c r="J63" s="42"/>
      <c r="K63" s="43"/>
    </row>
    <row r="64" spans="1:11" ht="15.6">
      <c r="A64" s="53" t="str">
        <v>Taft - Police Department</v>
      </c>
      <c r="B64" s="29" t="str">
        <v>CA</v>
      </c>
      <c r="C64" s="24">
        <v>7419</v>
      </c>
      <c r="D64" s="13">
        <v>9406</v>
      </c>
      <c r="E64" s="13">
        <f t="shared" si="10"/>
        <v>-1987</v>
      </c>
      <c r="F64" s="14">
        <f t="shared" si="1"/>
        <v>-0.21124813948543483</v>
      </c>
      <c r="G64" s="15">
        <v>6017.74</v>
      </c>
      <c r="H64" s="15">
        <f t="shared" si="11"/>
        <v>1401.2600000000002</v>
      </c>
      <c r="I64" s="19">
        <f t="shared" si="12"/>
        <v>0.23285485913316301</v>
      </c>
      <c r="J64" s="41"/>
      <c r="K64" s="41"/>
    </row>
    <row r="65" spans="1:11" ht="15.6">
      <c r="A65" s="52" t="str">
        <v>Taft - WTP</v>
      </c>
      <c r="B65" s="31" t="str">
        <v>CA</v>
      </c>
      <c r="C65" s="11"/>
      <c r="D65" s="18"/>
      <c r="E65" s="18" t="str">
        <f t="shared" si="10"/>
        <v/>
      </c>
      <c r="F65" s="14" t="str">
        <f t="shared" si="1"/>
        <v/>
      </c>
      <c r="G65" s="45"/>
      <c r="H65" s="45" t="str">
        <f t="shared" si="11"/>
        <v/>
      </c>
      <c r="I65" s="19" t="str">
        <f t="shared" si="12"/>
        <v/>
      </c>
      <c r="J65" s="42"/>
      <c r="K65" s="43"/>
    </row>
    <row r="66" spans="1:11" ht="15.6">
      <c r="A66" s="53" t="str">
        <v>CDCR - CA Correctional Institution</v>
      </c>
      <c r="B66" s="29" t="str">
        <v>CA</v>
      </c>
      <c r="C66" s="24"/>
      <c r="D66" s="13"/>
      <c r="E66" s="13" t="str">
        <f t="shared" si="10"/>
        <v/>
      </c>
      <c r="F66" s="14" t="str">
        <f t="shared" si="1"/>
        <v/>
      </c>
      <c r="G66" s="15"/>
      <c r="H66" s="15" t="str">
        <f t="shared" si="11"/>
        <v/>
      </c>
      <c r="I66" s="19" t="str">
        <f t="shared" si="12"/>
        <v/>
      </c>
      <c r="J66" s="41"/>
      <c r="K66" s="41"/>
    </row>
    <row r="67" spans="1:11" ht="15.6">
      <c r="A67" s="52" t="str">
        <v>CDCR - CA Correctional Institution II</v>
      </c>
      <c r="B67" s="31" t="str">
        <v>CA</v>
      </c>
      <c r="C67" s="11">
        <v>11381</v>
      </c>
      <c r="D67" s="18">
        <v>20650</v>
      </c>
      <c r="E67" s="18">
        <f t="shared" si="10"/>
        <v>-9269</v>
      </c>
      <c r="F67" s="14">
        <f t="shared" si="1"/>
        <v>-0.44886198547215495</v>
      </c>
      <c r="G67" s="45">
        <v>179161.986</v>
      </c>
      <c r="H67" s="45">
        <f t="shared" si="11"/>
        <v>-167780.986</v>
      </c>
      <c r="I67" s="19">
        <f t="shared" si="12"/>
        <v>-0.93647648000508321</v>
      </c>
      <c r="J67" s="42"/>
      <c r="K67" s="43"/>
    </row>
    <row r="68" spans="1:11" ht="15.6">
      <c r="A68" s="53" t="str">
        <v>Snowline SD - Vista Verde ES</v>
      </c>
      <c r="B68" s="29" t="str">
        <v>CA</v>
      </c>
      <c r="C68" s="24">
        <v>19466</v>
      </c>
      <c r="D68" s="13">
        <v>25759</v>
      </c>
      <c r="E68" s="13">
        <f t="shared" si="10"/>
        <v>-6293</v>
      </c>
      <c r="F68" s="14">
        <f t="shared" si="1"/>
        <v>-0.24430296207150898</v>
      </c>
      <c r="G68" s="15">
        <v>18017.37</v>
      </c>
      <c r="H68" s="15">
        <f t="shared" si="11"/>
        <v>1448.630000000001</v>
      </c>
      <c r="I68" s="19">
        <f t="shared" si="12"/>
        <v>8.0401856652774578E-2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69:F100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68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42</v>
      </c>
      <c r="E1" s="100"/>
      <c r="F1" s="100"/>
      <c r="G1" s="98" t="s">
        <v>43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2391825.6</v>
      </c>
      <c r="D2" s="5">
        <f>SUM(D4:D100)</f>
        <v>3015720</v>
      </c>
      <c r="E2" s="5">
        <f>C2-D2</f>
        <v>-623894.39999999991</v>
      </c>
      <c r="F2" s="6">
        <f>IFERROR(E2/D2, 0)</f>
        <v>-0.20688074489674105</v>
      </c>
      <c r="G2" s="5">
        <f>SUM(G4:G100)</f>
        <v>2861930.1329999999</v>
      </c>
      <c r="H2" s="7">
        <f>C2-G2</f>
        <v>-470104.53299999982</v>
      </c>
      <c r="I2" s="6">
        <f>IFERROR(H2/G2, 0)</f>
        <v>-0.16426135899663483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26650</v>
      </c>
      <c r="D4" s="13">
        <v>33051</v>
      </c>
      <c r="E4" s="13">
        <f>IF(AND(ISNUMBER(C4),ISNUMBER(D4)), C4-D4, "")</f>
        <v>-6401</v>
      </c>
      <c r="F4" s="14">
        <f>IFERROR(E4/D4, "")</f>
        <v>-0.19367038818795196</v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23334</v>
      </c>
      <c r="D5" s="18">
        <v>34820</v>
      </c>
      <c r="E5" s="18">
        <f t="shared" ref="E5:E25" si="0">IF(AND(ISNUMBER(C5),ISNUMBER(D5)), C5-D5, "")</f>
        <v>-11486</v>
      </c>
      <c r="F5" s="19">
        <f>IFERROR(E5/D5, "")</f>
        <v>-0.32986789201608269</v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32980</v>
      </c>
      <c r="D6" s="13">
        <v>39555</v>
      </c>
      <c r="E6" s="13">
        <f t="shared" si="0"/>
        <v>-6575</v>
      </c>
      <c r="F6" s="14">
        <f t="shared" ref="F6:F25" si="3">IFERROR(E6/D6, "")</f>
        <v>-0.16622424472253824</v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36345</v>
      </c>
      <c r="D7" s="18">
        <v>47225</v>
      </c>
      <c r="E7" s="18">
        <f t="shared" si="0"/>
        <v>-10880</v>
      </c>
      <c r="F7" s="19">
        <f t="shared" si="3"/>
        <v>-0.23038644785600848</v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6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6">
      <c r="A9" s="30" t="str">
        <v>Kohls - Canton</v>
      </c>
      <c r="B9" s="31" t="str">
        <v>CT</v>
      </c>
      <c r="C9" s="11">
        <v>13440</v>
      </c>
      <c r="D9" s="18">
        <v>15898</v>
      </c>
      <c r="E9" s="18">
        <f t="shared" si="0"/>
        <v>-2458</v>
      </c>
      <c r="F9" s="19">
        <f t="shared" si="3"/>
        <v>-0.15461064284815701</v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6">
      <c r="A10" s="28" t="str">
        <v>Kohls - East Amherst</v>
      </c>
      <c r="B10" s="29" t="str">
        <v>NY</v>
      </c>
      <c r="C10" s="24">
        <v>25808</v>
      </c>
      <c r="D10" s="13">
        <v>38916</v>
      </c>
      <c r="E10" s="13">
        <f t="shared" si="0"/>
        <v>-13108</v>
      </c>
      <c r="F10" s="14">
        <f t="shared" si="3"/>
        <v>-0.33682803988076881</v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47751</v>
      </c>
      <c r="D11" s="18">
        <v>62689</v>
      </c>
      <c r="E11" s="18">
        <f t="shared" si="0"/>
        <v>-14938</v>
      </c>
      <c r="F11" s="19">
        <f t="shared" si="3"/>
        <v>-0.23828741884541146</v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232222</v>
      </c>
      <c r="D12" s="13">
        <v>325305</v>
      </c>
      <c r="E12" s="13">
        <f t="shared" si="0"/>
        <v>-93083</v>
      </c>
      <c r="F12" s="14">
        <f t="shared" si="3"/>
        <v>-0.2861406987288852</v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31741</v>
      </c>
      <c r="D13" s="18">
        <v>39130</v>
      </c>
      <c r="E13" s="18">
        <f t="shared" si="0"/>
        <v>-7389</v>
      </c>
      <c r="F13" s="19">
        <f t="shared" si="3"/>
        <v>-0.18883209813442373</v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23984</v>
      </c>
      <c r="D14" s="13">
        <v>13499</v>
      </c>
      <c r="E14" s="13">
        <f t="shared" si="0"/>
        <v>10485</v>
      </c>
      <c r="F14" s="14">
        <f t="shared" si="3"/>
        <v>0.77672420179272539</v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6">
      <c r="A15" s="30" t="str">
        <v>Kohls - Hanover</v>
      </c>
      <c r="B15" s="31" t="str">
        <v>PA</v>
      </c>
      <c r="C15" s="11">
        <v>26616</v>
      </c>
      <c r="D15" s="18">
        <v>32670</v>
      </c>
      <c r="E15" s="18">
        <f t="shared" si="0"/>
        <v>-6054</v>
      </c>
      <c r="F15" s="19">
        <f t="shared" si="3"/>
        <v>-0.18530762167125803</v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6">
      <c r="A16" s="28" t="str">
        <v>Kohls - Horsehead</v>
      </c>
      <c r="B16" s="29" t="str">
        <v>NY</v>
      </c>
      <c r="C16" s="24">
        <v>23060</v>
      </c>
      <c r="D16" s="13">
        <v>30403</v>
      </c>
      <c r="E16" s="13">
        <f t="shared" si="0"/>
        <v>-7343</v>
      </c>
      <c r="F16" s="14">
        <f t="shared" si="3"/>
        <v>-0.24152221820215111</v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6">
      <c r="A17" s="30" t="str">
        <v>Kohls - Hudson</v>
      </c>
      <c r="B17" s="31" t="str">
        <v>NY</v>
      </c>
      <c r="C17" s="11">
        <v>13699</v>
      </c>
      <c r="D17" s="18">
        <v>30324</v>
      </c>
      <c r="E17" s="18">
        <f t="shared" si="0"/>
        <v>-16625</v>
      </c>
      <c r="F17" s="19">
        <f t="shared" si="3"/>
        <v>-0.54824561403508776</v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6">
      <c r="A18" s="32" t="str">
        <v>Kohls - Ithaca</v>
      </c>
      <c r="B18" s="29" t="str">
        <v>NY</v>
      </c>
      <c r="C18" s="24">
        <v>22256</v>
      </c>
      <c r="D18" s="13">
        <v>32098</v>
      </c>
      <c r="E18" s="13">
        <f t="shared" si="0"/>
        <v>-9842</v>
      </c>
      <c r="F18" s="14">
        <f t="shared" si="3"/>
        <v>-0.30662346563648823</v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6">
      <c r="A19" s="30" t="str">
        <v>Kohls - Kingston</v>
      </c>
      <c r="B19" s="31" t="str">
        <v>NY</v>
      </c>
      <c r="C19" s="11">
        <v>42779</v>
      </c>
      <c r="D19" s="18">
        <v>56655</v>
      </c>
      <c r="E19" s="18">
        <f t="shared" si="0"/>
        <v>-13876</v>
      </c>
      <c r="F19" s="19">
        <f t="shared" si="3"/>
        <v>-0.24492101314976614</v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>
        <v>41788</v>
      </c>
      <c r="D20" s="13">
        <v>49983</v>
      </c>
      <c r="E20" s="13">
        <f t="shared" si="0"/>
        <v>-8195</v>
      </c>
      <c r="F20" s="14">
        <f t="shared" si="3"/>
        <v>-0.1639557449532841</v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6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5" t="s">
        <v>44</v>
      </c>
      <c r="K21" s="54" t="s">
        <v>41</v>
      </c>
    </row>
    <row r="22" spans="1:11" ht="15.6">
      <c r="A22" s="28" t="str">
        <v>Kohls - North Amherst</v>
      </c>
      <c r="B22" s="29" t="str">
        <v>NY</v>
      </c>
      <c r="C22" s="24">
        <v>19697</v>
      </c>
      <c r="D22" s="13">
        <v>34824</v>
      </c>
      <c r="E22" s="13">
        <f t="shared" si="0"/>
        <v>-15127</v>
      </c>
      <c r="F22" s="14">
        <f t="shared" si="3"/>
        <v>-0.43438433264415344</v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>
        <v>31680</v>
      </c>
      <c r="D23" s="18">
        <v>42961</v>
      </c>
      <c r="E23" s="18">
        <f t="shared" si="0"/>
        <v>-11281</v>
      </c>
      <c r="F23" s="19">
        <f t="shared" si="3"/>
        <v>-0.26258699750936898</v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6">
      <c r="A24" s="28" t="str">
        <v>Kohls - Warminster</v>
      </c>
      <c r="B24" s="29" t="str">
        <v>PA</v>
      </c>
      <c r="C24" s="24">
        <v>24283</v>
      </c>
      <c r="D24" s="13">
        <v>28781</v>
      </c>
      <c r="E24" s="13">
        <f t="shared" si="0"/>
        <v>-4498</v>
      </c>
      <c r="F24" s="14">
        <f t="shared" si="3"/>
        <v>-0.15628365935860464</v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6">
      <c r="A25" s="30" t="str">
        <v xml:space="preserve">Kohls - Waterbury </v>
      </c>
      <c r="B25" s="31" t="str">
        <v>CT</v>
      </c>
      <c r="C25" s="11">
        <v>33274</v>
      </c>
      <c r="D25" s="18">
        <v>37686</v>
      </c>
      <c r="E25" s="18">
        <f t="shared" si="0"/>
        <v>-4412</v>
      </c>
      <c r="F25" s="19">
        <f t="shared" si="3"/>
        <v>-0.11707265297457942</v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>
        <v>39798</v>
      </c>
      <c r="D26" s="13">
        <v>48664</v>
      </c>
      <c r="E26" s="13">
        <f t="shared" ref="E26:E68" si="4">IF(AND(ISNUMBER(C26),ISNUMBER(D26)), C26-D26, "")</f>
        <v>-8866</v>
      </c>
      <c r="F26" s="14">
        <f t="shared" ref="F26:F68" si="5">IFERROR(E26/D26, "")</f>
        <v>-0.18218806509945751</v>
      </c>
      <c r="G26" s="15">
        <v>35604.51</v>
      </c>
      <c r="H26" s="15">
        <f t="shared" ref="H26:H68" si="6">IF(AND(ISNUMBER(C26),ISNUMBER(G26)), C26-G26, "")</f>
        <v>4193.489999999998</v>
      </c>
      <c r="I26" s="19">
        <f t="shared" ref="I26:I68" si="7">IFERROR(H26/G26, "")</f>
        <v>0.11777974194842164</v>
      </c>
      <c r="J26" s="41"/>
      <c r="K26" s="41"/>
    </row>
    <row r="27" spans="1:11" ht="15.6">
      <c r="A27" s="30" t="str">
        <v>CSU - Bakersfield</v>
      </c>
      <c r="B27" s="31" t="str">
        <v>CA</v>
      </c>
      <c r="C27" s="11">
        <v>129707</v>
      </c>
      <c r="D27" s="18">
        <v>181388</v>
      </c>
      <c r="E27" s="18">
        <f t="shared" si="4"/>
        <v>-51681</v>
      </c>
      <c r="F27" s="19">
        <f t="shared" si="5"/>
        <v>-0.2849196198204953</v>
      </c>
      <c r="G27" s="20">
        <v>119324.41</v>
      </c>
      <c r="H27" s="20">
        <f t="shared" si="6"/>
        <v>10382.589999999997</v>
      </c>
      <c r="I27" s="19">
        <f t="shared" si="7"/>
        <v>8.701145054896979E-2</v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>
        <v>12567</v>
      </c>
      <c r="D28" s="13">
        <v>0</v>
      </c>
      <c r="E28" s="13">
        <f t="shared" si="4"/>
        <v>12567</v>
      </c>
      <c r="F28" s="14" t="str">
        <f t="shared" si="5"/>
        <v/>
      </c>
      <c r="G28" s="15">
        <v>11209.49</v>
      </c>
      <c r="H28" s="15">
        <f t="shared" si="6"/>
        <v>1357.5100000000002</v>
      </c>
      <c r="I28" s="19">
        <f t="shared" si="7"/>
        <v>0.12110363629389029</v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>
        <v>36118</v>
      </c>
      <c r="D29" s="18">
        <v>48873</v>
      </c>
      <c r="E29" s="18">
        <f t="shared" si="4"/>
        <v>-12755</v>
      </c>
      <c r="F29" s="19">
        <f t="shared" si="5"/>
        <v>-0.2609825466003724</v>
      </c>
      <c r="G29" s="20">
        <v>29532.52</v>
      </c>
      <c r="H29" s="20">
        <f t="shared" si="6"/>
        <v>6585.48</v>
      </c>
      <c r="I29" s="19">
        <f t="shared" si="7"/>
        <v>0.22299079116851522</v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>
        <v>21802</v>
      </c>
      <c r="D30" s="13">
        <v>32949</v>
      </c>
      <c r="E30" s="13">
        <f t="shared" si="4"/>
        <v>-11147</v>
      </c>
      <c r="F30" s="14">
        <f t="shared" si="5"/>
        <v>-0.33831072263194634</v>
      </c>
      <c r="G30" s="15">
        <v>20215.96</v>
      </c>
      <c r="H30" s="15">
        <f t="shared" si="6"/>
        <v>1586.0400000000009</v>
      </c>
      <c r="I30" s="19">
        <f t="shared" si="7"/>
        <v>7.845484458813734E-2</v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>
        <v>18829</v>
      </c>
      <c r="D31" s="18">
        <v>48110</v>
      </c>
      <c r="E31" s="18">
        <f t="shared" si="4"/>
        <v>-29281</v>
      </c>
      <c r="F31" s="19">
        <f t="shared" si="5"/>
        <v>-0.60862606526709628</v>
      </c>
      <c r="G31" s="20">
        <v>30388.74</v>
      </c>
      <c r="H31" s="20">
        <f t="shared" si="6"/>
        <v>-11559.740000000002</v>
      </c>
      <c r="I31" s="19">
        <f t="shared" si="7"/>
        <v>-0.38039550175492637</v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>
        <v>16033</v>
      </c>
      <c r="D32" s="13">
        <v>28946</v>
      </c>
      <c r="E32" s="13">
        <f t="shared" si="4"/>
        <v>-12913</v>
      </c>
      <c r="F32" s="14">
        <f t="shared" si="5"/>
        <v>-0.4461065432184067</v>
      </c>
      <c r="G32" s="15">
        <v>18577.580000000002</v>
      </c>
      <c r="H32" s="15">
        <f t="shared" si="6"/>
        <v>-2544.5800000000017</v>
      </c>
      <c r="I32" s="19">
        <f t="shared" si="7"/>
        <v>-0.13697047731728251</v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>
        <v>15313</v>
      </c>
      <c r="D33" s="18">
        <v>21941</v>
      </c>
      <c r="E33" s="18">
        <f t="shared" si="4"/>
        <v>-6628</v>
      </c>
      <c r="F33" s="19">
        <f t="shared" si="5"/>
        <v>-0.30208285857527006</v>
      </c>
      <c r="G33" s="20">
        <v>13292.18</v>
      </c>
      <c r="H33" s="20">
        <f t="shared" si="6"/>
        <v>2020.8199999999997</v>
      </c>
      <c r="I33" s="19">
        <f t="shared" si="7"/>
        <v>0.15203074288792356</v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>
        <v>6214</v>
      </c>
      <c r="D34" s="13">
        <v>23231</v>
      </c>
      <c r="E34" s="13">
        <f t="shared" si="4"/>
        <v>-17017</v>
      </c>
      <c r="F34" s="14">
        <f t="shared" si="5"/>
        <v>-0.73251259093452714</v>
      </c>
      <c r="G34" s="15">
        <v>14856.51</v>
      </c>
      <c r="H34" s="15">
        <f t="shared" si="6"/>
        <v>-8642.51</v>
      </c>
      <c r="I34" s="19">
        <f t="shared" si="7"/>
        <v>-0.5817321833997352</v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>
        <v>35030</v>
      </c>
      <c r="D35" s="18">
        <v>53816</v>
      </c>
      <c r="E35" s="18">
        <f t="shared" si="4"/>
        <v>-18786</v>
      </c>
      <c r="F35" s="19">
        <f t="shared" si="5"/>
        <v>-0.3490783410138249</v>
      </c>
      <c r="G35" s="20">
        <v>33100.86</v>
      </c>
      <c r="H35" s="20">
        <f t="shared" si="6"/>
        <v>1929.1399999999994</v>
      </c>
      <c r="I35" s="19">
        <f t="shared" si="7"/>
        <v>5.8280660985847478E-2</v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>
        <v>38118</v>
      </c>
      <c r="D36" s="13">
        <v>49670</v>
      </c>
      <c r="E36" s="13">
        <f t="shared" si="4"/>
        <v>-11552</v>
      </c>
      <c r="F36" s="14">
        <f t="shared" si="5"/>
        <v>-0.23257499496678075</v>
      </c>
      <c r="G36" s="15">
        <v>30999.66</v>
      </c>
      <c r="H36" s="15">
        <f t="shared" si="6"/>
        <v>7118.34</v>
      </c>
      <c r="I36" s="19">
        <f t="shared" si="7"/>
        <v>0.229626389450723</v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4"/>
        <v>0</v>
      </c>
      <c r="F37" s="19" t="str">
        <f t="shared" si="5"/>
        <v/>
      </c>
      <c r="G37" s="20">
        <v>11950</v>
      </c>
      <c r="H37" s="20">
        <f t="shared" si="6"/>
        <v>-11950</v>
      </c>
      <c r="I37" s="19">
        <f t="shared" si="7"/>
        <v>-1</v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4"/>
        <v>0</v>
      </c>
      <c r="F38" s="14" t="str">
        <f t="shared" si="5"/>
        <v/>
      </c>
      <c r="G38" s="15">
        <v>35520.54</v>
      </c>
      <c r="H38" s="15">
        <f t="shared" si="6"/>
        <v>-35520.54</v>
      </c>
      <c r="I38" s="19">
        <f t="shared" si="7"/>
        <v>-1</v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>
        <v>12239</v>
      </c>
      <c r="D39" s="18">
        <v>17412</v>
      </c>
      <c r="E39" s="18">
        <f t="shared" si="4"/>
        <v>-5173</v>
      </c>
      <c r="F39" s="19">
        <f t="shared" si="5"/>
        <v>-0.2970939581897542</v>
      </c>
      <c r="G39" s="20">
        <v>13125.91</v>
      </c>
      <c r="H39" s="20">
        <f t="shared" si="6"/>
        <v>-886.90999999999985</v>
      </c>
      <c r="I39" s="19">
        <f t="shared" si="7"/>
        <v>-6.7569410425639048E-2</v>
      </c>
      <c r="J39" s="42"/>
      <c r="K39" s="43"/>
    </row>
    <row r="40" spans="1:11" ht="15.6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4"/>
        <v>0</v>
      </c>
      <c r="F40" s="14" t="str">
        <f t="shared" si="5"/>
        <v/>
      </c>
      <c r="G40" s="15">
        <v>43016.675000000003</v>
      </c>
      <c r="H40" s="15">
        <f t="shared" si="6"/>
        <v>-43016.675000000003</v>
      </c>
      <c r="I40" s="19">
        <f t="shared" si="7"/>
        <v>-1</v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>
        <v>6312</v>
      </c>
      <c r="D42" s="13">
        <v>12659</v>
      </c>
      <c r="E42" s="13">
        <f t="shared" si="4"/>
        <v>-6347</v>
      </c>
      <c r="F42" s="14">
        <f t="shared" si="5"/>
        <v>-0.50138241567264397</v>
      </c>
      <c r="G42" s="15">
        <v>9242.26</v>
      </c>
      <c r="H42" s="15">
        <f t="shared" si="6"/>
        <v>-2930.26</v>
      </c>
      <c r="I42" s="19">
        <f t="shared" si="7"/>
        <v>-0.31705015872741082</v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>
        <v>30393</v>
      </c>
      <c r="D44" s="13">
        <v>0</v>
      </c>
      <c r="E44" s="13">
        <f t="shared" si="4"/>
        <v>30393</v>
      </c>
      <c r="F44" s="14" t="str">
        <f t="shared" si="5"/>
        <v/>
      </c>
      <c r="G44" s="15">
        <v>30911.51</v>
      </c>
      <c r="H44" s="15">
        <f t="shared" si="6"/>
        <v>-518.5099999999984</v>
      </c>
      <c r="I44" s="19">
        <f t="shared" si="7"/>
        <v>-1.6774010716396528E-2</v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>
        <v>31653.599999999999</v>
      </c>
      <c r="D45" s="18">
        <v>0</v>
      </c>
      <c r="E45" s="18">
        <f t="shared" si="4"/>
        <v>31653.599999999999</v>
      </c>
      <c r="F45" s="19" t="str">
        <f t="shared" si="5"/>
        <v/>
      </c>
      <c r="G45" s="20">
        <v>31707.279999999999</v>
      </c>
      <c r="H45" s="20">
        <f t="shared" si="6"/>
        <v>-53.680000000000291</v>
      </c>
      <c r="I45" s="19">
        <f t="shared" si="7"/>
        <v>-1.6929865948766432E-3</v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>
        <v>18491</v>
      </c>
      <c r="D46" s="13">
        <v>0</v>
      </c>
      <c r="E46" s="13">
        <f t="shared" si="4"/>
        <v>18491</v>
      </c>
      <c r="F46" s="14" t="str">
        <f t="shared" si="5"/>
        <v/>
      </c>
      <c r="G46" s="15">
        <v>42661.26</v>
      </c>
      <c r="H46" s="15">
        <f t="shared" si="6"/>
        <v>-24170.260000000002</v>
      </c>
      <c r="I46" s="19">
        <f t="shared" si="7"/>
        <v>-0.56656226281174071</v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>
        <v>63630</v>
      </c>
      <c r="D47" s="18">
        <v>125985</v>
      </c>
      <c r="E47" s="18">
        <f t="shared" si="4"/>
        <v>-62355</v>
      </c>
      <c r="F47" s="19">
        <f t="shared" si="5"/>
        <v>-0.49493987379449933</v>
      </c>
      <c r="G47" s="20">
        <v>60478.49</v>
      </c>
      <c r="H47" s="20">
        <f t="shared" si="6"/>
        <v>3151.510000000002</v>
      </c>
      <c r="I47" s="19">
        <f t="shared" si="7"/>
        <v>5.2109601281381236E-2</v>
      </c>
      <c r="J47" s="42"/>
      <c r="K47" s="43"/>
    </row>
    <row r="48" spans="1:11" ht="15.6">
      <c r="A48" s="28" t="str">
        <v>CADRB</v>
      </c>
      <c r="B48" s="29" t="str">
        <v>CA</v>
      </c>
      <c r="C48" s="24">
        <v>656576</v>
      </c>
      <c r="D48" s="13">
        <v>763203</v>
      </c>
      <c r="E48" s="13">
        <f t="shared" si="4"/>
        <v>-106627</v>
      </c>
      <c r="F48" s="14">
        <f t="shared" si="5"/>
        <v>-0.1397098805953331</v>
      </c>
      <c r="G48" s="15">
        <v>704102</v>
      </c>
      <c r="H48" s="15">
        <f t="shared" si="6"/>
        <v>-47526</v>
      </c>
      <c r="I48" s="19">
        <f t="shared" si="7"/>
        <v>-6.7498743079837858E-2</v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9" t="str">
        <f t="shared" si="7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>
        <v>26424</v>
      </c>
      <c r="D51" s="18">
        <v>35568</v>
      </c>
      <c r="E51" s="18">
        <f t="shared" si="4"/>
        <v>-9144</v>
      </c>
      <c r="F51" s="19">
        <f t="shared" si="5"/>
        <v>-0.25708502024291496</v>
      </c>
      <c r="G51" s="20">
        <v>25808.17</v>
      </c>
      <c r="H51" s="20">
        <f t="shared" si="6"/>
        <v>615.83000000000175</v>
      </c>
      <c r="I51" s="19">
        <f t="shared" si="7"/>
        <v>2.386182360082105E-2</v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9" t="str">
        <f t="shared" si="7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>
        <v>32984</v>
      </c>
      <c r="D53" s="18">
        <v>52137</v>
      </c>
      <c r="E53" s="18">
        <f t="shared" si="4"/>
        <v>-19153</v>
      </c>
      <c r="F53" s="19">
        <f t="shared" si="5"/>
        <v>-0.36735907321096345</v>
      </c>
      <c r="G53" s="20">
        <v>38797.730000000003</v>
      </c>
      <c r="H53" s="20">
        <f t="shared" si="6"/>
        <v>-5813.7300000000032</v>
      </c>
      <c r="I53" s="19">
        <f t="shared" si="7"/>
        <v>-0.14984716889364411</v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9" t="str">
        <f t="shared" si="7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4"/>
        <v>0</v>
      </c>
      <c r="F55" s="19" t="str">
        <f t="shared" si="5"/>
        <v/>
      </c>
      <c r="G55" s="20">
        <v>22707.84</v>
      </c>
      <c r="H55" s="20">
        <f t="shared" si="6"/>
        <v>-22707.84</v>
      </c>
      <c r="I55" s="19">
        <f t="shared" si="7"/>
        <v>-1</v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>
        <v>62715</v>
      </c>
      <c r="D56" s="13">
        <v>91480</v>
      </c>
      <c r="E56" s="13">
        <f t="shared" si="4"/>
        <v>-28765</v>
      </c>
      <c r="F56" s="14">
        <f t="shared" si="5"/>
        <v>-0.31444031482291213</v>
      </c>
      <c r="G56" s="15">
        <v>74476.929999999993</v>
      </c>
      <c r="H56" s="15">
        <f t="shared" si="6"/>
        <v>-11761.929999999993</v>
      </c>
      <c r="I56" s="19">
        <f t="shared" si="7"/>
        <v>-0.15792715945729763</v>
      </c>
      <c r="J56" s="41"/>
      <c r="K56" s="41"/>
    </row>
    <row r="57" spans="1:11" ht="15.6">
      <c r="A57" s="30" t="str">
        <v>Kohls - Redding</v>
      </c>
      <c r="B57" s="31" t="str">
        <v>CA</v>
      </c>
      <c r="C57" s="11">
        <v>27891</v>
      </c>
      <c r="D57" s="18">
        <v>0</v>
      </c>
      <c r="E57" s="18">
        <f t="shared" si="4"/>
        <v>27891</v>
      </c>
      <c r="F57" s="19" t="str">
        <f t="shared" si="5"/>
        <v/>
      </c>
      <c r="G57" s="20">
        <v>27900.17</v>
      </c>
      <c r="H57" s="20">
        <f t="shared" si="6"/>
        <v>-9.1699999999982538</v>
      </c>
      <c r="I57" s="19">
        <f t="shared" si="7"/>
        <v>-3.2867183246547437E-4</v>
      </c>
      <c r="J57" s="42"/>
      <c r="K57" s="43"/>
    </row>
    <row r="58" spans="1:11" ht="15.6">
      <c r="A58" s="28" t="str">
        <v>Kohls - Salinas</v>
      </c>
      <c r="B58" s="29" t="str">
        <v>CA</v>
      </c>
      <c r="C58" s="24">
        <v>34102</v>
      </c>
      <c r="D58" s="13">
        <v>58711</v>
      </c>
      <c r="E58" s="13">
        <f t="shared" si="4"/>
        <v>-24609</v>
      </c>
      <c r="F58" s="14">
        <f t="shared" si="5"/>
        <v>-0.41915484321507041</v>
      </c>
      <c r="G58" s="15">
        <v>44939.78</v>
      </c>
      <c r="H58" s="15">
        <f t="shared" si="6"/>
        <v>-10837.779999999999</v>
      </c>
      <c r="I58" s="19">
        <f t="shared" si="7"/>
        <v>-0.24116228428354564</v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>
        <v>24748</v>
      </c>
      <c r="D60" s="13">
        <v>34831</v>
      </c>
      <c r="E60" s="13">
        <f t="shared" si="4"/>
        <v>-10083</v>
      </c>
      <c r="F60" s="14">
        <f t="shared" si="5"/>
        <v>-0.2894835060721771</v>
      </c>
      <c r="G60" s="15">
        <v>29569.54</v>
      </c>
      <c r="H60" s="15">
        <f t="shared" si="6"/>
        <v>-4821.5400000000009</v>
      </c>
      <c r="I60" s="19">
        <f t="shared" si="7"/>
        <v>-0.16305766001094371</v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>
        <v>24502</v>
      </c>
      <c r="D61" s="18">
        <v>28887</v>
      </c>
      <c r="E61" s="18">
        <f t="shared" si="4"/>
        <v>-4385</v>
      </c>
      <c r="F61" s="19">
        <f t="shared" si="5"/>
        <v>-0.15179838681759961</v>
      </c>
      <c r="G61" s="20">
        <v>21444.28</v>
      </c>
      <c r="H61" s="20">
        <f t="shared" si="6"/>
        <v>3057.7200000000012</v>
      </c>
      <c r="I61" s="19">
        <f t="shared" si="7"/>
        <v>0.14258907270377003</v>
      </c>
      <c r="J61" s="42"/>
      <c r="K61" s="43"/>
    </row>
    <row r="62" spans="1:11" ht="15.6">
      <c r="A62" s="28" t="str">
        <v>Taft - City Hall</v>
      </c>
      <c r="B62" s="29" t="str">
        <v>CA</v>
      </c>
      <c r="C62" s="24">
        <v>8</v>
      </c>
      <c r="D62" s="13">
        <v>0</v>
      </c>
      <c r="E62" s="13">
        <f t="shared" si="4"/>
        <v>8</v>
      </c>
      <c r="F62" s="14" t="str">
        <f t="shared" si="5"/>
        <v/>
      </c>
      <c r="G62" s="15">
        <v>7215.4</v>
      </c>
      <c r="H62" s="15">
        <f t="shared" si="6"/>
        <v>-7207.4</v>
      </c>
      <c r="I62" s="19">
        <f t="shared" si="7"/>
        <v>-0.99889126035978604</v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>
        <v>15555</v>
      </c>
      <c r="D63" s="18">
        <v>19541</v>
      </c>
      <c r="E63" s="18">
        <f t="shared" si="4"/>
        <v>-3986</v>
      </c>
      <c r="F63" s="19">
        <f t="shared" si="5"/>
        <v>-0.20398137249884857</v>
      </c>
      <c r="G63" s="20">
        <v>11879.22</v>
      </c>
      <c r="H63" s="20">
        <f t="shared" si="6"/>
        <v>3675.7800000000007</v>
      </c>
      <c r="I63" s="19">
        <f t="shared" si="7"/>
        <v>0.30942940698126653</v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>
        <v>10380</v>
      </c>
      <c r="D64" s="13">
        <v>13373</v>
      </c>
      <c r="E64" s="13">
        <f t="shared" si="4"/>
        <v>-2993</v>
      </c>
      <c r="F64" s="14">
        <f t="shared" si="5"/>
        <v>-0.22380916772601511</v>
      </c>
      <c r="G64" s="15">
        <v>8275.2000000000007</v>
      </c>
      <c r="H64" s="15">
        <f t="shared" si="6"/>
        <v>2104.7999999999993</v>
      </c>
      <c r="I64" s="19">
        <f t="shared" si="7"/>
        <v>0.25435034802784212</v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9" t="str">
        <f t="shared" si="7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>
        <v>127835</v>
      </c>
      <c r="D67" s="18">
        <v>179735</v>
      </c>
      <c r="E67" s="18">
        <f t="shared" si="4"/>
        <v>-51900</v>
      </c>
      <c r="F67" s="19">
        <f t="shared" si="5"/>
        <v>-0.28875844994018973</v>
      </c>
      <c r="G67" s="20">
        <v>283657.609</v>
      </c>
      <c r="H67" s="20">
        <f t="shared" si="6"/>
        <v>-155822.609</v>
      </c>
      <c r="I67" s="19">
        <f t="shared" si="7"/>
        <v>-0.54933343600171147</v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>
        <v>13644</v>
      </c>
      <c r="D68" s="13">
        <v>18137</v>
      </c>
      <c r="E68" s="13">
        <f t="shared" si="4"/>
        <v>-4493</v>
      </c>
      <c r="F68" s="14">
        <f t="shared" si="5"/>
        <v>-0.24772564371174946</v>
      </c>
      <c r="G68" s="15">
        <v>28300.01</v>
      </c>
      <c r="H68" s="15">
        <f t="shared" si="6"/>
        <v>-14656.009999999998</v>
      </c>
      <c r="I68" s="19">
        <f t="shared" si="7"/>
        <v>-0.51788002901765762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40" type="noConversion"/>
  <conditionalFormatting sqref="F2 I2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4:F100 I4:I100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C57" activePane="bottomRight" state="frozen"/>
      <selection pane="bottomRight" activeCell="E16" sqref="E16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47</v>
      </c>
      <c r="E1" s="100"/>
      <c r="F1" s="100"/>
      <c r="G1" s="98" t="s">
        <v>48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2658804.2999999998</v>
      </c>
      <c r="D2" s="5">
        <f>SUM(D4:D100)</f>
        <v>3340474</v>
      </c>
      <c r="E2" s="5">
        <f>C2-D2</f>
        <v>-681669.70000000019</v>
      </c>
      <c r="F2" s="6">
        <f>IFERROR(E2/D2, 0)</f>
        <v>-0.20406376460346651</v>
      </c>
      <c r="G2" s="5">
        <f>SUM(G4:G100)</f>
        <v>3399883.7659999994</v>
      </c>
      <c r="H2" s="7">
        <f>C2-G2</f>
        <v>-741079.46599999955</v>
      </c>
      <c r="I2" s="6">
        <f>IFERROR(H2/G2, 0)</f>
        <v>-0.21797200051691404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29562</v>
      </c>
      <c r="D4" s="13">
        <v>36626</v>
      </c>
      <c r="E4" s="13">
        <f>IF(AND(ISNUMBER(C4),ISNUMBER(D4)), C4-D4, "")</f>
        <v>-7064</v>
      </c>
      <c r="F4" s="14">
        <f>IFERROR(E4/D4, "")</f>
        <v>-0.19286845410364223</v>
      </c>
      <c r="G4" s="15">
        <v>31152.93</v>
      </c>
      <c r="H4" s="15">
        <f>IF(AND(ISNUMBER(C4),ISNUMBER(G4)), C4-G4, "")</f>
        <v>-1590.9300000000003</v>
      </c>
      <c r="I4" s="16">
        <f>IFERROR(H4/G4, "")</f>
        <v>-5.1068390677859204E-2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29329</v>
      </c>
      <c r="D5" s="18">
        <v>37494</v>
      </c>
      <c r="E5" s="18">
        <f t="shared" ref="E5:E25" si="0">IF(AND(ISNUMBER(C5),ISNUMBER(D5)), C5-D5, "")</f>
        <v>-8165</v>
      </c>
      <c r="F5" s="19">
        <f>IFERROR(E5/D5, "")</f>
        <v>-0.21776817624153197</v>
      </c>
      <c r="G5" s="20">
        <v>34098.57</v>
      </c>
      <c r="H5" s="20">
        <f t="shared" ref="H5:H25" si="1">IF(AND(ISNUMBER(C5),ISNUMBER(G5)), C5-G5, "")</f>
        <v>-4769.57</v>
      </c>
      <c r="I5" s="19">
        <f t="shared" ref="I5:I25" si="2">IFERROR(H5/G5, "")</f>
        <v>-0.13987595374234169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37015</v>
      </c>
      <c r="D6" s="13">
        <v>45792</v>
      </c>
      <c r="E6" s="13">
        <f t="shared" si="0"/>
        <v>-8777</v>
      </c>
      <c r="F6" s="14">
        <f t="shared" ref="F6:F25" si="3">IFERROR(E6/D6, "")</f>
        <v>-0.19167103424178897</v>
      </c>
      <c r="G6" s="15">
        <v>33865.769999999997</v>
      </c>
      <c r="H6" s="15">
        <f t="shared" si="1"/>
        <v>3149.2300000000032</v>
      </c>
      <c r="I6" s="16">
        <f t="shared" si="2"/>
        <v>9.2991536882226611E-2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40643</v>
      </c>
      <c r="D7" s="18">
        <v>56202</v>
      </c>
      <c r="E7" s="18">
        <f t="shared" si="0"/>
        <v>-15559</v>
      </c>
      <c r="F7" s="19">
        <f t="shared" si="3"/>
        <v>-0.27684068182626953</v>
      </c>
      <c r="G7" s="20">
        <v>41145.589999999997</v>
      </c>
      <c r="H7" s="20">
        <f t="shared" si="1"/>
        <v>-502.58999999999651</v>
      </c>
      <c r="I7" s="19">
        <f t="shared" si="2"/>
        <v>-1.2214917807716368E-2</v>
      </c>
      <c r="J7" s="42"/>
      <c r="K7" s="43"/>
    </row>
    <row r="8" spans="1:11" ht="15.6">
      <c r="A8" s="28" t="str">
        <v>Kohls - Buffalo</v>
      </c>
      <c r="B8" s="29" t="str">
        <v>NY</v>
      </c>
      <c r="C8" s="24">
        <v>35622</v>
      </c>
      <c r="D8" s="13">
        <v>0</v>
      </c>
      <c r="E8" s="13">
        <f t="shared" si="0"/>
        <v>35622</v>
      </c>
      <c r="F8" s="14" t="str">
        <f t="shared" si="3"/>
        <v/>
      </c>
      <c r="G8" s="15">
        <v>44287.13</v>
      </c>
      <c r="H8" s="15">
        <f t="shared" si="1"/>
        <v>-8665.1299999999974</v>
      </c>
      <c r="I8" s="16">
        <f t="shared" si="2"/>
        <v>-0.19565797106292501</v>
      </c>
      <c r="J8" s="41"/>
      <c r="K8" s="41"/>
    </row>
    <row r="9" spans="1:11" ht="15.6">
      <c r="A9" s="30" t="str">
        <v>Kohls - Canton</v>
      </c>
      <c r="B9" s="31" t="str">
        <v>CT</v>
      </c>
      <c r="C9" s="11">
        <v>14300</v>
      </c>
      <c r="D9" s="18">
        <v>17235</v>
      </c>
      <c r="E9" s="18">
        <f t="shared" si="0"/>
        <v>-2935</v>
      </c>
      <c r="F9" s="19">
        <f t="shared" si="3"/>
        <v>-0.17029300841311285</v>
      </c>
      <c r="G9" s="20">
        <v>13718.25</v>
      </c>
      <c r="H9" s="20">
        <f t="shared" si="1"/>
        <v>581.75</v>
      </c>
      <c r="I9" s="19">
        <f t="shared" si="2"/>
        <v>4.2407012556266291E-2</v>
      </c>
      <c r="J9" s="56"/>
      <c r="K9" s="43"/>
    </row>
    <row r="10" spans="1:11" ht="15.6">
      <c r="A10" s="28" t="str">
        <v>Kohls - East Amherst</v>
      </c>
      <c r="B10" s="29" t="str">
        <v>NY</v>
      </c>
      <c r="C10" s="24">
        <v>33283</v>
      </c>
      <c r="D10" s="13">
        <v>41179</v>
      </c>
      <c r="E10" s="13">
        <f t="shared" si="0"/>
        <v>-7896</v>
      </c>
      <c r="F10" s="14">
        <f t="shared" si="3"/>
        <v>-0.1917482211806989</v>
      </c>
      <c r="G10" s="15">
        <v>38964.47</v>
      </c>
      <c r="H10" s="15">
        <f t="shared" si="1"/>
        <v>-5681.4700000000012</v>
      </c>
      <c r="I10" s="16">
        <f t="shared" si="2"/>
        <v>-0.14581155601500548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45596</v>
      </c>
      <c r="D11" s="18">
        <v>60512</v>
      </c>
      <c r="E11" s="18">
        <f t="shared" si="0"/>
        <v>-14916</v>
      </c>
      <c r="F11" s="19">
        <f t="shared" si="3"/>
        <v>-0.24649656266525649</v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247853</v>
      </c>
      <c r="D12" s="13">
        <v>357668</v>
      </c>
      <c r="E12" s="13">
        <f t="shared" si="0"/>
        <v>-109815</v>
      </c>
      <c r="F12" s="14">
        <f t="shared" si="3"/>
        <v>-0.30703054229061588</v>
      </c>
      <c r="G12" s="15">
        <v>283313.49</v>
      </c>
      <c r="H12" s="15">
        <f t="shared" si="1"/>
        <v>-35460.489999999991</v>
      </c>
      <c r="I12" s="16">
        <f t="shared" si="2"/>
        <v>-0.12516343644631955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34236</v>
      </c>
      <c r="D13" s="18">
        <v>43267</v>
      </c>
      <c r="E13" s="18">
        <f t="shared" si="0"/>
        <v>-9031</v>
      </c>
      <c r="F13" s="19">
        <f t="shared" si="3"/>
        <v>-0.2087272054914831</v>
      </c>
      <c r="G13" s="20">
        <v>33875.629999999997</v>
      </c>
      <c r="H13" s="20">
        <f t="shared" si="1"/>
        <v>360.37000000000262</v>
      </c>
      <c r="I13" s="19">
        <f t="shared" si="2"/>
        <v>1.0638030938465281E-2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27690</v>
      </c>
      <c r="D14" s="13">
        <v>30281</v>
      </c>
      <c r="E14" s="13">
        <f t="shared" si="0"/>
        <v>-2591</v>
      </c>
      <c r="F14" s="14">
        <f t="shared" si="3"/>
        <v>-8.5565205904692715E-2</v>
      </c>
      <c r="G14" s="15">
        <v>41686.39</v>
      </c>
      <c r="H14" s="15">
        <f t="shared" si="1"/>
        <v>-13996.39</v>
      </c>
      <c r="I14" s="16">
        <f t="shared" si="2"/>
        <v>-0.33575442728430072</v>
      </c>
      <c r="J14" s="41"/>
      <c r="K14" s="41"/>
    </row>
    <row r="15" spans="1:11" ht="29.1">
      <c r="A15" s="30" t="str">
        <v>Kohls - Hanover</v>
      </c>
      <c r="B15" s="31" t="str">
        <v>PA</v>
      </c>
      <c r="C15" s="11">
        <v>22308</v>
      </c>
      <c r="D15" s="18">
        <v>27597</v>
      </c>
      <c r="E15" s="18">
        <f t="shared" si="0"/>
        <v>-5289</v>
      </c>
      <c r="F15" s="19">
        <f t="shared" si="3"/>
        <v>-0.19165126644200456</v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5" t="s">
        <v>49</v>
      </c>
      <c r="K15" s="55" t="s">
        <v>50</v>
      </c>
    </row>
    <row r="16" spans="1:11" ht="15.6">
      <c r="A16" s="28" t="str">
        <v>Kohls - Horsehead</v>
      </c>
      <c r="B16" s="29" t="str">
        <v>NY</v>
      </c>
      <c r="C16" s="24">
        <v>26206</v>
      </c>
      <c r="D16" s="13">
        <v>33417</v>
      </c>
      <c r="E16" s="13">
        <f t="shared" si="0"/>
        <v>-7211</v>
      </c>
      <c r="F16" s="14">
        <f t="shared" si="3"/>
        <v>-0.21578837118831731</v>
      </c>
      <c r="G16" s="15">
        <v>28710.66</v>
      </c>
      <c r="H16" s="15">
        <f t="shared" si="1"/>
        <v>-2504.66</v>
      </c>
      <c r="I16" s="16">
        <f t="shared" si="2"/>
        <v>-8.7237980596753958E-2</v>
      </c>
      <c r="J16" s="57"/>
      <c r="K16" s="57"/>
    </row>
    <row r="17" spans="1:11" ht="15.6">
      <c r="A17" s="30" t="str">
        <v>Kohls - Hudson</v>
      </c>
      <c r="B17" s="31" t="str">
        <v>NY</v>
      </c>
      <c r="C17" s="11">
        <v>30750</v>
      </c>
      <c r="D17" s="18">
        <v>38861</v>
      </c>
      <c r="E17" s="18">
        <f t="shared" si="0"/>
        <v>-8111</v>
      </c>
      <c r="F17" s="19">
        <f t="shared" si="3"/>
        <v>-0.20871825223231519</v>
      </c>
      <c r="G17" s="20">
        <v>32756.26</v>
      </c>
      <c r="H17" s="20">
        <f t="shared" si="1"/>
        <v>-2006.2599999999984</v>
      </c>
      <c r="I17" s="19">
        <f t="shared" si="2"/>
        <v>-6.1248140050176619E-2</v>
      </c>
      <c r="J17" s="55"/>
      <c r="K17" s="59"/>
    </row>
    <row r="18" spans="1:11" ht="15.6">
      <c r="A18" s="32" t="str">
        <v>Kohls - Ithaca</v>
      </c>
      <c r="B18" s="29" t="str">
        <v>NY</v>
      </c>
      <c r="C18" s="24">
        <v>27582</v>
      </c>
      <c r="D18" s="13">
        <v>36993</v>
      </c>
      <c r="E18" s="13">
        <f t="shared" si="0"/>
        <v>-9411</v>
      </c>
      <c r="F18" s="14">
        <f t="shared" si="3"/>
        <v>-0.25439948098288867</v>
      </c>
      <c r="G18" s="15">
        <v>34443.47</v>
      </c>
      <c r="H18" s="15">
        <f t="shared" si="1"/>
        <v>-6861.4700000000012</v>
      </c>
      <c r="I18" s="16">
        <f t="shared" si="2"/>
        <v>-0.19920960344587815</v>
      </c>
      <c r="J18" s="57"/>
      <c r="K18" s="57"/>
    </row>
    <row r="19" spans="1:11" ht="29.1">
      <c r="A19" s="30" t="str">
        <v>Kohls - Kingston</v>
      </c>
      <c r="B19" s="31" t="str">
        <v>NY</v>
      </c>
      <c r="C19" s="11">
        <v>36617</v>
      </c>
      <c r="D19" s="18">
        <v>49331</v>
      </c>
      <c r="E19" s="18">
        <f t="shared" si="0"/>
        <v>-12714</v>
      </c>
      <c r="F19" s="19">
        <f t="shared" si="3"/>
        <v>-0.2577284060732602</v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5" t="s">
        <v>51</v>
      </c>
      <c r="K19" s="55" t="s">
        <v>52</v>
      </c>
    </row>
    <row r="20" spans="1:11" ht="15.6">
      <c r="A20" s="28" t="str">
        <v>Kohls - Mechanicsburg</v>
      </c>
      <c r="B20" s="29" t="str">
        <v>PA</v>
      </c>
      <c r="C20" s="24">
        <v>43742</v>
      </c>
      <c r="D20" s="13">
        <v>54780</v>
      </c>
      <c r="E20" s="13">
        <f t="shared" si="0"/>
        <v>-11038</v>
      </c>
      <c r="F20" s="14">
        <f t="shared" si="3"/>
        <v>-0.20149689667761958</v>
      </c>
      <c r="G20" s="15">
        <v>46002.28</v>
      </c>
      <c r="H20" s="15">
        <f t="shared" si="1"/>
        <v>-2260.2799999999988</v>
      </c>
      <c r="I20" s="16">
        <f t="shared" si="2"/>
        <v>-4.9134086397456797E-2</v>
      </c>
      <c r="J20" s="57"/>
      <c r="K20" s="57"/>
    </row>
    <row r="21" spans="1:11" ht="15.6">
      <c r="A21" s="30" t="str">
        <v>Kohls - Middletown</v>
      </c>
      <c r="B21" s="31" t="str">
        <v>NJ</v>
      </c>
      <c r="C21" s="11">
        <v>61770</v>
      </c>
      <c r="D21" s="18">
        <v>72514</v>
      </c>
      <c r="E21" s="18">
        <f t="shared" si="0"/>
        <v>-10744</v>
      </c>
      <c r="F21" s="19">
        <f t="shared" si="3"/>
        <v>-0.14816449237388643</v>
      </c>
      <c r="G21" s="20">
        <v>60664.54</v>
      </c>
      <c r="H21" s="20">
        <f t="shared" si="1"/>
        <v>1105.4599999999991</v>
      </c>
      <c r="I21" s="19">
        <f t="shared" si="2"/>
        <v>1.8222506920846992E-2</v>
      </c>
      <c r="J21" s="55" t="s">
        <v>53</v>
      </c>
      <c r="K21" s="55" t="s">
        <v>54</v>
      </c>
    </row>
    <row r="22" spans="1:11" ht="15.6">
      <c r="A22" s="28" t="str">
        <v>Kohls - North Amherst</v>
      </c>
      <c r="B22" s="29" t="str">
        <v>NY</v>
      </c>
      <c r="C22" s="24">
        <v>25209</v>
      </c>
      <c r="D22" s="13">
        <v>38501</v>
      </c>
      <c r="E22" s="13">
        <f t="shared" si="0"/>
        <v>-13292</v>
      </c>
      <c r="F22" s="14">
        <f t="shared" si="3"/>
        <v>-0.34523778603153166</v>
      </c>
      <c r="G22" s="15">
        <v>37286.57</v>
      </c>
      <c r="H22" s="15">
        <f t="shared" si="1"/>
        <v>-12077.57</v>
      </c>
      <c r="I22" s="16">
        <f t="shared" si="2"/>
        <v>-0.32391206807169443</v>
      </c>
      <c r="J22" s="58"/>
      <c r="K22" s="57"/>
    </row>
    <row r="23" spans="1:11" ht="15.6">
      <c r="A23" s="30" t="str">
        <v>Kohls - Staten Island</v>
      </c>
      <c r="B23" s="31" t="str">
        <v>NY</v>
      </c>
      <c r="C23" s="11">
        <v>34607.300000000003</v>
      </c>
      <c r="D23" s="18">
        <v>48089</v>
      </c>
      <c r="E23" s="18">
        <f t="shared" si="0"/>
        <v>-13481.699999999997</v>
      </c>
      <c r="F23" s="19">
        <f t="shared" si="3"/>
        <v>-0.28034893634718955</v>
      </c>
      <c r="G23" s="20">
        <v>36840.44</v>
      </c>
      <c r="H23" s="20">
        <f t="shared" si="1"/>
        <v>-2233.1399999999994</v>
      </c>
      <c r="I23" s="19">
        <f t="shared" si="2"/>
        <v>-6.0616539867601994E-2</v>
      </c>
      <c r="J23" s="60"/>
      <c r="K23" s="60"/>
    </row>
    <row r="24" spans="1:11" ht="15.6">
      <c r="A24" s="28" t="str">
        <v>Kohls - Warminster</v>
      </c>
      <c r="B24" s="29" t="str">
        <v>PA</v>
      </c>
      <c r="C24" s="24">
        <v>43479</v>
      </c>
      <c r="D24" s="13">
        <v>53155</v>
      </c>
      <c r="E24" s="13">
        <f t="shared" si="0"/>
        <v>-9676</v>
      </c>
      <c r="F24" s="14">
        <f t="shared" si="3"/>
        <v>-0.18203367510111937</v>
      </c>
      <c r="G24" s="15">
        <v>41345.56</v>
      </c>
      <c r="H24" s="15">
        <f t="shared" si="1"/>
        <v>2133.4400000000023</v>
      </c>
      <c r="I24" s="16">
        <f t="shared" si="2"/>
        <v>5.1600220192930084E-2</v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>
        <v>35364</v>
      </c>
      <c r="D25" s="18">
        <v>41321</v>
      </c>
      <c r="E25" s="18">
        <f t="shared" si="0"/>
        <v>-5957</v>
      </c>
      <c r="F25" s="19">
        <f t="shared" si="3"/>
        <v>-0.14416398441470438</v>
      </c>
      <c r="G25" s="20">
        <v>37214.31</v>
      </c>
      <c r="H25" s="20">
        <f t="shared" si="1"/>
        <v>-1850.3099999999977</v>
      </c>
      <c r="I25" s="19">
        <f t="shared" si="2"/>
        <v>-4.9720389817787779E-2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>
        <v>48689</v>
      </c>
      <c r="D26" s="13">
        <v>61319</v>
      </c>
      <c r="E26" s="13">
        <f t="shared" ref="E26:E68" si="4">IF(AND(ISNUMBER(C26),ISNUMBER(D26)), C26-D26, "")</f>
        <v>-12630</v>
      </c>
      <c r="F26" s="14">
        <f t="shared" ref="F26:F68" si="5">IFERROR(E26/D26, "")</f>
        <v>-0.20597204781552211</v>
      </c>
      <c r="G26" s="15">
        <v>39045.620000000003</v>
      </c>
      <c r="H26" s="15">
        <f t="shared" ref="H26:H68" si="6">IF(AND(ISNUMBER(C26),ISNUMBER(G26)), C26-G26, "")</f>
        <v>9643.3799999999974</v>
      </c>
      <c r="I26" s="16">
        <f t="shared" ref="I26:I68" si="7">IFERROR(H26/G26, "")</f>
        <v>0.24697725378672428</v>
      </c>
      <c r="J26" s="41"/>
      <c r="K26" s="41"/>
    </row>
    <row r="27" spans="1:11" ht="15.6">
      <c r="A27" s="30" t="str">
        <v>CSU - Bakersfield</v>
      </c>
      <c r="B27" s="31" t="str">
        <v>CA</v>
      </c>
      <c r="C27" s="11">
        <v>154762</v>
      </c>
      <c r="D27" s="18">
        <v>220311</v>
      </c>
      <c r="E27" s="18">
        <f t="shared" si="4"/>
        <v>-65549</v>
      </c>
      <c r="F27" s="19">
        <f t="shared" si="5"/>
        <v>-0.29752940161862096</v>
      </c>
      <c r="G27" s="20">
        <v>147540.92000000001</v>
      </c>
      <c r="H27" s="20">
        <f t="shared" si="6"/>
        <v>7221.0799999999872</v>
      </c>
      <c r="I27" s="19">
        <f t="shared" si="7"/>
        <v>4.8942896655382026E-2</v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>
        <v>14470</v>
      </c>
      <c r="D28" s="13">
        <v>0</v>
      </c>
      <c r="E28" s="13">
        <f t="shared" si="4"/>
        <v>14470</v>
      </c>
      <c r="F28" s="14" t="str">
        <f t="shared" si="5"/>
        <v/>
      </c>
      <c r="G28" s="15">
        <v>14652.87</v>
      </c>
      <c r="H28" s="15">
        <f t="shared" si="6"/>
        <v>-182.8700000000008</v>
      </c>
      <c r="I28" s="16">
        <f t="shared" si="7"/>
        <v>-1.2480148940105303E-2</v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>
        <v>40614</v>
      </c>
      <c r="D29" s="18">
        <v>56484</v>
      </c>
      <c r="E29" s="18">
        <f t="shared" si="4"/>
        <v>-15870</v>
      </c>
      <c r="F29" s="19">
        <f t="shared" si="5"/>
        <v>-0.28096452092627999</v>
      </c>
      <c r="G29" s="20">
        <v>38669.5</v>
      </c>
      <c r="H29" s="20">
        <f t="shared" si="6"/>
        <v>1944.5</v>
      </c>
      <c r="I29" s="19">
        <f t="shared" si="7"/>
        <v>5.0285108418779659E-2</v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>
        <v>24990</v>
      </c>
      <c r="D30" s="13">
        <v>37568</v>
      </c>
      <c r="E30" s="13">
        <f t="shared" si="4"/>
        <v>-12578</v>
      </c>
      <c r="F30" s="14">
        <f t="shared" si="5"/>
        <v>-0.33480621805792166</v>
      </c>
      <c r="G30" s="15">
        <v>26362.2</v>
      </c>
      <c r="H30" s="15">
        <f t="shared" si="6"/>
        <v>-1372.2000000000007</v>
      </c>
      <c r="I30" s="16">
        <f t="shared" si="7"/>
        <v>-5.2051801442975193E-2</v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>
        <v>32951</v>
      </c>
      <c r="D31" s="18">
        <v>56695</v>
      </c>
      <c r="E31" s="18">
        <f t="shared" si="4"/>
        <v>-23744</v>
      </c>
      <c r="F31" s="19">
        <f t="shared" si="5"/>
        <v>-0.41880236352412031</v>
      </c>
      <c r="G31" s="20">
        <v>40024.639999999999</v>
      </c>
      <c r="H31" s="20">
        <f t="shared" si="6"/>
        <v>-7073.6399999999994</v>
      </c>
      <c r="I31" s="19">
        <f t="shared" si="7"/>
        <v>-0.17673213300606824</v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>
        <v>19169</v>
      </c>
      <c r="D32" s="13">
        <v>34353</v>
      </c>
      <c r="E32" s="13">
        <f t="shared" si="4"/>
        <v>-15184</v>
      </c>
      <c r="F32" s="14">
        <f t="shared" si="5"/>
        <v>-0.44199924315198091</v>
      </c>
      <c r="G32" s="15">
        <v>24464.639999999999</v>
      </c>
      <c r="H32" s="15">
        <f t="shared" si="6"/>
        <v>-5295.6399999999994</v>
      </c>
      <c r="I32" s="16">
        <f t="shared" si="7"/>
        <v>-0.21646098205409928</v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>
        <v>17902</v>
      </c>
      <c r="D33" s="18">
        <v>25411</v>
      </c>
      <c r="E33" s="18">
        <f t="shared" si="4"/>
        <v>-7509</v>
      </c>
      <c r="F33" s="19">
        <f t="shared" si="5"/>
        <v>-0.29550194797528628</v>
      </c>
      <c r="G33" s="20">
        <v>17476.07</v>
      </c>
      <c r="H33" s="20">
        <f t="shared" si="6"/>
        <v>425.93000000000029</v>
      </c>
      <c r="I33" s="19">
        <f t="shared" si="7"/>
        <v>2.4372184364104762E-2</v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>
        <v>7152</v>
      </c>
      <c r="D34" s="13">
        <v>27371</v>
      </c>
      <c r="E34" s="13">
        <f t="shared" si="4"/>
        <v>-20219</v>
      </c>
      <c r="F34" s="14">
        <f t="shared" si="5"/>
        <v>-0.73870154543129585</v>
      </c>
      <c r="G34" s="15">
        <v>21049.040000000001</v>
      </c>
      <c r="H34" s="15">
        <f t="shared" si="6"/>
        <v>-13897.04</v>
      </c>
      <c r="I34" s="16">
        <f t="shared" si="7"/>
        <v>-0.66022203387897982</v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>
        <v>40220</v>
      </c>
      <c r="D35" s="18">
        <v>63021</v>
      </c>
      <c r="E35" s="18">
        <f t="shared" si="4"/>
        <v>-22801</v>
      </c>
      <c r="F35" s="19">
        <f t="shared" si="5"/>
        <v>-0.36180003490899859</v>
      </c>
      <c r="G35" s="20">
        <v>43366.2</v>
      </c>
      <c r="H35" s="20">
        <f t="shared" si="6"/>
        <v>-3146.1999999999971</v>
      </c>
      <c r="I35" s="19">
        <f t="shared" si="7"/>
        <v>-7.2549589311491372E-2</v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>
        <v>43763</v>
      </c>
      <c r="D36" s="13">
        <v>57738</v>
      </c>
      <c r="E36" s="13">
        <f t="shared" si="4"/>
        <v>-13975</v>
      </c>
      <c r="F36" s="14">
        <f t="shared" si="5"/>
        <v>-0.24204163635733833</v>
      </c>
      <c r="G36" s="15">
        <v>40487.46</v>
      </c>
      <c r="H36" s="15">
        <f t="shared" si="6"/>
        <v>3275.5400000000009</v>
      </c>
      <c r="I36" s="16">
        <f t="shared" si="7"/>
        <v>8.0902580700295865E-2</v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4"/>
        <v>0</v>
      </c>
      <c r="F37" s="19" t="str">
        <f t="shared" si="5"/>
        <v/>
      </c>
      <c r="G37" s="20">
        <v>15597.02</v>
      </c>
      <c r="H37" s="20">
        <f t="shared" si="6"/>
        <v>-15597.02</v>
      </c>
      <c r="I37" s="19">
        <f t="shared" si="7"/>
        <v>-1</v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4"/>
        <v>0</v>
      </c>
      <c r="F38" s="14" t="str">
        <f t="shared" si="5"/>
        <v/>
      </c>
      <c r="G38" s="15">
        <v>37377.94</v>
      </c>
      <c r="H38" s="15">
        <f t="shared" si="6"/>
        <v>-37377.94</v>
      </c>
      <c r="I38" s="16">
        <f t="shared" si="7"/>
        <v>-1</v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>
        <v>14211</v>
      </c>
      <c r="D39" s="18">
        <v>21124</v>
      </c>
      <c r="E39" s="18">
        <f t="shared" si="4"/>
        <v>-6913</v>
      </c>
      <c r="F39" s="19">
        <f t="shared" si="5"/>
        <v>-0.32725809505775422</v>
      </c>
      <c r="G39" s="20">
        <v>13781.24</v>
      </c>
      <c r="H39" s="20">
        <f t="shared" si="6"/>
        <v>429.76000000000022</v>
      </c>
      <c r="I39" s="19">
        <f t="shared" si="7"/>
        <v>3.1184421721122353E-2</v>
      </c>
      <c r="J39" s="42"/>
      <c r="K39" s="43"/>
    </row>
    <row r="40" spans="1:11" ht="15.6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4"/>
        <v>0</v>
      </c>
      <c r="F40" s="14" t="str">
        <f t="shared" si="5"/>
        <v/>
      </c>
      <c r="G40" s="15">
        <v>54745.152999999998</v>
      </c>
      <c r="H40" s="15">
        <f t="shared" si="6"/>
        <v>-54745.152999999998</v>
      </c>
      <c r="I40" s="16">
        <f t="shared" si="7"/>
        <v>-1</v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>
        <v>7113</v>
      </c>
      <c r="D42" s="13">
        <v>14979</v>
      </c>
      <c r="E42" s="13">
        <f t="shared" si="4"/>
        <v>-7866</v>
      </c>
      <c r="F42" s="14">
        <f t="shared" si="5"/>
        <v>-0.52513518926497094</v>
      </c>
      <c r="G42" s="15">
        <v>9724.18</v>
      </c>
      <c r="H42" s="15">
        <f t="shared" si="6"/>
        <v>-2611.1800000000003</v>
      </c>
      <c r="I42" s="16">
        <f t="shared" si="7"/>
        <v>-0.26852444113539653</v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>
        <v>33199</v>
      </c>
      <c r="D44" s="13">
        <v>0</v>
      </c>
      <c r="E44" s="13">
        <f t="shared" si="4"/>
        <v>33199</v>
      </c>
      <c r="F44" s="14" t="str">
        <f t="shared" si="5"/>
        <v/>
      </c>
      <c r="G44" s="15">
        <v>35442.29</v>
      </c>
      <c r="H44" s="15">
        <f t="shared" si="6"/>
        <v>-2243.2900000000009</v>
      </c>
      <c r="I44" s="16">
        <f t="shared" si="7"/>
        <v>-6.3294160732842067E-2</v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>
        <v>34899</v>
      </c>
      <c r="D45" s="18">
        <v>0</v>
      </c>
      <c r="E45" s="18">
        <f t="shared" si="4"/>
        <v>34899</v>
      </c>
      <c r="F45" s="19" t="str">
        <f t="shared" si="5"/>
        <v/>
      </c>
      <c r="G45" s="20">
        <v>36019.629999999997</v>
      </c>
      <c r="H45" s="20">
        <f t="shared" si="6"/>
        <v>-1120.6299999999974</v>
      </c>
      <c r="I45" s="19">
        <f t="shared" si="7"/>
        <v>-3.1111646621578219E-2</v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>
        <v>46392</v>
      </c>
      <c r="D46" s="13">
        <v>0</v>
      </c>
      <c r="E46" s="13">
        <f t="shared" si="4"/>
        <v>46392</v>
      </c>
      <c r="F46" s="14" t="str">
        <f t="shared" si="5"/>
        <v/>
      </c>
      <c r="G46" s="15">
        <v>48252.45</v>
      </c>
      <c r="H46" s="15">
        <f t="shared" si="6"/>
        <v>-1860.4499999999971</v>
      </c>
      <c r="I46" s="16">
        <f t="shared" si="7"/>
        <v>-3.8556591426963757E-2</v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>
        <v>68428</v>
      </c>
      <c r="D47" s="18">
        <v>114106</v>
      </c>
      <c r="E47" s="18">
        <f t="shared" si="4"/>
        <v>-45678</v>
      </c>
      <c r="F47" s="19">
        <f t="shared" si="5"/>
        <v>-0.40031199060522671</v>
      </c>
      <c r="G47" s="20">
        <v>91079.19</v>
      </c>
      <c r="H47" s="20">
        <f t="shared" si="6"/>
        <v>-22651.190000000002</v>
      </c>
      <c r="I47" s="19">
        <f t="shared" si="7"/>
        <v>-0.24869775411924505</v>
      </c>
      <c r="J47" s="42"/>
      <c r="K47" s="43"/>
    </row>
    <row r="48" spans="1:11" ht="15.6">
      <c r="A48" s="28" t="str">
        <v>CADRB</v>
      </c>
      <c r="B48" s="29" t="str">
        <v>CA</v>
      </c>
      <c r="C48" s="24">
        <v>738857</v>
      </c>
      <c r="D48" s="13">
        <v>880053</v>
      </c>
      <c r="E48" s="13">
        <f t="shared" si="4"/>
        <v>-141196</v>
      </c>
      <c r="F48" s="14">
        <f t="shared" si="5"/>
        <v>-0.16044033711606007</v>
      </c>
      <c r="G48" s="15">
        <v>795802</v>
      </c>
      <c r="H48" s="15">
        <f t="shared" si="6"/>
        <v>-56945</v>
      </c>
      <c r="I48" s="16">
        <f t="shared" si="7"/>
        <v>-7.1556744014214593E-2</v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>
        <v>31403</v>
      </c>
      <c r="D51" s="18">
        <v>45293</v>
      </c>
      <c r="E51" s="18">
        <f t="shared" si="4"/>
        <v>-13890</v>
      </c>
      <c r="F51" s="19">
        <f t="shared" si="5"/>
        <v>-0.30666990484180778</v>
      </c>
      <c r="G51" s="20">
        <v>31641.15</v>
      </c>
      <c r="H51" s="20">
        <f t="shared" si="6"/>
        <v>-238.15000000000146</v>
      </c>
      <c r="I51" s="19">
        <f t="shared" si="7"/>
        <v>-7.5265911637219709E-3</v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>
        <v>28554</v>
      </c>
      <c r="D53" s="18">
        <v>68332</v>
      </c>
      <c r="E53" s="18">
        <f t="shared" si="4"/>
        <v>-39778</v>
      </c>
      <c r="F53" s="19">
        <f t="shared" si="5"/>
        <v>-0.58212843177427853</v>
      </c>
      <c r="G53" s="20">
        <v>43568.17</v>
      </c>
      <c r="H53" s="20">
        <f t="shared" si="6"/>
        <v>-15014.169999999998</v>
      </c>
      <c r="I53" s="19">
        <f t="shared" si="7"/>
        <v>-0.34461328075060299</v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4"/>
        <v>0</v>
      </c>
      <c r="F55" s="19" t="str">
        <f t="shared" si="5"/>
        <v/>
      </c>
      <c r="G55" s="20">
        <v>25393.63</v>
      </c>
      <c r="H55" s="20">
        <f t="shared" si="6"/>
        <v>-25393.63</v>
      </c>
      <c r="I55" s="19">
        <f t="shared" si="7"/>
        <v>-1</v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>
        <v>73638</v>
      </c>
      <c r="D56" s="13">
        <v>108507</v>
      </c>
      <c r="E56" s="13">
        <f t="shared" si="4"/>
        <v>-34869</v>
      </c>
      <c r="F56" s="14">
        <f t="shared" si="5"/>
        <v>-0.32135253946749981</v>
      </c>
      <c r="G56" s="15">
        <v>84057.3</v>
      </c>
      <c r="H56" s="15">
        <f t="shared" si="6"/>
        <v>-10419.300000000003</v>
      </c>
      <c r="I56" s="16">
        <f t="shared" si="7"/>
        <v>-0.12395473088000689</v>
      </c>
      <c r="J56" s="41"/>
      <c r="K56" s="41"/>
    </row>
    <row r="57" spans="1:11" ht="15.6">
      <c r="A57" s="30" t="str">
        <v>Kohls - Redding</v>
      </c>
      <c r="B57" s="31" t="str">
        <v>CA</v>
      </c>
      <c r="C57" s="11">
        <v>36757</v>
      </c>
      <c r="D57" s="18">
        <v>0</v>
      </c>
      <c r="E57" s="18">
        <f t="shared" si="4"/>
        <v>36757</v>
      </c>
      <c r="F57" s="19" t="str">
        <f t="shared" si="5"/>
        <v/>
      </c>
      <c r="G57" s="20">
        <v>31766.5</v>
      </c>
      <c r="H57" s="20">
        <f t="shared" si="6"/>
        <v>4990.5</v>
      </c>
      <c r="I57" s="19">
        <f t="shared" si="7"/>
        <v>0.15709946012308565</v>
      </c>
      <c r="J57" s="42"/>
      <c r="K57" s="43"/>
    </row>
    <row r="58" spans="1:11" ht="15.6">
      <c r="A58" s="28" t="str">
        <v>Kohls - Salinas</v>
      </c>
      <c r="B58" s="29" t="str">
        <v>CA</v>
      </c>
      <c r="C58" s="24">
        <v>39634</v>
      </c>
      <c r="D58" s="13">
        <v>69885</v>
      </c>
      <c r="E58" s="13">
        <f t="shared" si="4"/>
        <v>-30251</v>
      </c>
      <c r="F58" s="14">
        <f t="shared" si="5"/>
        <v>-0.43286828360878588</v>
      </c>
      <c r="G58" s="15">
        <v>50308.49</v>
      </c>
      <c r="H58" s="15">
        <f t="shared" si="6"/>
        <v>-10674.489999999998</v>
      </c>
      <c r="I58" s="16">
        <f t="shared" si="7"/>
        <v>-0.21218068759368444</v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>
        <v>29305</v>
      </c>
      <c r="D60" s="13">
        <v>43231</v>
      </c>
      <c r="E60" s="13">
        <f t="shared" si="4"/>
        <v>-13926</v>
      </c>
      <c r="F60" s="14">
        <f t="shared" si="5"/>
        <v>-0.32212995304295527</v>
      </c>
      <c r="G60" s="15">
        <v>33516.47</v>
      </c>
      <c r="H60" s="15">
        <f t="shared" si="6"/>
        <v>-4211.4700000000012</v>
      </c>
      <c r="I60" s="16">
        <f t="shared" si="7"/>
        <v>-0.12565374575544505</v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>
        <v>21384</v>
      </c>
      <c r="D61" s="18">
        <v>32398</v>
      </c>
      <c r="E61" s="18">
        <f t="shared" si="4"/>
        <v>-11014</v>
      </c>
      <c r="F61" s="19">
        <f t="shared" si="5"/>
        <v>-0.33995925674424349</v>
      </c>
      <c r="G61" s="20">
        <v>23891.67</v>
      </c>
      <c r="H61" s="20">
        <f t="shared" si="6"/>
        <v>-2507.6699999999983</v>
      </c>
      <c r="I61" s="19">
        <f t="shared" si="7"/>
        <v>-0.10496001325985159</v>
      </c>
      <c r="J61" s="42"/>
      <c r="K61" s="43"/>
    </row>
    <row r="62" spans="1:11" ht="15.6">
      <c r="A62" s="28" t="str">
        <v>Taft - City Hall</v>
      </c>
      <c r="B62" s="29" t="str">
        <v>CA</v>
      </c>
      <c r="C62" s="24">
        <v>3240</v>
      </c>
      <c r="D62" s="13">
        <v>18249</v>
      </c>
      <c r="E62" s="13">
        <f t="shared" si="4"/>
        <v>-15009</v>
      </c>
      <c r="F62" s="14">
        <f t="shared" si="5"/>
        <v>-0.82245602498767056</v>
      </c>
      <c r="G62" s="15">
        <v>9591.43</v>
      </c>
      <c r="H62" s="15">
        <f t="shared" si="6"/>
        <v>-6351.43</v>
      </c>
      <c r="I62" s="16">
        <f t="shared" si="7"/>
        <v>-0.66219844173392295</v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>
        <v>17435</v>
      </c>
      <c r="D63" s="18">
        <v>22755</v>
      </c>
      <c r="E63" s="18">
        <f t="shared" si="4"/>
        <v>-5320</v>
      </c>
      <c r="F63" s="19">
        <f t="shared" si="5"/>
        <v>-0.23379477038013624</v>
      </c>
      <c r="G63" s="20">
        <v>15282.87</v>
      </c>
      <c r="H63" s="20">
        <f t="shared" si="6"/>
        <v>2152.1299999999992</v>
      </c>
      <c r="I63" s="19">
        <f t="shared" si="7"/>
        <v>0.14081975440476815</v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>
        <v>12104</v>
      </c>
      <c r="D64" s="13">
        <v>16340</v>
      </c>
      <c r="E64" s="13">
        <f t="shared" si="4"/>
        <v>-4236</v>
      </c>
      <c r="F64" s="14">
        <f t="shared" si="5"/>
        <v>-0.25924112607099142</v>
      </c>
      <c r="G64" s="15">
        <v>10976.61</v>
      </c>
      <c r="H64" s="15">
        <f t="shared" si="6"/>
        <v>1127.3899999999994</v>
      </c>
      <c r="I64" s="16">
        <f t="shared" si="7"/>
        <v>0.10270839539712164</v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>
        <v>14806</v>
      </c>
      <c r="D67" s="18">
        <v>24136</v>
      </c>
      <c r="E67" s="18">
        <f t="shared" si="4"/>
        <v>-9330</v>
      </c>
      <c r="F67" s="19">
        <f t="shared" si="5"/>
        <v>-0.38655949618826652</v>
      </c>
      <c r="G67" s="20">
        <v>319639.152</v>
      </c>
      <c r="H67" s="20">
        <f t="shared" si="6"/>
        <v>-304833.152</v>
      </c>
      <c r="I67" s="19">
        <f t="shared" si="7"/>
        <v>-0.95367901614255313</v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>
        <v>0</v>
      </c>
      <c r="D68" s="13">
        <v>0</v>
      </c>
      <c r="E68" s="13">
        <f t="shared" si="4"/>
        <v>0</v>
      </c>
      <c r="F68" s="14" t="str">
        <f t="shared" si="5"/>
        <v/>
      </c>
      <c r="G68" s="15">
        <v>32179.78</v>
      </c>
      <c r="H68" s="15">
        <f t="shared" si="6"/>
        <v>-32179.78</v>
      </c>
      <c r="I68" s="16">
        <f t="shared" si="7"/>
        <v>-1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19" activePane="bottomRight" state="frozen"/>
      <selection pane="bottomRight" activeCell="D31" sqref="D31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55</v>
      </c>
      <c r="E1" s="100"/>
      <c r="F1" s="100"/>
      <c r="G1" s="98" t="s">
        <v>56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2858877.5</v>
      </c>
      <c r="D2" s="5">
        <f>SUM(D4:D100)</f>
        <v>3782502</v>
      </c>
      <c r="E2" s="5">
        <f>C2-D2</f>
        <v>-923624.5</v>
      </c>
      <c r="F2" s="6">
        <f>IFERROR(E2/D2, 0)</f>
        <v>-0.24418347961217204</v>
      </c>
      <c r="G2" s="5">
        <f>SUM(G4:G100)</f>
        <v>3872404.3509999993</v>
      </c>
      <c r="H2" s="7">
        <f>C2-G2</f>
        <v>-1013526.8509999993</v>
      </c>
      <c r="I2" s="6">
        <f>IFERROR(H2/G2, 0)</f>
        <v>-0.26173063531918328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34715</v>
      </c>
      <c r="D4" s="13">
        <v>45296</v>
      </c>
      <c r="E4" s="13">
        <f>IF(AND(ISNUMBER(C4),ISNUMBER(D4)), C4-D4, "")</f>
        <v>-10581</v>
      </c>
      <c r="F4" s="14">
        <f>IFERROR(E4/D4, "")</f>
        <v>-0.23359678558813141</v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41260</v>
      </c>
      <c r="D5" s="18">
        <v>55672</v>
      </c>
      <c r="E5" s="18">
        <f t="shared" ref="E5:E25" si="0">IF(AND(ISNUMBER(C5),ISNUMBER(D5)), C5-D5, "")</f>
        <v>-14412</v>
      </c>
      <c r="F5" s="19">
        <f>IFERROR(E5/D5, "")</f>
        <v>-0.25887340135076881</v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37973</v>
      </c>
      <c r="D6" s="13">
        <v>47600</v>
      </c>
      <c r="E6" s="13">
        <f t="shared" si="0"/>
        <v>-9627</v>
      </c>
      <c r="F6" s="14">
        <f t="shared" ref="F6:F68" si="3">IFERROR(E6/D6, "")</f>
        <v>-0.20224789915966387</v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42988</v>
      </c>
      <c r="D7" s="18">
        <v>61458</v>
      </c>
      <c r="E7" s="18">
        <f t="shared" si="0"/>
        <v>-18470</v>
      </c>
      <c r="F7" s="19">
        <f t="shared" si="3"/>
        <v>-0.30053044355494807</v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6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6">
      <c r="A9" s="30" t="str">
        <v>Kohls - Canton</v>
      </c>
      <c r="B9" s="31" t="str">
        <v>CT</v>
      </c>
      <c r="C9" s="11">
        <v>17208</v>
      </c>
      <c r="D9" s="18">
        <v>20872</v>
      </c>
      <c r="E9" s="18">
        <f t="shared" si="0"/>
        <v>-3664</v>
      </c>
      <c r="F9" s="19">
        <f t="shared" si="3"/>
        <v>-0.17554618627826754</v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6">
      <c r="A10" s="28" t="str">
        <v>Kohls - East Amherst</v>
      </c>
      <c r="B10" s="29" t="str">
        <v>NY</v>
      </c>
      <c r="C10" s="24">
        <v>46400</v>
      </c>
      <c r="D10" s="13">
        <v>60680</v>
      </c>
      <c r="E10" s="13">
        <f t="shared" si="0"/>
        <v>-14280</v>
      </c>
      <c r="F10" s="14">
        <f t="shared" si="3"/>
        <v>-0.23533289386947923</v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217913</v>
      </c>
      <c r="D12" s="13">
        <v>376524</v>
      </c>
      <c r="E12" s="13">
        <f t="shared" si="0"/>
        <v>-158611</v>
      </c>
      <c r="F12" s="14">
        <f t="shared" si="3"/>
        <v>-0.42125070380639745</v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35544</v>
      </c>
      <c r="D13" s="18">
        <v>45849</v>
      </c>
      <c r="E13" s="18">
        <f t="shared" si="0"/>
        <v>-10305</v>
      </c>
      <c r="F13" s="19">
        <f t="shared" si="3"/>
        <v>-0.22475953674016882</v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41359</v>
      </c>
      <c r="D14" s="13">
        <v>36174</v>
      </c>
      <c r="E14" s="13">
        <f t="shared" si="0"/>
        <v>5185</v>
      </c>
      <c r="F14" s="14">
        <f t="shared" si="3"/>
        <v>0.14333499198319236</v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6">
      <c r="A15" s="30" t="str">
        <v>Kohls - Hanover</v>
      </c>
      <c r="B15" s="31" t="str">
        <v>PA</v>
      </c>
      <c r="C15" s="11">
        <v>19615</v>
      </c>
      <c r="D15" s="18">
        <v>26187</v>
      </c>
      <c r="E15" s="18">
        <f t="shared" si="0"/>
        <v>-6572</v>
      </c>
      <c r="F15" s="19">
        <f t="shared" si="3"/>
        <v>-0.25096421888723414</v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6">
      <c r="A16" s="28" t="str">
        <v>Kohls - Horsehead</v>
      </c>
      <c r="B16" s="29" t="str">
        <v>NY</v>
      </c>
      <c r="C16" s="24">
        <v>35520</v>
      </c>
      <c r="D16" s="13">
        <v>47648</v>
      </c>
      <c r="E16" s="13">
        <f t="shared" si="0"/>
        <v>-12128</v>
      </c>
      <c r="F16" s="14">
        <f t="shared" si="3"/>
        <v>-0.25453324378777703</v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6">
      <c r="A17" s="30" t="str">
        <v>Kohls - Hudson</v>
      </c>
      <c r="B17" s="31" t="str">
        <v>NY</v>
      </c>
      <c r="C17" s="11">
        <v>30045</v>
      </c>
      <c r="D17" s="18">
        <v>40596</v>
      </c>
      <c r="E17" s="18">
        <f t="shared" si="0"/>
        <v>-10551</v>
      </c>
      <c r="F17" s="19">
        <f t="shared" si="3"/>
        <v>-0.25990245344368901</v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37669</v>
      </c>
      <c r="D18" s="13">
        <v>53101</v>
      </c>
      <c r="E18" s="13">
        <f t="shared" si="0"/>
        <v>-15432</v>
      </c>
      <c r="F18" s="19">
        <f t="shared" si="3"/>
        <v>-0.29061599593227999</v>
      </c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9.1">
      <c r="A19" s="30" t="str">
        <v>Kohls - Kingston</v>
      </c>
      <c r="B19" s="31" t="str">
        <v>NY</v>
      </c>
      <c r="C19" s="11">
        <v>52599</v>
      </c>
      <c r="D19" s="18">
        <v>74380</v>
      </c>
      <c r="E19" s="18">
        <f t="shared" si="0"/>
        <v>-21781</v>
      </c>
      <c r="F19" s="19">
        <f t="shared" si="3"/>
        <v>-0.2928340951868782</v>
      </c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6">
      <c r="A20" s="28" t="str">
        <v>Kohls - Mechanicsburg</v>
      </c>
      <c r="B20" s="29" t="str">
        <v>PA</v>
      </c>
      <c r="C20" s="24">
        <v>46986</v>
      </c>
      <c r="D20" s="13">
        <v>60815</v>
      </c>
      <c r="E20" s="13">
        <f t="shared" si="0"/>
        <v>-13829</v>
      </c>
      <c r="F20" s="19">
        <f t="shared" si="3"/>
        <v>-0.22739455726383292</v>
      </c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9.1">
      <c r="A21" s="30" t="str">
        <v>Kohls - Middletown</v>
      </c>
      <c r="B21" s="31" t="str">
        <v>NJ</v>
      </c>
      <c r="C21" s="11">
        <v>56041</v>
      </c>
      <c r="D21" s="18">
        <v>87832</v>
      </c>
      <c r="E21" s="18">
        <f t="shared" si="0"/>
        <v>-31791</v>
      </c>
      <c r="F21" s="19">
        <f t="shared" si="3"/>
        <v>-0.36195236360324257</v>
      </c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6">
      <c r="A22" s="28" t="str">
        <v>Kohls - North Amherst</v>
      </c>
      <c r="B22" s="29" t="str">
        <v>NY</v>
      </c>
      <c r="C22" s="24">
        <v>35813</v>
      </c>
      <c r="D22" s="13">
        <v>57912</v>
      </c>
      <c r="E22" s="13">
        <f t="shared" si="0"/>
        <v>-22099</v>
      </c>
      <c r="F22" s="19">
        <f t="shared" si="3"/>
        <v>-0.38159621494681584</v>
      </c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>
        <v>38451.599999999999</v>
      </c>
      <c r="D23" s="18">
        <v>55832</v>
      </c>
      <c r="E23" s="18">
        <f t="shared" si="0"/>
        <v>-17380.400000000001</v>
      </c>
      <c r="F23" s="19">
        <f t="shared" si="3"/>
        <v>-0.3112981802550509</v>
      </c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6">
      <c r="A24" s="28" t="str">
        <v>Kohls - Warminster</v>
      </c>
      <c r="B24" s="29" t="str">
        <v>PA</v>
      </c>
      <c r="C24" s="24">
        <v>45580</v>
      </c>
      <c r="D24" s="13">
        <v>57957</v>
      </c>
      <c r="E24" s="13">
        <f t="shared" si="0"/>
        <v>-12377</v>
      </c>
      <c r="F24" s="19">
        <f t="shared" si="3"/>
        <v>-0.21355487689148853</v>
      </c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>
        <v>42079</v>
      </c>
      <c r="D25" s="18">
        <v>51892</v>
      </c>
      <c r="E25" s="18">
        <f t="shared" si="0"/>
        <v>-9813</v>
      </c>
      <c r="F25" s="19">
        <f t="shared" si="3"/>
        <v>-0.18910429353272182</v>
      </c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>
        <v>51983</v>
      </c>
      <c r="D26" s="13">
        <v>68154</v>
      </c>
      <c r="E26" s="13">
        <f t="shared" ref="E26:E68" si="6">IF(AND(ISNUMBER(C26),ISNUMBER(D26)), C26-D26, "")</f>
        <v>-16171</v>
      </c>
      <c r="F26" s="19">
        <f t="shared" si="3"/>
        <v>-0.23727147342782523</v>
      </c>
      <c r="G26" s="15">
        <v>39805.199999999997</v>
      </c>
      <c r="H26" s="15">
        <f t="shared" ref="H26:H68" si="7">IF(AND(ISNUMBER(C26),ISNUMBER(G26)), C26-G26, "")</f>
        <v>12177.800000000003</v>
      </c>
      <c r="I26" s="16">
        <f t="shared" ref="I26:I68" si="8">IFERROR(H26/G26, "")</f>
        <v>0.30593490297750053</v>
      </c>
      <c r="J26" s="41"/>
      <c r="K26" s="41"/>
    </row>
    <row r="27" spans="1:11" ht="15.6">
      <c r="A27" s="30" t="str">
        <v>CSU - Bakersfield</v>
      </c>
      <c r="B27" s="31" t="str">
        <v>CA</v>
      </c>
      <c r="C27" s="11">
        <v>193117</v>
      </c>
      <c r="D27" s="18">
        <v>281303</v>
      </c>
      <c r="E27" s="18">
        <f t="shared" si="6"/>
        <v>-88186</v>
      </c>
      <c r="F27" s="19">
        <f t="shared" si="3"/>
        <v>-0.31349114655727101</v>
      </c>
      <c r="G27" s="20">
        <v>172668.4</v>
      </c>
      <c r="H27" s="20">
        <f t="shared" si="7"/>
        <v>20448.600000000006</v>
      </c>
      <c r="I27" s="19">
        <f t="shared" si="8"/>
        <v>0.1184269964857496</v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>
        <v>16977</v>
      </c>
      <c r="D28" s="13">
        <v>0</v>
      </c>
      <c r="E28" s="13">
        <f t="shared" si="6"/>
        <v>16977</v>
      </c>
      <c r="F28" s="19" t="str">
        <f t="shared" si="3"/>
        <v/>
      </c>
      <c r="G28" s="15">
        <v>17050.27</v>
      </c>
      <c r="H28" s="15">
        <f t="shared" si="7"/>
        <v>-73.270000000000437</v>
      </c>
      <c r="I28" s="16">
        <f t="shared" si="8"/>
        <v>-4.2972926528436458E-3</v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>
        <v>47997</v>
      </c>
      <c r="D29" s="18">
        <v>67827</v>
      </c>
      <c r="E29" s="18">
        <f t="shared" si="6"/>
        <v>-19830</v>
      </c>
      <c r="F29" s="19">
        <f t="shared" si="3"/>
        <v>-0.29236144898049449</v>
      </c>
      <c r="G29" s="20">
        <v>45103.62</v>
      </c>
      <c r="H29" s="20">
        <f t="shared" si="7"/>
        <v>2893.3799999999974</v>
      </c>
      <c r="I29" s="19">
        <f t="shared" si="8"/>
        <v>6.4149618145949203E-2</v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>
        <v>29058</v>
      </c>
      <c r="D30" s="13">
        <v>44497</v>
      </c>
      <c r="E30" s="13">
        <f t="shared" si="6"/>
        <v>-15439</v>
      </c>
      <c r="F30" s="19">
        <f t="shared" si="3"/>
        <v>-0.34696721127267005</v>
      </c>
      <c r="G30" s="15">
        <v>30657.17</v>
      </c>
      <c r="H30" s="15">
        <f t="shared" si="7"/>
        <v>-1599.1699999999983</v>
      </c>
      <c r="I30" s="16">
        <f t="shared" si="8"/>
        <v>-5.2163001346830065E-2</v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>
        <v>29328</v>
      </c>
      <c r="D31" s="18">
        <v>69516</v>
      </c>
      <c r="E31" s="18">
        <f t="shared" si="6"/>
        <v>-40188</v>
      </c>
      <c r="F31" s="19">
        <f t="shared" si="3"/>
        <v>-0.57811151389608151</v>
      </c>
      <c r="G31" s="20">
        <v>46911.39</v>
      </c>
      <c r="H31" s="20">
        <f t="shared" si="7"/>
        <v>-17583.39</v>
      </c>
      <c r="I31" s="19">
        <f t="shared" si="8"/>
        <v>-0.37482133869834172</v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>
        <v>22165</v>
      </c>
      <c r="D32" s="13">
        <v>42362</v>
      </c>
      <c r="E32" s="13">
        <f t="shared" si="6"/>
        <v>-20197</v>
      </c>
      <c r="F32" s="19">
        <f t="shared" si="3"/>
        <v>-0.47677163495585667</v>
      </c>
      <c r="G32" s="15">
        <v>28639.279999999999</v>
      </c>
      <c r="H32" s="15">
        <f t="shared" si="7"/>
        <v>-6474.2799999999988</v>
      </c>
      <c r="I32" s="16">
        <f t="shared" si="8"/>
        <v>-0.22606294571651239</v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>
        <v>21381</v>
      </c>
      <c r="D33" s="18">
        <v>30863</v>
      </c>
      <c r="E33" s="18">
        <f t="shared" si="6"/>
        <v>-9482</v>
      </c>
      <c r="F33" s="19">
        <f t="shared" si="3"/>
        <v>-0.3072287204743544</v>
      </c>
      <c r="G33" s="20">
        <v>20484.400000000001</v>
      </c>
      <c r="H33" s="20">
        <f t="shared" si="7"/>
        <v>896.59999999999854</v>
      </c>
      <c r="I33" s="19">
        <f t="shared" si="8"/>
        <v>4.3769893187010529E-2</v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>
        <v>8421</v>
      </c>
      <c r="D34" s="13">
        <v>33539</v>
      </c>
      <c r="E34" s="13">
        <f t="shared" si="6"/>
        <v>-25118</v>
      </c>
      <c r="F34" s="19">
        <f t="shared" si="3"/>
        <v>-0.74891916872894237</v>
      </c>
      <c r="G34" s="15">
        <v>22530.06</v>
      </c>
      <c r="H34" s="15">
        <f t="shared" si="7"/>
        <v>-14109.060000000001</v>
      </c>
      <c r="I34" s="16">
        <f t="shared" si="8"/>
        <v>-0.62623268646421715</v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>
        <v>47121</v>
      </c>
      <c r="D35" s="18">
        <v>76312</v>
      </c>
      <c r="E35" s="18">
        <f t="shared" si="6"/>
        <v>-29191</v>
      </c>
      <c r="F35" s="19">
        <f t="shared" si="3"/>
        <v>-0.38252175280427719</v>
      </c>
      <c r="G35" s="20">
        <v>50410.31</v>
      </c>
      <c r="H35" s="20">
        <f t="shared" si="7"/>
        <v>-3289.3099999999977</v>
      </c>
      <c r="I35" s="19">
        <f t="shared" si="8"/>
        <v>-6.5250739382479453E-2</v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>
        <v>51038</v>
      </c>
      <c r="D36" s="13">
        <v>70662</v>
      </c>
      <c r="E36" s="13">
        <f t="shared" si="6"/>
        <v>-19624</v>
      </c>
      <c r="F36" s="19">
        <f t="shared" si="3"/>
        <v>-0.27771645297330955</v>
      </c>
      <c r="G36" s="15">
        <v>47031.73</v>
      </c>
      <c r="H36" s="15">
        <f t="shared" si="7"/>
        <v>4006.2699999999968</v>
      </c>
      <c r="I36" s="16">
        <f t="shared" si="8"/>
        <v>8.5182280133008006E-2</v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6"/>
        <v>0</v>
      </c>
      <c r="F37" s="19" t="str">
        <f t="shared" si="3"/>
        <v/>
      </c>
      <c r="G37" s="20">
        <v>18142.53</v>
      </c>
      <c r="H37" s="20">
        <f t="shared" si="7"/>
        <v>-18142.53</v>
      </c>
      <c r="I37" s="19">
        <f t="shared" si="8"/>
        <v>-1</v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6"/>
        <v>0</v>
      </c>
      <c r="F38" s="19" t="str">
        <f t="shared" si="3"/>
        <v/>
      </c>
      <c r="G38" s="15">
        <v>40920.230000000003</v>
      </c>
      <c r="H38" s="15">
        <f t="shared" si="7"/>
        <v>-40920.230000000003</v>
      </c>
      <c r="I38" s="16">
        <f t="shared" si="8"/>
        <v>-1</v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>
        <v>14898</v>
      </c>
      <c r="D39" s="18">
        <v>22920</v>
      </c>
      <c r="E39" s="18">
        <f t="shared" si="6"/>
        <v>-8022</v>
      </c>
      <c r="F39" s="19">
        <f t="shared" si="3"/>
        <v>-0.35</v>
      </c>
      <c r="G39" s="20">
        <v>15091.01</v>
      </c>
      <c r="H39" s="20">
        <f t="shared" si="7"/>
        <v>-193.01000000000022</v>
      </c>
      <c r="I39" s="19">
        <f t="shared" si="8"/>
        <v>-1.2789733755394782E-2</v>
      </c>
      <c r="J39" s="42"/>
      <c r="K39" s="43"/>
    </row>
    <row r="40" spans="1:11" ht="15.6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6"/>
        <v>0</v>
      </c>
      <c r="F40" s="19" t="str">
        <f t="shared" si="3"/>
        <v/>
      </c>
      <c r="G40" s="15">
        <v>63431.212</v>
      </c>
      <c r="H40" s="15">
        <f t="shared" si="7"/>
        <v>-63431.212</v>
      </c>
      <c r="I40" s="16">
        <f t="shared" si="8"/>
        <v>-1</v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6"/>
        <v/>
      </c>
      <c r="F41" s="19" t="str">
        <f t="shared" si="3"/>
        <v/>
      </c>
      <c r="G41" s="20"/>
      <c r="H41" s="20" t="str">
        <f t="shared" si="7"/>
        <v/>
      </c>
      <c r="I41" s="19" t="str">
        <f t="shared" si="8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>
        <v>7386</v>
      </c>
      <c r="D42" s="13">
        <v>16141</v>
      </c>
      <c r="E42" s="13">
        <f t="shared" si="6"/>
        <v>-8755</v>
      </c>
      <c r="F42" s="19">
        <f t="shared" si="3"/>
        <v>-0.54240753361006133</v>
      </c>
      <c r="G42" s="15">
        <v>10645.12</v>
      </c>
      <c r="H42" s="15">
        <f t="shared" si="7"/>
        <v>-3259.1200000000008</v>
      </c>
      <c r="I42" s="16">
        <f t="shared" si="8"/>
        <v>-0.30616094510912045</v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6"/>
        <v/>
      </c>
      <c r="F43" s="19" t="str">
        <f t="shared" si="3"/>
        <v/>
      </c>
      <c r="G43" s="20"/>
      <c r="H43" s="20" t="str">
        <f t="shared" si="7"/>
        <v/>
      </c>
      <c r="I43" s="19" t="str">
        <f t="shared" si="8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>
        <v>37010</v>
      </c>
      <c r="D44" s="13">
        <v>0</v>
      </c>
      <c r="E44" s="13">
        <f t="shared" si="6"/>
        <v>37010</v>
      </c>
      <c r="F44" s="19" t="str">
        <f t="shared" si="3"/>
        <v/>
      </c>
      <c r="G44" s="15">
        <v>39316.879999999997</v>
      </c>
      <c r="H44" s="15">
        <f t="shared" si="7"/>
        <v>-2306.8799999999974</v>
      </c>
      <c r="I44" s="16">
        <f t="shared" si="8"/>
        <v>-5.8674035172678947E-2</v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>
        <v>38646.9</v>
      </c>
      <c r="D45" s="18">
        <v>0</v>
      </c>
      <c r="E45" s="18">
        <f t="shared" si="6"/>
        <v>38646.9</v>
      </c>
      <c r="F45" s="19" t="str">
        <f t="shared" si="3"/>
        <v/>
      </c>
      <c r="G45" s="20">
        <v>40044.67</v>
      </c>
      <c r="H45" s="20">
        <f t="shared" si="7"/>
        <v>-1397.7699999999968</v>
      </c>
      <c r="I45" s="19">
        <f t="shared" si="8"/>
        <v>-3.4905269540240855E-2</v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>
        <v>52790</v>
      </c>
      <c r="D46" s="13">
        <v>0</v>
      </c>
      <c r="E46" s="13">
        <f t="shared" si="6"/>
        <v>52790</v>
      </c>
      <c r="F46" s="19" t="str">
        <f t="shared" si="3"/>
        <v/>
      </c>
      <c r="G46" s="15">
        <v>53803.76</v>
      </c>
      <c r="H46" s="15">
        <f t="shared" si="7"/>
        <v>-1013.760000000002</v>
      </c>
      <c r="I46" s="16">
        <f t="shared" si="8"/>
        <v>-1.8841805851486995E-2</v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>
        <v>80877</v>
      </c>
      <c r="D47" s="18">
        <v>138654</v>
      </c>
      <c r="E47" s="18">
        <f t="shared" si="6"/>
        <v>-57777</v>
      </c>
      <c r="F47" s="19">
        <f t="shared" si="3"/>
        <v>-0.41669912155437278</v>
      </c>
      <c r="G47" s="20">
        <v>87870.93</v>
      </c>
      <c r="H47" s="20">
        <f t="shared" si="7"/>
        <v>-6993.929999999993</v>
      </c>
      <c r="I47" s="19">
        <f t="shared" si="8"/>
        <v>-7.9593217005897096E-2</v>
      </c>
      <c r="J47" s="42"/>
      <c r="K47" s="43"/>
    </row>
    <row r="48" spans="1:11" ht="15.6">
      <c r="A48" s="28" t="str">
        <v>CADRB</v>
      </c>
      <c r="B48" s="29" t="str">
        <v>CA</v>
      </c>
      <c r="C48" s="24">
        <v>719945</v>
      </c>
      <c r="D48" s="13">
        <v>937404</v>
      </c>
      <c r="E48" s="13">
        <f t="shared" si="6"/>
        <v>-217459</v>
      </c>
      <c r="F48" s="19">
        <f t="shared" si="3"/>
        <v>-0.23198002142086016</v>
      </c>
      <c r="G48" s="15">
        <v>911277</v>
      </c>
      <c r="H48" s="15">
        <f t="shared" si="7"/>
        <v>-191332</v>
      </c>
      <c r="I48" s="16">
        <f t="shared" si="8"/>
        <v>-0.20996030844627922</v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6"/>
        <v/>
      </c>
      <c r="F49" s="19" t="str">
        <f t="shared" si="3"/>
        <v/>
      </c>
      <c r="G49" s="20"/>
      <c r="H49" s="20" t="str">
        <f t="shared" si="7"/>
        <v/>
      </c>
      <c r="I49" s="19" t="str">
        <f t="shared" si="8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6"/>
        <v/>
      </c>
      <c r="F50" s="19" t="str">
        <f t="shared" si="3"/>
        <v/>
      </c>
      <c r="G50" s="15"/>
      <c r="H50" s="15" t="str">
        <f t="shared" si="7"/>
        <v/>
      </c>
      <c r="I50" s="16" t="str">
        <f t="shared" si="8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>
        <v>37223</v>
      </c>
      <c r="D51" s="18">
        <v>56699</v>
      </c>
      <c r="E51" s="18">
        <f t="shared" si="6"/>
        <v>-19476</v>
      </c>
      <c r="F51" s="19">
        <f t="shared" si="3"/>
        <v>-0.34349812165999399</v>
      </c>
      <c r="G51" s="20">
        <v>37613.85</v>
      </c>
      <c r="H51" s="20">
        <f t="shared" si="7"/>
        <v>-390.84999999999854</v>
      </c>
      <c r="I51" s="19">
        <f t="shared" si="8"/>
        <v>-1.0391119228688331E-2</v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6"/>
        <v/>
      </c>
      <c r="F52" s="19" t="str">
        <f t="shared" si="3"/>
        <v/>
      </c>
      <c r="G52" s="15"/>
      <c r="H52" s="15" t="str">
        <f t="shared" si="7"/>
        <v/>
      </c>
      <c r="I52" s="16" t="str">
        <f t="shared" si="8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>
        <v>48592</v>
      </c>
      <c r="D53" s="18">
        <v>75540</v>
      </c>
      <c r="E53" s="18">
        <f t="shared" si="6"/>
        <v>-26948</v>
      </c>
      <c r="F53" s="19">
        <f t="shared" si="3"/>
        <v>-0.35673815197246495</v>
      </c>
      <c r="G53" s="20">
        <v>49423.22</v>
      </c>
      <c r="H53" s="20">
        <f t="shared" si="7"/>
        <v>-831.22000000000116</v>
      </c>
      <c r="I53" s="19">
        <f t="shared" si="8"/>
        <v>-1.6818410455652244E-2</v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6"/>
        <v/>
      </c>
      <c r="F54" s="19" t="str">
        <f t="shared" si="3"/>
        <v/>
      </c>
      <c r="G54" s="15"/>
      <c r="H54" s="15" t="str">
        <f t="shared" si="7"/>
        <v/>
      </c>
      <c r="I54" s="16" t="str">
        <f t="shared" si="8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6"/>
        <v>0</v>
      </c>
      <c r="F55" s="19" t="str">
        <f t="shared" si="3"/>
        <v/>
      </c>
      <c r="G55" s="20">
        <v>27108.78</v>
      </c>
      <c r="H55" s="20">
        <f t="shared" si="7"/>
        <v>-27108.78</v>
      </c>
      <c r="I55" s="19">
        <f t="shared" si="8"/>
        <v>-1</v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>
        <v>77115</v>
      </c>
      <c r="D56" s="13">
        <v>117419</v>
      </c>
      <c r="E56" s="13">
        <f t="shared" si="6"/>
        <v>-40304</v>
      </c>
      <c r="F56" s="19">
        <f t="shared" si="3"/>
        <v>-0.34324938894046109</v>
      </c>
      <c r="G56" s="15">
        <v>81595.100000000006</v>
      </c>
      <c r="H56" s="15">
        <f t="shared" si="7"/>
        <v>-4480.1000000000058</v>
      </c>
      <c r="I56" s="16">
        <f t="shared" si="8"/>
        <v>-5.4906483355005455E-2</v>
      </c>
      <c r="J56" s="41"/>
      <c r="K56" s="41"/>
    </row>
    <row r="57" spans="1:11" ht="15.6">
      <c r="A57" s="30" t="str">
        <v>Kohls - Redding</v>
      </c>
      <c r="B57" s="31" t="str">
        <v>CA</v>
      </c>
      <c r="C57" s="11">
        <v>57117</v>
      </c>
      <c r="D57" s="18">
        <v>0</v>
      </c>
      <c r="E57" s="18">
        <f t="shared" si="6"/>
        <v>57117</v>
      </c>
      <c r="F57" s="19" t="str">
        <f t="shared" si="3"/>
        <v/>
      </c>
      <c r="G57" s="20">
        <v>36586.61</v>
      </c>
      <c r="H57" s="20">
        <f t="shared" si="7"/>
        <v>20530.39</v>
      </c>
      <c r="I57" s="19">
        <f t="shared" si="8"/>
        <v>0.56114491066540462</v>
      </c>
      <c r="J57" s="42"/>
      <c r="K57" s="43"/>
    </row>
    <row r="58" spans="1:11" ht="15.6">
      <c r="A58" s="28" t="str">
        <v>Kohls - Salinas</v>
      </c>
      <c r="B58" s="29" t="str">
        <v>CA</v>
      </c>
      <c r="C58" s="24">
        <v>41446</v>
      </c>
      <c r="D58" s="13">
        <v>73729</v>
      </c>
      <c r="E58" s="13">
        <f t="shared" si="6"/>
        <v>-32283</v>
      </c>
      <c r="F58" s="19">
        <f t="shared" si="3"/>
        <v>-0.43786027207747291</v>
      </c>
      <c r="G58" s="15">
        <v>53974.02</v>
      </c>
      <c r="H58" s="15">
        <f t="shared" si="7"/>
        <v>-12528.019999999997</v>
      </c>
      <c r="I58" s="16">
        <f t="shared" si="8"/>
        <v>-0.23211204205282462</v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6"/>
        <v/>
      </c>
      <c r="F59" s="19" t="str">
        <f t="shared" si="3"/>
        <v/>
      </c>
      <c r="G59" s="20"/>
      <c r="H59" s="20" t="str">
        <f t="shared" si="7"/>
        <v/>
      </c>
      <c r="I59" s="19" t="str">
        <f t="shared" si="8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>
        <v>36373</v>
      </c>
      <c r="D60" s="13">
        <v>54646</v>
      </c>
      <c r="E60" s="13">
        <f t="shared" si="6"/>
        <v>-18273</v>
      </c>
      <c r="F60" s="19">
        <f t="shared" si="3"/>
        <v>-0.33438861032829487</v>
      </c>
      <c r="G60" s="15">
        <v>38786.129999999997</v>
      </c>
      <c r="H60" s="15">
        <f t="shared" si="7"/>
        <v>-2413.1299999999974</v>
      </c>
      <c r="I60" s="16">
        <f t="shared" si="8"/>
        <v>-6.2216312893294524E-2</v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>
        <v>17344</v>
      </c>
      <c r="D61" s="18">
        <v>36949</v>
      </c>
      <c r="E61" s="18">
        <f t="shared" si="6"/>
        <v>-19605</v>
      </c>
      <c r="F61" s="19">
        <f t="shared" si="3"/>
        <v>-0.53059622723213073</v>
      </c>
      <c r="G61" s="20">
        <v>26448.29</v>
      </c>
      <c r="H61" s="20">
        <f t="shared" si="7"/>
        <v>-9104.2900000000009</v>
      </c>
      <c r="I61" s="19">
        <f t="shared" si="8"/>
        <v>-0.34422981599188457</v>
      </c>
      <c r="J61" s="42"/>
      <c r="K61" s="43"/>
    </row>
    <row r="62" spans="1:11" ht="15.6">
      <c r="A62" s="28" t="str">
        <v>Taft - City Hall</v>
      </c>
      <c r="B62" s="29" t="str">
        <v>CA</v>
      </c>
      <c r="C62" s="24">
        <v>8308</v>
      </c>
      <c r="D62" s="13">
        <v>55702</v>
      </c>
      <c r="E62" s="13">
        <f t="shared" si="6"/>
        <v>-47394</v>
      </c>
      <c r="F62" s="19">
        <f t="shared" si="3"/>
        <v>-0.85084916160999602</v>
      </c>
      <c r="G62" s="15">
        <v>11324.05</v>
      </c>
      <c r="H62" s="15">
        <f t="shared" si="7"/>
        <v>-3016.0499999999993</v>
      </c>
      <c r="I62" s="16">
        <f t="shared" si="8"/>
        <v>-0.26634022280014652</v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>
        <v>20123</v>
      </c>
      <c r="D63" s="18">
        <v>27265</v>
      </c>
      <c r="E63" s="18">
        <f t="shared" si="6"/>
        <v>-7142</v>
      </c>
      <c r="F63" s="19">
        <f t="shared" si="3"/>
        <v>-0.26194755180634516</v>
      </c>
      <c r="G63" s="20">
        <v>17490.689999999999</v>
      </c>
      <c r="H63" s="20">
        <f t="shared" si="7"/>
        <v>2632.3100000000013</v>
      </c>
      <c r="I63" s="19">
        <f t="shared" si="8"/>
        <v>0.15049777910419782</v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>
        <v>14828</v>
      </c>
      <c r="D64" s="13">
        <v>20122</v>
      </c>
      <c r="E64" s="13">
        <f t="shared" si="6"/>
        <v>-5294</v>
      </c>
      <c r="F64" s="19">
        <f t="shared" si="3"/>
        <v>-0.26309511976940664</v>
      </c>
      <c r="G64" s="15">
        <v>12951.88</v>
      </c>
      <c r="H64" s="15">
        <f t="shared" si="7"/>
        <v>1876.1200000000008</v>
      </c>
      <c r="I64" s="16">
        <f t="shared" si="8"/>
        <v>0.14485310240675492</v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6"/>
        <v/>
      </c>
      <c r="F65" s="19" t="str">
        <f t="shared" si="3"/>
        <v/>
      </c>
      <c r="G65" s="20"/>
      <c r="H65" s="20" t="str">
        <f t="shared" si="7"/>
        <v/>
      </c>
      <c r="I65" s="19" t="str">
        <f t="shared" si="8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6"/>
        <v/>
      </c>
      <c r="F66" s="19" t="str">
        <f t="shared" si="3"/>
        <v/>
      </c>
      <c r="G66" s="15"/>
      <c r="H66" s="15" t="str">
        <f t="shared" si="7"/>
        <v/>
      </c>
      <c r="I66" s="16" t="str">
        <f t="shared" si="8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>
        <v>1</v>
      </c>
      <c r="D67" s="18">
        <v>0</v>
      </c>
      <c r="E67" s="18">
        <f t="shared" si="6"/>
        <v>1</v>
      </c>
      <c r="F67" s="19" t="str">
        <f t="shared" si="3"/>
        <v/>
      </c>
      <c r="G67" s="20">
        <v>389551.478</v>
      </c>
      <c r="H67" s="20">
        <f t="shared" si="7"/>
        <v>-389550.478</v>
      </c>
      <c r="I67" s="19">
        <f t="shared" si="8"/>
        <v>-0.99999743294517807</v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>
        <v>0</v>
      </c>
      <c r="D68" s="13">
        <v>0</v>
      </c>
      <c r="E68" s="13">
        <f t="shared" si="6"/>
        <v>0</v>
      </c>
      <c r="F68" s="19" t="str">
        <f t="shared" si="3"/>
        <v/>
      </c>
      <c r="G68" s="15">
        <v>36541.19</v>
      </c>
      <c r="H68" s="15">
        <f t="shared" si="7"/>
        <v>-36541.19</v>
      </c>
      <c r="I68" s="16">
        <f t="shared" si="8"/>
        <v>-1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I4:I100 F4:F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5" zoomScaleNormal="85" workbookViewId="0">
      <pane xSplit="2" ySplit="3" topLeftCell="C44" activePane="bottomRight" state="frozen"/>
      <selection pane="bottomRight" activeCell="E73" sqref="E73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63</v>
      </c>
      <c r="E1" s="100"/>
      <c r="F1" s="100"/>
      <c r="G1" s="98" t="s">
        <v>64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3086264.1</v>
      </c>
      <c r="D2" s="5">
        <f>SUM(D4:D100)</f>
        <v>4857799.1109999996</v>
      </c>
      <c r="E2" s="5">
        <f>C2-D2</f>
        <v>-1771535.0109999995</v>
      </c>
      <c r="F2" s="6">
        <f>IFERROR(E2/D2, 0)</f>
        <v>-0.36467852427008268</v>
      </c>
      <c r="G2" s="5">
        <f>SUM(G4:G100)</f>
        <v>3997813.1070000003</v>
      </c>
      <c r="H2" s="7">
        <f>C2-G2</f>
        <v>-911549.00700000022</v>
      </c>
      <c r="I2" s="6">
        <f>IFERROR(H2/G2, 0)</f>
        <v>-0.22801191116310984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38861</v>
      </c>
      <c r="D4" s="13">
        <v>51953</v>
      </c>
      <c r="E4" s="13">
        <f>IF(AND(ISNUMBER(C4),ISNUMBER(D4)), C4-D4, "")</f>
        <v>-13092</v>
      </c>
      <c r="F4" s="14">
        <f>IFERROR(E4/D4, "")</f>
        <v>-0.2519969972860085</v>
      </c>
      <c r="G4" s="15">
        <v>36643.379999999997</v>
      </c>
      <c r="H4" s="15">
        <f>IF(AND(ISNUMBER(C4),ISNUMBER(G4)), C4-G4, "")</f>
        <v>2217.6200000000026</v>
      </c>
      <c r="I4" s="16">
        <f>IFERROR(H4/G4, "")</f>
        <v>6.0518980508894177E-2</v>
      </c>
      <c r="J4" s="57"/>
      <c r="K4" s="57"/>
    </row>
    <row r="5" spans="1:11" ht="15.6">
      <c r="A5" s="30" t="str">
        <v>Kohls - Auburn</v>
      </c>
      <c r="B5" s="31" t="str">
        <v>NY</v>
      </c>
      <c r="C5" s="11">
        <v>38967</v>
      </c>
      <c r="D5" s="18">
        <v>53746</v>
      </c>
      <c r="E5" s="18">
        <f t="shared" ref="E5:E25" si="0">IF(AND(ISNUMBER(C5),ISNUMBER(D5)), C5-D5, "")</f>
        <v>-14779</v>
      </c>
      <c r="F5" s="19">
        <f>IFERROR(E5/D5, "")</f>
        <v>-0.27497860305883226</v>
      </c>
      <c r="G5" s="20">
        <v>43849.01</v>
      </c>
      <c r="H5" s="20">
        <f t="shared" ref="H5:H25" si="1">IF(AND(ISNUMBER(C5),ISNUMBER(G5)), C5-G5, "")</f>
        <v>-4882.010000000002</v>
      </c>
      <c r="I5" s="19">
        <f t="shared" ref="I5:I25" si="2">IFERROR(H5/G5, "")</f>
        <v>-0.11133683519878788</v>
      </c>
      <c r="J5" s="61"/>
      <c r="K5" s="61"/>
    </row>
    <row r="6" spans="1:11" ht="15.6">
      <c r="A6" s="28" t="str">
        <v>Kohls - Bensalem</v>
      </c>
      <c r="B6" s="29" t="str">
        <v>PA</v>
      </c>
      <c r="C6" s="24">
        <v>48041</v>
      </c>
      <c r="D6" s="13">
        <v>62725</v>
      </c>
      <c r="E6" s="13">
        <f t="shared" si="0"/>
        <v>-14684</v>
      </c>
      <c r="F6" s="14">
        <f t="shared" ref="F6:F68" si="3">IFERROR(E6/D6, "")</f>
        <v>-0.23410123555201276</v>
      </c>
      <c r="G6" s="15">
        <v>39083.82</v>
      </c>
      <c r="H6" s="15">
        <f t="shared" si="1"/>
        <v>8957.18</v>
      </c>
      <c r="I6" s="16">
        <f t="shared" si="2"/>
        <v>0.22917872408582377</v>
      </c>
      <c r="J6" s="57"/>
      <c r="K6" s="57"/>
    </row>
    <row r="7" spans="1:11" ht="15.6">
      <c r="A7" s="30" t="str">
        <v>Kohls - Brick</v>
      </c>
      <c r="B7" s="31" t="str">
        <v>NJ</v>
      </c>
      <c r="C7" s="11">
        <v>55066</v>
      </c>
      <c r="D7" s="18">
        <v>78720</v>
      </c>
      <c r="E7" s="18">
        <f t="shared" si="0"/>
        <v>-23654</v>
      </c>
      <c r="F7" s="19">
        <f t="shared" si="3"/>
        <v>-0.30048272357723577</v>
      </c>
      <c r="G7" s="20">
        <v>47157.06</v>
      </c>
      <c r="H7" s="20">
        <f t="shared" si="1"/>
        <v>7908.9400000000023</v>
      </c>
      <c r="I7" s="19">
        <f t="shared" si="2"/>
        <v>0.16771486602430269</v>
      </c>
      <c r="J7" s="61"/>
      <c r="K7" s="62"/>
    </row>
    <row r="8" spans="1:11" ht="29.1">
      <c r="A8" s="28" t="str">
        <v>Kohls - Buffalo</v>
      </c>
      <c r="B8" s="29" t="str">
        <v>NY</v>
      </c>
      <c r="C8" s="24">
        <v>32840</v>
      </c>
      <c r="D8" s="13">
        <v>0</v>
      </c>
      <c r="E8" s="13">
        <f t="shared" si="0"/>
        <v>32840</v>
      </c>
      <c r="F8" s="14" t="str">
        <f t="shared" si="3"/>
        <v/>
      </c>
      <c r="G8" s="15">
        <v>51474.12</v>
      </c>
      <c r="H8" s="15">
        <f t="shared" si="1"/>
        <v>-18634.120000000003</v>
      </c>
      <c r="I8" s="16">
        <f t="shared" si="2"/>
        <v>-0.36200949137158639</v>
      </c>
      <c r="J8" s="57" t="s">
        <v>65</v>
      </c>
      <c r="K8" s="57" t="s">
        <v>66</v>
      </c>
    </row>
    <row r="9" spans="1:11" ht="15.6">
      <c r="A9" s="30" t="str">
        <v>Kohls - Canton</v>
      </c>
      <c r="B9" s="31" t="str">
        <v>CT</v>
      </c>
      <c r="C9" s="11">
        <v>18924</v>
      </c>
      <c r="D9" s="18">
        <v>23976</v>
      </c>
      <c r="E9" s="18">
        <f t="shared" si="0"/>
        <v>-5052</v>
      </c>
      <c r="F9" s="19">
        <f t="shared" si="3"/>
        <v>-0.21071071071071071</v>
      </c>
      <c r="G9" s="20">
        <v>16604.86</v>
      </c>
      <c r="H9" s="20">
        <f t="shared" si="1"/>
        <v>2319.1399999999994</v>
      </c>
      <c r="I9" s="19">
        <f t="shared" si="2"/>
        <v>0.13966633865025055</v>
      </c>
      <c r="J9" s="61"/>
      <c r="K9" s="62"/>
    </row>
    <row r="10" spans="1:11" ht="15.6">
      <c r="A10" s="28" t="str">
        <v>Kohls - East Amherst</v>
      </c>
      <c r="B10" s="29" t="str">
        <v>NY</v>
      </c>
      <c r="C10" s="24">
        <v>42273</v>
      </c>
      <c r="D10" s="13">
        <v>56272</v>
      </c>
      <c r="E10" s="13">
        <f t="shared" si="0"/>
        <v>-13999</v>
      </c>
      <c r="F10" s="14">
        <f t="shared" si="3"/>
        <v>-0.24877381290872902</v>
      </c>
      <c r="G10" s="15">
        <v>46235.35</v>
      </c>
      <c r="H10" s="15">
        <f t="shared" si="1"/>
        <v>-3962.3499999999985</v>
      </c>
      <c r="I10" s="16">
        <f t="shared" si="2"/>
        <v>-8.5699578352926895E-2</v>
      </c>
      <c r="J10" s="57" t="s">
        <v>67</v>
      </c>
      <c r="K10" s="57" t="s">
        <v>68</v>
      </c>
    </row>
    <row r="11" spans="1:11" ht="15.6">
      <c r="A11" s="30" t="str">
        <v>Kohls - East Brunswick</v>
      </c>
      <c r="B11" s="31" t="str">
        <v>NJ</v>
      </c>
      <c r="C11" s="11">
        <v>56556</v>
      </c>
      <c r="D11" s="18">
        <v>81874</v>
      </c>
      <c r="E11" s="18">
        <f t="shared" si="0"/>
        <v>-25318</v>
      </c>
      <c r="F11" s="19">
        <f t="shared" si="3"/>
        <v>-0.30923125778635463</v>
      </c>
      <c r="G11" s="20">
        <v>61984.13</v>
      </c>
      <c r="H11" s="20">
        <f t="shared" si="1"/>
        <v>-5428.1299999999974</v>
      </c>
      <c r="I11" s="19">
        <f t="shared" si="2"/>
        <v>-8.7572899708360796E-2</v>
      </c>
      <c r="J11" s="61"/>
      <c r="K11" s="62"/>
    </row>
    <row r="12" spans="1:11" ht="87">
      <c r="A12" s="28" t="str">
        <v>Kohls - Edgewood</v>
      </c>
      <c r="B12" s="29" t="str">
        <v>MD</v>
      </c>
      <c r="C12" s="24">
        <v>293146</v>
      </c>
      <c r="D12" s="13">
        <v>499635</v>
      </c>
      <c r="E12" s="13">
        <f t="shared" si="0"/>
        <v>-206489</v>
      </c>
      <c r="F12" s="14">
        <f t="shared" si="3"/>
        <v>-0.41327969417674904</v>
      </c>
      <c r="G12" s="15">
        <v>327528.96000000002</v>
      </c>
      <c r="H12" s="15">
        <f t="shared" si="1"/>
        <v>-34382.960000000021</v>
      </c>
      <c r="I12" s="16">
        <f t="shared" si="2"/>
        <v>-0.10497685456577648</v>
      </c>
      <c r="J12" s="57" t="s">
        <v>69</v>
      </c>
      <c r="K12" s="57" t="s">
        <v>70</v>
      </c>
    </row>
    <row r="13" spans="1:11" ht="15.6">
      <c r="A13" s="30" t="str">
        <v>Kohls - Granite Run</v>
      </c>
      <c r="B13" s="31" t="str">
        <v>PA</v>
      </c>
      <c r="C13" s="11">
        <v>45726</v>
      </c>
      <c r="D13" s="18">
        <v>62397</v>
      </c>
      <c r="E13" s="18">
        <f t="shared" si="0"/>
        <v>-16671</v>
      </c>
      <c r="F13" s="19">
        <f t="shared" si="3"/>
        <v>-0.26717630655319968</v>
      </c>
      <c r="G13" s="20">
        <v>38743.379999999997</v>
      </c>
      <c r="H13" s="20">
        <f t="shared" si="1"/>
        <v>6982.6200000000026</v>
      </c>
      <c r="I13" s="19">
        <f t="shared" si="2"/>
        <v>0.1802274349837315</v>
      </c>
      <c r="J13" s="61"/>
      <c r="K13" s="62"/>
    </row>
    <row r="14" spans="1:11" ht="15.6">
      <c r="A14" s="28" t="str">
        <v>Kohls - Greece</v>
      </c>
      <c r="B14" s="29" t="str">
        <v>NY</v>
      </c>
      <c r="C14" s="24">
        <v>38251</v>
      </c>
      <c r="D14" s="13">
        <v>28336</v>
      </c>
      <c r="E14" s="13">
        <f t="shared" si="0"/>
        <v>9915</v>
      </c>
      <c r="F14" s="14">
        <f t="shared" si="3"/>
        <v>0.34990824392998304</v>
      </c>
      <c r="G14" s="15">
        <v>50364.84</v>
      </c>
      <c r="H14" s="15">
        <f t="shared" si="1"/>
        <v>-12113.839999999997</v>
      </c>
      <c r="I14" s="16">
        <f t="shared" si="2"/>
        <v>-0.24052176081568008</v>
      </c>
      <c r="J14" s="57"/>
      <c r="K14" s="57"/>
    </row>
    <row r="15" spans="1:11" ht="15.6">
      <c r="A15" s="30" t="str">
        <v>Kohls - Hanover</v>
      </c>
      <c r="B15" s="31" t="str">
        <v>PA</v>
      </c>
      <c r="C15" s="11">
        <v>46174</v>
      </c>
      <c r="D15" s="18">
        <v>66584</v>
      </c>
      <c r="E15" s="18">
        <f t="shared" si="0"/>
        <v>-20410</v>
      </c>
      <c r="F15" s="19">
        <f t="shared" si="3"/>
        <v>-0.30653009732067765</v>
      </c>
      <c r="G15" s="20">
        <v>44187.78</v>
      </c>
      <c r="H15" s="20">
        <f t="shared" si="1"/>
        <v>1986.2200000000012</v>
      </c>
      <c r="I15" s="19">
        <f t="shared" si="2"/>
        <v>4.4949531295756455E-2</v>
      </c>
      <c r="J15" s="61"/>
      <c r="K15" s="62"/>
    </row>
    <row r="16" spans="1:11" ht="15.6">
      <c r="A16" s="28" t="str">
        <v>Kohls - Horsehead</v>
      </c>
      <c r="B16" s="29" t="str">
        <v>NY</v>
      </c>
      <c r="C16" s="24">
        <v>33985</v>
      </c>
      <c r="D16" s="13">
        <v>46770</v>
      </c>
      <c r="E16" s="13">
        <f t="shared" si="0"/>
        <v>-12785</v>
      </c>
      <c r="F16" s="14">
        <f t="shared" si="3"/>
        <v>-0.27335899080607229</v>
      </c>
      <c r="G16" s="15">
        <v>36727.279999999999</v>
      </c>
      <c r="H16" s="15">
        <f t="shared" si="1"/>
        <v>-2742.2799999999988</v>
      </c>
      <c r="I16" s="16">
        <f t="shared" si="2"/>
        <v>-7.4666024818608914E-2</v>
      </c>
      <c r="J16" s="57"/>
      <c r="K16" s="57"/>
    </row>
    <row r="17" spans="1:11" ht="29.1">
      <c r="A17" s="30" t="str">
        <v>Kohls - Hudson</v>
      </c>
      <c r="B17" s="31" t="str">
        <v>NY</v>
      </c>
      <c r="C17" s="11">
        <v>52488</v>
      </c>
      <c r="D17" s="18">
        <v>95676</v>
      </c>
      <c r="E17" s="18">
        <f t="shared" si="0"/>
        <v>-43188</v>
      </c>
      <c r="F17" s="19">
        <f t="shared" si="3"/>
        <v>-0.45139846983569548</v>
      </c>
      <c r="G17" s="20">
        <v>39160.22</v>
      </c>
      <c r="H17" s="20">
        <f t="shared" si="1"/>
        <v>13327.779999999999</v>
      </c>
      <c r="I17" s="19">
        <f t="shared" si="2"/>
        <v>0.34033976315761244</v>
      </c>
      <c r="J17" s="61" t="s">
        <v>71</v>
      </c>
      <c r="K17" s="61" t="s">
        <v>72</v>
      </c>
    </row>
    <row r="18" spans="1:11" ht="12.75" customHeight="1">
      <c r="A18" s="32" t="str">
        <v>Kohls - Ithaca</v>
      </c>
      <c r="B18" s="29" t="str">
        <v>NY</v>
      </c>
      <c r="C18" s="24">
        <v>35516</v>
      </c>
      <c r="D18" s="13">
        <v>51710</v>
      </c>
      <c r="E18" s="13">
        <f t="shared" si="0"/>
        <v>-16194</v>
      </c>
      <c r="F18" s="19">
        <f t="shared" si="3"/>
        <v>-0.31316959969058211</v>
      </c>
      <c r="G18" s="15">
        <v>41714.35</v>
      </c>
      <c r="H18" s="15">
        <f t="shared" si="1"/>
        <v>-6198.3499999999985</v>
      </c>
      <c r="I18" s="16">
        <f t="shared" si="2"/>
        <v>-0.14859035319979813</v>
      </c>
      <c r="J18" s="57"/>
      <c r="K18" s="57"/>
    </row>
    <row r="19" spans="1:11" ht="15.6">
      <c r="A19" s="30" t="str">
        <v>Kohls - Kingston</v>
      </c>
      <c r="B19" s="31" t="str">
        <v>NY</v>
      </c>
      <c r="C19" s="11">
        <v>57081</v>
      </c>
      <c r="D19" s="18">
        <v>83296</v>
      </c>
      <c r="E19" s="18">
        <f t="shared" si="0"/>
        <v>-26215</v>
      </c>
      <c r="F19" s="19">
        <f t="shared" si="3"/>
        <v>-0.31472099500576256</v>
      </c>
      <c r="G19" s="20">
        <v>62809.233</v>
      </c>
      <c r="H19" s="20">
        <f t="shared" si="1"/>
        <v>-5728.2330000000002</v>
      </c>
      <c r="I19" s="19">
        <f t="shared" si="2"/>
        <v>-9.1200492768316405E-2</v>
      </c>
      <c r="J19" s="61"/>
      <c r="K19" s="61"/>
    </row>
    <row r="20" spans="1:11" ht="15.6">
      <c r="A20" s="28" t="str">
        <v>Kohls - Mechanicsburg</v>
      </c>
      <c r="B20" s="29" t="str">
        <v>PA</v>
      </c>
      <c r="C20" s="24">
        <v>56711</v>
      </c>
      <c r="D20" s="13">
        <v>76832</v>
      </c>
      <c r="E20" s="13">
        <f t="shared" si="0"/>
        <v>-20121</v>
      </c>
      <c r="F20" s="19">
        <f t="shared" si="3"/>
        <v>-0.26188306955435237</v>
      </c>
      <c r="G20" s="15">
        <v>51591.81</v>
      </c>
      <c r="H20" s="15">
        <f t="shared" si="1"/>
        <v>5119.1900000000023</v>
      </c>
      <c r="I20" s="16">
        <f t="shared" si="2"/>
        <v>9.9224857588830526E-2</v>
      </c>
      <c r="J20" s="57"/>
      <c r="K20" s="57"/>
    </row>
    <row r="21" spans="1:11" ht="69" customHeight="1">
      <c r="A21" s="30" t="str">
        <v>Kohls - Middletown</v>
      </c>
      <c r="B21" s="31" t="str">
        <v>NJ</v>
      </c>
      <c r="C21" s="11">
        <v>82960</v>
      </c>
      <c r="D21" s="18">
        <v>107415</v>
      </c>
      <c r="E21" s="18">
        <f t="shared" si="0"/>
        <v>-24455</v>
      </c>
      <c r="F21" s="19">
        <f t="shared" si="3"/>
        <v>-0.22766838895871153</v>
      </c>
      <c r="G21" s="20">
        <v>71706.95</v>
      </c>
      <c r="H21" s="20">
        <f t="shared" si="1"/>
        <v>11253.050000000003</v>
      </c>
      <c r="I21" s="19">
        <f t="shared" si="2"/>
        <v>0.15693109245338149</v>
      </c>
      <c r="J21" s="55" t="s">
        <v>73</v>
      </c>
      <c r="K21" s="59" t="s">
        <v>74</v>
      </c>
    </row>
    <row r="22" spans="1:11" ht="15.6">
      <c r="A22" s="28" t="str">
        <v>Kohls - North Amherst</v>
      </c>
      <c r="B22" s="29" t="str">
        <v>NY</v>
      </c>
      <c r="C22" s="24">
        <v>32245</v>
      </c>
      <c r="D22" s="13">
        <v>53741</v>
      </c>
      <c r="E22" s="13">
        <f t="shared" si="0"/>
        <v>-21496</v>
      </c>
      <c r="F22" s="19">
        <f t="shared" si="3"/>
        <v>-0.39999255689324725</v>
      </c>
      <c r="G22" s="15">
        <v>44277.81</v>
      </c>
      <c r="H22" s="15">
        <f t="shared" si="1"/>
        <v>-12032.809999999998</v>
      </c>
      <c r="I22" s="16">
        <f t="shared" si="2"/>
        <v>-0.27175711716546047</v>
      </c>
      <c r="J22" s="57"/>
      <c r="K22" s="57"/>
    </row>
    <row r="23" spans="1:11" ht="30.95">
      <c r="A23" s="30" t="str">
        <v>Kohls - Staten Island</v>
      </c>
      <c r="B23" s="31" t="str">
        <v>NY</v>
      </c>
      <c r="C23" s="11">
        <v>42365</v>
      </c>
      <c r="D23" s="18">
        <v>65953</v>
      </c>
      <c r="E23" s="18">
        <f t="shared" si="0"/>
        <v>-23588</v>
      </c>
      <c r="F23" s="19">
        <f t="shared" si="3"/>
        <v>-0.35764862856882934</v>
      </c>
      <c r="G23" s="20">
        <v>44319.6</v>
      </c>
      <c r="H23" s="20">
        <f t="shared" si="1"/>
        <v>-1954.5999999999985</v>
      </c>
      <c r="I23" s="19">
        <f t="shared" si="2"/>
        <v>-4.4102383595519781E-2</v>
      </c>
      <c r="J23" s="61" t="s">
        <v>75</v>
      </c>
      <c r="K23" s="62" t="s">
        <v>76</v>
      </c>
    </row>
    <row r="24" spans="1:11" ht="15.6">
      <c r="A24" s="28" t="str">
        <v>Kohls - Warminster</v>
      </c>
      <c r="B24" s="29" t="str">
        <v>PA</v>
      </c>
      <c r="C24" s="24">
        <v>56614</v>
      </c>
      <c r="D24" s="13">
        <v>76321</v>
      </c>
      <c r="E24" s="13">
        <f t="shared" si="0"/>
        <v>-19707</v>
      </c>
      <c r="F24" s="19">
        <f t="shared" si="3"/>
        <v>-0.25821202552377459</v>
      </c>
      <c r="G24" s="15">
        <v>47753.8</v>
      </c>
      <c r="H24" s="15">
        <f t="shared" si="1"/>
        <v>8860.1999999999971</v>
      </c>
      <c r="I24" s="16">
        <f t="shared" si="2"/>
        <v>0.1855391612814058</v>
      </c>
      <c r="J24" s="57"/>
      <c r="K24" s="57"/>
    </row>
    <row r="25" spans="1:11" ht="15.6">
      <c r="A25" s="30" t="str">
        <v xml:space="preserve">Kohls - Waterbury </v>
      </c>
      <c r="B25" s="31" t="str">
        <v>CT</v>
      </c>
      <c r="C25" s="11">
        <v>47104</v>
      </c>
      <c r="D25" s="18">
        <v>60496</v>
      </c>
      <c r="E25" s="18">
        <f t="shared" si="0"/>
        <v>-13392</v>
      </c>
      <c r="F25" s="19">
        <f t="shared" si="3"/>
        <v>-0.22137000793440889</v>
      </c>
      <c r="G25" s="20">
        <v>41878.69</v>
      </c>
      <c r="H25" s="20">
        <f t="shared" si="1"/>
        <v>5225.3099999999977</v>
      </c>
      <c r="I25" s="19">
        <f t="shared" si="2"/>
        <v>0.12477252750742675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>
        <v>48608</v>
      </c>
      <c r="D26" s="13">
        <v>66705</v>
      </c>
      <c r="E26" s="13">
        <f t="shared" ref="E26:E68" si="4">IF(AND(ISNUMBER(C26),ISNUMBER(D26)), C26-D26, "")</f>
        <v>-18097</v>
      </c>
      <c r="F26" s="19">
        <f t="shared" si="3"/>
        <v>-0.2712990030732329</v>
      </c>
      <c r="G26" s="15">
        <v>42571.73</v>
      </c>
      <c r="H26" s="15">
        <f t="shared" ref="H26:H68" si="5">IF(AND(ISNUMBER(C26),ISNUMBER(G26)), C26-G26, "")</f>
        <v>6036.2699999999968</v>
      </c>
      <c r="I26" s="16">
        <f t="shared" ref="I26:I68" si="6">IFERROR(H26/G26, "")</f>
        <v>0.14179057322782035</v>
      </c>
      <c r="J26" s="57"/>
      <c r="K26" s="57"/>
    </row>
    <row r="27" spans="1:11" ht="15.6">
      <c r="A27" s="30" t="str">
        <v>CSU - Bakersfield</v>
      </c>
      <c r="B27" s="31" t="str">
        <v>CA</v>
      </c>
      <c r="C27" s="11">
        <v>184736</v>
      </c>
      <c r="D27" s="18">
        <v>281644</v>
      </c>
      <c r="E27" s="18">
        <f t="shared" si="4"/>
        <v>-96908</v>
      </c>
      <c r="F27" s="19">
        <f t="shared" si="3"/>
        <v>-0.34407976026473136</v>
      </c>
      <c r="G27" s="20">
        <v>194572.61</v>
      </c>
      <c r="H27" s="20">
        <f t="shared" si="5"/>
        <v>-9836.609999999986</v>
      </c>
      <c r="I27" s="19">
        <f t="shared" si="6"/>
        <v>-5.0554957349855087E-2</v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>
        <v>2548</v>
      </c>
      <c r="D28" s="13">
        <v>0.111</v>
      </c>
      <c r="E28" s="13">
        <f t="shared" si="4"/>
        <v>2547.8890000000001</v>
      </c>
      <c r="F28" s="19">
        <f t="shared" si="3"/>
        <v>22953.954954954956</v>
      </c>
      <c r="G28" s="15">
        <v>17059.53</v>
      </c>
      <c r="H28" s="15">
        <f t="shared" si="5"/>
        <v>-14511.529999999999</v>
      </c>
      <c r="I28" s="16">
        <f t="shared" si="6"/>
        <v>-0.850640668295082</v>
      </c>
      <c r="J28" s="57"/>
      <c r="K28" s="57"/>
    </row>
    <row r="29" spans="1:11" ht="15.6">
      <c r="A29" s="30" t="str">
        <v>Greenfield USD - Granite Point ES</v>
      </c>
      <c r="B29" s="31" t="str">
        <v>CA</v>
      </c>
      <c r="C29" s="11">
        <v>42132</v>
      </c>
      <c r="D29" s="18">
        <v>64551</v>
      </c>
      <c r="E29" s="18">
        <f t="shared" si="4"/>
        <v>-22419</v>
      </c>
      <c r="F29" s="19">
        <f t="shared" si="3"/>
        <v>-0.34730678068503973</v>
      </c>
      <c r="G29" s="20">
        <v>45209.14</v>
      </c>
      <c r="H29" s="20">
        <f t="shared" si="5"/>
        <v>-3077.1399999999994</v>
      </c>
      <c r="I29" s="19">
        <f t="shared" si="6"/>
        <v>-6.8064555087754372E-2</v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>
        <v>26446</v>
      </c>
      <c r="D30" s="13">
        <v>42933</v>
      </c>
      <c r="E30" s="13">
        <f t="shared" si="4"/>
        <v>-16487</v>
      </c>
      <c r="F30" s="19">
        <f t="shared" si="3"/>
        <v>-0.38401695665339014</v>
      </c>
      <c r="G30" s="15">
        <v>30694.2</v>
      </c>
      <c r="H30" s="15">
        <f t="shared" si="5"/>
        <v>-4248.2000000000007</v>
      </c>
      <c r="I30" s="16">
        <f t="shared" si="6"/>
        <v>-0.13840399814948753</v>
      </c>
      <c r="J30" s="57"/>
      <c r="K30" s="57"/>
    </row>
    <row r="31" spans="1:11" ht="15.6">
      <c r="A31" s="30" t="str">
        <v>Greenfield USD - Horizon ES</v>
      </c>
      <c r="B31" s="31" t="str">
        <v>CA</v>
      </c>
      <c r="C31" s="11">
        <v>23423</v>
      </c>
      <c r="D31" s="18">
        <v>67188</v>
      </c>
      <c r="E31" s="18">
        <f t="shared" si="4"/>
        <v>-43765</v>
      </c>
      <c r="F31" s="19">
        <f t="shared" si="3"/>
        <v>-0.65138119902363523</v>
      </c>
      <c r="G31" s="20">
        <v>47133.55</v>
      </c>
      <c r="H31" s="20">
        <f t="shared" si="5"/>
        <v>-23710.550000000003</v>
      </c>
      <c r="I31" s="19">
        <f t="shared" si="6"/>
        <v>-0.50305037494523541</v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>
        <v>20120</v>
      </c>
      <c r="D32" s="13">
        <v>41439</v>
      </c>
      <c r="E32" s="13">
        <f t="shared" si="4"/>
        <v>-21319</v>
      </c>
      <c r="F32" s="19">
        <f t="shared" si="3"/>
        <v>-0.51446704794999876</v>
      </c>
      <c r="G32" s="15">
        <v>28759.61</v>
      </c>
      <c r="H32" s="15">
        <f t="shared" si="5"/>
        <v>-8639.61</v>
      </c>
      <c r="I32" s="16">
        <f t="shared" si="6"/>
        <v>-0.30040775935417763</v>
      </c>
      <c r="J32" s="57"/>
      <c r="K32" s="57"/>
    </row>
    <row r="33" spans="1:11" ht="15.6">
      <c r="A33" s="30" t="str">
        <v>Greenfield USD - Plantation ES</v>
      </c>
      <c r="B33" s="31" t="str">
        <v>CA</v>
      </c>
      <c r="C33" s="11">
        <v>20100</v>
      </c>
      <c r="D33" s="18">
        <v>29883</v>
      </c>
      <c r="E33" s="18">
        <f t="shared" si="4"/>
        <v>-9783</v>
      </c>
      <c r="F33" s="19">
        <f t="shared" si="3"/>
        <v>-0.32737676940066257</v>
      </c>
      <c r="G33" s="20">
        <v>20604.73</v>
      </c>
      <c r="H33" s="20">
        <f t="shared" si="5"/>
        <v>-504.72999999999956</v>
      </c>
      <c r="I33" s="19">
        <f t="shared" si="6"/>
        <v>-2.4495831782314039E-2</v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>
        <v>7774</v>
      </c>
      <c r="D34" s="13">
        <v>32336</v>
      </c>
      <c r="E34" s="13">
        <f t="shared" si="4"/>
        <v>-24562</v>
      </c>
      <c r="F34" s="19">
        <f t="shared" si="3"/>
        <v>-0.75958683819891148</v>
      </c>
      <c r="G34" s="15">
        <v>22742.959999999999</v>
      </c>
      <c r="H34" s="15">
        <f t="shared" si="5"/>
        <v>-14968.96</v>
      </c>
      <c r="I34" s="16">
        <f t="shared" si="6"/>
        <v>-0.65817993787967788</v>
      </c>
      <c r="J34" s="57"/>
      <c r="K34" s="57"/>
    </row>
    <row r="35" spans="1:11" ht="15.6">
      <c r="A35" s="30" t="str">
        <v>Greenfield USD - Raffaello Palla ES</v>
      </c>
      <c r="B35" s="31" t="str">
        <v>CA</v>
      </c>
      <c r="C35" s="11">
        <v>43492</v>
      </c>
      <c r="D35" s="18">
        <v>71820</v>
      </c>
      <c r="E35" s="18">
        <f t="shared" si="4"/>
        <v>-28328</v>
      </c>
      <c r="F35" s="19">
        <f t="shared" si="3"/>
        <v>-0.39443052074631024</v>
      </c>
      <c r="G35" s="20">
        <v>50438.080000000002</v>
      </c>
      <c r="H35" s="20">
        <f t="shared" si="5"/>
        <v>-6946.0800000000017</v>
      </c>
      <c r="I35" s="19">
        <f t="shared" si="6"/>
        <v>-0.13771499628851855</v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>
        <v>46508</v>
      </c>
      <c r="D36" s="13">
        <v>68989</v>
      </c>
      <c r="E36" s="13">
        <f t="shared" si="4"/>
        <v>-22481</v>
      </c>
      <c r="F36" s="19">
        <f t="shared" si="3"/>
        <v>-0.3258635434634507</v>
      </c>
      <c r="G36" s="15">
        <v>47068.75</v>
      </c>
      <c r="H36" s="15">
        <f t="shared" si="5"/>
        <v>-560.75</v>
      </c>
      <c r="I36" s="16">
        <f t="shared" si="6"/>
        <v>-1.1913424512016997E-2</v>
      </c>
      <c r="J36" s="57"/>
      <c r="K36" s="57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4"/>
        <v>0</v>
      </c>
      <c r="F37" s="19" t="str">
        <f t="shared" si="3"/>
        <v/>
      </c>
      <c r="G37" s="20">
        <v>18151.79</v>
      </c>
      <c r="H37" s="20">
        <f t="shared" si="5"/>
        <v>-18151.79</v>
      </c>
      <c r="I37" s="19">
        <f t="shared" si="6"/>
        <v>-1</v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4"/>
        <v>0</v>
      </c>
      <c r="F38" s="19" t="str">
        <f t="shared" si="3"/>
        <v/>
      </c>
      <c r="G38" s="15">
        <v>39939.050000000003</v>
      </c>
      <c r="H38" s="15">
        <f t="shared" si="5"/>
        <v>-39939.050000000003</v>
      </c>
      <c r="I38" s="16">
        <f t="shared" si="6"/>
        <v>-1</v>
      </c>
      <c r="J38" s="57"/>
      <c r="K38" s="57"/>
    </row>
    <row r="39" spans="1:11" ht="15.6">
      <c r="A39" s="30" t="str">
        <v>Muroc Joint USD - W. Boron ES</v>
      </c>
      <c r="B39" s="31" t="str">
        <v>CA</v>
      </c>
      <c r="C39" s="11">
        <v>13794</v>
      </c>
      <c r="D39" s="18">
        <v>21963</v>
      </c>
      <c r="E39" s="18">
        <f t="shared" si="4"/>
        <v>-8169</v>
      </c>
      <c r="F39" s="19">
        <f t="shared" si="3"/>
        <v>-0.37194372353503619</v>
      </c>
      <c r="G39" s="20">
        <v>14728.65</v>
      </c>
      <c r="H39" s="20">
        <f t="shared" si="5"/>
        <v>-934.64999999999964</v>
      </c>
      <c r="I39" s="19">
        <f t="shared" si="6"/>
        <v>-6.3457954395005622E-2</v>
      </c>
      <c r="J39" s="42"/>
      <c r="K39" s="43"/>
    </row>
    <row r="40" spans="1:11" ht="15.6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4"/>
        <v>0</v>
      </c>
      <c r="F40" s="19" t="str">
        <f t="shared" si="3"/>
        <v/>
      </c>
      <c r="G40" s="15">
        <v>66289.798999999999</v>
      </c>
      <c r="H40" s="15">
        <f t="shared" si="5"/>
        <v>-66289.798999999999</v>
      </c>
      <c r="I40" s="16">
        <f t="shared" si="6"/>
        <v>-1</v>
      </c>
      <c r="J40" s="57"/>
      <c r="K40" s="57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3"/>
        <v/>
      </c>
      <c r="G41" s="20"/>
      <c r="H41" s="20" t="str">
        <f t="shared" si="5"/>
        <v/>
      </c>
      <c r="I41" s="19" t="str">
        <f t="shared" si="6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>
        <v>6808</v>
      </c>
      <c r="D42" s="13">
        <v>15349</v>
      </c>
      <c r="E42" s="13">
        <f t="shared" si="4"/>
        <v>-8541</v>
      </c>
      <c r="F42" s="19">
        <f t="shared" si="3"/>
        <v>-0.55645318913284258</v>
      </c>
      <c r="G42" s="15">
        <v>10387.73</v>
      </c>
      <c r="H42" s="15">
        <f t="shared" si="5"/>
        <v>-3579.7299999999996</v>
      </c>
      <c r="I42" s="16">
        <f t="shared" si="6"/>
        <v>-0.34461138285265402</v>
      </c>
      <c r="J42" s="57"/>
      <c r="K42" s="57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3"/>
        <v/>
      </c>
      <c r="G43" s="20"/>
      <c r="H43" s="20" t="str">
        <f t="shared" si="5"/>
        <v/>
      </c>
      <c r="I43" s="19" t="str">
        <f t="shared" si="6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>
        <v>31885</v>
      </c>
      <c r="D44" s="13">
        <v>0</v>
      </c>
      <c r="E44" s="13">
        <f t="shared" si="4"/>
        <v>31885</v>
      </c>
      <c r="F44" s="19" t="str">
        <f t="shared" si="3"/>
        <v/>
      </c>
      <c r="G44" s="15">
        <v>39500.86</v>
      </c>
      <c r="H44" s="15">
        <f t="shared" si="5"/>
        <v>-7615.8600000000006</v>
      </c>
      <c r="I44" s="16">
        <f t="shared" si="6"/>
        <v>-0.19280238455567805</v>
      </c>
      <c r="J44" s="57"/>
      <c r="K44" s="57"/>
    </row>
    <row r="45" spans="1:11" ht="15.6">
      <c r="A45" s="30" t="str">
        <v>Pioneer USD - Pioneer ES</v>
      </c>
      <c r="B45" s="31" t="str">
        <v>CA</v>
      </c>
      <c r="C45" s="11">
        <v>33006.1</v>
      </c>
      <c r="D45" s="18">
        <v>0</v>
      </c>
      <c r="E45" s="18">
        <f t="shared" si="4"/>
        <v>33006.1</v>
      </c>
      <c r="F45" s="19" t="str">
        <f t="shared" si="3"/>
        <v/>
      </c>
      <c r="G45" s="20">
        <v>40140.74</v>
      </c>
      <c r="H45" s="20">
        <f t="shared" si="5"/>
        <v>-7134.6399999999994</v>
      </c>
      <c r="I45" s="19">
        <f t="shared" si="6"/>
        <v>-0.17774061962983242</v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>
        <v>46425</v>
      </c>
      <c r="D46" s="13">
        <v>0</v>
      </c>
      <c r="E46" s="13">
        <f t="shared" si="4"/>
        <v>46425</v>
      </c>
      <c r="F46" s="19" t="str">
        <f t="shared" si="3"/>
        <v/>
      </c>
      <c r="G46" s="15">
        <v>53536.39</v>
      </c>
      <c r="H46" s="15">
        <f t="shared" si="5"/>
        <v>-7111.3899999999994</v>
      </c>
      <c r="I46" s="16">
        <f t="shared" si="6"/>
        <v>-0.13283282641956246</v>
      </c>
      <c r="J46" s="57"/>
      <c r="K46" s="57"/>
    </row>
    <row r="47" spans="1:11" ht="15.6">
      <c r="A47" s="30" t="str">
        <v>Kingsburg Joint UHSD - Kingsburg HS</v>
      </c>
      <c r="B47" s="31" t="str">
        <v>CA</v>
      </c>
      <c r="C47" s="11">
        <v>69219</v>
      </c>
      <c r="D47" s="18">
        <v>130317</v>
      </c>
      <c r="E47" s="18">
        <f t="shared" si="4"/>
        <v>-61098</v>
      </c>
      <c r="F47" s="19">
        <f t="shared" si="3"/>
        <v>-0.46884136375146757</v>
      </c>
      <c r="G47" s="20">
        <v>88884.5</v>
      </c>
      <c r="H47" s="20">
        <f t="shared" si="5"/>
        <v>-19665.5</v>
      </c>
      <c r="I47" s="19">
        <f t="shared" si="6"/>
        <v>-0.22124779911008105</v>
      </c>
      <c r="J47" s="42"/>
      <c r="K47" s="43"/>
    </row>
    <row r="48" spans="1:11" ht="15.6">
      <c r="A48" s="28" t="str">
        <v>CADRB</v>
      </c>
      <c r="B48" s="29" t="str">
        <v>CA</v>
      </c>
      <c r="C48" s="24">
        <v>704022</v>
      </c>
      <c r="D48" s="13">
        <v>1277369</v>
      </c>
      <c r="E48" s="13">
        <f t="shared" si="4"/>
        <v>-573347</v>
      </c>
      <c r="F48" s="19">
        <f t="shared" si="3"/>
        <v>-0.44884994077670587</v>
      </c>
      <c r="G48" s="15">
        <v>950383</v>
      </c>
      <c r="H48" s="15">
        <f t="shared" si="5"/>
        <v>-246361</v>
      </c>
      <c r="I48" s="16">
        <f t="shared" si="6"/>
        <v>-0.25922286067827394</v>
      </c>
      <c r="J48" s="57"/>
      <c r="K48" s="57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3"/>
        <v/>
      </c>
      <c r="G49" s="20"/>
      <c r="H49" s="20" t="str">
        <f t="shared" si="5"/>
        <v/>
      </c>
      <c r="I49" s="19" t="str">
        <f t="shared" si="6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9" t="str">
        <f t="shared" si="3"/>
        <v/>
      </c>
      <c r="G50" s="15"/>
      <c r="H50" s="15" t="str">
        <f t="shared" si="5"/>
        <v/>
      </c>
      <c r="I50" s="16" t="str">
        <f t="shared" si="6"/>
        <v/>
      </c>
      <c r="J50" s="57"/>
      <c r="K50" s="57"/>
    </row>
    <row r="51" spans="1:11" ht="15.6">
      <c r="A51" s="30" t="str">
        <v>CUSD - District Office</v>
      </c>
      <c r="B51" s="31" t="str">
        <v>CA</v>
      </c>
      <c r="C51" s="11">
        <v>34086</v>
      </c>
      <c r="D51" s="18">
        <v>55203</v>
      </c>
      <c r="E51" s="18">
        <f t="shared" si="4"/>
        <v>-21117</v>
      </c>
      <c r="F51" s="19">
        <f t="shared" si="3"/>
        <v>-0.38253355795880661</v>
      </c>
      <c r="G51" s="20">
        <v>37773.79</v>
      </c>
      <c r="H51" s="20">
        <f t="shared" si="5"/>
        <v>-3687.7900000000009</v>
      </c>
      <c r="I51" s="19">
        <f t="shared" si="6"/>
        <v>-9.7628276114205131E-2</v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9" t="str">
        <f t="shared" si="3"/>
        <v/>
      </c>
      <c r="G52" s="15"/>
      <c r="H52" s="15" t="str">
        <f t="shared" si="5"/>
        <v/>
      </c>
      <c r="I52" s="16" t="str">
        <f t="shared" si="6"/>
        <v/>
      </c>
      <c r="J52" s="57"/>
      <c r="K52" s="57"/>
    </row>
    <row r="53" spans="1:11" ht="15.6">
      <c r="A53" s="30" t="str">
        <v>Snowline SD - Quail Valley MS</v>
      </c>
      <c r="B53" s="31" t="str">
        <v>CA</v>
      </c>
      <c r="C53" s="11">
        <v>51356</v>
      </c>
      <c r="D53" s="18">
        <v>75796</v>
      </c>
      <c r="E53" s="18">
        <f t="shared" si="4"/>
        <v>-24440</v>
      </c>
      <c r="F53" s="19">
        <f t="shared" si="3"/>
        <v>-0.32244445617182965</v>
      </c>
      <c r="G53" s="20">
        <v>50783.57</v>
      </c>
      <c r="H53" s="20">
        <f t="shared" si="5"/>
        <v>572.43000000000029</v>
      </c>
      <c r="I53" s="19">
        <f t="shared" si="6"/>
        <v>1.1271952720141578E-2</v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9" t="str">
        <f t="shared" si="3"/>
        <v/>
      </c>
      <c r="G54" s="15"/>
      <c r="H54" s="15" t="str">
        <f t="shared" si="5"/>
        <v/>
      </c>
      <c r="I54" s="16" t="str">
        <f t="shared" si="6"/>
        <v/>
      </c>
      <c r="J54" s="57"/>
      <c r="K54" s="57"/>
    </row>
    <row r="55" spans="1:11" ht="15.6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4"/>
        <v>0</v>
      </c>
      <c r="F55" s="19" t="str">
        <f t="shared" si="3"/>
        <v/>
      </c>
      <c r="G55" s="20">
        <v>26371.61</v>
      </c>
      <c r="H55" s="20">
        <f t="shared" si="5"/>
        <v>-26371.61</v>
      </c>
      <c r="I55" s="19">
        <f t="shared" si="6"/>
        <v>-1</v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>
        <v>76621</v>
      </c>
      <c r="D56" s="13">
        <v>119705</v>
      </c>
      <c r="E56" s="13">
        <f t="shared" si="4"/>
        <v>-43084</v>
      </c>
      <c r="F56" s="19">
        <f t="shared" si="3"/>
        <v>-0.35991813207468359</v>
      </c>
      <c r="G56" s="15">
        <v>82446.679999999993</v>
      </c>
      <c r="H56" s="15">
        <f t="shared" si="5"/>
        <v>-5825.679999999993</v>
      </c>
      <c r="I56" s="16">
        <f t="shared" si="6"/>
        <v>-7.0659970783541484E-2</v>
      </c>
      <c r="J56" s="57"/>
      <c r="K56" s="57"/>
    </row>
    <row r="57" spans="1:11" ht="15.6">
      <c r="A57" s="30" t="str">
        <v>Kohls - Redding</v>
      </c>
      <c r="B57" s="31" t="str">
        <v>CA</v>
      </c>
      <c r="C57" s="11">
        <v>40697</v>
      </c>
      <c r="D57" s="18">
        <v>0</v>
      </c>
      <c r="E57" s="18">
        <f t="shared" si="4"/>
        <v>40697</v>
      </c>
      <c r="F57" s="19" t="str">
        <f t="shared" si="3"/>
        <v/>
      </c>
      <c r="G57" s="20">
        <v>38082.559999999998</v>
      </c>
      <c r="H57" s="20">
        <f t="shared" si="5"/>
        <v>2614.4400000000023</v>
      </c>
      <c r="I57" s="19">
        <f t="shared" si="6"/>
        <v>6.8651897351438618E-2</v>
      </c>
      <c r="J57" s="42"/>
      <c r="K57" s="43"/>
    </row>
    <row r="58" spans="1:11" ht="15.6">
      <c r="A58" s="28" t="str">
        <v>Kohls - Salinas</v>
      </c>
      <c r="B58" s="29" t="str">
        <v>CA</v>
      </c>
      <c r="C58" s="24">
        <v>40753</v>
      </c>
      <c r="D58" s="13">
        <v>73593</v>
      </c>
      <c r="E58" s="13">
        <f t="shared" si="4"/>
        <v>-32840</v>
      </c>
      <c r="F58" s="19">
        <f t="shared" si="3"/>
        <v>-0.44623809329691683</v>
      </c>
      <c r="G58" s="15">
        <v>51252.639999999999</v>
      </c>
      <c r="H58" s="15">
        <f t="shared" si="5"/>
        <v>-10499.64</v>
      </c>
      <c r="I58" s="16">
        <f t="shared" si="6"/>
        <v>-0.20486047157765921</v>
      </c>
      <c r="J58" s="57"/>
      <c r="K58" s="57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3"/>
        <v/>
      </c>
      <c r="G59" s="20"/>
      <c r="H59" s="20" t="str">
        <f t="shared" si="5"/>
        <v/>
      </c>
      <c r="I59" s="19" t="str">
        <f t="shared" si="6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>
        <v>33839</v>
      </c>
      <c r="D60" s="13">
        <v>52400</v>
      </c>
      <c r="E60" s="13">
        <f t="shared" si="4"/>
        <v>-18561</v>
      </c>
      <c r="F60" s="19">
        <f t="shared" si="3"/>
        <v>-0.3542175572519084</v>
      </c>
      <c r="G60" s="15">
        <v>38762.07</v>
      </c>
      <c r="H60" s="15">
        <f t="shared" si="5"/>
        <v>-4923.07</v>
      </c>
      <c r="I60" s="16">
        <f t="shared" si="6"/>
        <v>-0.12700740698316679</v>
      </c>
      <c r="J60" s="57"/>
      <c r="K60" s="57"/>
    </row>
    <row r="61" spans="1:11" ht="15.6">
      <c r="A61" s="30" t="str">
        <v>CUSD - Stratford ES</v>
      </c>
      <c r="B61" s="31" t="str">
        <v>CA</v>
      </c>
      <c r="C61" s="11">
        <v>23516</v>
      </c>
      <c r="D61" s="18">
        <v>36633</v>
      </c>
      <c r="E61" s="18">
        <f t="shared" si="4"/>
        <v>-13117</v>
      </c>
      <c r="F61" s="19">
        <f t="shared" si="3"/>
        <v>-0.35806513253077826</v>
      </c>
      <c r="G61" s="20">
        <v>25860.51</v>
      </c>
      <c r="H61" s="20">
        <f t="shared" si="5"/>
        <v>-2344.5099999999984</v>
      </c>
      <c r="I61" s="19">
        <f t="shared" si="6"/>
        <v>-9.0659851642523617E-2</v>
      </c>
      <c r="J61" s="42"/>
      <c r="K61" s="43"/>
    </row>
    <row r="62" spans="1:11" ht="15.6">
      <c r="A62" s="28" t="str">
        <v>Taft - City Hall</v>
      </c>
      <c r="B62" s="29" t="str">
        <v>CA</v>
      </c>
      <c r="C62" s="24">
        <v>8978</v>
      </c>
      <c r="D62" s="13">
        <v>62814</v>
      </c>
      <c r="E62" s="13">
        <f t="shared" si="4"/>
        <v>-53836</v>
      </c>
      <c r="F62" s="19">
        <f t="shared" si="3"/>
        <v>-0.85707007991848949</v>
      </c>
      <c r="G62" s="15">
        <v>11400.34</v>
      </c>
      <c r="H62" s="15">
        <f t="shared" si="5"/>
        <v>-2422.34</v>
      </c>
      <c r="I62" s="16">
        <f t="shared" si="6"/>
        <v>-0.21247962780057439</v>
      </c>
      <c r="J62" s="57"/>
      <c r="K62" s="57"/>
    </row>
    <row r="63" spans="1:11" ht="15.6">
      <c r="A63" s="30" t="str">
        <v>Taft - Federal Prison</v>
      </c>
      <c r="B63" s="31" t="str">
        <v>CA</v>
      </c>
      <c r="C63" s="11">
        <v>18744</v>
      </c>
      <c r="D63" s="18">
        <v>26471</v>
      </c>
      <c r="E63" s="18">
        <f t="shared" si="4"/>
        <v>-7727</v>
      </c>
      <c r="F63" s="19">
        <f t="shared" si="3"/>
        <v>-0.29190434815458427</v>
      </c>
      <c r="G63" s="20">
        <v>17317.89</v>
      </c>
      <c r="H63" s="20">
        <f t="shared" si="5"/>
        <v>1426.1100000000006</v>
      </c>
      <c r="I63" s="19">
        <f t="shared" si="6"/>
        <v>8.234894666729034E-2</v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>
        <v>9489</v>
      </c>
      <c r="D64" s="13">
        <v>13033</v>
      </c>
      <c r="E64" s="13">
        <f t="shared" si="4"/>
        <v>-3544</v>
      </c>
      <c r="F64" s="19">
        <f t="shared" si="3"/>
        <v>-0.27192511317425</v>
      </c>
      <c r="G64" s="15">
        <v>13035.52</v>
      </c>
      <c r="H64" s="15">
        <f t="shared" si="5"/>
        <v>-3546.5200000000004</v>
      </c>
      <c r="I64" s="16">
        <f t="shared" si="6"/>
        <v>-0.27206586311861747</v>
      </c>
      <c r="J64" s="57"/>
      <c r="K64" s="57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3"/>
        <v/>
      </c>
      <c r="G65" s="20"/>
      <c r="H65" s="20" t="str">
        <f t="shared" si="5"/>
        <v/>
      </c>
      <c r="I65" s="19" t="str">
        <f t="shared" si="6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9" t="str">
        <f t="shared" si="3"/>
        <v/>
      </c>
      <c r="G66" s="15"/>
      <c r="H66" s="15" t="str">
        <f t="shared" si="5"/>
        <v/>
      </c>
      <c r="I66" s="16" t="str">
        <f t="shared" si="6"/>
        <v/>
      </c>
      <c r="J66" s="57"/>
      <c r="K66" s="57"/>
    </row>
    <row r="67" spans="1:11" ht="15.6">
      <c r="A67" s="30" t="str">
        <v>CDCR - CA Correctional Institution II</v>
      </c>
      <c r="B67" s="31" t="str">
        <v>CA</v>
      </c>
      <c r="C67" s="11">
        <v>125245</v>
      </c>
      <c r="D67" s="18">
        <v>345237</v>
      </c>
      <c r="E67" s="18">
        <f t="shared" si="4"/>
        <v>-219992</v>
      </c>
      <c r="F67" s="19">
        <f t="shared" si="3"/>
        <v>-0.63722022842279358</v>
      </c>
      <c r="G67" s="20">
        <v>412742.51500000001</v>
      </c>
      <c r="H67" s="20">
        <f t="shared" si="5"/>
        <v>-287497.51500000001</v>
      </c>
      <c r="I67" s="19">
        <f t="shared" si="6"/>
        <v>-0.69655415798394305</v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>
        <v>0</v>
      </c>
      <c r="D68" s="13">
        <v>0</v>
      </c>
      <c r="E68" s="13">
        <f t="shared" si="4"/>
        <v>0</v>
      </c>
      <c r="F68" s="19" t="str">
        <f t="shared" si="3"/>
        <v/>
      </c>
      <c r="G68" s="15">
        <v>37389.58</v>
      </c>
      <c r="H68" s="15">
        <f t="shared" si="5"/>
        <v>-37389.58</v>
      </c>
      <c r="I68" s="16">
        <f t="shared" si="6"/>
        <v>-1</v>
      </c>
      <c r="J68" s="57"/>
      <c r="K68" s="57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I4:I100 F4:F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80" zoomScaleNormal="80" workbookViewId="0">
      <pane xSplit="2" ySplit="3" topLeftCell="C38" activePane="bottomRight" state="frozen"/>
      <selection pane="bottomRight" activeCell="D60" sqref="D60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77</v>
      </c>
      <c r="E1" s="100"/>
      <c r="F1" s="100"/>
      <c r="G1" s="98" t="s">
        <v>78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2889231</v>
      </c>
      <c r="D2" s="5">
        <f>SUM(D4:D100)</f>
        <v>3847405.01</v>
      </c>
      <c r="E2" s="5">
        <f>C2-D2</f>
        <v>-958174.00999999978</v>
      </c>
      <c r="F2" s="6">
        <f>IFERROR(E2/D2, 0)</f>
        <v>-0.24904422786516042</v>
      </c>
      <c r="G2" s="5">
        <f>SUM(G4:G100)</f>
        <v>4003114.8940000003</v>
      </c>
      <c r="H2" s="7">
        <f>C2-G2</f>
        <v>-1113883.8940000003</v>
      </c>
      <c r="I2" s="6">
        <f>IFERROR(H2/G2, 0)</f>
        <v>-0.27825429034513249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36701</v>
      </c>
      <c r="D4" s="13">
        <v>48556</v>
      </c>
      <c r="E4" s="13">
        <f>IF(AND(ISNUMBER(C4),ISNUMBER(D4)), C4-D4, "")</f>
        <v>-11855</v>
      </c>
      <c r="F4" s="14">
        <f>IFERROR(E4/D4, "")</f>
        <v>-0.24415108328527885</v>
      </c>
      <c r="G4" s="15">
        <v>35953.58</v>
      </c>
      <c r="H4" s="15">
        <f>IF(AND(ISNUMBER(C4),ISNUMBER(G4)), C4-G4, "")</f>
        <v>747.41999999999825</v>
      </c>
      <c r="I4" s="16">
        <f>IFERROR(H4/G4, "")</f>
        <v>2.0788472246713631E-2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44473</v>
      </c>
      <c r="D5" s="18">
        <v>62567</v>
      </c>
      <c r="E5" s="18">
        <f t="shared" ref="E5:E25" si="0">IF(AND(ISNUMBER(C5),ISNUMBER(D5)), C5-D5, "")</f>
        <v>-18094</v>
      </c>
      <c r="F5" s="19">
        <f>IFERROR(E5/D5, "")</f>
        <v>-0.28919398404909935</v>
      </c>
      <c r="G5" s="20">
        <v>44557.46</v>
      </c>
      <c r="H5" s="20">
        <f t="shared" ref="H5:H25" si="1">IF(AND(ISNUMBER(C5),ISNUMBER(G5)), C5-G5, "")</f>
        <v>-84.459999999999127</v>
      </c>
      <c r="I5" s="19">
        <f t="shared" ref="I5:I25" si="2">IFERROR(H5/G5, "")</f>
        <v>-1.8955299516623958E-3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44259</v>
      </c>
      <c r="D6" s="13">
        <v>57194</v>
      </c>
      <c r="E6" s="13">
        <f t="shared" si="0"/>
        <v>-12935</v>
      </c>
      <c r="F6" s="14">
        <f t="shared" ref="F6:F25" si="3">IFERROR(E6/D6, "")</f>
        <v>-0.22616008672238347</v>
      </c>
      <c r="G6" s="15">
        <v>39812.18</v>
      </c>
      <c r="H6" s="15">
        <f t="shared" si="1"/>
        <v>4446.82</v>
      </c>
      <c r="I6" s="16">
        <f t="shared" si="2"/>
        <v>0.11169496370206303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52299</v>
      </c>
      <c r="D7" s="18">
        <v>73371</v>
      </c>
      <c r="E7" s="18">
        <f t="shared" si="0"/>
        <v>-21072</v>
      </c>
      <c r="F7" s="19">
        <f t="shared" si="3"/>
        <v>-0.28719793924029929</v>
      </c>
      <c r="G7" s="20">
        <v>49484.67</v>
      </c>
      <c r="H7" s="20">
        <f t="shared" si="1"/>
        <v>2814.3300000000017</v>
      </c>
      <c r="I7" s="19">
        <f t="shared" si="2"/>
        <v>5.6872764838080195E-2</v>
      </c>
      <c r="J7" s="42"/>
      <c r="K7" s="43"/>
    </row>
    <row r="8" spans="1:11" ht="72.599999999999994">
      <c r="A8" s="28" t="str">
        <v>Kohls - Buffalo</v>
      </c>
      <c r="B8" s="29" t="str">
        <v>NY</v>
      </c>
      <c r="C8" s="24">
        <v>66887</v>
      </c>
      <c r="D8" s="13">
        <v>0</v>
      </c>
      <c r="E8" s="13">
        <f t="shared" si="0"/>
        <v>66887</v>
      </c>
      <c r="F8" s="14" t="str">
        <f t="shared" si="3"/>
        <v/>
      </c>
      <c r="G8" s="15">
        <v>52881.68</v>
      </c>
      <c r="H8" s="15">
        <f t="shared" si="1"/>
        <v>14005.32</v>
      </c>
      <c r="I8" s="16">
        <f t="shared" si="2"/>
        <v>0.26484256929810096</v>
      </c>
      <c r="J8" s="41" t="s">
        <v>79</v>
      </c>
      <c r="K8" s="41" t="s">
        <v>80</v>
      </c>
    </row>
    <row r="9" spans="1:11" ht="15.6">
      <c r="A9" s="30" t="str">
        <v>Kohls - Canton</v>
      </c>
      <c r="B9" s="31" t="str">
        <v>CT</v>
      </c>
      <c r="C9" s="11">
        <v>17850</v>
      </c>
      <c r="D9" s="18">
        <v>22547</v>
      </c>
      <c r="E9" s="18">
        <f t="shared" si="0"/>
        <v>-4697</v>
      </c>
      <c r="F9" s="19">
        <f t="shared" si="3"/>
        <v>-0.20832039739211425</v>
      </c>
      <c r="G9" s="20">
        <v>16394.09</v>
      </c>
      <c r="H9" s="20">
        <f t="shared" si="1"/>
        <v>1455.9099999999999</v>
      </c>
      <c r="I9" s="19">
        <f t="shared" si="2"/>
        <v>8.8807003011451072E-2</v>
      </c>
      <c r="J9" s="42" t="s">
        <v>81</v>
      </c>
      <c r="K9" s="43" t="s">
        <v>82</v>
      </c>
    </row>
    <row r="10" spans="1:11" ht="15.6">
      <c r="A10" s="28" t="str">
        <v>Kohls - East Amherst</v>
      </c>
      <c r="B10" s="29" t="str">
        <v>NY</v>
      </c>
      <c r="C10" s="24">
        <v>49013</v>
      </c>
      <c r="D10" s="13">
        <v>66424</v>
      </c>
      <c r="E10" s="13">
        <f t="shared" si="0"/>
        <v>-17411</v>
      </c>
      <c r="F10" s="14">
        <f t="shared" si="3"/>
        <v>-0.26211911357340723</v>
      </c>
      <c r="G10" s="15">
        <v>48565.760000000002</v>
      </c>
      <c r="H10" s="15">
        <f t="shared" si="1"/>
        <v>447.23999999999796</v>
      </c>
      <c r="I10" s="16">
        <f t="shared" si="2"/>
        <v>9.208957092404154E-3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61063</v>
      </c>
      <c r="D11" s="18">
        <v>87361</v>
      </c>
      <c r="E11" s="18">
        <f t="shared" si="0"/>
        <v>-26298</v>
      </c>
      <c r="F11" s="19">
        <f t="shared" si="3"/>
        <v>-0.30102677396092076</v>
      </c>
      <c r="G11" s="20">
        <v>61415.98</v>
      </c>
      <c r="H11" s="20">
        <f t="shared" si="1"/>
        <v>-352.9800000000032</v>
      </c>
      <c r="I11" s="19">
        <f t="shared" si="2"/>
        <v>-5.7473641224971613E-3</v>
      </c>
      <c r="J11" s="42"/>
      <c r="K11" s="43"/>
    </row>
    <row r="12" spans="1:11" ht="57.95">
      <c r="A12" s="28" t="str">
        <v>Kohls - Edgewood</v>
      </c>
      <c r="B12" s="29" t="str">
        <v>MD</v>
      </c>
      <c r="C12" s="24">
        <v>294564</v>
      </c>
      <c r="D12" s="13">
        <v>466259</v>
      </c>
      <c r="E12" s="13">
        <f t="shared" si="0"/>
        <v>-171695</v>
      </c>
      <c r="F12" s="14">
        <f t="shared" si="3"/>
        <v>-0.36823954068446935</v>
      </c>
      <c r="G12" s="15">
        <v>324326.2</v>
      </c>
      <c r="H12" s="15">
        <f t="shared" si="1"/>
        <v>-29762.200000000012</v>
      </c>
      <c r="I12" s="16">
        <f t="shared" si="2"/>
        <v>-9.1766252618505725E-2</v>
      </c>
      <c r="J12" s="41" t="s">
        <v>83</v>
      </c>
      <c r="K12" s="41" t="s">
        <v>84</v>
      </c>
    </row>
    <row r="13" spans="1:11" ht="15.6">
      <c r="A13" s="30" t="str">
        <v>Kohls - Granite Run</v>
      </c>
      <c r="B13" s="31" t="str">
        <v>PA</v>
      </c>
      <c r="C13" s="11">
        <v>42741</v>
      </c>
      <c r="D13" s="18">
        <v>56866</v>
      </c>
      <c r="E13" s="18">
        <f t="shared" si="0"/>
        <v>-14125</v>
      </c>
      <c r="F13" s="19">
        <f t="shared" si="3"/>
        <v>-0.24839095417296803</v>
      </c>
      <c r="G13" s="20">
        <v>39471.730000000003</v>
      </c>
      <c r="H13" s="20">
        <f t="shared" si="1"/>
        <v>3269.2699999999968</v>
      </c>
      <c r="I13" s="19">
        <f t="shared" si="2"/>
        <v>8.2825607086388073E-2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33686</v>
      </c>
      <c r="D14" s="13">
        <v>62573</v>
      </c>
      <c r="E14" s="13">
        <f t="shared" si="0"/>
        <v>-28887</v>
      </c>
      <c r="F14" s="14">
        <f t="shared" si="3"/>
        <v>-0.46165278954181516</v>
      </c>
      <c r="G14" s="15">
        <v>50411.45</v>
      </c>
      <c r="H14" s="15">
        <f t="shared" si="1"/>
        <v>-16725.449999999997</v>
      </c>
      <c r="I14" s="16">
        <f t="shared" si="2"/>
        <v>-0.33177879231801499</v>
      </c>
      <c r="J14" s="41"/>
      <c r="K14" s="41"/>
    </row>
    <row r="15" spans="1:11" ht="15.6">
      <c r="A15" s="30" t="str">
        <v>Kohls - Hanover</v>
      </c>
      <c r="B15" s="31" t="str">
        <v>PA</v>
      </c>
      <c r="C15" s="11">
        <v>34543</v>
      </c>
      <c r="D15" s="18">
        <v>61198</v>
      </c>
      <c r="E15" s="18">
        <f t="shared" si="0"/>
        <v>-26655</v>
      </c>
      <c r="F15" s="19">
        <f t="shared" si="3"/>
        <v>-0.43555344945913266</v>
      </c>
      <c r="G15" s="20">
        <v>44333.82</v>
      </c>
      <c r="H15" s="20">
        <f t="shared" si="1"/>
        <v>-9790.82</v>
      </c>
      <c r="I15" s="19">
        <f t="shared" si="2"/>
        <v>-0.22084313961666285</v>
      </c>
      <c r="J15" s="42" t="s">
        <v>85</v>
      </c>
      <c r="K15" s="43" t="s">
        <v>86</v>
      </c>
    </row>
    <row r="16" spans="1:11" ht="15.6">
      <c r="A16" s="28" t="str">
        <v>Kohls - Horsehead</v>
      </c>
      <c r="B16" s="29" t="str">
        <v>NY</v>
      </c>
      <c r="C16" s="24">
        <v>38761</v>
      </c>
      <c r="D16" s="13">
        <v>54220</v>
      </c>
      <c r="E16" s="13">
        <f t="shared" si="0"/>
        <v>-15459</v>
      </c>
      <c r="F16" s="14">
        <f t="shared" si="3"/>
        <v>-0.28511619328661009</v>
      </c>
      <c r="G16" s="15">
        <v>37006.92</v>
      </c>
      <c r="H16" s="15">
        <f t="shared" si="1"/>
        <v>1754.0800000000017</v>
      </c>
      <c r="I16" s="16">
        <f t="shared" si="2"/>
        <v>4.7398702729111251E-2</v>
      </c>
      <c r="J16" s="41"/>
      <c r="K16" s="41"/>
    </row>
    <row r="17" spans="1:11" ht="29.1">
      <c r="A17" s="30" t="str">
        <v>Kohls - Hudson</v>
      </c>
      <c r="B17" s="31" t="str">
        <v>NY</v>
      </c>
      <c r="C17" s="11">
        <v>43062</v>
      </c>
      <c r="D17" s="18">
        <v>60036</v>
      </c>
      <c r="E17" s="18">
        <f t="shared" si="0"/>
        <v>-16974</v>
      </c>
      <c r="F17" s="19">
        <f t="shared" si="3"/>
        <v>-0.28273036178293026</v>
      </c>
      <c r="G17" s="20">
        <v>41900.79</v>
      </c>
      <c r="H17" s="20">
        <f t="shared" si="1"/>
        <v>1161.2099999999991</v>
      </c>
      <c r="I17" s="19">
        <f t="shared" si="2"/>
        <v>2.7713319963656988E-2</v>
      </c>
      <c r="J17" s="54" t="s">
        <v>87</v>
      </c>
      <c r="K17" s="43" t="s">
        <v>88</v>
      </c>
    </row>
    <row r="18" spans="1:11" ht="12.75" customHeight="1">
      <c r="A18" s="32" t="str">
        <v>Kohls - Ithaca</v>
      </c>
      <c r="B18" s="29" t="str">
        <v>NY</v>
      </c>
      <c r="C18" s="24">
        <v>40201</v>
      </c>
      <c r="D18" s="13">
        <v>60365</v>
      </c>
      <c r="E18" s="13">
        <f t="shared" si="0"/>
        <v>-20164</v>
      </c>
      <c r="F18" s="14">
        <f t="shared" si="3"/>
        <v>-0.33403462271183632</v>
      </c>
      <c r="G18" s="15">
        <v>42348.23</v>
      </c>
      <c r="H18" s="15">
        <f t="shared" si="1"/>
        <v>-2147.2300000000032</v>
      </c>
      <c r="I18" s="16">
        <f t="shared" si="2"/>
        <v>-5.0704126240931513E-2</v>
      </c>
      <c r="J18" s="41"/>
      <c r="K18" s="41"/>
    </row>
    <row r="19" spans="1:11" ht="15.6">
      <c r="A19" s="30" t="str">
        <v>Kohls - Kingston</v>
      </c>
      <c r="B19" s="31" t="str">
        <v>NY</v>
      </c>
      <c r="C19" s="11">
        <v>59221</v>
      </c>
      <c r="D19" s="18">
        <v>86603</v>
      </c>
      <c r="E19" s="18">
        <f t="shared" si="0"/>
        <v>-27382</v>
      </c>
      <c r="F19" s="19">
        <f t="shared" si="3"/>
        <v>-0.31617842338025243</v>
      </c>
      <c r="G19" s="20">
        <v>61988.928999999996</v>
      </c>
      <c r="H19" s="20">
        <f t="shared" si="1"/>
        <v>-2767.9289999999964</v>
      </c>
      <c r="I19" s="19">
        <f t="shared" si="2"/>
        <v>-4.4651989389911814E-2</v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>
        <v>55157</v>
      </c>
      <c r="D20" s="13">
        <v>74133</v>
      </c>
      <c r="E20" s="13">
        <f t="shared" si="0"/>
        <v>-18976</v>
      </c>
      <c r="F20" s="14">
        <f t="shared" si="3"/>
        <v>-0.25597237397650169</v>
      </c>
      <c r="G20" s="15">
        <v>51760.67</v>
      </c>
      <c r="H20" s="15">
        <f t="shared" si="1"/>
        <v>3396.3300000000017</v>
      </c>
      <c r="I20" s="16">
        <f t="shared" si="2"/>
        <v>6.5616036268464101E-2</v>
      </c>
      <c r="J20" s="41"/>
      <c r="K20" s="41"/>
    </row>
    <row r="21" spans="1:11" ht="15.6">
      <c r="A21" s="30" t="str">
        <v>Kohls - Middletown</v>
      </c>
      <c r="B21" s="31" t="str">
        <v>NJ</v>
      </c>
      <c r="C21" s="11">
        <v>78425</v>
      </c>
      <c r="D21" s="18">
        <v>100351</v>
      </c>
      <c r="E21" s="18">
        <f t="shared" si="0"/>
        <v>-21926</v>
      </c>
      <c r="F21" s="19">
        <f t="shared" si="3"/>
        <v>-0.21849308925670896</v>
      </c>
      <c r="G21" s="20">
        <v>70863.88</v>
      </c>
      <c r="H21" s="20">
        <f t="shared" si="1"/>
        <v>7561.1199999999953</v>
      </c>
      <c r="I21" s="19">
        <f t="shared" si="2"/>
        <v>0.10669920980900277</v>
      </c>
      <c r="J21" s="42"/>
      <c r="K21" s="43"/>
    </row>
    <row r="22" spans="1:11" ht="29.1">
      <c r="A22" s="28" t="str">
        <v>Kohls - North Amherst</v>
      </c>
      <c r="B22" s="29" t="str">
        <v>NY</v>
      </c>
      <c r="C22" s="24">
        <v>36112</v>
      </c>
      <c r="D22" s="13">
        <v>61970</v>
      </c>
      <c r="E22" s="13">
        <f t="shared" si="0"/>
        <v>-25858</v>
      </c>
      <c r="F22" s="14">
        <f t="shared" si="3"/>
        <v>-0.41726641923511376</v>
      </c>
      <c r="G22" s="15">
        <v>45023.54</v>
      </c>
      <c r="H22" s="15">
        <f t="shared" si="1"/>
        <v>-8911.5400000000009</v>
      </c>
      <c r="I22" s="16">
        <f t="shared" si="2"/>
        <v>-0.19793068248298559</v>
      </c>
      <c r="J22" s="41" t="s">
        <v>89</v>
      </c>
      <c r="K22" s="41" t="s">
        <v>90</v>
      </c>
    </row>
    <row r="23" spans="1:11" ht="46.5">
      <c r="A23" s="30" t="str">
        <v>Kohls - Staten Island</v>
      </c>
      <c r="B23" s="31" t="str">
        <v>NY</v>
      </c>
      <c r="C23" s="11">
        <v>37936</v>
      </c>
      <c r="D23" s="18">
        <v>63049</v>
      </c>
      <c r="E23" s="18">
        <f t="shared" si="0"/>
        <v>-25113</v>
      </c>
      <c r="F23" s="19">
        <f t="shared" si="3"/>
        <v>-0.39830925153452079</v>
      </c>
      <c r="G23" s="20">
        <v>40968.79</v>
      </c>
      <c r="H23" s="20">
        <f t="shared" si="1"/>
        <v>-3032.7900000000009</v>
      </c>
      <c r="I23" s="19">
        <f t="shared" si="2"/>
        <v>-7.4026838478754214E-2</v>
      </c>
      <c r="J23" s="42" t="s">
        <v>91</v>
      </c>
      <c r="K23" s="63" t="s">
        <v>92</v>
      </c>
    </row>
    <row r="24" spans="1:11" ht="15.6">
      <c r="A24" s="28" t="str">
        <v>Kohls - Warminster</v>
      </c>
      <c r="B24" s="29" t="str">
        <v>PA</v>
      </c>
      <c r="C24" s="24">
        <v>50596</v>
      </c>
      <c r="D24" s="13">
        <v>66892</v>
      </c>
      <c r="E24" s="13">
        <f t="shared" si="0"/>
        <v>-16296</v>
      </c>
      <c r="F24" s="14">
        <f t="shared" si="3"/>
        <v>-0.24361657597321054</v>
      </c>
      <c r="G24" s="15">
        <v>48666.53</v>
      </c>
      <c r="H24" s="15">
        <f t="shared" si="1"/>
        <v>1929.4700000000012</v>
      </c>
      <c r="I24" s="16">
        <f t="shared" si="2"/>
        <v>3.9646755172394688E-2</v>
      </c>
      <c r="J24" s="41" t="s">
        <v>93</v>
      </c>
      <c r="K24" s="41" t="s">
        <v>94</v>
      </c>
    </row>
    <row r="25" spans="1:11" ht="15.6">
      <c r="A25" s="30" t="str">
        <v xml:space="preserve">Kohls - Waterbury </v>
      </c>
      <c r="B25" s="31" t="str">
        <v>CT</v>
      </c>
      <c r="C25" s="11">
        <v>40538</v>
      </c>
      <c r="D25" s="18">
        <v>53627</v>
      </c>
      <c r="E25" s="18">
        <f t="shared" si="0"/>
        <v>-13089</v>
      </c>
      <c r="F25" s="19">
        <f t="shared" si="3"/>
        <v>-0.24407481306058515</v>
      </c>
      <c r="G25" s="20">
        <v>42098.63</v>
      </c>
      <c r="H25" s="20">
        <f t="shared" si="1"/>
        <v>-1560.6299999999974</v>
      </c>
      <c r="I25" s="19">
        <f t="shared" si="2"/>
        <v>-3.7070802541555328E-2</v>
      </c>
      <c r="J25" s="42" t="s">
        <v>95</v>
      </c>
      <c r="K25" s="43" t="s">
        <v>96</v>
      </c>
    </row>
    <row r="26" spans="1:11" ht="15.6">
      <c r="A26" s="28" t="str">
        <v>Mojave Water Agency - Headquarters</v>
      </c>
      <c r="B26" s="29" t="str">
        <v>CA</v>
      </c>
      <c r="C26" s="24">
        <v>46611</v>
      </c>
      <c r="D26" s="13">
        <v>63904</v>
      </c>
      <c r="E26" s="13">
        <f t="shared" ref="E26:E68" si="4">IF(AND(ISNUMBER(C26),ISNUMBER(D26)), C26-D26, "")</f>
        <v>-17293</v>
      </c>
      <c r="F26" s="14">
        <f t="shared" ref="F26:F68" si="5">IFERROR(E26/D26, "")</f>
        <v>-0.27060903855783675</v>
      </c>
      <c r="G26" s="15">
        <v>39528.019999999997</v>
      </c>
      <c r="H26" s="15">
        <f t="shared" ref="H26:H68" si="6">IF(AND(ISNUMBER(C26),ISNUMBER(G26)), C26-G26, "")</f>
        <v>7082.9800000000032</v>
      </c>
      <c r="I26" s="16">
        <f t="shared" ref="I26:I68" si="7">IFERROR(H26/G26, "")</f>
        <v>0.17918883870226751</v>
      </c>
      <c r="J26" s="41"/>
      <c r="K26" s="41"/>
    </row>
    <row r="27" spans="1:11" ht="15.6">
      <c r="A27" s="30" t="str">
        <v>CSU - Bakersfield</v>
      </c>
      <c r="B27" s="31" t="str">
        <v>CA</v>
      </c>
      <c r="C27" s="11">
        <v>171274</v>
      </c>
      <c r="D27" s="18">
        <v>272981</v>
      </c>
      <c r="E27" s="18">
        <f t="shared" si="4"/>
        <v>-101707</v>
      </c>
      <c r="F27" s="19">
        <f t="shared" si="5"/>
        <v>-0.37257904396276664</v>
      </c>
      <c r="G27" s="20">
        <v>195024.88</v>
      </c>
      <c r="H27" s="20">
        <f t="shared" si="6"/>
        <v>-23750.880000000005</v>
      </c>
      <c r="I27" s="19">
        <f t="shared" si="7"/>
        <v>-0.12178384624566878</v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>
        <v>244</v>
      </c>
      <c r="D28" s="13">
        <v>0.01</v>
      </c>
      <c r="E28" s="13">
        <f t="shared" si="4"/>
        <v>243.99</v>
      </c>
      <c r="F28" s="14">
        <f t="shared" si="5"/>
        <v>24399</v>
      </c>
      <c r="G28" s="15">
        <v>17216.89</v>
      </c>
      <c r="H28" s="15">
        <f t="shared" si="6"/>
        <v>-16972.89</v>
      </c>
      <c r="I28" s="16">
        <f t="shared" si="7"/>
        <v>-0.98582787019026086</v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>
        <v>13809</v>
      </c>
      <c r="D29" s="18">
        <v>62986</v>
      </c>
      <c r="E29" s="18">
        <f t="shared" si="4"/>
        <v>-49177</v>
      </c>
      <c r="F29" s="19">
        <f t="shared" si="5"/>
        <v>-0.78076080398818781</v>
      </c>
      <c r="G29" s="20">
        <v>45607.17</v>
      </c>
      <c r="H29" s="20">
        <f t="shared" si="6"/>
        <v>-31798.17</v>
      </c>
      <c r="I29" s="19">
        <f t="shared" si="7"/>
        <v>-0.69721866101316965</v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>
        <v>9578</v>
      </c>
      <c r="D30" s="13">
        <v>41917</v>
      </c>
      <c r="E30" s="13">
        <f t="shared" si="4"/>
        <v>-32339</v>
      </c>
      <c r="F30" s="14">
        <f t="shared" si="5"/>
        <v>-0.77150082305508505</v>
      </c>
      <c r="G30" s="15">
        <v>30981.14</v>
      </c>
      <c r="H30" s="15">
        <f t="shared" si="6"/>
        <v>-21403.14</v>
      </c>
      <c r="I30" s="16">
        <f t="shared" si="7"/>
        <v>-0.69084417164765399</v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>
        <v>15847</v>
      </c>
      <c r="D31" s="18">
        <v>66453</v>
      </c>
      <c r="E31" s="18">
        <f t="shared" si="4"/>
        <v>-50606</v>
      </c>
      <c r="F31" s="19">
        <f t="shared" si="5"/>
        <v>-0.76153070591244942</v>
      </c>
      <c r="G31" s="20">
        <v>47503.8</v>
      </c>
      <c r="H31" s="20">
        <f t="shared" si="6"/>
        <v>-31656.800000000003</v>
      </c>
      <c r="I31" s="19">
        <f t="shared" si="7"/>
        <v>-0.66640563491762761</v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>
        <v>12383</v>
      </c>
      <c r="D32" s="13">
        <v>39732</v>
      </c>
      <c r="E32" s="13">
        <f t="shared" si="4"/>
        <v>-27349</v>
      </c>
      <c r="F32" s="14">
        <f t="shared" si="5"/>
        <v>-0.68833685694150815</v>
      </c>
      <c r="G32" s="15">
        <v>28991.02</v>
      </c>
      <c r="H32" s="15">
        <f t="shared" si="6"/>
        <v>-16608.02</v>
      </c>
      <c r="I32" s="16">
        <f t="shared" si="7"/>
        <v>-0.57286773628523591</v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>
        <v>3325</v>
      </c>
      <c r="D33" s="18">
        <v>6720</v>
      </c>
      <c r="E33" s="18">
        <f t="shared" si="4"/>
        <v>-3395</v>
      </c>
      <c r="F33" s="19">
        <f t="shared" si="5"/>
        <v>-0.50520833333333337</v>
      </c>
      <c r="G33" s="20">
        <v>20771.34</v>
      </c>
      <c r="H33" s="20">
        <f t="shared" si="6"/>
        <v>-17446.34</v>
      </c>
      <c r="I33" s="19">
        <f t="shared" si="7"/>
        <v>-0.83992366404863628</v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>
        <v>7125</v>
      </c>
      <c r="D34" s="13">
        <v>31286</v>
      </c>
      <c r="E34" s="13">
        <f t="shared" si="4"/>
        <v>-24161</v>
      </c>
      <c r="F34" s="14">
        <f t="shared" si="5"/>
        <v>-0.77226235376845875</v>
      </c>
      <c r="G34" s="15">
        <v>23372.39</v>
      </c>
      <c r="H34" s="15">
        <f t="shared" si="6"/>
        <v>-16247.39</v>
      </c>
      <c r="I34" s="16">
        <f t="shared" si="7"/>
        <v>-0.6951531272582735</v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>
        <v>39548</v>
      </c>
      <c r="D35" s="18">
        <v>68020</v>
      </c>
      <c r="E35" s="18">
        <f t="shared" si="4"/>
        <v>-28472</v>
      </c>
      <c r="F35" s="19">
        <f t="shared" si="5"/>
        <v>-0.41858276977359599</v>
      </c>
      <c r="G35" s="20">
        <v>50928.67</v>
      </c>
      <c r="H35" s="20">
        <f t="shared" si="6"/>
        <v>-11380.669999999998</v>
      </c>
      <c r="I35" s="19">
        <f t="shared" si="7"/>
        <v>-0.22346293355000235</v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>
        <v>42790</v>
      </c>
      <c r="D36" s="13">
        <v>67462</v>
      </c>
      <c r="E36" s="13">
        <f t="shared" si="4"/>
        <v>-24672</v>
      </c>
      <c r="F36" s="14">
        <f t="shared" si="5"/>
        <v>-0.36571699623491744</v>
      </c>
      <c r="G36" s="15">
        <v>47503.8</v>
      </c>
      <c r="H36" s="15">
        <f t="shared" si="6"/>
        <v>-4713.8000000000029</v>
      </c>
      <c r="I36" s="16">
        <f t="shared" si="7"/>
        <v>-9.9229956340334935E-2</v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4"/>
        <v>0</v>
      </c>
      <c r="F37" s="19" t="str">
        <f t="shared" si="5"/>
        <v/>
      </c>
      <c r="G37" s="20">
        <v>18318.400000000001</v>
      </c>
      <c r="H37" s="20">
        <f t="shared" si="6"/>
        <v>-18318.400000000001</v>
      </c>
      <c r="I37" s="19">
        <f t="shared" si="7"/>
        <v>-1</v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4"/>
        <v>0</v>
      </c>
      <c r="F38" s="14" t="str">
        <f t="shared" si="5"/>
        <v/>
      </c>
      <c r="G38" s="15">
        <v>38713.26</v>
      </c>
      <c r="H38" s="15">
        <f t="shared" si="6"/>
        <v>-38713.26</v>
      </c>
      <c r="I38" s="16">
        <f t="shared" si="7"/>
        <v>-1</v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>
        <v>2322</v>
      </c>
      <c r="D39" s="18">
        <v>4393</v>
      </c>
      <c r="E39" s="18">
        <f t="shared" si="4"/>
        <v>-2071</v>
      </c>
      <c r="F39" s="19">
        <f t="shared" si="5"/>
        <v>-0.47143182335533806</v>
      </c>
      <c r="G39" s="20">
        <v>14283.24</v>
      </c>
      <c r="H39" s="20">
        <f t="shared" si="6"/>
        <v>-11961.24</v>
      </c>
      <c r="I39" s="19">
        <f t="shared" si="7"/>
        <v>-0.83743184319524144</v>
      </c>
      <c r="J39" s="42"/>
      <c r="K39" s="43"/>
    </row>
    <row r="40" spans="1:11" ht="15.6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4"/>
        <v>0</v>
      </c>
      <c r="F40" s="14" t="str">
        <f t="shared" si="5"/>
        <v/>
      </c>
      <c r="G40" s="15">
        <v>68339.524999999994</v>
      </c>
      <c r="H40" s="15">
        <f t="shared" si="6"/>
        <v>-68339.524999999994</v>
      </c>
      <c r="I40" s="16">
        <f t="shared" si="7"/>
        <v>-1</v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>
        <v>3210</v>
      </c>
      <c r="D42" s="13">
        <v>7361</v>
      </c>
      <c r="E42" s="13">
        <f t="shared" si="4"/>
        <v>-4151</v>
      </c>
      <c r="F42" s="14">
        <f t="shared" si="5"/>
        <v>-0.56391794593125932</v>
      </c>
      <c r="G42" s="15">
        <v>10065.540000000001</v>
      </c>
      <c r="H42" s="15">
        <f t="shared" si="6"/>
        <v>-6855.5400000000009</v>
      </c>
      <c r="I42" s="16">
        <f t="shared" si="7"/>
        <v>-0.68109013525354822</v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>
        <v>33826</v>
      </c>
      <c r="D44" s="13">
        <v>0</v>
      </c>
      <c r="E44" s="13">
        <f t="shared" si="4"/>
        <v>33826</v>
      </c>
      <c r="F44" s="14" t="str">
        <f t="shared" si="5"/>
        <v/>
      </c>
      <c r="G44" s="15">
        <v>39770.050000000003</v>
      </c>
      <c r="H44" s="15">
        <f t="shared" si="6"/>
        <v>-5944.0500000000029</v>
      </c>
      <c r="I44" s="16">
        <f t="shared" si="7"/>
        <v>-0.14946046082416298</v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>
        <v>31020</v>
      </c>
      <c r="D45" s="18">
        <v>0</v>
      </c>
      <c r="E45" s="18">
        <f t="shared" si="4"/>
        <v>31020</v>
      </c>
      <c r="F45" s="19" t="str">
        <f t="shared" si="5"/>
        <v/>
      </c>
      <c r="G45" s="20">
        <v>40696.32</v>
      </c>
      <c r="H45" s="20">
        <f t="shared" si="6"/>
        <v>-9676.32</v>
      </c>
      <c r="I45" s="19">
        <f t="shared" si="7"/>
        <v>-0.23776891866389885</v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>
        <v>44983</v>
      </c>
      <c r="D46" s="13">
        <v>0</v>
      </c>
      <c r="E46" s="13">
        <f t="shared" si="4"/>
        <v>44983</v>
      </c>
      <c r="F46" s="14" t="str">
        <f t="shared" si="5"/>
        <v/>
      </c>
      <c r="G46" s="15">
        <v>54571.43</v>
      </c>
      <c r="H46" s="15">
        <f t="shared" si="6"/>
        <v>-9588.43</v>
      </c>
      <c r="I46" s="16">
        <f t="shared" si="7"/>
        <v>-0.17570421006009923</v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>
        <v>61396</v>
      </c>
      <c r="D47" s="18">
        <v>127927</v>
      </c>
      <c r="E47" s="18">
        <f t="shared" si="4"/>
        <v>-66531</v>
      </c>
      <c r="F47" s="19">
        <f t="shared" si="5"/>
        <v>-0.52007003994465595</v>
      </c>
      <c r="G47" s="20">
        <v>93914.43</v>
      </c>
      <c r="H47" s="20">
        <f t="shared" si="6"/>
        <v>-32518.429999999993</v>
      </c>
      <c r="I47" s="19">
        <f t="shared" si="7"/>
        <v>-0.34625594810084026</v>
      </c>
      <c r="J47" s="42"/>
      <c r="K47" s="43"/>
    </row>
    <row r="48" spans="1:11" ht="15.6">
      <c r="A48" s="28" t="str">
        <v>CADRB</v>
      </c>
      <c r="B48" s="29" t="str">
        <v>CA</v>
      </c>
      <c r="C48" s="24">
        <v>737753</v>
      </c>
      <c r="D48" s="13">
        <v>552124</v>
      </c>
      <c r="E48" s="13">
        <f t="shared" si="4"/>
        <v>185629</v>
      </c>
      <c r="F48" s="14">
        <f t="shared" si="5"/>
        <v>0.3362088951032739</v>
      </c>
      <c r="G48" s="15">
        <v>937574</v>
      </c>
      <c r="H48" s="15">
        <f t="shared" si="6"/>
        <v>-199821</v>
      </c>
      <c r="I48" s="16">
        <f t="shared" si="7"/>
        <v>-0.2131255772877661</v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>
        <v>20929</v>
      </c>
      <c r="D51" s="18">
        <v>52867</v>
      </c>
      <c r="E51" s="18">
        <f t="shared" si="4"/>
        <v>-31938</v>
      </c>
      <c r="F51" s="19">
        <f t="shared" si="5"/>
        <v>-0.60411977225868685</v>
      </c>
      <c r="G51" s="20">
        <v>36792.129999999997</v>
      </c>
      <c r="H51" s="20">
        <f t="shared" si="6"/>
        <v>-15863.129999999997</v>
      </c>
      <c r="I51" s="19">
        <f t="shared" si="7"/>
        <v>-0.43115552157485848</v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>
        <v>48399</v>
      </c>
      <c r="D53" s="18">
        <v>73496</v>
      </c>
      <c r="E53" s="18">
        <f t="shared" si="4"/>
        <v>-25097</v>
      </c>
      <c r="F53" s="19">
        <f t="shared" si="5"/>
        <v>-0.34147436595188851</v>
      </c>
      <c r="G53" s="20">
        <v>48871.72</v>
      </c>
      <c r="H53" s="20">
        <f t="shared" si="6"/>
        <v>-472.72000000000116</v>
      </c>
      <c r="I53" s="19">
        <f t="shared" si="7"/>
        <v>-9.6726695929670817E-3</v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4"/>
        <v>0</v>
      </c>
      <c r="F55" s="19" t="str">
        <f t="shared" si="5"/>
        <v/>
      </c>
      <c r="G55" s="20">
        <v>25632.61</v>
      </c>
      <c r="H55" s="20">
        <f t="shared" si="6"/>
        <v>-25632.61</v>
      </c>
      <c r="I55" s="19">
        <f t="shared" si="7"/>
        <v>-1</v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>
        <v>75775</v>
      </c>
      <c r="D56" s="13">
        <v>123777</v>
      </c>
      <c r="E56" s="13">
        <f t="shared" si="4"/>
        <v>-48002</v>
      </c>
      <c r="F56" s="14">
        <f t="shared" si="5"/>
        <v>-0.38781033633065914</v>
      </c>
      <c r="G56" s="15">
        <v>84807.06</v>
      </c>
      <c r="H56" s="15">
        <f t="shared" si="6"/>
        <v>-9032.0599999999977</v>
      </c>
      <c r="I56" s="16">
        <f t="shared" si="7"/>
        <v>-0.10650127477594434</v>
      </c>
      <c r="J56" s="41"/>
      <c r="K56" s="41"/>
    </row>
    <row r="57" spans="1:11" ht="15.6">
      <c r="A57" s="30" t="str">
        <v>Kohls - Redding</v>
      </c>
      <c r="B57" s="31" t="str">
        <v>CA</v>
      </c>
      <c r="C57" s="11">
        <v>23176</v>
      </c>
      <c r="D57" s="18">
        <v>0</v>
      </c>
      <c r="E57" s="18">
        <f t="shared" si="4"/>
        <v>23176</v>
      </c>
      <c r="F57" s="19" t="str">
        <f t="shared" si="5"/>
        <v/>
      </c>
      <c r="G57" s="20">
        <v>39109.379999999997</v>
      </c>
      <c r="H57" s="20">
        <f t="shared" si="6"/>
        <v>-15933.379999999997</v>
      </c>
      <c r="I57" s="19">
        <f t="shared" si="7"/>
        <v>-0.40740558914511044</v>
      </c>
      <c r="J57" s="42"/>
      <c r="K57" s="43"/>
    </row>
    <row r="58" spans="1:11" ht="15.6">
      <c r="A58" s="28" t="str">
        <v>Kohls - Salinas</v>
      </c>
      <c r="B58" s="29" t="str">
        <v>CA</v>
      </c>
      <c r="C58" s="24">
        <v>41396</v>
      </c>
      <c r="D58" s="13">
        <v>76330</v>
      </c>
      <c r="E58" s="13">
        <f t="shared" si="4"/>
        <v>-34934</v>
      </c>
      <c r="F58" s="14">
        <f t="shared" si="5"/>
        <v>-0.45767064063932922</v>
      </c>
      <c r="G58" s="15">
        <v>52122.74</v>
      </c>
      <c r="H58" s="15">
        <f t="shared" si="6"/>
        <v>-10726.739999999998</v>
      </c>
      <c r="I58" s="16">
        <f t="shared" si="7"/>
        <v>-0.20579769981393914</v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>
        <v>32959</v>
      </c>
      <c r="D60" s="13">
        <v>53502</v>
      </c>
      <c r="E60" s="13">
        <f t="shared" si="4"/>
        <v>-20543</v>
      </c>
      <c r="F60" s="14">
        <f t="shared" si="5"/>
        <v>-0.38396695450637358</v>
      </c>
      <c r="G60" s="15">
        <v>39872.83</v>
      </c>
      <c r="H60" s="15">
        <f t="shared" si="6"/>
        <v>-6913.8300000000017</v>
      </c>
      <c r="I60" s="16">
        <f t="shared" si="7"/>
        <v>-0.17339702248373143</v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>
        <v>26719</v>
      </c>
      <c r="D61" s="18">
        <v>37040</v>
      </c>
      <c r="E61" s="18">
        <f t="shared" si="4"/>
        <v>-10321</v>
      </c>
      <c r="F61" s="19">
        <f t="shared" si="5"/>
        <v>-0.27864470842332612</v>
      </c>
      <c r="G61" s="20">
        <v>25555.05</v>
      </c>
      <c r="H61" s="20">
        <f t="shared" si="6"/>
        <v>1163.9500000000007</v>
      </c>
      <c r="I61" s="19">
        <f t="shared" si="7"/>
        <v>4.5546770599157536E-2</v>
      </c>
      <c r="J61" s="42"/>
      <c r="K61" s="43"/>
    </row>
    <row r="62" spans="1:11" ht="15.6">
      <c r="A62" s="28" t="str">
        <v>Taft - City Hall</v>
      </c>
      <c r="B62" s="29" t="str">
        <v>CA</v>
      </c>
      <c r="C62" s="24">
        <v>7625</v>
      </c>
      <c r="D62" s="13">
        <v>53543</v>
      </c>
      <c r="E62" s="13">
        <f t="shared" si="4"/>
        <v>-45918</v>
      </c>
      <c r="F62" s="14">
        <f t="shared" si="5"/>
        <v>-0.85759109500775077</v>
      </c>
      <c r="G62" s="15">
        <v>11460.08</v>
      </c>
      <c r="H62" s="15">
        <f t="shared" si="6"/>
        <v>-3835.08</v>
      </c>
      <c r="I62" s="16">
        <f t="shared" si="7"/>
        <v>-0.33464687855582159</v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>
        <v>2276</v>
      </c>
      <c r="D63" s="18">
        <v>3364</v>
      </c>
      <c r="E63" s="18">
        <f t="shared" si="4"/>
        <v>-1088</v>
      </c>
      <c r="F63" s="19">
        <f t="shared" si="5"/>
        <v>-0.32342449464922712</v>
      </c>
      <c r="G63" s="20">
        <v>17532.97</v>
      </c>
      <c r="H63" s="20">
        <f t="shared" si="6"/>
        <v>-15256.970000000001</v>
      </c>
      <c r="I63" s="19">
        <f t="shared" si="7"/>
        <v>-0.87018742403597338</v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>
        <v>437</v>
      </c>
      <c r="D64" s="13">
        <v>630</v>
      </c>
      <c r="E64" s="13">
        <f t="shared" si="4"/>
        <v>-193</v>
      </c>
      <c r="F64" s="14">
        <f t="shared" si="5"/>
        <v>-0.30634920634920637</v>
      </c>
      <c r="G64" s="15">
        <v>13105.38</v>
      </c>
      <c r="H64" s="15">
        <f t="shared" si="6"/>
        <v>-12668.38</v>
      </c>
      <c r="I64" s="16">
        <f t="shared" si="7"/>
        <v>-0.96665491576741769</v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>
        <v>64920</v>
      </c>
      <c r="D67" s="18">
        <v>198581</v>
      </c>
      <c r="E67" s="18">
        <f t="shared" si="4"/>
        <v>-133661</v>
      </c>
      <c r="F67" s="19">
        <f t="shared" si="5"/>
        <v>-0.67308050619142823</v>
      </c>
      <c r="G67" s="20">
        <v>418296.35</v>
      </c>
      <c r="H67" s="20">
        <f t="shared" si="6"/>
        <v>-353376.35</v>
      </c>
      <c r="I67" s="19">
        <f t="shared" si="7"/>
        <v>-0.8447990282487523</v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>
        <v>9488</v>
      </c>
      <c r="D68" s="13">
        <v>14847</v>
      </c>
      <c r="E68" s="13">
        <f t="shared" si="4"/>
        <v>-5359</v>
      </c>
      <c r="F68" s="14">
        <f t="shared" si="5"/>
        <v>-0.36094833973193235</v>
      </c>
      <c r="G68" s="15">
        <v>36045.769999999997</v>
      </c>
      <c r="H68" s="15">
        <f t="shared" si="6"/>
        <v>-26557.769999999997</v>
      </c>
      <c r="I68" s="16">
        <f t="shared" si="7"/>
        <v>-0.73677910057130136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40" type="noConversion"/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5" zoomScaleNormal="80" workbookViewId="0">
      <pane xSplit="2" ySplit="3" topLeftCell="C4" activePane="bottomRight" state="frozen"/>
      <selection pane="bottomRight" activeCell="F29" sqref="F29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97</v>
      </c>
      <c r="E1" s="100"/>
      <c r="F1" s="100"/>
      <c r="G1" s="98" t="s">
        <v>98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3312718</v>
      </c>
      <c r="D2" s="5">
        <f>SUM(D4:D100)</f>
        <v>3502494</v>
      </c>
      <c r="E2" s="5">
        <f>C2-D2</f>
        <v>-189776</v>
      </c>
      <c r="F2" s="6">
        <f>IFERROR(E2/D2, 0)</f>
        <v>-5.4183104953213337E-2</v>
      </c>
      <c r="G2" s="5">
        <f>SUM(G4:G100)</f>
        <v>4879633.2970000021</v>
      </c>
      <c r="H2" s="7">
        <f>C2-G2</f>
        <v>-1566915.2970000021</v>
      </c>
      <c r="I2" s="6">
        <f>IFERROR(H2/G2, 0)</f>
        <v>-0.32111332996340963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tr" cm="1">
        <f t="array" ref="A3">portfolio</f>
        <v>Silicon Ranch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31134</v>
      </c>
      <c r="D4" s="13">
        <v>41251</v>
      </c>
      <c r="E4" s="13">
        <f t="shared" ref="E4:E10" si="0">IF(AND(ISNUMBER(C4),ISNUMBER(D4)), C4-D4, "")</f>
        <v>-10117</v>
      </c>
      <c r="F4" s="14">
        <f t="shared" ref="F4:F11" si="1">IFERROR(E4/D4, "")</f>
        <v>-0.24525466049307895</v>
      </c>
      <c r="G4" s="15">
        <v>32647.29</v>
      </c>
      <c r="H4" s="15">
        <f t="shared" ref="H4:H10" si="2">IF(AND(ISNUMBER(C4),ISNUMBER(G4)), C4-G4, "")</f>
        <v>-1513.2900000000009</v>
      </c>
      <c r="I4" s="16">
        <f t="shared" ref="I4:I10" si="3">IFERROR(H4/G4, "")</f>
        <v>-4.6352698799808523E-2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35466</v>
      </c>
      <c r="D5" s="18">
        <v>48449</v>
      </c>
      <c r="E5" s="18">
        <f t="shared" si="0"/>
        <v>-12983</v>
      </c>
      <c r="F5" s="19">
        <f t="shared" si="1"/>
        <v>-0.26797250717249066</v>
      </c>
      <c r="G5" s="20">
        <v>40166.959999999999</v>
      </c>
      <c r="H5" s="20">
        <f t="shared" si="2"/>
        <v>-4700.9599999999991</v>
      </c>
      <c r="I5" s="19">
        <f t="shared" si="3"/>
        <v>-0.11703549384867561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39773</v>
      </c>
      <c r="D6" s="13">
        <v>51406</v>
      </c>
      <c r="E6" s="13">
        <f t="shared" si="0"/>
        <v>-11633</v>
      </c>
      <c r="F6" s="14">
        <f t="shared" si="1"/>
        <v>-0.22629654125977514</v>
      </c>
      <c r="G6" s="15">
        <v>38397.449999999997</v>
      </c>
      <c r="H6" s="15">
        <f t="shared" si="2"/>
        <v>1375.5500000000029</v>
      </c>
      <c r="I6" s="16">
        <f t="shared" si="3"/>
        <v>3.5823993520403129E-2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47399</v>
      </c>
      <c r="D7" s="18">
        <v>66234</v>
      </c>
      <c r="E7" s="18">
        <f t="shared" si="0"/>
        <v>-18835</v>
      </c>
      <c r="F7" s="19">
        <f t="shared" si="1"/>
        <v>-0.28437056496663343</v>
      </c>
      <c r="G7" s="20">
        <v>42300.23</v>
      </c>
      <c r="H7" s="20">
        <f t="shared" si="2"/>
        <v>5098.7699999999968</v>
      </c>
      <c r="I7" s="19">
        <f t="shared" si="3"/>
        <v>0.12053764246671936</v>
      </c>
      <c r="J7" s="42"/>
      <c r="K7" s="43"/>
    </row>
    <row r="8" spans="1:11" ht="15.6">
      <c r="A8" s="28" t="str">
        <v>Kohls - Buffalo</v>
      </c>
      <c r="B8" s="29" t="str">
        <v>NY</v>
      </c>
      <c r="C8" s="24">
        <v>42103</v>
      </c>
      <c r="D8" s="13">
        <v>0</v>
      </c>
      <c r="E8" s="13">
        <f t="shared" si="0"/>
        <v>42103</v>
      </c>
      <c r="F8" s="14" t="str">
        <f t="shared" si="1"/>
        <v/>
      </c>
      <c r="G8" s="15">
        <v>48752.2</v>
      </c>
      <c r="H8" s="15">
        <f t="shared" si="2"/>
        <v>-6649.1999999999971</v>
      </c>
      <c r="I8" s="16">
        <f t="shared" si="3"/>
        <v>-0.13638769122213967</v>
      </c>
      <c r="J8" s="41" t="s">
        <v>99</v>
      </c>
      <c r="K8" s="41" t="s">
        <v>100</v>
      </c>
    </row>
    <row r="9" spans="1:11" ht="15.6">
      <c r="A9" s="30" t="str">
        <v>Kohls - Canton</v>
      </c>
      <c r="B9" s="31" t="str">
        <v>CT</v>
      </c>
      <c r="C9" s="11">
        <v>15464</v>
      </c>
      <c r="D9" s="18">
        <v>19150</v>
      </c>
      <c r="E9" s="18">
        <f t="shared" si="0"/>
        <v>-3686</v>
      </c>
      <c r="F9" s="19">
        <f t="shared" si="1"/>
        <v>-0.1924804177545692</v>
      </c>
      <c r="G9" s="20">
        <v>15010.35</v>
      </c>
      <c r="H9" s="20">
        <f t="shared" si="2"/>
        <v>453.64999999999964</v>
      </c>
      <c r="I9" s="19">
        <f t="shared" si="3"/>
        <v>3.0222479822255951E-2</v>
      </c>
      <c r="J9" s="42"/>
      <c r="K9" s="43"/>
    </row>
    <row r="10" spans="1:11" ht="15.6">
      <c r="A10" s="28" t="str">
        <v>Kohls - East Amherst</v>
      </c>
      <c r="B10" s="29" t="str">
        <v>NY</v>
      </c>
      <c r="C10" s="24">
        <v>38077</v>
      </c>
      <c r="D10" s="13">
        <v>50799</v>
      </c>
      <c r="E10" s="13">
        <f t="shared" si="0"/>
        <v>-12722</v>
      </c>
      <c r="F10" s="14">
        <f t="shared" si="1"/>
        <v>-0.25043800074804623</v>
      </c>
      <c r="G10" s="15">
        <v>42693.13</v>
      </c>
      <c r="H10" s="15">
        <f t="shared" si="2"/>
        <v>-4616.1299999999974</v>
      </c>
      <c r="I10" s="16">
        <f t="shared" si="3"/>
        <v>-0.10812348497287497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52428</v>
      </c>
      <c r="D11" s="18">
        <v>76215</v>
      </c>
      <c r="E11" s="18">
        <f t="shared" ref="E11:E17" si="4">IF(AND(ISNUMBER(C11),ISNUMBER(D11)), C11-D11, "")</f>
        <v>-23787</v>
      </c>
      <c r="F11" s="19">
        <f t="shared" si="1"/>
        <v>-0.31210391655185987</v>
      </c>
      <c r="G11" s="20">
        <v>54698.89</v>
      </c>
      <c r="H11" s="20">
        <f t="shared" ref="H11:H17" si="5">IF(AND(ISNUMBER(C11),ISNUMBER(G11)), C11-G11, "")</f>
        <v>-2270.8899999999994</v>
      </c>
      <c r="I11" s="19">
        <f t="shared" ref="I11:I17" si="6">IFERROR(H11/G11, "")</f>
        <v>-4.1516198957602238E-2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275040</v>
      </c>
      <c r="D12" s="13">
        <v>412168</v>
      </c>
      <c r="E12" s="13">
        <f t="shared" si="4"/>
        <v>-137128</v>
      </c>
      <c r="F12" s="14">
        <f t="shared" ref="F12:F17" si="7">IFERROR(E12/D12, "")</f>
        <v>-0.33269928766910578</v>
      </c>
      <c r="G12" s="15">
        <v>288701.82</v>
      </c>
      <c r="H12" s="15">
        <f t="shared" si="5"/>
        <v>-13661.820000000007</v>
      </c>
      <c r="I12" s="16">
        <f t="shared" si="6"/>
        <v>-4.7321558277672121E-2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36675</v>
      </c>
      <c r="D13" s="18">
        <v>50372</v>
      </c>
      <c r="E13" s="18">
        <f t="shared" si="4"/>
        <v>-13697</v>
      </c>
      <c r="F13" s="19">
        <f t="shared" si="7"/>
        <v>-0.27191693798141825</v>
      </c>
      <c r="G13" s="20">
        <v>37691</v>
      </c>
      <c r="H13" s="20">
        <f t="shared" si="5"/>
        <v>-1016</v>
      </c>
      <c r="I13" s="19">
        <f t="shared" si="6"/>
        <v>-2.6956037250271948E-2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27051</v>
      </c>
      <c r="D14" s="13">
        <v>53014</v>
      </c>
      <c r="E14" s="13">
        <f t="shared" si="4"/>
        <v>-25963</v>
      </c>
      <c r="F14" s="14">
        <f t="shared" si="7"/>
        <v>-0.48973855962575924</v>
      </c>
      <c r="G14" s="15">
        <v>45648.09</v>
      </c>
      <c r="H14" s="15">
        <f t="shared" si="5"/>
        <v>-18597.089999999997</v>
      </c>
      <c r="I14" s="16">
        <f t="shared" si="6"/>
        <v>-0.40740127352535449</v>
      </c>
      <c r="J14" s="41"/>
      <c r="K14" s="41"/>
    </row>
    <row r="15" spans="1:11" ht="29.1">
      <c r="A15" s="30" t="str">
        <v>Kohls - Hanover</v>
      </c>
      <c r="B15" s="31" t="str">
        <v>PA</v>
      </c>
      <c r="C15" s="11">
        <v>13530</v>
      </c>
      <c r="D15" s="18">
        <v>39311</v>
      </c>
      <c r="E15" s="18">
        <f t="shared" si="4"/>
        <v>-25781</v>
      </c>
      <c r="F15" s="19">
        <f t="shared" si="7"/>
        <v>-0.65582152578158781</v>
      </c>
      <c r="G15" s="20">
        <v>39416.97</v>
      </c>
      <c r="H15" s="20">
        <f t="shared" si="5"/>
        <v>-25886.97</v>
      </c>
      <c r="I15" s="19">
        <f t="shared" si="6"/>
        <v>-0.65674682757198233</v>
      </c>
      <c r="J15" s="55" t="s">
        <v>101</v>
      </c>
      <c r="K15" s="55" t="s">
        <v>86</v>
      </c>
    </row>
    <row r="16" spans="1:11" ht="15.6">
      <c r="A16" s="28" t="str">
        <v>Kohls - Horsehead</v>
      </c>
      <c r="B16" s="29" t="str">
        <v>NY</v>
      </c>
      <c r="C16" s="24">
        <v>28363</v>
      </c>
      <c r="D16" s="13">
        <v>38895</v>
      </c>
      <c r="E16" s="13">
        <f t="shared" si="4"/>
        <v>-10532</v>
      </c>
      <c r="F16" s="14">
        <f t="shared" si="7"/>
        <v>-0.27078030595192182</v>
      </c>
      <c r="G16" s="15">
        <v>33464.699999999997</v>
      </c>
      <c r="H16" s="15">
        <f t="shared" si="5"/>
        <v>-5101.6999999999971</v>
      </c>
      <c r="I16" s="16">
        <f t="shared" si="6"/>
        <v>-0.15245019378628816</v>
      </c>
      <c r="J16" s="41"/>
      <c r="K16" s="41"/>
    </row>
    <row r="17" spans="1:11" ht="43.5">
      <c r="A17" s="30" t="str">
        <v>Kohls - Hudson</v>
      </c>
      <c r="B17" s="31" t="str">
        <v>NY</v>
      </c>
      <c r="C17" s="11">
        <v>32446</v>
      </c>
      <c r="D17" s="18">
        <v>43475</v>
      </c>
      <c r="E17" s="18">
        <f t="shared" si="4"/>
        <v>-11029</v>
      </c>
      <c r="F17" s="19">
        <f t="shared" si="7"/>
        <v>-0.2536860264519839</v>
      </c>
      <c r="G17" s="20">
        <v>38526.35</v>
      </c>
      <c r="H17" s="20">
        <f t="shared" si="5"/>
        <v>-6080.3499999999985</v>
      </c>
      <c r="I17" s="19">
        <f t="shared" si="6"/>
        <v>-0.15782315220621726</v>
      </c>
      <c r="J17" s="42" t="s">
        <v>102</v>
      </c>
      <c r="K17" s="55" t="s">
        <v>103</v>
      </c>
    </row>
    <row r="18" spans="1:11" ht="12.75" customHeight="1">
      <c r="A18" s="32" t="str">
        <v>Kohls - Ithaca</v>
      </c>
      <c r="B18" s="29" t="str">
        <v>NY</v>
      </c>
      <c r="C18" s="24">
        <v>30408</v>
      </c>
      <c r="D18" s="13">
        <v>44627</v>
      </c>
      <c r="E18" s="13">
        <f t="shared" ref="E18:E68" si="8">IF(AND(ISNUMBER(C18),ISNUMBER(D18)), C18-D18, "")</f>
        <v>-14219</v>
      </c>
      <c r="F18" s="14">
        <f t="shared" ref="F18:F68" si="9">IFERROR(E18/D18, "")</f>
        <v>-0.31861877338830752</v>
      </c>
      <c r="G18" s="15">
        <v>39654.269999999997</v>
      </c>
      <c r="H18" s="15">
        <f t="shared" ref="H18:H68" si="10">IF(AND(ISNUMBER(C18),ISNUMBER(G18)), C18-G18, "")</f>
        <v>-9246.2699999999968</v>
      </c>
      <c r="I18" s="16">
        <f t="shared" ref="I18:I68" si="11">IFERROR(H18/G18, "")</f>
        <v>-0.23317211488195339</v>
      </c>
      <c r="J18" s="41"/>
      <c r="K18" s="41"/>
    </row>
    <row r="19" spans="1:11" ht="15.6">
      <c r="A19" s="30" t="str">
        <v>Kohls - Kingston</v>
      </c>
      <c r="B19" s="31" t="str">
        <v>NY</v>
      </c>
      <c r="C19" s="11">
        <v>47188</v>
      </c>
      <c r="D19" s="18">
        <v>68827</v>
      </c>
      <c r="E19" s="18">
        <f t="shared" si="8"/>
        <v>-21639</v>
      </c>
      <c r="F19" s="19">
        <f t="shared" si="9"/>
        <v>-0.31439696630682729</v>
      </c>
      <c r="G19" s="20">
        <v>56955.241000000002</v>
      </c>
      <c r="H19" s="20">
        <f t="shared" si="10"/>
        <v>-9767.2410000000018</v>
      </c>
      <c r="I19" s="19">
        <f t="shared" si="11"/>
        <v>-0.17148976685042913</v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>
        <v>45422</v>
      </c>
      <c r="D20" s="13">
        <v>61535</v>
      </c>
      <c r="E20" s="13">
        <f t="shared" si="8"/>
        <v>-16113</v>
      </c>
      <c r="F20" s="14">
        <f t="shared" si="9"/>
        <v>-0.26185097911757538</v>
      </c>
      <c r="G20" s="15">
        <v>46027.839999999997</v>
      </c>
      <c r="H20" s="15">
        <f t="shared" si="10"/>
        <v>-605.83999999999651</v>
      </c>
      <c r="I20" s="16">
        <f t="shared" si="11"/>
        <v>-1.3162468627682649E-2</v>
      </c>
      <c r="J20" s="41"/>
      <c r="K20" s="41"/>
    </row>
    <row r="21" spans="1:11" ht="15.6">
      <c r="A21" s="30" t="str">
        <v>Kohls - Middletown</v>
      </c>
      <c r="B21" s="31" t="str">
        <v>NJ</v>
      </c>
      <c r="C21" s="11">
        <v>69153</v>
      </c>
      <c r="D21" s="18">
        <v>86516</v>
      </c>
      <c r="E21" s="18">
        <f t="shared" si="8"/>
        <v>-17363</v>
      </c>
      <c r="F21" s="19">
        <f t="shared" si="9"/>
        <v>-0.20069120162744464</v>
      </c>
      <c r="G21" s="20">
        <v>66245.31</v>
      </c>
      <c r="H21" s="20">
        <f t="shared" si="10"/>
        <v>2907.6900000000023</v>
      </c>
      <c r="I21" s="19">
        <f t="shared" si="11"/>
        <v>4.3892767654042264E-2</v>
      </c>
      <c r="J21" s="42"/>
      <c r="K21" s="43"/>
    </row>
    <row r="22" spans="1:11" ht="29.1">
      <c r="A22" s="28" t="str">
        <v>Kohls - North Amherst</v>
      </c>
      <c r="B22" s="29" t="str">
        <v>NY</v>
      </c>
      <c r="C22" s="24">
        <v>9529</v>
      </c>
      <c r="D22" s="13">
        <v>16834</v>
      </c>
      <c r="E22" s="13">
        <f t="shared" si="8"/>
        <v>-7305</v>
      </c>
      <c r="F22" s="14">
        <f t="shared" si="9"/>
        <v>-0.43394321016989429</v>
      </c>
      <c r="G22" s="15">
        <v>40642.370000000003</v>
      </c>
      <c r="H22" s="15">
        <f t="shared" si="10"/>
        <v>-31113.370000000003</v>
      </c>
      <c r="I22" s="16">
        <f t="shared" si="11"/>
        <v>-0.76554024777590479</v>
      </c>
      <c r="J22" s="41" t="s">
        <v>104</v>
      </c>
      <c r="K22" s="41" t="s">
        <v>105</v>
      </c>
    </row>
    <row r="23" spans="1:11" ht="15.6">
      <c r="A23" s="30" t="str">
        <v>Kohls - Staten Island</v>
      </c>
      <c r="B23" s="31" t="str">
        <v>NY</v>
      </c>
      <c r="C23" s="11">
        <v>16302</v>
      </c>
      <c r="D23" s="18">
        <v>54183</v>
      </c>
      <c r="E23" s="18">
        <f t="shared" si="8"/>
        <v>-37881</v>
      </c>
      <c r="F23" s="19">
        <f t="shared" si="9"/>
        <v>-0.69913072365871209</v>
      </c>
      <c r="G23" s="20">
        <v>38451.050000000003</v>
      </c>
      <c r="H23" s="20">
        <f t="shared" si="10"/>
        <v>-22149.050000000003</v>
      </c>
      <c r="I23" s="19">
        <f t="shared" si="11"/>
        <v>-0.57603238403112533</v>
      </c>
      <c r="J23" s="42" t="s">
        <v>106</v>
      </c>
      <c r="K23" s="43" t="s">
        <v>107</v>
      </c>
    </row>
    <row r="24" spans="1:11" ht="15.6">
      <c r="A24" s="28" t="str">
        <v>Kohls - Warminster</v>
      </c>
      <c r="B24" s="29" t="str">
        <v>PA</v>
      </c>
      <c r="C24" s="24">
        <v>46528</v>
      </c>
      <c r="D24" s="13">
        <v>60960</v>
      </c>
      <c r="E24" s="13">
        <f t="shared" si="8"/>
        <v>-14432</v>
      </c>
      <c r="F24" s="14">
        <f t="shared" si="9"/>
        <v>-0.23674540682414699</v>
      </c>
      <c r="G24" s="15">
        <v>46945.13</v>
      </c>
      <c r="H24" s="15">
        <f t="shared" si="10"/>
        <v>-417.12999999999738</v>
      </c>
      <c r="I24" s="16">
        <f t="shared" si="11"/>
        <v>-8.8854797079057496E-3</v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>
        <v>37940</v>
      </c>
      <c r="D25" s="18">
        <v>47901</v>
      </c>
      <c r="E25" s="18">
        <f t="shared" si="8"/>
        <v>-9961</v>
      </c>
      <c r="F25" s="19">
        <f t="shared" si="9"/>
        <v>-0.20794972965073799</v>
      </c>
      <c r="G25" s="20">
        <v>38854.629999999997</v>
      </c>
      <c r="H25" s="20">
        <f t="shared" si="10"/>
        <v>-914.62999999999738</v>
      </c>
      <c r="I25" s="19">
        <f t="shared" si="11"/>
        <v>-2.3539794356554095E-2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>
        <v>47225</v>
      </c>
      <c r="D26" s="13">
        <v>63511</v>
      </c>
      <c r="E26" s="13">
        <f t="shared" si="8"/>
        <v>-16286</v>
      </c>
      <c r="F26" s="14">
        <f t="shared" si="9"/>
        <v>-0.25642802034293272</v>
      </c>
      <c r="G26" s="15">
        <v>38126</v>
      </c>
      <c r="H26" s="15">
        <f t="shared" si="10"/>
        <v>9099</v>
      </c>
      <c r="I26" s="16">
        <f t="shared" si="11"/>
        <v>0.23865603525153439</v>
      </c>
      <c r="J26" s="41"/>
      <c r="K26" s="41"/>
    </row>
    <row r="27" spans="1:11" ht="15.6">
      <c r="A27" s="30" t="str">
        <v>CSU - Bakersfield</v>
      </c>
      <c r="B27" s="31" t="str">
        <v>CA</v>
      </c>
      <c r="C27" s="11">
        <v>148381</v>
      </c>
      <c r="D27" s="18">
        <v>249989</v>
      </c>
      <c r="E27" s="18">
        <f t="shared" si="8"/>
        <v>-101608</v>
      </c>
      <c r="F27" s="19">
        <f t="shared" si="9"/>
        <v>-0.406449883794887</v>
      </c>
      <c r="G27" s="20">
        <v>175723.62</v>
      </c>
      <c r="H27" s="20">
        <f t="shared" si="10"/>
        <v>-27342.619999999995</v>
      </c>
      <c r="I27" s="19">
        <f t="shared" si="11"/>
        <v>-0.15560014072097988</v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>
        <v>5479</v>
      </c>
      <c r="D28" s="13">
        <v>0</v>
      </c>
      <c r="E28" s="13">
        <f t="shared" si="8"/>
        <v>5479</v>
      </c>
      <c r="F28" s="14" t="str">
        <f t="shared" si="9"/>
        <v/>
      </c>
      <c r="G28" s="15">
        <v>16661.509999999998</v>
      </c>
      <c r="H28" s="15">
        <f t="shared" si="10"/>
        <v>-11182.509999999998</v>
      </c>
      <c r="I28" s="16">
        <f t="shared" si="11"/>
        <v>-0.6711582563645192</v>
      </c>
      <c r="J28" s="41"/>
      <c r="K28" s="41"/>
    </row>
    <row r="29" spans="1:11" ht="43.5">
      <c r="A29" s="30" t="str">
        <v>Greenfield USD - Granite Point ES</v>
      </c>
      <c r="B29" s="31" t="str">
        <v>CA</v>
      </c>
      <c r="C29" s="11">
        <v>25332</v>
      </c>
      <c r="D29" s="18">
        <v>59827</v>
      </c>
      <c r="E29" s="18">
        <f t="shared" si="8"/>
        <v>-34495</v>
      </c>
      <c r="F29" s="19">
        <f t="shared" si="9"/>
        <v>-0.57657913651027126</v>
      </c>
      <c r="G29" s="20">
        <v>44010.44</v>
      </c>
      <c r="H29" s="20">
        <f t="shared" si="10"/>
        <v>-18678.440000000002</v>
      </c>
      <c r="I29" s="19">
        <f t="shared" si="11"/>
        <v>-0.42440929924808751</v>
      </c>
      <c r="J29" s="42" t="s">
        <v>108</v>
      </c>
      <c r="K29" s="42" t="s">
        <v>109</v>
      </c>
    </row>
    <row r="30" spans="1:11" ht="43.5">
      <c r="A30" s="28" t="str">
        <v>Greenfield USD - Greenfield MS</v>
      </c>
      <c r="B30" s="29" t="str">
        <v>CA</v>
      </c>
      <c r="C30" s="24">
        <v>15624</v>
      </c>
      <c r="D30" s="13">
        <v>40002</v>
      </c>
      <c r="E30" s="13">
        <f t="shared" si="8"/>
        <v>-24378</v>
      </c>
      <c r="F30" s="14">
        <f t="shared" si="9"/>
        <v>-0.60941952902354879</v>
      </c>
      <c r="G30" s="15">
        <v>29990.71</v>
      </c>
      <c r="H30" s="15">
        <f t="shared" si="10"/>
        <v>-14366.71</v>
      </c>
      <c r="I30" s="16">
        <f t="shared" si="11"/>
        <v>-0.47903867564322417</v>
      </c>
      <c r="J30" s="41" t="s">
        <v>110</v>
      </c>
      <c r="K30" s="41" t="s">
        <v>111</v>
      </c>
    </row>
    <row r="31" spans="1:11" ht="43.5">
      <c r="A31" s="30" t="str">
        <v>Greenfield USD - Horizon ES</v>
      </c>
      <c r="B31" s="31" t="str">
        <v>CA</v>
      </c>
      <c r="C31" s="11">
        <v>24256</v>
      </c>
      <c r="D31" s="18">
        <v>61682</v>
      </c>
      <c r="E31" s="18">
        <f t="shared" si="8"/>
        <v>-37426</v>
      </c>
      <c r="F31" s="19">
        <f t="shared" si="9"/>
        <v>-0.60675723874063747</v>
      </c>
      <c r="G31" s="20">
        <v>45661.78</v>
      </c>
      <c r="H31" s="20">
        <f t="shared" si="10"/>
        <v>-21405.78</v>
      </c>
      <c r="I31" s="19">
        <f t="shared" si="11"/>
        <v>-0.46878987196732147</v>
      </c>
      <c r="J31" s="42" t="s">
        <v>112</v>
      </c>
      <c r="K31" s="55" t="s">
        <v>113</v>
      </c>
    </row>
    <row r="32" spans="1:11" ht="15.6">
      <c r="A32" s="28" t="str">
        <v>Greenfield USD - McKee MS</v>
      </c>
      <c r="B32" s="29" t="str">
        <v>CA</v>
      </c>
      <c r="C32" s="24">
        <v>17189</v>
      </c>
      <c r="D32" s="13">
        <v>36985</v>
      </c>
      <c r="E32" s="13">
        <f t="shared" si="8"/>
        <v>-19796</v>
      </c>
      <c r="F32" s="14">
        <f t="shared" si="9"/>
        <v>-0.53524401784507236</v>
      </c>
      <c r="G32" s="15">
        <v>27880.25</v>
      </c>
      <c r="H32" s="15">
        <f t="shared" si="10"/>
        <v>-10691.25</v>
      </c>
      <c r="I32" s="16">
        <f t="shared" si="11"/>
        <v>-0.38347037777638293</v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>
        <v>9374</v>
      </c>
      <c r="D33" s="18">
        <v>15307</v>
      </c>
      <c r="E33" s="18">
        <f t="shared" si="8"/>
        <v>-5933</v>
      </c>
      <c r="F33" s="19">
        <f t="shared" si="9"/>
        <v>-0.38760044424119683</v>
      </c>
      <c r="G33" s="20">
        <v>19929.009999999998</v>
      </c>
      <c r="H33" s="20">
        <f t="shared" si="10"/>
        <v>-10555.009999999998</v>
      </c>
      <c r="I33" s="19">
        <f t="shared" si="11"/>
        <v>-0.52963042318710263</v>
      </c>
      <c r="J33" s="42" t="s">
        <v>114</v>
      </c>
      <c r="K33" s="43" t="s">
        <v>115</v>
      </c>
    </row>
    <row r="34" spans="1:11" ht="15.6">
      <c r="A34" s="28" t="str">
        <v>Greenfield USD - Planz ES</v>
      </c>
      <c r="B34" s="29" t="str">
        <v>CA</v>
      </c>
      <c r="C34" s="24">
        <v>6294</v>
      </c>
      <c r="D34" s="13">
        <v>29689</v>
      </c>
      <c r="E34" s="13">
        <f t="shared" si="8"/>
        <v>-23395</v>
      </c>
      <c r="F34" s="14">
        <f t="shared" si="9"/>
        <v>-0.78800229041058978</v>
      </c>
      <c r="G34" s="15">
        <v>22548.57</v>
      </c>
      <c r="H34" s="15">
        <f t="shared" si="10"/>
        <v>-16254.57</v>
      </c>
      <c r="I34" s="16">
        <f t="shared" si="11"/>
        <v>-0.72086921698360473</v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>
        <v>34936</v>
      </c>
      <c r="D35" s="18">
        <v>63729</v>
      </c>
      <c r="E35" s="18">
        <f t="shared" si="8"/>
        <v>-28793</v>
      </c>
      <c r="F35" s="19">
        <f t="shared" si="9"/>
        <v>-0.45180373142525382</v>
      </c>
      <c r="G35" s="20">
        <v>49336.57</v>
      </c>
      <c r="H35" s="20">
        <f t="shared" si="10"/>
        <v>-14400.57</v>
      </c>
      <c r="I35" s="19">
        <f t="shared" si="11"/>
        <v>-0.29188429596950094</v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>
        <v>38421</v>
      </c>
      <c r="D36" s="13">
        <v>64023</v>
      </c>
      <c r="E36" s="13">
        <f t="shared" si="8"/>
        <v>-25602</v>
      </c>
      <c r="F36" s="14">
        <f t="shared" si="9"/>
        <v>-0.39988754041516328</v>
      </c>
      <c r="G36" s="15">
        <v>45985.760000000002</v>
      </c>
      <c r="H36" s="15">
        <f t="shared" si="10"/>
        <v>-7564.760000000002</v>
      </c>
      <c r="I36" s="16">
        <f t="shared" si="11"/>
        <v>-0.16450222851595803</v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8"/>
        <v>0</v>
      </c>
      <c r="F37" s="19" t="str">
        <f t="shared" si="9"/>
        <v/>
      </c>
      <c r="G37" s="20">
        <v>17725.990000000002</v>
      </c>
      <c r="H37" s="20">
        <f t="shared" si="10"/>
        <v>-17725.990000000002</v>
      </c>
      <c r="I37" s="19">
        <f t="shared" si="11"/>
        <v>-1</v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8"/>
        <v>0</v>
      </c>
      <c r="F38" s="14" t="str">
        <f t="shared" si="9"/>
        <v/>
      </c>
      <c r="G38" s="15">
        <v>38193</v>
      </c>
      <c r="H38" s="15">
        <f t="shared" si="10"/>
        <v>-38193</v>
      </c>
      <c r="I38" s="16">
        <f t="shared" si="11"/>
        <v>-1</v>
      </c>
      <c r="J38" s="41" t="s">
        <v>116</v>
      </c>
      <c r="K38" s="41" t="s">
        <v>117</v>
      </c>
    </row>
    <row r="39" spans="1:11" ht="15.6">
      <c r="A39" s="30" t="str">
        <v>Muroc Joint USD - W. Boron ES</v>
      </c>
      <c r="B39" s="31" t="str">
        <v>CA</v>
      </c>
      <c r="C39" s="11">
        <v>7600</v>
      </c>
      <c r="D39" s="18">
        <v>12318</v>
      </c>
      <c r="E39" s="18">
        <f t="shared" si="8"/>
        <v>-4718</v>
      </c>
      <c r="F39" s="19">
        <f t="shared" si="9"/>
        <v>-0.38301672349407373</v>
      </c>
      <c r="G39" s="20">
        <v>14088.83</v>
      </c>
      <c r="H39" s="20">
        <f t="shared" si="10"/>
        <v>-6488.83</v>
      </c>
      <c r="I39" s="19">
        <f t="shared" si="11"/>
        <v>-0.46056556861002651</v>
      </c>
      <c r="J39" s="42" t="s">
        <v>118</v>
      </c>
      <c r="K39" s="43" t="s">
        <v>119</v>
      </c>
    </row>
    <row r="40" spans="1:11" ht="15.6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8"/>
        <v>0</v>
      </c>
      <c r="F40" s="14" t="str">
        <f t="shared" si="9"/>
        <v/>
      </c>
      <c r="G40" s="15">
        <v>57962.212</v>
      </c>
      <c r="H40" s="15">
        <f t="shared" si="10"/>
        <v>-57962.212</v>
      </c>
      <c r="I40" s="16">
        <f t="shared" si="11"/>
        <v>-1</v>
      </c>
      <c r="J40" s="41" t="s">
        <v>120</v>
      </c>
      <c r="K40" s="41" t="s">
        <v>121</v>
      </c>
    </row>
    <row r="41" spans="1:11" ht="15.6">
      <c r="A41" s="30" t="str">
        <v>CDCR-North Kern State Prision</v>
      </c>
      <c r="B41" s="31" t="str">
        <v>CA</v>
      </c>
      <c r="C41" s="11">
        <v>99430</v>
      </c>
      <c r="D41" s="18">
        <v>0</v>
      </c>
      <c r="E41" s="18">
        <f t="shared" si="8"/>
        <v>99430</v>
      </c>
      <c r="F41" s="19" t="str">
        <f t="shared" si="9"/>
        <v/>
      </c>
      <c r="G41" s="20">
        <v>250932.45</v>
      </c>
      <c r="H41" s="20">
        <f t="shared" si="10"/>
        <v>-151502.45000000001</v>
      </c>
      <c r="I41" s="19">
        <f t="shared" si="11"/>
        <v>-0.60375790377051675</v>
      </c>
      <c r="J41" s="42" t="s">
        <v>122</v>
      </c>
      <c r="K41" s="43" t="s">
        <v>123</v>
      </c>
    </row>
    <row r="42" spans="1:11" ht="15.6">
      <c r="A42" s="28" t="str">
        <v>Muroc Joint USD - District Office</v>
      </c>
      <c r="B42" s="29" t="str">
        <v>CA</v>
      </c>
      <c r="C42" s="24">
        <v>3768</v>
      </c>
      <c r="D42" s="13">
        <v>8482</v>
      </c>
      <c r="E42" s="13">
        <f t="shared" si="8"/>
        <v>-4714</v>
      </c>
      <c r="F42" s="14">
        <f t="shared" si="9"/>
        <v>-0.5557651497288375</v>
      </c>
      <c r="G42" s="15">
        <v>9935.02</v>
      </c>
      <c r="H42" s="15">
        <f t="shared" si="10"/>
        <v>-6167.02</v>
      </c>
      <c r="I42" s="16">
        <f t="shared" si="11"/>
        <v>-0.62073553953590432</v>
      </c>
      <c r="J42" s="41" t="s">
        <v>124</v>
      </c>
      <c r="K42" s="41" t="s">
        <v>125</v>
      </c>
    </row>
    <row r="43" spans="1:11" ht="15.6">
      <c r="A43" s="30" t="str">
        <v>Whole Foods - Manhattan Beach</v>
      </c>
      <c r="B43" s="31" t="str">
        <v>CA</v>
      </c>
      <c r="C43" s="11">
        <v>20073</v>
      </c>
      <c r="D43" s="18">
        <v>0</v>
      </c>
      <c r="E43" s="18">
        <f t="shared" si="8"/>
        <v>20073</v>
      </c>
      <c r="F43" s="19" t="str">
        <f t="shared" si="9"/>
        <v/>
      </c>
      <c r="G43" s="20">
        <v>21967.919999999998</v>
      </c>
      <c r="H43" s="20">
        <f t="shared" si="10"/>
        <v>-1894.9199999999983</v>
      </c>
      <c r="I43" s="19">
        <f t="shared" si="11"/>
        <v>-8.6258507860552947E-2</v>
      </c>
      <c r="J43" s="42" t="s">
        <v>126</v>
      </c>
      <c r="K43" s="43" t="s">
        <v>127</v>
      </c>
    </row>
    <row r="44" spans="1:11" ht="15.6">
      <c r="A44" s="28" t="str">
        <v>Pioneer USD - Frontier ES</v>
      </c>
      <c r="B44" s="29" t="str">
        <v>CA</v>
      </c>
      <c r="C44" s="24">
        <v>32052</v>
      </c>
      <c r="D44" s="13">
        <v>0</v>
      </c>
      <c r="E44" s="13">
        <f t="shared" si="8"/>
        <v>32052</v>
      </c>
      <c r="F44" s="14" t="str">
        <f t="shared" si="9"/>
        <v/>
      </c>
      <c r="G44" s="15">
        <v>39025.040000000001</v>
      </c>
      <c r="H44" s="15">
        <f t="shared" si="10"/>
        <v>-6973.0400000000009</v>
      </c>
      <c r="I44" s="16">
        <f t="shared" si="11"/>
        <v>-0.17868117495843697</v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>
        <v>18816</v>
      </c>
      <c r="D45" s="18">
        <v>0</v>
      </c>
      <c r="E45" s="18">
        <f t="shared" si="8"/>
        <v>18816</v>
      </c>
      <c r="F45" s="19" t="str">
        <f t="shared" si="9"/>
        <v/>
      </c>
      <c r="G45" s="20">
        <v>39672.160000000003</v>
      </c>
      <c r="H45" s="20">
        <f t="shared" si="10"/>
        <v>-20856.160000000003</v>
      </c>
      <c r="I45" s="19">
        <f t="shared" si="11"/>
        <v>-0.52571274163040282</v>
      </c>
      <c r="J45" s="42" t="s">
        <v>128</v>
      </c>
      <c r="K45" s="43" t="s">
        <v>129</v>
      </c>
    </row>
    <row r="46" spans="1:11" ht="43.5">
      <c r="A46" s="28" t="str">
        <v>Pioneer USD - Pioneer MS</v>
      </c>
      <c r="B46" s="29" t="str">
        <v>CA</v>
      </c>
      <c r="C46" s="24">
        <v>40716</v>
      </c>
      <c r="D46" s="13">
        <v>0</v>
      </c>
      <c r="E46" s="13">
        <f t="shared" si="8"/>
        <v>40716</v>
      </c>
      <c r="F46" s="14" t="str">
        <f t="shared" si="9"/>
        <v/>
      </c>
      <c r="G46" s="15">
        <v>53195.61</v>
      </c>
      <c r="H46" s="15">
        <f t="shared" si="10"/>
        <v>-12479.61</v>
      </c>
      <c r="I46" s="16">
        <f t="shared" si="11"/>
        <v>-0.23459849412385722</v>
      </c>
      <c r="J46" s="41" t="s">
        <v>130</v>
      </c>
      <c r="K46" s="41" t="s">
        <v>131</v>
      </c>
    </row>
    <row r="47" spans="1:11" ht="29.1">
      <c r="A47" s="30" t="str">
        <v>Kingsburg Joint UHSD - Kingsburg HS</v>
      </c>
      <c r="B47" s="31" t="str">
        <v>CA</v>
      </c>
      <c r="C47" s="11">
        <v>61245</v>
      </c>
      <c r="D47" s="18">
        <v>126812</v>
      </c>
      <c r="E47" s="18">
        <f t="shared" si="8"/>
        <v>-65567</v>
      </c>
      <c r="F47" s="19">
        <f t="shared" si="9"/>
        <v>-0.51704097404031168</v>
      </c>
      <c r="G47" s="20">
        <v>91972.44</v>
      </c>
      <c r="H47" s="20">
        <f t="shared" si="10"/>
        <v>-30727.440000000002</v>
      </c>
      <c r="I47" s="19">
        <f t="shared" si="11"/>
        <v>-0.33409399598401435</v>
      </c>
      <c r="J47" s="42" t="s">
        <v>132</v>
      </c>
      <c r="K47" s="43" t="s">
        <v>133</v>
      </c>
    </row>
    <row r="48" spans="1:11" ht="15.6">
      <c r="A48" s="28" t="str">
        <v>CADRB</v>
      </c>
      <c r="B48" s="29" t="str">
        <v>CA</v>
      </c>
      <c r="C48" s="24">
        <v>649009</v>
      </c>
      <c r="D48" s="13">
        <v>479221</v>
      </c>
      <c r="E48" s="13">
        <f t="shared" si="8"/>
        <v>169788</v>
      </c>
      <c r="F48" s="14">
        <f t="shared" si="9"/>
        <v>0.35429999937398404</v>
      </c>
      <c r="G48" s="15">
        <v>838748</v>
      </c>
      <c r="H48" s="15">
        <f t="shared" si="10"/>
        <v>-189739</v>
      </c>
      <c r="I48" s="16">
        <f t="shared" si="11"/>
        <v>-0.22621693285706793</v>
      </c>
      <c r="J48" s="41" t="s">
        <v>134</v>
      </c>
      <c r="K48" s="41" t="s">
        <v>135</v>
      </c>
    </row>
    <row r="49" spans="1:11" ht="15.6">
      <c r="A49" s="30" t="str">
        <v>CDCR-CA State Prison LA County</v>
      </c>
      <c r="B49" s="31" t="str">
        <v>CA</v>
      </c>
      <c r="C49" s="11">
        <v>304987</v>
      </c>
      <c r="D49" s="18">
        <v>0</v>
      </c>
      <c r="E49" s="18">
        <f t="shared" si="8"/>
        <v>304987</v>
      </c>
      <c r="F49" s="19" t="str">
        <f t="shared" si="9"/>
        <v/>
      </c>
      <c r="G49" s="20">
        <v>530579</v>
      </c>
      <c r="H49" s="20">
        <f t="shared" si="10"/>
        <v>-225592</v>
      </c>
      <c r="I49" s="19">
        <f t="shared" si="11"/>
        <v>-0.42518079305814971</v>
      </c>
      <c r="J49" s="42" t="s">
        <v>136</v>
      </c>
      <c r="K49" s="43" t="s">
        <v>137</v>
      </c>
    </row>
    <row r="50" spans="1:11" ht="15.6">
      <c r="A50" s="28" t="str">
        <v>Central USD Akers ES</v>
      </c>
      <c r="B50" s="29" t="str">
        <v>CA</v>
      </c>
      <c r="C50" s="24">
        <v>30828</v>
      </c>
      <c r="D50" s="13">
        <v>0</v>
      </c>
      <c r="E50" s="13">
        <f t="shared" si="8"/>
        <v>30828</v>
      </c>
      <c r="F50" s="14" t="str">
        <f t="shared" si="9"/>
        <v/>
      </c>
      <c r="G50" s="15">
        <v>40023</v>
      </c>
      <c r="H50" s="15">
        <f t="shared" si="10"/>
        <v>-9195</v>
      </c>
      <c r="I50" s="16">
        <f t="shared" si="11"/>
        <v>-0.2297428978337456</v>
      </c>
      <c r="J50" s="41" t="s">
        <v>138</v>
      </c>
      <c r="K50" s="41" t="s">
        <v>139</v>
      </c>
    </row>
    <row r="51" spans="1:11" ht="15.6">
      <c r="A51" s="30" t="str">
        <v>CUSD - District Office</v>
      </c>
      <c r="B51" s="31" t="str">
        <v>CA</v>
      </c>
      <c r="C51" s="11">
        <v>25512</v>
      </c>
      <c r="D51" s="18">
        <v>47040</v>
      </c>
      <c r="E51" s="18">
        <f t="shared" si="8"/>
        <v>-21528</v>
      </c>
      <c r="F51" s="19">
        <f t="shared" si="9"/>
        <v>-0.45765306122448979</v>
      </c>
      <c r="G51" s="20">
        <v>33540.14</v>
      </c>
      <c r="H51" s="20">
        <f t="shared" si="10"/>
        <v>-8028.1399999999994</v>
      </c>
      <c r="I51" s="19">
        <f t="shared" si="11"/>
        <v>-0.23935916785081993</v>
      </c>
      <c r="J51" s="42" t="s">
        <v>140</v>
      </c>
      <c r="K51" s="43" t="s">
        <v>141</v>
      </c>
    </row>
    <row r="52" spans="1:11" ht="15.6">
      <c r="A52" s="28" t="str">
        <v>Parlier - WTP</v>
      </c>
      <c r="B52" s="29" t="str">
        <v>CA</v>
      </c>
      <c r="C52" s="24">
        <v>43735</v>
      </c>
      <c r="D52" s="13">
        <v>0</v>
      </c>
      <c r="E52" s="13">
        <f t="shared" si="8"/>
        <v>43735</v>
      </c>
      <c r="F52" s="14" t="str">
        <f t="shared" si="9"/>
        <v/>
      </c>
      <c r="G52" s="15">
        <v>105214</v>
      </c>
      <c r="H52" s="15">
        <f t="shared" si="10"/>
        <v>-61479</v>
      </c>
      <c r="I52" s="16">
        <f t="shared" si="11"/>
        <v>-0.58432337901800135</v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>
        <v>46328</v>
      </c>
      <c r="D53" s="18">
        <v>70862</v>
      </c>
      <c r="E53" s="18">
        <f t="shared" si="8"/>
        <v>-24534</v>
      </c>
      <c r="F53" s="19">
        <f t="shared" si="9"/>
        <v>-0.3462222347661652</v>
      </c>
      <c r="G53" s="20">
        <v>46059.09</v>
      </c>
      <c r="H53" s="20">
        <f t="shared" si="10"/>
        <v>268.91000000000349</v>
      </c>
      <c r="I53" s="19">
        <f t="shared" si="11"/>
        <v>5.8383697984481136E-3</v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>
        <v>39558</v>
      </c>
      <c r="D54" s="13">
        <v>0</v>
      </c>
      <c r="E54" s="13">
        <f t="shared" si="8"/>
        <v>39558</v>
      </c>
      <c r="F54" s="14" t="str">
        <f t="shared" si="9"/>
        <v/>
      </c>
      <c r="G54" s="15">
        <v>55638</v>
      </c>
      <c r="H54" s="15">
        <f t="shared" si="10"/>
        <v>-16080</v>
      </c>
      <c r="I54" s="16">
        <f t="shared" si="11"/>
        <v>-0.2890111075164456</v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8"/>
        <v>0</v>
      </c>
      <c r="F55" s="19" t="str">
        <f t="shared" si="9"/>
        <v/>
      </c>
      <c r="G55" s="20">
        <v>25006.66</v>
      </c>
      <c r="H55" s="20">
        <f t="shared" si="10"/>
        <v>-25006.66</v>
      </c>
      <c r="I55" s="19">
        <f t="shared" si="11"/>
        <v>-1</v>
      </c>
      <c r="J55" t="s">
        <v>142</v>
      </c>
      <c r="K55" s="43" t="s">
        <v>143</v>
      </c>
    </row>
    <row r="56" spans="1:11" ht="15.6">
      <c r="A56" s="28" t="str">
        <v>Ramona - Santa Maria WTP</v>
      </c>
      <c r="B56" s="29" t="str">
        <v>CA</v>
      </c>
      <c r="C56" s="24">
        <v>75841</v>
      </c>
      <c r="D56" s="13">
        <v>123879</v>
      </c>
      <c r="E56" s="13">
        <f t="shared" si="8"/>
        <v>-48038</v>
      </c>
      <c r="F56" s="14">
        <f t="shared" si="9"/>
        <v>-0.38778162561854712</v>
      </c>
      <c r="G56" s="15">
        <v>85658.65</v>
      </c>
      <c r="H56" s="15">
        <f t="shared" si="10"/>
        <v>-9817.6499999999942</v>
      </c>
      <c r="I56" s="16">
        <f t="shared" si="11"/>
        <v>-0.114613643805967</v>
      </c>
      <c r="J56" s="41"/>
      <c r="K56" s="41"/>
    </row>
    <row r="57" spans="1:11" ht="15.6">
      <c r="A57" s="30" t="str">
        <v>Kohls - Redding</v>
      </c>
      <c r="B57" s="31" t="str">
        <v>CA</v>
      </c>
      <c r="C57" s="11">
        <v>40323</v>
      </c>
      <c r="D57" s="18">
        <v>21081</v>
      </c>
      <c r="E57" s="18">
        <f t="shared" si="8"/>
        <v>19242</v>
      </c>
      <c r="F57" s="19">
        <f t="shared" si="9"/>
        <v>0.91276504909634271</v>
      </c>
      <c r="G57" s="20">
        <v>34726.47</v>
      </c>
      <c r="H57" s="20">
        <f t="shared" si="10"/>
        <v>5596.5299999999988</v>
      </c>
      <c r="I57" s="19">
        <f t="shared" si="11"/>
        <v>0.16116034828763184</v>
      </c>
      <c r="J57" s="42" t="s">
        <v>144</v>
      </c>
      <c r="K57" s="43" t="s">
        <v>145</v>
      </c>
    </row>
    <row r="58" spans="1:11" ht="15.6">
      <c r="A58" s="28" t="str">
        <v>Kohls - Salinas</v>
      </c>
      <c r="B58" s="29" t="str">
        <v>CA</v>
      </c>
      <c r="C58" s="24">
        <v>40543</v>
      </c>
      <c r="D58" s="13">
        <v>76621</v>
      </c>
      <c r="E58" s="13">
        <f t="shared" si="8"/>
        <v>-36078</v>
      </c>
      <c r="F58" s="14">
        <f t="shared" si="9"/>
        <v>-0.47086307931246002</v>
      </c>
      <c r="G58" s="15">
        <v>50234.44</v>
      </c>
      <c r="H58" s="15">
        <f t="shared" si="10"/>
        <v>-9691.4400000000023</v>
      </c>
      <c r="I58" s="16">
        <f t="shared" si="11"/>
        <v>-0.1929242169316509</v>
      </c>
      <c r="J58" s="41" t="s">
        <v>146</v>
      </c>
      <c r="K58" s="41" t="s">
        <v>147</v>
      </c>
    </row>
    <row r="59" spans="1:11" ht="15.6">
      <c r="A59" s="30" t="str">
        <v>Kohls - San Bernardino - Central</v>
      </c>
      <c r="B59" s="31" t="str">
        <v>CA</v>
      </c>
      <c r="C59" s="11">
        <v>133441</v>
      </c>
      <c r="D59" s="18">
        <v>0</v>
      </c>
      <c r="E59" s="18">
        <f t="shared" si="8"/>
        <v>133441</v>
      </c>
      <c r="F59" s="19" t="str">
        <f t="shared" si="9"/>
        <v/>
      </c>
      <c r="G59" s="20">
        <v>160429.9</v>
      </c>
      <c r="H59" s="20">
        <f t="shared" si="10"/>
        <v>-26988.899999999994</v>
      </c>
      <c r="I59" s="19">
        <f t="shared" si="11"/>
        <v>-0.1682286157380887</v>
      </c>
      <c r="J59" s="42"/>
      <c r="K59" s="43"/>
    </row>
    <row r="60" spans="1:11" ht="15.6">
      <c r="A60" s="28" t="str">
        <v>Kohls - Sonora</v>
      </c>
      <c r="B60" s="29" t="str">
        <v>CA</v>
      </c>
      <c r="C60" s="24">
        <v>32035</v>
      </c>
      <c r="D60" s="13">
        <v>51579</v>
      </c>
      <c r="E60" s="13">
        <f t="shared" si="8"/>
        <v>-19544</v>
      </c>
      <c r="F60" s="14">
        <f t="shared" si="9"/>
        <v>-0.37891389906744993</v>
      </c>
      <c r="G60" s="15">
        <v>35172.44</v>
      </c>
      <c r="H60" s="15">
        <f t="shared" si="10"/>
        <v>-3137.4400000000023</v>
      </c>
      <c r="I60" s="16">
        <f t="shared" si="11"/>
        <v>-8.9201659026214908E-2</v>
      </c>
      <c r="J60" s="41" t="s">
        <v>148</v>
      </c>
      <c r="K60" s="41"/>
    </row>
    <row r="61" spans="1:11" ht="15.6">
      <c r="A61" s="30" t="str">
        <v>CUSD - Stratford ES</v>
      </c>
      <c r="B61" s="31" t="str">
        <v>CA</v>
      </c>
      <c r="C61" s="11">
        <v>24519</v>
      </c>
      <c r="D61" s="18">
        <v>35822</v>
      </c>
      <c r="E61" s="18">
        <f t="shared" si="8"/>
        <v>-11303</v>
      </c>
      <c r="F61" s="19">
        <f t="shared" si="9"/>
        <v>-0.31553235441907207</v>
      </c>
      <c r="G61" s="20">
        <v>24455.16</v>
      </c>
      <c r="H61" s="20">
        <f t="shared" si="10"/>
        <v>63.840000000000146</v>
      </c>
      <c r="I61" s="19">
        <f t="shared" si="11"/>
        <v>2.6104920188622827E-3</v>
      </c>
      <c r="J61" s="42"/>
      <c r="K61" s="43"/>
    </row>
    <row r="62" spans="1:11" ht="15.6">
      <c r="A62" s="28" t="str">
        <v>Taft - City Hall</v>
      </c>
      <c r="B62" s="29" t="str">
        <v>CA</v>
      </c>
      <c r="C62" s="24">
        <v>7913</v>
      </c>
      <c r="D62" s="13">
        <v>31705</v>
      </c>
      <c r="E62" s="13">
        <f t="shared" si="8"/>
        <v>-23792</v>
      </c>
      <c r="F62" s="14">
        <f t="shared" si="9"/>
        <v>-0.75041791515533829</v>
      </c>
      <c r="G62" s="15">
        <v>10929.73</v>
      </c>
      <c r="H62" s="15">
        <f t="shared" si="10"/>
        <v>-3016.7299999999996</v>
      </c>
      <c r="I62" s="16">
        <f t="shared" si="11"/>
        <v>-0.27601139277914455</v>
      </c>
      <c r="J62" s="41" t="s">
        <v>149</v>
      </c>
      <c r="K62" s="41" t="s">
        <v>150</v>
      </c>
    </row>
    <row r="63" spans="1:11" ht="43.5">
      <c r="A63" s="30" t="str">
        <v>Taft - Federal Prison</v>
      </c>
      <c r="B63" s="31" t="str">
        <v>CA</v>
      </c>
      <c r="C63" s="11">
        <v>8481</v>
      </c>
      <c r="D63" s="18">
        <v>14165</v>
      </c>
      <c r="E63" s="18">
        <f t="shared" si="8"/>
        <v>-5684</v>
      </c>
      <c r="F63" s="19">
        <f t="shared" si="9"/>
        <v>-0.40127073773385102</v>
      </c>
      <c r="G63" s="20">
        <v>17202.07</v>
      </c>
      <c r="H63" s="20">
        <f t="shared" si="10"/>
        <v>-8721.07</v>
      </c>
      <c r="I63" s="19">
        <f t="shared" si="11"/>
        <v>-0.50697793928288859</v>
      </c>
      <c r="J63" s="42" t="s">
        <v>151</v>
      </c>
      <c r="K63" s="43" t="s">
        <v>152</v>
      </c>
    </row>
    <row r="64" spans="1:11" ht="15.6">
      <c r="A64" s="28" t="str">
        <v>Taft - Police Department</v>
      </c>
      <c r="B64" s="29" t="str">
        <v>CA</v>
      </c>
      <c r="C64" s="24">
        <v>13121</v>
      </c>
      <c r="D64" s="13">
        <v>18638</v>
      </c>
      <c r="E64" s="13">
        <f t="shared" si="8"/>
        <v>-5517</v>
      </c>
      <c r="F64" s="14">
        <f t="shared" si="9"/>
        <v>-0.29600815538147868</v>
      </c>
      <c r="G64" s="15">
        <v>12499.65</v>
      </c>
      <c r="H64" s="15">
        <f t="shared" si="10"/>
        <v>621.35000000000036</v>
      </c>
      <c r="I64" s="16">
        <f t="shared" si="11"/>
        <v>4.9709391862972192E-2</v>
      </c>
      <c r="J64" s="41"/>
      <c r="K64" s="41"/>
    </row>
    <row r="65" spans="1:11" ht="15.6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8"/>
        <v>0</v>
      </c>
      <c r="F65" s="19" t="str">
        <f t="shared" si="9"/>
        <v/>
      </c>
      <c r="G65" s="20"/>
      <c r="H65" s="20" t="str">
        <f t="shared" si="10"/>
        <v/>
      </c>
      <c r="I65" s="19" t="str">
        <f t="shared" si="11"/>
        <v/>
      </c>
      <c r="J65" s="42" t="s">
        <v>153</v>
      </c>
      <c r="K65" s="43" t="s">
        <v>154</v>
      </c>
    </row>
    <row r="66" spans="1:11" ht="29.1">
      <c r="A66" s="28" t="str">
        <v>CDCR - CA Correctional Institution</v>
      </c>
      <c r="B66" s="29" t="str">
        <v>CA</v>
      </c>
      <c r="C66" s="24">
        <v>7488</v>
      </c>
      <c r="D66" s="13">
        <v>0</v>
      </c>
      <c r="E66" s="13">
        <f t="shared" si="8"/>
        <v>7488</v>
      </c>
      <c r="F66" s="14" t="str">
        <f t="shared" si="9"/>
        <v/>
      </c>
      <c r="G66" s="15">
        <v>26205.7</v>
      </c>
      <c r="H66" s="15">
        <f t="shared" si="10"/>
        <v>-18717.7</v>
      </c>
      <c r="I66" s="16">
        <f t="shared" si="11"/>
        <v>-0.71426063795281181</v>
      </c>
      <c r="J66" s="41" t="s">
        <v>155</v>
      </c>
      <c r="K66" s="41" t="s">
        <v>156</v>
      </c>
    </row>
    <row r="67" spans="1:11" ht="30.95">
      <c r="A67" s="30" t="str">
        <v>CDCR - CA Correctional Institution II</v>
      </c>
      <c r="B67" s="31" t="str">
        <v>CA</v>
      </c>
      <c r="C67" s="11">
        <v>81731</v>
      </c>
      <c r="D67" s="18">
        <v>217781</v>
      </c>
      <c r="E67" s="18">
        <f t="shared" si="8"/>
        <v>-136050</v>
      </c>
      <c r="F67" s="19">
        <f t="shared" si="9"/>
        <v>-0.62471014459479934</v>
      </c>
      <c r="G67" s="20">
        <v>390989.99400000001</v>
      </c>
      <c r="H67" s="20">
        <f t="shared" si="10"/>
        <v>-309258.99400000001</v>
      </c>
      <c r="I67" s="19">
        <f t="shared" si="11"/>
        <v>-0.79096396006492176</v>
      </c>
      <c r="J67" s="42" t="s">
        <v>157</v>
      </c>
      <c r="K67" s="59" t="s">
        <v>158</v>
      </c>
    </row>
    <row r="68" spans="1:11" ht="15.6">
      <c r="A68" s="28" t="str">
        <v>Snowline SD - Vista Verde ES</v>
      </c>
      <c r="B68" s="29" t="str">
        <v>CA</v>
      </c>
      <c r="C68" s="24">
        <v>33695</v>
      </c>
      <c r="D68" s="13">
        <v>49622</v>
      </c>
      <c r="E68" s="13">
        <f t="shared" si="8"/>
        <v>-15927</v>
      </c>
      <c r="F68" s="14">
        <f t="shared" si="9"/>
        <v>-0.32096650679134253</v>
      </c>
      <c r="G68" s="15">
        <v>33905.040000000001</v>
      </c>
      <c r="H68" s="15">
        <f t="shared" si="10"/>
        <v>-210.04000000000087</v>
      </c>
      <c r="I68" s="16">
        <f t="shared" si="11"/>
        <v>-6.194949187495454E-3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D28" sqref="D28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8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159</v>
      </c>
      <c r="E1" s="100"/>
      <c r="F1" s="100"/>
      <c r="G1" s="98" t="s">
        <v>160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2721848</v>
      </c>
      <c r="D2" s="5">
        <f>SUM(D4:D100)</f>
        <v>3006704.1069999998</v>
      </c>
      <c r="E2" s="5">
        <f>C2-D2</f>
        <v>-284856.10699999984</v>
      </c>
      <c r="F2" s="6">
        <f>IFERROR(E2/D2, 0)</f>
        <v>-9.4740319254168578E-2</v>
      </c>
      <c r="G2" s="5">
        <f>SUM(G4:G100)</f>
        <v>4354441.8050000006</v>
      </c>
      <c r="H2" s="7">
        <f>C2-G2</f>
        <v>-1632593.8050000006</v>
      </c>
      <c r="I2" s="6">
        <f>IFERROR(H2/G2, 0)</f>
        <v>-0.37492608194358457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75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76" t="str" cm="1">
        <f t="array" ref="B4:B68">Sites[State]</f>
        <v>CT</v>
      </c>
      <c r="C4" s="24">
        <v>27638</v>
      </c>
      <c r="D4" s="13">
        <v>36672</v>
      </c>
      <c r="E4" s="13">
        <f>IF(AND(ISNUMBER(C4),ISNUMBER(D4)), C4-D4, "")</f>
        <v>-9034</v>
      </c>
      <c r="F4" s="14">
        <f>IFERROR(E4/D4, "")</f>
        <v>-0.24634598603839442</v>
      </c>
      <c r="G4" s="15">
        <v>26362.2</v>
      </c>
      <c r="H4" s="15">
        <f>IF(AND(ISNUMBER(C4),ISNUMBER(G4)), C4-G4, "")</f>
        <v>1275.7999999999993</v>
      </c>
      <c r="I4" s="16">
        <f>IFERROR(H4/G4, "")</f>
        <v>4.8395050488957647E-2</v>
      </c>
      <c r="J4" s="41"/>
      <c r="K4" s="41"/>
    </row>
    <row r="5" spans="1:11" ht="15.6">
      <c r="A5" s="30" t="str">
        <v>Kohls - Auburn</v>
      </c>
      <c r="B5" s="77" t="str">
        <v>NY</v>
      </c>
      <c r="C5" s="11">
        <v>32620</v>
      </c>
      <c r="D5" s="18">
        <v>44495</v>
      </c>
      <c r="E5" s="18">
        <f t="shared" ref="E5:E17" si="0">IF(AND(ISNUMBER(C5),ISNUMBER(D5)), C5-D5, "")</f>
        <v>-11875</v>
      </c>
      <c r="F5" s="19">
        <f>IFERROR(E5/D5, "")</f>
        <v>-0.26688391954152152</v>
      </c>
      <c r="G5" s="20">
        <v>31190.22</v>
      </c>
      <c r="H5" s="20">
        <f t="shared" ref="H5:H17" si="1">IF(AND(ISNUMBER(C5),ISNUMBER(G5)), C5-G5, "")</f>
        <v>1429.7799999999988</v>
      </c>
      <c r="I5" s="19">
        <f t="shared" ref="I5:I17" si="2">IFERROR(H5/G5, "")</f>
        <v>4.5840651332372737E-2</v>
      </c>
      <c r="J5" s="42"/>
      <c r="K5" s="42"/>
    </row>
    <row r="6" spans="1:11" ht="15.6">
      <c r="A6" s="28" t="str">
        <v>Kohls - Bensalem</v>
      </c>
      <c r="B6" s="76" t="str">
        <v>PA</v>
      </c>
      <c r="C6" s="24">
        <v>31638</v>
      </c>
      <c r="D6" s="13">
        <v>40043</v>
      </c>
      <c r="E6" s="13">
        <f t="shared" si="0"/>
        <v>-8405</v>
      </c>
      <c r="F6" s="14">
        <f t="shared" ref="F6:F16" si="3">IFERROR(E6/D6, "")</f>
        <v>-0.20989935818994582</v>
      </c>
      <c r="G6" s="15">
        <v>29962.04</v>
      </c>
      <c r="H6" s="15">
        <f t="shared" si="1"/>
        <v>1675.9599999999991</v>
      </c>
      <c r="I6" s="16">
        <f t="shared" si="2"/>
        <v>5.5936111159320227E-2</v>
      </c>
      <c r="J6" s="41"/>
      <c r="K6" s="41"/>
    </row>
    <row r="7" spans="1:11" ht="15.6">
      <c r="A7" s="30" t="str">
        <v>Kohls - Brick</v>
      </c>
      <c r="B7" s="77" t="str">
        <v>NJ</v>
      </c>
      <c r="C7" s="11">
        <v>36941</v>
      </c>
      <c r="D7" s="18">
        <v>49345</v>
      </c>
      <c r="E7" s="18">
        <f t="shared" si="0"/>
        <v>-12404</v>
      </c>
      <c r="F7" s="19">
        <f t="shared" si="3"/>
        <v>-0.25137298611814773</v>
      </c>
      <c r="G7" s="20">
        <v>36517.019999999997</v>
      </c>
      <c r="H7" s="20">
        <f t="shared" si="1"/>
        <v>423.9800000000032</v>
      </c>
      <c r="I7" s="19">
        <f t="shared" si="2"/>
        <v>1.161047642989497E-2</v>
      </c>
      <c r="J7" s="42"/>
      <c r="K7" s="43"/>
    </row>
    <row r="8" spans="1:11" ht="15.6">
      <c r="A8" s="28" t="str">
        <v>Kohls - Buffalo</v>
      </c>
      <c r="B8" s="76" t="str">
        <v>NY</v>
      </c>
      <c r="C8" s="24">
        <v>37035</v>
      </c>
      <c r="D8" s="13">
        <v>0</v>
      </c>
      <c r="E8" s="13">
        <f t="shared" si="0"/>
        <v>37035</v>
      </c>
      <c r="F8" s="14" t="str">
        <f t="shared" si="3"/>
        <v/>
      </c>
      <c r="G8" s="15">
        <v>38218.74</v>
      </c>
      <c r="H8" s="15">
        <f t="shared" si="1"/>
        <v>-1183.739999999998</v>
      </c>
      <c r="I8" s="16">
        <f t="shared" si="2"/>
        <v>-3.0972763623290513E-2</v>
      </c>
      <c r="J8" s="41" t="s">
        <v>99</v>
      </c>
      <c r="K8" s="41" t="s">
        <v>100</v>
      </c>
    </row>
    <row r="9" spans="1:11" ht="15.6">
      <c r="A9" s="30" t="str">
        <v>Kohls - Canton</v>
      </c>
      <c r="B9" s="77" t="str">
        <v>CT</v>
      </c>
      <c r="C9" s="11">
        <v>14230</v>
      </c>
      <c r="D9" s="18">
        <v>17409</v>
      </c>
      <c r="E9" s="18">
        <f t="shared" si="0"/>
        <v>-3179</v>
      </c>
      <c r="F9" s="19">
        <f t="shared" si="3"/>
        <v>-0.1826066976851054</v>
      </c>
      <c r="G9" s="20">
        <v>12435.32</v>
      </c>
      <c r="H9" s="20">
        <f t="shared" si="1"/>
        <v>1794.6800000000003</v>
      </c>
      <c r="I9" s="19">
        <f t="shared" si="2"/>
        <v>0.14432117549045786</v>
      </c>
      <c r="J9" s="42"/>
      <c r="K9" s="43"/>
    </row>
    <row r="10" spans="1:11" ht="15.6">
      <c r="A10" s="28" t="str">
        <v>Kohls - East Amherst</v>
      </c>
      <c r="B10" s="76" t="str">
        <v>NY</v>
      </c>
      <c r="C10" s="24">
        <v>35218</v>
      </c>
      <c r="D10" s="13">
        <v>47668</v>
      </c>
      <c r="E10" s="13">
        <f t="shared" si="0"/>
        <v>-12450</v>
      </c>
      <c r="F10" s="14">
        <f t="shared" si="3"/>
        <v>-0.26118150541243601</v>
      </c>
      <c r="G10" s="15">
        <v>33464.699999999997</v>
      </c>
      <c r="H10" s="15">
        <f t="shared" si="1"/>
        <v>1753.3000000000029</v>
      </c>
      <c r="I10" s="16">
        <f t="shared" si="2"/>
        <v>5.2392521074445704E-2</v>
      </c>
      <c r="J10" s="41"/>
      <c r="K10" s="41"/>
    </row>
    <row r="11" spans="1:11" ht="15.6">
      <c r="A11" s="30" t="str">
        <v>Kohls - East Brunswick</v>
      </c>
      <c r="B11" s="77" t="str">
        <v>NJ</v>
      </c>
      <c r="C11" s="11">
        <v>43979</v>
      </c>
      <c r="D11" s="18">
        <v>63539</v>
      </c>
      <c r="E11" s="18">
        <f t="shared" si="0"/>
        <v>-19560</v>
      </c>
      <c r="F11" s="19">
        <f t="shared" si="3"/>
        <v>-0.30784242748548135</v>
      </c>
      <c r="G11" s="20">
        <v>47955.32</v>
      </c>
      <c r="H11" s="20">
        <f t="shared" si="1"/>
        <v>-3976.3199999999997</v>
      </c>
      <c r="I11" s="19">
        <f t="shared" si="2"/>
        <v>-8.2917182076983315E-2</v>
      </c>
      <c r="J11" s="42"/>
      <c r="K11" s="43"/>
    </row>
    <row r="12" spans="1:11" ht="15.6">
      <c r="A12" s="28" t="str">
        <v>Kohls - Edgewood</v>
      </c>
      <c r="B12" s="76" t="str">
        <v>MD</v>
      </c>
      <c r="C12" s="24">
        <v>217074</v>
      </c>
      <c r="D12" s="13">
        <v>314573</v>
      </c>
      <c r="E12" s="13">
        <f t="shared" si="0"/>
        <v>-97499</v>
      </c>
      <c r="F12" s="14">
        <f t="shared" si="3"/>
        <v>-0.30994077686260424</v>
      </c>
      <c r="G12" s="15">
        <v>241640.98</v>
      </c>
      <c r="H12" s="15">
        <f t="shared" si="1"/>
        <v>-24566.98000000001</v>
      </c>
      <c r="I12" s="16">
        <f t="shared" si="2"/>
        <v>-0.10166727514513478</v>
      </c>
      <c r="J12" s="41"/>
      <c r="K12" s="41"/>
    </row>
    <row r="13" spans="1:11" ht="15.6">
      <c r="A13" s="30" t="str">
        <v>Kohls - Granite Run</v>
      </c>
      <c r="B13" s="77" t="str">
        <v>PA</v>
      </c>
      <c r="C13" s="11">
        <v>27914</v>
      </c>
      <c r="D13" s="18">
        <v>38150</v>
      </c>
      <c r="E13" s="18">
        <f t="shared" si="0"/>
        <v>-10236</v>
      </c>
      <c r="F13" s="19">
        <f t="shared" si="3"/>
        <v>-0.26830930537352554</v>
      </c>
      <c r="G13" s="20">
        <v>29859.82</v>
      </c>
      <c r="H13" s="20">
        <f t="shared" si="1"/>
        <v>-1945.8199999999997</v>
      </c>
      <c r="I13" s="19">
        <f t="shared" si="2"/>
        <v>-6.5165161745784128E-2</v>
      </c>
      <c r="J13" s="42"/>
      <c r="K13" s="43"/>
    </row>
    <row r="14" spans="1:11" ht="15.6">
      <c r="A14" s="28" t="str">
        <v>Kohls - Greece</v>
      </c>
      <c r="B14" s="76" t="str">
        <v>NY</v>
      </c>
      <c r="C14" s="24">
        <v>24196</v>
      </c>
      <c r="D14" s="13">
        <v>48908</v>
      </c>
      <c r="E14" s="13">
        <f t="shared" si="0"/>
        <v>-24712</v>
      </c>
      <c r="F14" s="14">
        <f t="shared" si="3"/>
        <v>-0.50527521059949287</v>
      </c>
      <c r="G14" s="15">
        <v>37266.230000000003</v>
      </c>
      <c r="H14" s="15">
        <f t="shared" si="1"/>
        <v>-13070.230000000003</v>
      </c>
      <c r="I14" s="16">
        <f t="shared" si="2"/>
        <v>-0.35072584481982755</v>
      </c>
      <c r="J14" s="41"/>
      <c r="K14" s="41"/>
    </row>
    <row r="15" spans="1:11" ht="15.6">
      <c r="A15" s="30" t="str">
        <v>Kohls - Hanover</v>
      </c>
      <c r="B15" s="77" t="str">
        <v>PA</v>
      </c>
      <c r="C15" s="11">
        <v>7877</v>
      </c>
      <c r="D15" s="18">
        <v>10605</v>
      </c>
      <c r="E15" s="18">
        <f t="shared" si="0"/>
        <v>-2728</v>
      </c>
      <c r="F15" s="19">
        <f t="shared" si="3"/>
        <v>-0.25723715228665722</v>
      </c>
      <c r="G15" s="20">
        <v>32459.26</v>
      </c>
      <c r="H15" s="20">
        <f t="shared" si="1"/>
        <v>-24582.26</v>
      </c>
      <c r="I15" s="19">
        <f t="shared" si="2"/>
        <v>-0.75732656875110527</v>
      </c>
      <c r="J15" s="42"/>
      <c r="K15" s="43"/>
    </row>
    <row r="16" spans="1:11" ht="15.6">
      <c r="A16" s="28" t="str">
        <v>Kohls - Horsehead</v>
      </c>
      <c r="B16" s="76" t="str">
        <v>NY</v>
      </c>
      <c r="C16" s="24">
        <v>26157</v>
      </c>
      <c r="D16" s="13">
        <v>36292</v>
      </c>
      <c r="E16" s="13">
        <f t="shared" si="0"/>
        <v>-10135</v>
      </c>
      <c r="F16" s="14">
        <f t="shared" si="3"/>
        <v>-0.27926264741540835</v>
      </c>
      <c r="G16" s="15">
        <v>27028.66</v>
      </c>
      <c r="H16" s="15">
        <f t="shared" si="1"/>
        <v>-871.65999999999985</v>
      </c>
      <c r="I16" s="16">
        <f t="shared" si="2"/>
        <v>-3.2249471486932753E-2</v>
      </c>
      <c r="J16" s="41"/>
      <c r="K16" s="41"/>
    </row>
    <row r="17" spans="1:11" ht="15.6">
      <c r="A17" s="30" t="str">
        <v>Kohls - Hudson</v>
      </c>
      <c r="B17" s="77" t="str">
        <v>NY</v>
      </c>
      <c r="C17" s="11">
        <v>2433</v>
      </c>
      <c r="D17" s="18">
        <v>3298</v>
      </c>
      <c r="E17" s="18">
        <f t="shared" si="0"/>
        <v>-865</v>
      </c>
      <c r="F17" s="65">
        <f>IFERROR(E17/D17, "")</f>
        <v>-0.26228016979987873</v>
      </c>
      <c r="G17" s="20">
        <v>31907.99</v>
      </c>
      <c r="H17" s="20">
        <f t="shared" si="1"/>
        <v>-29474.99</v>
      </c>
      <c r="I17" s="19">
        <f t="shared" si="2"/>
        <v>-0.92374950600147487</v>
      </c>
      <c r="J17" s="42" t="s">
        <v>161</v>
      </c>
      <c r="K17" s="43" t="s">
        <v>103</v>
      </c>
    </row>
    <row r="18" spans="1:11" ht="12.75" customHeight="1">
      <c r="A18" s="28" t="str">
        <v>Kohls - Ithaca</v>
      </c>
      <c r="B18" s="76" t="str">
        <v>NY</v>
      </c>
      <c r="C18" s="24">
        <v>28124</v>
      </c>
      <c r="D18" s="13">
        <v>41506</v>
      </c>
      <c r="E18" s="13">
        <f>IF(AND(ISNUMBER(C18),ISNUMBER(D18)), C18-D18, "")</f>
        <v>-13382</v>
      </c>
      <c r="F18" s="14">
        <f>IFERROR(E18/D18, "")</f>
        <v>-0.32241121765527875</v>
      </c>
      <c r="G18" s="15">
        <v>30083.27</v>
      </c>
      <c r="H18" s="67">
        <f>IF(AND(ISNUMBER(C18),ISNUMBER(G18)), C18-G18, "")</f>
        <v>-1959.2700000000004</v>
      </c>
      <c r="I18" s="68">
        <f t="shared" ref="I18:I56" si="4">IFERROR(H18/G18, "")</f>
        <v>-6.5128225754713512E-2</v>
      </c>
      <c r="J18" s="41" t="s">
        <v>162</v>
      </c>
      <c r="K18" s="41" t="s">
        <v>163</v>
      </c>
    </row>
    <row r="19" spans="1:11" ht="12.75" customHeight="1">
      <c r="A19" s="30" t="str">
        <v>Kohls - Kingston</v>
      </c>
      <c r="B19" s="77" t="str">
        <v>NY</v>
      </c>
      <c r="C19" s="11">
        <v>44776</v>
      </c>
      <c r="D19" s="18">
        <v>64630</v>
      </c>
      <c r="E19" s="18">
        <f t="shared" ref="E19:E20" si="5">IF(AND(ISNUMBER(C19),ISNUMBER(D19)), C19-D19, "")</f>
        <v>-19854</v>
      </c>
      <c r="F19" s="65"/>
      <c r="G19" s="65">
        <v>46874.368999999999</v>
      </c>
      <c r="H19" s="20">
        <f t="shared" ref="H19:H20" si="6">IF(AND(ISNUMBER(C19),ISNUMBER(G19)), C19-G19, "")</f>
        <v>-2098.3689999999988</v>
      </c>
      <c r="I19" s="68">
        <f t="shared" si="4"/>
        <v>-4.4765807940795939E-2</v>
      </c>
      <c r="J19" s="42"/>
      <c r="K19" s="43"/>
    </row>
    <row r="20" spans="1:11" ht="12.75" customHeight="1">
      <c r="A20" s="28" t="str">
        <v>Kohls - Mechanicsburg</v>
      </c>
      <c r="B20" s="76" t="str">
        <v>PA</v>
      </c>
      <c r="C20" s="24">
        <v>35945</v>
      </c>
      <c r="D20" s="13">
        <v>48061</v>
      </c>
      <c r="E20" s="13">
        <f t="shared" si="5"/>
        <v>-12116</v>
      </c>
      <c r="F20" s="14"/>
      <c r="G20" s="15">
        <v>37881.760000000002</v>
      </c>
      <c r="H20" s="67">
        <f t="shared" si="6"/>
        <v>-1936.760000000002</v>
      </c>
      <c r="I20" s="68">
        <f t="shared" si="4"/>
        <v>-5.1126452414037835E-2</v>
      </c>
      <c r="J20" s="41"/>
      <c r="K20" s="41"/>
    </row>
    <row r="21" spans="1:11" ht="15.6">
      <c r="A21" s="30" t="str">
        <v>Kohls - Middletown</v>
      </c>
      <c r="B21" s="77" t="str">
        <v>NJ</v>
      </c>
      <c r="C21" s="71">
        <v>57157</v>
      </c>
      <c r="D21" s="18">
        <v>69030</v>
      </c>
      <c r="E21" s="18">
        <f t="shared" ref="E21:E68" si="7">IF(AND(ISNUMBER(C21),ISNUMBER(D21)), C21-D21, "")</f>
        <v>-11873</v>
      </c>
      <c r="F21" s="65">
        <f t="shared" ref="F21:F68" si="8">IFERROR(E21/D21, "")</f>
        <v>-0.1719976821671737</v>
      </c>
      <c r="G21" s="20">
        <v>56934.86</v>
      </c>
      <c r="H21" s="65">
        <f t="shared" ref="H21:H27" si="9">IF(AND(ISNUMBER(C21),ISNUMBER(G21)), C21-G21, "")</f>
        <v>222.13999999999942</v>
      </c>
      <c r="I21" s="68">
        <f t="shared" si="4"/>
        <v>3.9016518175332198E-3</v>
      </c>
      <c r="J21" s="42"/>
      <c r="K21" s="43"/>
    </row>
    <row r="22" spans="1:11" ht="29.1">
      <c r="A22" s="28" t="str">
        <v>Kohls - North Amherst</v>
      </c>
      <c r="B22" s="76" t="str">
        <v>NY</v>
      </c>
      <c r="C22" s="24">
        <v>0</v>
      </c>
      <c r="D22" s="13">
        <v>0</v>
      </c>
      <c r="E22" s="13">
        <f t="shared" si="7"/>
        <v>0</v>
      </c>
      <c r="F22" s="14" t="str">
        <f t="shared" si="8"/>
        <v/>
      </c>
      <c r="G22" s="15">
        <v>33415.58</v>
      </c>
      <c r="H22" s="67">
        <f t="shared" si="9"/>
        <v>-33415.58</v>
      </c>
      <c r="I22" s="68">
        <f t="shared" si="4"/>
        <v>-1</v>
      </c>
      <c r="J22" s="41" t="s">
        <v>104</v>
      </c>
      <c r="K22" s="41" t="s">
        <v>105</v>
      </c>
    </row>
    <row r="23" spans="1:11" ht="15.6">
      <c r="A23" s="30" t="str">
        <v>Kohls - Staten Island</v>
      </c>
      <c r="B23" s="77" t="str">
        <v>NY</v>
      </c>
      <c r="C23" s="11">
        <v>102</v>
      </c>
      <c r="D23" s="18">
        <v>0.107</v>
      </c>
      <c r="E23" s="18">
        <f t="shared" si="7"/>
        <v>101.893</v>
      </c>
      <c r="F23" s="65">
        <f t="shared" si="8"/>
        <v>952.27102803738319</v>
      </c>
      <c r="G23" s="20">
        <v>31508.76</v>
      </c>
      <c r="H23" s="20">
        <f t="shared" si="9"/>
        <v>-31406.76</v>
      </c>
      <c r="I23" s="19">
        <f t="shared" si="4"/>
        <v>-0.99676280501041614</v>
      </c>
      <c r="J23" s="42" t="s">
        <v>106</v>
      </c>
      <c r="K23" s="43" t="s">
        <v>107</v>
      </c>
    </row>
    <row r="24" spans="1:11" ht="15.6">
      <c r="A24" s="28" t="str">
        <v>Kohls - Warminster</v>
      </c>
      <c r="B24" s="76" t="str">
        <v>PA</v>
      </c>
      <c r="C24" s="24">
        <v>37758</v>
      </c>
      <c r="D24" s="13">
        <v>47583</v>
      </c>
      <c r="E24" s="13">
        <f t="shared" si="7"/>
        <v>-9825</v>
      </c>
      <c r="F24" s="14">
        <f t="shared" si="8"/>
        <v>-0.20648130634890613</v>
      </c>
      <c r="G24" s="15">
        <v>36722.6</v>
      </c>
      <c r="H24" s="67">
        <f t="shared" si="9"/>
        <v>1035.4000000000015</v>
      </c>
      <c r="I24" s="68">
        <f t="shared" si="4"/>
        <v>2.8195171365861936E-2</v>
      </c>
      <c r="J24" s="41"/>
      <c r="K24" s="41"/>
    </row>
    <row r="25" spans="1:11" ht="15.6">
      <c r="A25" s="30" t="str">
        <v xml:space="preserve">Kohls - Waterbury </v>
      </c>
      <c r="B25" s="77" t="str">
        <v>CT</v>
      </c>
      <c r="C25" s="11">
        <v>34680</v>
      </c>
      <c r="D25" s="18">
        <v>42551</v>
      </c>
      <c r="E25" s="18">
        <f t="shared" si="7"/>
        <v>-7871</v>
      </c>
      <c r="F25" s="65">
        <f t="shared" si="8"/>
        <v>-0.18497802636835797</v>
      </c>
      <c r="G25">
        <v>31541.9</v>
      </c>
      <c r="H25" s="20">
        <f t="shared" si="9"/>
        <v>3138.0999999999985</v>
      </c>
      <c r="I25" s="19">
        <f t="shared" si="4"/>
        <v>9.9489884883282184E-2</v>
      </c>
      <c r="J25" s="42"/>
      <c r="K25" s="43"/>
    </row>
    <row r="26" spans="1:11" ht="15.6">
      <c r="A26" s="28" t="str">
        <v>Mojave Water Agency - Headquarters</v>
      </c>
      <c r="B26" s="76" t="str">
        <v>CA</v>
      </c>
      <c r="C26" s="24">
        <v>38418</v>
      </c>
      <c r="D26" s="13">
        <v>51952</v>
      </c>
      <c r="E26" s="13">
        <f t="shared" si="7"/>
        <v>-13534</v>
      </c>
      <c r="F26" s="14">
        <f t="shared" si="8"/>
        <v>-0.26050970126270401</v>
      </c>
      <c r="G26" s="15">
        <v>34263.279999999999</v>
      </c>
      <c r="H26" s="67">
        <f t="shared" si="9"/>
        <v>4154.7200000000012</v>
      </c>
      <c r="I26" s="68">
        <f t="shared" si="4"/>
        <v>0.121258676927603</v>
      </c>
      <c r="J26" s="41"/>
      <c r="K26" s="41"/>
    </row>
    <row r="27" spans="1:11" ht="15.6">
      <c r="A27" s="30" t="str">
        <v>CSU - Bakersfield</v>
      </c>
      <c r="B27" s="77" t="str">
        <v>CA</v>
      </c>
      <c r="C27" s="11">
        <v>101888</v>
      </c>
      <c r="D27" s="18">
        <v>182288</v>
      </c>
      <c r="E27" s="18">
        <f t="shared" si="7"/>
        <v>-80400</v>
      </c>
      <c r="F27" s="65">
        <f t="shared" si="8"/>
        <v>-0.44106030018432368</v>
      </c>
      <c r="G27" s="20">
        <v>142101.70000000001</v>
      </c>
      <c r="H27" s="20">
        <f t="shared" si="9"/>
        <v>-40213.700000000012</v>
      </c>
      <c r="I27" s="19">
        <f t="shared" si="4"/>
        <v>-0.28299239206849747</v>
      </c>
      <c r="J27" s="42"/>
      <c r="K27" s="43"/>
    </row>
    <row r="28" spans="1:11" ht="15.6">
      <c r="A28" s="28" t="str">
        <v>Greenfield USD - Fairfield ES</v>
      </c>
      <c r="B28" s="76" t="str">
        <v>CA</v>
      </c>
      <c r="C28" s="24">
        <v>10171</v>
      </c>
      <c r="D28" s="13">
        <v>0</v>
      </c>
      <c r="E28" s="13">
        <f t="shared" si="7"/>
        <v>10171</v>
      </c>
      <c r="F28" s="14" t="str">
        <f t="shared" si="8"/>
        <v/>
      </c>
      <c r="G28" s="15">
        <v>14495.51</v>
      </c>
      <c r="H28" s="15">
        <f t="shared" ref="H28:H29" si="10">IF(AND(ISNUMBER(C28),ISNUMBER(G28)), C28-G28, "")</f>
        <v>-4324.51</v>
      </c>
      <c r="I28" s="19">
        <f t="shared" si="4"/>
        <v>-0.29833444977099804</v>
      </c>
      <c r="J28" s="41"/>
      <c r="K28" s="41"/>
    </row>
    <row r="29" spans="1:11" ht="15.6">
      <c r="A29" s="30" t="str">
        <v>Greenfield USD - Granite Point ES</v>
      </c>
      <c r="B29" s="77" t="str">
        <v>CA</v>
      </c>
      <c r="C29" s="11">
        <v>33770</v>
      </c>
      <c r="D29" s="18">
        <v>52749</v>
      </c>
      <c r="E29" s="18">
        <f t="shared" si="7"/>
        <v>-18979</v>
      </c>
      <c r="F29" s="65">
        <f t="shared" si="8"/>
        <v>-0.3597982900149766</v>
      </c>
      <c r="G29" s="20">
        <v>38120.6</v>
      </c>
      <c r="H29" s="20">
        <f t="shared" si="10"/>
        <v>-4350.5999999999985</v>
      </c>
      <c r="I29" s="19">
        <f t="shared" si="4"/>
        <v>-0.11412726977015049</v>
      </c>
      <c r="J29" s="42"/>
      <c r="K29" s="43"/>
    </row>
    <row r="30" spans="1:11" ht="15.6">
      <c r="A30" s="28" t="str">
        <v>Greenfield USD - Greenfield MS</v>
      </c>
      <c r="B30" s="76" t="str">
        <v>CA</v>
      </c>
      <c r="C30" s="24">
        <v>18299</v>
      </c>
      <c r="D30" s="13">
        <v>36589</v>
      </c>
      <c r="E30" s="13">
        <f t="shared" si="7"/>
        <v>-18290</v>
      </c>
      <c r="F30" s="14">
        <f t="shared" si="8"/>
        <v>-0.49987701221678649</v>
      </c>
      <c r="G30" s="15">
        <v>26084.51</v>
      </c>
      <c r="H30" s="67">
        <f t="shared" ref="H30:H56" si="11">IF(AND(ISNUMBER(C30),ISNUMBER(G30)), C30-G30, "")</f>
        <v>-7785.5099999999984</v>
      </c>
      <c r="I30" s="66">
        <f t="shared" si="4"/>
        <v>-0.29847254174987375</v>
      </c>
      <c r="J30" s="41"/>
      <c r="K30" s="41"/>
    </row>
    <row r="31" spans="1:11" ht="30.95">
      <c r="A31" s="30" t="str">
        <v>Greenfield USD - Horizon ES</v>
      </c>
      <c r="B31" s="77" t="str">
        <v>CA</v>
      </c>
      <c r="C31" s="11">
        <v>8746</v>
      </c>
      <c r="D31" s="18">
        <v>52968</v>
      </c>
      <c r="E31" s="18">
        <f t="shared" si="7"/>
        <v>-44222</v>
      </c>
      <c r="F31" s="65">
        <f t="shared" si="8"/>
        <v>-0.83488143784926749</v>
      </c>
      <c r="G31" s="20">
        <v>39265.61</v>
      </c>
      <c r="H31" s="20">
        <f t="shared" si="11"/>
        <v>-30519.61</v>
      </c>
      <c r="I31" s="19">
        <f t="shared" si="4"/>
        <v>-0.77726055955835149</v>
      </c>
      <c r="J31" s="54" t="s">
        <v>164</v>
      </c>
      <c r="K31" s="63" t="s">
        <v>113</v>
      </c>
    </row>
    <row r="32" spans="1:11" ht="15.6">
      <c r="A32" s="28" t="str">
        <v>Greenfield USD - McKee MS</v>
      </c>
      <c r="B32" s="76" t="str">
        <v>CA</v>
      </c>
      <c r="C32" s="24">
        <v>13159</v>
      </c>
      <c r="D32" s="13">
        <v>31661</v>
      </c>
      <c r="E32" s="13">
        <f t="shared" si="7"/>
        <v>-18502</v>
      </c>
      <c r="F32" s="14">
        <f t="shared" si="8"/>
        <v>-0.58437825716180791</v>
      </c>
      <c r="G32" s="15">
        <v>24029.59</v>
      </c>
      <c r="H32" s="67">
        <f t="shared" si="11"/>
        <v>-10870.59</v>
      </c>
      <c r="I32" s="66">
        <f t="shared" si="4"/>
        <v>-0.45238349884454959</v>
      </c>
      <c r="J32" s="41"/>
      <c r="K32" s="41"/>
    </row>
    <row r="33" spans="1:11" ht="29.1">
      <c r="A33" s="30" t="str">
        <v>Greenfield USD - Plantation ES</v>
      </c>
      <c r="B33" s="77" t="str">
        <v>CA</v>
      </c>
      <c r="C33" s="11">
        <v>14580</v>
      </c>
      <c r="D33" s="18">
        <v>24630</v>
      </c>
      <c r="E33" s="18">
        <f t="shared" si="7"/>
        <v>-10050</v>
      </c>
      <c r="F33" s="65">
        <f t="shared" si="8"/>
        <v>-0.40803897685749085</v>
      </c>
      <c r="G33" s="65">
        <v>17115.07</v>
      </c>
      <c r="H33" s="20">
        <f t="shared" si="11"/>
        <v>-2535.0699999999997</v>
      </c>
      <c r="I33" s="19">
        <f t="shared" si="4"/>
        <v>-0.14811917216815354</v>
      </c>
      <c r="J33" s="42" t="s">
        <v>165</v>
      </c>
      <c r="K33" s="59" t="s">
        <v>166</v>
      </c>
    </row>
    <row r="34" spans="1:11" ht="15.6">
      <c r="A34" s="28" t="str">
        <v>Greenfield USD - Planz ES</v>
      </c>
      <c r="B34" s="76" t="str">
        <v>CA</v>
      </c>
      <c r="C34" s="24">
        <v>5417</v>
      </c>
      <c r="D34" s="13">
        <v>26252</v>
      </c>
      <c r="E34" s="13">
        <f t="shared" si="7"/>
        <v>-20835</v>
      </c>
      <c r="F34" s="14">
        <f t="shared" si="8"/>
        <v>-0.79365381685204939</v>
      </c>
      <c r="G34" s="15">
        <v>19725.37</v>
      </c>
      <c r="H34" s="67">
        <f t="shared" si="11"/>
        <v>-14308.369999999999</v>
      </c>
      <c r="I34" s="66">
        <f t="shared" si="4"/>
        <v>-0.7253790423196117</v>
      </c>
      <c r="J34" s="41"/>
      <c r="K34" s="41"/>
    </row>
    <row r="35" spans="1:11" ht="14.45">
      <c r="A35" s="65" t="str">
        <v>Greenfield USD - Raffaello Palla ES</v>
      </c>
      <c r="B35" s="78" t="str">
        <v>CA</v>
      </c>
      <c r="C35" s="65">
        <v>17238</v>
      </c>
      <c r="D35" s="65">
        <v>37367</v>
      </c>
      <c r="E35" s="65">
        <f t="shared" si="7"/>
        <v>-20129</v>
      </c>
      <c r="F35" s="65">
        <f t="shared" si="8"/>
        <v>-0.53868386544277036</v>
      </c>
      <c r="G35" s="65">
        <v>42894.12</v>
      </c>
      <c r="H35" s="65">
        <f t="shared" si="11"/>
        <v>-25656.120000000003</v>
      </c>
      <c r="I35" s="66">
        <f t="shared" si="4"/>
        <v>-0.59812673625196178</v>
      </c>
      <c r="J35" s="65"/>
      <c r="K35" s="65"/>
    </row>
    <row r="36" spans="1:11" ht="15.6">
      <c r="A36" s="28" t="str">
        <v>Greenfield USD - Valle Verde ES</v>
      </c>
      <c r="B36" s="76" t="str">
        <v>CA</v>
      </c>
      <c r="C36" s="24">
        <v>30928</v>
      </c>
      <c r="D36" s="13">
        <v>54981</v>
      </c>
      <c r="E36" s="13">
        <f t="shared" si="7"/>
        <v>-24053</v>
      </c>
      <c r="F36" s="14">
        <f t="shared" si="8"/>
        <v>-0.4374784016296539</v>
      </c>
      <c r="G36" s="15">
        <v>40043.15</v>
      </c>
      <c r="H36" s="67">
        <f t="shared" si="11"/>
        <v>-9115.1500000000015</v>
      </c>
      <c r="I36" s="66">
        <f t="shared" si="4"/>
        <v>-0.22763319069553722</v>
      </c>
      <c r="J36" s="41"/>
      <c r="K36" s="41"/>
    </row>
    <row r="37" spans="1:11" ht="14.45">
      <c r="A37" s="65" t="str">
        <v>Greenfield USD - W.A. Kendrick ES</v>
      </c>
      <c r="B37" s="78" t="str">
        <v>CA</v>
      </c>
      <c r="C37" s="65">
        <v>0</v>
      </c>
      <c r="D37" s="65">
        <v>0</v>
      </c>
      <c r="E37" s="65">
        <f t="shared" si="7"/>
        <v>0</v>
      </c>
      <c r="F37" s="65" t="str">
        <f t="shared" si="8"/>
        <v/>
      </c>
      <c r="G37" s="20">
        <v>15421.15</v>
      </c>
      <c r="H37" s="65">
        <f t="shared" si="11"/>
        <v>-15421.15</v>
      </c>
      <c r="I37" s="66">
        <f t="shared" si="4"/>
        <v>-1</v>
      </c>
      <c r="J37" s="65"/>
      <c r="K37" s="65"/>
    </row>
    <row r="38" spans="1:11" ht="15.6">
      <c r="A38" s="28" t="str">
        <v>Muroc Joint USD - Boron HS</v>
      </c>
      <c r="B38" s="76" t="str">
        <v>CA</v>
      </c>
      <c r="C38" s="24">
        <v>0</v>
      </c>
      <c r="D38" s="13">
        <v>0</v>
      </c>
      <c r="E38" s="13">
        <f t="shared" si="7"/>
        <v>0</v>
      </c>
      <c r="F38" s="14" t="str">
        <f t="shared" si="8"/>
        <v/>
      </c>
      <c r="G38" s="15">
        <v>34849.69</v>
      </c>
      <c r="H38" s="67">
        <f t="shared" si="11"/>
        <v>-34849.69</v>
      </c>
      <c r="I38" s="66">
        <f t="shared" si="4"/>
        <v>-1</v>
      </c>
      <c r="J38" s="70"/>
      <c r="K38" s="41"/>
    </row>
    <row r="39" spans="1:11" ht="15.6">
      <c r="A39" s="30" t="str">
        <v>Muroc Joint USD - W. Boron ES</v>
      </c>
      <c r="B39" s="77" t="str">
        <v>CA</v>
      </c>
      <c r="C39" s="11">
        <v>12443</v>
      </c>
      <c r="D39" s="18">
        <v>19420</v>
      </c>
      <c r="E39" s="18">
        <f t="shared" si="7"/>
        <v>-6977</v>
      </c>
      <c r="F39" s="65">
        <f t="shared" si="8"/>
        <v>-0.35926879505664261</v>
      </c>
      <c r="G39" s="81">
        <v>12861.22</v>
      </c>
      <c r="H39" s="20">
        <f t="shared" si="11"/>
        <v>-418.21999999999935</v>
      </c>
      <c r="I39" s="19">
        <f t="shared" si="4"/>
        <v>-3.2517910431514224E-2</v>
      </c>
      <c r="J39" s="42"/>
      <c r="K39" s="43"/>
    </row>
    <row r="40" spans="1:11" ht="15.6">
      <c r="A40" s="28" t="str">
        <v>Colusa - WTP</v>
      </c>
      <c r="B40" s="76" t="str">
        <v>CA</v>
      </c>
      <c r="C40" s="24">
        <v>0</v>
      </c>
      <c r="D40" s="13">
        <v>0</v>
      </c>
      <c r="E40" s="13">
        <f t="shared" si="7"/>
        <v>0</v>
      </c>
      <c r="F40" s="14" t="str">
        <f t="shared" si="8"/>
        <v/>
      </c>
      <c r="G40" s="15">
        <v>45088.644999999997</v>
      </c>
      <c r="H40" s="67">
        <f t="shared" si="11"/>
        <v>-45088.644999999997</v>
      </c>
      <c r="I40" s="66">
        <f t="shared" si="4"/>
        <v>-1</v>
      </c>
      <c r="J40" s="41" t="s">
        <v>120</v>
      </c>
      <c r="K40" s="41" t="s">
        <v>121</v>
      </c>
    </row>
    <row r="41" spans="1:11" ht="15.6">
      <c r="A41" s="30" t="str">
        <v>CDCR-North Kern State Prision</v>
      </c>
      <c r="B41" s="77" t="str">
        <v>CA</v>
      </c>
      <c r="C41" s="11">
        <v>48376</v>
      </c>
      <c r="D41" s="18">
        <v>0</v>
      </c>
      <c r="E41" s="18">
        <f t="shared" si="7"/>
        <v>48376</v>
      </c>
      <c r="F41" s="65" t="str">
        <f t="shared" si="8"/>
        <v/>
      </c>
      <c r="G41" s="20">
        <v>204972.6</v>
      </c>
      <c r="H41" s="20">
        <f t="shared" si="11"/>
        <v>-156596.6</v>
      </c>
      <c r="I41" s="19">
        <f t="shared" si="4"/>
        <v>-0.76398796717219764</v>
      </c>
      <c r="J41" s="42" t="s">
        <v>122</v>
      </c>
      <c r="K41" s="43" t="s">
        <v>123</v>
      </c>
    </row>
    <row r="42" spans="1:11" ht="15.6">
      <c r="A42" s="28" t="str">
        <v>Muroc Joint USD - District Office</v>
      </c>
      <c r="B42" s="76" t="str">
        <v>CA</v>
      </c>
      <c r="C42" s="24">
        <v>6209</v>
      </c>
      <c r="D42" s="13">
        <v>13924</v>
      </c>
      <c r="E42" s="13">
        <f t="shared" si="7"/>
        <v>-7715</v>
      </c>
      <c r="F42" s="14">
        <f t="shared" si="8"/>
        <v>-0.55407928756104563</v>
      </c>
      <c r="G42" s="15">
        <v>9064.2800000000007</v>
      </c>
      <c r="H42" s="67">
        <f t="shared" si="11"/>
        <v>-2855.2800000000007</v>
      </c>
      <c r="I42" s="19">
        <f t="shared" si="4"/>
        <v>-0.31500350827644341</v>
      </c>
      <c r="J42" s="41"/>
      <c r="K42" s="41"/>
    </row>
    <row r="43" spans="1:11" ht="15.6">
      <c r="A43" s="30" t="str">
        <v>Whole Foods - Manhattan Beach</v>
      </c>
      <c r="B43" s="77" t="str">
        <v>CA</v>
      </c>
      <c r="C43" s="11">
        <v>15888</v>
      </c>
      <c r="D43" s="18">
        <v>0</v>
      </c>
      <c r="E43" s="18">
        <f t="shared" si="7"/>
        <v>15888</v>
      </c>
      <c r="F43" s="65" t="str">
        <f t="shared" si="8"/>
        <v/>
      </c>
      <c r="G43" s="20">
        <v>17188.29</v>
      </c>
      <c r="H43" s="20">
        <f t="shared" si="11"/>
        <v>-1300.2900000000009</v>
      </c>
      <c r="I43" s="19">
        <f t="shared" si="4"/>
        <v>-7.5649759225612373E-2</v>
      </c>
      <c r="J43" s="42" t="s">
        <v>126</v>
      </c>
      <c r="K43" s="42" t="s">
        <v>167</v>
      </c>
    </row>
    <row r="44" spans="1:11" ht="15.6">
      <c r="A44" s="28" t="str">
        <v>Pioneer USD - Frontier ES</v>
      </c>
      <c r="B44" s="76" t="str">
        <v>CA</v>
      </c>
      <c r="C44" s="24">
        <v>23858</v>
      </c>
      <c r="D44" s="13">
        <v>0</v>
      </c>
      <c r="E44" s="13">
        <f t="shared" si="7"/>
        <v>23858</v>
      </c>
      <c r="F44" s="14" t="str">
        <f t="shared" si="8"/>
        <v/>
      </c>
      <c r="G44" s="15">
        <v>34120.85</v>
      </c>
      <c r="H44" s="67">
        <f t="shared" si="11"/>
        <v>-10262.849999999999</v>
      </c>
      <c r="I44" s="66">
        <f t="shared" si="4"/>
        <v>-0.30077943544782731</v>
      </c>
      <c r="J44" s="41"/>
      <c r="K44" s="41"/>
    </row>
    <row r="45" spans="1:11" ht="15.6">
      <c r="A45" s="30" t="str">
        <v>Pioneer USD - Pioneer ES</v>
      </c>
      <c r="B45" s="77" t="str">
        <v>CA</v>
      </c>
      <c r="C45" s="11">
        <v>5663</v>
      </c>
      <c r="D45" s="18">
        <v>0</v>
      </c>
      <c r="E45" s="18">
        <f t="shared" si="7"/>
        <v>5663</v>
      </c>
      <c r="F45" s="65" t="str">
        <f t="shared" si="8"/>
        <v/>
      </c>
      <c r="G45" s="20">
        <v>34834.14</v>
      </c>
      <c r="H45" s="20">
        <f t="shared" si="11"/>
        <v>-29171.14</v>
      </c>
      <c r="I45" s="19">
        <f t="shared" si="4"/>
        <v>-0.83742960210873585</v>
      </c>
      <c r="J45" s="42" t="s">
        <v>128</v>
      </c>
      <c r="K45" s="42" t="s">
        <v>129</v>
      </c>
    </row>
    <row r="46" spans="1:11" ht="15.6">
      <c r="A46" s="28" t="str">
        <v>Pioneer USD - Pioneer MS</v>
      </c>
      <c r="B46" s="76" t="str">
        <v>CA</v>
      </c>
      <c r="C46" s="24">
        <v>30366</v>
      </c>
      <c r="D46" s="13">
        <v>0</v>
      </c>
      <c r="E46" s="13">
        <f t="shared" si="7"/>
        <v>30366</v>
      </c>
      <c r="F46" s="14" t="str">
        <f t="shared" si="8"/>
        <v/>
      </c>
      <c r="G46" s="15">
        <v>46766.06</v>
      </c>
      <c r="H46" s="67">
        <f t="shared" si="11"/>
        <v>-16400.059999999998</v>
      </c>
      <c r="I46" s="66">
        <f t="shared" si="4"/>
        <v>-0.35068295255148707</v>
      </c>
      <c r="J46" s="41" t="s">
        <v>128</v>
      </c>
      <c r="K46" s="41" t="s">
        <v>168</v>
      </c>
    </row>
    <row r="47" spans="1:11" ht="43.5">
      <c r="A47" s="30" t="str">
        <v>Kingsburg Joint UHSD - Kingsburg HS</v>
      </c>
      <c r="B47" s="77" t="str">
        <v>CA</v>
      </c>
      <c r="C47" s="11">
        <v>21281</v>
      </c>
      <c r="D47" s="18">
        <v>43149</v>
      </c>
      <c r="E47" s="18">
        <f t="shared" si="7"/>
        <v>-21868</v>
      </c>
      <c r="F47" s="65">
        <f t="shared" si="8"/>
        <v>-0.5068020116341051</v>
      </c>
      <c r="G47" s="20">
        <v>83165.899999999994</v>
      </c>
      <c r="H47" s="20">
        <f t="shared" si="11"/>
        <v>-61884.899999999994</v>
      </c>
      <c r="I47" s="19">
        <f t="shared" si="4"/>
        <v>-0.74411387359482672</v>
      </c>
      <c r="J47" s="42" t="s">
        <v>169</v>
      </c>
      <c r="K47" s="63" t="s">
        <v>170</v>
      </c>
    </row>
    <row r="48" spans="1:11" ht="57.95">
      <c r="A48" s="28" t="str">
        <v>CADRB</v>
      </c>
      <c r="B48" s="76" t="str">
        <v>CA</v>
      </c>
      <c r="C48" s="24">
        <v>526254</v>
      </c>
      <c r="D48" s="13">
        <v>663700</v>
      </c>
      <c r="E48" s="13">
        <f t="shared" si="7"/>
        <v>-137446</v>
      </c>
      <c r="F48" s="14">
        <f t="shared" si="8"/>
        <v>-0.207090552960675</v>
      </c>
      <c r="G48" s="15">
        <v>723561</v>
      </c>
      <c r="H48" s="67">
        <f t="shared" si="11"/>
        <v>-197307</v>
      </c>
      <c r="I48" s="19">
        <f t="shared" si="4"/>
        <v>-0.27268882651220838</v>
      </c>
      <c r="J48" s="41" t="s">
        <v>171</v>
      </c>
      <c r="K48" s="41" t="s">
        <v>172</v>
      </c>
    </row>
    <row r="49" spans="1:11" ht="15.6">
      <c r="A49" s="30" t="str">
        <v>CDCR-CA State Prison LA County</v>
      </c>
      <c r="B49" s="77" t="str">
        <v>CA</v>
      </c>
      <c r="C49" s="11">
        <v>254730</v>
      </c>
      <c r="D49" s="18">
        <v>0</v>
      </c>
      <c r="E49" s="18">
        <f t="shared" si="7"/>
        <v>254730</v>
      </c>
      <c r="F49" s="65" t="str">
        <f t="shared" si="8"/>
        <v/>
      </c>
      <c r="G49" s="20">
        <v>431625.6</v>
      </c>
      <c r="H49" s="20">
        <f t="shared" si="11"/>
        <v>-176895.59999999998</v>
      </c>
      <c r="I49" s="19">
        <f t="shared" si="4"/>
        <v>-0.40983574653588661</v>
      </c>
      <c r="J49" s="42" t="s">
        <v>173</v>
      </c>
      <c r="K49" s="43" t="s">
        <v>174</v>
      </c>
    </row>
    <row r="50" spans="1:11" ht="15.6">
      <c r="A50" s="28" t="str">
        <v>Central USD Akers ES</v>
      </c>
      <c r="B50" s="76" t="str">
        <v>CA</v>
      </c>
      <c r="C50" s="24">
        <v>26547</v>
      </c>
      <c r="D50" s="13">
        <v>0</v>
      </c>
      <c r="E50" s="13">
        <f t="shared" si="7"/>
        <v>26547</v>
      </c>
      <c r="F50" s="14" t="str">
        <f t="shared" si="8"/>
        <v/>
      </c>
      <c r="G50" s="15">
        <v>33556.68</v>
      </c>
      <c r="H50" s="67">
        <f t="shared" si="11"/>
        <v>-7009.68</v>
      </c>
      <c r="I50" s="66">
        <f t="shared" si="4"/>
        <v>-0.20889074842922484</v>
      </c>
      <c r="J50" s="41" t="s">
        <v>175</v>
      </c>
      <c r="K50" s="41"/>
    </row>
    <row r="51" spans="1:11" ht="15.6">
      <c r="A51" s="30" t="str">
        <v>CUSD - District Office</v>
      </c>
      <c r="B51" s="77" t="str">
        <v>CA</v>
      </c>
      <c r="C51" s="11">
        <v>21190</v>
      </c>
      <c r="D51" s="18">
        <v>37660</v>
      </c>
      <c r="E51" s="18">
        <f t="shared" si="7"/>
        <v>-16470</v>
      </c>
      <c r="F51" s="65">
        <f t="shared" si="8"/>
        <v>-0.43733404142326077</v>
      </c>
      <c r="G51" s="20">
        <v>26594.05</v>
      </c>
      <c r="H51" s="20">
        <f t="shared" si="11"/>
        <v>-5404.0499999999993</v>
      </c>
      <c r="I51" s="19">
        <f t="shared" si="4"/>
        <v>-0.20320522823714324</v>
      </c>
      <c r="J51" s="42"/>
      <c r="K51" s="43"/>
    </row>
    <row r="52" spans="1:11" ht="15.6">
      <c r="A52" s="28" t="str">
        <v>Parlier - WTP</v>
      </c>
      <c r="B52" s="76" t="str">
        <v>CA</v>
      </c>
      <c r="C52" s="24">
        <v>25875</v>
      </c>
      <c r="D52" s="13">
        <v>0</v>
      </c>
      <c r="E52" s="13">
        <f t="shared" si="7"/>
        <v>25875</v>
      </c>
      <c r="F52" s="14" t="str">
        <f t="shared" si="8"/>
        <v/>
      </c>
      <c r="G52" s="15">
        <v>80249.570000000007</v>
      </c>
      <c r="H52" s="67">
        <f t="shared" si="11"/>
        <v>-54374.570000000007</v>
      </c>
      <c r="I52" s="19">
        <f t="shared" si="4"/>
        <v>-0.67756836578688218</v>
      </c>
      <c r="J52" s="41"/>
      <c r="K52" s="41"/>
    </row>
    <row r="53" spans="1:11" ht="15.6">
      <c r="A53" s="30" t="str">
        <v>Snowline SD - Quail Valley MS</v>
      </c>
      <c r="B53" s="77" t="str">
        <v>CA</v>
      </c>
      <c r="C53" s="11">
        <v>35969</v>
      </c>
      <c r="D53" s="18">
        <v>56327</v>
      </c>
      <c r="E53" s="18">
        <f t="shared" si="7"/>
        <v>-20358</v>
      </c>
      <c r="F53" s="65">
        <f t="shared" si="8"/>
        <v>-0.36142524899249029</v>
      </c>
      <c r="G53" s="20">
        <v>38471.379999999997</v>
      </c>
      <c r="H53" s="20">
        <f t="shared" si="11"/>
        <v>-2502.3799999999974</v>
      </c>
      <c r="I53" s="19">
        <f t="shared" si="4"/>
        <v>-6.50452362249547E-2</v>
      </c>
      <c r="J53" s="42" t="s">
        <v>176</v>
      </c>
      <c r="K53" s="43" t="s">
        <v>177</v>
      </c>
    </row>
    <row r="54" spans="1:11" ht="14.45">
      <c r="A54" s="29" t="str">
        <v>Snowline SD - Serrano HS - Middle Lot</v>
      </c>
      <c r="B54" s="76" t="str">
        <v>CA</v>
      </c>
      <c r="C54" s="69">
        <v>29062</v>
      </c>
      <c r="D54" s="13">
        <v>0</v>
      </c>
      <c r="E54" s="13">
        <f t="shared" si="7"/>
        <v>29062</v>
      </c>
      <c r="F54" s="13" t="str">
        <f t="shared" si="8"/>
        <v/>
      </c>
      <c r="G54" s="67">
        <v>45725</v>
      </c>
      <c r="H54" s="67">
        <f t="shared" si="11"/>
        <v>-16663</v>
      </c>
      <c r="I54" s="19">
        <f t="shared" si="4"/>
        <v>-0.36441771459814104</v>
      </c>
      <c r="J54" s="70"/>
      <c r="K54" s="70"/>
    </row>
    <row r="55" spans="1:11" ht="15.6">
      <c r="A55" s="30" t="str">
        <v>Snowline SD - Pinon Hills ES</v>
      </c>
      <c r="B55" s="77" t="str">
        <v>CA</v>
      </c>
      <c r="C55" s="11">
        <v>9423</v>
      </c>
      <c r="D55" s="18">
        <v>27262</v>
      </c>
      <c r="E55" s="18">
        <f t="shared" si="7"/>
        <v>-17839</v>
      </c>
      <c r="F55" s="65">
        <f t="shared" si="8"/>
        <v>-0.65435404592473034</v>
      </c>
      <c r="G55" s="20">
        <v>22988.18</v>
      </c>
      <c r="H55" s="20">
        <f t="shared" si="11"/>
        <v>-13565.18</v>
      </c>
      <c r="I55" s="19">
        <f t="shared" si="4"/>
        <v>-0.59009369162761038</v>
      </c>
      <c r="J55" s="42" t="s">
        <v>178</v>
      </c>
      <c r="K55" s="43" t="s">
        <v>143</v>
      </c>
    </row>
    <row r="56" spans="1:11" ht="15.6">
      <c r="A56" s="28" t="str">
        <v>Ramona - Santa Maria WTP</v>
      </c>
      <c r="B56" s="76" t="str">
        <v>CA</v>
      </c>
      <c r="C56" s="24">
        <v>17920</v>
      </c>
      <c r="D56" s="13">
        <v>45862</v>
      </c>
      <c r="E56" s="13">
        <f t="shared" si="7"/>
        <v>-27942</v>
      </c>
      <c r="F56" s="14">
        <f t="shared" si="8"/>
        <v>-0.60926257031965458</v>
      </c>
      <c r="G56" s="15">
        <v>74060.39</v>
      </c>
      <c r="H56" s="67">
        <f t="shared" si="11"/>
        <v>-56140.39</v>
      </c>
      <c r="I56" s="19">
        <f t="shared" si="4"/>
        <v>-0.75803530065126579</v>
      </c>
      <c r="J56" s="41" t="s">
        <v>179</v>
      </c>
      <c r="K56" s="41" t="s">
        <v>180</v>
      </c>
    </row>
    <row r="57" spans="1:11" ht="29.1">
      <c r="A57" s="30" t="str">
        <v>Kohls - Redding</v>
      </c>
      <c r="B57" s="77" t="str">
        <v>CA</v>
      </c>
      <c r="C57" s="11">
        <v>37782</v>
      </c>
      <c r="D57" s="18">
        <v>0</v>
      </c>
      <c r="E57" s="18">
        <f t="shared" si="7"/>
        <v>37782</v>
      </c>
      <c r="F57" s="65" t="str">
        <f t="shared" si="8"/>
        <v/>
      </c>
      <c r="G57" s="20">
        <v>29833.35</v>
      </c>
      <c r="H57" s="20">
        <f t="shared" ref="H57:H58" si="12">IF(AND(ISNUMBER(C57),ISNUMBER(G57)), C57-G57, "")</f>
        <v>7948.6500000000015</v>
      </c>
      <c r="I57" s="19">
        <f t="shared" ref="I57:I68" si="13">IFERROR(H57/G57, "")</f>
        <v>0.26643504668433154</v>
      </c>
      <c r="J57" s="42" t="s">
        <v>181</v>
      </c>
      <c r="K57" s="42" t="s">
        <v>182</v>
      </c>
    </row>
    <row r="58" spans="1:11" ht="29.1">
      <c r="A58" s="28" t="str">
        <v>Kohls - Salinas</v>
      </c>
      <c r="B58" s="76" t="str">
        <v>CA</v>
      </c>
      <c r="C58" s="24">
        <v>31143</v>
      </c>
      <c r="D58" s="13">
        <v>59170</v>
      </c>
      <c r="E58" s="13">
        <f t="shared" si="7"/>
        <v>-28027</v>
      </c>
      <c r="F58" s="14">
        <f t="shared" si="8"/>
        <v>-0.47366908906540478</v>
      </c>
      <c r="G58" s="15">
        <v>42851.23</v>
      </c>
      <c r="H58" s="67">
        <f t="shared" si="12"/>
        <v>-11708.230000000003</v>
      </c>
      <c r="I58" s="19">
        <f t="shared" si="13"/>
        <v>-0.27322972992840583</v>
      </c>
      <c r="J58" s="41" t="s">
        <v>183</v>
      </c>
      <c r="K58" s="41" t="s">
        <v>184</v>
      </c>
    </row>
    <row r="59" spans="1:11" ht="15.6">
      <c r="A59" s="30" t="str">
        <v>Kohls - San Bernardino - Central</v>
      </c>
      <c r="B59" s="77" t="str">
        <v>CA</v>
      </c>
      <c r="C59" s="11">
        <v>126806</v>
      </c>
      <c r="D59" s="18">
        <v>0</v>
      </c>
      <c r="E59" s="18">
        <f t="shared" si="7"/>
        <v>126806</v>
      </c>
      <c r="F59" s="65" t="str">
        <f t="shared" si="8"/>
        <v/>
      </c>
      <c r="G59" s="20">
        <v>140317</v>
      </c>
      <c r="H59" s="20">
        <f t="shared" ref="H59:H68" si="14">IF(AND(ISNUMBER(C59),ISNUMBER(G59)), C59-G59, "")</f>
        <v>-13511</v>
      </c>
      <c r="I59" s="19">
        <f t="shared" si="13"/>
        <v>-9.6289116785564122E-2</v>
      </c>
      <c r="J59" s="42"/>
      <c r="K59" s="43"/>
    </row>
    <row r="60" spans="1:11" ht="15.6">
      <c r="A60" s="28" t="str">
        <v>Kohls - Sonora</v>
      </c>
      <c r="B60" s="76" t="str">
        <v>CA</v>
      </c>
      <c r="C60" s="24">
        <v>27863</v>
      </c>
      <c r="D60" s="13">
        <v>45329</v>
      </c>
      <c r="E60" s="13">
        <f t="shared" si="7"/>
        <v>-17466</v>
      </c>
      <c r="F60" s="14">
        <f t="shared" si="8"/>
        <v>-0.38531624346444882</v>
      </c>
      <c r="G60" s="15">
        <v>29667.66</v>
      </c>
      <c r="H60" s="67">
        <f t="shared" si="14"/>
        <v>-1804.6599999999999</v>
      </c>
      <c r="I60" s="19">
        <f t="shared" si="13"/>
        <v>-6.0829199202094127E-2</v>
      </c>
      <c r="J60" s="41" t="s">
        <v>185</v>
      </c>
      <c r="K60" s="41" t="s">
        <v>186</v>
      </c>
    </row>
    <row r="61" spans="1:11" ht="15.6">
      <c r="A61" s="30" t="str">
        <v>CUSD - Stratford ES</v>
      </c>
      <c r="B61" s="77" t="str">
        <v>CA</v>
      </c>
      <c r="C61" s="11">
        <v>20828</v>
      </c>
      <c r="D61" s="18">
        <v>31465</v>
      </c>
      <c r="E61" s="18">
        <f t="shared" si="7"/>
        <v>-10637</v>
      </c>
      <c r="F61" s="65">
        <f t="shared" si="8"/>
        <v>-0.33805815986016208</v>
      </c>
      <c r="G61" s="20">
        <v>21367.71</v>
      </c>
      <c r="H61" s="20">
        <f t="shared" si="14"/>
        <v>-539.70999999999913</v>
      </c>
      <c r="I61" s="19">
        <f t="shared" si="13"/>
        <v>-2.5258205020566037E-2</v>
      </c>
      <c r="J61" s="42" t="s">
        <v>187</v>
      </c>
      <c r="K61" s="43" t="s">
        <v>188</v>
      </c>
    </row>
    <row r="62" spans="1:11" ht="15.6">
      <c r="A62" s="28" t="str">
        <v>Taft - City Hall</v>
      </c>
      <c r="B62" s="76" t="str">
        <v>CA</v>
      </c>
      <c r="C62" s="24">
        <v>5728</v>
      </c>
      <c r="D62" s="13">
        <v>23778</v>
      </c>
      <c r="E62" s="13">
        <f t="shared" si="7"/>
        <v>-18050</v>
      </c>
      <c r="F62" s="14">
        <f t="shared" si="8"/>
        <v>-0.75910505509294302</v>
      </c>
      <c r="G62" s="15">
        <v>9308.33</v>
      </c>
      <c r="H62" s="67">
        <f t="shared" si="14"/>
        <v>-3580.33</v>
      </c>
      <c r="I62" s="19">
        <f t="shared" si="13"/>
        <v>-0.3846372013024893</v>
      </c>
      <c r="J62" s="41"/>
      <c r="K62" s="41"/>
    </row>
    <row r="63" spans="1:11" ht="15.6">
      <c r="A63" s="30" t="str">
        <v>Taft - Federal Prison</v>
      </c>
      <c r="B63" s="77" t="str">
        <v>CA</v>
      </c>
      <c r="C63" s="11">
        <v>4910</v>
      </c>
      <c r="D63" s="18">
        <v>7488</v>
      </c>
      <c r="E63" s="18">
        <f t="shared" si="7"/>
        <v>-2578</v>
      </c>
      <c r="F63" s="65">
        <f t="shared" si="8"/>
        <v>-0.34428418803418803</v>
      </c>
      <c r="G63" s="65">
        <v>15318.72</v>
      </c>
      <c r="H63" s="20">
        <f t="shared" si="14"/>
        <v>-10408.719999999999</v>
      </c>
      <c r="I63" s="19">
        <f t="shared" si="13"/>
        <v>-0.67947713647093233</v>
      </c>
      <c r="J63" s="42" t="s">
        <v>189</v>
      </c>
      <c r="K63" s="43" t="s">
        <v>190</v>
      </c>
    </row>
    <row r="64" spans="1:11" ht="15.6">
      <c r="A64" s="28" t="str">
        <v>Taft - Police Department</v>
      </c>
      <c r="B64" s="76" t="str">
        <v>CA</v>
      </c>
      <c r="C64" s="24">
        <v>11206</v>
      </c>
      <c r="D64" s="13">
        <v>16090</v>
      </c>
      <c r="E64" s="13">
        <f t="shared" si="7"/>
        <v>-4884</v>
      </c>
      <c r="F64" s="14">
        <f t="shared" si="8"/>
        <v>-0.30354257302672466</v>
      </c>
      <c r="G64" s="15">
        <v>10649.38</v>
      </c>
      <c r="H64" s="67">
        <f t="shared" si="14"/>
        <v>556.6200000000008</v>
      </c>
      <c r="I64" s="19">
        <f t="shared" si="13"/>
        <v>5.226783155451311E-2</v>
      </c>
      <c r="J64" s="41"/>
      <c r="K64" s="41"/>
    </row>
    <row r="65" spans="1:11" ht="14.45">
      <c r="A65" s="72" t="str">
        <v>Taft - WTP</v>
      </c>
      <c r="B65" s="78" t="str">
        <v>CA</v>
      </c>
      <c r="C65" s="65">
        <v>0</v>
      </c>
      <c r="D65" s="65">
        <v>0</v>
      </c>
      <c r="E65" s="65">
        <f t="shared" si="7"/>
        <v>0</v>
      </c>
      <c r="F65" s="65" t="str">
        <f t="shared" si="8"/>
        <v/>
      </c>
      <c r="G65" s="65">
        <v>68067.8</v>
      </c>
      <c r="H65" s="65">
        <f t="shared" si="14"/>
        <v>-68067.8</v>
      </c>
      <c r="I65" s="19">
        <f t="shared" si="13"/>
        <v>-1</v>
      </c>
      <c r="J65" s="65" t="s">
        <v>153</v>
      </c>
      <c r="K65" s="65" t="s">
        <v>154</v>
      </c>
    </row>
    <row r="66" spans="1:11" ht="43.5">
      <c r="A66" s="28" t="str">
        <v>CDCR - CA Correctional Institution</v>
      </c>
      <c r="B66" s="76" t="str">
        <v>CA</v>
      </c>
      <c r="C66" s="24">
        <v>111841</v>
      </c>
      <c r="D66" s="13">
        <v>0</v>
      </c>
      <c r="E66" s="13">
        <f t="shared" si="7"/>
        <v>111841</v>
      </c>
      <c r="F66" s="14" t="str">
        <f t="shared" si="8"/>
        <v/>
      </c>
      <c r="G66" s="15">
        <v>208097.76</v>
      </c>
      <c r="H66" s="67">
        <f t="shared" si="14"/>
        <v>-96256.760000000009</v>
      </c>
      <c r="I66" s="19">
        <f t="shared" si="13"/>
        <v>-0.4625554835381217</v>
      </c>
      <c r="J66" s="41" t="s">
        <v>191</v>
      </c>
      <c r="K66" s="41" t="s">
        <v>192</v>
      </c>
    </row>
    <row r="67" spans="1:11" ht="43.5">
      <c r="A67" s="65" t="str">
        <v>CDCR - CA Correctional Institution II</v>
      </c>
      <c r="B67" s="78" t="str">
        <v>CA</v>
      </c>
      <c r="C67" s="65">
        <v>110217</v>
      </c>
      <c r="D67" s="65">
        <v>260696</v>
      </c>
      <c r="E67" s="65">
        <f t="shared" si="7"/>
        <v>-150479</v>
      </c>
      <c r="F67" s="65">
        <f t="shared" si="8"/>
        <v>-0.57722021051339489</v>
      </c>
      <c r="G67" s="65">
        <v>336377.28100000002</v>
      </c>
      <c r="H67" s="65">
        <f t="shared" si="14"/>
        <v>-226160.28100000002</v>
      </c>
      <c r="I67" s="19">
        <f t="shared" si="13"/>
        <v>-0.67234112936420343</v>
      </c>
      <c r="J67" s="73" t="s">
        <v>193</v>
      </c>
      <c r="K67" s="74" t="s">
        <v>194</v>
      </c>
    </row>
    <row r="68" spans="1:11" ht="15.6">
      <c r="A68" s="28" t="str">
        <v>Snowline SD - Vista Verde ES</v>
      </c>
      <c r="B68" s="76" t="str">
        <v>CA</v>
      </c>
      <c r="C68" s="24">
        <v>26364</v>
      </c>
      <c r="D68" s="13">
        <v>39589</v>
      </c>
      <c r="E68" s="13">
        <f t="shared" si="7"/>
        <v>-13225</v>
      </c>
      <c r="F68" s="64">
        <f t="shared" si="8"/>
        <v>-0.33405744019803479</v>
      </c>
      <c r="G68" s="15">
        <v>28050.799999999999</v>
      </c>
      <c r="H68" s="67">
        <f t="shared" si="14"/>
        <v>-1686.7999999999993</v>
      </c>
      <c r="I68" s="19">
        <f t="shared" si="13"/>
        <v>-6.0133757325994242E-2</v>
      </c>
      <c r="J68" s="41"/>
      <c r="K68" s="41"/>
    </row>
    <row r="69" spans="1:11" ht="14.45">
      <c r="A69" s="21"/>
      <c r="B69" s="79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79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79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79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79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79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79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79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79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79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79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79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79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79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79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79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79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79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79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79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79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79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79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79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79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79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79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79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79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79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79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79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79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79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79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79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79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79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79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79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79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79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79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79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79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79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79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79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79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79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79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79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79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79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79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79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79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79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79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79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79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79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79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79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79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79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79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79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79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79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79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79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79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79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79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79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79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79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79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79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79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79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79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79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79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79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79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79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79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79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79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79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79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79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79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79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79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79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79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79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79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79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79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79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79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79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79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79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79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79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79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79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79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79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79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79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79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79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79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79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79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79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79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79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79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79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79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79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79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79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79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79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79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79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79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79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79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79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79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79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79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79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79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79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79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79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79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79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79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79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79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79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79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79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79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79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79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79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79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79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79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79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79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79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79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79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79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79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79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79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79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79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79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79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79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79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79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79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79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79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79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79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79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79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79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79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79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79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79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79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79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79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79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79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79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79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79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79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79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79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79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79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79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79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79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79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79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79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79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79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79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79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79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79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79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79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79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79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79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79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79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79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79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79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79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79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79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79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79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79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79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79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79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79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79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79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79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79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79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79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79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79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79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79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79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79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79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79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79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79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79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79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79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79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79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79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79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79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79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79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79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79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79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79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79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79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79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79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79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79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79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79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79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16 F18 F20 F22 F24 F26 F28 F30 F32 F34 F36 F38 F40 F42 F44 F46 F48 F50 F52 F56 F58 F60 F62 F64 F66 F68:F100">
    <cfRule type="cellIs" dxfId="18" priority="3" stopIfTrue="1" operator="lessThanOrEqual">
      <formula>-0.1</formula>
    </cfRule>
    <cfRule type="expression" dxfId="17" priority="4">
      <formula>AND(ISNUMBER(F4), F4&gt;=0.1)</formula>
    </cfRule>
  </conditionalFormatting>
  <conditionalFormatting sqref="I4:I100">
    <cfRule type="cellIs" dxfId="16" priority="1" stopIfTrue="1" operator="lessThanOrEqual">
      <formula>-0.1</formula>
    </cfRule>
    <cfRule type="expression" dxfId="15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70" zoomScaleNormal="70"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195</v>
      </c>
      <c r="E1" s="100"/>
      <c r="F1" s="100"/>
      <c r="G1" s="98" t="s">
        <v>196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2340875</v>
      </c>
      <c r="D2" s="5">
        <f>SUM(D4:D100)</f>
        <v>3114359</v>
      </c>
      <c r="E2" s="5">
        <f>C2-D2</f>
        <v>-773484</v>
      </c>
      <c r="F2" s="6">
        <f>IFERROR(E2/D2, 0)</f>
        <v>-0.2483605775698948</v>
      </c>
      <c r="G2" s="5">
        <f>SUM(G4:G100)</f>
        <v>3639869.6029999983</v>
      </c>
      <c r="H2" s="7">
        <f>C2-G2</f>
        <v>-1298994.6029999983</v>
      </c>
      <c r="I2" s="6">
        <f>IFERROR(H2/G2, 0)</f>
        <v>-0.35687943379327669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25140</v>
      </c>
      <c r="D4" s="13">
        <v>33343</v>
      </c>
      <c r="E4" s="13">
        <f>IF(AND(ISNUMBER(C4),ISNUMBER(D4)), C4-D4, "")</f>
        <v>-8203</v>
      </c>
      <c r="F4" s="14">
        <f>IFERROR(E4/D4, "")</f>
        <v>-0.24601865459016886</v>
      </c>
      <c r="G4" s="15">
        <v>20345.55</v>
      </c>
      <c r="H4" s="15">
        <f>IF(AND(ISNUMBER(C4),ISNUMBER(G4)), C4-G4, "")</f>
        <v>4794.4500000000007</v>
      </c>
      <c r="I4" s="16">
        <f>IFERROR(H4/G4, "")</f>
        <v>0.2356510391707278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27151</v>
      </c>
      <c r="D5" s="18">
        <v>35807</v>
      </c>
      <c r="E5" s="18">
        <f t="shared" ref="E5:E68" si="0">IF(AND(ISNUMBER(C5),ISNUMBER(D5)), C5-D5, "")</f>
        <v>-8656</v>
      </c>
      <c r="F5" s="19">
        <f>IFERROR(E5/D5, "")</f>
        <v>-0.24174044181305332</v>
      </c>
      <c r="G5" s="20">
        <v>22807.75</v>
      </c>
      <c r="H5" s="20">
        <f t="shared" ref="H5:H68" si="1">IF(AND(ISNUMBER(C5),ISNUMBER(G5)), C5-G5, "")</f>
        <v>4343.25</v>
      </c>
      <c r="I5" s="19">
        <f t="shared" ref="I5:I68" si="2">IFERROR(H5/G5, "")</f>
        <v>0.19042869200162227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33857</v>
      </c>
      <c r="D6" s="13">
        <v>44007</v>
      </c>
      <c r="E6" s="13">
        <f t="shared" si="0"/>
        <v>-10150</v>
      </c>
      <c r="F6" s="14">
        <f t="shared" ref="F6:F68" si="3">IFERROR(E6/D6, "")</f>
        <v>-0.23064512463926193</v>
      </c>
      <c r="G6" s="15">
        <v>25194.880000000001</v>
      </c>
      <c r="H6" s="15">
        <f t="shared" si="1"/>
        <v>8662.119999999999</v>
      </c>
      <c r="I6" s="16">
        <f t="shared" si="2"/>
        <v>0.34380477303325113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40162</v>
      </c>
      <c r="D7" s="18">
        <v>54103</v>
      </c>
      <c r="E7" s="18">
        <f t="shared" si="0"/>
        <v>-13941</v>
      </c>
      <c r="F7" s="19">
        <f t="shared" si="3"/>
        <v>-0.25767517512892074</v>
      </c>
      <c r="G7" s="20">
        <v>29382.87</v>
      </c>
      <c r="H7" s="20">
        <f t="shared" si="1"/>
        <v>10779.130000000001</v>
      </c>
      <c r="I7" s="19">
        <f t="shared" si="2"/>
        <v>0.36685082158414073</v>
      </c>
      <c r="J7" s="54" t="s">
        <v>197</v>
      </c>
      <c r="K7" s="54" t="s">
        <v>198</v>
      </c>
    </row>
    <row r="8" spans="1:11" ht="15.6">
      <c r="A8" s="28" t="str">
        <v>Kohls - Buffalo</v>
      </c>
      <c r="B8" s="29" t="str">
        <v>NY</v>
      </c>
      <c r="C8" s="24">
        <v>31115</v>
      </c>
      <c r="D8" s="13">
        <v>0</v>
      </c>
      <c r="E8" s="13">
        <f t="shared" si="0"/>
        <v>31115</v>
      </c>
      <c r="F8" s="14" t="str">
        <f t="shared" si="3"/>
        <v/>
      </c>
      <c r="G8" s="15">
        <v>26137.89</v>
      </c>
      <c r="H8" s="15">
        <f t="shared" si="1"/>
        <v>4977.1100000000006</v>
      </c>
      <c r="I8" s="16">
        <f t="shared" si="2"/>
        <v>0.19041743614346837</v>
      </c>
      <c r="J8" s="41"/>
      <c r="K8" s="41"/>
    </row>
    <row r="9" spans="1:11" ht="15.6">
      <c r="A9" s="30" t="str">
        <v>Kohls - Canton</v>
      </c>
      <c r="B9" s="31" t="str">
        <v>CT</v>
      </c>
      <c r="C9" s="11">
        <v>13538</v>
      </c>
      <c r="D9" s="18">
        <v>16191</v>
      </c>
      <c r="E9" s="18">
        <f t="shared" si="0"/>
        <v>-2653</v>
      </c>
      <c r="F9" s="19">
        <f t="shared" si="3"/>
        <v>-0.16385646346735841</v>
      </c>
      <c r="G9" s="20">
        <v>9805.2999999999993</v>
      </c>
      <c r="H9" s="20">
        <f t="shared" si="1"/>
        <v>3732.7000000000007</v>
      </c>
      <c r="I9" s="19">
        <f t="shared" si="2"/>
        <v>0.38068187612821647</v>
      </c>
      <c r="J9" s="42"/>
      <c r="K9" s="43"/>
    </row>
    <row r="10" spans="1:11" ht="15.6">
      <c r="A10" s="28" t="str">
        <v>Kohls - East Amherst</v>
      </c>
      <c r="B10" s="29" t="str">
        <v>NY</v>
      </c>
      <c r="C10" s="24">
        <v>29126</v>
      </c>
      <c r="D10" s="13">
        <v>38781</v>
      </c>
      <c r="E10" s="13">
        <f t="shared" si="0"/>
        <v>-9655</v>
      </c>
      <c r="F10" s="14">
        <f t="shared" si="3"/>
        <v>-0.24896212062607978</v>
      </c>
      <c r="G10" s="15">
        <v>22465.16</v>
      </c>
      <c r="H10" s="15">
        <f t="shared" si="1"/>
        <v>6660.84</v>
      </c>
      <c r="I10" s="16">
        <f t="shared" si="2"/>
        <v>0.29649644160112815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47425</v>
      </c>
      <c r="D11" s="18">
        <v>70426</v>
      </c>
      <c r="E11" s="18">
        <f t="shared" si="0"/>
        <v>-23001</v>
      </c>
      <c r="F11" s="19">
        <f t="shared" si="3"/>
        <v>-0.3265981313719365</v>
      </c>
      <c r="G11" s="20">
        <v>37481.589999999997</v>
      </c>
      <c r="H11" s="20">
        <f t="shared" si="1"/>
        <v>9943.4100000000035</v>
      </c>
      <c r="I11" s="19">
        <f t="shared" si="2"/>
        <v>0.26528783864291788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241133</v>
      </c>
      <c r="D12" s="13">
        <v>347159</v>
      </c>
      <c r="E12" s="13">
        <f t="shared" si="0"/>
        <v>-106026</v>
      </c>
      <c r="F12" s="14">
        <f t="shared" si="3"/>
        <v>-0.30541048914186297</v>
      </c>
      <c r="G12" s="15">
        <v>222708.51</v>
      </c>
      <c r="H12" s="15">
        <f t="shared" si="1"/>
        <v>18424.489999999991</v>
      </c>
      <c r="I12" s="16">
        <f t="shared" si="2"/>
        <v>8.2729169172745087E-2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31303</v>
      </c>
      <c r="D13" s="18">
        <v>42904</v>
      </c>
      <c r="E13" s="18">
        <f t="shared" si="0"/>
        <v>-11601</v>
      </c>
      <c r="F13" s="19">
        <f t="shared" si="3"/>
        <v>-0.27039436882341972</v>
      </c>
      <c r="G13" s="20">
        <v>25269.72</v>
      </c>
      <c r="H13" s="20">
        <f t="shared" si="1"/>
        <v>6033.2799999999988</v>
      </c>
      <c r="I13" s="19">
        <f t="shared" si="2"/>
        <v>0.23875531663983607</v>
      </c>
      <c r="J13" s="42"/>
      <c r="K13" s="43"/>
    </row>
    <row r="14" spans="1:11" ht="55.5" customHeight="1">
      <c r="A14" s="28" t="str">
        <v>Kohls - Greece</v>
      </c>
      <c r="B14" s="29" t="str">
        <v>NY</v>
      </c>
      <c r="C14" s="24">
        <v>18182</v>
      </c>
      <c r="D14" s="13">
        <v>17752</v>
      </c>
      <c r="E14" s="13">
        <f t="shared" si="0"/>
        <v>430</v>
      </c>
      <c r="F14" s="14">
        <f t="shared" si="3"/>
        <v>2.4222622803064444E-2</v>
      </c>
      <c r="G14" s="15">
        <v>25020.03</v>
      </c>
      <c r="H14" s="15">
        <f t="shared" si="1"/>
        <v>-6838.0299999999988</v>
      </c>
      <c r="I14" s="16">
        <f t="shared" si="2"/>
        <v>-0.27330223025312117</v>
      </c>
      <c r="J14" s="41" t="s">
        <v>199</v>
      </c>
      <c r="K14" s="41" t="s">
        <v>200</v>
      </c>
    </row>
    <row r="15" spans="1:11" ht="15.6">
      <c r="A15" s="30" t="str">
        <v>Kohls - Hanover</v>
      </c>
      <c r="B15" s="31" t="str">
        <v>PA</v>
      </c>
      <c r="C15" s="11">
        <v>29105</v>
      </c>
      <c r="D15" s="18">
        <v>43481</v>
      </c>
      <c r="E15" s="18">
        <f t="shared" si="0"/>
        <v>-14376</v>
      </c>
      <c r="F15" s="19">
        <f t="shared" si="3"/>
        <v>-0.33062717048825924</v>
      </c>
      <c r="G15" s="20">
        <v>27409.15</v>
      </c>
      <c r="H15" s="20">
        <f t="shared" si="1"/>
        <v>1695.8499999999985</v>
      </c>
      <c r="I15" s="19">
        <f t="shared" si="2"/>
        <v>6.1871674240171565E-2</v>
      </c>
      <c r="J15" s="54" t="s">
        <v>201</v>
      </c>
      <c r="K15" s="54" t="s">
        <v>202</v>
      </c>
    </row>
    <row r="16" spans="1:11" ht="15.6">
      <c r="A16" s="28" t="str">
        <v>Kohls - Horsehead</v>
      </c>
      <c r="B16" s="29" t="str">
        <v>NY</v>
      </c>
      <c r="C16" s="24">
        <v>23925</v>
      </c>
      <c r="D16" s="13">
        <v>33227</v>
      </c>
      <c r="E16" s="13">
        <f t="shared" si="0"/>
        <v>-9302</v>
      </c>
      <c r="F16" s="14">
        <f t="shared" si="3"/>
        <v>-0.27995305023023442</v>
      </c>
      <c r="G16" s="15">
        <v>20734.32</v>
      </c>
      <c r="H16" s="15">
        <f t="shared" si="1"/>
        <v>3190.6800000000003</v>
      </c>
      <c r="I16" s="16">
        <f t="shared" si="2"/>
        <v>0.15388399523109514</v>
      </c>
      <c r="J16" s="41"/>
      <c r="K16" s="41"/>
    </row>
    <row r="17" spans="1:11" ht="15.6">
      <c r="A17" s="30" t="str">
        <v>Kohls - Hudson</v>
      </c>
      <c r="B17" s="31" t="str">
        <v>NY</v>
      </c>
      <c r="C17" s="11">
        <v>29274</v>
      </c>
      <c r="D17" s="18">
        <v>39764</v>
      </c>
      <c r="E17" s="18">
        <f t="shared" si="0"/>
        <v>-10490</v>
      </c>
      <c r="F17" s="19">
        <f t="shared" si="3"/>
        <v>-0.26380645810280656</v>
      </c>
      <c r="G17" s="20">
        <v>23537.15</v>
      </c>
      <c r="H17" s="20">
        <f t="shared" si="1"/>
        <v>5736.8499999999985</v>
      </c>
      <c r="I17" s="19">
        <f t="shared" si="2"/>
        <v>0.2437359663340718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23326</v>
      </c>
      <c r="D18" s="13">
        <v>33728</v>
      </c>
      <c r="E18" s="13">
        <f t="shared" si="0"/>
        <v>-10402</v>
      </c>
      <c r="F18" s="19">
        <f t="shared" si="3"/>
        <v>-0.3084084440227704</v>
      </c>
      <c r="G18" s="15">
        <v>25168.13</v>
      </c>
      <c r="H18" s="15">
        <f t="shared" si="1"/>
        <v>-1842.130000000001</v>
      </c>
      <c r="I18" s="19">
        <f t="shared" si="2"/>
        <v>-7.3192962687335175E-2</v>
      </c>
      <c r="J18" s="41"/>
      <c r="K18" s="41"/>
    </row>
    <row r="19" spans="1:11" ht="15.6">
      <c r="A19" s="30" t="str">
        <v>Kohls - Kingston</v>
      </c>
      <c r="B19" s="31" t="str">
        <v>NY</v>
      </c>
      <c r="C19" s="11">
        <v>38330</v>
      </c>
      <c r="D19" s="18">
        <v>58889</v>
      </c>
      <c r="E19" s="18">
        <f t="shared" si="0"/>
        <v>-20559</v>
      </c>
      <c r="F19" s="19">
        <f t="shared" si="3"/>
        <v>-0.34911443563314032</v>
      </c>
      <c r="G19" s="20">
        <v>37099.618999999999</v>
      </c>
      <c r="H19" s="20">
        <f t="shared" si="1"/>
        <v>1230.3810000000012</v>
      </c>
      <c r="I19" s="16">
        <f t="shared" si="2"/>
        <v>3.3164248937435213E-2</v>
      </c>
      <c r="J19" s="42" t="s">
        <v>203</v>
      </c>
      <c r="K19" s="42" t="s">
        <v>204</v>
      </c>
    </row>
    <row r="20" spans="1:11" ht="15.6">
      <c r="A20" s="28" t="str">
        <v>Kohls - Mechanicsburg</v>
      </c>
      <c r="B20" s="29" t="str">
        <v>PA</v>
      </c>
      <c r="C20" s="24">
        <v>38446</v>
      </c>
      <c r="D20" s="13">
        <v>53485</v>
      </c>
      <c r="E20" s="13">
        <f t="shared" si="0"/>
        <v>-15039</v>
      </c>
      <c r="F20" s="19">
        <f t="shared" si="3"/>
        <v>-0.28118163971206883</v>
      </c>
      <c r="G20" s="15">
        <v>32050.36</v>
      </c>
      <c r="H20" s="15">
        <f t="shared" si="1"/>
        <v>6395.6399999999994</v>
      </c>
      <c r="I20" s="19">
        <f t="shared" si="2"/>
        <v>0.19954970864601831</v>
      </c>
      <c r="J20" s="41"/>
      <c r="K20" s="41"/>
    </row>
    <row r="21" spans="1:11" ht="15.6">
      <c r="A21" s="30" t="str">
        <v>Kohls - Middletown</v>
      </c>
      <c r="B21" s="31" t="str">
        <v>NJ</v>
      </c>
      <c r="C21" s="11">
        <v>58440</v>
      </c>
      <c r="D21" s="18">
        <v>69476</v>
      </c>
      <c r="E21" s="18">
        <f t="shared" si="0"/>
        <v>-11036</v>
      </c>
      <c r="F21" s="19">
        <f t="shared" si="3"/>
        <v>-0.15884622027750589</v>
      </c>
      <c r="G21" s="20">
        <v>46891.31</v>
      </c>
      <c r="H21" s="20">
        <f t="shared" si="1"/>
        <v>11548.690000000002</v>
      </c>
      <c r="I21" s="19">
        <f t="shared" si="2"/>
        <v>0.24628635881573799</v>
      </c>
      <c r="J21" s="42"/>
      <c r="K21" s="43"/>
    </row>
    <row r="22" spans="1:11" ht="29.1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9" t="str">
        <f t="shared" si="3"/>
        <v/>
      </c>
      <c r="G22" s="15">
        <v>21845.09</v>
      </c>
      <c r="H22" s="15">
        <f t="shared" si="1"/>
        <v>-21845.09</v>
      </c>
      <c r="I22" s="16">
        <f t="shared" si="2"/>
        <v>-1</v>
      </c>
      <c r="J22" s="41" t="s">
        <v>205</v>
      </c>
      <c r="K22" s="41" t="s">
        <v>105</v>
      </c>
    </row>
    <row r="23" spans="1:11" ht="15.6">
      <c r="A23" s="30" t="str">
        <v>Kohls - Staten Island</v>
      </c>
      <c r="B23" s="31" t="str">
        <v>NY</v>
      </c>
      <c r="C23" s="11">
        <v>104</v>
      </c>
      <c r="D23" s="18">
        <v>0</v>
      </c>
      <c r="E23" s="18">
        <f t="shared" si="0"/>
        <v>104</v>
      </c>
      <c r="F23" s="19" t="str">
        <f t="shared" si="3"/>
        <v/>
      </c>
      <c r="G23" s="20">
        <v>29148.38</v>
      </c>
      <c r="H23" s="20">
        <f t="shared" si="1"/>
        <v>-29044.38</v>
      </c>
      <c r="I23" s="19">
        <f t="shared" si="2"/>
        <v>-0.99643204871076885</v>
      </c>
      <c r="J23" s="42" t="s">
        <v>206</v>
      </c>
      <c r="K23" s="42" t="s">
        <v>107</v>
      </c>
    </row>
    <row r="24" spans="1:11" ht="15.6">
      <c r="A24" s="28" t="str">
        <v>Kohls - Warminster</v>
      </c>
      <c r="B24" s="29" t="str">
        <v>PA</v>
      </c>
      <c r="C24" s="24">
        <v>40216</v>
      </c>
      <c r="D24" s="13">
        <v>51241</v>
      </c>
      <c r="E24" s="13">
        <f t="shared" si="0"/>
        <v>-11025</v>
      </c>
      <c r="F24" s="19">
        <f t="shared" si="3"/>
        <v>-0.21515973536816221</v>
      </c>
      <c r="G24" s="15">
        <v>30992.51</v>
      </c>
      <c r="H24" s="15">
        <f t="shared" si="1"/>
        <v>9223.4900000000016</v>
      </c>
      <c r="I24" s="19">
        <f t="shared" si="2"/>
        <v>0.29760384041176408</v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>
        <v>33364</v>
      </c>
      <c r="D25" s="18">
        <v>40107</v>
      </c>
      <c r="E25" s="18">
        <f t="shared" si="0"/>
        <v>-6743</v>
      </c>
      <c r="F25" s="19">
        <f t="shared" si="3"/>
        <v>-0.16812526491634877</v>
      </c>
      <c r="G25" s="20">
        <v>26850.02</v>
      </c>
      <c r="H25" s="20">
        <f t="shared" si="1"/>
        <v>6513.98</v>
      </c>
      <c r="I25" s="16">
        <f t="shared" si="2"/>
        <v>0.24260615075891934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>
        <v>34879</v>
      </c>
      <c r="D26" s="13">
        <v>48277</v>
      </c>
      <c r="E26" s="13">
        <f t="shared" si="0"/>
        <v>-13398</v>
      </c>
      <c r="F26" s="19">
        <f t="shared" si="3"/>
        <v>-0.27752345837562398</v>
      </c>
      <c r="G26" s="15">
        <v>31892.25</v>
      </c>
      <c r="H26" s="15">
        <f t="shared" si="1"/>
        <v>2986.75</v>
      </c>
      <c r="I26" s="19">
        <f t="shared" si="2"/>
        <v>9.3651278915724043E-2</v>
      </c>
      <c r="J26" s="41"/>
      <c r="K26" s="41"/>
    </row>
    <row r="27" spans="1:11" ht="15.6">
      <c r="A27" s="30" t="str">
        <v>CSU - Bakersfield</v>
      </c>
      <c r="B27" s="31" t="str">
        <v>CA</v>
      </c>
      <c r="C27" s="11">
        <v>76523</v>
      </c>
      <c r="D27" s="18">
        <v>295833</v>
      </c>
      <c r="E27" s="18">
        <f t="shared" si="0"/>
        <v>-219310</v>
      </c>
      <c r="F27" s="19">
        <f t="shared" si="3"/>
        <v>-0.74133041276666223</v>
      </c>
      <c r="G27" s="20">
        <v>112301.35</v>
      </c>
      <c r="H27" s="20">
        <f t="shared" si="1"/>
        <v>-35778.350000000006</v>
      </c>
      <c r="I27" s="16">
        <f t="shared" si="2"/>
        <v>-0.31859234105378076</v>
      </c>
      <c r="J27" s="42" t="s">
        <v>207</v>
      </c>
      <c r="K27" s="43" t="s">
        <v>208</v>
      </c>
    </row>
    <row r="28" spans="1:11" ht="15.6">
      <c r="A28" s="28" t="str">
        <v>Greenfield USD - Fairfield ES</v>
      </c>
      <c r="B28" s="29" t="str">
        <v>CA</v>
      </c>
      <c r="C28" s="24">
        <v>8191</v>
      </c>
      <c r="D28" s="13">
        <v>0</v>
      </c>
      <c r="E28" s="13">
        <f t="shared" si="0"/>
        <v>8191</v>
      </c>
      <c r="F28" s="19" t="str">
        <f t="shared" si="3"/>
        <v/>
      </c>
      <c r="G28" s="15">
        <v>12153.64</v>
      </c>
      <c r="H28" s="15">
        <f t="shared" si="1"/>
        <v>-3962.6399999999994</v>
      </c>
      <c r="I28" s="19">
        <f t="shared" si="2"/>
        <v>-0.32604553039254081</v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>
        <v>25226</v>
      </c>
      <c r="D29" s="18">
        <v>44026</v>
      </c>
      <c r="E29" s="18">
        <f t="shared" si="0"/>
        <v>-18800</v>
      </c>
      <c r="F29" s="19">
        <f t="shared" si="3"/>
        <v>-0.42702039703811384</v>
      </c>
      <c r="G29" s="20">
        <v>31854.95</v>
      </c>
      <c r="H29" s="20">
        <f t="shared" si="1"/>
        <v>-6628.9500000000007</v>
      </c>
      <c r="I29" s="16">
        <f t="shared" si="2"/>
        <v>-0.20809795651853166</v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>
        <v>14311</v>
      </c>
      <c r="D30" s="13">
        <v>30784</v>
      </c>
      <c r="E30" s="13">
        <f t="shared" si="0"/>
        <v>-16473</v>
      </c>
      <c r="F30" s="19">
        <f t="shared" si="3"/>
        <v>-0.53511564449064453</v>
      </c>
      <c r="G30" s="15">
        <v>21891.37</v>
      </c>
      <c r="H30" s="15">
        <f t="shared" si="1"/>
        <v>-7580.369999999999</v>
      </c>
      <c r="I30" s="19">
        <f t="shared" si="2"/>
        <v>-0.34627206976995956</v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>
        <v>5706</v>
      </c>
      <c r="D31" s="18">
        <v>43061</v>
      </c>
      <c r="E31" s="18">
        <f t="shared" si="0"/>
        <v>-37355</v>
      </c>
      <c r="F31" s="19">
        <f t="shared" si="3"/>
        <v>-0.86749030445182418</v>
      </c>
      <c r="G31" s="20">
        <v>32601.01</v>
      </c>
      <c r="H31" s="20">
        <f t="shared" si="1"/>
        <v>-26895.01</v>
      </c>
      <c r="I31" s="16">
        <f t="shared" si="2"/>
        <v>-0.82497474771487145</v>
      </c>
      <c r="J31" s="54" t="s">
        <v>209</v>
      </c>
      <c r="K31" s="54" t="s">
        <v>113</v>
      </c>
    </row>
    <row r="32" spans="1:11" ht="15.6">
      <c r="A32" s="28" t="str">
        <v>Greenfield USD - McKee MS</v>
      </c>
      <c r="B32" s="29" t="str">
        <v>CA</v>
      </c>
      <c r="C32" s="24">
        <v>8694</v>
      </c>
      <c r="D32" s="13">
        <v>26454</v>
      </c>
      <c r="E32" s="13">
        <f t="shared" si="0"/>
        <v>-17760</v>
      </c>
      <c r="F32" s="19">
        <f t="shared" si="3"/>
        <v>-0.67135404853708325</v>
      </c>
      <c r="G32" s="15">
        <v>19956.78</v>
      </c>
      <c r="H32" s="15">
        <f t="shared" si="1"/>
        <v>-11262.779999999999</v>
      </c>
      <c r="I32" s="19">
        <f t="shared" si="2"/>
        <v>-0.56435857888897911</v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>
        <v>11303</v>
      </c>
      <c r="D33" s="18">
        <v>20895</v>
      </c>
      <c r="E33" s="18">
        <f t="shared" si="0"/>
        <v>-9592</v>
      </c>
      <c r="F33" s="19">
        <f t="shared" si="3"/>
        <v>-0.45905719071548218</v>
      </c>
      <c r="G33" s="20">
        <v>14190.05</v>
      </c>
      <c r="H33" s="20">
        <f t="shared" si="1"/>
        <v>-2887.0499999999993</v>
      </c>
      <c r="I33" s="16">
        <f t="shared" si="2"/>
        <v>-0.2034559427204273</v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>
        <v>4420</v>
      </c>
      <c r="D34" s="13">
        <v>21470</v>
      </c>
      <c r="E34" s="13">
        <f t="shared" si="0"/>
        <v>-17050</v>
      </c>
      <c r="F34" s="19">
        <f t="shared" si="3"/>
        <v>-0.79413134606427571</v>
      </c>
      <c r="G34" s="15">
        <v>16874.400000000001</v>
      </c>
      <c r="H34" s="15">
        <f t="shared" si="1"/>
        <v>-12454.400000000001</v>
      </c>
      <c r="I34" s="19">
        <f t="shared" si="2"/>
        <v>-0.73806476082112549</v>
      </c>
      <c r="J34" s="41"/>
      <c r="K34" s="41"/>
    </row>
    <row r="35" spans="1:11" ht="29.1">
      <c r="A35" s="30" t="str">
        <v>Greenfield USD - Raffaello Palla ES</v>
      </c>
      <c r="B35" s="31" t="str">
        <v>CA</v>
      </c>
      <c r="C35" s="11">
        <v>13511</v>
      </c>
      <c r="D35" s="18">
        <v>35889</v>
      </c>
      <c r="E35" s="18">
        <f t="shared" si="0"/>
        <v>-22378</v>
      </c>
      <c r="F35" s="19">
        <f t="shared" si="3"/>
        <v>-0.62353367327036135</v>
      </c>
      <c r="G35" s="20">
        <v>36062.9</v>
      </c>
      <c r="H35" s="20">
        <f t="shared" si="1"/>
        <v>-22551.9</v>
      </c>
      <c r="I35" s="16">
        <f t="shared" si="2"/>
        <v>-0.62534904292222759</v>
      </c>
      <c r="J35" s="42" t="s">
        <v>210</v>
      </c>
      <c r="K35" s="54" t="s">
        <v>211</v>
      </c>
    </row>
    <row r="36" spans="1:11" ht="15.6">
      <c r="A36" s="28" t="str">
        <v>Greenfield USD - Valle Verde ES</v>
      </c>
      <c r="B36" s="29" t="str">
        <v>CA</v>
      </c>
      <c r="C36" s="24">
        <v>22720</v>
      </c>
      <c r="D36" s="13">
        <v>44909</v>
      </c>
      <c r="E36" s="13">
        <f t="shared" si="0"/>
        <v>-22189</v>
      </c>
      <c r="F36" s="19">
        <f t="shared" si="3"/>
        <v>-0.49408804471264112</v>
      </c>
      <c r="G36" s="15">
        <v>33619.22</v>
      </c>
      <c r="H36" s="15">
        <f t="shared" si="1"/>
        <v>-10899.220000000001</v>
      </c>
      <c r="I36" s="19">
        <f t="shared" si="2"/>
        <v>-0.32419609973104674</v>
      </c>
      <c r="J36" s="41"/>
      <c r="K36" s="41"/>
    </row>
    <row r="37" spans="1:11" ht="29.1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0"/>
        <v>0</v>
      </c>
      <c r="F37" s="19" t="str">
        <f t="shared" si="3"/>
        <v/>
      </c>
      <c r="G37" s="20">
        <v>12940.44</v>
      </c>
      <c r="H37" s="20">
        <f t="shared" si="1"/>
        <v>-12940.44</v>
      </c>
      <c r="I37" s="16">
        <f t="shared" si="2"/>
        <v>-1</v>
      </c>
      <c r="J37" s="42" t="s">
        <v>212</v>
      </c>
      <c r="K37" s="82" t="s">
        <v>213</v>
      </c>
    </row>
    <row r="38" spans="1:11" ht="15.6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9" t="str">
        <f t="shared" si="3"/>
        <v/>
      </c>
      <c r="G38" s="15">
        <v>31712.65</v>
      </c>
      <c r="H38" s="15">
        <f t="shared" si="1"/>
        <v>-31712.65</v>
      </c>
      <c r="I38" s="19">
        <f t="shared" si="2"/>
        <v>-1</v>
      </c>
      <c r="J38" s="41" t="s">
        <v>120</v>
      </c>
      <c r="K38" s="41" t="s">
        <v>214</v>
      </c>
    </row>
    <row r="39" spans="1:11" ht="15.6">
      <c r="A39" s="30" t="str">
        <v>Muroc Joint USD - W. Boron ES</v>
      </c>
      <c r="B39" s="31" t="str">
        <v>CA</v>
      </c>
      <c r="C39" s="11">
        <v>11543</v>
      </c>
      <c r="D39" s="18">
        <v>17604</v>
      </c>
      <c r="E39" s="18">
        <f t="shared" si="0"/>
        <v>-6061</v>
      </c>
      <c r="F39" s="19">
        <f t="shared" si="3"/>
        <v>-0.34429675073846855</v>
      </c>
      <c r="G39" s="20">
        <v>11734.91</v>
      </c>
      <c r="H39" s="20">
        <f t="shared" si="1"/>
        <v>-191.90999999999985</v>
      </c>
      <c r="I39" s="16">
        <f t="shared" si="2"/>
        <v>-1.6353768371465981E-2</v>
      </c>
      <c r="J39" s="42"/>
      <c r="K39" s="43"/>
    </row>
    <row r="40" spans="1:11" ht="15.6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9" t="str">
        <f t="shared" si="3"/>
        <v/>
      </c>
      <c r="G40" s="15">
        <v>36153.061000000002</v>
      </c>
      <c r="H40" s="15">
        <f t="shared" si="1"/>
        <v>-36153.061000000002</v>
      </c>
      <c r="I40" s="19">
        <f t="shared" si="2"/>
        <v>-1</v>
      </c>
      <c r="J40" s="41" t="s">
        <v>120</v>
      </c>
      <c r="K40" s="41" t="s">
        <v>121</v>
      </c>
    </row>
    <row r="41" spans="1:11" ht="29.1">
      <c r="A41" s="30" t="str">
        <v>CDCR-North Kern State Prision</v>
      </c>
      <c r="B41" s="31" t="str">
        <v>CA</v>
      </c>
      <c r="C41" s="11">
        <v>33262</v>
      </c>
      <c r="D41" s="18">
        <v>0</v>
      </c>
      <c r="E41" s="18">
        <f t="shared" si="0"/>
        <v>33262</v>
      </c>
      <c r="F41" s="19" t="str">
        <f t="shared" si="3"/>
        <v/>
      </c>
      <c r="G41" s="20">
        <v>156257.15</v>
      </c>
      <c r="H41" s="20">
        <f t="shared" si="1"/>
        <v>-122995.15</v>
      </c>
      <c r="I41" s="16">
        <f t="shared" si="2"/>
        <v>-0.7871329407966291</v>
      </c>
      <c r="J41" s="42" t="s">
        <v>215</v>
      </c>
      <c r="K41" s="84" t="s">
        <v>123</v>
      </c>
    </row>
    <row r="42" spans="1:11" ht="15.6">
      <c r="A42" s="28" t="str">
        <v>Muroc Joint USD - District Office</v>
      </c>
      <c r="B42" s="29" t="str">
        <v>CA</v>
      </c>
      <c r="C42" s="24">
        <v>5851</v>
      </c>
      <c r="D42" s="13">
        <v>12815</v>
      </c>
      <c r="E42" s="13">
        <f t="shared" si="0"/>
        <v>-6964</v>
      </c>
      <c r="F42" s="19">
        <f t="shared" si="3"/>
        <v>-0.54342567303940692</v>
      </c>
      <c r="G42" s="15">
        <v>8253.7800000000007</v>
      </c>
      <c r="H42" s="15">
        <f t="shared" si="1"/>
        <v>-2402.7800000000007</v>
      </c>
      <c r="I42" s="19">
        <f t="shared" si="2"/>
        <v>-0.2911126780699268</v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>
        <v>14239</v>
      </c>
      <c r="D43" s="18">
        <v>0</v>
      </c>
      <c r="E43" s="18">
        <f t="shared" si="0"/>
        <v>14239</v>
      </c>
      <c r="F43" s="19" t="str">
        <f t="shared" si="3"/>
        <v/>
      </c>
      <c r="G43" s="20">
        <v>17280.2</v>
      </c>
      <c r="H43" s="20">
        <f t="shared" si="1"/>
        <v>-3041.2000000000007</v>
      </c>
      <c r="I43" s="16">
        <f t="shared" si="2"/>
        <v>-0.17599333341049297</v>
      </c>
      <c r="J43" s="54" t="s">
        <v>126</v>
      </c>
      <c r="K43" s="54" t="s">
        <v>167</v>
      </c>
    </row>
    <row r="44" spans="1:11" ht="15.6">
      <c r="A44" s="28" t="str">
        <v>Pioneer USD - Frontier ES</v>
      </c>
      <c r="B44" s="29" t="str">
        <v>CA</v>
      </c>
      <c r="C44" s="24">
        <v>17138</v>
      </c>
      <c r="D44" s="13">
        <v>0</v>
      </c>
      <c r="E44" s="13">
        <f t="shared" si="0"/>
        <v>17138</v>
      </c>
      <c r="F44" s="19" t="str">
        <f t="shared" si="3"/>
        <v/>
      </c>
      <c r="G44" s="15">
        <v>30064.09</v>
      </c>
      <c r="H44" s="15">
        <f t="shared" si="1"/>
        <v>-12926.09</v>
      </c>
      <c r="I44" s="19">
        <f t="shared" si="2"/>
        <v>-0.4299511476981342</v>
      </c>
      <c r="J44" s="41" t="s">
        <v>216</v>
      </c>
      <c r="K44" s="41" t="s">
        <v>217</v>
      </c>
    </row>
    <row r="45" spans="1:11" ht="43.5">
      <c r="A45" s="30" t="str">
        <v>Pioneer USD - Pioneer ES</v>
      </c>
      <c r="B45" s="31" t="str">
        <v>CA</v>
      </c>
      <c r="C45" s="11">
        <v>3736</v>
      </c>
      <c r="D45" s="18">
        <v>0</v>
      </c>
      <c r="E45" s="18">
        <f t="shared" si="0"/>
        <v>3736</v>
      </c>
      <c r="F45" s="19" t="str">
        <f t="shared" si="3"/>
        <v/>
      </c>
      <c r="G45" s="20">
        <v>30481</v>
      </c>
      <c r="H45" s="20">
        <f t="shared" si="1"/>
        <v>-26745</v>
      </c>
      <c r="I45" s="16">
        <f t="shared" si="2"/>
        <v>-0.87743184278731012</v>
      </c>
      <c r="J45" s="42" t="s">
        <v>218</v>
      </c>
      <c r="K45" s="42" t="s">
        <v>219</v>
      </c>
    </row>
    <row r="46" spans="1:11" ht="15.6">
      <c r="A46" s="28" t="str">
        <v>Pioneer USD - Pioneer MS</v>
      </c>
      <c r="B46" s="29" t="str">
        <v>CA</v>
      </c>
      <c r="C46" s="24">
        <v>20048</v>
      </c>
      <c r="D46" s="13">
        <v>0</v>
      </c>
      <c r="E46" s="13">
        <f t="shared" si="0"/>
        <v>20048</v>
      </c>
      <c r="F46" s="19" t="str">
        <f t="shared" si="3"/>
        <v/>
      </c>
      <c r="G46" s="15">
        <v>41077.89</v>
      </c>
      <c r="H46" s="15">
        <f t="shared" si="1"/>
        <v>-21029.89</v>
      </c>
      <c r="I46" s="19">
        <f t="shared" si="2"/>
        <v>-0.51195156323754698</v>
      </c>
      <c r="J46" s="41" t="s">
        <v>216</v>
      </c>
      <c r="K46" s="41" t="s">
        <v>220</v>
      </c>
    </row>
    <row r="47" spans="1:11" ht="57.95">
      <c r="A47" s="30" t="str">
        <v>Kingsburg Joint UHSD - Kingsburg HS</v>
      </c>
      <c r="B47" s="31" t="str">
        <v>CA</v>
      </c>
      <c r="C47" s="11">
        <v>97709</v>
      </c>
      <c r="D47" s="18">
        <v>168385</v>
      </c>
      <c r="E47" s="18">
        <f t="shared" si="0"/>
        <v>-70676</v>
      </c>
      <c r="F47" s="19">
        <f t="shared" si="3"/>
        <v>-0.41972859815304214</v>
      </c>
      <c r="G47" s="20">
        <v>74894.39</v>
      </c>
      <c r="H47" s="20">
        <f t="shared" si="1"/>
        <v>22814.61</v>
      </c>
      <c r="I47" s="16">
        <f t="shared" si="2"/>
        <v>0.30462375085770776</v>
      </c>
      <c r="J47" s="42" t="s">
        <v>221</v>
      </c>
      <c r="K47" s="54" t="s">
        <v>222</v>
      </c>
    </row>
    <row r="48" spans="1:11" ht="57.95">
      <c r="A48" s="28" t="str">
        <v>CADRB</v>
      </c>
      <c r="B48" s="29" t="str">
        <v>CA</v>
      </c>
      <c r="C48" s="24">
        <v>205381</v>
      </c>
      <c r="D48" s="13">
        <v>599023</v>
      </c>
      <c r="E48" s="13">
        <f t="shared" si="0"/>
        <v>-393642</v>
      </c>
      <c r="F48" s="19">
        <f t="shared" si="3"/>
        <v>-0.65714004303674478</v>
      </c>
      <c r="G48" s="15">
        <v>612719</v>
      </c>
      <c r="H48" s="15">
        <f t="shared" si="1"/>
        <v>-407338</v>
      </c>
      <c r="I48" s="19">
        <f t="shared" si="2"/>
        <v>-0.66480393132904314</v>
      </c>
      <c r="J48" s="41" t="s">
        <v>223</v>
      </c>
      <c r="K48" s="41" t="s">
        <v>224</v>
      </c>
    </row>
    <row r="49" spans="1:11" ht="15.6">
      <c r="A49" s="30" t="str">
        <v>CDCR-CA State Prison LA County</v>
      </c>
      <c r="B49" s="31" t="str">
        <v>CA</v>
      </c>
      <c r="C49" s="11">
        <v>210201</v>
      </c>
      <c r="D49" s="18">
        <v>0</v>
      </c>
      <c r="E49" s="18">
        <f t="shared" si="0"/>
        <v>210201</v>
      </c>
      <c r="F49" s="19" t="str">
        <f t="shared" si="3"/>
        <v/>
      </c>
      <c r="G49" s="20">
        <v>361554.67</v>
      </c>
      <c r="H49" s="20">
        <f t="shared" si="1"/>
        <v>-151353.66999999998</v>
      </c>
      <c r="I49" s="16">
        <f t="shared" si="2"/>
        <v>-0.41861904314498272</v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>
        <v>21890</v>
      </c>
      <c r="D50" s="13">
        <v>0</v>
      </c>
      <c r="E50" s="13">
        <f t="shared" si="0"/>
        <v>21890</v>
      </c>
      <c r="F50" s="19" t="str">
        <f t="shared" si="3"/>
        <v/>
      </c>
      <c r="G50" s="15">
        <v>27997.61</v>
      </c>
      <c r="H50" s="15">
        <f t="shared" si="1"/>
        <v>-6107.6100000000006</v>
      </c>
      <c r="I50" s="19">
        <f t="shared" si="2"/>
        <v>-0.21814754902293448</v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>
        <v>17102</v>
      </c>
      <c r="D51" s="18">
        <v>29765</v>
      </c>
      <c r="E51" s="18">
        <f t="shared" si="0"/>
        <v>-12663</v>
      </c>
      <c r="F51" s="19">
        <f t="shared" si="3"/>
        <v>-0.42543255501427851</v>
      </c>
      <c r="G51" s="20">
        <v>21181.119999999999</v>
      </c>
      <c r="H51" s="20">
        <f t="shared" si="1"/>
        <v>-4079.119999999999</v>
      </c>
      <c r="I51" s="16">
        <f t="shared" si="2"/>
        <v>-0.19258282848121341</v>
      </c>
      <c r="J51" s="42"/>
      <c r="K51" s="43"/>
    </row>
    <row r="52" spans="1:11" ht="57.95">
      <c r="A52" s="28" t="str">
        <v>Parlier - WTP</v>
      </c>
      <c r="B52" s="29" t="str">
        <v>CA</v>
      </c>
      <c r="C52" s="24">
        <v>12634</v>
      </c>
      <c r="D52" s="13">
        <v>0</v>
      </c>
      <c r="E52" s="13">
        <f t="shared" si="0"/>
        <v>12634</v>
      </c>
      <c r="F52" s="19" t="str">
        <f t="shared" si="3"/>
        <v/>
      </c>
      <c r="G52" s="15">
        <v>63569.5</v>
      </c>
      <c r="H52" s="15">
        <f t="shared" si="1"/>
        <v>-50935.5</v>
      </c>
      <c r="I52" s="19">
        <f t="shared" si="2"/>
        <v>-0.80125689206301765</v>
      </c>
      <c r="J52" s="41" t="s">
        <v>225</v>
      </c>
      <c r="K52" s="41" t="s">
        <v>226</v>
      </c>
    </row>
    <row r="53" spans="1:11" ht="15.6">
      <c r="A53" s="30" t="str">
        <v>Snowline SD - Quail Valley MS</v>
      </c>
      <c r="B53" s="31" t="str">
        <v>CA</v>
      </c>
      <c r="C53" s="11">
        <v>28593</v>
      </c>
      <c r="D53" s="18">
        <v>49501</v>
      </c>
      <c r="E53" s="18">
        <f t="shared" si="0"/>
        <v>-20908</v>
      </c>
      <c r="F53" s="19">
        <f t="shared" si="3"/>
        <v>-0.42237530554938285</v>
      </c>
      <c r="G53" s="20">
        <v>33022.410000000003</v>
      </c>
      <c r="H53" s="20">
        <f t="shared" si="1"/>
        <v>-4429.4100000000035</v>
      </c>
      <c r="I53" s="16">
        <f t="shared" si="2"/>
        <v>-0.13413345664353399</v>
      </c>
      <c r="J53" s="42" t="s">
        <v>227</v>
      </c>
      <c r="K53" s="43" t="s">
        <v>177</v>
      </c>
    </row>
    <row r="54" spans="1:11" ht="15.6">
      <c r="A54" s="28" t="str">
        <v>Snowline SD - Serrano HS - Middle Lot</v>
      </c>
      <c r="B54" s="29" t="str">
        <v>CA</v>
      </c>
      <c r="C54" s="24">
        <v>24694</v>
      </c>
      <c r="D54" s="13">
        <v>0</v>
      </c>
      <c r="E54" s="13">
        <f t="shared" si="0"/>
        <v>24694</v>
      </c>
      <c r="F54" s="19" t="str">
        <f t="shared" si="3"/>
        <v/>
      </c>
      <c r="G54" s="15">
        <v>38150.11</v>
      </c>
      <c r="H54" s="15">
        <f t="shared" si="1"/>
        <v>-13456.11</v>
      </c>
      <c r="I54" s="19">
        <f t="shared" si="2"/>
        <v>-0.35271484145130905</v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>
        <v>10815</v>
      </c>
      <c r="D55" s="18">
        <v>30367</v>
      </c>
      <c r="E55" s="18">
        <f t="shared" si="0"/>
        <v>-19552</v>
      </c>
      <c r="F55" s="19">
        <f t="shared" si="3"/>
        <v>-0.64385681825666019</v>
      </c>
      <c r="G55" s="20">
        <v>20916.400000000001</v>
      </c>
      <c r="H55" s="20">
        <f t="shared" si="1"/>
        <v>-10101.400000000001</v>
      </c>
      <c r="I55" s="16">
        <f t="shared" si="2"/>
        <v>-0.48294161519190687</v>
      </c>
      <c r="J55" s="42" t="s">
        <v>228</v>
      </c>
      <c r="K55" s="43" t="s">
        <v>229</v>
      </c>
    </row>
    <row r="56" spans="1:11" ht="29.1">
      <c r="A56" s="28" t="str">
        <v>Ramona - Santa Maria WTP</v>
      </c>
      <c r="B56" s="29" t="str">
        <v>CA</v>
      </c>
      <c r="C56" s="24">
        <v>10132</v>
      </c>
      <c r="D56" s="13">
        <v>41823</v>
      </c>
      <c r="E56" s="13">
        <f t="shared" si="0"/>
        <v>-31691</v>
      </c>
      <c r="F56" s="19">
        <f t="shared" si="3"/>
        <v>-0.75774095593333812</v>
      </c>
      <c r="G56" s="15">
        <v>58973.29</v>
      </c>
      <c r="H56" s="15">
        <f t="shared" si="1"/>
        <v>-48841.29</v>
      </c>
      <c r="I56" s="19">
        <f t="shared" si="2"/>
        <v>-0.82819340755789617</v>
      </c>
      <c r="J56" s="41" t="s">
        <v>230</v>
      </c>
      <c r="K56" s="41" t="s">
        <v>231</v>
      </c>
    </row>
    <row r="57" spans="1:11" ht="29.1">
      <c r="A57" s="30" t="str">
        <v>Kohls - Redding</v>
      </c>
      <c r="B57" s="31" t="str">
        <v>CA</v>
      </c>
      <c r="C57" s="11">
        <v>30550</v>
      </c>
      <c r="D57" s="18">
        <v>0</v>
      </c>
      <c r="E57" s="18">
        <f t="shared" si="0"/>
        <v>30550</v>
      </c>
      <c r="F57" s="19" t="str">
        <f t="shared" si="3"/>
        <v/>
      </c>
      <c r="G57" s="20">
        <v>25665.84</v>
      </c>
      <c r="H57" s="20">
        <f t="shared" si="1"/>
        <v>4884.16</v>
      </c>
      <c r="I57" s="16">
        <f t="shared" si="2"/>
        <v>0.19029807713287389</v>
      </c>
      <c r="J57" s="42" t="s">
        <v>181</v>
      </c>
      <c r="K57" s="54" t="s">
        <v>182</v>
      </c>
    </row>
    <row r="58" spans="1:11" ht="29.1">
      <c r="A58" s="28" t="str">
        <v>Kohls - Salinas</v>
      </c>
      <c r="B58" s="29" t="str">
        <v>CA</v>
      </c>
      <c r="C58" s="24">
        <v>30574</v>
      </c>
      <c r="D58" s="13">
        <v>59196</v>
      </c>
      <c r="E58" s="13">
        <f t="shared" si="0"/>
        <v>-28622</v>
      </c>
      <c r="F58" s="19">
        <f t="shared" si="3"/>
        <v>-0.4835123994864518</v>
      </c>
      <c r="G58" s="15">
        <v>36619.32</v>
      </c>
      <c r="H58" s="15">
        <f t="shared" si="1"/>
        <v>-6045.32</v>
      </c>
      <c r="I58" s="19">
        <f t="shared" si="2"/>
        <v>-0.1650855340841938</v>
      </c>
      <c r="J58" s="41" t="s">
        <v>183</v>
      </c>
      <c r="K58" s="41" t="s">
        <v>232</v>
      </c>
    </row>
    <row r="59" spans="1:11" ht="15.6">
      <c r="A59" s="30" t="str">
        <v>Kohls - San Bernardino - Central</v>
      </c>
      <c r="B59" s="31" t="str">
        <v>CA</v>
      </c>
      <c r="C59" s="11">
        <v>128566</v>
      </c>
      <c r="D59" s="18">
        <v>0</v>
      </c>
      <c r="E59" s="18">
        <f t="shared" si="0"/>
        <v>128566</v>
      </c>
      <c r="F59" s="19" t="str">
        <f t="shared" si="3"/>
        <v/>
      </c>
      <c r="G59" s="20">
        <v>135949.24</v>
      </c>
      <c r="H59" s="20">
        <f t="shared" si="1"/>
        <v>-7383.2399999999907</v>
      </c>
      <c r="I59" s="16">
        <f t="shared" si="2"/>
        <v>-5.43087993724716E-2</v>
      </c>
      <c r="J59" s="42"/>
      <c r="K59" s="43"/>
    </row>
    <row r="60" spans="1:11" ht="15.6">
      <c r="A60" s="28" t="str">
        <v>Kohls - Sonora</v>
      </c>
      <c r="B60" s="29" t="str">
        <v>CA</v>
      </c>
      <c r="C60" s="24">
        <v>23837</v>
      </c>
      <c r="D60" s="13">
        <v>38605</v>
      </c>
      <c r="E60" s="13">
        <f t="shared" si="0"/>
        <v>-14768</v>
      </c>
      <c r="F60" s="19">
        <f t="shared" si="3"/>
        <v>-0.38254112161637094</v>
      </c>
      <c r="G60" s="15">
        <v>27367.45</v>
      </c>
      <c r="H60" s="15">
        <f t="shared" si="1"/>
        <v>-3530.4500000000007</v>
      </c>
      <c r="I60" s="19">
        <f t="shared" si="2"/>
        <v>-0.129001788621154</v>
      </c>
      <c r="J60" s="41" t="s">
        <v>185</v>
      </c>
      <c r="K60" s="41" t="s">
        <v>233</v>
      </c>
    </row>
    <row r="61" spans="1:11" ht="15.6">
      <c r="A61" s="30" t="str">
        <v>CUSD - Stratford ES</v>
      </c>
      <c r="B61" s="31" t="str">
        <v>CA</v>
      </c>
      <c r="C61" s="11">
        <v>19473</v>
      </c>
      <c r="D61" s="18">
        <v>26803</v>
      </c>
      <c r="E61" s="18">
        <f t="shared" si="0"/>
        <v>-7330</v>
      </c>
      <c r="F61" s="19">
        <f t="shared" si="3"/>
        <v>-0.27347684960638735</v>
      </c>
      <c r="G61" s="20">
        <v>18690.189999999999</v>
      </c>
      <c r="H61" s="20">
        <f t="shared" si="1"/>
        <v>782.81000000000131</v>
      </c>
      <c r="I61" s="16">
        <f t="shared" si="2"/>
        <v>4.188346934942884E-2</v>
      </c>
      <c r="J61" s="42"/>
      <c r="K61" s="43"/>
    </row>
    <row r="62" spans="1:11" ht="15.6">
      <c r="A62" s="28" t="str">
        <v>Taft - City Hall</v>
      </c>
      <c r="B62" s="29" t="str">
        <v>CA</v>
      </c>
      <c r="C62" s="24">
        <v>3904</v>
      </c>
      <c r="D62" s="13">
        <v>0</v>
      </c>
      <c r="E62" s="13">
        <f t="shared" si="0"/>
        <v>3904</v>
      </c>
      <c r="F62" s="19" t="str">
        <f t="shared" si="3"/>
        <v/>
      </c>
      <c r="G62" s="15">
        <v>7643.73</v>
      </c>
      <c r="H62" s="15">
        <f t="shared" si="1"/>
        <v>-3739.7299999999996</v>
      </c>
      <c r="I62" s="19">
        <f t="shared" si="2"/>
        <v>-0.48925459167186697</v>
      </c>
      <c r="J62" s="41"/>
      <c r="K62" s="41"/>
    </row>
    <row r="63" spans="1:11" ht="29.25" customHeight="1">
      <c r="A63" s="30" t="str">
        <v>Taft - Federal Prison</v>
      </c>
      <c r="B63" s="31" t="str">
        <v>CA</v>
      </c>
      <c r="C63" s="11">
        <v>12715</v>
      </c>
      <c r="D63" s="18">
        <v>19821</v>
      </c>
      <c r="E63" s="18">
        <f t="shared" si="0"/>
        <v>-7106</v>
      </c>
      <c r="F63" s="19">
        <f t="shared" si="3"/>
        <v>-0.358508652439332</v>
      </c>
      <c r="G63" s="20">
        <v>13120.09</v>
      </c>
      <c r="H63" s="20">
        <f t="shared" si="1"/>
        <v>-405.09000000000015</v>
      </c>
      <c r="I63" s="16">
        <f t="shared" si="2"/>
        <v>-3.0875550396376863E-2</v>
      </c>
      <c r="J63" s="42" t="s">
        <v>234</v>
      </c>
      <c r="K63" s="43" t="s">
        <v>152</v>
      </c>
    </row>
    <row r="64" spans="1:11" ht="15.6">
      <c r="A64" s="28" t="str">
        <v>Taft - Police Department</v>
      </c>
      <c r="B64" s="29" t="str">
        <v>CA</v>
      </c>
      <c r="C64" s="24">
        <v>8853</v>
      </c>
      <c r="D64" s="13">
        <v>13135</v>
      </c>
      <c r="E64" s="13">
        <f t="shared" si="0"/>
        <v>-4282</v>
      </c>
      <c r="F64" s="19">
        <f t="shared" si="3"/>
        <v>-0.32599923867529501</v>
      </c>
      <c r="G64" s="15">
        <v>8755</v>
      </c>
      <c r="H64" s="15">
        <f t="shared" si="1"/>
        <v>98</v>
      </c>
      <c r="I64" s="19">
        <f t="shared" si="2"/>
        <v>1.1193603655054256E-2</v>
      </c>
      <c r="J64" s="41"/>
      <c r="K64" s="41"/>
    </row>
    <row r="65" spans="1:11" ht="29.1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 t="str">
        <f t="shared" si="3"/>
        <v/>
      </c>
      <c r="G65" s="20">
        <v>58242.14</v>
      </c>
      <c r="H65" s="20">
        <f t="shared" si="1"/>
        <v>-58242.14</v>
      </c>
      <c r="I65" s="16">
        <f t="shared" si="2"/>
        <v>-1</v>
      </c>
      <c r="J65" s="83" t="s">
        <v>153</v>
      </c>
      <c r="K65" s="54" t="s">
        <v>235</v>
      </c>
    </row>
    <row r="66" spans="1:11" ht="57.95">
      <c r="A66" s="28" t="str">
        <v>CDCR - CA Correctional Institution</v>
      </c>
      <c r="B66" s="29" t="str">
        <v>CA</v>
      </c>
      <c r="C66" s="24">
        <v>121952</v>
      </c>
      <c r="D66" s="13">
        <v>0</v>
      </c>
      <c r="E66" s="13">
        <f t="shared" si="0"/>
        <v>121952</v>
      </c>
      <c r="F66" s="19" t="str">
        <f t="shared" si="3"/>
        <v/>
      </c>
      <c r="G66" s="15">
        <v>171974.78</v>
      </c>
      <c r="H66" s="15">
        <f t="shared" si="1"/>
        <v>-50022.78</v>
      </c>
      <c r="I66" s="19">
        <f t="shared" si="2"/>
        <v>-0.29087276634399534</v>
      </c>
      <c r="J66" s="41" t="s">
        <v>236</v>
      </c>
      <c r="K66" s="41" t="s">
        <v>237</v>
      </c>
    </row>
    <row r="67" spans="1:11" ht="96" customHeight="1">
      <c r="A67" s="30" t="str">
        <v>CDCR - CA Correctional Institution II</v>
      </c>
      <c r="B67" s="31" t="str">
        <v>CA</v>
      </c>
      <c r="C67" s="11">
        <v>114834</v>
      </c>
      <c r="D67" s="18">
        <v>237123</v>
      </c>
      <c r="E67" s="18">
        <f t="shared" si="0"/>
        <v>-122289</v>
      </c>
      <c r="F67" s="19">
        <f t="shared" si="3"/>
        <v>-0.51571968978125282</v>
      </c>
      <c r="G67" s="20">
        <v>271212.283</v>
      </c>
      <c r="H67" s="20">
        <f t="shared" si="1"/>
        <v>-156378.283</v>
      </c>
      <c r="I67" s="16">
        <f t="shared" si="2"/>
        <v>-0.57658997324984729</v>
      </c>
      <c r="J67" s="42" t="s">
        <v>238</v>
      </c>
      <c r="K67" s="63" t="s">
        <v>239</v>
      </c>
    </row>
    <row r="68" spans="1:11" ht="15.6">
      <c r="A68" s="28" t="str">
        <v>Snowline SD - Vista Verde ES</v>
      </c>
      <c r="B68" s="29" t="str">
        <v>CA</v>
      </c>
      <c r="C68" s="24">
        <v>22503</v>
      </c>
      <c r="D68" s="13">
        <v>34924</v>
      </c>
      <c r="E68" s="13">
        <f t="shared" si="0"/>
        <v>-12421</v>
      </c>
      <c r="F68" s="19">
        <f t="shared" si="3"/>
        <v>-0.35565800022906885</v>
      </c>
      <c r="G68" s="15">
        <v>23952.66</v>
      </c>
      <c r="H68" s="15">
        <f t="shared" si="1"/>
        <v>-1449.6599999999999</v>
      </c>
      <c r="I68" s="19">
        <f t="shared" si="2"/>
        <v>-6.0521879407130559E-2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I4:I100 F4:F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60" zoomScaleNormal="60" workbookViewId="0">
      <pane xSplit="2" ySplit="3" topLeftCell="C4" activePane="bottomRight" state="frozen"/>
      <selection pane="bottomRight" activeCell="D60" sqref="D60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240</v>
      </c>
      <c r="E1" s="100"/>
      <c r="F1" s="100"/>
      <c r="G1" s="98" t="s">
        <v>241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1517050</v>
      </c>
      <c r="D2" s="5">
        <f>SUM(D4:D100)</f>
        <v>1577611</v>
      </c>
      <c r="E2" s="5">
        <f>C2-D2</f>
        <v>-60561</v>
      </c>
      <c r="F2" s="6">
        <f>IFERROR(E2/D2, 0)</f>
        <v>-3.8387790145986561E-2</v>
      </c>
      <c r="G2" s="5">
        <f>SUM(G4:G100)</f>
        <v>2579115.1389999995</v>
      </c>
      <c r="H2" s="7">
        <f>C2-G2</f>
        <v>-1062065.1389999995</v>
      </c>
      <c r="I2" s="6">
        <f>IFERROR(H2/G2, 0)</f>
        <v>-0.41179438751687297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15869</v>
      </c>
      <c r="D4" s="13">
        <v>21962</v>
      </c>
      <c r="E4" s="13">
        <f>IF(AND(ISNUMBER(C4),ISNUMBER(D4)), C4-D4, "")</f>
        <v>-6093</v>
      </c>
      <c r="F4" s="14">
        <f>IFERROR(E4/D4, "")</f>
        <v>-0.2774337492031691</v>
      </c>
      <c r="G4" s="15">
        <v>13218.13</v>
      </c>
      <c r="H4" s="15">
        <f>IF(AND(ISNUMBER(C4),ISNUMBER(G4)), C4-G4, "")</f>
        <v>2650.8700000000008</v>
      </c>
      <c r="I4" s="16">
        <f>IFERROR(H4/G4, "")</f>
        <v>0.20054803516079817</v>
      </c>
      <c r="J4" s="85"/>
      <c r="K4" s="85"/>
    </row>
    <row r="5" spans="1:11" ht="15.6">
      <c r="A5" s="30" t="str">
        <v>Kohls - Auburn</v>
      </c>
      <c r="B5" s="31" t="str">
        <v>NY</v>
      </c>
      <c r="C5" s="11">
        <v>14277</v>
      </c>
      <c r="D5" s="18">
        <v>18416</v>
      </c>
      <c r="E5" s="18">
        <f t="shared" ref="E5:E68" si="0">IF(AND(ISNUMBER(C5),ISNUMBER(D5)), C5-D5, "")</f>
        <v>-4139</v>
      </c>
      <c r="F5" s="19">
        <f>IFERROR(E5/D5, "")</f>
        <v>-0.22475021720243266</v>
      </c>
      <c r="G5" s="18">
        <v>12551.67</v>
      </c>
      <c r="H5" s="20">
        <f t="shared" ref="H5:H68" si="1">IF(AND(ISNUMBER(C5),ISNUMBER(G5)), C5-G5, "")</f>
        <v>1725.33</v>
      </c>
      <c r="I5" s="19">
        <f t="shared" ref="I5:I68" si="2">IFERROR(H5/G5, "")</f>
        <v>0.13745820277301746</v>
      </c>
      <c r="J5" s="102"/>
      <c r="K5" s="102"/>
    </row>
    <row r="6" spans="1:11" ht="15.6">
      <c r="A6" s="28" t="str">
        <v>Kohls - Bensalem</v>
      </c>
      <c r="B6" s="29" t="str">
        <v>PA</v>
      </c>
      <c r="C6" s="24">
        <v>20898</v>
      </c>
      <c r="D6" s="13">
        <v>27588</v>
      </c>
      <c r="E6" s="13">
        <f t="shared" si="0"/>
        <v>-6690</v>
      </c>
      <c r="F6" s="14">
        <f t="shared" ref="F6:F68" si="3">IFERROR(E6/D6, "")</f>
        <v>-0.24249673771204872</v>
      </c>
      <c r="G6" s="15">
        <v>16413.54</v>
      </c>
      <c r="H6" s="15">
        <f t="shared" si="1"/>
        <v>4484.4599999999991</v>
      </c>
      <c r="I6" s="16">
        <f t="shared" si="2"/>
        <v>0.27321711221345296</v>
      </c>
      <c r="J6" s="85"/>
      <c r="K6" s="85"/>
    </row>
    <row r="7" spans="1:11" ht="15.6">
      <c r="A7" s="30" t="str">
        <v>Kohls - Brick</v>
      </c>
      <c r="B7" s="31" t="str">
        <v>NJ</v>
      </c>
      <c r="C7" s="11">
        <v>25391</v>
      </c>
      <c r="D7" s="18">
        <v>34467</v>
      </c>
      <c r="E7" s="18">
        <f t="shared" si="0"/>
        <v>-9076</v>
      </c>
      <c r="F7" s="19">
        <f t="shared" si="3"/>
        <v>-0.26332433922302489</v>
      </c>
      <c r="G7" s="20">
        <v>20638.080000000002</v>
      </c>
      <c r="H7" s="20">
        <f t="shared" si="1"/>
        <v>4752.9199999999983</v>
      </c>
      <c r="I7" s="19">
        <f t="shared" si="2"/>
        <v>0.23029855490433207</v>
      </c>
      <c r="J7" s="102"/>
      <c r="K7" s="86"/>
    </row>
    <row r="8" spans="1:11" ht="15.6">
      <c r="A8" s="28" t="str">
        <v>Kohls - Buffalo</v>
      </c>
      <c r="B8" s="29" t="str">
        <v>NY</v>
      </c>
      <c r="C8" s="24">
        <v>16225</v>
      </c>
      <c r="D8" s="13">
        <v>0</v>
      </c>
      <c r="E8" s="13">
        <f t="shared" si="0"/>
        <v>16225</v>
      </c>
      <c r="F8" s="14" t="str">
        <f t="shared" si="3"/>
        <v/>
      </c>
      <c r="G8" s="15">
        <v>14644.3</v>
      </c>
      <c r="H8" s="15">
        <f t="shared" si="1"/>
        <v>1580.7000000000007</v>
      </c>
      <c r="I8" s="16">
        <f t="shared" si="2"/>
        <v>0.10793960790205068</v>
      </c>
      <c r="J8" s="85"/>
      <c r="K8" s="85"/>
    </row>
    <row r="9" spans="1:11" ht="15.6">
      <c r="A9" s="30" t="str">
        <v>Kohls - Canton</v>
      </c>
      <c r="B9" s="31" t="str">
        <v>CT</v>
      </c>
      <c r="C9" s="11">
        <v>8912</v>
      </c>
      <c r="D9" s="18">
        <v>10888</v>
      </c>
      <c r="E9" s="18">
        <f t="shared" si="0"/>
        <v>-1976</v>
      </c>
      <c r="F9" s="19">
        <f t="shared" si="3"/>
        <v>-0.18148420279206465</v>
      </c>
      <c r="G9" s="20">
        <v>6057.29</v>
      </c>
      <c r="H9" s="20">
        <f t="shared" si="1"/>
        <v>2854.71</v>
      </c>
      <c r="I9" s="19">
        <f t="shared" si="2"/>
        <v>0.4712850135951886</v>
      </c>
      <c r="J9" s="102"/>
      <c r="K9" s="86"/>
    </row>
    <row r="10" spans="1:11" ht="15.6">
      <c r="A10" s="28" t="str">
        <v>Kohls - East Amherst</v>
      </c>
      <c r="B10" s="29" t="str">
        <v>NY</v>
      </c>
      <c r="C10" s="24">
        <v>15323</v>
      </c>
      <c r="D10" s="13">
        <v>20287</v>
      </c>
      <c r="E10" s="13">
        <f t="shared" si="0"/>
        <v>-4964</v>
      </c>
      <c r="F10" s="14">
        <f t="shared" si="3"/>
        <v>-0.24468871691230837</v>
      </c>
      <c r="G10" s="15">
        <v>14262.11</v>
      </c>
      <c r="H10" s="15">
        <f t="shared" si="1"/>
        <v>1060.8899999999994</v>
      </c>
      <c r="I10" s="16">
        <f t="shared" si="2"/>
        <v>7.4385206676992346E-2</v>
      </c>
      <c r="J10" s="85"/>
      <c r="K10" s="85"/>
    </row>
    <row r="11" spans="1:11" ht="15.6">
      <c r="A11" s="30" t="str">
        <v>Kohls - East Brunswick</v>
      </c>
      <c r="B11" s="31" t="str">
        <v>NJ</v>
      </c>
      <c r="C11" s="11">
        <v>29690</v>
      </c>
      <c r="D11" s="18">
        <v>44417</v>
      </c>
      <c r="E11" s="18">
        <f t="shared" si="0"/>
        <v>-14727</v>
      </c>
      <c r="F11" s="19">
        <f t="shared" si="3"/>
        <v>-0.33156223968300425</v>
      </c>
      <c r="G11" s="20">
        <v>26543.77</v>
      </c>
      <c r="H11" s="20">
        <f t="shared" si="1"/>
        <v>3146.2299999999996</v>
      </c>
      <c r="I11" s="19">
        <f t="shared" si="2"/>
        <v>0.11852988479029164</v>
      </c>
      <c r="J11" s="102"/>
      <c r="K11" s="86"/>
    </row>
    <row r="12" spans="1:11" ht="15.6">
      <c r="A12" s="28" t="str">
        <v>Kohls - Edgewood</v>
      </c>
      <c r="B12" s="29" t="str">
        <v>MD</v>
      </c>
      <c r="C12" s="24">
        <v>156228</v>
      </c>
      <c r="D12" s="13">
        <v>224430</v>
      </c>
      <c r="E12" s="13">
        <f t="shared" si="0"/>
        <v>-68202</v>
      </c>
      <c r="F12" s="14">
        <f t="shared" si="3"/>
        <v>-0.30388985429755383</v>
      </c>
      <c r="G12" s="15">
        <v>147523.89000000001</v>
      </c>
      <c r="H12" s="15">
        <f t="shared" si="1"/>
        <v>8704.109999999986</v>
      </c>
      <c r="I12" s="16">
        <f t="shared" si="2"/>
        <v>5.9001359034119731E-2</v>
      </c>
      <c r="J12" s="85"/>
      <c r="K12" s="85"/>
    </row>
    <row r="13" spans="1:11" ht="15.6">
      <c r="A13" s="30" t="str">
        <v>Kohls - Granite Run</v>
      </c>
      <c r="B13" s="31" t="str">
        <v>PA</v>
      </c>
      <c r="C13" s="11">
        <v>19349</v>
      </c>
      <c r="D13" s="18">
        <v>26697</v>
      </c>
      <c r="E13" s="18">
        <f t="shared" si="0"/>
        <v>-7348</v>
      </c>
      <c r="F13" s="19">
        <f t="shared" si="3"/>
        <v>-0.27523691800576844</v>
      </c>
      <c r="G13" s="20">
        <v>16586.96</v>
      </c>
      <c r="H13" s="20">
        <f t="shared" si="1"/>
        <v>2762.0400000000009</v>
      </c>
      <c r="I13" s="19">
        <f t="shared" si="2"/>
        <v>0.16651875931454593</v>
      </c>
      <c r="J13" s="102"/>
      <c r="K13" s="86"/>
    </row>
    <row r="14" spans="1:11" ht="39" customHeight="1">
      <c r="A14" s="28" t="str">
        <v>Kohls - Greece</v>
      </c>
      <c r="B14" s="29" t="str">
        <v>NY</v>
      </c>
      <c r="C14" s="24">
        <v>4258</v>
      </c>
      <c r="D14" s="13">
        <v>6197</v>
      </c>
      <c r="E14" s="13">
        <f t="shared" si="0"/>
        <v>-1939</v>
      </c>
      <c r="F14" s="14">
        <f t="shared" si="3"/>
        <v>-0.31289333548491205</v>
      </c>
      <c r="G14" s="15">
        <v>14921.3</v>
      </c>
      <c r="H14" s="15">
        <f t="shared" si="1"/>
        <v>-10663.3</v>
      </c>
      <c r="I14" s="16">
        <f t="shared" si="2"/>
        <v>-0.7146361241982937</v>
      </c>
      <c r="J14" s="85" t="s">
        <v>242</v>
      </c>
      <c r="K14" s="85" t="s">
        <v>200</v>
      </c>
    </row>
    <row r="15" spans="1:11" ht="31.5" customHeight="1">
      <c r="A15" s="30" t="str">
        <v>Kohls - Hanover</v>
      </c>
      <c r="B15" s="31" t="str">
        <v>PA</v>
      </c>
      <c r="C15" s="11">
        <v>16960</v>
      </c>
      <c r="D15" s="18">
        <v>25592</v>
      </c>
      <c r="E15" s="18">
        <f t="shared" si="0"/>
        <v>-8632</v>
      </c>
      <c r="F15" s="19">
        <f t="shared" si="3"/>
        <v>-0.33729290403251017</v>
      </c>
      <c r="G15" s="20">
        <v>17294.330000000002</v>
      </c>
      <c r="H15" s="20">
        <f t="shared" si="1"/>
        <v>-334.33000000000175</v>
      </c>
      <c r="I15" s="19">
        <f t="shared" si="2"/>
        <v>-1.9331769429633973E-2</v>
      </c>
      <c r="J15" s="102" t="s">
        <v>243</v>
      </c>
      <c r="K15" s="102" t="s">
        <v>244</v>
      </c>
    </row>
    <row r="16" spans="1:11" ht="15.6">
      <c r="A16" s="28" t="str">
        <v>Kohls - Horsehead</v>
      </c>
      <c r="B16" s="29" t="str">
        <v>NY</v>
      </c>
      <c r="C16" s="24">
        <v>12885</v>
      </c>
      <c r="D16" s="13">
        <v>18116</v>
      </c>
      <c r="E16" s="13">
        <f t="shared" si="0"/>
        <v>-5231</v>
      </c>
      <c r="F16" s="14">
        <f t="shared" si="3"/>
        <v>-0.28875027599911679</v>
      </c>
      <c r="G16" s="15">
        <v>12588.69</v>
      </c>
      <c r="H16" s="15">
        <f t="shared" si="1"/>
        <v>296.30999999999949</v>
      </c>
      <c r="I16" s="16">
        <f t="shared" si="2"/>
        <v>2.3537794639473964E-2</v>
      </c>
      <c r="J16" s="85"/>
      <c r="K16" s="85"/>
    </row>
    <row r="17" spans="1:11" ht="15.6">
      <c r="A17" s="30" t="str">
        <v>Kohls - Hudson</v>
      </c>
      <c r="B17" s="31" t="str">
        <v>NY</v>
      </c>
      <c r="C17" s="11">
        <v>17601</v>
      </c>
      <c r="D17" s="18">
        <v>24524</v>
      </c>
      <c r="E17" s="18">
        <f t="shared" si="0"/>
        <v>-6923</v>
      </c>
      <c r="F17" s="19">
        <f t="shared" si="3"/>
        <v>-0.28229489479693359</v>
      </c>
      <c r="G17" s="20">
        <v>15483.25</v>
      </c>
      <c r="H17" s="20">
        <f t="shared" si="1"/>
        <v>2117.75</v>
      </c>
      <c r="I17" s="19">
        <f t="shared" si="2"/>
        <v>0.13677683948783362</v>
      </c>
      <c r="J17" s="102"/>
      <c r="K17" s="86"/>
    </row>
    <row r="18" spans="1:11" ht="12.75" customHeight="1">
      <c r="A18" s="32" t="str">
        <v>Kohls - Ithaca</v>
      </c>
      <c r="B18" s="29" t="str">
        <v>NY</v>
      </c>
      <c r="C18" s="24">
        <v>12374</v>
      </c>
      <c r="D18" s="13">
        <v>17501</v>
      </c>
      <c r="E18" s="13">
        <f t="shared" si="0"/>
        <v>-5127</v>
      </c>
      <c r="F18" s="19">
        <f t="shared" si="3"/>
        <v>-0.2929546883035255</v>
      </c>
      <c r="G18" s="15">
        <v>14384.43</v>
      </c>
      <c r="H18" s="15">
        <f t="shared" si="1"/>
        <v>-2010.4300000000003</v>
      </c>
      <c r="I18" s="16">
        <f t="shared" si="2"/>
        <v>-0.13976431460961611</v>
      </c>
      <c r="J18" s="85"/>
      <c r="K18" s="85"/>
    </row>
    <row r="19" spans="1:11" ht="15.6">
      <c r="A19" s="30" t="str">
        <v>Kohls - Kingston</v>
      </c>
      <c r="B19" s="31" t="str">
        <v>NY</v>
      </c>
      <c r="C19" s="11">
        <v>24104</v>
      </c>
      <c r="D19" s="18">
        <v>36733</v>
      </c>
      <c r="E19" s="18">
        <f t="shared" si="0"/>
        <v>-12629</v>
      </c>
      <c r="F19" s="19">
        <f t="shared" si="3"/>
        <v>-0.34380529768872675</v>
      </c>
      <c r="G19" s="20">
        <v>24214.721000000001</v>
      </c>
      <c r="H19" s="20">
        <f t="shared" si="1"/>
        <v>-110.72100000000137</v>
      </c>
      <c r="I19" s="19">
        <f t="shared" si="2"/>
        <v>-4.5724664760746726E-3</v>
      </c>
      <c r="J19" s="102"/>
      <c r="K19" s="102"/>
    </row>
    <row r="20" spans="1:11" ht="15.6">
      <c r="A20" s="28" t="str">
        <v>Kohls - Mechanicsburg</v>
      </c>
      <c r="B20" s="29" t="str">
        <v>PA</v>
      </c>
      <c r="C20" s="24">
        <v>24324</v>
      </c>
      <c r="D20" s="13">
        <v>34135</v>
      </c>
      <c r="E20" s="13">
        <f t="shared" si="0"/>
        <v>-9811</v>
      </c>
      <c r="F20" s="19">
        <f t="shared" si="3"/>
        <v>-0.28741760656217957</v>
      </c>
      <c r="G20" s="15">
        <v>20058.060000000001</v>
      </c>
      <c r="H20" s="15">
        <f t="shared" si="1"/>
        <v>4265.9399999999987</v>
      </c>
      <c r="I20" s="16">
        <f t="shared" si="2"/>
        <v>0.21267959114690047</v>
      </c>
      <c r="J20" s="85"/>
      <c r="K20" s="85"/>
    </row>
    <row r="21" spans="1:11" ht="15.6">
      <c r="A21" s="30" t="str">
        <v>Kohls - Middletown</v>
      </c>
      <c r="B21" s="31" t="str">
        <v>NJ</v>
      </c>
      <c r="C21" s="11">
        <v>36922</v>
      </c>
      <c r="D21" s="18">
        <v>44801</v>
      </c>
      <c r="E21" s="18">
        <f t="shared" si="0"/>
        <v>-7879</v>
      </c>
      <c r="F21" s="19">
        <f t="shared" si="3"/>
        <v>-0.17586661012030982</v>
      </c>
      <c r="G21" s="20">
        <v>29131.81</v>
      </c>
      <c r="H21" s="20">
        <f t="shared" si="1"/>
        <v>7790.1899999999987</v>
      </c>
      <c r="I21" s="19">
        <f t="shared" si="2"/>
        <v>0.2674118086037221</v>
      </c>
      <c r="J21" s="102"/>
      <c r="K21" s="86"/>
    </row>
    <row r="22" spans="1:11" ht="34.5" customHeight="1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9" t="str">
        <f t="shared" si="3"/>
        <v/>
      </c>
      <c r="G22" s="15">
        <v>12866.39</v>
      </c>
      <c r="H22" s="15">
        <f t="shared" si="1"/>
        <v>-12866.39</v>
      </c>
      <c r="I22" s="16">
        <f t="shared" si="2"/>
        <v>-1</v>
      </c>
      <c r="J22" s="92" t="s">
        <v>245</v>
      </c>
      <c r="K22" s="85" t="s">
        <v>246</v>
      </c>
    </row>
    <row r="23" spans="1:11" ht="15.6">
      <c r="A23" s="30" t="str">
        <v>Kohls - Staten Island</v>
      </c>
      <c r="B23" s="31" t="str">
        <v>NY</v>
      </c>
      <c r="C23" s="11">
        <v>99</v>
      </c>
      <c r="D23" s="18">
        <v>0</v>
      </c>
      <c r="E23" s="18">
        <f t="shared" si="0"/>
        <v>99</v>
      </c>
      <c r="F23" s="19" t="str">
        <f t="shared" si="3"/>
        <v/>
      </c>
      <c r="G23" s="20">
        <v>17707.48</v>
      </c>
      <c r="H23" s="20">
        <f t="shared" si="1"/>
        <v>-17608.48</v>
      </c>
      <c r="I23" s="19">
        <f t="shared" si="2"/>
        <v>-0.99440914235114197</v>
      </c>
      <c r="J23" s="94" t="s">
        <v>247</v>
      </c>
      <c r="K23" s="102" t="s">
        <v>248</v>
      </c>
    </row>
    <row r="24" spans="1:11" ht="15.6">
      <c r="A24" s="28" t="str">
        <v>Kohls - Warminster</v>
      </c>
      <c r="B24" s="29" t="str">
        <v>PA</v>
      </c>
      <c r="C24" s="24">
        <v>25581</v>
      </c>
      <c r="D24" s="13">
        <v>32618</v>
      </c>
      <c r="E24" s="13">
        <f t="shared" si="0"/>
        <v>-7037</v>
      </c>
      <c r="F24" s="19">
        <f t="shared" si="3"/>
        <v>-0.21573977558403334</v>
      </c>
      <c r="G24" s="15">
        <v>20268.900000000001</v>
      </c>
      <c r="H24" s="15">
        <f t="shared" si="1"/>
        <v>5312.0999999999985</v>
      </c>
      <c r="I24" s="16">
        <f t="shared" si="2"/>
        <v>0.26208131669700863</v>
      </c>
      <c r="J24" s="85"/>
      <c r="K24" s="85"/>
    </row>
    <row r="25" spans="1:11" ht="15.6">
      <c r="A25" s="30" t="str">
        <v xml:space="preserve">Kohls - Waterbury </v>
      </c>
      <c r="B25" s="31" t="str">
        <v>CT</v>
      </c>
      <c r="C25" s="11">
        <v>22054</v>
      </c>
      <c r="D25" s="18">
        <v>26014</v>
      </c>
      <c r="E25" s="18">
        <f t="shared" si="0"/>
        <v>-3960</v>
      </c>
      <c r="F25" s="19">
        <f t="shared" si="3"/>
        <v>-0.15222572460982547</v>
      </c>
      <c r="G25" s="20">
        <v>16522.38</v>
      </c>
      <c r="H25" s="20">
        <f t="shared" si="1"/>
        <v>5531.619999999999</v>
      </c>
      <c r="I25" s="19">
        <f t="shared" si="2"/>
        <v>0.33479559240254725</v>
      </c>
      <c r="J25" s="102"/>
      <c r="K25" s="86"/>
    </row>
    <row r="26" spans="1:11" ht="15.6">
      <c r="A26" s="28" t="str">
        <v>Mojave Water Agency - Headquarters</v>
      </c>
      <c r="B26" s="29" t="str">
        <v>CA</v>
      </c>
      <c r="C26" s="24">
        <v>26084</v>
      </c>
      <c r="D26" s="13">
        <v>35547</v>
      </c>
      <c r="E26" s="13">
        <f t="shared" si="0"/>
        <v>-9463</v>
      </c>
      <c r="F26" s="19">
        <f t="shared" si="3"/>
        <v>-0.26621093200551382</v>
      </c>
      <c r="G26" s="15">
        <v>26875.1</v>
      </c>
      <c r="H26" s="15">
        <f t="shared" si="1"/>
        <v>-791.09999999999854</v>
      </c>
      <c r="I26" s="16">
        <f t="shared" si="2"/>
        <v>-2.9436169539834217E-2</v>
      </c>
      <c r="J26" s="85"/>
      <c r="K26" s="85"/>
    </row>
    <row r="27" spans="1:11" ht="15.6">
      <c r="A27" s="30" t="str">
        <v>CSU - Bakersfield</v>
      </c>
      <c r="B27" s="31" t="str">
        <v>CA</v>
      </c>
      <c r="C27" s="11">
        <v>46920</v>
      </c>
      <c r="D27" s="18">
        <v>103519</v>
      </c>
      <c r="E27" s="18">
        <f t="shared" si="0"/>
        <v>-56599</v>
      </c>
      <c r="F27" s="19">
        <f t="shared" si="3"/>
        <v>-0.54674987200417313</v>
      </c>
      <c r="G27" s="20">
        <v>74602.23</v>
      </c>
      <c r="H27" s="20">
        <f t="shared" si="1"/>
        <v>-27682.229999999996</v>
      </c>
      <c r="I27" s="19">
        <f t="shared" si="2"/>
        <v>-0.37106437703001638</v>
      </c>
      <c r="J27" s="102" t="s">
        <v>249</v>
      </c>
      <c r="K27" s="87" t="s">
        <v>250</v>
      </c>
    </row>
    <row r="28" spans="1:11" ht="15.6">
      <c r="A28" s="28" t="str">
        <v>Greenfield USD - Fairfield ES</v>
      </c>
      <c r="B28" s="29" t="str">
        <v>CA</v>
      </c>
      <c r="C28" s="24">
        <v>7196</v>
      </c>
      <c r="D28" s="13">
        <v>0</v>
      </c>
      <c r="E28" s="13">
        <f t="shared" si="0"/>
        <v>7196</v>
      </c>
      <c r="F28" s="19" t="str">
        <f t="shared" si="3"/>
        <v/>
      </c>
      <c r="G28" s="15">
        <v>8867.6200000000008</v>
      </c>
      <c r="H28" s="15">
        <f t="shared" si="1"/>
        <v>-1671.6200000000008</v>
      </c>
      <c r="I28" s="16">
        <f t="shared" si="2"/>
        <v>-0.18850830324258377</v>
      </c>
      <c r="J28" s="85"/>
      <c r="K28" s="85"/>
    </row>
    <row r="29" spans="1:11" ht="15.6">
      <c r="A29" s="30" t="str">
        <v>Greenfield USD - Granite Point ES</v>
      </c>
      <c r="B29" s="31" t="str">
        <v>CA</v>
      </c>
      <c r="C29" s="11">
        <v>20728</v>
      </c>
      <c r="D29" s="18">
        <v>30448</v>
      </c>
      <c r="E29" s="18">
        <f t="shared" si="0"/>
        <v>-9720</v>
      </c>
      <c r="F29" s="19">
        <f t="shared" si="3"/>
        <v>-0.31923279033105623</v>
      </c>
      <c r="G29" s="20">
        <v>23164.12</v>
      </c>
      <c r="H29" s="20">
        <f t="shared" si="1"/>
        <v>-2436.119999999999</v>
      </c>
      <c r="I29" s="19">
        <f t="shared" si="2"/>
        <v>-0.10516781988696307</v>
      </c>
      <c r="J29" s="88"/>
      <c r="K29" s="86"/>
    </row>
    <row r="30" spans="1:11" ht="15.6">
      <c r="A30" s="28" t="str">
        <v>Greenfield USD - Greenfield MS</v>
      </c>
      <c r="B30" s="29" t="str">
        <v>CA</v>
      </c>
      <c r="C30" s="24">
        <v>11844</v>
      </c>
      <c r="D30" s="13">
        <v>19715</v>
      </c>
      <c r="E30" s="13">
        <f t="shared" si="0"/>
        <v>-7871</v>
      </c>
      <c r="F30" s="19">
        <f t="shared" si="3"/>
        <v>-0.39923915800152171</v>
      </c>
      <c r="G30" s="15">
        <v>15995.05</v>
      </c>
      <c r="H30" s="15">
        <f t="shared" si="1"/>
        <v>-4151.0499999999993</v>
      </c>
      <c r="I30" s="16">
        <f t="shared" si="2"/>
        <v>-0.25952091428285623</v>
      </c>
      <c r="J30" s="85"/>
      <c r="K30" s="85"/>
    </row>
    <row r="31" spans="1:11" ht="43.5">
      <c r="A31" s="30" t="str">
        <v>Greenfield USD - Horizon ES</v>
      </c>
      <c r="B31" s="31" t="str">
        <v>CA</v>
      </c>
      <c r="C31" s="11">
        <v>14985</v>
      </c>
      <c r="D31" s="18">
        <v>29013</v>
      </c>
      <c r="E31" s="18">
        <f t="shared" si="0"/>
        <v>-14028</v>
      </c>
      <c r="F31" s="19">
        <f t="shared" si="3"/>
        <v>-0.48350739323751424</v>
      </c>
      <c r="G31" s="20">
        <v>23501.98</v>
      </c>
      <c r="H31" s="20">
        <f t="shared" si="1"/>
        <v>-8516.98</v>
      </c>
      <c r="I31" s="19">
        <f t="shared" si="2"/>
        <v>-0.3623941472165324</v>
      </c>
      <c r="J31" s="94" t="s">
        <v>251</v>
      </c>
      <c r="K31" s="102" t="s">
        <v>252</v>
      </c>
    </row>
    <row r="32" spans="1:11" ht="15.6">
      <c r="A32" s="28" t="str">
        <v>Greenfield USD - McKee MS</v>
      </c>
      <c r="B32" s="29" t="str">
        <v>CA</v>
      </c>
      <c r="C32" s="24">
        <v>7699</v>
      </c>
      <c r="D32" s="13">
        <v>16981</v>
      </c>
      <c r="E32" s="13">
        <f t="shared" si="0"/>
        <v>-9282</v>
      </c>
      <c r="F32" s="19">
        <f t="shared" si="3"/>
        <v>-0.54661091808491846</v>
      </c>
      <c r="G32" s="15">
        <v>14402.95</v>
      </c>
      <c r="H32" s="15">
        <f t="shared" si="1"/>
        <v>-6703.9500000000007</v>
      </c>
      <c r="I32" s="16">
        <f t="shared" si="2"/>
        <v>-0.46545672935058446</v>
      </c>
      <c r="J32" s="85"/>
      <c r="K32" s="85"/>
    </row>
    <row r="33" spans="1:11" ht="15.6">
      <c r="A33" s="30" t="str">
        <v>Greenfield USD - Plantation ES</v>
      </c>
      <c r="B33" s="31" t="str">
        <v>CA</v>
      </c>
      <c r="C33" s="11">
        <v>8782</v>
      </c>
      <c r="D33" s="18">
        <v>13671</v>
      </c>
      <c r="E33" s="18">
        <f t="shared" si="0"/>
        <v>-4889</v>
      </c>
      <c r="F33" s="19">
        <f t="shared" si="3"/>
        <v>-0.35761831614366174</v>
      </c>
      <c r="G33" s="20">
        <v>10256.08</v>
      </c>
      <c r="H33" s="20">
        <f t="shared" si="1"/>
        <v>-1474.08</v>
      </c>
      <c r="I33" s="19">
        <f t="shared" si="2"/>
        <v>-0.14372742802318234</v>
      </c>
      <c r="J33" s="102"/>
      <c r="K33" s="102"/>
    </row>
    <row r="34" spans="1:11" ht="15.6">
      <c r="A34" s="28" t="str">
        <v>Greenfield USD - Planz ES</v>
      </c>
      <c r="B34" s="29" t="str">
        <v>CA</v>
      </c>
      <c r="C34" s="24">
        <v>3199</v>
      </c>
      <c r="D34" s="13">
        <v>13924</v>
      </c>
      <c r="E34" s="13">
        <f t="shared" si="0"/>
        <v>-10725</v>
      </c>
      <c r="F34" s="19">
        <f t="shared" si="3"/>
        <v>-0.77025280091927606</v>
      </c>
      <c r="G34" s="15">
        <v>10274.6</v>
      </c>
      <c r="H34" s="15">
        <f t="shared" si="1"/>
        <v>-7075.6</v>
      </c>
      <c r="I34" s="16">
        <f t="shared" si="2"/>
        <v>-0.68864967979288727</v>
      </c>
      <c r="J34" s="85"/>
      <c r="K34" s="85"/>
    </row>
    <row r="35" spans="1:11" ht="15.6">
      <c r="A35" s="30" t="str">
        <v>Greenfield USD - Raffaello Palla ES</v>
      </c>
      <c r="B35" s="31" t="str">
        <v>CA</v>
      </c>
      <c r="C35" s="11">
        <v>19279</v>
      </c>
      <c r="D35" s="18">
        <v>32370</v>
      </c>
      <c r="E35" s="18">
        <f t="shared" si="0"/>
        <v>-13091</v>
      </c>
      <c r="F35" s="19">
        <f t="shared" si="3"/>
        <v>-0.40441767068273093</v>
      </c>
      <c r="G35" s="20">
        <v>26214.1</v>
      </c>
      <c r="H35" s="20">
        <f t="shared" si="1"/>
        <v>-6935.0999999999985</v>
      </c>
      <c r="I35" s="19">
        <f t="shared" si="2"/>
        <v>-0.2645560976726265</v>
      </c>
      <c r="J35" s="102"/>
      <c r="K35" s="86"/>
    </row>
    <row r="36" spans="1:11" ht="15.6">
      <c r="A36" s="28" t="str">
        <v>Greenfield USD - Valle Verde ES</v>
      </c>
      <c r="B36" s="29" t="str">
        <v>CA</v>
      </c>
      <c r="C36" s="24">
        <v>20977</v>
      </c>
      <c r="D36" s="13">
        <v>30621</v>
      </c>
      <c r="E36" s="13">
        <f t="shared" si="0"/>
        <v>-9644</v>
      </c>
      <c r="F36" s="19">
        <f t="shared" si="3"/>
        <v>-0.31494725841742593</v>
      </c>
      <c r="G36" s="15">
        <v>24547.95</v>
      </c>
      <c r="H36" s="15">
        <f t="shared" si="1"/>
        <v>-3570.9500000000007</v>
      </c>
      <c r="I36" s="16">
        <f t="shared" si="2"/>
        <v>-0.1454683588649969</v>
      </c>
      <c r="J36" s="85"/>
      <c r="K36" s="85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0"/>
        <v>0</v>
      </c>
      <c r="F37" s="19" t="str">
        <f t="shared" si="3"/>
        <v/>
      </c>
      <c r="G37" s="20">
        <v>9450.7800000000007</v>
      </c>
      <c r="H37" s="20">
        <f t="shared" si="1"/>
        <v>-9450.7800000000007</v>
      </c>
      <c r="I37" s="19">
        <f t="shared" si="2"/>
        <v>-1</v>
      </c>
      <c r="J37" s="102"/>
      <c r="K37" s="86"/>
    </row>
    <row r="38" spans="1:11" ht="51" customHeight="1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9" t="str">
        <f t="shared" si="3"/>
        <v/>
      </c>
      <c r="G38" s="15">
        <v>26132.25</v>
      </c>
      <c r="H38" s="15">
        <f t="shared" si="1"/>
        <v>-26132.25</v>
      </c>
      <c r="I38" s="16">
        <f t="shared" si="2"/>
        <v>-1</v>
      </c>
      <c r="J38" s="85" t="s">
        <v>253</v>
      </c>
      <c r="K38" s="85" t="s">
        <v>254</v>
      </c>
    </row>
    <row r="39" spans="1:11" ht="15.6">
      <c r="A39" s="30" t="str">
        <v>Muroc Joint USD - W. Boron ES</v>
      </c>
      <c r="B39" s="31" t="str">
        <v>CA</v>
      </c>
      <c r="C39" s="11">
        <v>9492</v>
      </c>
      <c r="D39" s="18">
        <v>13705</v>
      </c>
      <c r="E39" s="18">
        <f t="shared" si="0"/>
        <v>-4213</v>
      </c>
      <c r="F39" s="19">
        <f t="shared" si="3"/>
        <v>-0.30740605618387451</v>
      </c>
      <c r="G39" s="20">
        <v>9670.33</v>
      </c>
      <c r="H39" s="20">
        <f t="shared" si="1"/>
        <v>-178.32999999999993</v>
      </c>
      <c r="I39" s="19">
        <f t="shared" si="2"/>
        <v>-1.8440942553149677E-2</v>
      </c>
      <c r="J39" s="102"/>
      <c r="K39" s="86"/>
    </row>
    <row r="40" spans="1:11" ht="29.1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9" t="str">
        <f t="shared" si="3"/>
        <v/>
      </c>
      <c r="G40" s="15">
        <v>23164.975999999999</v>
      </c>
      <c r="H40" s="15">
        <f t="shared" si="1"/>
        <v>-23164.975999999999</v>
      </c>
      <c r="I40" s="16">
        <f t="shared" si="2"/>
        <v>-1</v>
      </c>
      <c r="J40" s="89" t="s">
        <v>255</v>
      </c>
      <c r="K40" s="85" t="s">
        <v>256</v>
      </c>
    </row>
    <row r="41" spans="1:11" ht="15.6">
      <c r="A41" s="30" t="str">
        <v>CDCR-North Kern State Prision</v>
      </c>
      <c r="B41" s="31" t="str">
        <v>CA</v>
      </c>
      <c r="C41" s="11">
        <v>39078</v>
      </c>
      <c r="D41" s="18">
        <v>0</v>
      </c>
      <c r="E41" s="18">
        <f t="shared" si="0"/>
        <v>39078</v>
      </c>
      <c r="F41" s="19" t="str">
        <f t="shared" si="3"/>
        <v/>
      </c>
      <c r="G41" s="20">
        <v>106622.53</v>
      </c>
      <c r="H41" s="20">
        <f t="shared" si="1"/>
        <v>-67544.53</v>
      </c>
      <c r="I41" s="19">
        <f t="shared" si="2"/>
        <v>-0.63349209590130717</v>
      </c>
      <c r="J41" s="102" t="s">
        <v>257</v>
      </c>
      <c r="K41" s="90" t="s">
        <v>258</v>
      </c>
    </row>
    <row r="42" spans="1:11" ht="15.6">
      <c r="A42" s="28" t="str">
        <v>Muroc Joint USD - District Office</v>
      </c>
      <c r="B42" s="29" t="str">
        <v>CA</v>
      </c>
      <c r="C42" s="24">
        <v>4715</v>
      </c>
      <c r="D42" s="13">
        <v>9997</v>
      </c>
      <c r="E42" s="13">
        <f t="shared" si="0"/>
        <v>-5282</v>
      </c>
      <c r="F42" s="19">
        <f t="shared" si="3"/>
        <v>-0.52835850755226565</v>
      </c>
      <c r="G42" s="15">
        <v>6811.67</v>
      </c>
      <c r="H42" s="15">
        <f t="shared" si="1"/>
        <v>-2096.67</v>
      </c>
      <c r="I42" s="16">
        <f t="shared" si="2"/>
        <v>-0.30780557484434801</v>
      </c>
      <c r="J42" s="85"/>
      <c r="K42" s="85"/>
    </row>
    <row r="43" spans="1:11" ht="15.6">
      <c r="A43" s="30" t="str">
        <v>Whole Foods - Manhattan Beach</v>
      </c>
      <c r="B43" s="31" t="str">
        <v>CA</v>
      </c>
      <c r="C43" s="11">
        <v>12815</v>
      </c>
      <c r="D43" s="18">
        <v>0</v>
      </c>
      <c r="E43" s="18">
        <f t="shared" si="0"/>
        <v>12815</v>
      </c>
      <c r="F43" s="19" t="str">
        <f t="shared" si="3"/>
        <v/>
      </c>
      <c r="G43">
        <v>14522.72</v>
      </c>
      <c r="H43" s="20">
        <f t="shared" si="1"/>
        <v>-1707.7199999999993</v>
      </c>
      <c r="I43" s="19">
        <f t="shared" si="2"/>
        <v>-0.11758954245485691</v>
      </c>
      <c r="J43" s="94" t="s">
        <v>126</v>
      </c>
      <c r="K43" s="94" t="s">
        <v>259</v>
      </c>
    </row>
    <row r="44" spans="1:11" ht="15.6">
      <c r="A44" s="28" t="str">
        <v>Pioneer USD - Frontier ES</v>
      </c>
      <c r="B44" s="29" t="str">
        <v>CA</v>
      </c>
      <c r="C44" s="24">
        <v>18398</v>
      </c>
      <c r="D44" s="13">
        <v>0</v>
      </c>
      <c r="E44" s="13">
        <f t="shared" si="0"/>
        <v>18398</v>
      </c>
      <c r="F44" s="19" t="str">
        <f t="shared" si="3"/>
        <v/>
      </c>
      <c r="G44" s="15">
        <v>19384.73</v>
      </c>
      <c r="H44" s="15">
        <f t="shared" si="1"/>
        <v>-986.72999999999956</v>
      </c>
      <c r="I44" s="16">
        <f t="shared" si="2"/>
        <v>-5.0902437124478887E-2</v>
      </c>
      <c r="J44" s="92" t="s">
        <v>216</v>
      </c>
      <c r="K44" s="92" t="s">
        <v>217</v>
      </c>
    </row>
    <row r="45" spans="1:11" ht="51.75" customHeight="1">
      <c r="A45" s="30" t="str">
        <v>Pioneer USD - Pioneer ES</v>
      </c>
      <c r="B45" s="31" t="str">
        <v>CA</v>
      </c>
      <c r="C45" s="11">
        <v>4673</v>
      </c>
      <c r="D45" s="18">
        <v>0</v>
      </c>
      <c r="E45" s="18">
        <f t="shared" si="0"/>
        <v>4673</v>
      </c>
      <c r="F45" s="19" t="str">
        <f t="shared" si="3"/>
        <v/>
      </c>
      <c r="G45" s="20">
        <v>19711.91</v>
      </c>
      <c r="H45" s="20">
        <f t="shared" si="1"/>
        <v>-15038.91</v>
      </c>
      <c r="I45" s="19">
        <f t="shared" si="2"/>
        <v>-0.76293520008969196</v>
      </c>
      <c r="J45" s="102" t="s">
        <v>218</v>
      </c>
      <c r="K45" s="102" t="s">
        <v>260</v>
      </c>
    </row>
    <row r="46" spans="1:11" ht="15.6">
      <c r="A46" s="28" t="str">
        <v>Pioneer USD - Pioneer MS</v>
      </c>
      <c r="B46" s="29" t="str">
        <v>CA</v>
      </c>
      <c r="C46" s="24">
        <v>24452</v>
      </c>
      <c r="D46" s="13">
        <v>0</v>
      </c>
      <c r="E46" s="13">
        <f t="shared" si="0"/>
        <v>24452</v>
      </c>
      <c r="F46" s="19" t="str">
        <f t="shared" si="3"/>
        <v/>
      </c>
      <c r="G46" s="15">
        <v>26631.79</v>
      </c>
      <c r="H46" s="15">
        <f t="shared" si="1"/>
        <v>-2179.7900000000009</v>
      </c>
      <c r="I46" s="16">
        <f t="shared" si="2"/>
        <v>-8.1849173487775359E-2</v>
      </c>
      <c r="J46" s="85" t="s">
        <v>216</v>
      </c>
      <c r="K46" s="85" t="s">
        <v>261</v>
      </c>
    </row>
    <row r="47" spans="1:11" ht="29.1">
      <c r="A47" s="30" t="str">
        <v>Kingsburg Joint UHSD - Kingsburg HS</v>
      </c>
      <c r="B47" s="31" t="str">
        <v>CA</v>
      </c>
      <c r="C47" s="11">
        <v>41663</v>
      </c>
      <c r="D47" s="18">
        <v>64669</v>
      </c>
      <c r="E47" s="18">
        <f t="shared" si="0"/>
        <v>-23006</v>
      </c>
      <c r="F47" s="19">
        <f t="shared" si="3"/>
        <v>-0.3557500502559186</v>
      </c>
      <c r="G47" s="20">
        <v>36267.47</v>
      </c>
      <c r="H47" s="20">
        <f t="shared" si="1"/>
        <v>5395.5299999999988</v>
      </c>
      <c r="I47" s="19">
        <f t="shared" si="2"/>
        <v>0.14877050977087727</v>
      </c>
      <c r="J47" s="102" t="s">
        <v>132</v>
      </c>
      <c r="K47" s="102" t="s">
        <v>133</v>
      </c>
    </row>
    <row r="48" spans="1:11" ht="72.599999999999994">
      <c r="A48" s="28" t="str">
        <v>CADRB</v>
      </c>
      <c r="B48" s="29" t="str">
        <v>CA</v>
      </c>
      <c r="C48" s="24">
        <v>0</v>
      </c>
      <c r="D48" s="13">
        <v>0</v>
      </c>
      <c r="E48" s="13">
        <f t="shared" si="0"/>
        <v>0</v>
      </c>
      <c r="F48" s="19" t="str">
        <f t="shared" si="3"/>
        <v/>
      </c>
      <c r="G48" s="15">
        <v>456015</v>
      </c>
      <c r="H48" s="15">
        <f t="shared" si="1"/>
        <v>-456015</v>
      </c>
      <c r="I48" s="16">
        <f t="shared" si="2"/>
        <v>-1</v>
      </c>
      <c r="J48" s="85" t="s">
        <v>262</v>
      </c>
      <c r="K48" s="85" t="s">
        <v>263</v>
      </c>
    </row>
    <row r="49" spans="1:11" ht="15.6">
      <c r="A49" s="30" t="str">
        <v>CDCR-CA State Prison LA County</v>
      </c>
      <c r="B49" s="31" t="str">
        <v>CA</v>
      </c>
      <c r="C49" s="11">
        <v>150907</v>
      </c>
      <c r="D49" s="18">
        <v>0</v>
      </c>
      <c r="E49" s="18">
        <f t="shared" si="0"/>
        <v>150907</v>
      </c>
      <c r="F49" s="19" t="str">
        <f t="shared" si="3"/>
        <v/>
      </c>
      <c r="G49" s="20">
        <v>286115.07</v>
      </c>
      <c r="H49" s="20">
        <f t="shared" si="1"/>
        <v>-135208.07</v>
      </c>
      <c r="I49" s="19">
        <f t="shared" si="2"/>
        <v>-0.472565356309264</v>
      </c>
      <c r="J49" s="102"/>
      <c r="K49" s="86"/>
    </row>
    <row r="50" spans="1:11" ht="15.6">
      <c r="A50" s="28" t="str">
        <v>Central USD Akers ES</v>
      </c>
      <c r="B50" s="29" t="str">
        <v>CA</v>
      </c>
      <c r="C50" s="24">
        <v>17125</v>
      </c>
      <c r="D50" s="13">
        <v>0</v>
      </c>
      <c r="E50" s="13">
        <f t="shared" si="0"/>
        <v>17125</v>
      </c>
      <c r="F50" s="19" t="str">
        <f t="shared" si="3"/>
        <v/>
      </c>
      <c r="G50" s="15">
        <v>18579.89</v>
      </c>
      <c r="H50" s="15">
        <f t="shared" si="1"/>
        <v>-1454.8899999999994</v>
      </c>
      <c r="I50" s="16">
        <f t="shared" si="2"/>
        <v>-7.8304554009738458E-2</v>
      </c>
      <c r="J50" s="85"/>
      <c r="K50" s="85"/>
    </row>
    <row r="51" spans="1:11" ht="15.6">
      <c r="A51" s="30" t="str">
        <v>CUSD - District Office</v>
      </c>
      <c r="B51" s="31" t="str">
        <v>CA</v>
      </c>
      <c r="C51" s="11">
        <v>12843</v>
      </c>
      <c r="D51" s="18">
        <v>19880</v>
      </c>
      <c r="E51" s="18">
        <f t="shared" si="0"/>
        <v>-7037</v>
      </c>
      <c r="F51" s="19">
        <f t="shared" si="3"/>
        <v>-0.35397384305835011</v>
      </c>
      <c r="G51" s="20">
        <v>13359.07</v>
      </c>
      <c r="H51" s="20">
        <f t="shared" si="1"/>
        <v>-516.06999999999971</v>
      </c>
      <c r="I51" s="19">
        <f t="shared" si="2"/>
        <v>-3.863068312390007E-2</v>
      </c>
      <c r="J51" s="102" t="s">
        <v>264</v>
      </c>
      <c r="K51" s="102" t="s">
        <v>265</v>
      </c>
    </row>
    <row r="52" spans="1:11" ht="29.1">
      <c r="A52" s="28" t="str">
        <v>Parlier - WTP</v>
      </c>
      <c r="B52" s="29" t="str">
        <v>CA</v>
      </c>
      <c r="C52" s="24">
        <v>8569</v>
      </c>
      <c r="D52" s="13">
        <v>0</v>
      </c>
      <c r="E52" s="13">
        <f t="shared" si="0"/>
        <v>8569</v>
      </c>
      <c r="F52" s="19" t="str">
        <f t="shared" si="3"/>
        <v/>
      </c>
      <c r="G52" s="15">
        <v>37842.519999999997</v>
      </c>
      <c r="H52" s="15">
        <f t="shared" si="1"/>
        <v>-29273.519999999997</v>
      </c>
      <c r="I52" s="16">
        <f t="shared" si="2"/>
        <v>-0.77356159156419813</v>
      </c>
      <c r="J52" s="85" t="s">
        <v>266</v>
      </c>
      <c r="K52" s="85" t="s">
        <v>267</v>
      </c>
    </row>
    <row r="53" spans="1:11" ht="15.6">
      <c r="A53" s="30" t="str">
        <v>Snowline SD - Quail Valley MS</v>
      </c>
      <c r="B53" s="31" t="str">
        <v>CA</v>
      </c>
      <c r="C53" s="11">
        <v>16403</v>
      </c>
      <c r="D53" s="18">
        <v>36251</v>
      </c>
      <c r="E53" s="18">
        <f t="shared" si="0"/>
        <v>-19848</v>
      </c>
      <c r="F53" s="19">
        <f t="shared" si="3"/>
        <v>-0.54751593059501802</v>
      </c>
      <c r="G53" s="20">
        <v>24880.9</v>
      </c>
      <c r="H53" s="20">
        <f t="shared" si="1"/>
        <v>-8477.9000000000015</v>
      </c>
      <c r="I53" s="19">
        <f t="shared" si="2"/>
        <v>-0.3407392819391582</v>
      </c>
      <c r="J53" s="102" t="s">
        <v>227</v>
      </c>
      <c r="K53" s="91" t="s">
        <v>177</v>
      </c>
    </row>
    <row r="54" spans="1:11" ht="15.6">
      <c r="A54" s="28" t="str">
        <v>Snowline SD - Serrano HS - Middle Lot</v>
      </c>
      <c r="B54" s="29" t="str">
        <v>CA</v>
      </c>
      <c r="C54" s="24">
        <v>17586</v>
      </c>
      <c r="D54" s="13">
        <v>0</v>
      </c>
      <c r="E54" s="13">
        <f t="shared" si="0"/>
        <v>17586</v>
      </c>
      <c r="F54" s="19" t="str">
        <f t="shared" si="3"/>
        <v/>
      </c>
      <c r="G54" s="15">
        <v>28143.89</v>
      </c>
      <c r="H54" s="15">
        <f t="shared" si="1"/>
        <v>-10557.89</v>
      </c>
      <c r="I54" s="16">
        <f t="shared" si="2"/>
        <v>-0.37513968395982217</v>
      </c>
      <c r="J54" s="85"/>
      <c r="K54" s="85"/>
    </row>
    <row r="55" spans="1:11" ht="15.6">
      <c r="A55" s="30" t="str">
        <v>Snowline SD - Pinon Hills ES</v>
      </c>
      <c r="B55" s="31" t="str">
        <v>CA</v>
      </c>
      <c r="C55" s="11">
        <v>9275</v>
      </c>
      <c r="D55" s="18">
        <v>24913</v>
      </c>
      <c r="E55" s="18">
        <f t="shared" si="0"/>
        <v>-15638</v>
      </c>
      <c r="F55" s="19">
        <f t="shared" si="3"/>
        <v>-0.62770441135150323</v>
      </c>
      <c r="G55" s="20">
        <v>16487.89</v>
      </c>
      <c r="H55" s="20">
        <f t="shared" si="1"/>
        <v>-7212.8899999999994</v>
      </c>
      <c r="I55" s="19">
        <f t="shared" si="2"/>
        <v>-0.43746592195847983</v>
      </c>
      <c r="J55" s="102" t="s">
        <v>228</v>
      </c>
      <c r="K55" s="102" t="s">
        <v>229</v>
      </c>
    </row>
    <row r="56" spans="1:11" ht="15.6">
      <c r="A56" s="28" t="str">
        <v>Ramona - Santa Maria WTP</v>
      </c>
      <c r="B56" s="29" t="str">
        <v>CA</v>
      </c>
      <c r="C56" s="24">
        <v>19050</v>
      </c>
      <c r="D56" s="13">
        <v>85361</v>
      </c>
      <c r="E56" s="13">
        <f t="shared" si="0"/>
        <v>-66311</v>
      </c>
      <c r="F56" s="19">
        <f t="shared" si="3"/>
        <v>-0.77683016834385732</v>
      </c>
      <c r="G56" s="15">
        <v>53991.44</v>
      </c>
      <c r="H56" s="15">
        <f t="shared" si="1"/>
        <v>-34941.440000000002</v>
      </c>
      <c r="I56" s="16">
        <f t="shared" si="2"/>
        <v>-0.64716629154547467</v>
      </c>
      <c r="J56" s="89" t="s">
        <v>268</v>
      </c>
      <c r="K56" s="85" t="s">
        <v>269</v>
      </c>
    </row>
    <row r="57" spans="1:11" ht="29.1">
      <c r="A57" s="30" t="str">
        <v>Kohls - Redding</v>
      </c>
      <c r="B57" s="31" t="str">
        <v>CA</v>
      </c>
      <c r="C57" s="11">
        <v>16580</v>
      </c>
      <c r="D57" s="18">
        <v>0</v>
      </c>
      <c r="E57" s="18">
        <f t="shared" si="0"/>
        <v>16580</v>
      </c>
      <c r="F57" s="19" t="str">
        <f t="shared" si="3"/>
        <v/>
      </c>
      <c r="G57" s="20">
        <v>16012.86</v>
      </c>
      <c r="H57" s="20">
        <f t="shared" si="1"/>
        <v>567.13999999999942</v>
      </c>
      <c r="I57" s="19">
        <f t="shared" si="2"/>
        <v>3.5417782956948314E-2</v>
      </c>
      <c r="J57" s="102" t="s">
        <v>181</v>
      </c>
      <c r="K57" s="102" t="s">
        <v>270</v>
      </c>
    </row>
    <row r="58" spans="1:11" ht="29.1">
      <c r="A58" s="28" t="str">
        <v>Kohls - Salinas</v>
      </c>
      <c r="B58" s="29" t="str">
        <v>CA</v>
      </c>
      <c r="C58" s="24">
        <v>23053</v>
      </c>
      <c r="D58" s="13">
        <v>43094</v>
      </c>
      <c r="E58" s="13">
        <f t="shared" si="0"/>
        <v>-20041</v>
      </c>
      <c r="F58" s="19">
        <f t="shared" si="3"/>
        <v>-0.46505313964821088</v>
      </c>
      <c r="G58" s="15">
        <v>28604.25</v>
      </c>
      <c r="H58" s="15">
        <f t="shared" si="1"/>
        <v>-5551.25</v>
      </c>
      <c r="I58" s="16">
        <f t="shared" si="2"/>
        <v>-0.19407081115568492</v>
      </c>
      <c r="J58" s="85" t="s">
        <v>183</v>
      </c>
      <c r="K58" s="85" t="s">
        <v>232</v>
      </c>
    </row>
    <row r="59" spans="1:11" ht="15.6">
      <c r="A59" s="30" t="str">
        <v>Kohls - San Bernardino - Central</v>
      </c>
      <c r="B59" s="31" t="str">
        <v>CA</v>
      </c>
      <c r="C59" s="11">
        <v>103238</v>
      </c>
      <c r="D59" s="18">
        <v>0</v>
      </c>
      <c r="E59" s="18">
        <f t="shared" si="0"/>
        <v>103238</v>
      </c>
      <c r="F59" s="19" t="str">
        <f t="shared" si="3"/>
        <v/>
      </c>
      <c r="G59" s="20">
        <v>111926.08</v>
      </c>
      <c r="H59" s="20">
        <f t="shared" si="1"/>
        <v>-8688.0800000000017</v>
      </c>
      <c r="I59" s="19">
        <f t="shared" si="2"/>
        <v>-7.7623374284170418E-2</v>
      </c>
      <c r="J59" s="102"/>
      <c r="K59" s="86"/>
    </row>
    <row r="60" spans="1:11" ht="15.6">
      <c r="A60" s="28" t="str">
        <v>Kohls - Sonora</v>
      </c>
      <c r="B60" s="29" t="str">
        <v>CA</v>
      </c>
      <c r="C60" s="24">
        <v>15604</v>
      </c>
      <c r="D60" s="13">
        <v>23883</v>
      </c>
      <c r="E60" s="13">
        <f t="shared" si="0"/>
        <v>-8279</v>
      </c>
      <c r="F60" s="19">
        <f t="shared" si="3"/>
        <v>-0.34664824352049572</v>
      </c>
      <c r="G60" s="15">
        <v>17725.07</v>
      </c>
      <c r="H60" s="15">
        <f t="shared" si="1"/>
        <v>-2121.0699999999997</v>
      </c>
      <c r="I60" s="16">
        <f t="shared" si="2"/>
        <v>-0.11966497170391992</v>
      </c>
      <c r="J60" s="85" t="s">
        <v>185</v>
      </c>
      <c r="K60" s="85" t="s">
        <v>233</v>
      </c>
    </row>
    <row r="61" spans="1:11" ht="15.6">
      <c r="A61" s="30" t="str">
        <v>CUSD - Stratford ES</v>
      </c>
      <c r="B61" s="31" t="str">
        <v>CA</v>
      </c>
      <c r="C61" s="11">
        <v>13610</v>
      </c>
      <c r="D61" s="18">
        <v>19038</v>
      </c>
      <c r="E61" s="18">
        <f t="shared" si="0"/>
        <v>-5428</v>
      </c>
      <c r="F61" s="19">
        <f t="shared" si="3"/>
        <v>-0.28511398256119341</v>
      </c>
      <c r="G61" s="20">
        <v>12744.15</v>
      </c>
      <c r="H61" s="20">
        <f t="shared" si="1"/>
        <v>865.85000000000036</v>
      </c>
      <c r="I61" s="19">
        <f t="shared" si="2"/>
        <v>6.7940976840354231E-2</v>
      </c>
      <c r="J61" s="102"/>
      <c r="K61" s="86"/>
    </row>
    <row r="62" spans="1:11" ht="15.6">
      <c r="A62" s="28" t="str">
        <v>Taft - City Hall</v>
      </c>
      <c r="B62" s="29" t="str">
        <v>CA</v>
      </c>
      <c r="C62" s="24">
        <v>3435</v>
      </c>
      <c r="D62" s="13">
        <v>17384</v>
      </c>
      <c r="E62" s="13">
        <f t="shared" si="0"/>
        <v>-13949</v>
      </c>
      <c r="F62" s="19">
        <f t="shared" si="3"/>
        <v>-0.80240450989415557</v>
      </c>
      <c r="G62" s="15">
        <v>5439.59</v>
      </c>
      <c r="H62" s="15">
        <f t="shared" si="1"/>
        <v>-2004.5900000000001</v>
      </c>
      <c r="I62" s="16">
        <f t="shared" si="2"/>
        <v>-0.36851858320204284</v>
      </c>
      <c r="J62" s="85"/>
      <c r="K62" s="85"/>
    </row>
    <row r="63" spans="1:11" ht="15.6">
      <c r="A63" s="30" t="str">
        <v>Taft - Federal Prison</v>
      </c>
      <c r="B63" s="31" t="str">
        <v>CA</v>
      </c>
      <c r="C63" s="11">
        <v>10480</v>
      </c>
      <c r="D63" s="18">
        <v>13025</v>
      </c>
      <c r="E63" s="18">
        <f t="shared" si="0"/>
        <v>-2545</v>
      </c>
      <c r="F63" s="19">
        <f t="shared" si="3"/>
        <v>-0.19539347408829175</v>
      </c>
      <c r="G63" s="20">
        <v>9766.99</v>
      </c>
      <c r="H63" s="20">
        <f t="shared" si="1"/>
        <v>713.01000000000022</v>
      </c>
      <c r="I63" s="19">
        <f t="shared" si="2"/>
        <v>7.3002020069642765E-2</v>
      </c>
      <c r="J63" s="102"/>
      <c r="K63" s="86"/>
    </row>
    <row r="64" spans="1:11" ht="15.6">
      <c r="A64" s="28" t="str">
        <v>Taft - Police Department</v>
      </c>
      <c r="B64" s="29" t="str">
        <v>CA</v>
      </c>
      <c r="C64" s="24">
        <v>6613</v>
      </c>
      <c r="D64" s="13">
        <v>8611</v>
      </c>
      <c r="E64" s="13">
        <f t="shared" si="0"/>
        <v>-1998</v>
      </c>
      <c r="F64" s="19">
        <f t="shared" si="3"/>
        <v>-0.23202880037161769</v>
      </c>
      <c r="G64" s="15">
        <v>6246.61</v>
      </c>
      <c r="H64" s="15">
        <f t="shared" si="1"/>
        <v>366.39000000000033</v>
      </c>
      <c r="I64" s="16">
        <f t="shared" si="2"/>
        <v>5.8654214045698441E-2</v>
      </c>
      <c r="J64" s="85"/>
      <c r="K64" s="85"/>
    </row>
    <row r="65" spans="1:11" ht="29.1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 t="str">
        <f t="shared" si="3"/>
        <v/>
      </c>
      <c r="G65" s="20">
        <v>43308.81</v>
      </c>
      <c r="H65" s="20">
        <f t="shared" si="1"/>
        <v>-43308.81</v>
      </c>
      <c r="I65" s="19">
        <f t="shared" si="2"/>
        <v>-1</v>
      </c>
      <c r="J65" s="102" t="s">
        <v>271</v>
      </c>
      <c r="K65" s="90" t="s">
        <v>272</v>
      </c>
    </row>
    <row r="66" spans="1:11" ht="29.1">
      <c r="A66" s="28" t="str">
        <v>CDCR - CA Correctional Institution</v>
      </c>
      <c r="B66" s="29" t="str">
        <v>CA</v>
      </c>
      <c r="C66" s="24">
        <v>103989</v>
      </c>
      <c r="D66" s="13">
        <v>0</v>
      </c>
      <c r="E66" s="13">
        <f t="shared" si="0"/>
        <v>103989</v>
      </c>
      <c r="F66" s="19" t="str">
        <f t="shared" si="3"/>
        <v/>
      </c>
      <c r="G66" s="15">
        <v>123443.15</v>
      </c>
      <c r="H66" s="15">
        <f t="shared" si="1"/>
        <v>-19454.149999999994</v>
      </c>
      <c r="I66" s="16">
        <f t="shared" si="2"/>
        <v>-0.15759602699704273</v>
      </c>
      <c r="J66" s="85" t="s">
        <v>273</v>
      </c>
      <c r="K66" s="85" t="s">
        <v>274</v>
      </c>
    </row>
    <row r="67" spans="1:11" ht="87">
      <c r="A67" s="30" t="str">
        <v>CDCR - CA Correctional Institution II</v>
      </c>
      <c r="B67" s="31" t="str">
        <v>CA</v>
      </c>
      <c r="C67" s="11">
        <v>89914</v>
      </c>
      <c r="D67" s="18">
        <v>150597</v>
      </c>
      <c r="E67" s="18">
        <f t="shared" si="0"/>
        <v>-60683</v>
      </c>
      <c r="F67" s="19">
        <f t="shared" si="3"/>
        <v>-0.40294959394941465</v>
      </c>
      <c r="G67" s="20">
        <v>189478.342</v>
      </c>
      <c r="H67" s="20">
        <f t="shared" si="1"/>
        <v>-99564.342000000004</v>
      </c>
      <c r="I67" s="19">
        <f t="shared" si="2"/>
        <v>-0.52546555426371633</v>
      </c>
      <c r="J67" s="94" t="s">
        <v>275</v>
      </c>
      <c r="K67" s="95" t="s">
        <v>276</v>
      </c>
    </row>
    <row r="68" spans="1:11" ht="15.6">
      <c r="A68" s="28" t="str">
        <v>Snowline SD - Vista Verde ES</v>
      </c>
      <c r="B68" s="29" t="str">
        <v>CA</v>
      </c>
      <c r="C68" s="24">
        <v>16473</v>
      </c>
      <c r="D68" s="13">
        <v>26011</v>
      </c>
      <c r="E68" s="13">
        <f t="shared" si="0"/>
        <v>-9538</v>
      </c>
      <c r="F68" s="19">
        <f t="shared" si="3"/>
        <v>-0.36669101533966397</v>
      </c>
      <c r="G68" s="15">
        <v>18049.150000000001</v>
      </c>
      <c r="H68" s="15">
        <f t="shared" si="1"/>
        <v>-1576.1500000000015</v>
      </c>
      <c r="I68" s="16">
        <f t="shared" si="2"/>
        <v>-8.7325441918317551E-2</v>
      </c>
      <c r="J68" s="85"/>
      <c r="K68" s="85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I4:I100 F4:F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C62" activePane="bottomRight" state="frozen"/>
      <selection pane="bottomRight" activeCell="E70" sqref="E70"/>
      <selection pane="bottomLeft"/>
      <selection pane="topRight"/>
    </sheetView>
  </sheetViews>
  <sheetFormatPr defaultRowHeight="14.1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6.7109375" style="1" customWidth="1"/>
    <col min="10" max="10" width="71.5703125" customWidth="1"/>
    <col min="11" max="11" width="21.28515625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277</v>
      </c>
      <c r="E1" s="100"/>
      <c r="F1" s="100"/>
      <c r="G1" s="98" t="s">
        <v>278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1196971</v>
      </c>
      <c r="D2" s="5">
        <f>SUM(D4:D100)</f>
        <v>1273298</v>
      </c>
      <c r="E2" s="5">
        <f>C2-D2</f>
        <v>-76327</v>
      </c>
      <c r="F2" s="6">
        <f>IFERROR(E2/D2, 0)</f>
        <v>-5.9944333533862457E-2</v>
      </c>
      <c r="G2" s="5">
        <f>SUM(G4:G100)</f>
        <v>2125346.696</v>
      </c>
      <c r="H2" s="7">
        <f>C2-G2</f>
        <v>-928375.696</v>
      </c>
      <c r="I2" s="6">
        <f>IFERROR(H2/G2, 0)</f>
        <v>-0.43681141422585107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10681</v>
      </c>
      <c r="D4" s="13">
        <v>17222</v>
      </c>
      <c r="E4" s="13">
        <f>IF(AND(ISNUMBER(C4),ISNUMBER(D4)), C4-D4, "")</f>
        <v>-6541</v>
      </c>
      <c r="F4" s="14">
        <f>IFERROR(E4/D4, "")</f>
        <v>-0.37980490070839623</v>
      </c>
      <c r="G4" s="15">
        <v>11135.44</v>
      </c>
      <c r="H4" s="15">
        <f>IF(AND(ISNUMBER(C4),ISNUMBER(G4)), C4-G4, "")</f>
        <v>-454.44000000000051</v>
      </c>
      <c r="I4" s="16">
        <f>IFERROR(H4/G4, "")</f>
        <v>-4.0810241894348176E-2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5214</v>
      </c>
      <c r="D5" s="18">
        <v>10024</v>
      </c>
      <c r="E5" s="18">
        <f t="shared" ref="E5:E68" si="0">IF(AND(ISNUMBER(C5),ISNUMBER(D5)), C5-D5, "")</f>
        <v>-4810</v>
      </c>
      <c r="F5" s="19">
        <f>IFERROR(E5/D5, "")</f>
        <v>-0.4798483639265762</v>
      </c>
      <c r="G5" s="20">
        <v>6886.76</v>
      </c>
      <c r="H5" s="20">
        <f t="shared" ref="H5:H68" si="1">IF(AND(ISNUMBER(C5),ISNUMBER(G5)), C5-G5, "")</f>
        <v>-1672.7600000000002</v>
      </c>
      <c r="I5" s="19">
        <f t="shared" ref="I5:I68" si="2">IFERROR(H5/G5, "")</f>
        <v>-0.24289506240960917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13932</v>
      </c>
      <c r="D6" s="13">
        <v>20319</v>
      </c>
      <c r="E6" s="13">
        <f t="shared" si="0"/>
        <v>-6387</v>
      </c>
      <c r="F6" s="14">
        <f t="shared" ref="F6:F68" si="3">IFERROR(E6/D6, "")</f>
        <v>-0.31433633544957923</v>
      </c>
      <c r="G6" s="15">
        <v>12714.27</v>
      </c>
      <c r="H6" s="15">
        <f t="shared" si="1"/>
        <v>1217.7299999999996</v>
      </c>
      <c r="I6" s="16">
        <f t="shared" si="2"/>
        <v>9.5776635229549129E-2</v>
      </c>
      <c r="J6" s="41"/>
      <c r="K6" s="41"/>
    </row>
    <row r="7" spans="1:11" ht="29.1">
      <c r="A7" s="30" t="str">
        <v>Kohls - Brick</v>
      </c>
      <c r="B7" s="31" t="str">
        <v>NJ</v>
      </c>
      <c r="C7" s="11">
        <v>18586</v>
      </c>
      <c r="D7" s="18">
        <v>26127</v>
      </c>
      <c r="E7" s="18">
        <f t="shared" si="0"/>
        <v>-7541</v>
      </c>
      <c r="F7" s="19">
        <f t="shared" si="3"/>
        <v>-0.28862862173230758</v>
      </c>
      <c r="G7" s="20">
        <v>16597.82</v>
      </c>
      <c r="H7" s="20">
        <f t="shared" si="1"/>
        <v>1988.1800000000003</v>
      </c>
      <c r="I7" s="19">
        <f t="shared" si="2"/>
        <v>0.11978561039943803</v>
      </c>
      <c r="J7" s="55" t="s">
        <v>279</v>
      </c>
      <c r="K7" s="55" t="s">
        <v>280</v>
      </c>
    </row>
    <row r="8" spans="1:11" ht="29.1">
      <c r="A8" s="28" t="str">
        <v>Kohls - Buffalo</v>
      </c>
      <c r="B8" s="29" t="str">
        <v>NY</v>
      </c>
      <c r="C8" s="24">
        <v>4467</v>
      </c>
      <c r="D8" s="13">
        <v>0</v>
      </c>
      <c r="E8" s="13">
        <f t="shared" si="0"/>
        <v>4467</v>
      </c>
      <c r="F8" s="14" t="str">
        <f t="shared" si="3"/>
        <v/>
      </c>
      <c r="G8" s="15">
        <v>7858.68</v>
      </c>
      <c r="H8" s="15">
        <f t="shared" si="1"/>
        <v>-3391.6800000000003</v>
      </c>
      <c r="I8" s="16">
        <f t="shared" si="2"/>
        <v>-0.43158393012566998</v>
      </c>
      <c r="J8" s="57" t="s">
        <v>281</v>
      </c>
      <c r="K8" s="57" t="s">
        <v>282</v>
      </c>
    </row>
    <row r="9" spans="1:11" ht="15.6">
      <c r="A9" s="30" t="str">
        <v>Kohls - Canton</v>
      </c>
      <c r="B9" s="31" t="str">
        <v>CT</v>
      </c>
      <c r="C9" s="11">
        <v>5830</v>
      </c>
      <c r="D9" s="18">
        <v>8596</v>
      </c>
      <c r="E9" s="18">
        <f t="shared" si="0"/>
        <v>-2766</v>
      </c>
      <c r="F9" s="19">
        <f t="shared" si="3"/>
        <v>-0.32177757096323872</v>
      </c>
      <c r="G9" s="20">
        <v>4640.84</v>
      </c>
      <c r="H9" s="20">
        <f t="shared" si="1"/>
        <v>1189.1599999999999</v>
      </c>
      <c r="I9" s="19">
        <f t="shared" si="2"/>
        <v>0.25623809482766047</v>
      </c>
      <c r="J9" s="42"/>
      <c r="K9" s="43"/>
    </row>
    <row r="10" spans="1:11" ht="15.6">
      <c r="A10" s="28" t="str">
        <v>Kohls - East Amherst</v>
      </c>
      <c r="B10" s="29" t="str">
        <v>NY</v>
      </c>
      <c r="C10" s="24">
        <v>6097</v>
      </c>
      <c r="D10" s="13">
        <v>12437</v>
      </c>
      <c r="E10" s="13">
        <f t="shared" si="0"/>
        <v>-6340</v>
      </c>
      <c r="F10" s="14">
        <f t="shared" si="3"/>
        <v>-0.50976923695424947</v>
      </c>
      <c r="G10" s="15">
        <v>8330.75</v>
      </c>
      <c r="H10" s="15">
        <f t="shared" si="1"/>
        <v>-2233.75</v>
      </c>
      <c r="I10" s="16">
        <f t="shared" si="2"/>
        <v>-0.26813312126759298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19616</v>
      </c>
      <c r="D11" s="18">
        <v>34141</v>
      </c>
      <c r="E11" s="18">
        <f t="shared" si="0"/>
        <v>-14525</v>
      </c>
      <c r="F11" s="19">
        <f t="shared" si="3"/>
        <v>-0.42544155121408278</v>
      </c>
      <c r="G11" s="20">
        <v>21739.14</v>
      </c>
      <c r="H11" s="20">
        <f t="shared" si="1"/>
        <v>-2123.1399999999994</v>
      </c>
      <c r="I11" s="19">
        <f t="shared" si="2"/>
        <v>-9.7664397027665287E-2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113070</v>
      </c>
      <c r="D12" s="13">
        <v>160342</v>
      </c>
      <c r="E12" s="13">
        <f t="shared" si="0"/>
        <v>-47272</v>
      </c>
      <c r="F12" s="14">
        <f t="shared" si="3"/>
        <v>-0.29481982262913026</v>
      </c>
      <c r="G12" s="15">
        <v>112735.95</v>
      </c>
      <c r="H12" s="15">
        <f t="shared" si="1"/>
        <v>334.05000000000291</v>
      </c>
      <c r="I12" s="16">
        <f t="shared" si="2"/>
        <v>2.9631186857431275E-3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13683</v>
      </c>
      <c r="D13" s="18">
        <v>18875</v>
      </c>
      <c r="E13" s="18">
        <f t="shared" si="0"/>
        <v>-5192</v>
      </c>
      <c r="F13" s="19">
        <f t="shared" si="3"/>
        <v>-0.2750728476821192</v>
      </c>
      <c r="G13" s="20">
        <v>12717.92</v>
      </c>
      <c r="H13" s="20">
        <f t="shared" si="1"/>
        <v>965.07999999999993</v>
      </c>
      <c r="I13" s="19">
        <f t="shared" si="2"/>
        <v>7.5883477801401478E-2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5358</v>
      </c>
      <c r="D14" s="13">
        <v>10612</v>
      </c>
      <c r="E14" s="13">
        <f t="shared" si="0"/>
        <v>-5254</v>
      </c>
      <c r="F14" s="14">
        <f t="shared" si="3"/>
        <v>-0.49509988692046741</v>
      </c>
      <c r="G14" s="15">
        <v>9922.85</v>
      </c>
      <c r="H14" s="15">
        <f t="shared" si="1"/>
        <v>-4564.8500000000004</v>
      </c>
      <c r="I14" s="16">
        <f t="shared" si="2"/>
        <v>-0.4600341635719577</v>
      </c>
      <c r="J14" s="41"/>
      <c r="K14" s="41"/>
    </row>
    <row r="15" spans="1:11" ht="29.1">
      <c r="A15" s="30" t="str">
        <v>Kohls - Hanover</v>
      </c>
      <c r="B15" s="31" t="str">
        <v>PA</v>
      </c>
      <c r="C15" s="11">
        <v>10833</v>
      </c>
      <c r="D15" s="18">
        <v>15345</v>
      </c>
      <c r="E15" s="18">
        <f t="shared" si="0"/>
        <v>-4512</v>
      </c>
      <c r="F15" s="19">
        <f t="shared" si="3"/>
        <v>-0.2940371456500489</v>
      </c>
      <c r="G15" s="20">
        <v>14467.61</v>
      </c>
      <c r="H15" s="20">
        <f t="shared" si="1"/>
        <v>-3634.6100000000006</v>
      </c>
      <c r="I15" s="19">
        <f t="shared" si="2"/>
        <v>-0.25122394092735428</v>
      </c>
      <c r="J15" s="55" t="s">
        <v>283</v>
      </c>
      <c r="K15" s="97" t="s">
        <v>244</v>
      </c>
    </row>
    <row r="16" spans="1:11" ht="15.6">
      <c r="A16" s="28" t="str">
        <v>Kohls - Horsehead</v>
      </c>
      <c r="B16" s="29" t="str">
        <v>NY</v>
      </c>
      <c r="C16" s="24">
        <v>5701</v>
      </c>
      <c r="D16" s="13">
        <v>11075</v>
      </c>
      <c r="E16" s="13">
        <f t="shared" si="0"/>
        <v>-5374</v>
      </c>
      <c r="F16" s="14">
        <f t="shared" si="3"/>
        <v>-0.48523702031602711</v>
      </c>
      <c r="G16" s="15">
        <v>9904.34</v>
      </c>
      <c r="H16" s="15">
        <f t="shared" si="1"/>
        <v>-4203.34</v>
      </c>
      <c r="I16" s="16">
        <f t="shared" si="2"/>
        <v>-0.42439375061841578</v>
      </c>
      <c r="J16" s="41"/>
      <c r="K16" s="41"/>
    </row>
    <row r="17" spans="1:11" ht="15.6">
      <c r="A17" s="30" t="str">
        <v>Kohls - Hudson</v>
      </c>
      <c r="B17" s="31" t="str">
        <v>NY</v>
      </c>
      <c r="C17" s="11">
        <v>9995</v>
      </c>
      <c r="D17" s="18">
        <v>17146</v>
      </c>
      <c r="E17" s="18">
        <f t="shared" si="0"/>
        <v>-7151</v>
      </c>
      <c r="F17" s="19">
        <f t="shared" si="3"/>
        <v>-0.41706520471246938</v>
      </c>
      <c r="G17" s="20">
        <v>11579.75</v>
      </c>
      <c r="H17" s="20">
        <f t="shared" si="1"/>
        <v>-1584.75</v>
      </c>
      <c r="I17" s="19">
        <f t="shared" si="2"/>
        <v>-0.13685528616766338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5817</v>
      </c>
      <c r="D18" s="13">
        <v>11386</v>
      </c>
      <c r="E18" s="13">
        <f t="shared" si="0"/>
        <v>-5569</v>
      </c>
      <c r="F18" s="19">
        <f t="shared" si="3"/>
        <v>-0.48910943263657125</v>
      </c>
      <c r="G18" s="15">
        <v>9932.11</v>
      </c>
      <c r="H18" s="15">
        <f t="shared" si="1"/>
        <v>-4115.1100000000006</v>
      </c>
      <c r="I18" s="16">
        <f t="shared" si="2"/>
        <v>-0.41432384458085947</v>
      </c>
      <c r="J18" s="41"/>
      <c r="K18" s="41"/>
    </row>
    <row r="19" spans="1:11" ht="15.6">
      <c r="A19" s="30" t="str">
        <v>Kohls - Kingston</v>
      </c>
      <c r="B19" s="31" t="str">
        <v>NY</v>
      </c>
      <c r="C19" s="11">
        <v>13764</v>
      </c>
      <c r="D19" s="18">
        <v>26513</v>
      </c>
      <c r="E19" s="18">
        <f t="shared" si="0"/>
        <v>-12749</v>
      </c>
      <c r="F19" s="19">
        <f t="shared" si="3"/>
        <v>-0.48085844679968315</v>
      </c>
      <c r="G19" s="20">
        <v>19493.960999999999</v>
      </c>
      <c r="H19" s="20">
        <f t="shared" si="1"/>
        <v>-5729.9609999999993</v>
      </c>
      <c r="I19" s="19">
        <f t="shared" si="2"/>
        <v>-0.29393518331138546</v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>
        <v>16302</v>
      </c>
      <c r="D20" s="13">
        <v>21467</v>
      </c>
      <c r="E20" s="13">
        <f t="shared" si="0"/>
        <v>-5165</v>
      </c>
      <c r="F20" s="19">
        <f t="shared" si="3"/>
        <v>-0.24060185400847814</v>
      </c>
      <c r="G20" s="15">
        <v>16596.09</v>
      </c>
      <c r="H20" s="15">
        <f t="shared" si="1"/>
        <v>-294.09000000000015</v>
      </c>
      <c r="I20" s="16">
        <f t="shared" si="2"/>
        <v>-1.7720438970866038E-2</v>
      </c>
      <c r="J20" s="41"/>
      <c r="K20" s="41"/>
    </row>
    <row r="21" spans="1:11" ht="29.1">
      <c r="A21" s="30" t="str">
        <v>Kohls - Middletown</v>
      </c>
      <c r="B21" s="31" t="str">
        <v>NJ</v>
      </c>
      <c r="C21" s="11">
        <v>24876</v>
      </c>
      <c r="D21" s="18">
        <v>34222</v>
      </c>
      <c r="E21" s="18">
        <f t="shared" si="0"/>
        <v>-9346</v>
      </c>
      <c r="F21" s="19">
        <f t="shared" si="3"/>
        <v>-0.27309917596867511</v>
      </c>
      <c r="G21" s="20">
        <v>24696.54</v>
      </c>
      <c r="H21" s="20">
        <f t="shared" si="1"/>
        <v>179.45999999999913</v>
      </c>
      <c r="I21" s="19">
        <f t="shared" si="2"/>
        <v>7.266604957617509E-3</v>
      </c>
      <c r="J21" s="55" t="s">
        <v>284</v>
      </c>
      <c r="K21" s="55" t="s">
        <v>285</v>
      </c>
    </row>
    <row r="22" spans="1:11" ht="29.1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9" t="str">
        <f t="shared" si="3"/>
        <v/>
      </c>
      <c r="G22" s="15">
        <v>6664.6</v>
      </c>
      <c r="H22" s="15">
        <f t="shared" si="1"/>
        <v>-6664.6</v>
      </c>
      <c r="I22" s="16">
        <f t="shared" si="2"/>
        <v>-1</v>
      </c>
      <c r="J22" s="41" t="s">
        <v>286</v>
      </c>
      <c r="K22" s="85" t="s">
        <v>246</v>
      </c>
    </row>
    <row r="23" spans="1:11" ht="15.6">
      <c r="A23" s="30" t="str">
        <v>Kohls - Staten Island</v>
      </c>
      <c r="B23" s="31" t="str">
        <v>NY</v>
      </c>
      <c r="C23" s="11">
        <v>102</v>
      </c>
      <c r="D23" s="18">
        <v>0</v>
      </c>
      <c r="E23" s="18">
        <f t="shared" si="0"/>
        <v>102</v>
      </c>
      <c r="F23" s="19" t="str">
        <f t="shared" si="3"/>
        <v/>
      </c>
      <c r="G23" s="20">
        <v>14504.34</v>
      </c>
      <c r="H23" s="20">
        <f t="shared" si="1"/>
        <v>-14402.34</v>
      </c>
      <c r="I23" s="19">
        <f t="shared" si="2"/>
        <v>-0.99296762210483203</v>
      </c>
      <c r="J23" s="42" t="s">
        <v>247</v>
      </c>
      <c r="K23" s="102" t="s">
        <v>248</v>
      </c>
    </row>
    <row r="24" spans="1:11" ht="15.6">
      <c r="A24" s="28" t="str">
        <v>Kohls - Warminster</v>
      </c>
      <c r="B24" s="29" t="str">
        <v>PA</v>
      </c>
      <c r="C24" s="24">
        <v>16600</v>
      </c>
      <c r="D24" s="13">
        <v>24120</v>
      </c>
      <c r="E24" s="13">
        <f t="shared" si="0"/>
        <v>-7520</v>
      </c>
      <c r="F24" s="19">
        <f t="shared" si="3"/>
        <v>-0.3117744610281924</v>
      </c>
      <c r="G24" s="15">
        <v>15727.18</v>
      </c>
      <c r="H24" s="15">
        <f t="shared" si="1"/>
        <v>872.81999999999971</v>
      </c>
      <c r="I24" s="16">
        <f t="shared" si="2"/>
        <v>5.5497552644530025E-2</v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>
        <v>14314</v>
      </c>
      <c r="D25" s="18">
        <v>20293</v>
      </c>
      <c r="E25" s="18">
        <f t="shared" si="0"/>
        <v>-5979</v>
      </c>
      <c r="F25" s="19">
        <f t="shared" si="3"/>
        <v>-0.29463361750357264</v>
      </c>
      <c r="G25" s="20">
        <v>14020.66</v>
      </c>
      <c r="H25" s="20">
        <f t="shared" si="1"/>
        <v>293.34000000000015</v>
      </c>
      <c r="I25" s="19">
        <f t="shared" si="2"/>
        <v>2.0921982274728874E-2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>
        <v>20665</v>
      </c>
      <c r="D26" s="13">
        <v>30480</v>
      </c>
      <c r="E26" s="13">
        <f t="shared" si="0"/>
        <v>-9815</v>
      </c>
      <c r="F26" s="19">
        <f t="shared" si="3"/>
        <v>-0.32201443569553806</v>
      </c>
      <c r="G26" s="15">
        <v>25425.97</v>
      </c>
      <c r="H26" s="15">
        <f t="shared" si="1"/>
        <v>-4760.9700000000012</v>
      </c>
      <c r="I26" s="16">
        <f t="shared" si="2"/>
        <v>-0.18724831343700951</v>
      </c>
      <c r="J26" s="41"/>
      <c r="K26" s="41"/>
    </row>
    <row r="27" spans="1:11" ht="15.6">
      <c r="A27" s="30" t="str">
        <v>CSU - Bakersfield</v>
      </c>
      <c r="B27" s="31" t="str">
        <v>CA</v>
      </c>
      <c r="C27" s="11">
        <v>58598</v>
      </c>
      <c r="D27" s="18">
        <v>85034</v>
      </c>
      <c r="E27" s="18">
        <f t="shared" si="0"/>
        <v>-26436</v>
      </c>
      <c r="F27" s="19">
        <f t="shared" si="3"/>
        <v>-0.31088740974198553</v>
      </c>
      <c r="G27" s="20">
        <v>55229</v>
      </c>
      <c r="H27" s="20">
        <f t="shared" si="1"/>
        <v>3369</v>
      </c>
      <c r="I27" s="19">
        <f t="shared" si="2"/>
        <v>6.1000561299317385E-2</v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>
        <v>6838</v>
      </c>
      <c r="D28" s="13">
        <v>0</v>
      </c>
      <c r="E28" s="13">
        <f t="shared" si="0"/>
        <v>6838</v>
      </c>
      <c r="F28" s="19" t="str">
        <f t="shared" si="3"/>
        <v/>
      </c>
      <c r="G28" s="15">
        <v>6775.68</v>
      </c>
      <c r="H28" s="15">
        <f t="shared" si="1"/>
        <v>62.319999999999709</v>
      </c>
      <c r="I28" s="16">
        <f t="shared" si="2"/>
        <v>9.1976008312080419E-3</v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>
        <v>18859</v>
      </c>
      <c r="D29" s="18">
        <v>27089</v>
      </c>
      <c r="E29" s="18">
        <f t="shared" si="0"/>
        <v>-8230</v>
      </c>
      <c r="F29" s="19">
        <f t="shared" si="3"/>
        <v>-0.3038133559747499</v>
      </c>
      <c r="G29" s="20">
        <v>17711.18</v>
      </c>
      <c r="H29" s="20">
        <f t="shared" si="1"/>
        <v>1147.8199999999997</v>
      </c>
      <c r="I29" s="19">
        <f t="shared" si="2"/>
        <v>6.4807652567474311E-2</v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>
        <v>11676</v>
      </c>
      <c r="D30" s="13">
        <v>18220</v>
      </c>
      <c r="E30" s="13">
        <f t="shared" si="0"/>
        <v>-6544</v>
      </c>
      <c r="F30" s="19">
        <f t="shared" si="3"/>
        <v>-0.35916575192096595</v>
      </c>
      <c r="G30" s="15">
        <v>12236.95</v>
      </c>
      <c r="H30" s="15">
        <f t="shared" si="1"/>
        <v>-560.95000000000073</v>
      </c>
      <c r="I30" s="16">
        <f t="shared" si="2"/>
        <v>-4.5840671082255029E-2</v>
      </c>
      <c r="J30" s="41"/>
      <c r="K30" s="41"/>
    </row>
    <row r="31" spans="1:11" ht="57.95">
      <c r="A31" s="30" t="str">
        <v>Greenfield USD - Horizon ES</v>
      </c>
      <c r="B31" s="31" t="str">
        <v>CA</v>
      </c>
      <c r="C31" s="11">
        <v>13406</v>
      </c>
      <c r="D31" s="18">
        <v>25018</v>
      </c>
      <c r="E31" s="18">
        <f t="shared" si="0"/>
        <v>-11612</v>
      </c>
      <c r="F31" s="19">
        <f t="shared" si="3"/>
        <v>-0.46414581501319052</v>
      </c>
      <c r="G31" s="20">
        <v>17938.89</v>
      </c>
      <c r="H31" s="20">
        <f t="shared" si="1"/>
        <v>-4532.8899999999994</v>
      </c>
      <c r="I31" s="19">
        <f t="shared" si="2"/>
        <v>-0.25268508809630918</v>
      </c>
      <c r="J31" s="42" t="s">
        <v>287</v>
      </c>
      <c r="K31" s="55" t="s">
        <v>252</v>
      </c>
    </row>
    <row r="32" spans="1:11" ht="15.6">
      <c r="A32" s="28" t="str">
        <v>Greenfield USD - McKee MS</v>
      </c>
      <c r="B32" s="29" t="str">
        <v>CA</v>
      </c>
      <c r="C32" s="24">
        <v>7987</v>
      </c>
      <c r="D32" s="13">
        <v>14558</v>
      </c>
      <c r="E32" s="13">
        <f t="shared" si="0"/>
        <v>-6571</v>
      </c>
      <c r="F32" s="19">
        <f t="shared" si="3"/>
        <v>-0.45136694600906718</v>
      </c>
      <c r="G32" s="15">
        <v>10978.08</v>
      </c>
      <c r="H32" s="15">
        <f t="shared" si="1"/>
        <v>-2991.08</v>
      </c>
      <c r="I32" s="16">
        <f t="shared" si="2"/>
        <v>-0.27245930071560781</v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>
        <v>8018</v>
      </c>
      <c r="D33" s="18">
        <v>11959</v>
      </c>
      <c r="E33" s="18">
        <f t="shared" si="0"/>
        <v>-3941</v>
      </c>
      <c r="F33" s="19">
        <f t="shared" si="3"/>
        <v>-0.32954260389664686</v>
      </c>
      <c r="G33" s="20">
        <v>7849.42</v>
      </c>
      <c r="H33" s="20">
        <f t="shared" si="1"/>
        <v>168.57999999999993</v>
      </c>
      <c r="I33" s="19">
        <f t="shared" si="2"/>
        <v>2.1476746052574575E-2</v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>
        <v>2640</v>
      </c>
      <c r="D34" s="13">
        <v>12189</v>
      </c>
      <c r="E34" s="13">
        <f t="shared" si="0"/>
        <v>-9549</v>
      </c>
      <c r="F34" s="19">
        <f t="shared" si="3"/>
        <v>-0.78341127245877429</v>
      </c>
      <c r="G34" s="15">
        <v>9561.85</v>
      </c>
      <c r="H34" s="15">
        <f t="shared" si="1"/>
        <v>-6921.85</v>
      </c>
      <c r="I34" s="16">
        <f t="shared" si="2"/>
        <v>-0.72390280123616246</v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>
        <v>18522</v>
      </c>
      <c r="D35" s="18">
        <v>28891</v>
      </c>
      <c r="E35" s="18">
        <f t="shared" si="0"/>
        <v>-10369</v>
      </c>
      <c r="F35" s="19">
        <f t="shared" si="3"/>
        <v>-0.35890069571838978</v>
      </c>
      <c r="G35" s="20">
        <v>19966.04</v>
      </c>
      <c r="H35" s="20">
        <f t="shared" si="1"/>
        <v>-1444.0400000000009</v>
      </c>
      <c r="I35" s="19">
        <f t="shared" si="2"/>
        <v>-7.2324807523174398E-2</v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>
        <v>20035</v>
      </c>
      <c r="D36" s="13">
        <v>27182</v>
      </c>
      <c r="E36" s="13">
        <f t="shared" si="0"/>
        <v>-7147</v>
      </c>
      <c r="F36" s="19">
        <f t="shared" si="3"/>
        <v>-0.26293135162975501</v>
      </c>
      <c r="G36" s="15">
        <v>18762.71</v>
      </c>
      <c r="H36" s="15">
        <f t="shared" si="1"/>
        <v>1272.2900000000009</v>
      </c>
      <c r="I36" s="16">
        <f t="shared" si="2"/>
        <v>6.7809500866346115E-2</v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0"/>
        <v>0</v>
      </c>
      <c r="F37" s="19" t="str">
        <f t="shared" si="3"/>
        <v/>
      </c>
      <c r="G37" s="20">
        <v>7229.24</v>
      </c>
      <c r="H37" s="20">
        <f t="shared" si="1"/>
        <v>-7229.24</v>
      </c>
      <c r="I37" s="19">
        <f t="shared" si="2"/>
        <v>-1</v>
      </c>
      <c r="J37" s="42"/>
      <c r="K37" s="43"/>
    </row>
    <row r="38" spans="1:11" ht="43.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9" t="str">
        <f t="shared" si="3"/>
        <v/>
      </c>
      <c r="G38" s="15">
        <v>23996.47</v>
      </c>
      <c r="H38" s="15">
        <f t="shared" si="1"/>
        <v>-23996.47</v>
      </c>
      <c r="I38" s="16">
        <f t="shared" si="2"/>
        <v>-1</v>
      </c>
      <c r="J38" s="41" t="s">
        <v>288</v>
      </c>
      <c r="K38" s="41" t="s">
        <v>254</v>
      </c>
    </row>
    <row r="39" spans="1:11" ht="15.6">
      <c r="A39" s="30" t="str">
        <v>Muroc Joint USD - W. Boron ES</v>
      </c>
      <c r="B39" s="31" t="str">
        <v>CA</v>
      </c>
      <c r="C39" s="11">
        <v>8371</v>
      </c>
      <c r="D39" s="18">
        <v>12016</v>
      </c>
      <c r="E39" s="18">
        <f t="shared" si="0"/>
        <v>-3645</v>
      </c>
      <c r="F39" s="19">
        <f t="shared" si="3"/>
        <v>-0.3033455392809587</v>
      </c>
      <c r="G39" s="20">
        <v>8554.98</v>
      </c>
      <c r="H39" s="20">
        <f t="shared" si="1"/>
        <v>-183.97999999999956</v>
      </c>
      <c r="I39" s="19">
        <f t="shared" si="2"/>
        <v>-2.150560258469331E-2</v>
      </c>
      <c r="J39" s="42"/>
      <c r="K39" s="43"/>
    </row>
    <row r="40" spans="1:11" ht="29.1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9" t="str">
        <f t="shared" si="3"/>
        <v/>
      </c>
      <c r="G40" s="15">
        <v>17095.349999999999</v>
      </c>
      <c r="H40" s="15">
        <f t="shared" si="1"/>
        <v>-17095.349999999999</v>
      </c>
      <c r="I40" s="16">
        <f t="shared" si="2"/>
        <v>-1</v>
      </c>
      <c r="J40" s="41" t="s">
        <v>255</v>
      </c>
      <c r="K40" s="85" t="s">
        <v>256</v>
      </c>
    </row>
    <row r="41" spans="1:11" ht="43.5">
      <c r="A41" s="30" t="str">
        <v>CDCR-North Kern State Prision</v>
      </c>
      <c r="B41" s="31" t="str">
        <v>CA</v>
      </c>
      <c r="C41" s="11">
        <v>43387</v>
      </c>
      <c r="D41" s="18">
        <v>0</v>
      </c>
      <c r="E41" s="18">
        <f t="shared" si="0"/>
        <v>43387</v>
      </c>
      <c r="F41" s="19" t="str">
        <f t="shared" si="3"/>
        <v/>
      </c>
      <c r="G41" s="20">
        <v>76668.95</v>
      </c>
      <c r="H41" s="20">
        <f t="shared" si="1"/>
        <v>-33281.949999999997</v>
      </c>
      <c r="I41" s="19">
        <f t="shared" si="2"/>
        <v>-0.43409946268991551</v>
      </c>
      <c r="J41" s="55" t="s">
        <v>289</v>
      </c>
      <c r="K41" s="55" t="s">
        <v>290</v>
      </c>
    </row>
    <row r="42" spans="1:11" ht="15.6">
      <c r="A42" s="28" t="str">
        <v>Muroc Joint USD - District Office</v>
      </c>
      <c r="B42" s="29" t="str">
        <v>CA</v>
      </c>
      <c r="C42" s="24">
        <v>4069</v>
      </c>
      <c r="D42" s="13">
        <v>8720</v>
      </c>
      <c r="E42" s="13">
        <f t="shared" si="0"/>
        <v>-4651</v>
      </c>
      <c r="F42" s="19">
        <f t="shared" si="3"/>
        <v>-0.53337155963302751</v>
      </c>
      <c r="G42" s="15">
        <v>6065.06</v>
      </c>
      <c r="H42" s="15">
        <f t="shared" si="1"/>
        <v>-1996.0600000000004</v>
      </c>
      <c r="I42" s="16">
        <f t="shared" si="2"/>
        <v>-0.32910803850250453</v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>
        <v>9339</v>
      </c>
      <c r="D43" s="18">
        <v>0</v>
      </c>
      <c r="E43" s="18">
        <f t="shared" si="0"/>
        <v>9339</v>
      </c>
      <c r="F43" s="19" t="str">
        <f t="shared" si="3"/>
        <v/>
      </c>
      <c r="G43" s="20">
        <v>13511.65</v>
      </c>
      <c r="H43" s="20">
        <f t="shared" si="1"/>
        <v>-4172.6499999999996</v>
      </c>
      <c r="I43" s="19">
        <f t="shared" si="2"/>
        <v>-0.30881868609681273</v>
      </c>
      <c r="J43" s="55" t="s">
        <v>291</v>
      </c>
      <c r="K43" s="55" t="s">
        <v>259</v>
      </c>
    </row>
    <row r="44" spans="1:11" ht="15.6">
      <c r="A44" s="28" t="str">
        <v>Pioneer USD - Frontier ES</v>
      </c>
      <c r="B44" s="29" t="str">
        <v>CA</v>
      </c>
      <c r="C44" s="24">
        <v>13418</v>
      </c>
      <c r="D44" s="13">
        <v>0</v>
      </c>
      <c r="E44" s="13">
        <f t="shared" si="0"/>
        <v>13418</v>
      </c>
      <c r="F44" s="19" t="str">
        <f t="shared" si="3"/>
        <v/>
      </c>
      <c r="G44" s="15">
        <v>14511.35</v>
      </c>
      <c r="H44" s="15">
        <f t="shared" si="1"/>
        <v>-1093.3500000000004</v>
      </c>
      <c r="I44" s="16">
        <f t="shared" si="2"/>
        <v>-7.5344471741085453E-2</v>
      </c>
      <c r="J44" s="41" t="s">
        <v>216</v>
      </c>
      <c r="K44" s="41" t="s">
        <v>217</v>
      </c>
    </row>
    <row r="45" spans="1:11" ht="43.5">
      <c r="A45" s="30" t="str">
        <v>Pioneer USD - Pioneer ES</v>
      </c>
      <c r="B45" s="31" t="str">
        <v>CA</v>
      </c>
      <c r="C45" s="11">
        <v>3450</v>
      </c>
      <c r="D45" s="18">
        <v>0</v>
      </c>
      <c r="E45" s="18">
        <f t="shared" si="0"/>
        <v>3450</v>
      </c>
      <c r="F45" s="19" t="str">
        <f t="shared" si="3"/>
        <v/>
      </c>
      <c r="G45" s="20">
        <v>14915.58</v>
      </c>
      <c r="H45" s="20">
        <f t="shared" si="1"/>
        <v>-11465.58</v>
      </c>
      <c r="I45" s="19">
        <f t="shared" si="2"/>
        <v>-0.768698233659033</v>
      </c>
      <c r="J45" s="102" t="s">
        <v>218</v>
      </c>
      <c r="K45" s="102" t="s">
        <v>260</v>
      </c>
    </row>
    <row r="46" spans="1:11" ht="15.6">
      <c r="A46" s="28" t="str">
        <v>Pioneer USD - Pioneer MS</v>
      </c>
      <c r="B46" s="29" t="str">
        <v>CA</v>
      </c>
      <c r="C46" s="24">
        <v>18254</v>
      </c>
      <c r="D46" s="13">
        <v>0</v>
      </c>
      <c r="E46" s="13">
        <f t="shared" si="0"/>
        <v>18254</v>
      </c>
      <c r="F46" s="19" t="str">
        <f t="shared" si="3"/>
        <v/>
      </c>
      <c r="G46" s="15">
        <v>20142.419999999998</v>
      </c>
      <c r="H46" s="15">
        <f t="shared" si="1"/>
        <v>-1888.4199999999983</v>
      </c>
      <c r="I46" s="16">
        <f t="shared" si="2"/>
        <v>-9.3753382165598698E-2</v>
      </c>
      <c r="J46" s="85" t="s">
        <v>216</v>
      </c>
      <c r="K46" s="85" t="s">
        <v>261</v>
      </c>
    </row>
    <row r="47" spans="1:11" ht="29.1">
      <c r="A47" s="30" t="str">
        <v>Kingsburg Joint UHSD - Kingsburg HS</v>
      </c>
      <c r="B47" s="31" t="str">
        <v>CA</v>
      </c>
      <c r="C47" s="11">
        <v>28415</v>
      </c>
      <c r="D47" s="18">
        <v>81251</v>
      </c>
      <c r="E47" s="18">
        <f t="shared" si="0"/>
        <v>-52836</v>
      </c>
      <c r="F47" s="19">
        <f t="shared" si="3"/>
        <v>-0.65028122730797155</v>
      </c>
      <c r="G47" s="20">
        <v>44185.39</v>
      </c>
      <c r="H47" s="20">
        <f t="shared" si="1"/>
        <v>-15770.39</v>
      </c>
      <c r="I47" s="19">
        <f t="shared" si="2"/>
        <v>-0.35691412930835281</v>
      </c>
      <c r="J47" s="102" t="s">
        <v>292</v>
      </c>
      <c r="K47" s="102" t="s">
        <v>133</v>
      </c>
    </row>
    <row r="48" spans="1:11" ht="72.599999999999994">
      <c r="A48" s="28" t="str">
        <v>CADRB</v>
      </c>
      <c r="B48" s="29" t="str">
        <v>CA</v>
      </c>
      <c r="C48" s="24">
        <v>0</v>
      </c>
      <c r="D48" s="13">
        <v>0</v>
      </c>
      <c r="E48" s="13">
        <f t="shared" si="0"/>
        <v>0</v>
      </c>
      <c r="F48" s="19" t="str">
        <f t="shared" si="3"/>
        <v/>
      </c>
      <c r="G48" s="15">
        <v>402139</v>
      </c>
      <c r="H48" s="15">
        <f t="shared" si="1"/>
        <v>-402139</v>
      </c>
      <c r="I48" s="16">
        <f t="shared" si="2"/>
        <v>-1</v>
      </c>
      <c r="J48" s="85" t="s">
        <v>262</v>
      </c>
      <c r="K48" s="85" t="s">
        <v>263</v>
      </c>
    </row>
    <row r="49" spans="1:11" ht="15.6">
      <c r="A49" s="30" t="str">
        <v>CDCR-CA State Prison LA County</v>
      </c>
      <c r="B49" s="31" t="str">
        <v>CA</v>
      </c>
      <c r="C49" s="11">
        <v>128339</v>
      </c>
      <c r="D49" s="18">
        <v>0</v>
      </c>
      <c r="E49" s="18">
        <f t="shared" si="0"/>
        <v>128339</v>
      </c>
      <c r="F49" s="19" t="str">
        <f t="shared" si="3"/>
        <v/>
      </c>
      <c r="G49" s="20">
        <v>242382.42</v>
      </c>
      <c r="H49" s="20">
        <f t="shared" si="1"/>
        <v>-114043.42000000001</v>
      </c>
      <c r="I49" s="19">
        <f t="shared" si="2"/>
        <v>-0.47051027875701551</v>
      </c>
      <c r="J49" s="42"/>
      <c r="K49" s="43"/>
    </row>
    <row r="50" spans="1:11" ht="48.75" customHeight="1">
      <c r="A50" s="28" t="str">
        <v>Central USD Akers ES</v>
      </c>
      <c r="B50" s="29" t="str">
        <v>CA</v>
      </c>
      <c r="C50" s="24">
        <v>3489</v>
      </c>
      <c r="D50" s="13">
        <v>0</v>
      </c>
      <c r="E50" s="13">
        <f t="shared" si="0"/>
        <v>3489</v>
      </c>
      <c r="F50" s="19" t="str">
        <f t="shared" si="3"/>
        <v/>
      </c>
      <c r="G50" s="15">
        <v>16463.07</v>
      </c>
      <c r="H50" s="15">
        <f t="shared" si="1"/>
        <v>-12974.07</v>
      </c>
      <c r="I50" s="16">
        <f t="shared" si="2"/>
        <v>-0.78807111917765038</v>
      </c>
      <c r="J50" s="41" t="s">
        <v>293</v>
      </c>
      <c r="K50" s="41" t="s">
        <v>294</v>
      </c>
    </row>
    <row r="51" spans="1:11" ht="29.1">
      <c r="A51" s="30" t="str">
        <v>CUSD - District Office</v>
      </c>
      <c r="B51" s="31" t="str">
        <v>CA</v>
      </c>
      <c r="C51" s="11">
        <v>9626</v>
      </c>
      <c r="D51" s="18">
        <v>14865</v>
      </c>
      <c r="E51" s="18">
        <f t="shared" si="0"/>
        <v>-5239</v>
      </c>
      <c r="F51" s="19">
        <f t="shared" si="3"/>
        <v>-0.35243861419441641</v>
      </c>
      <c r="G51" s="20">
        <v>11926.1</v>
      </c>
      <c r="H51" s="20">
        <f t="shared" si="1"/>
        <v>-2300.1000000000004</v>
      </c>
      <c r="I51" s="19">
        <f t="shared" si="2"/>
        <v>-0.19286271287344567</v>
      </c>
      <c r="J51" s="42" t="s">
        <v>295</v>
      </c>
      <c r="K51" s="102" t="s">
        <v>296</v>
      </c>
    </row>
    <row r="52" spans="1:11" ht="15.6">
      <c r="A52" s="28" t="str">
        <v>Parlier - WTP</v>
      </c>
      <c r="B52" s="29" t="str">
        <v>CA</v>
      </c>
      <c r="C52" s="24">
        <v>13342</v>
      </c>
      <c r="D52" s="13">
        <v>0</v>
      </c>
      <c r="E52" s="13">
        <f t="shared" si="0"/>
        <v>13342</v>
      </c>
      <c r="F52" s="19" t="str">
        <f t="shared" si="3"/>
        <v/>
      </c>
      <c r="G52" s="15">
        <v>26483.65</v>
      </c>
      <c r="H52" s="15">
        <f t="shared" si="1"/>
        <v>-13141.650000000001</v>
      </c>
      <c r="I52" s="16">
        <f t="shared" si="2"/>
        <v>-0.49621747757578738</v>
      </c>
      <c r="J52" s="57" t="s">
        <v>297</v>
      </c>
      <c r="K52" s="85" t="s">
        <v>267</v>
      </c>
    </row>
    <row r="53" spans="1:11" ht="29.1">
      <c r="A53" s="30" t="str">
        <v>Snowline SD - Quail Valley MS</v>
      </c>
      <c r="B53" s="31" t="str">
        <v>CA</v>
      </c>
      <c r="C53" s="11">
        <v>9272</v>
      </c>
      <c r="D53" s="18">
        <v>32231</v>
      </c>
      <c r="E53" s="18">
        <f t="shared" si="0"/>
        <v>-22959</v>
      </c>
      <c r="F53" s="19">
        <f t="shared" si="3"/>
        <v>-0.71232664205268215</v>
      </c>
      <c r="G53" s="20">
        <v>22243.119999999999</v>
      </c>
      <c r="H53" s="20">
        <f t="shared" si="1"/>
        <v>-12971.119999999999</v>
      </c>
      <c r="I53" s="19">
        <f t="shared" si="2"/>
        <v>-0.5831520038555742</v>
      </c>
      <c r="J53" s="102" t="s">
        <v>227</v>
      </c>
      <c r="K53" s="93" t="s">
        <v>298</v>
      </c>
    </row>
    <row r="54" spans="1:11" ht="15.6">
      <c r="A54" s="28" t="str">
        <v>Snowline SD - Serrano HS - Middle Lot</v>
      </c>
      <c r="B54" s="29" t="str">
        <v>CA</v>
      </c>
      <c r="C54" s="24">
        <v>12970</v>
      </c>
      <c r="D54" s="13">
        <v>0</v>
      </c>
      <c r="E54" s="13">
        <f t="shared" si="0"/>
        <v>12970</v>
      </c>
      <c r="F54" s="19" t="str">
        <f t="shared" si="3"/>
        <v/>
      </c>
      <c r="G54" s="15">
        <v>24660.933000000001</v>
      </c>
      <c r="H54" s="15">
        <f t="shared" si="1"/>
        <v>-11690.933000000001</v>
      </c>
      <c r="I54" s="16">
        <f t="shared" si="2"/>
        <v>-0.47406693818113049</v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>
        <v>8110</v>
      </c>
      <c r="D55" s="18">
        <v>22555</v>
      </c>
      <c r="E55" s="18">
        <f t="shared" si="0"/>
        <v>-14445</v>
      </c>
      <c r="F55" s="19">
        <f t="shared" si="3"/>
        <v>-0.64043449346043002</v>
      </c>
      <c r="G55" s="20">
        <v>14627.51</v>
      </c>
      <c r="H55" s="20">
        <f t="shared" si="1"/>
        <v>-6517.51</v>
      </c>
      <c r="I55" s="19">
        <f t="shared" si="2"/>
        <v>-0.44556523974346968</v>
      </c>
      <c r="J55" s="102" t="s">
        <v>228</v>
      </c>
      <c r="K55" s="102" t="s">
        <v>229</v>
      </c>
    </row>
    <row r="56" spans="1:11" ht="43.5">
      <c r="A56" s="28" t="str">
        <v>Ramona - Santa Maria WTP</v>
      </c>
      <c r="B56" s="29" t="str">
        <v>CA</v>
      </c>
      <c r="C56" s="24">
        <v>20931</v>
      </c>
      <c r="D56" s="13">
        <v>72819</v>
      </c>
      <c r="E56" s="13">
        <f t="shared" si="0"/>
        <v>-51888</v>
      </c>
      <c r="F56" s="19">
        <f t="shared" si="3"/>
        <v>-0.71256128208297287</v>
      </c>
      <c r="G56" s="15">
        <v>54074.17</v>
      </c>
      <c r="H56" s="15">
        <f t="shared" si="1"/>
        <v>-33143.17</v>
      </c>
      <c r="I56" s="16">
        <f t="shared" si="2"/>
        <v>-0.61292054968203857</v>
      </c>
      <c r="J56" s="57" t="s">
        <v>299</v>
      </c>
      <c r="K56" s="57" t="s">
        <v>300</v>
      </c>
    </row>
    <row r="57" spans="1:11" ht="29.1">
      <c r="A57" s="30" t="str">
        <v>Kohls - Redding</v>
      </c>
      <c r="B57" s="31" t="str">
        <v>CA</v>
      </c>
      <c r="C57" s="11">
        <v>9474</v>
      </c>
      <c r="D57" s="18">
        <v>0</v>
      </c>
      <c r="E57" s="18">
        <f t="shared" si="0"/>
        <v>9474</v>
      </c>
      <c r="F57" s="19" t="str">
        <f t="shared" si="3"/>
        <v/>
      </c>
      <c r="G57" s="20">
        <v>14269.55</v>
      </c>
      <c r="H57" s="20">
        <f t="shared" si="1"/>
        <v>-4795.5499999999993</v>
      </c>
      <c r="I57" s="19">
        <f t="shared" si="2"/>
        <v>-0.33606876180398115</v>
      </c>
      <c r="J57" s="55" t="s">
        <v>181</v>
      </c>
      <c r="K57" s="55" t="s">
        <v>270</v>
      </c>
    </row>
    <row r="58" spans="1:11" ht="29.1">
      <c r="A58" s="28" t="str">
        <v>Kohls - Salinas</v>
      </c>
      <c r="B58" s="29" t="str">
        <v>CA</v>
      </c>
      <c r="C58" s="24">
        <v>17986</v>
      </c>
      <c r="D58" s="13">
        <v>35844</v>
      </c>
      <c r="E58" s="13">
        <f t="shared" si="0"/>
        <v>-17858</v>
      </c>
      <c r="F58" s="19">
        <f t="shared" si="3"/>
        <v>-0.49821448499051446</v>
      </c>
      <c r="G58" s="15">
        <v>24210.67</v>
      </c>
      <c r="H58" s="15">
        <f t="shared" si="1"/>
        <v>-6224.6699999999983</v>
      </c>
      <c r="I58" s="16">
        <f t="shared" si="2"/>
        <v>-0.25710440892383396</v>
      </c>
      <c r="J58" s="85" t="s">
        <v>183</v>
      </c>
      <c r="K58" s="85" t="s">
        <v>232</v>
      </c>
    </row>
    <row r="59" spans="1:11" ht="15.6">
      <c r="A59" s="30" t="str">
        <v>Kohls - San Bernardino - Central</v>
      </c>
      <c r="B59" s="31" t="str">
        <v>CA</v>
      </c>
      <c r="C59" s="11">
        <v>79567</v>
      </c>
      <c r="D59" s="18">
        <v>0</v>
      </c>
      <c r="E59" s="18">
        <f t="shared" si="0"/>
        <v>79567</v>
      </c>
      <c r="F59" s="19" t="str">
        <f t="shared" si="3"/>
        <v/>
      </c>
      <c r="G59" s="20">
        <v>91451.8</v>
      </c>
      <c r="H59" s="20">
        <f t="shared" si="1"/>
        <v>-11884.800000000003</v>
      </c>
      <c r="I59" s="19">
        <f t="shared" si="2"/>
        <v>-0.12995698280405638</v>
      </c>
      <c r="J59" s="42"/>
      <c r="K59" s="43"/>
    </row>
    <row r="60" spans="1:11" ht="15.6">
      <c r="A60" s="28" t="str">
        <v>Kohls - Sonora</v>
      </c>
      <c r="B60" s="29" t="str">
        <v>CA</v>
      </c>
      <c r="C60" s="24">
        <v>12427</v>
      </c>
      <c r="D60" s="13">
        <v>20399</v>
      </c>
      <c r="E60" s="13">
        <f t="shared" si="0"/>
        <v>-7972</v>
      </c>
      <c r="F60" s="19">
        <f t="shared" si="3"/>
        <v>-0.39080347075837052</v>
      </c>
      <c r="G60" s="15">
        <v>13919.76</v>
      </c>
      <c r="H60" s="15">
        <f t="shared" si="1"/>
        <v>-1492.7600000000002</v>
      </c>
      <c r="I60" s="16">
        <f t="shared" si="2"/>
        <v>-0.10724035471875953</v>
      </c>
      <c r="J60" s="85" t="s">
        <v>185</v>
      </c>
      <c r="K60" s="85" t="s">
        <v>233</v>
      </c>
    </row>
    <row r="61" spans="1:11" ht="15.6">
      <c r="A61" s="30" t="str">
        <v>CUSD - Stratford ES</v>
      </c>
      <c r="B61" s="31" t="str">
        <v>CA</v>
      </c>
      <c r="C61" s="11">
        <v>12227</v>
      </c>
      <c r="D61" s="18">
        <v>13813</v>
      </c>
      <c r="E61" s="18">
        <f t="shared" si="0"/>
        <v>-1586</v>
      </c>
      <c r="F61" s="19">
        <f t="shared" si="3"/>
        <v>-0.11481937305436907</v>
      </c>
      <c r="G61" s="96">
        <v>11403.1</v>
      </c>
      <c r="H61" s="20">
        <f t="shared" si="1"/>
        <v>823.89999999999964</v>
      </c>
      <c r="I61" s="19">
        <f t="shared" si="2"/>
        <v>7.225228227411841E-2</v>
      </c>
      <c r="J61" s="55"/>
      <c r="K61" s="43"/>
    </row>
    <row r="62" spans="1:11" ht="15.6">
      <c r="A62" s="28" t="str">
        <v>Taft - City Hall</v>
      </c>
      <c r="B62" s="29" t="str">
        <v>CA</v>
      </c>
      <c r="C62" s="24">
        <v>2374</v>
      </c>
      <c r="D62" s="13">
        <v>0</v>
      </c>
      <c r="E62" s="13">
        <f t="shared" si="0"/>
        <v>2374</v>
      </c>
      <c r="F62" s="19" t="str">
        <f t="shared" si="3"/>
        <v/>
      </c>
      <c r="G62" s="15">
        <v>4140.82</v>
      </c>
      <c r="H62" s="15">
        <f t="shared" si="1"/>
        <v>-1766.8199999999997</v>
      </c>
      <c r="I62" s="16">
        <f t="shared" si="2"/>
        <v>-0.426683603730662</v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>
        <v>9502</v>
      </c>
      <c r="D63" s="18">
        <v>11274</v>
      </c>
      <c r="E63" s="18">
        <f t="shared" si="0"/>
        <v>-1772</v>
      </c>
      <c r="F63" s="19">
        <f t="shared" si="3"/>
        <v>-0.15717580273194962</v>
      </c>
      <c r="G63" s="20">
        <v>7450.71</v>
      </c>
      <c r="H63" s="20">
        <f t="shared" si="1"/>
        <v>2051.29</v>
      </c>
      <c r="I63" s="19">
        <f t="shared" si="2"/>
        <v>0.27531470155193261</v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>
        <v>5863</v>
      </c>
      <c r="D64" s="13">
        <v>7429</v>
      </c>
      <c r="E64" s="13">
        <f t="shared" si="0"/>
        <v>-1566</v>
      </c>
      <c r="F64" s="19">
        <f t="shared" si="3"/>
        <v>-0.21079553102705614</v>
      </c>
      <c r="G64" s="15">
        <v>4765.84</v>
      </c>
      <c r="H64" s="15">
        <f t="shared" si="1"/>
        <v>1097.1599999999999</v>
      </c>
      <c r="I64" s="16">
        <f t="shared" si="2"/>
        <v>0.23021335168616652</v>
      </c>
      <c r="J64" s="41"/>
      <c r="K64" s="41"/>
    </row>
    <row r="65" spans="1:11" ht="36.75" customHeight="1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 t="str">
        <f t="shared" si="3"/>
        <v/>
      </c>
      <c r="G65" s="20">
        <v>32761.61</v>
      </c>
      <c r="H65" s="20">
        <f t="shared" si="1"/>
        <v>-32761.61</v>
      </c>
      <c r="I65" s="19">
        <f t="shared" si="2"/>
        <v>-1</v>
      </c>
      <c r="J65" s="55" t="s">
        <v>301</v>
      </c>
      <c r="K65" s="55" t="s">
        <v>302</v>
      </c>
    </row>
    <row r="66" spans="1:11" ht="29.1">
      <c r="A66" s="28" t="str">
        <v>CDCR - CA Correctional Institution</v>
      </c>
      <c r="B66" s="29" t="str">
        <v>CA</v>
      </c>
      <c r="C66" s="24">
        <v>94353</v>
      </c>
      <c r="D66" s="13">
        <v>0</v>
      </c>
      <c r="E66" s="13">
        <f t="shared" si="0"/>
        <v>94353</v>
      </c>
      <c r="F66" s="19" t="str">
        <f t="shared" si="3"/>
        <v/>
      </c>
      <c r="G66" s="15">
        <v>100372.24</v>
      </c>
      <c r="H66" s="15">
        <f t="shared" si="1"/>
        <v>-6019.2400000000052</v>
      </c>
      <c r="I66" s="16">
        <f t="shared" si="2"/>
        <v>-5.9969170758767613E-2</v>
      </c>
      <c r="J66" s="57" t="s">
        <v>303</v>
      </c>
      <c r="K66" s="57" t="s">
        <v>304</v>
      </c>
    </row>
    <row r="67" spans="1:11" ht="43.5">
      <c r="A67" s="30" t="str">
        <v>CDCR - CA Correctional Institution II</v>
      </c>
      <c r="B67" s="31" t="str">
        <v>CA</v>
      </c>
      <c r="C67" s="11">
        <v>83059</v>
      </c>
      <c r="D67" s="18">
        <v>136968</v>
      </c>
      <c r="E67" s="18">
        <f t="shared" si="0"/>
        <v>-53909</v>
      </c>
      <c r="F67" s="19">
        <f t="shared" si="3"/>
        <v>-0.39358828339466151</v>
      </c>
      <c r="G67" s="20">
        <v>157358.66200000001</v>
      </c>
      <c r="H67" s="20">
        <f t="shared" si="1"/>
        <v>-74299.662000000011</v>
      </c>
      <c r="I67" s="19">
        <f t="shared" si="2"/>
        <v>-0.4721676014250808</v>
      </c>
      <c r="J67" s="55" t="s">
        <v>305</v>
      </c>
      <c r="K67" s="55" t="s">
        <v>306</v>
      </c>
    </row>
    <row r="68" spans="1:11" ht="15.6">
      <c r="A68" s="28" t="str">
        <v>Snowline SD - Vista Verde ES</v>
      </c>
      <c r="B68" s="29" t="str">
        <v>CA</v>
      </c>
      <c r="C68" s="24">
        <v>13275</v>
      </c>
      <c r="D68" s="13">
        <v>22232</v>
      </c>
      <c r="E68" s="13">
        <f t="shared" si="0"/>
        <v>-8957</v>
      </c>
      <c r="F68" s="19">
        <f t="shared" si="3"/>
        <v>-0.40288772939906442</v>
      </c>
      <c r="G68" s="15">
        <v>16062.15</v>
      </c>
      <c r="H68" s="15">
        <f t="shared" si="1"/>
        <v>-2787.1499999999996</v>
      </c>
      <c r="I68" s="16">
        <f t="shared" si="2"/>
        <v>-0.17352284719044458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I4:I100 F4:F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68"/>
  <sheetViews>
    <sheetView workbookViewId="0">
      <pane ySplit="3" topLeftCell="A43" activePane="bottomLeft" state="frozen"/>
      <selection pane="bottomLeft" activeCell="A43" sqref="A4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307</v>
      </c>
      <c r="B1" t="s">
        <v>308</v>
      </c>
    </row>
    <row r="3" spans="1:12" ht="12.6">
      <c r="A3" t="s">
        <v>309</v>
      </c>
      <c r="B3" t="s">
        <v>3</v>
      </c>
      <c r="C3" t="s">
        <v>4</v>
      </c>
      <c r="D3" t="s">
        <v>310</v>
      </c>
      <c r="E3" s="2" t="s">
        <v>311</v>
      </c>
    </row>
    <row r="4" spans="1:12" ht="14.45">
      <c r="A4" s="50" t="s">
        <v>312</v>
      </c>
      <c r="B4" t="s">
        <v>313</v>
      </c>
      <c r="C4" s="47" t="s">
        <v>314</v>
      </c>
      <c r="D4" s="46" t="s">
        <v>315</v>
      </c>
      <c r="E4" t="s">
        <v>316</v>
      </c>
      <c r="G4" s="3"/>
    </row>
    <row r="5" spans="1:12" ht="14.45">
      <c r="A5" s="50" t="s">
        <v>317</v>
      </c>
      <c r="B5" t="s">
        <v>318</v>
      </c>
      <c r="C5" s="47" t="s">
        <v>319</v>
      </c>
      <c r="D5" s="46" t="s">
        <v>315</v>
      </c>
      <c r="E5" t="s">
        <v>316</v>
      </c>
      <c r="G5" s="3"/>
    </row>
    <row r="6" spans="1:12" ht="14.45">
      <c r="A6" s="50" t="s">
        <v>320</v>
      </c>
      <c r="B6" t="s">
        <v>321</v>
      </c>
      <c r="C6" s="47" t="s">
        <v>322</v>
      </c>
      <c r="D6" s="46" t="s">
        <v>315</v>
      </c>
      <c r="E6" t="s">
        <v>316</v>
      </c>
      <c r="G6" s="3"/>
    </row>
    <row r="7" spans="1:12" ht="12.75" customHeight="1">
      <c r="A7" s="50" t="s">
        <v>323</v>
      </c>
      <c r="B7" t="s">
        <v>324</v>
      </c>
      <c r="C7" s="47" t="s">
        <v>325</v>
      </c>
      <c r="D7" s="46" t="s">
        <v>315</v>
      </c>
      <c r="E7" t="s">
        <v>316</v>
      </c>
    </row>
    <row r="8" spans="1:12" ht="12.75" customHeight="1">
      <c r="A8" s="50" t="s">
        <v>326</v>
      </c>
      <c r="B8" t="s">
        <v>327</v>
      </c>
      <c r="C8" s="47" t="s">
        <v>319</v>
      </c>
      <c r="D8" s="46" t="s">
        <v>315</v>
      </c>
      <c r="E8" t="s">
        <v>316</v>
      </c>
    </row>
    <row r="9" spans="1:12" ht="12.75" customHeight="1">
      <c r="A9" s="50" t="s">
        <v>328</v>
      </c>
      <c r="B9" t="s">
        <v>329</v>
      </c>
      <c r="C9" s="47" t="s">
        <v>314</v>
      </c>
      <c r="D9" s="46" t="s">
        <v>315</v>
      </c>
      <c r="E9" t="s">
        <v>316</v>
      </c>
    </row>
    <row r="10" spans="1:12" ht="12.75" customHeight="1">
      <c r="A10" s="50" t="s">
        <v>330</v>
      </c>
      <c r="B10" t="s">
        <v>331</v>
      </c>
      <c r="C10" s="47" t="s">
        <v>319</v>
      </c>
      <c r="D10" s="46" t="s">
        <v>315</v>
      </c>
      <c r="E10" t="s">
        <v>316</v>
      </c>
      <c r="K10" s="44"/>
      <c r="L10" s="44"/>
    </row>
    <row r="11" spans="1:12" ht="12.75" customHeight="1">
      <c r="A11" s="50" t="s">
        <v>332</v>
      </c>
      <c r="B11" t="s">
        <v>333</v>
      </c>
      <c r="C11" s="47" t="s">
        <v>325</v>
      </c>
      <c r="D11" s="46" t="s">
        <v>315</v>
      </c>
      <c r="E11" t="s">
        <v>316</v>
      </c>
      <c r="K11" s="44"/>
      <c r="L11" s="44"/>
    </row>
    <row r="12" spans="1:12" ht="12.75" customHeight="1">
      <c r="A12" s="50" t="s">
        <v>334</v>
      </c>
      <c r="B12" t="s">
        <v>335</v>
      </c>
      <c r="C12" s="47" t="s">
        <v>336</v>
      </c>
      <c r="D12" s="46" t="s">
        <v>315</v>
      </c>
      <c r="E12" t="s">
        <v>316</v>
      </c>
      <c r="K12" s="44"/>
      <c r="L12" s="44"/>
    </row>
    <row r="13" spans="1:12" ht="12.75" customHeight="1">
      <c r="A13" s="50" t="s">
        <v>337</v>
      </c>
      <c r="B13" t="s">
        <v>338</v>
      </c>
      <c r="C13" s="47" t="s">
        <v>322</v>
      </c>
      <c r="D13" s="46" t="s">
        <v>315</v>
      </c>
      <c r="E13" t="s">
        <v>316</v>
      </c>
      <c r="K13" s="44"/>
      <c r="L13" s="44"/>
    </row>
    <row r="14" spans="1:12" ht="12.75" customHeight="1">
      <c r="A14" s="50" t="s">
        <v>339</v>
      </c>
      <c r="B14" t="s">
        <v>340</v>
      </c>
      <c r="C14" s="47" t="s">
        <v>319</v>
      </c>
      <c r="D14" s="46" t="s">
        <v>315</v>
      </c>
      <c r="E14" t="s">
        <v>316</v>
      </c>
      <c r="K14" s="44"/>
      <c r="L14" s="44"/>
    </row>
    <row r="15" spans="1:12" ht="12.75" customHeight="1">
      <c r="A15" s="50" t="s">
        <v>341</v>
      </c>
      <c r="B15" t="s">
        <v>342</v>
      </c>
      <c r="C15" s="47" t="s">
        <v>322</v>
      </c>
      <c r="D15" s="46" t="s">
        <v>315</v>
      </c>
      <c r="E15" t="s">
        <v>316</v>
      </c>
      <c r="K15" s="44"/>
      <c r="L15" s="44"/>
    </row>
    <row r="16" spans="1:12" ht="12.75" customHeight="1">
      <c r="A16" s="50" t="s">
        <v>343</v>
      </c>
      <c r="B16" t="s">
        <v>344</v>
      </c>
      <c r="C16" s="47" t="s">
        <v>319</v>
      </c>
      <c r="D16" s="46" t="s">
        <v>315</v>
      </c>
      <c r="E16" t="s">
        <v>316</v>
      </c>
      <c r="K16" s="44"/>
      <c r="L16" s="44"/>
    </row>
    <row r="17" spans="1:12" ht="12.75" customHeight="1">
      <c r="A17" s="50" t="s">
        <v>345</v>
      </c>
      <c r="B17" t="s">
        <v>346</v>
      </c>
      <c r="C17" s="47" t="s">
        <v>319</v>
      </c>
      <c r="D17" s="46" t="s">
        <v>315</v>
      </c>
      <c r="E17" t="s">
        <v>316</v>
      </c>
      <c r="K17" s="44"/>
      <c r="L17" s="44"/>
    </row>
    <row r="18" spans="1:12" ht="12.75" customHeight="1">
      <c r="A18" s="50" t="s">
        <v>347</v>
      </c>
      <c r="B18" t="s">
        <v>348</v>
      </c>
      <c r="C18" s="47" t="s">
        <v>319</v>
      </c>
      <c r="D18" s="46" t="s">
        <v>315</v>
      </c>
      <c r="E18" t="s">
        <v>316</v>
      </c>
      <c r="K18" s="44"/>
      <c r="L18" s="44"/>
    </row>
    <row r="19" spans="1:12" ht="12.75" customHeight="1">
      <c r="A19" s="50" t="s">
        <v>349</v>
      </c>
      <c r="B19" t="s">
        <v>350</v>
      </c>
      <c r="C19" s="47" t="s">
        <v>319</v>
      </c>
      <c r="D19" s="46" t="s">
        <v>315</v>
      </c>
      <c r="E19" t="s">
        <v>316</v>
      </c>
      <c r="K19" s="44"/>
      <c r="L19" s="44"/>
    </row>
    <row r="20" spans="1:12" ht="12.75" customHeight="1">
      <c r="A20" s="50" t="s">
        <v>351</v>
      </c>
      <c r="B20" t="s">
        <v>352</v>
      </c>
      <c r="C20" s="47" t="s">
        <v>322</v>
      </c>
      <c r="D20" s="46" t="s">
        <v>315</v>
      </c>
      <c r="E20" t="s">
        <v>316</v>
      </c>
      <c r="K20" s="44"/>
      <c r="L20" s="44"/>
    </row>
    <row r="21" spans="1:12" ht="12.75" customHeight="1">
      <c r="A21" s="50" t="s">
        <v>353</v>
      </c>
      <c r="B21" t="s">
        <v>354</v>
      </c>
      <c r="C21" s="47" t="s">
        <v>325</v>
      </c>
      <c r="D21" s="46" t="s">
        <v>315</v>
      </c>
      <c r="E21" t="s">
        <v>316</v>
      </c>
      <c r="K21" s="44"/>
      <c r="L21" s="44"/>
    </row>
    <row r="22" spans="1:12" ht="12.75" customHeight="1">
      <c r="A22" s="50" t="s">
        <v>355</v>
      </c>
      <c r="B22" t="s">
        <v>356</v>
      </c>
      <c r="C22" s="47" t="s">
        <v>319</v>
      </c>
      <c r="D22" s="46" t="s">
        <v>315</v>
      </c>
      <c r="E22" t="s">
        <v>316</v>
      </c>
      <c r="K22" s="44"/>
      <c r="L22" s="44"/>
    </row>
    <row r="23" spans="1:12" ht="12.75" customHeight="1">
      <c r="A23" s="50" t="s">
        <v>357</v>
      </c>
      <c r="B23" t="s">
        <v>358</v>
      </c>
      <c r="C23" s="47" t="s">
        <v>319</v>
      </c>
      <c r="D23" s="46" t="s">
        <v>315</v>
      </c>
      <c r="E23" t="s">
        <v>316</v>
      </c>
      <c r="K23" s="44"/>
      <c r="L23" s="44"/>
    </row>
    <row r="24" spans="1:12" ht="12.75" customHeight="1">
      <c r="A24" s="50" t="s">
        <v>359</v>
      </c>
      <c r="B24" t="s">
        <v>360</v>
      </c>
      <c r="C24" s="47" t="s">
        <v>322</v>
      </c>
      <c r="D24" s="46" t="s">
        <v>315</v>
      </c>
      <c r="E24" t="s">
        <v>316</v>
      </c>
      <c r="K24" s="44"/>
      <c r="L24" s="44"/>
    </row>
    <row r="25" spans="1:12" ht="12.75" customHeight="1">
      <c r="A25" s="50" t="s">
        <v>361</v>
      </c>
      <c r="B25" t="s">
        <v>362</v>
      </c>
      <c r="C25" s="47" t="s">
        <v>314</v>
      </c>
      <c r="D25" s="46" t="s">
        <v>315</v>
      </c>
      <c r="E25" t="s">
        <v>316</v>
      </c>
      <c r="K25" s="44"/>
      <c r="L25" s="44"/>
    </row>
    <row r="26" spans="1:12" ht="12.75" customHeight="1">
      <c r="A26" t="s">
        <v>363</v>
      </c>
      <c r="B26" t="s">
        <v>364</v>
      </c>
      <c r="C26" s="47" t="s">
        <v>365</v>
      </c>
      <c r="D26" t="s">
        <v>315</v>
      </c>
      <c r="E26" t="s">
        <v>316</v>
      </c>
      <c r="K26" s="44"/>
      <c r="L26" s="44"/>
    </row>
    <row r="27" spans="1:12" ht="12.75" customHeight="1">
      <c r="A27" t="s">
        <v>366</v>
      </c>
      <c r="B27" t="s">
        <v>367</v>
      </c>
      <c r="C27" s="47" t="s">
        <v>365</v>
      </c>
      <c r="D27" t="s">
        <v>315</v>
      </c>
      <c r="E27" t="s">
        <v>316</v>
      </c>
      <c r="K27" s="44"/>
      <c r="L27" s="44"/>
    </row>
    <row r="28" spans="1:12" ht="12.75" customHeight="1">
      <c r="A28" t="s">
        <v>368</v>
      </c>
      <c r="B28" t="s">
        <v>369</v>
      </c>
      <c r="C28" s="47" t="s">
        <v>365</v>
      </c>
      <c r="D28" t="s">
        <v>315</v>
      </c>
      <c r="E28" t="s">
        <v>316</v>
      </c>
      <c r="K28" s="44"/>
      <c r="L28" s="44"/>
    </row>
    <row r="29" spans="1:12" ht="12.75" customHeight="1">
      <c r="A29" t="s">
        <v>370</v>
      </c>
      <c r="B29" t="s">
        <v>371</v>
      </c>
      <c r="C29" s="47" t="s">
        <v>365</v>
      </c>
      <c r="D29" t="s">
        <v>315</v>
      </c>
      <c r="E29" t="s">
        <v>316</v>
      </c>
      <c r="K29" s="44"/>
      <c r="L29" s="44"/>
    </row>
    <row r="30" spans="1:12" ht="12.75" customHeight="1">
      <c r="A30" t="s">
        <v>372</v>
      </c>
      <c r="B30" t="s">
        <v>373</v>
      </c>
      <c r="C30" s="47" t="s">
        <v>365</v>
      </c>
      <c r="D30" t="s">
        <v>315</v>
      </c>
      <c r="E30" t="s">
        <v>316</v>
      </c>
      <c r="K30" s="44"/>
      <c r="L30" s="44"/>
    </row>
    <row r="31" spans="1:12" ht="12.75" customHeight="1">
      <c r="A31" t="s">
        <v>374</v>
      </c>
      <c r="B31" t="s">
        <v>375</v>
      </c>
      <c r="C31" s="47" t="s">
        <v>365</v>
      </c>
      <c r="D31" t="s">
        <v>315</v>
      </c>
      <c r="E31" t="s">
        <v>316</v>
      </c>
      <c r="K31" s="44"/>
      <c r="L31" s="44"/>
    </row>
    <row r="32" spans="1:12" ht="12.75" customHeight="1">
      <c r="A32" t="s">
        <v>376</v>
      </c>
      <c r="B32" t="s">
        <v>377</v>
      </c>
      <c r="C32" s="47" t="s">
        <v>365</v>
      </c>
      <c r="D32" t="s">
        <v>315</v>
      </c>
      <c r="E32" t="s">
        <v>316</v>
      </c>
    </row>
    <row r="33" spans="1:5" ht="12.75" customHeight="1">
      <c r="A33" t="s">
        <v>378</v>
      </c>
      <c r="B33" t="s">
        <v>379</v>
      </c>
      <c r="C33" s="47" t="s">
        <v>365</v>
      </c>
      <c r="D33" t="s">
        <v>315</v>
      </c>
      <c r="E33" t="s">
        <v>316</v>
      </c>
    </row>
    <row r="34" spans="1:5" ht="12.75" customHeight="1">
      <c r="A34" t="s">
        <v>380</v>
      </c>
      <c r="B34" t="s">
        <v>381</v>
      </c>
      <c r="C34" s="47" t="s">
        <v>365</v>
      </c>
      <c r="D34" t="s">
        <v>315</v>
      </c>
      <c r="E34" t="s">
        <v>316</v>
      </c>
    </row>
    <row r="35" spans="1:5" ht="12.75" customHeight="1">
      <c r="A35" t="s">
        <v>382</v>
      </c>
      <c r="B35" t="s">
        <v>383</v>
      </c>
      <c r="C35" s="47" t="s">
        <v>365</v>
      </c>
      <c r="D35" t="s">
        <v>315</v>
      </c>
      <c r="E35" t="s">
        <v>316</v>
      </c>
    </row>
    <row r="36" spans="1:5" ht="12.75" customHeight="1">
      <c r="A36" t="s">
        <v>384</v>
      </c>
      <c r="B36" t="s">
        <v>385</v>
      </c>
      <c r="C36" s="47" t="s">
        <v>365</v>
      </c>
      <c r="D36" t="s">
        <v>315</v>
      </c>
      <c r="E36" t="s">
        <v>316</v>
      </c>
    </row>
    <row r="37" spans="1:5" ht="12.75" customHeight="1">
      <c r="A37" t="s">
        <v>386</v>
      </c>
      <c r="B37" t="s">
        <v>387</v>
      </c>
      <c r="C37" s="47" t="s">
        <v>365</v>
      </c>
      <c r="D37" t="s">
        <v>315</v>
      </c>
      <c r="E37" t="s">
        <v>316</v>
      </c>
    </row>
    <row r="38" spans="1:5" ht="12.75" customHeight="1">
      <c r="A38" t="s">
        <v>388</v>
      </c>
      <c r="B38" t="s">
        <v>389</v>
      </c>
      <c r="C38" s="47" t="s">
        <v>365</v>
      </c>
      <c r="D38" t="s">
        <v>315</v>
      </c>
      <c r="E38" t="s">
        <v>316</v>
      </c>
    </row>
    <row r="39" spans="1:5" ht="12.75" customHeight="1">
      <c r="A39" t="s">
        <v>390</v>
      </c>
      <c r="B39" t="s">
        <v>391</v>
      </c>
      <c r="C39" s="47" t="s">
        <v>365</v>
      </c>
      <c r="D39" t="s">
        <v>315</v>
      </c>
      <c r="E39" t="s">
        <v>316</v>
      </c>
    </row>
    <row r="40" spans="1:5" ht="12.75" customHeight="1">
      <c r="A40" t="s">
        <v>392</v>
      </c>
      <c r="B40" t="s">
        <v>393</v>
      </c>
      <c r="C40" s="47" t="s">
        <v>365</v>
      </c>
      <c r="D40" t="s">
        <v>315</v>
      </c>
      <c r="E40" t="s">
        <v>316</v>
      </c>
    </row>
    <row r="41" spans="1:5" ht="12.75" customHeight="1">
      <c r="A41" t="s">
        <v>394</v>
      </c>
      <c r="B41" t="s">
        <v>395</v>
      </c>
      <c r="C41" s="47" t="s">
        <v>365</v>
      </c>
      <c r="E41" t="s">
        <v>316</v>
      </c>
    </row>
    <row r="42" spans="1:5" ht="12.75" customHeight="1">
      <c r="A42" t="s">
        <v>396</v>
      </c>
      <c r="B42" t="s">
        <v>397</v>
      </c>
      <c r="C42" s="47" t="s">
        <v>365</v>
      </c>
      <c r="D42" t="s">
        <v>315</v>
      </c>
      <c r="E42" t="s">
        <v>316</v>
      </c>
    </row>
    <row r="43" spans="1:5" ht="12.75" customHeight="1">
      <c r="A43" t="s">
        <v>398</v>
      </c>
      <c r="B43" t="s">
        <v>399</v>
      </c>
      <c r="C43" s="47" t="s">
        <v>365</v>
      </c>
      <c r="E43" t="s">
        <v>316</v>
      </c>
    </row>
    <row r="44" spans="1:5" ht="12.75" customHeight="1">
      <c r="A44" t="s">
        <v>400</v>
      </c>
      <c r="B44" t="s">
        <v>401</v>
      </c>
      <c r="C44" s="47" t="s">
        <v>365</v>
      </c>
      <c r="D44" t="s">
        <v>315</v>
      </c>
      <c r="E44" t="s">
        <v>316</v>
      </c>
    </row>
    <row r="45" spans="1:5" ht="12.75" customHeight="1">
      <c r="A45" t="s">
        <v>402</v>
      </c>
      <c r="B45" t="s">
        <v>403</v>
      </c>
      <c r="C45" s="47" t="s">
        <v>365</v>
      </c>
      <c r="D45" t="s">
        <v>315</v>
      </c>
      <c r="E45" t="s">
        <v>316</v>
      </c>
    </row>
    <row r="46" spans="1:5" ht="12.75" customHeight="1">
      <c r="A46" t="s">
        <v>404</v>
      </c>
      <c r="B46" t="s">
        <v>405</v>
      </c>
      <c r="C46" s="47" t="s">
        <v>365</v>
      </c>
      <c r="D46" t="s">
        <v>315</v>
      </c>
      <c r="E46" t="s">
        <v>316</v>
      </c>
    </row>
    <row r="47" spans="1:5" ht="12.75" customHeight="1">
      <c r="A47" t="s">
        <v>406</v>
      </c>
      <c r="B47" t="s">
        <v>407</v>
      </c>
      <c r="C47" s="47" t="s">
        <v>365</v>
      </c>
      <c r="D47" t="s">
        <v>315</v>
      </c>
      <c r="E47" t="s">
        <v>316</v>
      </c>
    </row>
    <row r="48" spans="1:5" ht="12.75" customHeight="1">
      <c r="A48" t="s">
        <v>408</v>
      </c>
      <c r="B48" t="s">
        <v>408</v>
      </c>
      <c r="C48" s="47" t="s">
        <v>365</v>
      </c>
      <c r="D48" t="s">
        <v>315</v>
      </c>
      <c r="E48" t="s">
        <v>316</v>
      </c>
    </row>
    <row r="49" spans="1:5" ht="12.75" customHeight="1">
      <c r="A49" t="s">
        <v>409</v>
      </c>
      <c r="B49" t="s">
        <v>410</v>
      </c>
      <c r="C49" s="47" t="s">
        <v>365</v>
      </c>
      <c r="E49" t="s">
        <v>316</v>
      </c>
    </row>
    <row r="50" spans="1:5" ht="12.75" customHeight="1">
      <c r="A50" t="s">
        <v>411</v>
      </c>
      <c r="B50" t="s">
        <v>412</v>
      </c>
      <c r="C50" s="47" t="s">
        <v>365</v>
      </c>
      <c r="E50" t="s">
        <v>316</v>
      </c>
    </row>
    <row r="51" spans="1:5" ht="12.75" customHeight="1">
      <c r="A51" t="s">
        <v>413</v>
      </c>
      <c r="B51" t="s">
        <v>414</v>
      </c>
      <c r="C51" s="47" t="s">
        <v>365</v>
      </c>
      <c r="D51" t="s">
        <v>315</v>
      </c>
      <c r="E51" t="s">
        <v>316</v>
      </c>
    </row>
    <row r="52" spans="1:5" ht="12.75" customHeight="1">
      <c r="A52" t="s">
        <v>415</v>
      </c>
      <c r="B52" t="s">
        <v>416</v>
      </c>
      <c r="C52" s="47" t="s">
        <v>365</v>
      </c>
      <c r="E52" t="s">
        <v>316</v>
      </c>
    </row>
    <row r="53" spans="1:5" ht="12.75" customHeight="1">
      <c r="A53" t="s">
        <v>417</v>
      </c>
      <c r="B53" t="s">
        <v>418</v>
      </c>
      <c r="C53" s="47" t="s">
        <v>365</v>
      </c>
      <c r="D53" t="s">
        <v>315</v>
      </c>
      <c r="E53" t="s">
        <v>316</v>
      </c>
    </row>
    <row r="54" spans="1:5" ht="12.75" customHeight="1">
      <c r="A54" t="s">
        <v>419</v>
      </c>
      <c r="B54" t="s">
        <v>420</v>
      </c>
      <c r="C54" s="47" t="s">
        <v>365</v>
      </c>
      <c r="E54" t="s">
        <v>316</v>
      </c>
    </row>
    <row r="55" spans="1:5" ht="12.75" customHeight="1">
      <c r="A55" t="s">
        <v>421</v>
      </c>
      <c r="B55" t="s">
        <v>422</v>
      </c>
      <c r="C55" s="47" t="s">
        <v>365</v>
      </c>
      <c r="D55" t="s">
        <v>315</v>
      </c>
      <c r="E55" t="s">
        <v>316</v>
      </c>
    </row>
    <row r="56" spans="1:5" ht="12.75" customHeight="1">
      <c r="A56" t="s">
        <v>423</v>
      </c>
      <c r="B56" t="s">
        <v>424</v>
      </c>
      <c r="C56" s="47" t="s">
        <v>365</v>
      </c>
      <c r="D56" t="s">
        <v>315</v>
      </c>
      <c r="E56" t="s">
        <v>316</v>
      </c>
    </row>
    <row r="57" spans="1:5" ht="12.75" customHeight="1">
      <c r="A57" t="s">
        <v>425</v>
      </c>
      <c r="B57" t="s">
        <v>426</v>
      </c>
      <c r="C57" s="47" t="s">
        <v>365</v>
      </c>
      <c r="D57" t="s">
        <v>315</v>
      </c>
      <c r="E57" t="s">
        <v>316</v>
      </c>
    </row>
    <row r="58" spans="1:5" ht="12.75" customHeight="1">
      <c r="A58" t="s">
        <v>427</v>
      </c>
      <c r="B58" t="s">
        <v>428</v>
      </c>
      <c r="C58" s="47" t="s">
        <v>365</v>
      </c>
      <c r="D58" t="s">
        <v>315</v>
      </c>
      <c r="E58" t="s">
        <v>316</v>
      </c>
    </row>
    <row r="59" spans="1:5" ht="12.75" customHeight="1">
      <c r="A59" t="s">
        <v>429</v>
      </c>
      <c r="B59" t="s">
        <v>430</v>
      </c>
      <c r="C59" s="47" t="s">
        <v>365</v>
      </c>
      <c r="E59" t="s">
        <v>316</v>
      </c>
    </row>
    <row r="60" spans="1:5" ht="12.75" customHeight="1">
      <c r="A60" t="s">
        <v>431</v>
      </c>
      <c r="B60" t="s">
        <v>432</v>
      </c>
      <c r="C60" s="47" t="s">
        <v>365</v>
      </c>
      <c r="D60" t="s">
        <v>315</v>
      </c>
      <c r="E60" t="s">
        <v>316</v>
      </c>
    </row>
    <row r="61" spans="1:5" ht="12.75" customHeight="1">
      <c r="A61" t="s">
        <v>433</v>
      </c>
      <c r="B61" t="s">
        <v>434</v>
      </c>
      <c r="C61" s="47" t="s">
        <v>365</v>
      </c>
      <c r="D61" t="s">
        <v>315</v>
      </c>
      <c r="E61" t="s">
        <v>316</v>
      </c>
    </row>
    <row r="62" spans="1:5" ht="12.75" customHeight="1">
      <c r="A62" t="s">
        <v>435</v>
      </c>
      <c r="B62" t="s">
        <v>436</v>
      </c>
      <c r="C62" s="47" t="s">
        <v>365</v>
      </c>
      <c r="D62" t="s">
        <v>315</v>
      </c>
      <c r="E62" t="s">
        <v>316</v>
      </c>
    </row>
    <row r="63" spans="1:5" ht="12.75" customHeight="1">
      <c r="A63" t="s">
        <v>437</v>
      </c>
      <c r="B63" t="s">
        <v>438</v>
      </c>
      <c r="C63" s="47" t="s">
        <v>365</v>
      </c>
      <c r="D63" t="s">
        <v>315</v>
      </c>
      <c r="E63" t="s">
        <v>316</v>
      </c>
    </row>
    <row r="64" spans="1:5" ht="12.75" customHeight="1">
      <c r="A64" t="s">
        <v>439</v>
      </c>
      <c r="B64" t="s">
        <v>440</v>
      </c>
      <c r="C64" s="47" t="s">
        <v>365</v>
      </c>
      <c r="D64" t="s">
        <v>315</v>
      </c>
      <c r="E64" t="s">
        <v>316</v>
      </c>
    </row>
    <row r="65" spans="1:5" ht="12.75" customHeight="1">
      <c r="A65" t="s">
        <v>392</v>
      </c>
      <c r="B65" t="s">
        <v>441</v>
      </c>
      <c r="C65" s="47" t="s">
        <v>365</v>
      </c>
      <c r="E65" t="s">
        <v>316</v>
      </c>
    </row>
    <row r="66" spans="1:5" ht="12.75" customHeight="1">
      <c r="A66" t="s">
        <v>442</v>
      </c>
      <c r="B66" t="s">
        <v>443</v>
      </c>
      <c r="C66" s="47" t="s">
        <v>365</v>
      </c>
      <c r="E66" t="s">
        <v>316</v>
      </c>
    </row>
    <row r="67" spans="1:5" ht="12.75" customHeight="1">
      <c r="A67" t="s">
        <v>444</v>
      </c>
      <c r="B67" t="s">
        <v>445</v>
      </c>
      <c r="C67" s="47" t="s">
        <v>365</v>
      </c>
      <c r="D67" t="s">
        <v>315</v>
      </c>
      <c r="E67" t="s">
        <v>316</v>
      </c>
    </row>
    <row r="68" spans="1:5" ht="12.75" customHeight="1">
      <c r="A68" t="s">
        <v>446</v>
      </c>
      <c r="B68" t="s">
        <v>447</v>
      </c>
      <c r="C68" s="47" t="s">
        <v>365</v>
      </c>
      <c r="D68" t="s">
        <v>315</v>
      </c>
      <c r="E68" t="s">
        <v>316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83034EC3-2660-4AAC-8F6B-92A8844512E9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Brown, David</cp:lastModifiedBy>
  <cp:revision/>
  <dcterms:created xsi:type="dcterms:W3CDTF">2021-01-01T16:39:53Z</dcterms:created>
  <dcterms:modified xsi:type="dcterms:W3CDTF">2025-07-08T21:09:20Z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2024-09-09T14:54:19Z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aa69ef55-c4c8-4461-ae67-71b5fea80fc0</vt:lpwstr>
  </property>
  <property fmtid="{D5CDD505-2E9C-101B-9397-08002B2CF9AE}" pid="9" name="MSIP_Label_9d817c99-0b37-4a07-8277-96aa1f96b74b_ContentBits">
    <vt:lpwstr>0</vt:lpwstr>
  </property>
</Properties>
</file>