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9" documentId="13_ncr:1_{16132391-383C-4AB4-A745-8BBC2851F8C9}" xr6:coauthVersionLast="47" xr6:coauthVersionMax="47" xr10:uidLastSave="{8A5AAC2E-B9E4-48ED-9C16-42B53F4EAFDE}"/>
  <bookViews>
    <workbookView xWindow="-108" yWindow="-108" windowWidth="23256" windowHeight="12456" tabRatio="866" firstSheet="12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1" l="1"/>
  <c r="G4" i="29"/>
  <c r="G4" i="18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H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<sst xmlns="http://schemas.openxmlformats.org/spreadsheetml/2006/main" count="239" uniqueCount="51">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</sst>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I8" sqref="I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SUM(C4:C87)</f>
        <v>2622507</v>
      </c>
      <c r="D2" s="6">
        <f>SUM(D4:D87)</f>
        <v>0</v>
      </c>
      <c r="E2" s="6">
        <f>C2-D2</f>
        <v>2622507</v>
      </c>
      <c r="F2" s="7">
        <f>IFERROR(E2/D2, 0)</f>
        <v>0</v>
      </c>
      <c r="G2" s="6">
        <f>SUM(G4:G87)</f>
        <v>0</v>
      </c>
      <c r="H2" s="8">
        <f>C2-G2</f>
        <v>2622507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2622507</v>
      </c>
      <c r="D4" s="13">
        <f>SUM('1st Qtr'!D4, '2nd Qtr'!D4, '3rd Qtr'!D4, '4th Qtr'!D4)</f>
        <v>0</v>
      </c>
      <c r="E4" s="13">
        <f>IF(AND(ISNUMBER(C4),ISNUMBER(D4)), C4-D4, "")</f>
        <v>2622507</v>
      </c>
      <c r="F4" s="14" t="str">
        <f>IFERROR(E4/D4, "")</f>
        <v/>
      </c>
      <c r="G4" s="15">
        <v>0</v>
      </c>
      <c r="H4" s="15">
        <f>SUM('1st Qtr'!H4, '2nd Qtr'!H4, '3rd Qtr'!H4, '4th Qtr'!H4)</f>
        <v>2622507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SUM(C4:C87)</f>
        <v>952659</v>
      </c>
      <c r="D2" s="6">
        <f>SUM(D4:D87)</f>
        <v>0</v>
      </c>
      <c r="E2" s="6">
        <f>C2-D2</f>
        <v>952659</v>
      </c>
      <c r="F2" s="7">
        <f>IFERROR(E2/D2, 0)</f>
        <v>0</v>
      </c>
      <c r="G2" s="6">
        <f>SUM(G4:G87)</f>
        <v>0</v>
      </c>
      <c r="H2" s="8">
        <f>C2-G2</f>
        <v>952659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952659</v>
      </c>
      <c r="D4" s="13">
        <f>SUM(Apr!D4, May!D4, Jun!D4)</f>
        <v>0</v>
      </c>
      <c r="E4" s="13">
        <f>IF(AND(ISNUMBER(C4),ISNUMBER(D4)), C4-D4, "")</f>
        <v>952659</v>
      </c>
      <c r="F4" s="14" t="str">
        <f>IFERROR(E4/D4, "")</f>
        <v/>
      </c>
      <c r="G4" s="15">
        <f>SUM(Apr!G4,May!G4,Jun!G4)</f>
        <v>0</v>
      </c>
      <c r="H4" s="15">
        <f>SUM(Apr!H4, May!H4, Jun!H4)</f>
        <v>952659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SUM(C4:C87)</f>
        <v>855885</v>
      </c>
      <c r="D2" s="6">
        <f>SUM(D4:D87)</f>
        <v>0</v>
      </c>
      <c r="E2" s="6">
        <f>C2-D2</f>
        <v>855885</v>
      </c>
      <c r="F2" s="7">
        <f>IFERROR(E2/D2, 0)</f>
        <v>0</v>
      </c>
      <c r="G2" s="6">
        <f>SUM(G4:G87)</f>
        <v>0</v>
      </c>
      <c r="H2" s="8">
        <f>C2-G2</f>
        <v>855885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855885</v>
      </c>
      <c r="D4" s="13">
        <f>SUM(Jul!D4, Aug!D4, Sep!D4)</f>
        <v>0</v>
      </c>
      <c r="E4" s="13">
        <f>IF(AND(ISNUMBER(C4),ISNUMBER(D4)), C4-D4, "")</f>
        <v>855885</v>
      </c>
      <c r="F4" s="14" t="str">
        <f>IFERROR(E4/D4, "")</f>
        <v/>
      </c>
      <c r="G4" s="15">
        <f>SUM(Jul!G4, Aug!G4, Sep!G4)</f>
        <v>0</v>
      </c>
      <c r="H4" s="15">
        <f>SUM(Jul!H4, Aug!H4, Sep!H4)</f>
        <v>855885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bottomRight" activeCell="D27" sqref="D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SUM(C4:C87)</f>
        <v>262280</v>
      </c>
      <c r="D2" s="6">
        <f>SUM(D4:D87)</f>
        <v>0</v>
      </c>
      <c r="E2" s="6">
        <f>C2-D2</f>
        <v>262280</v>
      </c>
      <c r="F2" s="7">
        <f>IFERROR(E2/D2, 0)</f>
        <v>0</v>
      </c>
      <c r="G2" s="6">
        <f>SUM(G4:G87)</f>
        <v>0</v>
      </c>
      <c r="H2" s="8">
        <f>C2-G2</f>
        <v>262280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262280</v>
      </c>
      <c r="D4" s="13">
        <f>SUM(Oct!D4, Nov!D4, Dec!D4)</f>
        <v>0</v>
      </c>
      <c r="E4" s="13">
        <f>IF(AND(ISNUMBER(C4),ISNUMBER(D4)), C4-D4, "")</f>
        <v>262280</v>
      </c>
      <c r="F4" s="14" t="str">
        <f>IFERROR(E4/D4, "")</f>
        <v/>
      </c>
      <c r="G4" s="15"/>
      <c r="H4" s="15">
        <f>SUM(Oct!H4, Nov!H4, Dec!H4)</f>
        <v>262280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F22" sqref="F2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E24" sqref="E2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350560</v>
      </c>
      <c r="D2" s="6">
        <f>SUM(D4:D88)</f>
        <v>0</v>
      </c>
      <c r="E2" s="6">
        <f>C2-D2</f>
        <v>350560</v>
      </c>
      <c r="F2" s="7">
        <f>IFERROR(E2/D2, 0)</f>
        <v>0</v>
      </c>
      <c r="G2" s="6">
        <f>SUM(G4:G88)</f>
        <v>0</v>
      </c>
      <c r="H2" s="8">
        <f>C2-G2</f>
        <v>350560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350560</v>
      </c>
      <c r="D4" s="13">
        <v>0</v>
      </c>
      <c r="E4" s="13">
        <f>IF(AND(ISNUMBER(C4),ISNUMBER(D4)), C4-D4, "")</f>
        <v>350560</v>
      </c>
      <c r="F4" s="14" t="str">
        <f>IFERROR(E4/D4, "")</f>
        <v/>
      </c>
      <c r="G4" s="15">
        <v>0</v>
      </c>
      <c r="H4" s="15">
        <f>IF(AND(ISNUMBER(C4),ISNUMBER(G4)), C4-G4, "")</f>
        <v>350560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273414</v>
      </c>
      <c r="D2" s="6">
        <f>SUM(D4:D88)</f>
        <v>0</v>
      </c>
      <c r="E2" s="6">
        <f>C2-D2</f>
        <v>273414</v>
      </c>
      <c r="F2" s="7">
        <f>IFERROR(E2/D2, 0)</f>
        <v>0</v>
      </c>
      <c r="G2" s="6">
        <f>SUM(G4:G88)</f>
        <v>0</v>
      </c>
      <c r="H2" s="8">
        <f>C2-G2</f>
        <v>273414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273414</v>
      </c>
      <c r="D4" s="13">
        <v>0</v>
      </c>
      <c r="E4" s="13">
        <f>IF(AND(ISNUMBER(C4),ISNUMBER(D4)), C4-D4, "")</f>
        <v>273414</v>
      </c>
      <c r="F4" s="14" t="str">
        <f>IFERROR(E4/D4, "")</f>
        <v/>
      </c>
      <c r="G4" s="15">
        <v>0</v>
      </c>
      <c r="H4" s="15">
        <f>IF(AND(ISNUMBER(C4),ISNUMBER(G4)), C4-G4, "")</f>
        <v>273414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G11" activePane="bottomRight" state="frozen"/>
      <selection pane="bottomRight" activeCell="G11" sqref="G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302194</v>
      </c>
      <c r="D2" s="6">
        <f>SUM(D4:D88)</f>
        <v>0</v>
      </c>
      <c r="E2" s="6">
        <f>C2-D2</f>
        <v>302194</v>
      </c>
      <c r="F2" s="7">
        <f>IFERROR(E2/D2, 0)</f>
        <v>0</v>
      </c>
      <c r="G2" s="6">
        <f>SUM(G4:G88)</f>
        <v>0</v>
      </c>
      <c r="H2" s="8">
        <f>C2-G2</f>
        <v>302194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302194</v>
      </c>
      <c r="D4" s="13">
        <v>0</v>
      </c>
      <c r="E4" s="13">
        <f>IF(AND(ISNUMBER(C4),ISNUMBER(D4)), C4-D4, "")</f>
        <v>302194</v>
      </c>
      <c r="F4" s="14" t="str">
        <f>IFERROR(E4/D4, "")</f>
        <v/>
      </c>
      <c r="G4" s="15">
        <v>0</v>
      </c>
      <c r="H4" s="15">
        <f>IF(AND(ISNUMBER(C4),ISNUMBER(G4)), C4-G4, "")</f>
        <v>302194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J28" sqref="F25:J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SUM(C4:C87)</f>
        <v>280277</v>
      </c>
      <c r="D2" s="6">
        <f>SUM(D4:D87)</f>
        <v>0</v>
      </c>
      <c r="E2" s="6">
        <f>C2-D2</f>
        <v>280277</v>
      </c>
      <c r="F2" s="7">
        <f>IFERROR(E2/D2, 0)</f>
        <v>0</v>
      </c>
      <c r="G2" s="6">
        <f>SUM(G4:G87)</f>
        <v>0</v>
      </c>
      <c r="H2" s="8">
        <f>C2-G2</f>
        <v>280277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280277</v>
      </c>
      <c r="D4" s="13">
        <v>0</v>
      </c>
      <c r="E4" s="13">
        <f>IF(AND(ISNUMBER(C4),ISNUMBER(D4)), C4-D4, "")</f>
        <v>280277</v>
      </c>
      <c r="F4" s="14" t="str">
        <f>IFERROR(E4/D4, "")</f>
        <v/>
      </c>
      <c r="G4" s="15">
        <v>0</v>
      </c>
      <c r="H4" s="15">
        <f>IF(AND(ISNUMBER(C4),ISNUMBER(G4)), C4-G4, "")</f>
        <v>280277</v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A15: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262280</v>
      </c>
      <c r="D2" s="6">
        <f>SUM(D4:D88)</f>
        <v>0</v>
      </c>
      <c r="E2" s="6">
        <f>C2-D2</f>
        <v>262280</v>
      </c>
      <c r="F2" s="7">
        <f>IFERROR(E2/D2, 0)</f>
        <v>0</v>
      </c>
      <c r="G2" s="6">
        <f>SUM(G4:G88)</f>
        <v>0</v>
      </c>
      <c r="H2" s="8">
        <f>C2-G2</f>
        <v>262280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262280</v>
      </c>
      <c r="D4" s="13">
        <v>0</v>
      </c>
      <c r="E4" s="13">
        <f>IF(AND(ISNUMBER(C4),ISNUMBER(D4)), C4-D4, "")</f>
        <v>262280</v>
      </c>
      <c r="F4" s="14"/>
      <c r="G4" s="15">
        <v>0</v>
      </c>
      <c r="H4" s="15">
        <f>IF(AND(ISNUMBER(C4),ISNUMBER(G4)), C4-G4, "")</f>
        <v>262280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A5" sqref="A5:XFD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A5" sqref="A5:XFD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2024-11-13T16:25:07Z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