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47" documentId="13_ncr:1_{59B17BB2-B75E-47CE-A58B-1DF984AEEE1C}" xr6:coauthVersionLast="47" xr6:coauthVersionMax="47" xr10:uidLastSave="{68BD6F77-572B-4A4F-AE24-99AE076EDB70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1" l="1"/>
  <c r="I18" i="31" s="1"/>
  <c r="H19" i="31"/>
  <c r="I19" i="31" s="1"/>
  <c r="H20" i="31"/>
  <c r="I20" i="31"/>
  <c r="H21" i="31"/>
  <c r="I21" i="31"/>
  <c r="H22" i="31"/>
  <c r="I22" i="31" s="1"/>
  <c r="H23" i="31"/>
  <c r="I23" i="31" s="1"/>
  <c r="H24" i="31"/>
  <c r="I24" i="31" s="1"/>
  <c r="E18" i="31"/>
  <c r="F18" i="31"/>
  <c r="E19" i="31"/>
  <c r="F19" i="31" s="1"/>
  <c r="E20" i="31"/>
  <c r="F20" i="31"/>
  <c r="E21" i="31"/>
  <c r="F21" i="31"/>
  <c r="E22" i="31"/>
  <c r="F22" i="31"/>
  <c r="E23" i="31"/>
  <c r="F23" i="31" s="1"/>
  <c r="E24" i="31"/>
  <c r="F24" i="31"/>
  <c r="I19" i="28" l="1"/>
  <c r="I21" i="28"/>
  <c r="I23" i="28"/>
  <c r="H18" i="28"/>
  <c r="I18" i="28" s="1"/>
  <c r="H19" i="28"/>
  <c r="H20" i="28"/>
  <c r="I20" i="28" s="1"/>
  <c r="H21" i="28"/>
  <c r="H22" i="28"/>
  <c r="I22" i="28" s="1"/>
  <c r="H23" i="28"/>
  <c r="H24" i="28"/>
  <c r="I24" i="28" s="1"/>
  <c r="F19" i="28"/>
  <c r="F21" i="28"/>
  <c r="F23" i="28"/>
  <c r="E18" i="28"/>
  <c r="F18" i="28" s="1"/>
  <c r="E19" i="28"/>
  <c r="E20" i="28"/>
  <c r="F20" i="28" s="1"/>
  <c r="E21" i="28"/>
  <c r="E22" i="28"/>
  <c r="F22" i="28" s="1"/>
  <c r="E23" i="28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19" i="27"/>
  <c r="I21" i="27"/>
  <c r="I23" i="27"/>
  <c r="H18" i="27"/>
  <c r="I18" i="27" s="1"/>
  <c r="H19" i="27"/>
  <c r="H20" i="27"/>
  <c r="I20" i="27" s="1"/>
  <c r="H21" i="27"/>
  <c r="H22" i="27"/>
  <c r="I22" i="27" s="1"/>
  <c r="H23" i="27"/>
  <c r="H24" i="27"/>
  <c r="I24" i="27" s="1"/>
  <c r="F19" i="27"/>
  <c r="F21" i="27"/>
  <c r="F23" i="27"/>
  <c r="E18" i="27"/>
  <c r="F18" i="27" s="1"/>
  <c r="E19" i="27"/>
  <c r="E20" i="27"/>
  <c r="F20" i="27" s="1"/>
  <c r="E21" i="27"/>
  <c r="E22" i="27"/>
  <c r="F22" i="27" s="1"/>
  <c r="E23" i="27"/>
  <c r="E24" i="27"/>
  <c r="F24" i="27" s="1"/>
  <c r="I19" i="26"/>
  <c r="I21" i="26"/>
  <c r="I23" i="26"/>
  <c r="H18" i="26"/>
  <c r="I18" i="26" s="1"/>
  <c r="H19" i="26"/>
  <c r="H20" i="26"/>
  <c r="I20" i="26" s="1"/>
  <c r="H21" i="26"/>
  <c r="H22" i="26"/>
  <c r="I22" i="26" s="1"/>
  <c r="H23" i="26"/>
  <c r="H24" i="26"/>
  <c r="I24" i="26" s="1"/>
  <c r="F19" i="26"/>
  <c r="F21" i="26"/>
  <c r="F23" i="26"/>
  <c r="E18" i="26"/>
  <c r="F18" i="26" s="1"/>
  <c r="E19" i="26"/>
  <c r="E20" i="26"/>
  <c r="F20" i="26" s="1"/>
  <c r="E21" i="26"/>
  <c r="E22" i="26"/>
  <c r="F22" i="26" s="1"/>
  <c r="E23" i="26"/>
  <c r="E24" i="26"/>
  <c r="F24" i="26" s="1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C21" i="34" l="1"/>
  <c r="E18" i="29"/>
  <c r="F18" i="29" s="1"/>
  <c r="C18" i="34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D18" i="34" s="1"/>
  <c r="E18" i="34" s="1"/>
  <c r="F18" i="34" s="1"/>
  <c r="H18" i="30"/>
  <c r="I18" i="30" s="1"/>
  <c r="C19" i="30"/>
  <c r="C19" i="34" s="1"/>
  <c r="D19" i="30"/>
  <c r="D19" i="34" s="1"/>
  <c r="H19" i="30"/>
  <c r="I19" i="30" s="1"/>
  <c r="C20" i="30"/>
  <c r="C20" i="34" s="1"/>
  <c r="D20" i="30"/>
  <c r="E20" i="30" s="1"/>
  <c r="F20" i="30" s="1"/>
  <c r="H20" i="30"/>
  <c r="I20" i="30" s="1"/>
  <c r="C21" i="30"/>
  <c r="D21" i="30"/>
  <c r="D21" i="34" s="1"/>
  <c r="H21" i="30"/>
  <c r="I21" i="30" s="1"/>
  <c r="C22" i="30"/>
  <c r="C22" i="34" s="1"/>
  <c r="D22" i="30"/>
  <c r="D22" i="34" s="1"/>
  <c r="H22" i="30"/>
  <c r="I22" i="30" s="1"/>
  <c r="C23" i="30"/>
  <c r="C23" i="34" s="1"/>
  <c r="D23" i="30"/>
  <c r="D23" i="34" s="1"/>
  <c r="H23" i="30"/>
  <c r="I23" i="30" s="1"/>
  <c r="C24" i="30"/>
  <c r="C24" i="34" s="1"/>
  <c r="D24" i="30"/>
  <c r="D24" i="34" s="1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C17" i="30"/>
  <c r="E17" i="30" s="1"/>
  <c r="F17" i="30" s="1"/>
  <c r="D17" i="30"/>
  <c r="C16" i="29"/>
  <c r="D16" i="29"/>
  <c r="C17" i="29"/>
  <c r="D17" i="29"/>
  <c r="D17" i="34" s="1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D11" i="30"/>
  <c r="C11" i="30"/>
  <c r="E11" i="30" s="1"/>
  <c r="F11" i="30" s="1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D15" i="34" s="1"/>
  <c r="C15" i="29"/>
  <c r="C15" i="34" s="1"/>
  <c r="D14" i="29"/>
  <c r="D14" i="34" s="1"/>
  <c r="C14" i="29"/>
  <c r="C14" i="34" s="1"/>
  <c r="D13" i="29"/>
  <c r="D13" i="34" s="1"/>
  <c r="C13" i="29"/>
  <c r="C13" i="34" s="1"/>
  <c r="D12" i="29"/>
  <c r="D12" i="34" s="1"/>
  <c r="C12" i="29"/>
  <c r="C12" i="34" s="1"/>
  <c r="D11" i="29"/>
  <c r="D11" i="34" s="1"/>
  <c r="C11" i="29"/>
  <c r="D10" i="29"/>
  <c r="D10" i="34" s="1"/>
  <c r="C10" i="29"/>
  <c r="C10" i="34" s="1"/>
  <c r="D9" i="29"/>
  <c r="D9" i="34" s="1"/>
  <c r="C9" i="29"/>
  <c r="D8" i="29"/>
  <c r="D8" i="34" s="1"/>
  <c r="C8" i="29"/>
  <c r="C8" i="34" s="1"/>
  <c r="D7" i="29"/>
  <c r="D7" i="34" s="1"/>
  <c r="C7" i="29"/>
  <c r="C7" i="34" s="1"/>
  <c r="D6" i="29"/>
  <c r="D6" i="34" s="1"/>
  <c r="C6" i="29"/>
  <c r="C6" i="34" s="1"/>
  <c r="D5" i="29"/>
  <c r="D5" i="34" s="1"/>
  <c r="C5" i="29"/>
  <c r="C5" i="34" s="1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23" i="34" l="1"/>
  <c r="H19" i="34"/>
  <c r="H20" i="34"/>
  <c r="H18" i="34"/>
  <c r="I18" i="34" s="1"/>
  <c r="H22" i="34"/>
  <c r="H21" i="34"/>
  <c r="H24" i="34"/>
  <c r="I24" i="34" s="1"/>
  <c r="E19" i="34"/>
  <c r="F19" i="34" s="1"/>
  <c r="E21" i="34"/>
  <c r="F21" i="34" s="1"/>
  <c r="E24" i="34"/>
  <c r="F24" i="34" s="1"/>
  <c r="D16" i="34"/>
  <c r="E8" i="30"/>
  <c r="F8" i="30" s="1"/>
  <c r="E12" i="30"/>
  <c r="F12" i="30" s="1"/>
  <c r="E23" i="34"/>
  <c r="F23" i="34" s="1"/>
  <c r="E20" i="34"/>
  <c r="F20" i="34" s="1"/>
  <c r="E13" i="30"/>
  <c r="F13" i="30" s="1"/>
  <c r="E22" i="34"/>
  <c r="F22" i="34" s="1"/>
  <c r="D20" i="34"/>
  <c r="C9" i="34"/>
  <c r="E16" i="30"/>
  <c r="F16" i="30" s="1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E16" i="34" s="1"/>
  <c r="F16" i="34" s="1"/>
  <c r="H13" i="29"/>
  <c r="E11" i="18"/>
  <c r="F11" i="18" s="1"/>
  <c r="E15" i="18"/>
  <c r="F15" i="18" s="1"/>
  <c r="D4" i="34"/>
  <c r="D2" i="34" s="1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I24" i="72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7" i="1"/>
  <c r="F17" i="1" s="1"/>
  <c r="E17" i="34"/>
  <c r="F17" i="34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6" i="34" l="1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<sst xmlns="http://schemas.openxmlformats.org/spreadsheetml/2006/main" count="552" uniqueCount="254">
  <si>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</si>
  <si>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</si>
  <si>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</si>
  <si>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</si>
  <si>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</si>
  <si>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</si>
  <si>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</si>
  <si>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</si>
  <si>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</si>
  <si>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</si>
  <si>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</si>
  <si>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</si>
  <si>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</si>
  <si>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</si>
  <si>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</si>
  <si>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</si>
  <si>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</si>
  <si>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</si>
  <si>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</si>
  <si>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</si>
  <si>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</si>
  <si>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</si>
  <si>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</si>
  <si>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</si>
  <si>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</si>
  <si>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</si>
  <si>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</si>
  <si>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</si>
  <si>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</si>
  <si>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</si>
  <si>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</si>
  <si>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</si>
  <si>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</si>
  <si>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</si>
  <si>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</si>
  <si>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</si>
  <si>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</si>
  <si>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</si>
  <si>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</si>
  <si>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</si>
  <si>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</si>
  <si>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</si>
  <si>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</si>
  <si>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</si>
  <si>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</si>
  <si>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</si>
  <si>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</si>
  <si>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</si>
  <si>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</si>
  <si>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</si>
  <si>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</si>
  <si>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</si>
  <si>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</si>
  <si>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</si>
  <si>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</si>
  <si>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</si>
  <si>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</si>
  <si>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</si>
  <si>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</si>
  <si>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</si>
  <si>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</si>
  <si>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</si>
  <si>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</si>
  <si>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</si>
  <si>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</si>
  <si>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</si>
  <si>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</si>
  <si>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</si>
  <si>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</si>
  <si>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</si>
  <si>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</si>
  <si>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</si>
  <si>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</si>
  <si>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</si>
  <si>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</si>
  <si>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</si>
  <si>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</si>
  <si>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</si>
  <si>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</si>
  <si>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</si>
  <si>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</si>
  <si>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</si>
  <si>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</si>
  <si>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</si>
  <si>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</si>
  <si>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</si>
  <si>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</si>
  <si>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</si>
  <si>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</si>
  <si>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</si>
  <si>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</si>
  <si>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</si>
  <si>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</si>
  <si>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</si>
  <si>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</si>
  <si>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</si>
  <si>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</si>
  <si>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</si>
  <si>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</si>
  <si>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</si>
  <si>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</si>
  <si>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</si>
  <si>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</si>
  <si>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</si>
  <si>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</si>
  <si>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</si>
  <si>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</si>
  <si>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</si>
  <si>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</si>
  <si>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</si>
  <si>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</si>
  <si>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</si>
  <si>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</si>
  <si>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</si>
  <si>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</si>
  <si>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</si>
  <si>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</si>
  <si>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</si>
  <si>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</si>
  <si>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</si>
  <si>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</si>
  <si>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</si>
  <si>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</si>
  <si>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</si>
  <si>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</si>
  <si>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</si>
  <si>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</si>
  <si>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</si>
  <si>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</si>
  <si>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</si>
  <si>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</si>
  <si>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</si>
  <si>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</si>
  <si>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</si>
  <si>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</si>
  <si>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</si>
  <si>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</si>
  <si>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</si>
  <si>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</si>
  <si>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</si>
  <si>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</si>
  <si>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</si>
  <si>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</si>
  <si>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</si>
  <si>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</si>
  <si>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</si>
  <si>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</si>
  <si>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</si>
  <si>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</si>
  <si>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</si>
  <si>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</si>
  <si>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</si>
  <si>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</si>
  <si>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</si>
  <si>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</si>
  <si>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</si>
  <si>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</si>
  <si>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</si>
  <si>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</si>
  <si>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</si>
  <si>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1.Site was offline from 19:15 of 7/16 to 09:45AM of 7/17</t>
  </si>
  <si>
    <t>1.SR087795</t>
  </si>
  <si>
    <t xml:space="preserve">1.Site was offline from 03:47AM to 07:30AM on 7/12 </t>
  </si>
  <si>
    <t>1.SR087607</t>
  </si>
  <si>
    <t xml:space="preserve">1.Inverter 1 Module 1 has multiple tripping events from 07/08
2.Site was offline from 04:45AM to 07:15AM on 7/13 and again site was offline from 14:15 to 15:45 on 7/29
</t>
  </si>
  <si>
    <t xml:space="preserve">1.SR087468
2.SR087634
</t>
  </si>
  <si>
    <t>1.Site was offline due to utility outage from 7/20 at 11:30AM and back online on 7/21 at 09:30AM</t>
  </si>
  <si>
    <t>1.SR087955</t>
  </si>
  <si>
    <t>1.Site was offline due to utility outage from 7/20 at 12:00PM and back online on 7/21 at 09:30AM</t>
  </si>
  <si>
    <t xml:space="preserve">1.Site was offline from 12:15 to 21:30 on 7/7 and again offline from 08:00 to 22:00 on 7/8 and again offline from 07:30 to 21:45 on 7/9 again site offline from 09:45 to 20:30 on 7/10
again site offline from 7/11 at 10:00 and back online at 07:45 on 7/12
</t>
  </si>
  <si>
    <t>1.SR087443</t>
  </si>
  <si>
    <t>August Actual v. Expected</t>
  </si>
  <si>
    <t>August Actual v. Forecasted</t>
  </si>
  <si>
    <t>1.Site offline from 8/9 at 14:45 and back online at 08:45 on 8/10</t>
  </si>
  <si>
    <t>1.SR088850</t>
  </si>
  <si>
    <t>1.Inverter 2 module 3 tripped offline at 11:00AM on 8/1  back online on 8/7
2.Site offline from 10:00 to 10:45 and 12:00 to 12:30 on 8/9
3.Site offline from 14:35 to 15:00 on 8/10 again offline fro 17:20 to 17:50 on 8/10
4.Site offline from 07:45 to 13:15 on 8/18</t>
  </si>
  <si>
    <t>1.SR088502
2.SR088824
3.SR088876
4.SR089209</t>
  </si>
  <si>
    <t>1.Weather station stopped communicating from 8/6 at 21:45 back online on 8/7 at 06:45 and again lost communication from 8/21 back online on 8/25</t>
  </si>
  <si>
    <t>1.	SR088708</t>
  </si>
  <si>
    <t>1.Inverter A is derating approximately 281kW on 8/17</t>
  </si>
  <si>
    <t>1.SR089197</t>
  </si>
  <si>
    <t>1.Inverter 2 offline from 8/10 to 8/13</t>
  </si>
  <si>
    <t>1.SR088881</t>
  </si>
  <si>
    <t>1.Site offline from 19:00 on 8/13 and back online on 8/14 at 08:15</t>
  </si>
  <si>
    <t>s</t>
  </si>
  <si>
    <t>September Actual v. Expected</t>
  </si>
  <si>
    <t>September Actual v. Forecasted</t>
  </si>
  <si>
    <t xml:space="preserve">1. Site is offline at 19:30 on 09/19/2024 and again back online on 06:30 on 09/20
</t>
  </si>
  <si>
    <t xml:space="preserve">1. SR090873
</t>
  </si>
  <si>
    <t xml:space="preserve">1. Meter Phase B voltages dropped to zero on 09/01/2024 , 09/02 &amp; 09/03 which results in meter capturing loss than the inverter production. 
</t>
  </si>
  <si>
    <t xml:space="preserve">1. SR089809
</t>
  </si>
  <si>
    <t>1.Site tripped offline  at 8:30 and later back online at 09:30 on 09/13/2024 but 7 modules were offline due to overheating  later all equipments are back online 14:45
2.Inverter 1.1 to 1.5 modules tripped offline at 10:45am, later again tripped offline at 13:00 on 09/27/2024 and back online 11:30 on 09/28 and started late production at 12:00 on 0/29
3.Inverter 1.1 to 1.5 tripped offline at 09:15 and back online at 10:45 on 09/30/2024</t>
  </si>
  <si>
    <t>1.SR090351
2.SR091328
3.SR091328</t>
  </si>
  <si>
    <t xml:space="preserve">1.Weather station lost comms at 11:00 AM EDT from 09/06/2024 throughout the month
</t>
  </si>
  <si>
    <t>1.SR088708</t>
  </si>
  <si>
    <t>1. Relay tripped at 6:38AM and auto-closed at 6:43AM on 09/14/2024</t>
  </si>
  <si>
    <t>1. SR090419</t>
  </si>
  <si>
    <t>1.  Inverter 1 tripped offline at 12:15 on 09/02 and back online at 09:45 on 09/03</t>
  </si>
  <si>
    <t xml:space="preserve">1. SR089818
</t>
  </si>
  <si>
    <t>October Actual v. Expected</t>
  </si>
  <si>
    <t>October Actual v. Forecasted</t>
  </si>
  <si>
    <t>1.UPS battery onsite is showing signs of failure (voltage has dropped below 20v) and is slowing losing voltage since 10/21 through out the month</t>
  </si>
  <si>
    <t>1.SR092813</t>
  </si>
  <si>
    <t>1. Site is offline from 07:00 to 08:30 on 10/07 due to utility outage</t>
  </si>
  <si>
    <t>1.SR091838</t>
  </si>
  <si>
    <t>1. Inverter 5 is constantly producing at 209 kW on 10/21 and resolved on 10/22</t>
  </si>
  <si>
    <t>1.SR092410</t>
  </si>
  <si>
    <t>1.Weather station lost communication from 10/24 at  22:45 and back online on 10/25 at 07:30 and again lost comms on 10/30 at 15:30 resolved on 10:31 at 01:15</t>
  </si>
  <si>
    <t>1.SR092566</t>
  </si>
  <si>
    <t>1.Site tripped offline on 10/12 at 12:00 and back online at 08:45 on 10/13</t>
  </si>
  <si>
    <t>1.SR092089</t>
  </si>
  <si>
    <t>1. Weather station regained its communication at 08:45 on 10/09
2. Site tripped offline from 12:00 to 13:45 on 10/12</t>
  </si>
  <si>
    <t>1.SR088708
2.SR092092</t>
  </si>
  <si>
    <t>1.Site tripped offline from 12:00 to 14:00 on 10/12</t>
  </si>
  <si>
    <t>1.SR092091</t>
  </si>
  <si>
    <t>1.SR092090</t>
  </si>
  <si>
    <t>1.Weather station lost comunication from 10/17 at 16:15 and resolved on 10/18 at 01:00</t>
  </si>
  <si>
    <t>1.SR092285</t>
  </si>
  <si>
    <t>1. Site is offline from 08:15 to 10:00 on 10/07 due to utility outage</t>
  </si>
  <si>
    <t>1.SR091839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</si>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</sst>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28" fillId="0" borderId="1" xfId="0" applyNumberFormat="1" applyFont="1" applyBorder="1" applyAlignment="1">
      <alignment wrapText="1"/>
    </xf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80" t="str" cm="1">
        <f t="array" ref="A1">portfolio</f>
        <v>38 DN</v>
      </c>
      <c r="B1" s="80"/>
      <c r="C1" s="80"/>
      <c r="D1" s="81" t="s">
        <v>0</v>
      </c>
      <c r="E1" s="81"/>
      <c r="F1" s="81"/>
      <c r="G1" s="79" t="s">
        <v>1</v>
      </c>
      <c r="H1" s="79"/>
      <c r="I1" s="79"/>
    </row>
    <row r="2" spans="1:12" ht="19.5" customHeight="1">
      <c r="A2" s="82" t="s">
        <v>2</v>
      </c>
      <c r="B2" s="82"/>
      <c r="C2" s="5">
        <f>SUM(C4:C99)</f>
        <v>37926016</v>
      </c>
      <c r="D2" s="5">
        <f>SUM(D4:D99)</f>
        <v>41001150.479999989</v>
      </c>
      <c r="E2" s="5">
        <f>C2-D2</f>
        <v>-3075134.4799999893</v>
      </c>
      <c r="F2" s="6">
        <f>IFERROR(E2/D2, 0)</f>
        <v>-7.5001175430431236E-2</v>
      </c>
      <c r="G2" s="5">
        <f>SUM(G4:G99)</f>
        <v>37469023.930000007</v>
      </c>
      <c r="H2" s="7">
        <f>C2-G2</f>
        <v>456992.06999999285</v>
      </c>
      <c r="I2" s="6">
        <f>IFERROR(H2/G2, 0)</f>
        <v>1.2196529881689734E-2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1809177.5</v>
      </c>
      <c r="D4" s="37">
        <f>SUM('1st Qtr'!D4, '2nd Qtr'!D4, '3rd Qtr'!D4, '4th Qtr'!D4)</f>
        <v>2068460.5</v>
      </c>
      <c r="E4" s="37">
        <f>IF(AND(ISNUMBER(C4),ISNUMBER(D4)), C4-D4, "")</f>
        <v>-259283</v>
      </c>
      <c r="F4" s="38">
        <f>IFERROR(E4/D4, "")</f>
        <v>-0.12535071373129919</v>
      </c>
      <c r="G4" s="39">
        <f>SUM('1st Qtr'!G4, '2nd Qtr'!G4, '3rd Qtr'!G4, '4th Qtr'!G4)</f>
        <v>1961527.1</v>
      </c>
      <c r="H4" s="39">
        <f>SUM('1st Qtr'!H4, '2nd Qtr'!H4, '3rd Qtr'!H4, '4th Qtr'!H4)</f>
        <v>-345902.8</v>
      </c>
      <c r="I4" s="40">
        <f>IFERROR(H4/G4, "")</f>
        <v>-0.17634362533150827</v>
      </c>
    </row>
    <row r="5" spans="1:12" ht="15.75">
      <c r="A5" s="41" t="str">
        <v>Barton Acres</v>
      </c>
      <c r="B5" s="42" t="str">
        <v>MA</v>
      </c>
      <c r="C5" s="43">
        <f>SUM('1st Qtr'!C5, '2nd Qtr'!C5, '3rd Qtr'!C5, '4th Qtr'!C5)</f>
        <v>1531560</v>
      </c>
      <c r="D5" s="44">
        <f>SUM('1st Qtr'!D5, '2nd Qtr'!D5, '3rd Qtr'!D5, '4th Qtr'!D5)</f>
        <v>1685223.5399999998</v>
      </c>
      <c r="E5" s="44">
        <f t="shared" ref="E5:E15" si="0">IF(AND(ISNUMBER(C5),ISNUMBER(D5)), C5-D5, "")</f>
        <v>-153663.5399999998</v>
      </c>
      <c r="F5" s="45">
        <f>IFERROR(E5/D5, "")</f>
        <v>-9.1182882479792463E-2</v>
      </c>
      <c r="G5" s="46">
        <f>SUM('1st Qtr'!G5, '2nd Qtr'!G5, '3rd Qtr'!G5, '4th Qtr'!G5)</f>
        <v>1402771.0300000003</v>
      </c>
      <c r="H5" s="72">
        <f>SUM('1st Qtr'!H5, '2nd Qtr'!H5, '3rd Qtr'!H5, '4th Qtr'!H5)</f>
        <v>20291.869999999995</v>
      </c>
      <c r="I5" s="45">
        <f>IFERROR(H5/G5, "")</f>
        <v>1.4465561068793951E-2</v>
      </c>
      <c r="K5" s="73"/>
    </row>
    <row r="6" spans="1:12" ht="15.75">
      <c r="A6" s="34" t="str">
        <v>Bowden</v>
      </c>
      <c r="B6" s="35" t="str">
        <v>MA</v>
      </c>
      <c r="C6" s="36">
        <f>SUM('1st Qtr'!C6, '2nd Qtr'!C6, '3rd Qtr'!C6, '4th Qtr'!C6)</f>
        <v>3110298</v>
      </c>
      <c r="D6" s="37">
        <f>SUM('1st Qtr'!D6, '2nd Qtr'!D6, '3rd Qtr'!D6, '4th Qtr'!D6)</f>
        <v>3210097.6</v>
      </c>
      <c r="E6" s="37">
        <f t="shared" si="0"/>
        <v>-99799.600000000093</v>
      </c>
      <c r="F6" s="38">
        <f t="shared" ref="F6:F15" si="1">IFERROR(E6/D6, "")</f>
        <v>-3.1089272799680635E-2</v>
      </c>
      <c r="G6" s="39">
        <f>SUM('1st Qtr'!G6, '2nd Qtr'!G6, '3rd Qtr'!G6, '4th Qtr'!G6)</f>
        <v>2917676.5</v>
      </c>
      <c r="H6" s="39">
        <f>SUM('1st Qtr'!H6, '2nd Qtr'!H6, '3rd Qtr'!H6, '4th Qtr'!H6)</f>
        <v>-87402.399999999936</v>
      </c>
      <c r="I6" s="40">
        <f t="shared" ref="I6:I15" si="2">IFERROR(H6/G6, "")</f>
        <v>-2.9956165462483569E-2</v>
      </c>
    </row>
    <row r="7" spans="1:12" ht="15.75">
      <c r="A7" s="41" t="str">
        <v>Blair Wire Village</v>
      </c>
      <c r="B7" s="42" t="str">
        <v>MA</v>
      </c>
      <c r="C7" s="43">
        <f>SUM('1st Qtr'!C7, '2nd Qtr'!C7, '3rd Qtr'!C7, '4th Qtr'!C7)</f>
        <v>1485203</v>
      </c>
      <c r="D7" s="44">
        <f>SUM('1st Qtr'!D7, '2nd Qtr'!D7, '3rd Qtr'!D7, '4th Qtr'!D7)</f>
        <v>1738358.6800000002</v>
      </c>
      <c r="E7" s="44">
        <f t="shared" si="0"/>
        <v>-253155.68000000017</v>
      </c>
      <c r="F7" s="45">
        <f t="shared" si="1"/>
        <v>-0.14562914024164458</v>
      </c>
      <c r="G7" s="46">
        <f>SUM('1st Qtr'!G7, '2nd Qtr'!G7, '3rd Qtr'!G7, '4th Qtr'!G7)</f>
        <v>1460898.94</v>
      </c>
      <c r="H7" s="72">
        <f>SUM('1st Qtr'!H7, '2nd Qtr'!H7, '3rd Qtr'!H7, '4th Qtr'!H7)</f>
        <v>-118030.13999999998</v>
      </c>
      <c r="I7" s="45">
        <f t="shared" si="2"/>
        <v>-8.0792816510634191E-2</v>
      </c>
      <c r="L7" s="73"/>
    </row>
    <row r="8" spans="1:12" ht="15.75">
      <c r="A8" s="34" t="str">
        <v>Boutilier</v>
      </c>
      <c r="B8" s="35" t="str">
        <v>MA</v>
      </c>
      <c r="C8" s="36">
        <f>SUM('1st Qtr'!C8, '2nd Qtr'!C8, '3rd Qtr'!C8, '4th Qtr'!C8)</f>
        <v>4180776</v>
      </c>
      <c r="D8" s="37">
        <f>SUM('1st Qtr'!D8, '2nd Qtr'!D8, '3rd Qtr'!D8, '4th Qtr'!D8)</f>
        <v>4250057.8</v>
      </c>
      <c r="E8" s="37">
        <f t="shared" si="0"/>
        <v>-69281.799999999814</v>
      </c>
      <c r="F8" s="38">
        <f t="shared" si="1"/>
        <v>-1.6301378301255061E-2</v>
      </c>
      <c r="G8" s="39">
        <f>SUM('1st Qtr'!G8, '2nd Qtr'!G8, '3rd Qtr'!G8, '4th Qtr'!G8)</f>
        <v>3850760.8999999994</v>
      </c>
      <c r="H8" s="39">
        <f>SUM('1st Qtr'!H8, '2nd Qtr'!H8, '3rd Qtr'!H8, '4th Qtr'!H8)</f>
        <v>32178.900000000023</v>
      </c>
      <c r="I8" s="40">
        <f t="shared" si="2"/>
        <v>8.3565042950342686E-3</v>
      </c>
    </row>
    <row r="9" spans="1:12" ht="15.75">
      <c r="A9" s="41" t="str">
        <v>Cherry Valley</v>
      </c>
      <c r="B9" s="42" t="str">
        <v>MA</v>
      </c>
      <c r="C9" s="43">
        <f>SUM('1st Qtr'!C9, '2nd Qtr'!C9, '3rd Qtr'!C9, '4th Qtr'!C9)</f>
        <v>1444212</v>
      </c>
      <c r="D9" s="44">
        <f>SUM('1st Qtr'!D9, '2nd Qtr'!D9, '3rd Qtr'!D9, '4th Qtr'!D9)</f>
        <v>1682395.2200000002</v>
      </c>
      <c r="E9" s="44">
        <f t="shared" si="0"/>
        <v>-238183.2200000002</v>
      </c>
      <c r="F9" s="45">
        <f t="shared" si="1"/>
        <v>-0.14157388060101608</v>
      </c>
      <c r="G9" s="46">
        <f>SUM('1st Qtr'!G9, '2nd Qtr'!G9, '3rd Qtr'!G9, '4th Qtr'!G9)</f>
        <v>1413852</v>
      </c>
      <c r="H9" s="72">
        <f>SUM('1st Qtr'!H9, '2nd Qtr'!H9, '3rd Qtr'!H9, '4th Qtr'!H9)</f>
        <v>-85135</v>
      </c>
      <c r="I9" s="45">
        <f t="shared" si="2"/>
        <v>-6.0214930558502584E-2</v>
      </c>
      <c r="K9" s="74"/>
    </row>
    <row r="10" spans="1:12" ht="15.75">
      <c r="A10" s="34" t="str">
        <v>Cohasse</v>
      </c>
      <c r="B10" s="35" t="str">
        <v>MA</v>
      </c>
      <c r="C10" s="36">
        <f>SUM('1st Qtr'!C10, '2nd Qtr'!C10, '3rd Qtr'!C10, '4th Qtr'!C10)</f>
        <v>1381298</v>
      </c>
      <c r="D10" s="37">
        <f>SUM('1st Qtr'!D10, '2nd Qtr'!D10, '3rd Qtr'!D10, '4th Qtr'!D10)</f>
        <v>1544603.54</v>
      </c>
      <c r="E10" s="37">
        <f t="shared" si="0"/>
        <v>-163305.54000000004</v>
      </c>
      <c r="F10" s="38">
        <f t="shared" si="1"/>
        <v>-0.10572650895258212</v>
      </c>
      <c r="G10" s="39">
        <f>SUM('1st Qtr'!G10, '2nd Qtr'!G10, '3rd Qtr'!G10, '4th Qtr'!G10)</f>
        <v>1532098.9</v>
      </c>
      <c r="H10" s="39">
        <f>SUM('1st Qtr'!H10, '2nd Qtr'!H10, '3rd Qtr'!H10, '4th Qtr'!H10)</f>
        <v>-298159.80000000005</v>
      </c>
      <c r="I10" s="40">
        <f t="shared" si="2"/>
        <v>-0.19460871618666398</v>
      </c>
    </row>
    <row r="11" spans="1:12" ht="15.75">
      <c r="A11" s="41" t="str">
        <v>ISM Dighton Solar 2</v>
      </c>
      <c r="B11" s="42" t="str">
        <v>MA</v>
      </c>
      <c r="C11" s="43">
        <f>SUM('1st Qtr'!C11, '2nd Qtr'!C11, '3rd Qtr'!C11, '4th Qtr'!C11)</f>
        <v>3190012</v>
      </c>
      <c r="D11" s="44">
        <f>SUM('1st Qtr'!D11, '2nd Qtr'!D11, '3rd Qtr'!D11, '4th Qtr'!D11)</f>
        <v>3217960.9</v>
      </c>
      <c r="E11" s="44">
        <f t="shared" si="0"/>
        <v>-27948.899999999907</v>
      </c>
      <c r="F11" s="45">
        <f t="shared" si="1"/>
        <v>-8.685282658344267E-3</v>
      </c>
      <c r="G11" s="46">
        <f>SUM('1st Qtr'!G11, '2nd Qtr'!G11, '3rd Qtr'!G11, '4th Qtr'!G11)</f>
        <v>2971910.1999999997</v>
      </c>
      <c r="H11" s="72">
        <f>SUM('1st Qtr'!H11, '2nd Qtr'!H11, '3rd Qtr'!H11, '4th Qtr'!H11)</f>
        <v>-77358.299999999959</v>
      </c>
      <c r="I11" s="45">
        <f t="shared" si="2"/>
        <v>-2.6029824185131827E-2</v>
      </c>
    </row>
    <row r="12" spans="1:12" ht="15.75">
      <c r="A12" s="34" t="str">
        <v>Dudley River 1</v>
      </c>
      <c r="B12" s="35" t="str">
        <v>MA</v>
      </c>
      <c r="C12" s="36">
        <f>SUM('1st Qtr'!C12, '2nd Qtr'!C12, '3rd Qtr'!C12, '4th Qtr'!C12)</f>
        <v>1517285</v>
      </c>
      <c r="D12" s="37">
        <f>SUM('1st Qtr'!D12, '2nd Qtr'!D12, '3rd Qtr'!D12, '4th Qtr'!D12)</f>
        <v>1415884.79</v>
      </c>
      <c r="E12" s="37">
        <f t="shared" si="0"/>
        <v>101400.20999999996</v>
      </c>
      <c r="F12" s="38">
        <f t="shared" si="1"/>
        <v>7.1616144700586803E-2</v>
      </c>
      <c r="G12" s="39">
        <f>SUM('1st Qtr'!G12, '2nd Qtr'!G12, '3rd Qtr'!G12, '4th Qtr'!G12)</f>
        <v>1475342.13</v>
      </c>
      <c r="H12" s="39">
        <f>SUM('1st Qtr'!H12, '2nd Qtr'!H12, '3rd Qtr'!H12, '4th Qtr'!H12)</f>
        <v>-100524.33</v>
      </c>
      <c r="I12" s="40">
        <f t="shared" si="2"/>
        <v>-6.8136283751349266E-2</v>
      </c>
    </row>
    <row r="13" spans="1:12" ht="15.75">
      <c r="A13" s="41" t="str">
        <v>Dudley River 2</v>
      </c>
      <c r="B13" s="42" t="str">
        <v>MA</v>
      </c>
      <c r="C13" s="43">
        <f>SUM('1st Qtr'!C13, '2nd Qtr'!C13, '3rd Qtr'!C13, '4th Qtr'!C13)</f>
        <v>1459804</v>
      </c>
      <c r="D13" s="44">
        <f>SUM('1st Qtr'!D13, '2nd Qtr'!D13, '3rd Qtr'!D13, '4th Qtr'!D13)</f>
        <v>1570589.8699999999</v>
      </c>
      <c r="E13" s="44">
        <f t="shared" si="0"/>
        <v>-110785.86999999988</v>
      </c>
      <c r="F13" s="45">
        <f t="shared" si="1"/>
        <v>-7.0537746432809911E-2</v>
      </c>
      <c r="G13" s="46">
        <f>SUM('1st Qtr'!G13, '2nd Qtr'!G13, '3rd Qtr'!G13, '4th Qtr'!G13)</f>
        <v>1409680.23</v>
      </c>
      <c r="H13" s="72">
        <f>SUM('1st Qtr'!H13, '2nd Qtr'!H13, '3rd Qtr'!H13, '4th Qtr'!H13)</f>
        <v>-86443.429999999978</v>
      </c>
      <c r="I13" s="45">
        <f t="shared" si="2"/>
        <v>-6.1321304052054403E-2</v>
      </c>
    </row>
    <row r="14" spans="1:12" ht="15.75">
      <c r="A14" s="34" t="str">
        <v>Dudley River 3</v>
      </c>
      <c r="B14" s="35" t="str">
        <v>MA</v>
      </c>
      <c r="C14" s="36">
        <f>SUM('1st Qtr'!C14, '2nd Qtr'!C14, '3rd Qtr'!C14, '4th Qtr'!C14)</f>
        <v>1502681</v>
      </c>
      <c r="D14" s="37">
        <f>SUM('1st Qtr'!D14, '2nd Qtr'!D14, '3rd Qtr'!D14, '4th Qtr'!D14)</f>
        <v>1569112.93</v>
      </c>
      <c r="E14" s="37">
        <f t="shared" si="0"/>
        <v>-66431.929999999935</v>
      </c>
      <c r="F14" s="38">
        <f t="shared" si="1"/>
        <v>-4.2337252297066939E-2</v>
      </c>
      <c r="G14" s="39">
        <f>SUM('1st Qtr'!G14, '2nd Qtr'!G14, '3rd Qtr'!G14, '4th Qtr'!G14)</f>
        <v>1429518.69</v>
      </c>
      <c r="H14" s="39">
        <f>SUM('1st Qtr'!H14, '2nd Qtr'!H14, '3rd Qtr'!H14, '4th Qtr'!H14)</f>
        <v>-65433.190000000031</v>
      </c>
      <c r="I14" s="40">
        <f t="shared" si="2"/>
        <v>-4.5772881780230541E-2</v>
      </c>
    </row>
    <row r="15" spans="1:12" ht="15.75">
      <c r="A15" s="41" t="str">
        <v>Flint Pond</v>
      </c>
      <c r="B15" s="42" t="str">
        <v>MA</v>
      </c>
      <c r="C15" s="43">
        <f>SUM('1st Qtr'!C15, '2nd Qtr'!C15, '3rd Qtr'!C15, '4th Qtr'!C15)</f>
        <v>701712.5</v>
      </c>
      <c r="D15" s="44">
        <f>SUM('1st Qtr'!D15, '2nd Qtr'!D15, '3rd Qtr'!D15, '4th Qtr'!D15)</f>
        <v>690659.47</v>
      </c>
      <c r="E15" s="44">
        <f t="shared" si="0"/>
        <v>11053.030000000028</v>
      </c>
      <c r="F15" s="45">
        <f t="shared" si="1"/>
        <v>1.6003588570211062E-2</v>
      </c>
      <c r="G15" s="46">
        <f>SUM('1st Qtr'!G15, '2nd Qtr'!G15, '3rd Qtr'!G15, '4th Qtr'!G15)</f>
        <v>663638.80000000005</v>
      </c>
      <c r="H15" s="72">
        <f>SUM('1st Qtr'!H15, '2nd Qtr'!H15, '3rd Qtr'!H15, '4th Qtr'!H15)</f>
        <v>-13511.000000000015</v>
      </c>
      <c r="I15" s="45">
        <f t="shared" si="2"/>
        <v>-2.0358966353383818E-2</v>
      </c>
    </row>
    <row r="16" spans="1:12" ht="15.75">
      <c r="A16" s="34" t="str">
        <v>Incom</v>
      </c>
      <c r="B16" s="35" t="str">
        <v>MA</v>
      </c>
      <c r="C16" s="36">
        <f>SUM('1st Qtr'!C16, '2nd Qtr'!C16, '3rd Qtr'!C16, '4th Qtr'!C16)</f>
        <v>3181570</v>
      </c>
      <c r="D16" s="37">
        <f>SUM('1st Qtr'!D16, '2nd Qtr'!D16, '3rd Qtr'!D16, '4th Qtr'!D16)</f>
        <v>3632966.5999999996</v>
      </c>
      <c r="E16" s="37">
        <f t="shared" ref="E16:E19" si="3">IF(AND(ISNUMBER(C16),ISNUMBER(D16)), C16-D16, "")</f>
        <v>-451396.59999999963</v>
      </c>
      <c r="F16" s="38">
        <f t="shared" ref="F16:F19" si="4">IFERROR(E16/D16, "")</f>
        <v>-0.1242501376148076</v>
      </c>
      <c r="G16" s="39">
        <f>SUM('1st Qtr'!G16, '2nd Qtr'!G16, '3rd Qtr'!G16, '4th Qtr'!G16)</f>
        <v>3094273.0999999996</v>
      </c>
      <c r="H16" s="39">
        <f>SUM('1st Qtr'!H16, '2nd Qtr'!H16, '3rd Qtr'!H16, '4th Qtr'!H16)</f>
        <v>-204422.79999999996</v>
      </c>
      <c r="I16" s="40">
        <f t="shared" ref="I16:I19" si="5">IFERROR(H16/G16, "")</f>
        <v>-6.6064886127859879E-2</v>
      </c>
    </row>
    <row r="17" spans="1:9" ht="15.75">
      <c r="A17" s="41" t="str">
        <v>JH</v>
      </c>
      <c r="B17" s="42" t="str">
        <v>MA</v>
      </c>
      <c r="C17" s="43">
        <f>SUM('1st Qtr'!C17, '2nd Qtr'!C17, '3rd Qtr'!C17, '4th Qtr'!C17)</f>
        <v>1425811</v>
      </c>
      <c r="D17" s="44">
        <f>SUM('1st Qtr'!D17, '2nd Qtr'!D17, '3rd Qtr'!D17, '4th Qtr'!D17)</f>
        <v>1623947.03</v>
      </c>
      <c r="E17" s="44">
        <f t="shared" si="3"/>
        <v>-198136.03000000003</v>
      </c>
      <c r="F17" s="45">
        <f t="shared" si="4"/>
        <v>-0.12200892414575863</v>
      </c>
      <c r="G17" s="46">
        <f>SUM('1st Qtr'!G17, '2nd Qtr'!G17, '3rd Qtr'!G17, '4th Qtr'!G17)</f>
        <v>1496951.8</v>
      </c>
      <c r="H17" s="72">
        <f>SUM('1st Qtr'!H17, '2nd Qtr'!H17, '3rd Qtr'!H17, '4th Qtr'!H17)</f>
        <v>-210132.7</v>
      </c>
      <c r="I17" s="45">
        <f t="shared" si="5"/>
        <v>-0.14037372479194052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1313371</v>
      </c>
      <c r="D18" s="37">
        <f>SUM('1st Qtr'!D18, '2nd Qtr'!D18, '3rd Qtr'!D18, '4th Qtr'!D18)</f>
        <v>1465021.1700000002</v>
      </c>
      <c r="E18" s="37">
        <f t="shared" si="3"/>
        <v>-151650.17000000016</v>
      </c>
      <c r="F18" s="38">
        <f t="shared" si="4"/>
        <v>-0.10351397857274659</v>
      </c>
      <c r="G18" s="39">
        <f>SUM('1st Qtr'!G18, '2nd Qtr'!G18, '3rd Qtr'!G18, '4th Qtr'!G18)</f>
        <v>1452934.59</v>
      </c>
      <c r="H18" s="39">
        <f>SUM('1st Qtr'!H18, '2nd Qtr'!H18, '3rd Qtr'!H18, '4th Qtr'!H18)</f>
        <v>-272129.88999999996</v>
      </c>
      <c r="I18" s="40">
        <f t="shared" si="5"/>
        <v>-0.18729672476171136</v>
      </c>
    </row>
    <row r="19" spans="1:9" ht="15.75">
      <c r="A19" s="41" t="str">
        <v>Palombo A</v>
      </c>
      <c r="B19" s="41" t="str">
        <v>MA</v>
      </c>
      <c r="C19" s="43">
        <f>SUM('1st Qtr'!C19, '2nd Qtr'!C19, '3rd Qtr'!C19, '4th Qtr'!C19)</f>
        <v>2997791.9999999995</v>
      </c>
      <c r="D19" s="44">
        <f>SUM('1st Qtr'!D19, '2nd Qtr'!D19, '3rd Qtr'!D19, '4th Qtr'!D19)</f>
        <v>3318778.9000000004</v>
      </c>
      <c r="E19" s="44">
        <f t="shared" si="3"/>
        <v>-320986.90000000084</v>
      </c>
      <c r="F19" s="45">
        <f t="shared" si="4"/>
        <v>-9.6718374339429716E-2</v>
      </c>
      <c r="G19" s="46">
        <f>SUM('1st Qtr'!G19, '2nd Qtr'!G19, '3rd Qtr'!G19, '4th Qtr'!G19)</f>
        <v>3196926</v>
      </c>
      <c r="H19" s="72">
        <f>SUM('1st Qtr'!H19, '2nd Qtr'!H19, '3rd Qtr'!H19, '4th Qtr'!H19)</f>
        <v>-515353.00000000041</v>
      </c>
      <c r="I19" s="45">
        <f t="shared" si="5"/>
        <v>-0.16120266781276776</v>
      </c>
    </row>
    <row r="20" spans="1:9" ht="15.75">
      <c r="A20" s="34" t="str">
        <v>Palombo B</v>
      </c>
      <c r="B20" s="41" t="str">
        <v>MA</v>
      </c>
      <c r="C20" s="36">
        <f>SUM('1st Qtr'!C20, '2nd Qtr'!C20, '3rd Qtr'!C20, '4th Qtr'!C20)</f>
        <v>1486607</v>
      </c>
      <c r="D20" s="37">
        <f>SUM('1st Qtr'!D20, '2nd Qtr'!D20, '3rd Qtr'!D20, '4th Qtr'!D20)</f>
        <v>1477030.05</v>
      </c>
      <c r="E20" s="37">
        <f t="shared" ref="E20:E24" si="6">IF(AND(ISNUMBER(C20),ISNUMBER(D20)), C20-D20, "")</f>
        <v>9576.9499999999534</v>
      </c>
      <c r="F20" s="38">
        <f t="shared" ref="F20:F24" si="7">IFERROR(E20/D20, "")</f>
        <v>6.483923600606469E-3</v>
      </c>
      <c r="G20" s="39">
        <f>SUM('1st Qtr'!G20, '2nd Qtr'!G20, '3rd Qtr'!G20, '4th Qtr'!G20)</f>
        <v>1458667.69</v>
      </c>
      <c r="H20" s="39">
        <f>SUM('1st Qtr'!H20, '2nd Qtr'!H20, '3rd Qtr'!H20, '4th Qtr'!H20)</f>
        <v>-84628.790000000023</v>
      </c>
      <c r="I20" s="40">
        <f t="shared" ref="I20:I24" si="8">IFERROR(H20/G20, "")</f>
        <v>-5.8017868346696581E-2</v>
      </c>
    </row>
    <row r="21" spans="1:9" ht="15.75">
      <c r="A21" s="41" t="str">
        <v>St Josephs Church</v>
      </c>
      <c r="B21" s="41" t="str">
        <v>MA</v>
      </c>
      <c r="C21" s="43">
        <f>SUM('1st Qtr'!C21, '2nd Qtr'!C21, '3rd Qtr'!C21, '4th Qtr'!C21)</f>
        <v>1428417</v>
      </c>
      <c r="D21" s="44">
        <f>SUM('1st Qtr'!D21, '2nd Qtr'!D21, '3rd Qtr'!D21, '4th Qtr'!D21)</f>
        <v>1728508.52</v>
      </c>
      <c r="E21" s="44">
        <f t="shared" si="6"/>
        <v>-300091.52000000002</v>
      </c>
      <c r="F21" s="45">
        <f t="shared" si="7"/>
        <v>-0.1736129828275304</v>
      </c>
      <c r="G21" s="46">
        <f>SUM('1st Qtr'!G21, '2nd Qtr'!G21, '3rd Qtr'!G21, '4th Qtr'!G21)</f>
        <v>1440925.7200000002</v>
      </c>
      <c r="H21" s="72">
        <f>SUM('1st Qtr'!H21, '2nd Qtr'!H21, '3rd Qtr'!H21, '4th Qtr'!H21)</f>
        <v>-139006.52000000002</v>
      </c>
      <c r="I21" s="45">
        <f t="shared" si="8"/>
        <v>-9.6470288558663519E-2</v>
      </c>
    </row>
    <row r="22" spans="1:9" ht="15.75">
      <c r="A22" s="34" t="str">
        <v>Sunset A</v>
      </c>
      <c r="B22" s="41" t="str">
        <v>MA</v>
      </c>
      <c r="C22" s="36">
        <f>SUM('1st Qtr'!C22, '2nd Qtr'!C22, '3rd Qtr'!C22, '4th Qtr'!C22)</f>
        <v>673983</v>
      </c>
      <c r="D22" s="37">
        <f>SUM('1st Qtr'!D22, '2nd Qtr'!D22, '3rd Qtr'!D22, '4th Qtr'!D22)</f>
        <v>804254.98</v>
      </c>
      <c r="E22" s="37">
        <f t="shared" si="6"/>
        <v>-130271.97999999998</v>
      </c>
      <c r="F22" s="38">
        <f t="shared" si="7"/>
        <v>-0.16197845613588863</v>
      </c>
      <c r="G22" s="39">
        <f>SUM('1st Qtr'!G22, '2nd Qtr'!G22, '3rd Qtr'!G22, '4th Qtr'!G22)</f>
        <v>660439.29</v>
      </c>
      <c r="H22" s="39">
        <f>SUM('1st Qtr'!H22, '2nd Qtr'!H22, '3rd Qtr'!H22, '4th Qtr'!H22)</f>
        <v>-37536.570000000022</v>
      </c>
      <c r="I22" s="40">
        <f t="shared" si="8"/>
        <v>-5.6835761542896726E-2</v>
      </c>
    </row>
    <row r="23" spans="1:9" ht="15.75">
      <c r="A23" s="41" t="str">
        <v>Sunset B</v>
      </c>
      <c r="B23" s="41" t="str">
        <v>MA</v>
      </c>
      <c r="C23" s="43">
        <f>SUM('1st Qtr'!C23, '2nd Qtr'!C23, '3rd Qtr'!C23, '4th Qtr'!C23)</f>
        <v>629068</v>
      </c>
      <c r="D23" s="44">
        <f>SUM('1st Qtr'!D23, '2nd Qtr'!D23, '3rd Qtr'!D23, '4th Qtr'!D23)</f>
        <v>701626.40999999992</v>
      </c>
      <c r="E23" s="44">
        <f t="shared" si="6"/>
        <v>-72558.409999999916</v>
      </c>
      <c r="F23" s="45">
        <f t="shared" si="7"/>
        <v>-0.10341459352990992</v>
      </c>
      <c r="G23" s="46">
        <f>SUM('1st Qtr'!G23, '2nd Qtr'!G23, '3rd Qtr'!G23, '4th Qtr'!G23)</f>
        <v>652513.02</v>
      </c>
      <c r="H23" s="72">
        <f>SUM('1st Qtr'!H23, '2nd Qtr'!H23, '3rd Qtr'!H23, '4th Qtr'!H23)</f>
        <v>-73913.350000000006</v>
      </c>
      <c r="I23" s="45">
        <f t="shared" si="8"/>
        <v>-0.11327490446091022</v>
      </c>
    </row>
    <row r="24" spans="1:9" ht="15.75">
      <c r="A24" s="34" t="str">
        <v>Woodchuck</v>
      </c>
      <c r="B24" s="41" t="str">
        <v>MA</v>
      </c>
      <c r="C24" s="36">
        <f>SUM('1st Qtr'!C24, '2nd Qtr'!C24, '3rd Qtr'!C24, '4th Qtr'!C24)</f>
        <v>1475378</v>
      </c>
      <c r="D24" s="37">
        <f>SUM('1st Qtr'!D24, '2nd Qtr'!D24, '3rd Qtr'!D24, '4th Qtr'!D24)</f>
        <v>1605611.98</v>
      </c>
      <c r="E24" s="37">
        <f t="shared" si="6"/>
        <v>-130233.97999999998</v>
      </c>
      <c r="F24" s="38">
        <f t="shared" si="7"/>
        <v>-8.1111739089041915E-2</v>
      </c>
      <c r="G24" s="39">
        <f>SUM('1st Qtr'!G24, '2nd Qtr'!G24, '3rd Qtr'!G24, '4th Qtr'!G24)</f>
        <v>1525717.3</v>
      </c>
      <c r="H24" s="39">
        <f>SUM('1st Qtr'!H24, '2nd Qtr'!H24, '3rd Qtr'!H24, '4th Qtr'!H24)</f>
        <v>-183724.00000000003</v>
      </c>
      <c r="I24" s="40">
        <f t="shared" si="8"/>
        <v>-0.12041811415522392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38 DN</v>
      </c>
      <c r="B1" s="80"/>
      <c r="C1" s="80"/>
      <c r="D1" s="81" t="s">
        <v>10</v>
      </c>
      <c r="E1" s="81"/>
      <c r="F1" s="81"/>
      <c r="G1" s="79" t="s">
        <v>11</v>
      </c>
      <c r="H1" s="79"/>
      <c r="I1" s="79"/>
    </row>
    <row r="2" spans="1:9" ht="19.5" customHeight="1">
      <c r="A2" s="82" t="s">
        <v>2</v>
      </c>
      <c r="B2" s="82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2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5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38 DN</v>
      </c>
      <c r="B1" s="80"/>
      <c r="C1" s="80"/>
      <c r="D1" s="81" t="s">
        <v>12</v>
      </c>
      <c r="E1" s="81"/>
      <c r="F1" s="81"/>
      <c r="G1" s="79" t="s">
        <v>13</v>
      </c>
      <c r="H1" s="79"/>
      <c r="I1" s="79"/>
    </row>
    <row r="2" spans="1:9" ht="19.5" customHeight="1">
      <c r="A2" s="82" t="s">
        <v>2</v>
      </c>
      <c r="B2" s="82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75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75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75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75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75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75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75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75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75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75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75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75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75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75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38 DN</v>
      </c>
      <c r="B1" s="80"/>
      <c r="C1" s="80"/>
      <c r="D1" s="81" t="s">
        <v>14</v>
      </c>
      <c r="E1" s="81"/>
      <c r="F1" s="81"/>
      <c r="G1" s="79" t="s">
        <v>15</v>
      </c>
      <c r="H1" s="79"/>
      <c r="I1" s="79"/>
    </row>
    <row r="2" spans="1:9" ht="19.5" customHeight="1">
      <c r="A2" s="82" t="s">
        <v>2</v>
      </c>
      <c r="B2" s="82"/>
      <c r="C2" s="5">
        <f>SUM(C4:C99)</f>
        <v>13005737.750011079</v>
      </c>
      <c r="D2" s="5">
        <f>SUM(D4:D99)</f>
        <v>13370635.809999997</v>
      </c>
      <c r="E2" s="5">
        <f>C2-D2</f>
        <v>-364898.05998891778</v>
      </c>
      <c r="F2" s="6">
        <f>IFERROR(E2/D2, 0)</f>
        <v>-2.7291002849393883E-2</v>
      </c>
      <c r="G2" s="5">
        <f>SUM(G4:G99)</f>
        <v>13994637.689999998</v>
      </c>
      <c r="H2" s="7">
        <f>C2-G2</f>
        <v>-988899.9399889186</v>
      </c>
      <c r="I2" s="6">
        <f>IFERROR(H2/G2, 0)</f>
        <v>-7.0662775406865053E-2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592229</v>
      </c>
      <c r="D4" s="37">
        <f>SUM(Jul!D4, Aug!D4, Sep!D4)</f>
        <v>761016.90000000014</v>
      </c>
      <c r="E4" s="37">
        <f>IF(AND(ISNUMBER(C4),ISNUMBER(D4)), C4-D4, "")</f>
        <v>-168787.90000000014</v>
      </c>
      <c r="F4" s="38">
        <f>IFERROR(E4/D4, "")</f>
        <v>-0.22179257779952075</v>
      </c>
      <c r="G4" s="39">
        <f>SUM(Jul!G4,Aug!G4,Sep!G4)</f>
        <v>748534.5</v>
      </c>
      <c r="H4" s="39">
        <f>SUM(Jul!H4, Aug!H4, Sep!H4)</f>
        <v>-156305.49999999997</v>
      </c>
      <c r="I4" s="40">
        <f>IFERROR(H4/G4, "")</f>
        <v>-0.20881535854392813</v>
      </c>
    </row>
    <row r="5" spans="1:9" ht="15.75">
      <c r="A5" s="56" t="str">
        <v>Barton Acres</v>
      </c>
      <c r="B5" s="42" t="str">
        <v>MA</v>
      </c>
      <c r="C5" s="43">
        <f>SUM(Jul!C5, Aug!C5, Sep!C5)</f>
        <v>553855</v>
      </c>
      <c r="D5" s="44">
        <f>SUM(Jul!D5, Aug!D5, Sep!D5)</f>
        <v>558455.5</v>
      </c>
      <c r="E5" s="44">
        <f t="shared" ref="E5:E15" si="0">IF(AND(ISNUMBER(C5),ISNUMBER(D5)), C5-D5, "")</f>
        <v>-4600.5</v>
      </c>
      <c r="F5" s="45">
        <f>IFERROR(E5/D5, "")</f>
        <v>-8.2378989910565845E-3</v>
      </c>
      <c r="G5" s="46">
        <f>SUM(Jul!G5,Aug!G5,Sep!G5)</f>
        <v>531741.4</v>
      </c>
      <c r="H5" s="46">
        <f>SUM(Jul!H5, Aug!H5, Sep!H5)</f>
        <v>22113.600000000006</v>
      </c>
      <c r="I5" s="45">
        <f>IFERROR(H5/G5, "")</f>
        <v>4.1587132391797975E-2</v>
      </c>
    </row>
    <row r="6" spans="1:9" ht="15.75">
      <c r="A6" s="55" t="str">
        <v>Bowden</v>
      </c>
      <c r="B6" s="35" t="str">
        <v>MA</v>
      </c>
      <c r="C6" s="36">
        <f>SUM(Jul!C6, Aug!C6, Sep!C6)</f>
        <v>1086417</v>
      </c>
      <c r="D6" s="37">
        <f>SUM(Jul!D6, Aug!D6, Sep!D6)</f>
        <v>1087913.3</v>
      </c>
      <c r="E6" s="37">
        <f t="shared" si="0"/>
        <v>-1496.3000000000466</v>
      </c>
      <c r="F6" s="38">
        <f t="shared" ref="F6:F15" si="1">IFERROR(E6/D6, "")</f>
        <v>-1.3753853363131479E-3</v>
      </c>
      <c r="G6" s="39">
        <f>SUM(Jul!G6,Aug!G6,Sep!G6)</f>
        <v>1118004.8999999999</v>
      </c>
      <c r="H6" s="39">
        <f>SUM(Jul!H6, Aug!H6, Sep!H6)</f>
        <v>-31587.899999999965</v>
      </c>
      <c r="I6" s="40">
        <f t="shared" ref="I6:I15" si="2">IFERROR(H6/G6, "")</f>
        <v>-2.8253811767730147E-2</v>
      </c>
    </row>
    <row r="7" spans="1:9" ht="15.75">
      <c r="A7" s="56" t="str">
        <v>Blair Wire Village</v>
      </c>
      <c r="B7" s="42" t="str">
        <v>MA</v>
      </c>
      <c r="C7" s="43">
        <f>SUM(Jul!C7, Aug!C7, Sep!C7)</f>
        <v>520404</v>
      </c>
      <c r="D7" s="44">
        <f>SUM(Jul!D7, Aug!D7, Sep!D7)</f>
        <v>549729</v>
      </c>
      <c r="E7" s="44">
        <f t="shared" si="0"/>
        <v>-29325</v>
      </c>
      <c r="F7" s="45">
        <f t="shared" si="1"/>
        <v>-5.3344466091474162E-2</v>
      </c>
      <c r="G7" s="46">
        <f>SUM(Jul!G7,Aug!G7,Sep!G7)</f>
        <v>560536.19999999995</v>
      </c>
      <c r="H7" s="46">
        <f>SUM(Jul!H7, Aug!H7, Sep!H7)</f>
        <v>-40132.199999999983</v>
      </c>
      <c r="I7" s="45">
        <f t="shared" si="2"/>
        <v>-7.1596089601349541E-2</v>
      </c>
    </row>
    <row r="8" spans="1:9" ht="15.75">
      <c r="A8" s="55" t="str">
        <v>Boutilier</v>
      </c>
      <c r="B8" s="35" t="str">
        <v>MA</v>
      </c>
      <c r="C8" s="36">
        <f>SUM(Jul!C8, Aug!C8, Sep!C8)</f>
        <v>1458904</v>
      </c>
      <c r="D8" s="37">
        <f>SUM(Jul!D8, Aug!D8, Sep!D8)</f>
        <v>1416474.8</v>
      </c>
      <c r="E8" s="37">
        <f t="shared" si="0"/>
        <v>42429.199999999953</v>
      </c>
      <c r="F8" s="38">
        <f t="shared" si="1"/>
        <v>2.9954080369096543E-2</v>
      </c>
      <c r="G8" s="39">
        <f>SUM(Jul!G8,Aug!G8,Sep!G8)</f>
        <v>1459690.0999999999</v>
      </c>
      <c r="H8" s="39">
        <f>SUM(Jul!H8, Aug!H8, Sep!H8)</f>
        <v>-786.09999999997672</v>
      </c>
      <c r="I8" s="40">
        <f t="shared" si="2"/>
        <v>-5.3853896796311545E-4</v>
      </c>
    </row>
    <row r="9" spans="1:9" ht="15.75">
      <c r="A9" s="56" t="str">
        <v>Cherry Valley</v>
      </c>
      <c r="B9" s="42" t="str">
        <v>MA</v>
      </c>
      <c r="C9" s="43">
        <f>SUM(Jul!C9, Aug!C9, Sep!C9)</f>
        <v>493697</v>
      </c>
      <c r="D9" s="44">
        <f>SUM(Jul!D9, Aug!D9, Sep!D9)</f>
        <v>533416.1</v>
      </c>
      <c r="E9" s="44">
        <f t="shared" si="0"/>
        <v>-39719.099999999977</v>
      </c>
      <c r="F9" s="45">
        <f t="shared" si="1"/>
        <v>-7.4461756966090781E-2</v>
      </c>
      <c r="G9" s="46">
        <f>SUM(Jul!G9,Aug!G9,Sep!G9)</f>
        <v>531296</v>
      </c>
      <c r="H9" s="46">
        <f>SUM(Jul!H9, Aug!H9, Sep!H9)</f>
        <v>-37599</v>
      </c>
      <c r="I9" s="45">
        <f t="shared" si="2"/>
        <v>-7.0768460519183285E-2</v>
      </c>
    </row>
    <row r="10" spans="1:9" ht="15.75">
      <c r="A10" s="55" t="str">
        <v>Cohasse</v>
      </c>
      <c r="B10" s="35" t="str">
        <v>MA</v>
      </c>
      <c r="C10" s="36">
        <f>SUM(Jul!C10, Aug!C10, Sep!C10)</f>
        <v>466936</v>
      </c>
      <c r="D10" s="37">
        <f>SUM(Jul!D10, Aug!D10, Sep!D10)</f>
        <v>481871.6</v>
      </c>
      <c r="E10" s="37">
        <f t="shared" si="0"/>
        <v>-14935.599999999977</v>
      </c>
      <c r="F10" s="38">
        <f t="shared" si="1"/>
        <v>-3.0994978745375278E-2</v>
      </c>
      <c r="G10" s="39">
        <f>SUM(Jul!G10,Aug!G10,Sep!G10)</f>
        <v>553726</v>
      </c>
      <c r="H10" s="39">
        <f>SUM(Jul!H10, Aug!H10, Sep!H10)</f>
        <v>-86790</v>
      </c>
      <c r="I10" s="40">
        <f t="shared" si="2"/>
        <v>-0.15673817014191135</v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1065372</v>
      </c>
      <c r="D11" s="44">
        <f>SUM(Jul!D11, Aug!D11, Sep!D11)</f>
        <v>1040719.2999999999</v>
      </c>
      <c r="E11" s="44">
        <f t="shared" si="0"/>
        <v>24652.70000000007</v>
      </c>
      <c r="F11" s="45">
        <f t="shared" si="1"/>
        <v>2.3688135696147916E-2</v>
      </c>
      <c r="G11" s="46">
        <f>SUM(Jul!G11,Aug!G11,Sep!G11)</f>
        <v>1103336.7999999998</v>
      </c>
      <c r="H11" s="46">
        <f>SUM(Jul!H11, Aug!H11, Sep!H11)</f>
        <v>-37964.799999999988</v>
      </c>
      <c r="I11" s="45">
        <f t="shared" si="2"/>
        <v>-3.4409076176920766E-2</v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517040</v>
      </c>
      <c r="D12" s="37">
        <f>SUM(Jul!D12, Aug!D12, Sep!D12)</f>
        <v>387132.59</v>
      </c>
      <c r="E12" s="37">
        <f t="shared" si="0"/>
        <v>129907.40999999997</v>
      </c>
      <c r="F12" s="38">
        <f t="shared" si="1"/>
        <v>0.33556309480428903</v>
      </c>
      <c r="G12" s="39">
        <f>SUM(Jul!G12,Aug!G12,Sep!G12)</f>
        <v>563420.19999999995</v>
      </c>
      <c r="H12" s="39">
        <f>SUM(Jul!H12, Aug!H12, Sep!H12)</f>
        <v>-46380.200000000012</v>
      </c>
      <c r="I12" s="40">
        <f t="shared" si="2"/>
        <v>-8.2319022285675975E-2</v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493559</v>
      </c>
      <c r="D13" s="44">
        <f>SUM(Jul!D13, Aug!D13, Sep!D13)</f>
        <v>512375.7</v>
      </c>
      <c r="E13" s="44">
        <f t="shared" si="0"/>
        <v>-18816.700000000012</v>
      </c>
      <c r="F13" s="45">
        <f t="shared" si="1"/>
        <v>-3.6724419210356796E-2</v>
      </c>
      <c r="G13" s="46">
        <f>SUM(Jul!G13,Aug!G13,Sep!G13)</f>
        <v>536786.30000000005</v>
      </c>
      <c r="H13" s="46">
        <f>SUM(Jul!H13, Aug!H13, Sep!H13)</f>
        <v>-43227.299999999988</v>
      </c>
      <c r="I13" s="45">
        <f t="shared" si="2"/>
        <v>-8.0529812329413003E-2</v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492498</v>
      </c>
      <c r="D14" s="37">
        <f>SUM(Jul!D14, Aug!D14, Sep!D14)</f>
        <v>509774.3</v>
      </c>
      <c r="E14" s="37">
        <f t="shared" si="0"/>
        <v>-17276.299999999988</v>
      </c>
      <c r="F14" s="38">
        <f t="shared" si="1"/>
        <v>-3.3890096068004978E-2</v>
      </c>
      <c r="G14" s="39">
        <f>SUM(Jul!G14,Aug!G14,Sep!G14)</f>
        <v>544229.80000000005</v>
      </c>
      <c r="H14" s="39">
        <f>SUM(Jul!H14, Aug!H14, Sep!H14)</f>
        <v>-51731.800000000017</v>
      </c>
      <c r="I14" s="40">
        <f t="shared" si="2"/>
        <v>-9.5055066811850455E-2</v>
      </c>
    </row>
    <row r="15" spans="1:9" ht="15.75">
      <c r="A15" s="56" t="str">
        <v>Flint Pond</v>
      </c>
      <c r="B15" s="42" t="str">
        <v>MA</v>
      </c>
      <c r="C15" s="43">
        <f>SUM(Jul!C15, Aug!C15, Sep!C15)</f>
        <v>243664.5</v>
      </c>
      <c r="D15" s="44">
        <f>SUM(Jul!D15, Aug!D15, Sep!D15)</f>
        <v>207224.68</v>
      </c>
      <c r="E15" s="44">
        <f t="shared" si="0"/>
        <v>36439.820000000007</v>
      </c>
      <c r="F15" s="45">
        <f t="shared" si="1"/>
        <v>0.17584691167094579</v>
      </c>
      <c r="G15" s="46">
        <f>SUM(Jul!G15,Aug!G15,Sep!G15)</f>
        <v>249183.40000000002</v>
      </c>
      <c r="H15" s="46">
        <f>SUM(Jul!H15, Aug!H15, Sep!H15)</f>
        <v>-5518.9000000000087</v>
      </c>
      <c r="I15" s="45">
        <f t="shared" si="2"/>
        <v>-2.214794404442675E-2</v>
      </c>
    </row>
    <row r="16" spans="1:9" ht="15.75">
      <c r="A16" s="55" t="str">
        <v>Incom</v>
      </c>
      <c r="B16" s="35" t="str">
        <v>MA</v>
      </c>
      <c r="C16" s="36">
        <f>SUM(Jul!C16, Aug!C16, Sep!C16)</f>
        <v>1101798</v>
      </c>
      <c r="D16" s="37">
        <f>SUM(Jul!D16, Aug!D16, Sep!D16)</f>
        <v>1189377.8</v>
      </c>
      <c r="E16" s="37">
        <f t="shared" ref="E16:E19" si="3">IF(AND(ISNUMBER(C16),ISNUMBER(D16)), C16-D16, "")</f>
        <v>-87579.800000000047</v>
      </c>
      <c r="F16" s="38">
        <f t="shared" ref="F16:F19" si="4">IFERROR(E16/D16, "")</f>
        <v>-7.3634971158869827E-2</v>
      </c>
      <c r="G16" s="39">
        <f>SUM(Jul!G16,Aug!G16,Sep!G16)</f>
        <v>1128296.2</v>
      </c>
      <c r="H16" s="39">
        <f>SUM(Jul!H16, Aug!H16, Sep!H16)</f>
        <v>-26498.199999999953</v>
      </c>
      <c r="I16" s="40">
        <f t="shared" ref="I16:I19" si="5">IFERROR(H16/G16, "")</f>
        <v>-2.3485145124126052E-2</v>
      </c>
    </row>
    <row r="17" spans="1:9" ht="15.75">
      <c r="A17" s="56" t="str">
        <v>JH</v>
      </c>
      <c r="B17" s="42" t="str">
        <v>MA</v>
      </c>
      <c r="C17" s="43">
        <f>SUM(Jul!C17, Aug!C17, Sep!C17)</f>
        <v>487011</v>
      </c>
      <c r="D17" s="44">
        <f>SUM(Jul!D17, Aug!D17, Sep!D17)</f>
        <v>517846.7</v>
      </c>
      <c r="E17" s="44">
        <f t="shared" si="3"/>
        <v>-30835.700000000012</v>
      </c>
      <c r="F17" s="45">
        <f t="shared" si="4"/>
        <v>-5.9546000775905321E-2</v>
      </c>
      <c r="G17" s="46">
        <f>SUM(Jul!G17,Aug!G17,Sep!G17)</f>
        <v>543903.1</v>
      </c>
      <c r="H17" s="46">
        <f>SUM(Jul!H17, Aug!H17, Sep!H17)</f>
        <v>-56892.100000000006</v>
      </c>
      <c r="I17" s="45">
        <f t="shared" si="5"/>
        <v>-0.10459969799767643</v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446177</v>
      </c>
      <c r="D18" s="37">
        <f>SUM(Jul!D18, Aug!D18, Sep!D18)</f>
        <v>491167</v>
      </c>
      <c r="E18" s="37">
        <f t="shared" si="3"/>
        <v>-44990</v>
      </c>
      <c r="F18" s="38">
        <f t="shared" si="4"/>
        <v>-9.1598173330048646E-2</v>
      </c>
      <c r="G18" s="39">
        <f>SUM(Jul!G18,Aug!G18,Sep!G18)</f>
        <v>529942.60000000009</v>
      </c>
      <c r="H18" s="39">
        <f>SUM(Jul!H18, Aug!H18, Sep!H18)</f>
        <v>-83765.600000000006</v>
      </c>
      <c r="I18" s="40">
        <f t="shared" si="5"/>
        <v>-0.15806542067008764</v>
      </c>
    </row>
    <row r="19" spans="1:9" ht="15.75">
      <c r="A19" s="56" t="str">
        <v>Palombo A</v>
      </c>
      <c r="B19" s="41" t="str">
        <v>MA</v>
      </c>
      <c r="C19" s="43">
        <f>SUM(Jul!C19, Aug!C19, Sep!C19)</f>
        <v>1005607.000011079</v>
      </c>
      <c r="D19" s="44">
        <f>SUM(Jul!D19, Aug!D19, Sep!D19)</f>
        <v>1052692.3</v>
      </c>
      <c r="E19" s="44">
        <f t="shared" si="3"/>
        <v>-47085.299988921033</v>
      </c>
      <c r="F19" s="45">
        <f t="shared" si="4"/>
        <v>-4.4728454828558195E-2</v>
      </c>
      <c r="G19" s="46">
        <f>SUM(Jul!G19,Aug!G19,Sep!G19)</f>
        <v>1145547</v>
      </c>
      <c r="H19" s="46">
        <f>SUM(Jul!H19, Aug!H19, Sep!H19)</f>
        <v>-139939.99998892099</v>
      </c>
      <c r="I19" s="45">
        <f t="shared" si="5"/>
        <v>-0.12215998120454331</v>
      </c>
    </row>
    <row r="20" spans="1:9" ht="15.75">
      <c r="A20" s="55" t="str">
        <v>Palombo B</v>
      </c>
      <c r="B20" s="34" t="str">
        <v>MA</v>
      </c>
      <c r="C20" s="36">
        <f>SUM(Jul!C20, Aug!C20, Sep!C20)</f>
        <v>505920</v>
      </c>
      <c r="D20" s="37">
        <f>SUM(Jul!D20, Aug!D20, Sep!D20)</f>
        <v>456291.6</v>
      </c>
      <c r="E20" s="37">
        <f t="shared" ref="E20:E24" si="6">IF(AND(ISNUMBER(C20),ISNUMBER(D20)), C20-D20, "")</f>
        <v>49628.400000000023</v>
      </c>
      <c r="F20" s="38">
        <f t="shared" ref="F20:F24" si="7">IFERROR(E20/D20, "")</f>
        <v>0.10876465838950361</v>
      </c>
      <c r="G20" s="39">
        <f>SUM(Jul!G20,Aug!G20,Sep!G20)</f>
        <v>553193.1</v>
      </c>
      <c r="H20" s="39">
        <f>SUM(Jul!H20, Aug!H20, Sep!H20)</f>
        <v>-47273.100000000006</v>
      </c>
      <c r="I20" s="40">
        <f t="shared" ref="I20:I24" si="8">IFERROR(H20/G20, "")</f>
        <v>-8.5454970425336119E-2</v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473995</v>
      </c>
      <c r="D21" s="44">
        <f>SUM(Jul!D21, Aug!D21, Sep!D21)</f>
        <v>560694.69999999995</v>
      </c>
      <c r="E21" s="44">
        <f t="shared" si="6"/>
        <v>-86699.699999999953</v>
      </c>
      <c r="F21" s="45">
        <f t="shared" si="7"/>
        <v>-0.15462906997337403</v>
      </c>
      <c r="G21" s="46">
        <f>SUM(Jul!G21,Aug!G21,Sep!G21)</f>
        <v>531825.1</v>
      </c>
      <c r="H21" s="46">
        <f>SUM(Jul!H21, Aug!H21, Sep!H21)</f>
        <v>-57830.100000000006</v>
      </c>
      <c r="I21" s="45">
        <f t="shared" si="8"/>
        <v>-0.1087389444386886</v>
      </c>
    </row>
    <row r="22" spans="1:9" ht="15.75">
      <c r="A22" s="55" t="str">
        <v>Sunset A</v>
      </c>
      <c r="B22" s="34" t="str">
        <v>MA</v>
      </c>
      <c r="C22" s="36">
        <f>SUM(Jul!C22, Aug!C22, Sep!C22)</f>
        <v>251885</v>
      </c>
      <c r="D22" s="37">
        <f>SUM(Jul!D22, Aug!D22, Sep!D22)</f>
        <v>275668.7</v>
      </c>
      <c r="E22" s="37">
        <f t="shared" si="6"/>
        <v>-23783.700000000012</v>
      </c>
      <c r="F22" s="38">
        <f t="shared" si="7"/>
        <v>-8.6276389013333801E-2</v>
      </c>
      <c r="G22" s="39">
        <f>SUM(Jul!G22,Aug!G22,Sep!G22)</f>
        <v>250350.85</v>
      </c>
      <c r="H22" s="39">
        <f>SUM(Jul!H22, Aug!H22, Sep!H22)</f>
        <v>1534.1499999999942</v>
      </c>
      <c r="I22" s="40">
        <f t="shared" si="8"/>
        <v>6.1279999648493066E-3</v>
      </c>
    </row>
    <row r="23" spans="1:9" ht="15.75">
      <c r="A23" s="56" t="str">
        <v>Sunset B</v>
      </c>
      <c r="B23" s="41" t="str">
        <v>MA</v>
      </c>
      <c r="C23" s="43">
        <f>SUM(Jul!C23, Aug!C23, Sep!C23)</f>
        <v>237063.25</v>
      </c>
      <c r="D23" s="44">
        <f>SUM(Jul!D23, Aug!D23, Sep!D23)</f>
        <v>246994.84</v>
      </c>
      <c r="E23" s="44">
        <f t="shared" si="6"/>
        <v>-9931.5899999999965</v>
      </c>
      <c r="F23" s="45">
        <f t="shared" si="7"/>
        <v>-4.0209706405202619E-2</v>
      </c>
      <c r="G23" s="46">
        <f>SUM(Jul!G23,Aug!G23,Sep!G23)</f>
        <v>247344.14</v>
      </c>
      <c r="H23" s="46">
        <f>SUM(Jul!H23, Aug!H23, Sep!H23)</f>
        <v>-10280.89</v>
      </c>
      <c r="I23" s="45">
        <f t="shared" si="8"/>
        <v>-4.1565124607358797E-2</v>
      </c>
    </row>
    <row r="24" spans="1:9" ht="15.75">
      <c r="A24" s="55" t="str">
        <v>Woodchuck</v>
      </c>
      <c r="B24" s="34" t="str">
        <v>MA</v>
      </c>
      <c r="C24" s="36">
        <f>SUM(Jul!C24, Aug!C24, Sep!C24)</f>
        <v>511706</v>
      </c>
      <c r="D24" s="37">
        <f>SUM(Jul!D24, Aug!D24, Sep!D24)</f>
        <v>533798.40000000002</v>
      </c>
      <c r="E24" s="37">
        <f t="shared" si="6"/>
        <v>-22092.400000000023</v>
      </c>
      <c r="F24" s="38">
        <f t="shared" si="7"/>
        <v>-4.138716039613461E-2</v>
      </c>
      <c r="G24" s="39">
        <f>SUM(Jul!G24,Aug!G24,Sep!G24)</f>
        <v>563750</v>
      </c>
      <c r="H24" s="39">
        <f>SUM(Jul!H24, Aug!H24, Sep!H24)</f>
        <v>-52044.000000000029</v>
      </c>
      <c r="I24" s="40">
        <f t="shared" si="8"/>
        <v>-9.2317516629711799E-2</v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38 DN</v>
      </c>
      <c r="B1" s="80"/>
      <c r="C1" s="80"/>
      <c r="D1" s="81" t="s">
        <v>16</v>
      </c>
      <c r="E1" s="81"/>
      <c r="F1" s="81"/>
      <c r="G1" s="79" t="s">
        <v>17</v>
      </c>
      <c r="H1" s="79"/>
      <c r="I1" s="79"/>
    </row>
    <row r="2" spans="1:9" ht="19.5" customHeight="1">
      <c r="A2" s="82" t="s">
        <v>2</v>
      </c>
      <c r="B2" s="82"/>
      <c r="C2" s="5">
        <f>SUM(C4:C99)</f>
        <v>3766084.7466666619</v>
      </c>
      <c r="D2" s="5">
        <f>SUM(D4:D99)</f>
        <v>4186646.21</v>
      </c>
      <c r="E2" s="5">
        <f>C2-D2</f>
        <v>-420561.46333333803</v>
      </c>
      <c r="F2" s="6">
        <f>IFERROR(E2/D2, 0)</f>
        <v>-0.10045306965007154</v>
      </c>
      <c r="G2" s="5">
        <f>SUM(G4:G99)</f>
        <v>0</v>
      </c>
      <c r="H2" s="7">
        <f>C2-G2</f>
        <v>3766084.7466666619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132416.5</v>
      </c>
      <c r="D4" s="37">
        <f>SUM(Oct!D4, Nov!D4, Dec!D4)</f>
        <v>139641.9</v>
      </c>
      <c r="E4" s="37">
        <f>IF(AND(ISNUMBER(C4),ISNUMBER(D4)), C4-D4, "")</f>
        <v>-7225.3999999999942</v>
      </c>
      <c r="F4" s="38">
        <f>IFERROR(E4/D4, "")</f>
        <v>-5.1742349538354854E-2</v>
      </c>
      <c r="G4" s="39"/>
      <c r="H4" s="39">
        <f>SUM(Oct!H4, Nov!H4, Dec!H4)</f>
        <v>-61136.700000000012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153492</v>
      </c>
      <c r="D5" s="44">
        <f>SUM(Oct!D5, Nov!D5, Dec!D5)</f>
        <v>182494.2</v>
      </c>
      <c r="E5" s="44">
        <f t="shared" ref="E5:E15" si="0">IF(AND(ISNUMBER(C5),ISNUMBER(D5)), C5-D5, "")</f>
        <v>-29002.200000000012</v>
      </c>
      <c r="F5" s="45">
        <f>IFERROR(E5/D5, "")</f>
        <v>-0.15892121503039555</v>
      </c>
      <c r="G5" s="46"/>
      <c r="H5" s="46">
        <f>SUM(Oct!H5, Nov!H5, Dec!H5)</f>
        <v>44994.899999999994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313995</v>
      </c>
      <c r="D6" s="37">
        <f>SUM(Oct!D6, Nov!D6, Dec!D6)</f>
        <v>316404.5</v>
      </c>
      <c r="E6" s="37">
        <f t="shared" si="0"/>
        <v>-2409.5</v>
      </c>
      <c r="F6" s="38">
        <f t="shared" ref="F6:F15" si="1">IFERROR(E6/D6, "")</f>
        <v>-7.6152519954678271E-3</v>
      </c>
      <c r="G6" s="39"/>
      <c r="H6" s="39">
        <f>SUM(Oct!H6, Nov!H6, Dec!H6)</f>
        <v>33971.099999999977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150580</v>
      </c>
      <c r="D7" s="44">
        <f>SUM(Oct!D7, Nov!D7, Dec!D7)</f>
        <v>185283.6</v>
      </c>
      <c r="E7" s="44">
        <f t="shared" si="0"/>
        <v>-34703.600000000006</v>
      </c>
      <c r="F7" s="45">
        <f t="shared" si="1"/>
        <v>-0.18729990134043167</v>
      </c>
      <c r="G7" s="46"/>
      <c r="H7" s="46">
        <f>SUM(Oct!H7, Nov!H7, Dec!H7)</f>
        <v>8245.7999999999884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415879</v>
      </c>
      <c r="D8" s="37">
        <f>SUM(Oct!D8, Nov!D8, Dec!D8)</f>
        <v>431459.8</v>
      </c>
      <c r="E8" s="37">
        <f t="shared" si="0"/>
        <v>-15580.799999999988</v>
      </c>
      <c r="F8" s="38">
        <f t="shared" si="1"/>
        <v>-3.6111823164058365E-2</v>
      </c>
      <c r="G8" s="39"/>
      <c r="H8" s="39">
        <f>SUM(Oct!H8, Nov!H8, Dec!H8)</f>
        <v>118042.79999999999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146109</v>
      </c>
      <c r="D9" s="44">
        <f>SUM(Oct!D9, Nov!D9, Dec!D9)</f>
        <v>186175.5</v>
      </c>
      <c r="E9" s="44">
        <f t="shared" si="0"/>
        <v>-40066.5</v>
      </c>
      <c r="F9" s="45">
        <f t="shared" si="1"/>
        <v>-0.21520823094338407</v>
      </c>
      <c r="G9" s="46"/>
      <c r="H9" s="46">
        <f>SUM(Oct!H9, Nov!H9, Dec!H9)</f>
        <v>30614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133882</v>
      </c>
      <c r="D10" s="37">
        <f>SUM(Oct!D10, Nov!D10, Dec!D10)</f>
        <v>172886.39999999999</v>
      </c>
      <c r="E10" s="37">
        <f t="shared" si="0"/>
        <v>-39004.399999999994</v>
      </c>
      <c r="F10" s="38">
        <f t="shared" si="1"/>
        <v>-0.22560710385547963</v>
      </c>
      <c r="G10" s="39"/>
      <c r="H10" s="39">
        <f>SUM(Oct!H10, Nov!H10, Dec!H10)</f>
        <v>-13476.899999999994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347781</v>
      </c>
      <c r="D11" s="44">
        <f>SUM(Oct!D11, Nov!D11, Dec!D11)</f>
        <v>344255.7</v>
      </c>
      <c r="E11" s="44">
        <f t="shared" si="0"/>
        <v>3525.2999999999884</v>
      </c>
      <c r="F11" s="45">
        <f t="shared" si="1"/>
        <v>1.0240353318768543E-2</v>
      </c>
      <c r="G11" s="46"/>
      <c r="H11" s="46">
        <f>SUM(Oct!H11, Nov!H11, Dec!H11)</f>
        <v>52320.900000000023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153153</v>
      </c>
      <c r="D12" s="37">
        <f>SUM(Oct!D12, Nov!D12, Dec!D12)</f>
        <v>122891.4</v>
      </c>
      <c r="E12" s="37">
        <f t="shared" si="0"/>
        <v>30261.600000000006</v>
      </c>
      <c r="F12" s="38">
        <f t="shared" si="1"/>
        <v>0.24624668609845773</v>
      </c>
      <c r="G12" s="39"/>
      <c r="H12" s="39">
        <f>SUM(Oct!H12, Nov!H12, Dec!H12)</f>
        <v>10685.799999999988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149851</v>
      </c>
      <c r="D13" s="44">
        <f>SUM(Oct!D13, Nov!D13, Dec!D13)</f>
        <v>158916.4</v>
      </c>
      <c r="E13" s="44">
        <f t="shared" si="0"/>
        <v>-9065.3999999999942</v>
      </c>
      <c r="F13" s="45">
        <f t="shared" si="1"/>
        <v>-5.7045087857514984E-2</v>
      </c>
      <c r="G13" s="46"/>
      <c r="H13" s="46">
        <f>SUM(Oct!H13, Nov!H13, Dec!H13)</f>
        <v>13283.799999999988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155802</v>
      </c>
      <c r="D14" s="37">
        <f>SUM(Oct!D14, Nov!D14, Dec!D14)</f>
        <v>160181.5</v>
      </c>
      <c r="E14" s="37">
        <f t="shared" si="0"/>
        <v>-4379.5</v>
      </c>
      <c r="F14" s="38">
        <f t="shared" si="1"/>
        <v>-2.7340860211697356E-2</v>
      </c>
      <c r="G14" s="39"/>
      <c r="H14" s="39">
        <f>SUM(Oct!H14, Nov!H14, Dec!H14)</f>
        <v>17206.5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63011</v>
      </c>
      <c r="D15" s="44">
        <f>SUM(Oct!D15, Nov!D15, Dec!D15)</f>
        <v>78047.45</v>
      </c>
      <c r="E15" s="44">
        <f t="shared" si="0"/>
        <v>-15036.449999999997</v>
      </c>
      <c r="F15" s="45">
        <f t="shared" si="1"/>
        <v>-0.19265779983843159</v>
      </c>
      <c r="G15" s="46"/>
      <c r="H15" s="46">
        <f>SUM(Oct!H15, Nov!H15, Dec!H15)</f>
        <v>11426.300000000003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324241</v>
      </c>
      <c r="D16" s="37">
        <f>SUM(Oct!D16, Nov!D16, Dec!D16)</f>
        <v>365201.3</v>
      </c>
      <c r="E16" s="37">
        <f t="shared" ref="E16:E18" si="3">IF(AND(ISNUMBER(C16),ISNUMBER(D16)), C16-D16, "")</f>
        <v>-40960.299999999988</v>
      </c>
      <c r="F16" s="38">
        <f t="shared" ref="F16:F18" si="4">IFERROR(E16/D16, "")</f>
        <v>-0.11215814401536903</v>
      </c>
      <c r="G16" s="39"/>
      <c r="H16" s="39">
        <f>SUM(Oct!H16, Nov!H16, Dec!H16)</f>
        <v>32521.299999999988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137226</v>
      </c>
      <c r="D17" s="44">
        <f>SUM(Oct!D17, Nov!D17, Dec!D17)</f>
        <v>178478.6</v>
      </c>
      <c r="E17" s="44">
        <f t="shared" si="3"/>
        <v>-41252.600000000006</v>
      </c>
      <c r="F17" s="45">
        <f t="shared" si="4"/>
        <v>-0.23113471306924194</v>
      </c>
      <c r="G17" s="46"/>
      <c r="H17" s="46">
        <f>SUM(Oct!H17, Nov!H17, Dec!H17)</f>
        <v>-1765.8999999999942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124121</v>
      </c>
      <c r="D18" s="44">
        <f>SUM(Oct!D18, Nov!D18, Dec!D18)</f>
        <v>143534.6</v>
      </c>
      <c r="E18" s="44">
        <f t="shared" si="3"/>
        <v>-19413.600000000006</v>
      </c>
      <c r="F18" s="45">
        <f t="shared" si="4"/>
        <v>-0.13525379943233204</v>
      </c>
      <c r="G18" s="46"/>
      <c r="H18" s="46">
        <f>SUM(Oct!H18, Nov!H18, Dec!H18)</f>
        <v>-8445.2999999999884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299303.99666666199</v>
      </c>
      <c r="D19" s="37">
        <f>SUM(Oct!D19, Nov!D19, Dec!D19)</f>
        <v>352302</v>
      </c>
      <c r="E19" s="37">
        <f t="shared" ref="E19:E24" si="6">IF(AND(ISNUMBER(C19),ISNUMBER(D19)), C19-D19, "")</f>
        <v>-52998.003333338012</v>
      </c>
      <c r="F19" s="38">
        <f t="shared" ref="F19:F24" si="7">IFERROR(E19/D19, "")</f>
        <v>-0.15043344441228837</v>
      </c>
      <c r="G19" s="39"/>
      <c r="H19" s="39">
        <f>SUM(Oct!H19, Nov!H19, Dec!H19)</f>
        <v>-16915.003333338012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143492</v>
      </c>
      <c r="D20" s="44">
        <f>SUM(Oct!D20, Nov!D20, Dec!D20)</f>
        <v>165396.29999999999</v>
      </c>
      <c r="E20" s="44">
        <f t="shared" si="6"/>
        <v>-21904.299999999988</v>
      </c>
      <c r="F20" s="45">
        <f t="shared" si="7"/>
        <v>-0.13243524794690081</v>
      </c>
      <c r="G20" s="46"/>
      <c r="H20" s="46">
        <f>SUM(Oct!H20, Nov!H20, Dec!H20)</f>
        <v>30923.899999999994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145197</v>
      </c>
      <c r="D21" s="44">
        <f>SUM(Oct!D21, Nov!D21, Dec!D21)</f>
        <v>183542</v>
      </c>
      <c r="E21" s="44">
        <f t="shared" si="6"/>
        <v>-38345</v>
      </c>
      <c r="F21" s="45">
        <f t="shared" si="7"/>
        <v>-0.20891676019657626</v>
      </c>
      <c r="G21" s="46"/>
      <c r="H21" s="46">
        <f>SUM(Oct!H21, Nov!H21, Dec!H21)</f>
        <v>18699.199999999997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71366</v>
      </c>
      <c r="D22" s="37">
        <f>SUM(Oct!D22, Nov!D22, Dec!D22)</f>
        <v>92842.81</v>
      </c>
      <c r="E22" s="37">
        <f t="shared" si="6"/>
        <v>-21476.809999999998</v>
      </c>
      <c r="F22" s="38">
        <f t="shared" si="7"/>
        <v>-0.23132442889223193</v>
      </c>
      <c r="G22" s="39"/>
      <c r="H22" s="39">
        <f>SUM(Oct!H22, Nov!H22, Dec!H22)</f>
        <v>20285.72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64036.25</v>
      </c>
      <c r="D23" s="44">
        <f>SUM(Oct!D23, Nov!D23, Dec!D23)</f>
        <v>71797.850000000006</v>
      </c>
      <c r="E23" s="44">
        <f t="shared" si="6"/>
        <v>-7761.6000000000058</v>
      </c>
      <c r="F23" s="45">
        <f t="shared" si="7"/>
        <v>-0.10810351563452116</v>
      </c>
      <c r="G23" s="46"/>
      <c r="H23" s="46">
        <f>SUM(Oct!H23, Nov!H23, Dec!H23)</f>
        <v>13567.919999999998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141150</v>
      </c>
      <c r="D24" s="44">
        <f>SUM(Oct!D24, Nov!D24, Dec!D24)</f>
        <v>154912.4</v>
      </c>
      <c r="E24" s="44">
        <f t="shared" si="6"/>
        <v>-13762.399999999994</v>
      </c>
      <c r="F24" s="45">
        <f t="shared" si="7"/>
        <v>-8.8839886284119249E-2</v>
      </c>
      <c r="G24" s="46"/>
      <c r="H24" s="46">
        <f>SUM(Oct!H24, Nov!H24, Dec!H24)</f>
        <v>7765.2999999999884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2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2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2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2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80" t="str" cm="1">
        <f t="array" ref="A1">portfolio</f>
        <v>38 DN</v>
      </c>
      <c r="B1" s="80"/>
      <c r="C1" s="80"/>
      <c r="D1" s="81" t="s">
        <v>18</v>
      </c>
      <c r="E1" s="81"/>
      <c r="F1" s="81"/>
      <c r="G1" s="79" t="s">
        <v>19</v>
      </c>
      <c r="H1" s="79"/>
      <c r="I1" s="79"/>
      <c r="J1" s="4"/>
      <c r="K1" s="4"/>
    </row>
    <row r="2" spans="1:11" ht="15">
      <c r="A2" s="82" t="s">
        <v>2</v>
      </c>
      <c r="B2" s="82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7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5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2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40</v>
      </c>
      <c r="E1" s="81"/>
      <c r="F1" s="81"/>
      <c r="G1" s="79" t="s">
        <v>41</v>
      </c>
      <c r="H1" s="79"/>
      <c r="I1" s="79"/>
      <c r="J1" s="60"/>
      <c r="K1" s="60"/>
    </row>
    <row r="2" spans="1:11" ht="19.5" customHeight="1">
      <c r="A2" s="82" t="s">
        <v>2</v>
      </c>
      <c r="B2" s="82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7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5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7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7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5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66</v>
      </c>
      <c r="E1" s="81"/>
      <c r="F1" s="81"/>
      <c r="G1" s="79" t="s">
        <v>67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5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5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5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5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2.7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57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5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5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5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5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2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2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2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104</v>
      </c>
      <c r="E1" s="81"/>
      <c r="F1" s="81"/>
      <c r="G1" s="79" t="s">
        <v>105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75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2.7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75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75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75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75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2.7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2.7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75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115</v>
      </c>
      <c r="E1" s="81"/>
      <c r="F1" s="81"/>
      <c r="G1" s="79" t="s">
        <v>116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28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75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75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75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75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75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75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75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75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75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75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75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75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60" zoomScaleNormal="60" workbookViewId="0">
      <pane xSplit="2" ySplit="3" topLeftCell="C6" activePane="bottomRight" state="frozen"/>
      <selection pane="bottomRight" activeCell="J27" sqref="J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0" t="str" cm="1">
        <f t="array" ref="A1">portfolio</f>
        <v>38 DN</v>
      </c>
      <c r="B1" s="80"/>
      <c r="C1" s="80"/>
      <c r="D1" s="81" t="s">
        <v>132</v>
      </c>
      <c r="E1" s="81"/>
      <c r="F1" s="81"/>
      <c r="G1" s="79" t="s">
        <v>133</v>
      </c>
      <c r="H1" s="79"/>
      <c r="I1" s="79"/>
      <c r="J1" s="4"/>
      <c r="K1" s="4"/>
    </row>
    <row r="2" spans="1:13" ht="19.5" customHeight="1">
      <c r="A2" s="82" t="s">
        <v>2</v>
      </c>
      <c r="B2" s="82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42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57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2.7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2.7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2.7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75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75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28.5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28.5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28.5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75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2.7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75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75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75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75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="80" zoomScaleNormal="80" workbookViewId="0">
      <pane xSplit="2" ySplit="3" topLeftCell="F4" activePane="bottomRight" state="frozen"/>
      <selection pane="bottomRight" activeCell="F27" sqref="F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158</v>
      </c>
      <c r="E1" s="81"/>
      <c r="F1" s="81"/>
      <c r="G1" s="79" t="s">
        <v>159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5205397.0699999994</v>
      </c>
      <c r="H2" s="7">
        <f>C2-G2</f>
        <v>-451131.07332225796</v>
      </c>
      <c r="I2" s="6">
        <f>IFERROR(H2/G2, 0)</f>
        <v>-8.6666025138070396E-2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228805.5</v>
      </c>
      <c r="D4" s="37"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>
        <v>258461.8</v>
      </c>
      <c r="H4" s="39">
        <f>IF(AND(ISNUMBER(C4),ISNUMBER(G4)), C4-G4, "")</f>
        <v>-29656.299999999988</v>
      </c>
      <c r="I4" s="40">
        <f>IFERROR(H4/G4, "")</f>
        <v>-0.11474152079727058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206045</v>
      </c>
      <c r="D5" s="44">
        <v>202434.1</v>
      </c>
      <c r="E5" s="44">
        <f t="shared" ref="E5:E24" si="0">IF(AND(ISNUMBER(C5),ISNUMBER(D5)), C5-D5, "")</f>
        <v>3610.8999999999942</v>
      </c>
      <c r="F5" s="45">
        <f>IFERROR(E5/D5, "")</f>
        <v>1.7837409803980624E-2</v>
      </c>
      <c r="G5" s="46">
        <v>209880.4</v>
      </c>
      <c r="H5" s="46">
        <f t="shared" ref="H5:H24" si="1">IF(AND(ISNUMBER(C5),ISNUMBER(G5)), C5-G5, "")</f>
        <v>-3835.3999999999942</v>
      </c>
      <c r="I5" s="45">
        <f t="shared" ref="I5:I24" si="2">IFERROR(H5/G5, "")</f>
        <v>-1.8274217125562913E-2</v>
      </c>
      <c r="J5" s="58" t="s">
        <v>160</v>
      </c>
      <c r="K5" s="58" t="s">
        <v>161</v>
      </c>
    </row>
    <row r="6" spans="1:11" ht="15.75">
      <c r="A6" s="51" t="str">
        <v>Bowden</v>
      </c>
      <c r="B6" s="48" t="str">
        <v>MA</v>
      </c>
      <c r="C6" s="36">
        <v>402694</v>
      </c>
      <c r="D6" s="37">
        <v>402514.3</v>
      </c>
      <c r="E6" s="37">
        <f t="shared" si="0"/>
        <v>179.70000000001164</v>
      </c>
      <c r="F6" s="38">
        <f t="shared" ref="F6:F24" si="3">IFERROR(E6/D6, "")</f>
        <v>4.4644376609728314E-4</v>
      </c>
      <c r="G6" s="39">
        <v>403575.3</v>
      </c>
      <c r="H6" s="39">
        <f t="shared" si="1"/>
        <v>-881.29999999998836</v>
      </c>
      <c r="I6" s="40">
        <f t="shared" si="2"/>
        <v>-2.1837312640292615E-3</v>
      </c>
      <c r="J6" s="57" t="s">
        <v>162</v>
      </c>
      <c r="K6" s="57" t="s">
        <v>163</v>
      </c>
    </row>
    <row r="7" spans="1:11" ht="15.75">
      <c r="A7" s="49" t="str">
        <v>Blair Wire Village</v>
      </c>
      <c r="B7" s="50" t="str">
        <v>MA</v>
      </c>
      <c r="C7" s="43">
        <v>191619</v>
      </c>
      <c r="D7" s="44">
        <v>198267.5</v>
      </c>
      <c r="E7" s="44">
        <f t="shared" si="0"/>
        <v>-6648.5</v>
      </c>
      <c r="F7" s="45">
        <f t="shared" si="3"/>
        <v>-3.353297943435006E-2</v>
      </c>
      <c r="G7" s="46">
        <v>201927.5</v>
      </c>
      <c r="H7" s="46">
        <f t="shared" si="1"/>
        <v>-10308.5</v>
      </c>
      <c r="I7" s="45">
        <f t="shared" si="2"/>
        <v>-5.1050500798553937E-2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539456</v>
      </c>
      <c r="D8" s="37">
        <v>515865.5</v>
      </c>
      <c r="E8" s="37">
        <f t="shared" si="0"/>
        <v>23590.5</v>
      </c>
      <c r="F8" s="38">
        <f t="shared" si="3"/>
        <v>4.5729943173172076E-2</v>
      </c>
      <c r="G8" s="39">
        <v>576146.19999999995</v>
      </c>
      <c r="H8" s="39">
        <f t="shared" si="1"/>
        <v>-36690.199999999953</v>
      </c>
      <c r="I8" s="40">
        <f t="shared" si="2"/>
        <v>-6.3682100133611849E-2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179659</v>
      </c>
      <c r="D9" s="44">
        <v>189584.3</v>
      </c>
      <c r="E9" s="44">
        <f t="shared" si="0"/>
        <v>-9925.2999999999884</v>
      </c>
      <c r="F9" s="45">
        <f t="shared" si="3"/>
        <v>-5.2352963826645928E-2</v>
      </c>
      <c r="G9" s="46">
        <v>206366</v>
      </c>
      <c r="H9" s="46">
        <f t="shared" si="1"/>
        <v>-26707</v>
      </c>
      <c r="I9" s="45">
        <f t="shared" si="2"/>
        <v>-0.12941569832239808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173632</v>
      </c>
      <c r="D10" s="37">
        <v>170023.8</v>
      </c>
      <c r="E10" s="37">
        <f t="shared" si="0"/>
        <v>3608.2000000000116</v>
      </c>
      <c r="F10" s="38">
        <f t="shared" si="3"/>
        <v>2.1221734839475485E-2</v>
      </c>
      <c r="G10" s="39">
        <v>202694.9</v>
      </c>
      <c r="H10" s="39">
        <f t="shared" si="1"/>
        <v>-29062.899999999994</v>
      </c>
      <c r="I10" s="40">
        <f t="shared" si="2"/>
        <v>-0.14338249260341526</v>
      </c>
      <c r="J10" s="57"/>
      <c r="K10" s="57"/>
    </row>
    <row r="11" spans="1:11" ht="57">
      <c r="A11" s="49" t="str">
        <v>ISM Dighton Solar 2</v>
      </c>
      <c r="B11" s="50" t="str">
        <v>MA</v>
      </c>
      <c r="C11" s="43">
        <v>378895</v>
      </c>
      <c r="D11" s="44">
        <v>363256.1</v>
      </c>
      <c r="E11" s="44">
        <f t="shared" si="0"/>
        <v>15638.900000000023</v>
      </c>
      <c r="F11" s="45">
        <f t="shared" si="3"/>
        <v>4.3051995548044543E-2</v>
      </c>
      <c r="G11" s="46">
        <v>394151.3</v>
      </c>
      <c r="H11" s="46">
        <f t="shared" si="1"/>
        <v>-15256.299999999988</v>
      </c>
      <c r="I11" s="45">
        <f t="shared" si="2"/>
        <v>-3.8706709834522908E-2</v>
      </c>
      <c r="J11" s="58" t="s">
        <v>164</v>
      </c>
      <c r="K11" s="59" t="s">
        <v>165</v>
      </c>
    </row>
    <row r="12" spans="1:11" ht="15.75">
      <c r="A12" s="51" t="str">
        <v>Dudley River 1</v>
      </c>
      <c r="B12" s="48" t="str">
        <v>MA</v>
      </c>
      <c r="C12" s="36">
        <v>190017</v>
      </c>
      <c r="D12" s="37">
        <v>203395.5</v>
      </c>
      <c r="E12" s="37">
        <f t="shared" si="0"/>
        <v>-13378.5</v>
      </c>
      <c r="F12" s="38">
        <f t="shared" si="3"/>
        <v>-6.5775791499811942E-2</v>
      </c>
      <c r="G12" s="39">
        <v>203502.1</v>
      </c>
      <c r="H12" s="39">
        <f t="shared" si="1"/>
        <v>-13485.100000000006</v>
      </c>
      <c r="I12" s="40">
        <f t="shared" si="2"/>
        <v>-6.6265163848432063E-2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180465</v>
      </c>
      <c r="D13" s="44">
        <v>188550.7</v>
      </c>
      <c r="E13" s="44">
        <f t="shared" si="0"/>
        <v>-8085.7000000000116</v>
      </c>
      <c r="F13" s="45">
        <f t="shared" si="3"/>
        <v>-4.2883426049333206E-2</v>
      </c>
      <c r="G13" s="46">
        <v>192924.9</v>
      </c>
      <c r="H13" s="46">
        <f t="shared" si="1"/>
        <v>-12459.899999999994</v>
      </c>
      <c r="I13" s="45">
        <f t="shared" si="2"/>
        <v>-6.4584198307216928E-2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184594</v>
      </c>
      <c r="D14" s="37">
        <v>185009.5</v>
      </c>
      <c r="E14" s="37">
        <f t="shared" si="0"/>
        <v>-415.5</v>
      </c>
      <c r="F14" s="38">
        <f t="shared" si="3"/>
        <v>-2.245830619508728E-3</v>
      </c>
      <c r="G14" s="39">
        <v>195826.1</v>
      </c>
      <c r="H14" s="39">
        <f t="shared" si="1"/>
        <v>-11232.100000000006</v>
      </c>
      <c r="I14" s="40">
        <f t="shared" si="2"/>
        <v>-5.735752282254513E-2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89346</v>
      </c>
      <c r="D15" s="44">
        <v>71133.05</v>
      </c>
      <c r="E15" s="44">
        <f t="shared" si="0"/>
        <v>18212.949999999997</v>
      </c>
      <c r="F15" s="45">
        <f t="shared" si="3"/>
        <v>0.25604061684406892</v>
      </c>
      <c r="G15" s="46">
        <v>98164.02</v>
      </c>
      <c r="H15" s="46">
        <f t="shared" si="1"/>
        <v>-8818.0200000000041</v>
      </c>
      <c r="I15" s="45">
        <f t="shared" si="2"/>
        <v>-8.9829450749877637E-2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401853</v>
      </c>
      <c r="D16" s="37">
        <v>433308.5</v>
      </c>
      <c r="E16" s="37">
        <f t="shared" si="0"/>
        <v>-31455.5</v>
      </c>
      <c r="F16" s="38">
        <f t="shared" si="3"/>
        <v>-7.2593775566368993E-2</v>
      </c>
      <c r="G16" s="39">
        <v>416485.6</v>
      </c>
      <c r="H16" s="39">
        <f t="shared" si="1"/>
        <v>-14632.599999999977</v>
      </c>
      <c r="I16" s="40">
        <f t="shared" si="2"/>
        <v>-3.5133507617070021E-2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179742</v>
      </c>
      <c r="D17" s="44">
        <v>180766.8</v>
      </c>
      <c r="E17" s="44">
        <f t="shared" si="0"/>
        <v>-1024.7999999999884</v>
      </c>
      <c r="F17" s="45">
        <f t="shared" si="3"/>
        <v>-5.6691826153917003E-3</v>
      </c>
      <c r="G17" s="46">
        <v>201953</v>
      </c>
      <c r="H17" s="46">
        <f t="shared" si="1"/>
        <v>-22211</v>
      </c>
      <c r="I17" s="45">
        <f t="shared" si="2"/>
        <v>-0.10998103519135641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166263</v>
      </c>
      <c r="D18" s="37">
        <v>181159.8</v>
      </c>
      <c r="E18" s="37">
        <f t="shared" si="0"/>
        <v>-14896.799999999988</v>
      </c>
      <c r="F18" s="38">
        <f t="shared" si="3"/>
        <v>-8.2230163645576934E-2</v>
      </c>
      <c r="G18" s="39">
        <v>198092.6</v>
      </c>
      <c r="H18" s="39">
        <f t="shared" si="1"/>
        <v>-31829.600000000006</v>
      </c>
      <c r="I18" s="40">
        <f t="shared" si="2"/>
        <v>-0.16068040906121686</v>
      </c>
      <c r="J18" s="57"/>
      <c r="K18" s="57"/>
    </row>
    <row r="19" spans="1:11" ht="28.5">
      <c r="A19" s="49" t="str">
        <v>Palombo A</v>
      </c>
      <c r="B19" s="50" t="str">
        <v>MA</v>
      </c>
      <c r="C19" s="43">
        <v>357375.996677741</v>
      </c>
      <c r="D19" s="44">
        <v>359261.5</v>
      </c>
      <c r="E19" s="44">
        <f t="shared" si="0"/>
        <v>-1885.5033222589991</v>
      </c>
      <c r="F19" s="45">
        <f t="shared" si="3"/>
        <v>-5.2482754825078646E-3</v>
      </c>
      <c r="G19" s="46">
        <v>414569</v>
      </c>
      <c r="H19" s="46">
        <f t="shared" si="1"/>
        <v>-57193.003322258999</v>
      </c>
      <c r="I19" s="45">
        <f t="shared" si="2"/>
        <v>-0.13795774243192085</v>
      </c>
      <c r="J19" s="58" t="s">
        <v>166</v>
      </c>
      <c r="K19" s="70" t="s">
        <v>167</v>
      </c>
    </row>
    <row r="20" spans="1:11" ht="28.5">
      <c r="A20" s="51" t="str">
        <v>Palombo B</v>
      </c>
      <c r="B20" s="48" t="str">
        <v>MA</v>
      </c>
      <c r="C20" s="36">
        <v>177890</v>
      </c>
      <c r="D20" s="37">
        <v>156647.29999999999</v>
      </c>
      <c r="E20" s="37">
        <f t="shared" si="0"/>
        <v>21242.700000000012</v>
      </c>
      <c r="F20" s="38">
        <f t="shared" si="3"/>
        <v>0.13560846564224224</v>
      </c>
      <c r="G20" s="39">
        <v>218506.6</v>
      </c>
      <c r="H20" s="39">
        <f t="shared" si="1"/>
        <v>-40616.600000000006</v>
      </c>
      <c r="I20" s="40">
        <f t="shared" si="2"/>
        <v>-0.18588271475552687</v>
      </c>
      <c r="J20" s="57" t="s">
        <v>168</v>
      </c>
      <c r="K20" s="57" t="s">
        <v>167</v>
      </c>
    </row>
    <row r="21" spans="1:11" ht="71.25">
      <c r="A21" s="49" t="str">
        <v>St Josephs Church</v>
      </c>
      <c r="B21" s="50" t="str">
        <v>MA</v>
      </c>
      <c r="C21" s="43">
        <v>156805</v>
      </c>
      <c r="D21" s="44">
        <v>199847.5</v>
      </c>
      <c r="E21" s="44">
        <f t="shared" si="0"/>
        <v>-43042.5</v>
      </c>
      <c r="F21" s="45">
        <f t="shared" si="3"/>
        <v>-0.21537672475262387</v>
      </c>
      <c r="G21" s="46">
        <v>201655.6</v>
      </c>
      <c r="H21" s="46">
        <f t="shared" si="1"/>
        <v>-44850.600000000006</v>
      </c>
      <c r="I21" s="45">
        <f t="shared" si="2"/>
        <v>-0.22241187450286531</v>
      </c>
      <c r="J21" s="67" t="s">
        <v>169</v>
      </c>
      <c r="K21" s="68" t="s">
        <v>170</v>
      </c>
    </row>
    <row r="22" spans="1:11" ht="15.75">
      <c r="A22" s="51" t="str">
        <v>Sunset A</v>
      </c>
      <c r="B22" s="48" t="str">
        <v>MA</v>
      </c>
      <c r="C22" s="36">
        <v>93225</v>
      </c>
      <c r="D22" s="37">
        <v>97708.73</v>
      </c>
      <c r="E22" s="37">
        <f t="shared" si="0"/>
        <v>-4483.7299999999959</v>
      </c>
      <c r="F22" s="38">
        <f t="shared" si="3"/>
        <v>-4.5888734814176747E-2</v>
      </c>
      <c r="G22" s="39">
        <v>98814.91</v>
      </c>
      <c r="H22" s="39">
        <f t="shared" si="1"/>
        <v>-5589.9100000000035</v>
      </c>
      <c r="I22" s="40">
        <f t="shared" si="2"/>
        <v>-5.6569499481404203E-2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88999.5</v>
      </c>
      <c r="D23" s="44">
        <v>92907.27</v>
      </c>
      <c r="E23" s="44">
        <f t="shared" si="0"/>
        <v>-3907.7700000000041</v>
      </c>
      <c r="F23" s="45">
        <f t="shared" si="3"/>
        <v>-4.2060971116684449E-2</v>
      </c>
      <c r="G23" s="46">
        <v>97627.64</v>
      </c>
      <c r="H23" s="46">
        <f t="shared" si="1"/>
        <v>-8628.14</v>
      </c>
      <c r="I23" s="45">
        <f t="shared" si="2"/>
        <v>-8.8378045397799226E-2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186885</v>
      </c>
      <c r="D24" s="37">
        <v>196716.7</v>
      </c>
      <c r="E24" s="37">
        <f t="shared" si="0"/>
        <v>-9831.7000000000116</v>
      </c>
      <c r="F24" s="38">
        <f t="shared" si="3"/>
        <v>-4.9978979923921106E-2</v>
      </c>
      <c r="G24" s="39">
        <v>214071.6</v>
      </c>
      <c r="H24" s="39">
        <f t="shared" si="1"/>
        <v>-27186.600000000006</v>
      </c>
      <c r="I24" s="40">
        <f t="shared" si="2"/>
        <v>-0.12699769609794109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="80" zoomScaleNormal="80" workbookViewId="0">
      <pane xSplit="2" ySplit="3" topLeftCell="C11" activePane="bottomRight" state="frozen"/>
      <selection pane="bottomRight" activeCell="A18" sqref="A18:XFD18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171</v>
      </c>
      <c r="E1" s="81"/>
      <c r="F1" s="81"/>
      <c r="G1" s="79" t="s">
        <v>172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4385096.75</v>
      </c>
      <c r="D2" s="5">
        <f>SUM(D4:D99)</f>
        <v>4515229.0299999993</v>
      </c>
      <c r="E2" s="5">
        <f>C2-D2</f>
        <v>-130132.27999999933</v>
      </c>
      <c r="F2" s="6">
        <f>IFERROR(E2/D2, 0)</f>
        <v>-2.8820748434991203E-2</v>
      </c>
      <c r="G2" s="5">
        <f>SUM(G4:G99)</f>
        <v>4808339.2899999991</v>
      </c>
      <c r="H2" s="7">
        <f>C2-G2</f>
        <v>-423242.53999999911</v>
      </c>
      <c r="I2" s="6">
        <f>IFERROR(H2/G2, 0)</f>
        <v>-8.8022602914113235E-2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206169.5</v>
      </c>
      <c r="D4" s="37">
        <v>263651.7</v>
      </c>
      <c r="E4" s="37">
        <f>IF(AND(ISNUMBER(C4),ISNUMBER(D4)), C4-D4, "")</f>
        <v>-57482.200000000012</v>
      </c>
      <c r="F4" s="38">
        <f>IFERROR(E4/D4, "")</f>
        <v>-0.21802324809587803</v>
      </c>
      <c r="G4" s="39">
        <v>264475.3</v>
      </c>
      <c r="H4" s="39">
        <f>IF(AND(ISNUMBER(C4),ISNUMBER(G4)), C4-G4, "")</f>
        <v>-58305.799999999988</v>
      </c>
      <c r="I4" s="40">
        <f>IFERROR(H4/G4, "")</f>
        <v>-0.22045839441339132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178930</v>
      </c>
      <c r="D5" s="44">
        <v>180723.20000000001</v>
      </c>
      <c r="E5" s="44">
        <f t="shared" ref="E5:E24" si="0">IF(AND(ISNUMBER(C5),ISNUMBER(D5)), C5-D5, "")</f>
        <v>-1793.2000000000116</v>
      </c>
      <c r="F5" s="45">
        <f>IFERROR(E5/D5, "")</f>
        <v>-9.9223563991784752E-3</v>
      </c>
      <c r="G5" s="46">
        <v>181468.1</v>
      </c>
      <c r="H5" s="46">
        <f t="shared" ref="H5:H24" si="1">IF(AND(ISNUMBER(C5),ISNUMBER(G5)), C5-G5, "")</f>
        <v>-2538.1000000000058</v>
      </c>
      <c r="I5" s="45">
        <f t="shared" ref="I5:I24" si="2">IFERROR(H5/G5, "")</f>
        <v>-1.3986480268432886E-2</v>
      </c>
      <c r="J5" s="58" t="s">
        <v>173</v>
      </c>
      <c r="K5" s="58" t="s">
        <v>174</v>
      </c>
    </row>
    <row r="6" spans="1:11" ht="15.75">
      <c r="A6" s="51" t="str">
        <v>Bowden</v>
      </c>
      <c r="B6" s="48" t="str">
        <v>MA</v>
      </c>
      <c r="C6" s="36">
        <v>356723</v>
      </c>
      <c r="D6" s="37">
        <v>359152.2</v>
      </c>
      <c r="E6" s="37">
        <f t="shared" si="0"/>
        <v>-2429.2000000000116</v>
      </c>
      <c r="F6" s="38">
        <f t="shared" ref="F6:F24" si="3">IFERROR(E6/D6, "")</f>
        <v>-6.7637063061287434E-3</v>
      </c>
      <c r="G6" s="39">
        <v>392110.6</v>
      </c>
      <c r="H6" s="39">
        <f t="shared" si="1"/>
        <v>-35387.599999999977</v>
      </c>
      <c r="I6" s="40">
        <f t="shared" si="2"/>
        <v>-9.0249026677677105E-2</v>
      </c>
      <c r="J6" s="57"/>
      <c r="K6" s="57"/>
    </row>
    <row r="7" spans="1:11" ht="15.75">
      <c r="A7" s="49" t="str">
        <v>Blair Wire Village</v>
      </c>
      <c r="B7" s="50" t="str">
        <v>MA</v>
      </c>
      <c r="C7" s="43">
        <v>174451</v>
      </c>
      <c r="D7" s="44">
        <v>182467.3</v>
      </c>
      <c r="E7" s="44">
        <f t="shared" si="0"/>
        <v>-8016.2999999999884</v>
      </c>
      <c r="F7" s="45">
        <f t="shared" si="3"/>
        <v>-4.3932803302290269E-2</v>
      </c>
      <c r="G7" s="46">
        <v>197145.4</v>
      </c>
      <c r="H7" s="46">
        <f t="shared" si="1"/>
        <v>-22694.399999999994</v>
      </c>
      <c r="I7" s="45">
        <f t="shared" si="2"/>
        <v>-0.1151150369219875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489664</v>
      </c>
      <c r="D8" s="37">
        <v>476799.1</v>
      </c>
      <c r="E8" s="37">
        <f t="shared" si="0"/>
        <v>12864.900000000023</v>
      </c>
      <c r="F8" s="38">
        <f t="shared" si="3"/>
        <v>2.6981804286123911E-2</v>
      </c>
      <c r="G8" s="39">
        <v>498149.7</v>
      </c>
      <c r="H8" s="39">
        <f t="shared" si="1"/>
        <v>-8485.7000000000116</v>
      </c>
      <c r="I8" s="40">
        <f t="shared" si="2"/>
        <v>-1.7034437639930348E-2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166609</v>
      </c>
      <c r="D9" s="44">
        <v>175604.3</v>
      </c>
      <c r="E9" s="44">
        <f t="shared" si="0"/>
        <v>-8995.2999999999884</v>
      </c>
      <c r="F9" s="45">
        <f t="shared" si="3"/>
        <v>-5.1224827638047525E-2</v>
      </c>
      <c r="G9" s="46">
        <v>181160</v>
      </c>
      <c r="H9" s="46">
        <f t="shared" si="1"/>
        <v>-14551</v>
      </c>
      <c r="I9" s="45">
        <f t="shared" si="2"/>
        <v>-8.032126297195849E-2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154477</v>
      </c>
      <c r="D10" s="37">
        <v>159019.20000000001</v>
      </c>
      <c r="E10" s="37">
        <f t="shared" si="0"/>
        <v>-4542.2000000000116</v>
      </c>
      <c r="F10" s="38">
        <f t="shared" si="3"/>
        <v>-2.8563846378299045E-2</v>
      </c>
      <c r="G10" s="39">
        <v>187522.9</v>
      </c>
      <c r="H10" s="39">
        <f t="shared" si="1"/>
        <v>-33045.899999999994</v>
      </c>
      <c r="I10" s="40">
        <f t="shared" si="2"/>
        <v>-0.17622327726373682</v>
      </c>
      <c r="J10" s="57"/>
      <c r="K10" s="57"/>
    </row>
    <row r="11" spans="1:11" ht="63">
      <c r="A11" s="49" t="str">
        <v>ISM Dighton Solar 2</v>
      </c>
      <c r="B11" s="50" t="str">
        <v>MA</v>
      </c>
      <c r="C11" s="43">
        <v>376685</v>
      </c>
      <c r="D11" s="44">
        <v>369618.1</v>
      </c>
      <c r="E11" s="44">
        <f t="shared" si="0"/>
        <v>7066.9000000000233</v>
      </c>
      <c r="F11" s="45">
        <f t="shared" si="3"/>
        <v>1.9119464117152336E-2</v>
      </c>
      <c r="G11" s="46">
        <v>376887.9</v>
      </c>
      <c r="H11" s="46">
        <f t="shared" si="1"/>
        <v>-202.90000000002328</v>
      </c>
      <c r="I11" s="45">
        <f t="shared" si="2"/>
        <v>-5.3835636538085538E-4</v>
      </c>
      <c r="J11" s="58" t="s">
        <v>175</v>
      </c>
      <c r="K11" s="59" t="s">
        <v>176</v>
      </c>
    </row>
    <row r="12" spans="1:11" ht="28.5">
      <c r="A12" s="51" t="str">
        <v>Dudley River 1</v>
      </c>
      <c r="B12" s="48" t="str">
        <v>MA</v>
      </c>
      <c r="C12" s="36">
        <v>171452</v>
      </c>
      <c r="D12" s="37">
        <v>146757.9</v>
      </c>
      <c r="E12" s="37">
        <f t="shared" si="0"/>
        <v>24694.100000000006</v>
      </c>
      <c r="F12" s="38">
        <f t="shared" si="3"/>
        <v>0.1682641956582917</v>
      </c>
      <c r="G12" s="39">
        <v>198232.4</v>
      </c>
      <c r="H12" s="39">
        <f t="shared" si="1"/>
        <v>-26780.399999999994</v>
      </c>
      <c r="I12" s="40">
        <f t="shared" si="2"/>
        <v>-0.13509597825582495</v>
      </c>
      <c r="J12" s="57" t="s">
        <v>177</v>
      </c>
      <c r="K12" s="57" t="s">
        <v>178</v>
      </c>
    </row>
    <row r="13" spans="1:11" ht="15.75">
      <c r="A13" s="49" t="str">
        <v>Dudley River 2</v>
      </c>
      <c r="B13" s="50" t="str">
        <v>MA</v>
      </c>
      <c r="C13" s="43">
        <v>163393</v>
      </c>
      <c r="D13" s="44">
        <v>169048.7</v>
      </c>
      <c r="E13" s="44">
        <f t="shared" si="0"/>
        <v>-5655.7000000000116</v>
      </c>
      <c r="F13" s="45">
        <f t="shared" si="3"/>
        <v>-3.3456039590958178E-2</v>
      </c>
      <c r="G13" s="46">
        <v>189073</v>
      </c>
      <c r="H13" s="46">
        <f t="shared" si="1"/>
        <v>-25680</v>
      </c>
      <c r="I13" s="45">
        <f t="shared" si="2"/>
        <v>-0.1358205560815135</v>
      </c>
      <c r="J13" s="58" t="s">
        <v>179</v>
      </c>
      <c r="K13" s="59" t="s">
        <v>180</v>
      </c>
    </row>
    <row r="14" spans="1:11" ht="15.75">
      <c r="A14" s="51" t="str">
        <v>Dudley River 3</v>
      </c>
      <c r="B14" s="48" t="str">
        <v>MA</v>
      </c>
      <c r="C14" s="36">
        <v>156699</v>
      </c>
      <c r="D14" s="37">
        <v>170843.5</v>
      </c>
      <c r="E14" s="37">
        <f t="shared" si="0"/>
        <v>-14144.5</v>
      </c>
      <c r="F14" s="38">
        <f t="shared" si="3"/>
        <v>-8.2792146028382696E-2</v>
      </c>
      <c r="G14" s="39">
        <v>191489.6</v>
      </c>
      <c r="H14" s="39">
        <f t="shared" si="1"/>
        <v>-34790.600000000006</v>
      </c>
      <c r="I14" s="40">
        <f t="shared" si="2"/>
        <v>-0.1816840183487772</v>
      </c>
      <c r="J14" s="57" t="s">
        <v>181</v>
      </c>
      <c r="K14" s="57" t="s">
        <v>182</v>
      </c>
    </row>
    <row r="15" spans="1:11" ht="15.75">
      <c r="A15" s="49" t="str">
        <v>Flint Pond</v>
      </c>
      <c r="B15" s="50" t="str">
        <v>MA</v>
      </c>
      <c r="C15" s="43">
        <v>82426</v>
      </c>
      <c r="D15" s="44">
        <v>70678.77</v>
      </c>
      <c r="E15" s="44">
        <f t="shared" si="0"/>
        <v>11747.229999999996</v>
      </c>
      <c r="F15" s="45">
        <f t="shared" si="3"/>
        <v>0.16620592010868321</v>
      </c>
      <c r="G15" s="46">
        <v>84965.07</v>
      </c>
      <c r="H15" s="46">
        <f t="shared" si="1"/>
        <v>-2539.070000000007</v>
      </c>
      <c r="I15" s="45">
        <f t="shared" si="2"/>
        <v>-2.9883692204337696E-2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366840</v>
      </c>
      <c r="D16" s="37">
        <v>393436.5</v>
      </c>
      <c r="E16" s="37">
        <f t="shared" si="0"/>
        <v>-26596.5</v>
      </c>
      <c r="F16" s="38">
        <f t="shared" si="3"/>
        <v>-6.7600489532618352E-2</v>
      </c>
      <c r="G16" s="39">
        <v>383875.8</v>
      </c>
      <c r="H16" s="39">
        <f t="shared" si="1"/>
        <v>-17035.799999999988</v>
      </c>
      <c r="I16" s="40">
        <f t="shared" si="2"/>
        <v>-4.437841614397154E-2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160100</v>
      </c>
      <c r="D17" s="44">
        <v>170636.1</v>
      </c>
      <c r="E17" s="44">
        <f t="shared" si="0"/>
        <v>-10536.100000000006</v>
      </c>
      <c r="F17" s="45">
        <f t="shared" si="3"/>
        <v>-6.1746019746114718E-2</v>
      </c>
      <c r="G17" s="46">
        <v>183763</v>
      </c>
      <c r="H17" s="46">
        <f t="shared" si="1"/>
        <v>-23663</v>
      </c>
      <c r="I17" s="45">
        <f t="shared" si="2"/>
        <v>-0.12876912109619457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146362</v>
      </c>
      <c r="D18" s="37">
        <v>161338.29999999999</v>
      </c>
      <c r="E18" s="37">
        <f t="shared" si="0"/>
        <v>-14976.299999999988</v>
      </c>
      <c r="F18" s="38">
        <f t="shared" si="3"/>
        <v>-9.2825448142195552E-2</v>
      </c>
      <c r="G18" s="39">
        <v>180042.2</v>
      </c>
      <c r="H18" s="39">
        <f t="shared" si="1"/>
        <v>-33680.200000000012</v>
      </c>
      <c r="I18" s="40">
        <f t="shared" si="2"/>
        <v>-0.18706836508329719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353999</v>
      </c>
      <c r="D19" s="44">
        <v>370497.6</v>
      </c>
      <c r="E19" s="44">
        <f t="shared" si="0"/>
        <v>-16498.599999999977</v>
      </c>
      <c r="F19" s="45">
        <f t="shared" si="3"/>
        <v>-4.453092273742118E-2</v>
      </c>
      <c r="G19" s="46">
        <v>387151</v>
      </c>
      <c r="H19" s="46">
        <f t="shared" si="1"/>
        <v>-33152</v>
      </c>
      <c r="I19" s="45">
        <f t="shared" si="2"/>
        <v>-8.5630671236804248E-2</v>
      </c>
      <c r="J19" s="58" t="s">
        <v>183</v>
      </c>
      <c r="K19" s="58" t="s">
        <v>182</v>
      </c>
    </row>
    <row r="20" spans="1:11" ht="15.75">
      <c r="A20" s="51" t="str">
        <v>Palombo B</v>
      </c>
      <c r="B20" s="48" t="str">
        <v>MA</v>
      </c>
      <c r="C20" s="36">
        <v>179265</v>
      </c>
      <c r="D20" s="37">
        <v>158947.5</v>
      </c>
      <c r="E20" s="37">
        <f t="shared" si="0"/>
        <v>20317.5</v>
      </c>
      <c r="F20" s="38">
        <f t="shared" si="3"/>
        <v>0.12782522531024396</v>
      </c>
      <c r="G20" s="39">
        <v>188793.60000000001</v>
      </c>
      <c r="H20" s="39">
        <f t="shared" si="1"/>
        <v>-9528.6000000000058</v>
      </c>
      <c r="I20" s="40">
        <f t="shared" si="2"/>
        <v>-5.0470990542052299E-2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169269</v>
      </c>
      <c r="D21" s="44">
        <v>187694.1</v>
      </c>
      <c r="E21" s="44">
        <f t="shared" si="0"/>
        <v>-18425.100000000006</v>
      </c>
      <c r="F21" s="45">
        <f t="shared" si="3"/>
        <v>-9.8165578992626859E-2</v>
      </c>
      <c r="G21" s="46">
        <v>180633.60000000001</v>
      </c>
      <c r="H21" s="46">
        <f t="shared" si="1"/>
        <v>-11364.600000000006</v>
      </c>
      <c r="I21" s="45">
        <f t="shared" si="2"/>
        <v>-6.2915205144557854E-2</v>
      </c>
      <c r="J21" s="58"/>
      <c r="K21" s="59"/>
    </row>
    <row r="22" spans="1:11" ht="15.75">
      <c r="A22" s="51" t="str">
        <v>Sunset A</v>
      </c>
      <c r="B22" s="48" t="str">
        <v>MA</v>
      </c>
      <c r="C22" s="36">
        <v>83293.5</v>
      </c>
      <c r="D22" s="37">
        <v>91500.77</v>
      </c>
      <c r="E22" s="37">
        <f t="shared" si="0"/>
        <v>-8207.2700000000041</v>
      </c>
      <c r="F22" s="38">
        <f t="shared" si="3"/>
        <v>-8.9696185070355192E-2</v>
      </c>
      <c r="G22" s="39">
        <v>85437.62</v>
      </c>
      <c r="H22" s="39">
        <f t="shared" si="1"/>
        <v>-2144.1199999999953</v>
      </c>
      <c r="I22" s="40">
        <f t="shared" si="2"/>
        <v>-2.5095736515132274E-2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78206.75</v>
      </c>
      <c r="D23" s="44">
        <v>80693.39</v>
      </c>
      <c r="E23" s="44">
        <f t="shared" si="0"/>
        <v>-2486.6399999999994</v>
      </c>
      <c r="F23" s="45">
        <f t="shared" si="3"/>
        <v>-3.0815906978254346E-2</v>
      </c>
      <c r="G23" s="46">
        <v>84411.3</v>
      </c>
      <c r="H23" s="46">
        <f t="shared" si="1"/>
        <v>-6204.5500000000029</v>
      </c>
      <c r="I23" s="45">
        <f t="shared" si="2"/>
        <v>-7.3503784445921372E-2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170083</v>
      </c>
      <c r="D24" s="37">
        <v>176120.8</v>
      </c>
      <c r="E24" s="37">
        <f t="shared" si="0"/>
        <v>-6037.7999999999884</v>
      </c>
      <c r="F24" s="38">
        <f t="shared" si="3"/>
        <v>-3.4282151795812808E-2</v>
      </c>
      <c r="G24" s="39">
        <v>191551.2</v>
      </c>
      <c r="H24" s="39">
        <f t="shared" si="1"/>
        <v>-21468.200000000012</v>
      </c>
      <c r="I24" s="40">
        <f t="shared" si="2"/>
        <v>-0.11207551819043687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 t="s">
        <v>184</v>
      </c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11" activePane="bottomRight" state="frozen"/>
      <selection pane="bottomRight" activeCell="F5" sqref="F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185</v>
      </c>
      <c r="E1" s="81"/>
      <c r="F1" s="81"/>
      <c r="G1" s="79" t="s">
        <v>186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3866375.0033333381</v>
      </c>
      <c r="D2" s="5">
        <f>SUM(D4:D99)</f>
        <v>3966388.4299999992</v>
      </c>
      <c r="E2" s="5">
        <f>C2-D2</f>
        <v>-100013.42666666117</v>
      </c>
      <c r="F2" s="6">
        <f>IFERROR(E2/D2, 0)</f>
        <v>-2.5215237597559548E-2</v>
      </c>
      <c r="G2" s="5">
        <f>SUM(G4:G99)</f>
        <v>3980901.33</v>
      </c>
      <c r="H2" s="7">
        <f>C2-G2</f>
        <v>-114526.326666662</v>
      </c>
      <c r="I2" s="6">
        <f>IFERROR(H2/G2, 0)</f>
        <v>-2.8768943807673326E-2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157254</v>
      </c>
      <c r="D4" s="37">
        <v>196705.3</v>
      </c>
      <c r="E4" s="37">
        <f>IF(AND(ISNUMBER(C4),ISNUMBER(D4)), C4-D4, "")</f>
        <v>-39451.299999999988</v>
      </c>
      <c r="F4" s="38">
        <f>IFERROR(E4/D4, "")</f>
        <v>-0.20056043228118403</v>
      </c>
      <c r="G4" s="39">
        <v>225597.4</v>
      </c>
      <c r="H4" s="39">
        <f>IF(AND(ISNUMBER(C4),ISNUMBER(G4)), C4-G4, "")</f>
        <v>-68343.399999999994</v>
      </c>
      <c r="I4" s="40">
        <f>IFERROR(H4/G4, "")</f>
        <v>-0.30294409421385171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168880</v>
      </c>
      <c r="D5" s="44">
        <v>175298.2</v>
      </c>
      <c r="E5" s="44">
        <f t="shared" ref="E5:E24" si="0">IF(AND(ISNUMBER(C5),ISNUMBER(D5)), C5-D5, "")</f>
        <v>-6418.2000000000116</v>
      </c>
      <c r="F5" s="45">
        <f>IFERROR(E5/D5, "")</f>
        <v>-3.6613039951351532E-2</v>
      </c>
      <c r="G5" s="46">
        <v>140392.9</v>
      </c>
      <c r="H5" s="46">
        <f t="shared" ref="H5:H24" si="1">IF(AND(ISNUMBER(C5),ISNUMBER(G5)), C5-G5, "")</f>
        <v>28487.100000000006</v>
      </c>
      <c r="I5" s="45">
        <f t="shared" ref="I5:I24" si="2">IFERROR(H5/G5, "")</f>
        <v>0.20290983375939955</v>
      </c>
      <c r="J5" s="58"/>
      <c r="K5" s="58"/>
    </row>
    <row r="6" spans="1:11" ht="28.5">
      <c r="A6" s="51" t="str">
        <v>Bowden</v>
      </c>
      <c r="B6" s="48" t="str">
        <v>MA</v>
      </c>
      <c r="C6" s="36">
        <v>327000</v>
      </c>
      <c r="D6" s="37">
        <v>326246.8</v>
      </c>
      <c r="E6" s="37">
        <f t="shared" si="0"/>
        <v>753.20000000001164</v>
      </c>
      <c r="F6" s="38">
        <f t="shared" ref="F6:F24" si="3">IFERROR(E6/D6, "")</f>
        <v>2.3086816483717594E-3</v>
      </c>
      <c r="G6" s="39">
        <v>322319</v>
      </c>
      <c r="H6" s="39">
        <f t="shared" si="1"/>
        <v>4681</v>
      </c>
      <c r="I6" s="40">
        <f t="shared" si="2"/>
        <v>1.4522879507568589E-2</v>
      </c>
      <c r="J6" s="57" t="s">
        <v>187</v>
      </c>
      <c r="K6" s="57" t="s">
        <v>188</v>
      </c>
    </row>
    <row r="7" spans="1:11" ht="47.25">
      <c r="A7" s="49" t="str">
        <v>Blair Wire Village</v>
      </c>
      <c r="B7" s="50" t="str">
        <v>MA</v>
      </c>
      <c r="C7" s="43">
        <v>154334</v>
      </c>
      <c r="D7" s="44">
        <v>168994.2</v>
      </c>
      <c r="E7" s="44">
        <f t="shared" si="0"/>
        <v>-14660.200000000012</v>
      </c>
      <c r="F7" s="45">
        <f t="shared" si="3"/>
        <v>-8.6749722771550797E-2</v>
      </c>
      <c r="G7" s="46">
        <v>161463.29999999999</v>
      </c>
      <c r="H7" s="46">
        <f t="shared" si="1"/>
        <v>-7129.2999999999884</v>
      </c>
      <c r="I7" s="45">
        <f t="shared" si="2"/>
        <v>-4.4154306272694718E-2</v>
      </c>
      <c r="J7" s="58" t="s">
        <v>189</v>
      </c>
      <c r="K7" s="59" t="s">
        <v>190</v>
      </c>
    </row>
    <row r="8" spans="1:11" ht="15.75">
      <c r="A8" s="51" t="str">
        <v>Boutilier</v>
      </c>
      <c r="B8" s="48" t="str">
        <v>MA</v>
      </c>
      <c r="C8" s="36">
        <v>429784</v>
      </c>
      <c r="D8" s="37">
        <v>423810.2</v>
      </c>
      <c r="E8" s="37">
        <f t="shared" si="0"/>
        <v>5973.7999999999884</v>
      </c>
      <c r="F8" s="38">
        <f t="shared" si="3"/>
        <v>1.4095460656680723E-2</v>
      </c>
      <c r="G8" s="39">
        <v>385394.2</v>
      </c>
      <c r="H8" s="39">
        <f t="shared" si="1"/>
        <v>44389.799999999988</v>
      </c>
      <c r="I8" s="40">
        <f t="shared" si="2"/>
        <v>0.11518024920977012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147429</v>
      </c>
      <c r="D9" s="44">
        <v>168227.5</v>
      </c>
      <c r="E9" s="44">
        <f t="shared" si="0"/>
        <v>-20798.5</v>
      </c>
      <c r="F9" s="45">
        <f t="shared" si="3"/>
        <v>-0.12363317531319196</v>
      </c>
      <c r="G9" s="46">
        <v>143770</v>
      </c>
      <c r="H9" s="46">
        <f t="shared" si="1"/>
        <v>3659</v>
      </c>
      <c r="I9" s="45">
        <f t="shared" si="2"/>
        <v>2.545037212213953E-2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138827</v>
      </c>
      <c r="D10" s="37">
        <v>152828.6</v>
      </c>
      <c r="E10" s="37">
        <f t="shared" si="0"/>
        <v>-14001.600000000006</v>
      </c>
      <c r="F10" s="38">
        <f t="shared" si="3"/>
        <v>-9.1616359765122529E-2</v>
      </c>
      <c r="G10" s="39">
        <v>163508.20000000001</v>
      </c>
      <c r="H10" s="39">
        <f t="shared" si="1"/>
        <v>-24681.200000000012</v>
      </c>
      <c r="I10" s="40">
        <f t="shared" si="2"/>
        <v>-0.15094778121219615</v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>
        <v>309792</v>
      </c>
      <c r="D11" s="44">
        <v>307845.09999999998</v>
      </c>
      <c r="E11" s="44">
        <f t="shared" si="0"/>
        <v>1946.9000000000233</v>
      </c>
      <c r="F11" s="45">
        <f t="shared" si="3"/>
        <v>6.324284518415344E-3</v>
      </c>
      <c r="G11" s="46">
        <v>332297.59999999998</v>
      </c>
      <c r="H11" s="46">
        <f t="shared" si="1"/>
        <v>-22505.599999999977</v>
      </c>
      <c r="I11" s="45">
        <f t="shared" si="2"/>
        <v>-6.7727242086611447E-2</v>
      </c>
      <c r="J11" s="67" t="s">
        <v>191</v>
      </c>
      <c r="K11" s="67" t="s">
        <v>192</v>
      </c>
    </row>
    <row r="12" spans="1:11" ht="55.5" customHeight="1">
      <c r="A12" s="51" t="str">
        <v>Dudley River 1</v>
      </c>
      <c r="B12" s="48" t="str">
        <v>MA</v>
      </c>
      <c r="C12" s="36">
        <v>155571</v>
      </c>
      <c r="D12" s="37">
        <v>36979.19</v>
      </c>
      <c r="E12" s="37">
        <f t="shared" si="0"/>
        <v>118591.81</v>
      </c>
      <c r="F12" s="38">
        <f t="shared" si="3"/>
        <v>3.2069877679851828</v>
      </c>
      <c r="G12" s="39">
        <v>161685.70000000001</v>
      </c>
      <c r="H12" s="39">
        <f t="shared" si="1"/>
        <v>-6114.7000000000116</v>
      </c>
      <c r="I12" s="40">
        <f t="shared" si="2"/>
        <v>-3.7818434159607256E-2</v>
      </c>
      <c r="J12" s="57" t="s">
        <v>193</v>
      </c>
      <c r="K12" s="57" t="s">
        <v>194</v>
      </c>
    </row>
    <row r="13" spans="1:11" ht="15.75">
      <c r="A13" s="49" t="str">
        <v>Dudley River 2</v>
      </c>
      <c r="B13" s="50" t="str">
        <v>MA</v>
      </c>
      <c r="C13" s="43">
        <v>149701</v>
      </c>
      <c r="D13" s="44">
        <v>154776.29999999999</v>
      </c>
      <c r="E13" s="44">
        <f t="shared" si="0"/>
        <v>-5075.2999999999884</v>
      </c>
      <c r="F13" s="45">
        <f t="shared" si="3"/>
        <v>-3.2791196068131807E-2</v>
      </c>
      <c r="G13" s="46">
        <v>154788.4</v>
      </c>
      <c r="H13" s="46">
        <f t="shared" si="1"/>
        <v>-5087.3999999999942</v>
      </c>
      <c r="I13" s="45">
        <f t="shared" si="2"/>
        <v>-3.2866803972390661E-2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151205</v>
      </c>
      <c r="D14" s="37">
        <v>153921.29999999999</v>
      </c>
      <c r="E14" s="37">
        <f t="shared" si="0"/>
        <v>-2716.2999999999884</v>
      </c>
      <c r="F14" s="38">
        <f t="shared" si="3"/>
        <v>-1.76473301615825E-2</v>
      </c>
      <c r="G14" s="39">
        <v>156914.1</v>
      </c>
      <c r="H14" s="39">
        <f t="shared" si="1"/>
        <v>-5709.1000000000058</v>
      </c>
      <c r="I14" s="40">
        <f t="shared" si="2"/>
        <v>-3.6383600963839489E-2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71892.5</v>
      </c>
      <c r="D15" s="44">
        <v>65412.86</v>
      </c>
      <c r="E15" s="44">
        <f t="shared" si="0"/>
        <v>6479.6399999999994</v>
      </c>
      <c r="F15" s="45">
        <f t="shared" si="3"/>
        <v>9.9057585924235678E-2</v>
      </c>
      <c r="G15" s="46">
        <v>66054.31</v>
      </c>
      <c r="H15" s="46">
        <f t="shared" si="1"/>
        <v>5838.1900000000023</v>
      </c>
      <c r="I15" s="45">
        <f t="shared" si="2"/>
        <v>8.8384694352268645E-2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333105</v>
      </c>
      <c r="D16" s="37">
        <v>362632.8</v>
      </c>
      <c r="E16" s="37">
        <f t="shared" si="0"/>
        <v>-29527.799999999988</v>
      </c>
      <c r="F16" s="38">
        <f t="shared" si="3"/>
        <v>-8.1426169943810897E-2</v>
      </c>
      <c r="G16" s="39">
        <v>327934.8</v>
      </c>
      <c r="H16" s="39">
        <f t="shared" si="1"/>
        <v>5170.2000000000116</v>
      </c>
      <c r="I16" s="40">
        <f t="shared" si="2"/>
        <v>1.5765938839061949E-2</v>
      </c>
      <c r="J16" s="57" t="s">
        <v>195</v>
      </c>
      <c r="K16" s="57" t="s">
        <v>196</v>
      </c>
    </row>
    <row r="17" spans="1:11" ht="15.75">
      <c r="A17" s="49" t="str">
        <v>JH</v>
      </c>
      <c r="B17" s="50" t="str">
        <v>MA</v>
      </c>
      <c r="C17" s="43">
        <v>147169</v>
      </c>
      <c r="D17" s="44">
        <v>166443.79999999999</v>
      </c>
      <c r="E17" s="44">
        <f t="shared" si="0"/>
        <v>-19274.799999999988</v>
      </c>
      <c r="F17" s="45">
        <f t="shared" si="3"/>
        <v>-0.11580365264431591</v>
      </c>
      <c r="G17" s="46">
        <v>158187.1</v>
      </c>
      <c r="H17" s="46">
        <f t="shared" si="1"/>
        <v>-11018.100000000006</v>
      </c>
      <c r="I17" s="45">
        <f t="shared" si="2"/>
        <v>-6.9652329425092224E-2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133552</v>
      </c>
      <c r="D18" s="37">
        <v>148668.9</v>
      </c>
      <c r="E18" s="37">
        <f t="shared" si="0"/>
        <v>-15116.899999999994</v>
      </c>
      <c r="F18" s="38">
        <f t="shared" si="3"/>
        <v>-0.10168165635179917</v>
      </c>
      <c r="G18" s="39">
        <v>151807.79999999999</v>
      </c>
      <c r="H18" s="39">
        <f t="shared" si="1"/>
        <v>-18255.799999999988</v>
      </c>
      <c r="I18" s="40">
        <f t="shared" si="2"/>
        <v>-0.12025600792581138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294232.00333333801</v>
      </c>
      <c r="D19" s="44">
        <v>322933.2</v>
      </c>
      <c r="E19" s="44">
        <f t="shared" si="0"/>
        <v>-28701.196666661999</v>
      </c>
      <c r="F19" s="45">
        <f t="shared" si="3"/>
        <v>-8.8876574680652215E-2</v>
      </c>
      <c r="G19" s="46">
        <v>343827</v>
      </c>
      <c r="H19" s="46">
        <f t="shared" si="1"/>
        <v>-49594.996666661988</v>
      </c>
      <c r="I19" s="45">
        <f t="shared" si="2"/>
        <v>-0.14424404327368703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148765</v>
      </c>
      <c r="D20" s="37">
        <v>140696.79999999999</v>
      </c>
      <c r="E20" s="37">
        <f t="shared" si="0"/>
        <v>8068.2000000000116</v>
      </c>
      <c r="F20" s="38">
        <f t="shared" si="3"/>
        <v>5.7344587794463074E-2</v>
      </c>
      <c r="G20" s="39">
        <v>145892.9</v>
      </c>
      <c r="H20" s="39">
        <f t="shared" si="1"/>
        <v>2872.1000000000058</v>
      </c>
      <c r="I20" s="40">
        <f t="shared" si="2"/>
        <v>1.9686358966063501E-2</v>
      </c>
      <c r="J20" s="57"/>
      <c r="K20" s="57"/>
    </row>
    <row r="21" spans="1:11" ht="28.5">
      <c r="A21" s="49" t="str">
        <v>St Josephs Church</v>
      </c>
      <c r="B21" s="50" t="str">
        <v>MA</v>
      </c>
      <c r="C21" s="43">
        <v>147921</v>
      </c>
      <c r="D21" s="44">
        <v>173153.1</v>
      </c>
      <c r="E21" s="44">
        <f t="shared" si="0"/>
        <v>-25232.100000000006</v>
      </c>
      <c r="F21" s="45">
        <f t="shared" si="3"/>
        <v>-0.14572132985202116</v>
      </c>
      <c r="G21" s="46">
        <v>149535.9</v>
      </c>
      <c r="H21" s="46">
        <f t="shared" si="1"/>
        <v>-1614.8999999999942</v>
      </c>
      <c r="I21" s="45">
        <f t="shared" si="2"/>
        <v>-1.0799413385013192E-2</v>
      </c>
      <c r="J21" s="67" t="s">
        <v>197</v>
      </c>
      <c r="K21" s="67" t="s">
        <v>198</v>
      </c>
    </row>
    <row r="22" spans="1:11" ht="15.75">
      <c r="A22" s="51" t="str">
        <v>Sunset A</v>
      </c>
      <c r="B22" s="48" t="str">
        <v>MA</v>
      </c>
      <c r="C22" s="36">
        <v>75366.5</v>
      </c>
      <c r="D22" s="37">
        <v>86459.199999999997</v>
      </c>
      <c r="E22" s="37">
        <f t="shared" si="0"/>
        <v>-11092.699999999997</v>
      </c>
      <c r="F22" s="38">
        <f t="shared" si="3"/>
        <v>-0.12829982234394949</v>
      </c>
      <c r="G22" s="39">
        <v>66098.320000000007</v>
      </c>
      <c r="H22" s="39">
        <f t="shared" si="1"/>
        <v>9268.179999999993</v>
      </c>
      <c r="I22" s="40">
        <f t="shared" si="2"/>
        <v>0.14021808723731544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69857</v>
      </c>
      <c r="D23" s="44">
        <v>73394.179999999993</v>
      </c>
      <c r="E23" s="44">
        <f t="shared" si="0"/>
        <v>-3537.179999999993</v>
      </c>
      <c r="F23" s="45">
        <f t="shared" si="3"/>
        <v>-4.8194284614938042E-2</v>
      </c>
      <c r="G23" s="46">
        <v>65305.2</v>
      </c>
      <c r="H23" s="46">
        <f t="shared" si="1"/>
        <v>4551.8000000000029</v>
      </c>
      <c r="I23" s="45">
        <f t="shared" si="2"/>
        <v>6.9700422018461064E-2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154738</v>
      </c>
      <c r="D24" s="37">
        <v>160960.9</v>
      </c>
      <c r="E24" s="37">
        <f t="shared" si="0"/>
        <v>-6222.8999999999942</v>
      </c>
      <c r="F24" s="38">
        <f t="shared" si="3"/>
        <v>-3.8660941880916386E-2</v>
      </c>
      <c r="G24" s="39">
        <v>158127.20000000001</v>
      </c>
      <c r="H24" s="39">
        <f t="shared" si="1"/>
        <v>-3389.2000000000116</v>
      </c>
      <c r="I24" s="40">
        <f t="shared" si="2"/>
        <v>-2.1433377685812507E-2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tabSelected="1" zoomScale="80" zoomScaleNormal="80" workbookViewId="0">
      <pane xSplit="2" ySplit="3" topLeftCell="C4" activePane="bottomRight" state="frozen"/>
      <selection pane="bottomRight" activeCell="E26" sqref="E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199</v>
      </c>
      <c r="E1" s="81"/>
      <c r="F1" s="81"/>
      <c r="G1" s="79" t="s">
        <v>200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3766084.7466666619</v>
      </c>
      <c r="D2" s="5">
        <f>SUM(D4:D99)</f>
        <v>4186646.21</v>
      </c>
      <c r="E2" s="5">
        <f>C2-D2</f>
        <v>-420561.46333333803</v>
      </c>
      <c r="F2" s="6">
        <f>IFERROR(E2/D2, 0)</f>
        <v>-0.10045306965007154</v>
      </c>
      <c r="G2" s="5">
        <f>SUM(G4:G99)</f>
        <v>3403269.3099999996</v>
      </c>
      <c r="H2" s="7">
        <f>C2-G2</f>
        <v>362815.43666666234</v>
      </c>
      <c r="I2" s="6">
        <f>IFERROR(H2/G2, 0)</f>
        <v>0.10660791245658498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36" customHeight="1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132416.5</v>
      </c>
      <c r="D4" s="37">
        <v>139641.9</v>
      </c>
      <c r="E4" s="37">
        <f>IF(AND(ISNUMBER(C4),ISNUMBER(D4)), C4-D4, "")</f>
        <v>-7225.3999999999942</v>
      </c>
      <c r="F4" s="38">
        <f>IFERROR(E4/D4, "")</f>
        <v>-5.1742349538354854E-2</v>
      </c>
      <c r="G4" s="39">
        <v>193553.2</v>
      </c>
      <c r="H4" s="39">
        <f>IF(AND(ISNUMBER(C4),ISNUMBER(G4)), C4-G4, "")</f>
        <v>-61136.700000000012</v>
      </c>
      <c r="I4" s="40">
        <f>IFERROR(H4/G4, "")</f>
        <v>-0.31586509548795888</v>
      </c>
      <c r="J4" s="57" t="s">
        <v>201</v>
      </c>
      <c r="K4" s="57" t="s">
        <v>202</v>
      </c>
    </row>
    <row r="5" spans="1:11" ht="15.75">
      <c r="A5" s="49" t="str">
        <v>Barton Acres</v>
      </c>
      <c r="B5" s="50" t="str">
        <v>MA</v>
      </c>
      <c r="C5" s="43">
        <v>153492</v>
      </c>
      <c r="D5" s="44">
        <v>182494.2</v>
      </c>
      <c r="E5" s="44">
        <f t="shared" ref="E5:E17" si="0">IF(AND(ISNUMBER(C5),ISNUMBER(D5)), C5-D5, "")</f>
        <v>-29002.200000000012</v>
      </c>
      <c r="F5" s="45">
        <f>IFERROR(E5/D5, "")</f>
        <v>-0.15892121503039555</v>
      </c>
      <c r="G5" s="46">
        <v>108497.1</v>
      </c>
      <c r="H5" s="46">
        <f t="shared" ref="H5:H17" si="1">IF(AND(ISNUMBER(C5),ISNUMBER(G5)), C5-G5, "")</f>
        <v>44994.899999999994</v>
      </c>
      <c r="I5" s="45">
        <f t="shared" ref="I5:I17" si="2">IFERROR(H5/G5, "")</f>
        <v>0.41471062360192107</v>
      </c>
      <c r="J5" s="58"/>
      <c r="K5" s="58"/>
    </row>
    <row r="6" spans="1:11" ht="15.75">
      <c r="A6" s="51" t="str">
        <v>Bowden</v>
      </c>
      <c r="B6" s="48" t="str">
        <v>MA</v>
      </c>
      <c r="C6" s="36">
        <v>313995</v>
      </c>
      <c r="D6" s="37">
        <v>316404.5</v>
      </c>
      <c r="E6" s="37">
        <f t="shared" si="0"/>
        <v>-2409.5</v>
      </c>
      <c r="F6" s="38">
        <f t="shared" ref="F6:F17" si="3">IFERROR(E6/D6, "")</f>
        <v>-7.6152519954678271E-3</v>
      </c>
      <c r="G6" s="39">
        <v>280023.90000000002</v>
      </c>
      <c r="H6" s="39">
        <f t="shared" si="1"/>
        <v>33971.099999999977</v>
      </c>
      <c r="I6" s="40">
        <f t="shared" si="2"/>
        <v>0.12131500204089712</v>
      </c>
      <c r="J6" s="57"/>
      <c r="K6" s="57"/>
    </row>
    <row r="7" spans="1:11" ht="15.75">
      <c r="A7" s="49" t="str">
        <v>Blair Wire Village</v>
      </c>
      <c r="B7" s="50" t="str">
        <v>MA</v>
      </c>
      <c r="C7" s="43">
        <v>150580</v>
      </c>
      <c r="D7" s="44">
        <v>185283.6</v>
      </c>
      <c r="E7" s="44">
        <f t="shared" si="0"/>
        <v>-34703.600000000006</v>
      </c>
      <c r="F7" s="45">
        <f t="shared" si="3"/>
        <v>-0.18729990134043167</v>
      </c>
      <c r="G7" s="46">
        <v>142334.20000000001</v>
      </c>
      <c r="H7" s="46">
        <f t="shared" si="1"/>
        <v>8245.7999999999884</v>
      </c>
      <c r="I7" s="45">
        <f t="shared" si="2"/>
        <v>5.793266832567287E-2</v>
      </c>
      <c r="J7" s="58" t="s">
        <v>203</v>
      </c>
      <c r="K7" s="58" t="s">
        <v>204</v>
      </c>
    </row>
    <row r="8" spans="1:11" ht="15.75">
      <c r="A8" s="51" t="str">
        <v>Boutilier</v>
      </c>
      <c r="B8" s="48" t="str">
        <v>MA</v>
      </c>
      <c r="C8" s="36">
        <v>415879</v>
      </c>
      <c r="D8" s="37">
        <v>431459.8</v>
      </c>
      <c r="E8" s="37">
        <f t="shared" si="0"/>
        <v>-15580.799999999988</v>
      </c>
      <c r="F8" s="38">
        <f t="shared" si="3"/>
        <v>-3.6111823164058365E-2</v>
      </c>
      <c r="G8" s="39">
        <v>297836.2</v>
      </c>
      <c r="H8" s="39">
        <f t="shared" si="1"/>
        <v>118042.79999999999</v>
      </c>
      <c r="I8" s="40">
        <f t="shared" si="2"/>
        <v>0.39633462957155641</v>
      </c>
      <c r="J8" s="57" t="s">
        <v>205</v>
      </c>
      <c r="K8" s="57" t="s">
        <v>206</v>
      </c>
    </row>
    <row r="9" spans="1:11" ht="28.5">
      <c r="A9" s="49" t="str">
        <v>Cherry Valley</v>
      </c>
      <c r="B9" s="50" t="str">
        <v>MA</v>
      </c>
      <c r="C9" s="43">
        <v>146109</v>
      </c>
      <c r="D9" s="44">
        <v>186175.5</v>
      </c>
      <c r="E9" s="44">
        <f t="shared" si="0"/>
        <v>-40066.5</v>
      </c>
      <c r="F9" s="45">
        <f t="shared" si="3"/>
        <v>-0.21520823094338407</v>
      </c>
      <c r="G9" s="46">
        <v>115495</v>
      </c>
      <c r="H9" s="46">
        <f t="shared" si="1"/>
        <v>30614</v>
      </c>
      <c r="I9" s="45">
        <f t="shared" si="2"/>
        <v>0.26506775185072945</v>
      </c>
      <c r="J9" s="67" t="s">
        <v>207</v>
      </c>
      <c r="K9" s="70" t="s">
        <v>208</v>
      </c>
    </row>
    <row r="10" spans="1:11" ht="15.75">
      <c r="A10" s="51" t="str">
        <v>Cohasse</v>
      </c>
      <c r="B10" s="48" t="str">
        <v>MA</v>
      </c>
      <c r="C10" s="36">
        <v>133882</v>
      </c>
      <c r="D10" s="37">
        <v>172886.39999999999</v>
      </c>
      <c r="E10" s="37">
        <f t="shared" si="0"/>
        <v>-39004.399999999994</v>
      </c>
      <c r="F10" s="38">
        <f t="shared" si="3"/>
        <v>-0.22560710385547963</v>
      </c>
      <c r="G10" s="39">
        <v>147358.9</v>
      </c>
      <c r="H10" s="39">
        <f t="shared" si="1"/>
        <v>-13476.899999999994</v>
      </c>
      <c r="I10" s="40">
        <f t="shared" si="2"/>
        <v>-9.1456301587484676E-2</v>
      </c>
      <c r="J10" s="57" t="s">
        <v>209</v>
      </c>
      <c r="K10" s="76" t="s">
        <v>210</v>
      </c>
    </row>
    <row r="11" spans="1:11" ht="15.75">
      <c r="A11" s="49" t="str">
        <v>ISM Dighton Solar 2</v>
      </c>
      <c r="B11" s="50" t="str">
        <v>MA</v>
      </c>
      <c r="C11" s="43">
        <v>347781</v>
      </c>
      <c r="D11" s="44">
        <v>344255.7</v>
      </c>
      <c r="E11" s="44">
        <f t="shared" si="0"/>
        <v>3525.2999999999884</v>
      </c>
      <c r="F11" s="45">
        <f t="shared" si="3"/>
        <v>1.0240353318768543E-2</v>
      </c>
      <c r="G11" s="46">
        <v>295460.09999999998</v>
      </c>
      <c r="H11" s="46">
        <f t="shared" si="1"/>
        <v>52320.900000000023</v>
      </c>
      <c r="I11" s="45">
        <f t="shared" si="2"/>
        <v>0.17708279392039747</v>
      </c>
      <c r="J11" s="58"/>
      <c r="K11" s="75"/>
    </row>
    <row r="12" spans="1:11" ht="28.5">
      <c r="A12" s="51" t="str">
        <v>Dudley River 1</v>
      </c>
      <c r="B12" s="48" t="str">
        <v>MA</v>
      </c>
      <c r="C12" s="36">
        <v>153153</v>
      </c>
      <c r="D12" s="37">
        <v>122891.4</v>
      </c>
      <c r="E12" s="37">
        <f t="shared" si="0"/>
        <v>30261.600000000006</v>
      </c>
      <c r="F12" s="38">
        <f t="shared" si="3"/>
        <v>0.24624668609845773</v>
      </c>
      <c r="G12" s="39">
        <v>142467.20000000001</v>
      </c>
      <c r="H12" s="39">
        <f t="shared" si="1"/>
        <v>10685.799999999988</v>
      </c>
      <c r="I12" s="40">
        <f t="shared" si="2"/>
        <v>7.5005334561218218E-2</v>
      </c>
      <c r="J12" s="57" t="s">
        <v>211</v>
      </c>
      <c r="K12" s="76" t="s">
        <v>212</v>
      </c>
    </row>
    <row r="13" spans="1:11" ht="15.75">
      <c r="A13" s="49" t="str">
        <v>Dudley River 2</v>
      </c>
      <c r="B13" s="50" t="str">
        <v>MA</v>
      </c>
      <c r="C13" s="43">
        <v>149851</v>
      </c>
      <c r="D13" s="44">
        <v>158916.4</v>
      </c>
      <c r="E13" s="44">
        <f t="shared" si="0"/>
        <v>-9065.3999999999942</v>
      </c>
      <c r="F13" s="45">
        <f t="shared" si="3"/>
        <v>-5.7045087857514984E-2</v>
      </c>
      <c r="G13" s="46">
        <v>136567.20000000001</v>
      </c>
      <c r="H13" s="46">
        <f t="shared" si="1"/>
        <v>13283.799999999988</v>
      </c>
      <c r="I13" s="45">
        <f t="shared" si="2"/>
        <v>9.726932967798993E-2</v>
      </c>
      <c r="J13" s="58" t="s">
        <v>213</v>
      </c>
      <c r="K13" s="78" t="s">
        <v>214</v>
      </c>
    </row>
    <row r="14" spans="1:11" ht="15.75">
      <c r="A14" s="51" t="str">
        <v>Dudley River 3</v>
      </c>
      <c r="B14" s="48" t="str">
        <v>MA</v>
      </c>
      <c r="C14" s="36">
        <v>155802</v>
      </c>
      <c r="D14" s="37">
        <v>160181.5</v>
      </c>
      <c r="E14" s="37">
        <f t="shared" si="0"/>
        <v>-4379.5</v>
      </c>
      <c r="F14" s="38">
        <f t="shared" si="3"/>
        <v>-2.7340860211697356E-2</v>
      </c>
      <c r="G14" s="39">
        <v>138595.5</v>
      </c>
      <c r="H14" s="39">
        <f t="shared" si="1"/>
        <v>17206.5</v>
      </c>
      <c r="I14" s="40">
        <f t="shared" si="2"/>
        <v>0.12414905245841315</v>
      </c>
      <c r="J14" s="57" t="s">
        <v>213</v>
      </c>
      <c r="K14" s="76" t="s">
        <v>215</v>
      </c>
    </row>
    <row r="15" spans="1:11" ht="28.5">
      <c r="A15" s="49" t="str">
        <v>Flint Pond</v>
      </c>
      <c r="B15" s="50" t="str">
        <v>MA</v>
      </c>
      <c r="C15" s="43">
        <v>63011</v>
      </c>
      <c r="D15" s="44">
        <v>78047.45</v>
      </c>
      <c r="E15" s="44">
        <f t="shared" si="0"/>
        <v>-15036.449999999997</v>
      </c>
      <c r="F15" s="45">
        <f t="shared" si="3"/>
        <v>-0.19265779983843159</v>
      </c>
      <c r="G15" s="46">
        <v>51584.7</v>
      </c>
      <c r="H15" s="46">
        <f t="shared" si="1"/>
        <v>11426.300000000003</v>
      </c>
      <c r="I15" s="45">
        <f t="shared" si="2"/>
        <v>0.22150560146710174</v>
      </c>
      <c r="J15" s="70" t="s">
        <v>216</v>
      </c>
      <c r="K15" s="77" t="s">
        <v>217</v>
      </c>
    </row>
    <row r="16" spans="1:11" ht="15.75">
      <c r="A16" s="51" t="str">
        <v>Incom</v>
      </c>
      <c r="B16" s="48" t="str">
        <v>MA</v>
      </c>
      <c r="C16" s="36">
        <v>324241</v>
      </c>
      <c r="D16" s="37">
        <v>365201.3</v>
      </c>
      <c r="E16" s="37">
        <f t="shared" si="0"/>
        <v>-40960.299999999988</v>
      </c>
      <c r="F16" s="38">
        <f t="shared" si="3"/>
        <v>-0.11215814401536903</v>
      </c>
      <c r="G16" s="39">
        <v>291719.7</v>
      </c>
      <c r="H16" s="39">
        <f t="shared" si="1"/>
        <v>32521.299999999988</v>
      </c>
      <c r="I16" s="40">
        <f t="shared" si="2"/>
        <v>0.11148132950911435</v>
      </c>
      <c r="J16" s="57"/>
      <c r="K16" s="76"/>
    </row>
    <row r="17" spans="1:11" ht="15.75">
      <c r="A17" s="49" t="str">
        <v>JH</v>
      </c>
      <c r="B17" s="50" t="str">
        <v>MA</v>
      </c>
      <c r="C17" s="43">
        <v>137226</v>
      </c>
      <c r="D17" s="44">
        <v>178478.6</v>
      </c>
      <c r="E17" s="44">
        <f t="shared" si="0"/>
        <v>-41252.600000000006</v>
      </c>
      <c r="F17" s="45">
        <f t="shared" si="3"/>
        <v>-0.23113471306924194</v>
      </c>
      <c r="G17" s="46">
        <v>138991.9</v>
      </c>
      <c r="H17" s="46">
        <f t="shared" si="1"/>
        <v>-1765.8999999999942</v>
      </c>
      <c r="I17" s="45">
        <f t="shared" si="2"/>
        <v>-1.2705056913388437E-2</v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>
        <v>124121</v>
      </c>
      <c r="D18" s="37">
        <v>143534.6</v>
      </c>
      <c r="E18" s="37">
        <f t="shared" ref="E18:E24" si="4">IF(AND(ISNUMBER(C18),ISNUMBER(D18)), C18-D18, "")</f>
        <v>-19413.600000000006</v>
      </c>
      <c r="F18" s="38">
        <f t="shared" ref="F18:F24" si="5">IFERROR(E18/D18, "")</f>
        <v>-0.13525379943233204</v>
      </c>
      <c r="G18" s="39">
        <v>132566.29999999999</v>
      </c>
      <c r="H18" s="39">
        <f t="shared" ref="H18:H24" si="6">IF(AND(ISNUMBER(C18),ISNUMBER(G18)), C18-G18, "")</f>
        <v>-8445.2999999999884</v>
      </c>
      <c r="I18" s="40">
        <f t="shared" ref="I18:I24" si="7">IFERROR(H18/G18, "")</f>
        <v>-6.370623604943329E-2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299303.99666666199</v>
      </c>
      <c r="D19" s="44">
        <v>352302</v>
      </c>
      <c r="E19" s="44">
        <f t="shared" si="4"/>
        <v>-52998.003333338012</v>
      </c>
      <c r="F19" s="45">
        <f t="shared" si="5"/>
        <v>-0.15043344441228837</v>
      </c>
      <c r="G19" s="46">
        <v>316219</v>
      </c>
      <c r="H19" s="46">
        <f t="shared" si="6"/>
        <v>-16915.003333338012</v>
      </c>
      <c r="I19" s="45">
        <f t="shared" si="7"/>
        <v>-5.3491419975833246E-2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143492</v>
      </c>
      <c r="D20" s="37">
        <v>165396.29999999999</v>
      </c>
      <c r="E20" s="37">
        <f t="shared" si="4"/>
        <v>-21904.299999999988</v>
      </c>
      <c r="F20" s="38">
        <f t="shared" si="5"/>
        <v>-0.13243524794690081</v>
      </c>
      <c r="G20" s="39">
        <v>112568.1</v>
      </c>
      <c r="H20" s="39">
        <f t="shared" si="6"/>
        <v>30923.899999999994</v>
      </c>
      <c r="I20" s="40">
        <f t="shared" si="7"/>
        <v>0.27471281828510913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145197</v>
      </c>
      <c r="D21" s="44">
        <v>183542</v>
      </c>
      <c r="E21" s="44">
        <f t="shared" si="4"/>
        <v>-38345</v>
      </c>
      <c r="F21" s="45">
        <f t="shared" si="5"/>
        <v>-0.20891676019657626</v>
      </c>
      <c r="G21" s="46">
        <v>126497.8</v>
      </c>
      <c r="H21" s="46">
        <f t="shared" si="6"/>
        <v>18699.199999999997</v>
      </c>
      <c r="I21" s="45">
        <f t="shared" si="7"/>
        <v>0.14782233366904401</v>
      </c>
      <c r="J21" s="58"/>
      <c r="K21" s="59"/>
    </row>
    <row r="22" spans="1:11" ht="15.75">
      <c r="A22" s="51" t="str">
        <v>Sunset A</v>
      </c>
      <c r="B22" s="48" t="str">
        <v>MA</v>
      </c>
      <c r="C22" s="36">
        <v>71366</v>
      </c>
      <c r="D22" s="37">
        <v>92842.81</v>
      </c>
      <c r="E22" s="37">
        <f t="shared" si="4"/>
        <v>-21476.809999999998</v>
      </c>
      <c r="F22" s="38">
        <f t="shared" si="5"/>
        <v>-0.23132442889223193</v>
      </c>
      <c r="G22" s="39">
        <v>51080.28</v>
      </c>
      <c r="H22" s="39">
        <f t="shared" si="6"/>
        <v>20285.72</v>
      </c>
      <c r="I22" s="40">
        <f t="shared" si="7"/>
        <v>0.39713407992281957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64036.25</v>
      </c>
      <c r="D23" s="44">
        <v>71797.850000000006</v>
      </c>
      <c r="E23" s="44">
        <f t="shared" si="4"/>
        <v>-7761.6000000000058</v>
      </c>
      <c r="F23" s="45">
        <f t="shared" si="5"/>
        <v>-0.10810351563452116</v>
      </c>
      <c r="G23" s="46">
        <v>50468.33</v>
      </c>
      <c r="H23" s="46">
        <f t="shared" si="6"/>
        <v>13567.919999999998</v>
      </c>
      <c r="I23" s="45">
        <f t="shared" si="7"/>
        <v>0.26884028062747467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141150</v>
      </c>
      <c r="D24" s="37">
        <v>154912.4</v>
      </c>
      <c r="E24" s="37">
        <f t="shared" si="4"/>
        <v>-13762.399999999994</v>
      </c>
      <c r="F24" s="38">
        <f t="shared" si="5"/>
        <v>-8.8839886284119249E-2</v>
      </c>
      <c r="G24" s="39">
        <v>133384.70000000001</v>
      </c>
      <c r="H24" s="39">
        <f t="shared" si="6"/>
        <v>7765.2999999999884</v>
      </c>
      <c r="I24" s="40">
        <f t="shared" si="7"/>
        <v>5.8217321776785402E-2</v>
      </c>
      <c r="J24" s="57" t="s">
        <v>218</v>
      </c>
      <c r="K24" s="57" t="s">
        <v>219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220</v>
      </c>
      <c r="E1" s="81"/>
      <c r="F1" s="81"/>
      <c r="G1" s="79" t="s">
        <v>221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G26" sqref="G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38 DN</v>
      </c>
      <c r="B1" s="80"/>
      <c r="C1" s="80"/>
      <c r="D1" s="81" t="s">
        <v>222</v>
      </c>
      <c r="E1" s="81"/>
      <c r="F1" s="81"/>
      <c r="G1" s="79" t="s">
        <v>223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224</v>
      </c>
      <c r="B1" t="s">
        <v>225</v>
      </c>
    </row>
    <row r="3" spans="1:12">
      <c r="A3" t="s">
        <v>226</v>
      </c>
      <c r="B3" t="s">
        <v>3</v>
      </c>
      <c r="C3" t="s">
        <v>4</v>
      </c>
      <c r="D3" t="s">
        <v>227</v>
      </c>
      <c r="E3" s="2" t="s">
        <v>228</v>
      </c>
    </row>
    <row r="4" spans="1:12" ht="14.25">
      <c r="A4" s="26" t="s">
        <v>229</v>
      </c>
      <c r="B4" t="s">
        <v>229</v>
      </c>
      <c r="C4" s="25" t="s">
        <v>230</v>
      </c>
      <c r="D4" s="24" t="s">
        <v>231</v>
      </c>
      <c r="E4" t="s">
        <v>232</v>
      </c>
      <c r="G4" s="3"/>
    </row>
    <row r="5" spans="1:12" ht="14.25">
      <c r="A5" s="26" t="s">
        <v>233</v>
      </c>
      <c r="B5" t="s">
        <v>233</v>
      </c>
      <c r="C5" s="25" t="s">
        <v>234</v>
      </c>
      <c r="D5" s="24" t="s">
        <v>231</v>
      </c>
      <c r="E5" t="s">
        <v>232</v>
      </c>
      <c r="G5" s="3"/>
    </row>
    <row r="6" spans="1:12" ht="14.25">
      <c r="A6" s="26" t="s">
        <v>235</v>
      </c>
      <c r="B6" t="s">
        <v>235</v>
      </c>
      <c r="C6" s="25" t="s">
        <v>234</v>
      </c>
      <c r="D6" s="24" t="s">
        <v>231</v>
      </c>
      <c r="E6" t="s">
        <v>232</v>
      </c>
      <c r="G6" s="3"/>
    </row>
    <row r="7" spans="1:12" ht="12.75" customHeight="1">
      <c r="A7" s="26" t="s">
        <v>236</v>
      </c>
      <c r="B7" t="s">
        <v>236</v>
      </c>
      <c r="C7" s="25" t="s">
        <v>234</v>
      </c>
      <c r="D7" s="24" t="s">
        <v>231</v>
      </c>
      <c r="E7" t="s">
        <v>232</v>
      </c>
    </row>
    <row r="8" spans="1:12" ht="12.75" customHeight="1">
      <c r="A8" s="26" t="s">
        <v>237</v>
      </c>
      <c r="B8" t="s">
        <v>237</v>
      </c>
      <c r="C8" s="25" t="s">
        <v>234</v>
      </c>
      <c r="D8" s="24" t="s">
        <v>231</v>
      </c>
      <c r="E8" t="s">
        <v>232</v>
      </c>
    </row>
    <row r="9" spans="1:12" ht="12.75" customHeight="1">
      <c r="A9" s="26" t="s">
        <v>238</v>
      </c>
      <c r="B9" t="s">
        <v>238</v>
      </c>
      <c r="C9" s="25" t="s">
        <v>234</v>
      </c>
      <c r="D9" s="24" t="s">
        <v>231</v>
      </c>
      <c r="E9" t="s">
        <v>232</v>
      </c>
    </row>
    <row r="10" spans="1:12" ht="12.75" customHeight="1">
      <c r="A10" s="26" t="s">
        <v>239</v>
      </c>
      <c r="B10" t="s">
        <v>239</v>
      </c>
      <c r="C10" s="25" t="s">
        <v>234</v>
      </c>
      <c r="D10" s="24" t="s">
        <v>231</v>
      </c>
      <c r="E10" t="s">
        <v>232</v>
      </c>
      <c r="K10" s="21"/>
      <c r="L10" s="21"/>
    </row>
    <row r="11" spans="1:12" ht="12.75" customHeight="1">
      <c r="A11" s="26" t="s">
        <v>240</v>
      </c>
      <c r="B11" t="s">
        <v>240</v>
      </c>
      <c r="C11" s="25" t="s">
        <v>234</v>
      </c>
      <c r="D11" s="24" t="s">
        <v>231</v>
      </c>
      <c r="E11" t="s">
        <v>232</v>
      </c>
      <c r="K11" s="21"/>
      <c r="L11" s="21"/>
    </row>
    <row r="12" spans="1:12" ht="12.75" customHeight="1">
      <c r="A12" s="26" t="s">
        <v>241</v>
      </c>
      <c r="B12" t="s">
        <v>241</v>
      </c>
      <c r="C12" s="25" t="s">
        <v>234</v>
      </c>
      <c r="D12" s="24" t="s">
        <v>231</v>
      </c>
      <c r="E12" t="s">
        <v>232</v>
      </c>
      <c r="K12" s="21"/>
      <c r="L12" s="21"/>
    </row>
    <row r="13" spans="1:12" ht="12.75" customHeight="1">
      <c r="A13" s="26" t="s">
        <v>242</v>
      </c>
      <c r="B13" t="s">
        <v>242</v>
      </c>
      <c r="C13" s="25" t="s">
        <v>234</v>
      </c>
      <c r="D13" s="24" t="s">
        <v>231</v>
      </c>
      <c r="E13" t="s">
        <v>232</v>
      </c>
      <c r="K13" s="21"/>
      <c r="L13" s="21"/>
    </row>
    <row r="14" spans="1:12" ht="12.75" customHeight="1">
      <c r="A14" s="26" t="s">
        <v>243</v>
      </c>
      <c r="B14" t="s">
        <v>243</v>
      </c>
      <c r="C14" s="25" t="s">
        <v>234</v>
      </c>
      <c r="D14" s="24" t="s">
        <v>231</v>
      </c>
      <c r="E14" t="s">
        <v>232</v>
      </c>
      <c r="K14" s="21"/>
      <c r="L14" s="21"/>
    </row>
    <row r="15" spans="1:12" ht="12.75" customHeight="1">
      <c r="A15" s="26" t="s">
        <v>244</v>
      </c>
      <c r="B15" t="s">
        <v>244</v>
      </c>
      <c r="C15" s="25" t="s">
        <v>234</v>
      </c>
      <c r="D15" s="24" t="s">
        <v>231</v>
      </c>
      <c r="E15" t="s">
        <v>232</v>
      </c>
      <c r="K15" s="21"/>
      <c r="L15" s="21"/>
    </row>
    <row r="16" spans="1:12" ht="12.75" customHeight="1">
      <c r="A16" s="26" t="s">
        <v>245</v>
      </c>
      <c r="B16" t="s">
        <v>245</v>
      </c>
      <c r="C16" s="25" t="s">
        <v>234</v>
      </c>
      <c r="D16" s="24" t="s">
        <v>231</v>
      </c>
      <c r="E16" t="s">
        <v>232</v>
      </c>
      <c r="K16" s="21"/>
      <c r="L16" s="21"/>
    </row>
    <row r="17" spans="1:12" ht="12.75" customHeight="1">
      <c r="A17" s="26" t="s">
        <v>246</v>
      </c>
      <c r="B17" t="s">
        <v>246</v>
      </c>
      <c r="C17" s="25" t="s">
        <v>234</v>
      </c>
      <c r="D17" s="24" t="s">
        <v>231</v>
      </c>
      <c r="E17" t="s">
        <v>232</v>
      </c>
      <c r="K17" s="21"/>
      <c r="L17" s="21"/>
    </row>
    <row r="18" spans="1:12" ht="12.75" customHeight="1">
      <c r="A18" s="26" t="s">
        <v>247</v>
      </c>
      <c r="B18" t="s">
        <v>247</v>
      </c>
      <c r="C18" s="25" t="s">
        <v>234</v>
      </c>
      <c r="D18" s="24" t="s">
        <v>231</v>
      </c>
      <c r="E18" t="s">
        <v>232</v>
      </c>
      <c r="K18" s="21"/>
      <c r="L18" s="21"/>
    </row>
    <row r="19" spans="1:12" ht="12.75" customHeight="1">
      <c r="A19" s="26" t="s">
        <v>248</v>
      </c>
      <c r="B19" t="s">
        <v>248</v>
      </c>
      <c r="C19" s="25" t="s">
        <v>234</v>
      </c>
      <c r="D19" s="24" t="s">
        <v>231</v>
      </c>
      <c r="E19" t="s">
        <v>232</v>
      </c>
      <c r="K19" s="21"/>
      <c r="L19" s="21"/>
    </row>
    <row r="20" spans="1:12" ht="12.75" customHeight="1">
      <c r="A20" s="26" t="s">
        <v>249</v>
      </c>
      <c r="B20" t="s">
        <v>249</v>
      </c>
      <c r="C20" s="25" t="s">
        <v>234</v>
      </c>
      <c r="D20" s="24" t="s">
        <v>231</v>
      </c>
      <c r="E20" t="s">
        <v>232</v>
      </c>
      <c r="K20" s="21"/>
      <c r="L20" s="21"/>
    </row>
    <row r="21" spans="1:12" ht="12.75" customHeight="1">
      <c r="A21" s="26" t="s">
        <v>250</v>
      </c>
      <c r="B21" t="s">
        <v>250</v>
      </c>
      <c r="C21" s="25" t="s">
        <v>234</v>
      </c>
      <c r="D21" s="24" t="s">
        <v>231</v>
      </c>
      <c r="E21" t="s">
        <v>232</v>
      </c>
      <c r="K21" s="21"/>
      <c r="L21" s="21"/>
    </row>
    <row r="22" spans="1:12" ht="12.75" customHeight="1">
      <c r="A22" s="26" t="s">
        <v>251</v>
      </c>
      <c r="B22" t="s">
        <v>251</v>
      </c>
      <c r="C22" s="25" t="s">
        <v>234</v>
      </c>
      <c r="D22" s="24" t="s">
        <v>231</v>
      </c>
      <c r="E22" t="s">
        <v>232</v>
      </c>
      <c r="K22" s="21"/>
      <c r="L22" s="21"/>
    </row>
    <row r="23" spans="1:12" ht="12.75" customHeight="1">
      <c r="A23" s="26" t="s">
        <v>252</v>
      </c>
      <c r="B23" t="s">
        <v>252</v>
      </c>
      <c r="C23" s="25" t="s">
        <v>234</v>
      </c>
      <c r="D23" s="24" t="s">
        <v>231</v>
      </c>
      <c r="E23" t="s">
        <v>232</v>
      </c>
      <c r="K23" s="21"/>
      <c r="L23" s="21"/>
    </row>
    <row r="24" spans="1:12" ht="12.75" customHeight="1">
      <c r="A24" s="26" t="s">
        <v>253</v>
      </c>
      <c r="B24" t="s">
        <v>253</v>
      </c>
      <c r="C24" s="25" t="s">
        <v>234</v>
      </c>
      <c r="D24" s="24" t="s">
        <v>231</v>
      </c>
      <c r="E24" t="s">
        <v>232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2024-11-14T16:24:18Z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