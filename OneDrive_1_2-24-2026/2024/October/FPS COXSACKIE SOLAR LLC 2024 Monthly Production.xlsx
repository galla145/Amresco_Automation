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2" documentId="13_ncr:1_{1526A06C-449A-477B-A7F2-AD52092658C8}" xr6:coauthVersionLast="47" xr6:coauthVersionMax="47" xr10:uidLastSave="{9C4A5A5F-3C86-42A6-8721-92D0220F8193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G4" i="1"/>
  <c r="G4" i="34"/>
  <c r="B4" i="34" a="1"/>
  <c r="B4" i="34"/>
  <c r="A4" i="34" a="1"/>
  <c r="A4" i="34"/>
  <c r="A1" i="34" a="1"/>
  <c r="A1" i="34"/>
  <c r="D4" i="30"/>
  <c r="C4" i="30"/>
  <c r="D4" i="29"/>
  <c r="D2" i="29"/>
  <c r="C4" i="29"/>
  <c r="D4" i="18"/>
  <c r="C4" i="18"/>
  <c r="D2" i="18"/>
  <c r="B4" i="30" a="1"/>
  <c r="B4" i="30"/>
  <c r="G2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G2" i="18"/>
  <c r="A1" i="18" a="1"/>
  <c r="A1" i="18"/>
  <c r="C4" i="1"/>
  <c r="D4" i="1"/>
  <c r="B4" i="1" a="1"/>
  <c r="B4" i="1"/>
  <c r="A4" i="1" a="1"/>
  <c r="A4" i="1"/>
  <c r="A1" i="1" a="1"/>
  <c r="A1" i="1"/>
  <c r="H4" i="33"/>
  <c r="I4" i="33"/>
  <c r="E4" i="33"/>
  <c r="F4" i="33"/>
  <c r="G2" i="33"/>
  <c r="D2" i="33"/>
  <c r="C2" i="33"/>
  <c r="A1" i="33" a="1"/>
  <c r="A1" i="33"/>
  <c r="H4" i="32"/>
  <c r="I4" i="32"/>
  <c r="E4" i="32"/>
  <c r="F4" i="32"/>
  <c r="G2" i="32"/>
  <c r="D2" i="32"/>
  <c r="C2" i="32"/>
  <c r="A1" i="32" a="1"/>
  <c r="A1" i="32"/>
  <c r="H4" i="31"/>
  <c r="I4" i="31"/>
  <c r="E4" i="31"/>
  <c r="F4" i="31"/>
  <c r="G2" i="31"/>
  <c r="D2" i="31"/>
  <c r="C2" i="31"/>
  <c r="A1" i="31" a="1"/>
  <c r="A1" i="31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I4" i="27"/>
  <c r="E4" i="27"/>
  <c r="F4" i="27"/>
  <c r="G2" i="27"/>
  <c r="D2" i="27"/>
  <c r="C2" i="27"/>
  <c r="A1" i="27" a="1"/>
  <c r="A1" i="27"/>
  <c r="H4" i="26"/>
  <c r="I4" i="26"/>
  <c r="E4" i="26"/>
  <c r="F4" i="26"/>
  <c r="G2" i="26"/>
  <c r="D2" i="26"/>
  <c r="C2" i="26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/>
  <c r="E4" i="20"/>
  <c r="F4" i="20"/>
  <c r="G2" i="20"/>
  <c r="D2" i="20"/>
  <c r="C2" i="20"/>
  <c r="A1" i="20" a="1"/>
  <c r="A1" i="20"/>
  <c r="H4" i="21"/>
  <c r="I4" i="21"/>
  <c r="E4" i="21"/>
  <c r="F4" i="21"/>
  <c r="G2" i="21"/>
  <c r="D2" i="21"/>
  <c r="C2" i="21"/>
  <c r="A1" i="21" a="1"/>
  <c r="A1" i="21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E4" i="18"/>
  <c r="F4" i="18"/>
  <c r="D4" i="34"/>
  <c r="D2" i="34"/>
  <c r="E4" i="30"/>
  <c r="F4" i="30"/>
  <c r="D2" i="30"/>
  <c r="H2" i="33"/>
  <c r="I2" i="33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G2" i="1"/>
  <c r="H4" i="30"/>
  <c r="I4" i="30"/>
  <c r="H4" i="29"/>
  <c r="I4" i="29"/>
  <c r="H4" i="18"/>
  <c r="I4" i="18"/>
  <c r="C4" i="34"/>
  <c r="C2" i="29"/>
  <c r="E2" i="29"/>
  <c r="F2" i="29"/>
  <c r="C2" i="30"/>
  <c r="E4" i="29"/>
  <c r="F4" i="29"/>
  <c r="C2" i="18"/>
  <c r="H4" i="1"/>
  <c r="C2" i="1"/>
  <c r="E2" i="3"/>
  <c r="F2" i="3"/>
  <c r="E4" i="1"/>
  <c r="F4" i="1"/>
  <c r="D2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E4" i="34"/>
  <c r="F4" i="34"/>
  <c r="G2" i="34"/>
  <c r="H2" i="1"/>
  <c r="I2" i="1"/>
  <c r="C2" i="34"/>
  <c r="I4" i="1"/>
  <c r="H4" i="34"/>
  <c r="I4" i="34"/>
  <c r="H2" i="29"/>
  <c r="I2" i="29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H2" i="34"/>
  <c r="I2" i="34"/>
  <c r="E2" i="34"/>
  <c r="F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<sst xmlns="http://schemas.openxmlformats.org/spreadsheetml/2006/main" count="256" uniqueCount="70">
  <si>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</si>
  <si>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</si>
  <si>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</si>
  <si>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</si>
  <si>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</si>
  <si>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</si>
  <si>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</si>
  <si>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</si>
  <si>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</si>
  <si>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</si>
  <si>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</si>
  <si>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</si>
  <si>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</si>
  <si>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</si>
  <si>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</si>
  <si>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</si>
  <si>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</si>
  <si>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</si>
  <si>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</si>
  <si>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</si>
  <si>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</si>
  <si>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</si>
  <si>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</si>
  <si>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</si>
  <si>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</si>
  <si>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</si>
  <si>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</si>
  <si>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</si>
  <si>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</si>
  <si>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</si>
  <si>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</si>
  <si>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</si>
  <si>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</si>
  <si>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</si>
  <si>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</si>
  <si>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</si>
  <si>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</si>
  <si>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</si>
  <si>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</si>
  <si>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</si>
  <si>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</si>
  <si>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</si>
  <si>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</si>
  <si>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</si>
  <si>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1.Site was offline on 07/01 at 7:15PM and back online on 07/02 at 11:00AM
2.Site was offline on 07/07 at 10:00AM and back online on 07/09 at 6:15PM
3.Inverter 2.11 tripped offline on 07/10 at 11:15 through out the day and again tripped offline on 07/11,07/12,07/13 at 16:15 and resolving overnight.
4.Site was offline on 07/14 at 1:30PM and back online on 07/15 at 8:00AM
5.Site was offline on 07/26 at 11:30AM and back online on 07/27 at 09:15AM and again offline on 07/28 at 09:30AM and back online on 07/29 at 08:15AM</t>
  </si>
  <si>
    <t>1.SR087223
2.SR087442
3.SR087565
4.SR087662
5.SR088277</t>
  </si>
  <si>
    <t>August Actual v. Expected</t>
  </si>
  <si>
    <t>August Actual v. Forecasted</t>
  </si>
  <si>
    <t>1. Site offline at 11:00 from 8/10 and back online on 8/12 at 08:45.</t>
  </si>
  <si>
    <t>1.	SR088874</t>
  </si>
  <si>
    <t>September Actual v. Expected</t>
  </si>
  <si>
    <t>September Actual v. Forecasted</t>
  </si>
  <si>
    <t>October Actual v. Expected</t>
  </si>
  <si>
    <t>October Actual v. Forecasted</t>
  </si>
  <si>
    <t xml:space="preserve">1. Site was taken offline by EPC from 15:00 to 17:45 on 10/02
2. Site is offline on 01:00 and back online at  03:30 on 10/11
3. Inverters 1.17 &amp; 2.11 are underperforming approximately 7 kW from 10/06 and issue resolved on 10/21.
</t>
  </si>
  <si>
    <t>1.PM6558
2.SR092029
3. SR092251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</si>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</sst>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7749605.899739245</v>
      </c>
      <c r="D2" s="5">
        <f>SUM(D4:D79)</f>
        <v>8502514.7039999999</v>
      </c>
      <c r="E2" s="5">
        <f>C2-D2</f>
        <v>-752908.80426075496</v>
      </c>
      <c r="F2" s="6">
        <f>IFERROR(E2/D2, 0)</f>
        <v>-8.855130869771384E-2</v>
      </c>
      <c r="G2" s="5">
        <f>SUM(G4:G79)</f>
        <v>4457584.7699999996</v>
      </c>
      <c r="H2" s="7">
        <f>C2-G2</f>
        <v>3292021.1297392454</v>
      </c>
      <c r="I2" s="6">
        <f>IFERROR(H2/G2, 0)</f>
        <v>0.73852126198359336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7749605.899739245</v>
      </c>
      <c r="D4" s="12">
        <f>SUM('1st Qtr'!D4, '2nd Qtr'!D4, '3rd Qtr'!D4, '4th Qtr'!D4)</f>
        <v>8502514.7039999999</v>
      </c>
      <c r="E4" s="12">
        <f>IF(AND(ISNUMBER(C4),ISNUMBER(D4)), C4-D4, "")</f>
        <v>-752908.80426075496</v>
      </c>
      <c r="F4" s="13">
        <f>IFERROR(E4/D4, "")</f>
        <v>-8.855130869771384E-2</v>
      </c>
      <c r="G4" s="14">
        <f>SUM('1st Qtr'!G4, '2nd Qtr'!G4, '3rd Qtr'!G4, '4th Qtr'!G4)</f>
        <v>4457584.7699999996</v>
      </c>
      <c r="H4" s="14">
        <f>SUM('1st Qtr'!H4, '2nd Qtr'!H4, '3rd Qtr'!H4, '4th Qtr'!H4)</f>
        <v>69153.149739244953</v>
      </c>
      <c r="I4" s="15">
        <f>IFERROR(H4/G4, "")</f>
        <v>1.5513591621331065E-2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2618606.6085483008</v>
      </c>
      <c r="D2" s="5">
        <f>SUM(D4:D79)</f>
        <v>2684537.9649999999</v>
      </c>
      <c r="E2" s="5">
        <f>C2-D2</f>
        <v>-65931.356451699045</v>
      </c>
      <c r="F2" s="6">
        <f>IFERROR(E2/D2, 0)</f>
        <v>-2.4559666248452197E-2</v>
      </c>
      <c r="G2" s="5">
        <f>SUM(G4:G79)</f>
        <v>0</v>
      </c>
      <c r="H2" s="7">
        <f>C2-G2</f>
        <v>2618606.6085483008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2618606.6085483008</v>
      </c>
      <c r="D4" s="12">
        <f>SUM(Jul!D4, Aug!D4, Sep!D4)</f>
        <v>2684537.9649999999</v>
      </c>
      <c r="E4" s="12">
        <f>IF(AND(ISNUMBER(C4),ISNUMBER(D4)), C4-D4, "")</f>
        <v>-65931.356451699045</v>
      </c>
      <c r="F4" s="13">
        <f>IFERROR(E4/D4, "")</f>
        <v>-2.4559666248452197E-2</v>
      </c>
      <c r="G4" s="14"/>
      <c r="H4" s="14">
        <f>SUM(Jul!H4, Aug!H4, Sep!H4)</f>
        <v>-37102.171451698989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SUM(C4:C79)</f>
        <v>786213.39119094401</v>
      </c>
      <c r="D2" s="5">
        <f>SUM(D4:D79)</f>
        <v>931800.9</v>
      </c>
      <c r="E2" s="5">
        <f>C2-D2</f>
        <v>-145587.50880905602</v>
      </c>
      <c r="F2" s="6">
        <f>IFERROR(E2/D2, 0)</f>
        <v>-0.15624315109489165</v>
      </c>
      <c r="G2" s="5">
        <f>SUM(G4:G79)</f>
        <v>0</v>
      </c>
      <c r="H2" s="7">
        <f>C2-G2</f>
        <v>786213.39119094401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786213.39119094401</v>
      </c>
      <c r="D4" s="12">
        <f>SUM(Oct!D4, Nov!D4, Dec!D4)</f>
        <v>931800.9</v>
      </c>
      <c r="E4" s="12">
        <f>IF(AND(ISNUMBER(C4),ISNUMBER(D4)), C4-D4, "")</f>
        <v>-145587.50880905602</v>
      </c>
      <c r="F4" s="13">
        <f>IFERROR(E4/D4, "")</f>
        <v>-0.15624315109489165</v>
      </c>
      <c r="G4" s="14"/>
      <c r="H4" s="14">
        <f>SUM(Oct!H4, Nov!H4, Dec!H4)</f>
        <v>219054.19119094405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5:F78">
    <cfRule type="cellIs" dxfId="28" priority="1" stopIfTrue="1" operator="lessThanOrEqual">
      <formula>-0.1</formula>
    </cfRule>
    <cfRule type="expression" dxfId="27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34</v>
      </c>
      <c r="E1" s="62"/>
      <c r="F1" s="62"/>
      <c r="G1" s="60" t="s">
        <v>35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38</v>
      </c>
      <c r="E1" s="62"/>
      <c r="F1" s="62"/>
      <c r="G1" s="60" t="s">
        <v>39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968048.88</v>
      </c>
      <c r="H2" s="7">
        <f>C2-G2</f>
        <v>-52126.530000000028</v>
      </c>
      <c r="I2" s="6">
        <f>IFERROR(H2/G2, 0)</f>
        <v>-5.3847002023286288E-2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0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915922.35</v>
      </c>
      <c r="D4" s="12"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>
        <v>968048.88</v>
      </c>
      <c r="H4" s="14">
        <f>IF(AND(ISNUMBER(C4),ISNUMBER(G4)), C4-G4, "")</f>
        <v>-52126.530000000028</v>
      </c>
      <c r="I4" s="15">
        <f>IFERROR(H4/G4, "")</f>
        <v>-5.3847002023286288E-2</v>
      </c>
      <c r="J4" s="36" t="s">
        <v>44</v>
      </c>
      <c r="K4" s="36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J12" sqref="J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823514.64973924705</v>
      </c>
      <c r="D2" s="5">
        <f>SUM(D4:D79)</f>
        <v>819928.2</v>
      </c>
      <c r="E2" s="5">
        <f>C2-D2</f>
        <v>3586.4497392470948</v>
      </c>
      <c r="F2" s="6">
        <f>IFERROR(E2/D2, 0)</f>
        <v>4.3741021948593729E-3</v>
      </c>
      <c r="G2" s="5">
        <f>SUM(G4:G79)</f>
        <v>924127.4</v>
      </c>
      <c r="H2" s="7">
        <f>C2-G2</f>
        <v>-100612.75026075298</v>
      </c>
      <c r="I2" s="6">
        <f>IFERROR(H2/G2, 0)</f>
        <v>-0.10887324654669148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823514.64973924705</v>
      </c>
      <c r="D4" s="12">
        <v>819928.2</v>
      </c>
      <c r="E4" s="12">
        <f>IF(AND(ISNUMBER(C4),ISNUMBER(D4)), C4-D4, "")</f>
        <v>3586.4497392470948</v>
      </c>
      <c r="F4" s="13">
        <f>IFERROR(E4/D4, "")</f>
        <v>4.3741021948593729E-3</v>
      </c>
      <c r="G4" s="14">
        <v>924127.4</v>
      </c>
      <c r="H4" s="14">
        <f>IF(AND(ISNUMBER(C4),ISNUMBER(G4)), C4-G4, "")</f>
        <v>-100612.75026075298</v>
      </c>
      <c r="I4" s="15">
        <f>IFERROR(H4/G4, "")</f>
        <v>-0.10887324654669148</v>
      </c>
      <c r="J4" s="36" t="s">
        <v>48</v>
      </c>
      <c r="K4" s="36" t="s">
        <v>49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:XFD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879169.60880905401</v>
      </c>
      <c r="D2" s="5">
        <f>SUM(D4:D79)</f>
        <v>866944.5</v>
      </c>
      <c r="E2" s="5">
        <f>C2-D2</f>
        <v>12225.108809054014</v>
      </c>
      <c r="F2" s="6">
        <f>IFERROR(E2/D2, 0)</f>
        <v>1.4101374204524066E-2</v>
      </c>
      <c r="G2" s="5">
        <f>SUM(G4:G79)</f>
        <v>763532.5</v>
      </c>
      <c r="H2" s="7">
        <f>C2-G2</f>
        <v>115637.10880905401</v>
      </c>
      <c r="I2" s="6">
        <f>IFERROR(H2/G2, 0)</f>
        <v>0.15145014627282272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879169.60880905401</v>
      </c>
      <c r="D4" s="12">
        <v>866944.5</v>
      </c>
      <c r="E4" s="12">
        <f>IF(AND(ISNUMBER(C4),ISNUMBER(D4)), C4-D4, "")</f>
        <v>12225.108809054014</v>
      </c>
      <c r="F4" s="13">
        <f>IFERROR(E4/D4, "")</f>
        <v>1.4101374204524066E-2</v>
      </c>
      <c r="G4" s="14">
        <v>763532.5</v>
      </c>
      <c r="H4" s="14">
        <f>IF(AND(ISNUMBER(C4),ISNUMBER(G4)), C4-G4, "")</f>
        <v>115637.10880905401</v>
      </c>
      <c r="I4" s="15">
        <f>IFERROR(H4/G4, "")</f>
        <v>0.15145014627282272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52</v>
      </c>
      <c r="E1" s="62"/>
      <c r="F1" s="62"/>
      <c r="G1" s="60" t="s">
        <v>53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786213.39119094401</v>
      </c>
      <c r="D2" s="5">
        <f>SUM(D4:D79)</f>
        <v>931800.9</v>
      </c>
      <c r="E2" s="5">
        <f>C2-D2</f>
        <v>-145587.50880905602</v>
      </c>
      <c r="F2" s="6">
        <f>IFERROR(E2/D2, 0)</f>
        <v>-0.15624315109489165</v>
      </c>
      <c r="G2" s="5">
        <f>SUM(G4:G79)</f>
        <v>567159.19999999995</v>
      </c>
      <c r="H2" s="7">
        <f>C2-G2</f>
        <v>219054.19119094405</v>
      </c>
      <c r="I2" s="6">
        <f>IFERROR(H2/G2, 0)</f>
        <v>0.38623051727088986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786213.39119094401</v>
      </c>
      <c r="D4" s="12">
        <v>931800.9</v>
      </c>
      <c r="E4" s="12">
        <f>IF(AND(ISNUMBER(C4),ISNUMBER(D4)), C4-D4, "")</f>
        <v>-145587.50880905602</v>
      </c>
      <c r="F4" s="13">
        <f>IFERROR(E4/D4, "")</f>
        <v>-0.15624315109489165</v>
      </c>
      <c r="G4" s="14">
        <v>567159.19999999995</v>
      </c>
      <c r="H4" s="14">
        <f>IF(AND(ISNUMBER(C4),ISNUMBER(G4)), C4-G4, "")</f>
        <v>219054.19119094405</v>
      </c>
      <c r="I4" s="15">
        <f>IFERROR(H4/G4, "")</f>
        <v>0.38623051727088986</v>
      </c>
      <c r="J4" s="36" t="s">
        <v>54</v>
      </c>
      <c r="K4" s="59" t="s">
        <v>55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5:F79 I5:I79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 I4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58</v>
      </c>
      <c r="E1" s="62"/>
      <c r="F1" s="62"/>
      <c r="G1" s="60" t="s">
        <v>59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60</v>
      </c>
      <c r="B1" t="s">
        <v>61</v>
      </c>
    </row>
    <row r="3" spans="1:12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12" ht="14.45">
      <c r="A4" s="45" t="s">
        <v>65</v>
      </c>
      <c r="B4" t="s">
        <v>66</v>
      </c>
      <c r="C4" s="43" t="s">
        <v>67</v>
      </c>
      <c r="D4" s="42" t="s">
        <v>68</v>
      </c>
      <c r="E4" t="s">
        <v>69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2024-11-12T19:25:14Z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