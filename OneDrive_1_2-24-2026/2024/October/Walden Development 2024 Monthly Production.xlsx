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6" documentId="13_ncr:1_{B5E7BDCE-EE7B-46FC-B07A-DD33E1B871E4}" xr6:coauthVersionLast="47" xr6:coauthVersionMax="47" xr10:uidLastSave="{B14D84B4-F754-4F35-AF68-4201181A818D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H2" i="31" l="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<sst xmlns="http://schemas.openxmlformats.org/spreadsheetml/2006/main" count="259" uniqueCount="73">
  <si>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</si>
  <si>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</si>
  <si>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</si>
  <si>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</si>
  <si>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</si>
  <si>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</si>
  <si>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</si>
  <si>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</si>
  <si>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</si>
  <si>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</si>
  <si>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</si>
  <si>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</si>
  <si>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</si>
  <si>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</si>
  <si>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</si>
  <si>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</si>
  <si>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</si>
  <si>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</si>
  <si>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</si>
  <si>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</si>
  <si>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</si>
  <si>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</si>
  <si>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</si>
  <si>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</si>
  <si>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</si>
  <si>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</si>
  <si>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</si>
  <si>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</si>
  <si>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</si>
  <si>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</si>
  <si>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</si>
  <si>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</si>
  <si>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</si>
  <si>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</si>
  <si>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</si>
  <si>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</si>
  <si>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</si>
  <si>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</si>
  <si>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</si>
  <si>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</si>
  <si>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</si>
  <si>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</si>
  <si>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</si>
  <si>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</si>
  <si>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</si>
  <si>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 Actual v. Expected</t>
  </si>
  <si>
    <t>July Actual v. Forecasted</t>
  </si>
  <si>
    <t>1.The main breaker on pad 1 had tripped, pad 2 was still running at 15:30pm on 07/01 and back online at 10:15 on 07/02.
2.Inverter 20 is underproducing 30kW compared to its peers</t>
  </si>
  <si>
    <t>1.SR087219
2.SR089524</t>
  </si>
  <si>
    <t>August Actual v. Expected</t>
  </si>
  <si>
    <t>August Actual v. Forecasted</t>
  </si>
  <si>
    <t>1.Inverter 21 didn't start production on 08/05 &amp; 08/06 until 13:00pm.
2. Inverter 20 is underproducing 30kW compared to its peers</t>
  </si>
  <si>
    <t>1.SR088651
2.SR089524</t>
  </si>
  <si>
    <t>September Actual v. Expected</t>
  </si>
  <si>
    <t>September Actual v. Forecasted</t>
  </si>
  <si>
    <t>October Actual v. Expected</t>
  </si>
  <si>
    <t>October Actual v. Forecasted</t>
  </si>
  <si>
    <t>1.Site tripped offline at 09:00 on 10/18 and back online at 08:00 on 10/23 and again site tripped offline at 15:00 on 10/23 throught out the month</t>
  </si>
  <si>
    <t>1.SR092197,SR092330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</si>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</sst>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6935807.0792857138</v>
      </c>
      <c r="D2" s="6">
        <f>SUM(D4:D60)</f>
        <v>7076929.4110000003</v>
      </c>
      <c r="E2" s="6">
        <f>C2-D2</f>
        <v>-141122.33171428647</v>
      </c>
      <c r="F2" s="7">
        <f>IFERROR(E2/D2, 0)</f>
        <v>-1.9941181198576529E-2</v>
      </c>
      <c r="G2" s="6">
        <f>SUM(G4:G60)</f>
        <v>7455603.7699999996</v>
      </c>
      <c r="H2" s="8">
        <f>C2-G2</f>
        <v>-519796.69071428571</v>
      </c>
      <c r="I2" s="7">
        <f>IFERROR(H2/G2, 0)</f>
        <v>-6.9718926427642727E-2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6935807.0792857138</v>
      </c>
      <c r="D4" s="14">
        <f>SUM('1st Qtr'!D4, '2nd Qtr'!D4, '3rd Qtr'!D4, '4th Qtr'!D4)</f>
        <v>7076929.4110000003</v>
      </c>
      <c r="E4" s="14">
        <f>IF(AND(ISNUMBER(C4),ISNUMBER(D4)), C4-D4, "")</f>
        <v>-141122.33171428647</v>
      </c>
      <c r="F4" s="15">
        <f>IFERROR(E4/D4, "")</f>
        <v>-1.9941181198576529E-2</v>
      </c>
      <c r="G4" s="16">
        <f>SUM('1st Qtr'!G4,'2nd Qtr'!G4,'3rd Qtr'!G4,'4th Qtr'!G4)</f>
        <v>7455603.7699999996</v>
      </c>
      <c r="H4" s="16">
        <f>SUM('1st Qtr'!H4, '2nd Qtr'!H4, '3rd Qtr'!H4, '4th Qtr'!H4)</f>
        <v>-519796.69071428577</v>
      </c>
      <c r="I4" s="17">
        <f>IFERROR(H4/G4, "")</f>
        <v>-6.9718926427642727E-2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2615385</v>
      </c>
      <c r="D2" s="6">
        <f>SUM(D4:D89)</f>
        <v>2646326.8569999998</v>
      </c>
      <c r="E2" s="6">
        <f>C2-D2</f>
        <v>-30941.856999999844</v>
      </c>
      <c r="F2" s="7">
        <f>IFERROR(E2/D2, 0)</f>
        <v>-1.1692379162518489E-2</v>
      </c>
      <c r="G2" s="6">
        <f>SUM(G4:G89)</f>
        <v>2567776.3499999996</v>
      </c>
      <c r="H2" s="8">
        <f>C2-G2</f>
        <v>47608.650000000373</v>
      </c>
      <c r="I2" s="7">
        <f>IFERROR(H2/G2, 0)</f>
        <v>1.8540808665053862E-2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2615385</v>
      </c>
      <c r="D4" s="14">
        <f>SUM(Jul!D4, Aug!D4, Sep!D4)</f>
        <v>2646326.8569999998</v>
      </c>
      <c r="E4" s="14">
        <f>IF(AND(ISNUMBER(C4),ISNUMBER(D4)), C4-D4, "")</f>
        <v>-30941.856999999844</v>
      </c>
      <c r="F4" s="15">
        <f>IFERROR(E4/D4, "")</f>
        <v>-1.1692379162518489E-2</v>
      </c>
      <c r="G4" s="16">
        <f>SUM(Jul!G4,Aug!G4,Sep!G4)</f>
        <v>2567776.3499999996</v>
      </c>
      <c r="H4" s="16">
        <f>SUM(Jul!H4, Aug!H4, Sep!H4)</f>
        <v>47608.65000000014</v>
      </c>
      <c r="I4" s="17">
        <f>IFERROR(H4/G4, "")</f>
        <v>1.8540808665053771E-2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E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410147.07428571401</v>
      </c>
      <c r="D2" s="6">
        <f>SUM(D4:D89)</f>
        <v>439864.9</v>
      </c>
      <c r="E2" s="6">
        <f>C2-D2</f>
        <v>-29717.825714286009</v>
      </c>
      <c r="F2" s="7">
        <f>IFERROR(E2/D2, 0)</f>
        <v>-6.7561257363990643E-2</v>
      </c>
      <c r="G2" s="6">
        <f>SUM(G4:G89)</f>
        <v>551121.9</v>
      </c>
      <c r="H2" s="8">
        <f>C2-G2</f>
        <v>-140974.82571428601</v>
      </c>
      <c r="I2" s="7">
        <f>IFERROR(H2/G2, 0)</f>
        <v>-0.2557960874250978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410147.07428571401</v>
      </c>
      <c r="D4" s="14">
        <f>SUM(Oct!D4, Nov!D4, Dec!D4)</f>
        <v>439864.9</v>
      </c>
      <c r="E4" s="14">
        <f>IF(AND(ISNUMBER(C4),ISNUMBER(D4)), C4-D4, "")</f>
        <v>-29717.825714286009</v>
      </c>
      <c r="F4" s="15">
        <f>IFERROR(E4/D4, "")</f>
        <v>-6.7561257363990643E-2</v>
      </c>
      <c r="G4" s="16">
        <f>SUM(Oct!G4,Nov!G4,Dec!G4)</f>
        <v>551121.9</v>
      </c>
      <c r="H4" s="16">
        <f>SUM(Oct!H4, Nov!H4, Dec!H4)</f>
        <v>-140974.82571428601</v>
      </c>
      <c r="I4" s="17">
        <f>IFERROR(H4/G4, "")</f>
        <v>-0.2557960874250978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11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43</v>
      </c>
      <c r="K4" s="18" t="s">
        <v>44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916545</v>
      </c>
      <c r="D2" s="6">
        <f>SUM(D4:D90)</f>
        <v>922407.79</v>
      </c>
      <c r="E2" s="6">
        <f>C2-D2</f>
        <v>-5862.7900000000373</v>
      </c>
      <c r="F2" s="7">
        <f>IFERROR(E2/D2, 0)</f>
        <v>-6.3559632340052519E-3</v>
      </c>
      <c r="G2" s="6">
        <f>SUM(G4:G90)</f>
        <v>935829.2</v>
      </c>
      <c r="H2" s="8">
        <f>C2-G2</f>
        <v>-19284.199999999953</v>
      </c>
      <c r="I2" s="7">
        <f>IFERROR(H2/G2, 0)</f>
        <v>-2.0606538030657682E-2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916545</v>
      </c>
      <c r="D4" s="14"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v>935829.2</v>
      </c>
      <c r="H4" s="16">
        <f>IF(AND(ISNUMBER(C4),ISNUMBER(G4)), C4-G4, "")</f>
        <v>-19284.199999999953</v>
      </c>
      <c r="I4" s="17">
        <f>IFERROR(H4/G4, "")</f>
        <v>-2.0606538030657682E-2</v>
      </c>
      <c r="J4" s="18" t="s">
        <v>47</v>
      </c>
      <c r="K4" s="18" t="s">
        <v>48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16" sqref="D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849701</v>
      </c>
      <c r="D2" s="6">
        <f>SUM(D4:D30)</f>
        <v>861890.23499999999</v>
      </c>
      <c r="E2" s="6">
        <f>C2-D2</f>
        <v>-12189.234999999986</v>
      </c>
      <c r="F2" s="7">
        <f>IFERROR(E2/D2, 0)</f>
        <v>-1.4142444716292656E-2</v>
      </c>
      <c r="G2" s="6">
        <f>SUM(G4:G30)</f>
        <v>890773.33</v>
      </c>
      <c r="H2" s="8">
        <f>C2-G2</f>
        <v>-41072.329999999958</v>
      </c>
      <c r="I2" s="7">
        <f>IFERROR(H2/G2, 0)</f>
        <v>-4.6108621146077597E-2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849701</v>
      </c>
      <c r="D4" s="14">
        <v>861890.23499999999</v>
      </c>
      <c r="E4" s="14">
        <f>IF(AND(ISNUMBER(C4),ISNUMBER(D4)), C4-D4, "")</f>
        <v>-12189.234999999986</v>
      </c>
      <c r="F4" s="15">
        <f>IFERROR(E4/D4, "")</f>
        <v>-1.4142444716292656E-2</v>
      </c>
      <c r="G4" s="16">
        <v>890773.33</v>
      </c>
      <c r="H4" s="16">
        <f>IF(AND(ISNUMBER(C4),ISNUMBER(G4)), C4-G4, "")</f>
        <v>-41072.329999999958</v>
      </c>
      <c r="I4" s="17">
        <f>IFERROR(H4/G4, "")</f>
        <v>-4.6108621146077597E-2</v>
      </c>
      <c r="J4" s="18" t="s">
        <v>51</v>
      </c>
      <c r="K4" s="18" t="s">
        <v>52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849139</v>
      </c>
      <c r="D2" s="6">
        <f>SUM(D4:D90)</f>
        <v>862028.83200000005</v>
      </c>
      <c r="E2" s="6">
        <f>C2-D2</f>
        <v>-12889.832000000053</v>
      </c>
      <c r="F2" s="7">
        <f>IFERROR(E2/D2, 0)</f>
        <v>-1.4952901250523431E-2</v>
      </c>
      <c r="G2" s="6">
        <f>SUM(G4:G90)</f>
        <v>741173.82</v>
      </c>
      <c r="H2" s="8">
        <f>C2-G2</f>
        <v>107965.18000000005</v>
      </c>
      <c r="I2" s="7">
        <f>IFERROR(H2/G2, 0)</f>
        <v>0.14566782728510305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849139</v>
      </c>
      <c r="D4" s="14">
        <v>862028.83200000005</v>
      </c>
      <c r="E4" s="14">
        <f>IF(AND(ISNUMBER(C4),ISNUMBER(D4)), C4-D4, "")</f>
        <v>-12889.832000000053</v>
      </c>
      <c r="F4" s="15">
        <f>IFERROR(E4/D4, "")</f>
        <v>-1.4952901250523431E-2</v>
      </c>
      <c r="G4" s="16">
        <v>741173.82</v>
      </c>
      <c r="H4" s="16">
        <f>IF(AND(ISNUMBER(C4),ISNUMBER(G4)), C4-G4, "")</f>
        <v>107965.18000000005</v>
      </c>
      <c r="I4" s="17">
        <f>IFERROR(H4/G4, "")</f>
        <v>0.14566782728510305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workbookViewId="0">
      <pane ySplit="2" topLeftCell="A3" activePane="bottomLeft" state="frozen"/>
      <selection pane="bottomLeft" activeCell="J8" sqref="J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410147.07428571401</v>
      </c>
      <c r="D2" s="6">
        <f>SUM(D4:D90)</f>
        <v>439864.9</v>
      </c>
      <c r="E2" s="6">
        <f>C2-D2</f>
        <v>-29717.825714286009</v>
      </c>
      <c r="F2" s="7">
        <f>IFERROR(E2/D2, 0)</f>
        <v>-6.7561257363990643E-2</v>
      </c>
      <c r="G2" s="6">
        <f>SUM(G4:G90)</f>
        <v>551121.9</v>
      </c>
      <c r="H2" s="8">
        <f>C2-G2</f>
        <v>-140974.82571428601</v>
      </c>
      <c r="I2" s="7">
        <f>IFERROR(H2/G2, 0)</f>
        <v>-0.2557960874250978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410147.07428571401</v>
      </c>
      <c r="D4" s="14">
        <v>439864.9</v>
      </c>
      <c r="E4" s="14">
        <f>IF(AND(ISNUMBER(C4),ISNUMBER(D4)), C4-D4, "")</f>
        <v>-29717.825714286009</v>
      </c>
      <c r="F4" s="15">
        <f>IFERROR(E4/D4, "")</f>
        <v>-6.7561257363990643E-2</v>
      </c>
      <c r="G4" s="16">
        <v>551121.9</v>
      </c>
      <c r="H4" s="16">
        <f>IF(AND(ISNUMBER(C4),ISNUMBER(G4)), C4-G4, "")</f>
        <v>-140974.82571428601</v>
      </c>
      <c r="I4" s="17">
        <f>IFERROR(H4/G4, "")</f>
        <v>-0.2557960874250978</v>
      </c>
      <c r="J4" s="18" t="s">
        <v>57</v>
      </c>
      <c r="K4" s="18" t="s">
        <v>58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59</v>
      </c>
      <c r="E1" s="45"/>
      <c r="F1" s="45"/>
      <c r="G1" s="43" t="s">
        <v>60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61</v>
      </c>
      <c r="E1" s="45"/>
      <c r="F1" s="45"/>
      <c r="G1" s="43" t="s">
        <v>62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63</v>
      </c>
      <c r="B1" t="s">
        <v>64</v>
      </c>
    </row>
    <row r="3" spans="1:7" ht="13.15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7" ht="14.45">
      <c r="A4" t="s">
        <v>68</v>
      </c>
      <c r="B4" t="s">
        <v>69</v>
      </c>
      <c r="C4" s="4" t="s">
        <v>70</v>
      </c>
      <c r="D4" t="s">
        <v>71</v>
      </c>
      <c r="E4" t="s">
        <v>72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2024-11-12T05:49:38Z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