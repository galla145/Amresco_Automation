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ren\"/>
    </mc:Choice>
  </mc:AlternateContent>
  <xr:revisionPtr revIDLastSave="120" documentId="13_ncr:1_{94211DA8-E8F8-4051-83CE-6246184EC265}" xr6:coauthVersionLast="47" xr6:coauthVersionMax="47" xr10:uidLastSave="{D73CE12A-2305-4787-8D7A-81D642E391C3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C9" i="1"/>
  <c r="D9" i="1"/>
  <c r="E9" i="1"/>
  <c r="F9" i="1"/>
  <c r="G9" i="1"/>
  <c r="H9" i="1"/>
  <c r="I9" i="1"/>
  <c r="C9" i="18"/>
  <c r="D9" i="18"/>
  <c r="E9" i="18"/>
  <c r="F9" i="18"/>
  <c r="G9" i="18"/>
  <c r="H9" i="18"/>
  <c r="I9" i="18"/>
  <c r="C7" i="18"/>
  <c r="D7" i="18"/>
  <c r="E7" i="18"/>
  <c r="F7" i="18"/>
  <c r="G7" i="18"/>
  <c r="H7" i="18"/>
  <c r="I7" i="18"/>
  <c r="C8" i="18"/>
  <c r="D8" i="18"/>
  <c r="E8" i="18"/>
  <c r="F8" i="18"/>
  <c r="G8" i="18"/>
  <c r="H8" i="18"/>
  <c r="I8" i="18"/>
  <c r="E8" i="72"/>
  <c r="F8" i="72"/>
  <c r="H8" i="72"/>
  <c r="I8" i="72"/>
  <c r="E9" i="72"/>
  <c r="F9" i="72"/>
  <c r="H9" i="72"/>
  <c r="I9" i="72"/>
  <c r="E8" i="3"/>
  <c r="F8" i="3"/>
  <c r="H8" i="3"/>
  <c r="I8" i="3"/>
  <c r="E9" i="3"/>
  <c r="F9" i="3"/>
  <c r="H9" i="3"/>
  <c r="I9" i="3"/>
  <c r="E8" i="4"/>
  <c r="F8" i="4"/>
  <c r="H8" i="4"/>
  <c r="I8" i="4"/>
  <c r="E9" i="4"/>
  <c r="F9" i="4"/>
  <c r="H9" i="4"/>
  <c r="I9" i="4"/>
  <c r="E8" i="21"/>
  <c r="F8" i="21"/>
  <c r="H8" i="21"/>
  <c r="I8" i="21"/>
  <c r="E9" i="21"/>
  <c r="F9" i="21"/>
  <c r="H9" i="21"/>
  <c r="I9" i="21"/>
  <c r="E8" i="20"/>
  <c r="F8" i="20"/>
  <c r="H8" i="20"/>
  <c r="I8" i="20"/>
  <c r="E9" i="20"/>
  <c r="F9" i="20"/>
  <c r="H9" i="20"/>
  <c r="I9" i="20"/>
  <c r="E8" i="19"/>
  <c r="F8" i="19"/>
  <c r="H8" i="19"/>
  <c r="I8" i="19"/>
  <c r="E9" i="19"/>
  <c r="F9" i="19"/>
  <c r="H9" i="19"/>
  <c r="I9" i="19"/>
  <c r="E8" i="26"/>
  <c r="F8" i="26"/>
  <c r="H8" i="26"/>
  <c r="I8" i="26"/>
  <c r="E9" i="26"/>
  <c r="F9" i="26"/>
  <c r="H9" i="26"/>
  <c r="I9" i="26"/>
  <c r="E8" i="27"/>
  <c r="F8" i="27"/>
  <c r="H8" i="27"/>
  <c r="I8" i="27"/>
  <c r="E9" i="27"/>
  <c r="F9" i="27"/>
  <c r="H9" i="27"/>
  <c r="I9" i="27"/>
  <c r="E8" i="32"/>
  <c r="F8" i="32"/>
  <c r="H8" i="32"/>
  <c r="I8" i="32"/>
  <c r="E9" i="32"/>
  <c r="F9" i="32"/>
  <c r="H9" i="32"/>
  <c r="I9" i="32"/>
  <c r="E8" i="33"/>
  <c r="F8" i="33"/>
  <c r="H8" i="33"/>
  <c r="I8" i="33"/>
  <c r="E9" i="33"/>
  <c r="F9" i="33"/>
  <c r="H9" i="33"/>
  <c r="I9" i="33"/>
  <c r="G5" i="30"/>
  <c r="G6" i="30"/>
  <c r="G7" i="30"/>
  <c r="G8" i="30"/>
  <c r="G9" i="30"/>
  <c r="G4" i="29"/>
  <c r="G7" i="29"/>
  <c r="G8" i="29"/>
  <c r="G9" i="29"/>
  <c r="C8" i="29"/>
  <c r="D8" i="29"/>
  <c r="E8" i="29"/>
  <c r="F8" i="29"/>
  <c r="H8" i="29"/>
  <c r="I8" i="29"/>
  <c r="C9" i="29"/>
  <c r="D9" i="29"/>
  <c r="E9" i="29"/>
  <c r="F9" i="29"/>
  <c r="H9" i="29"/>
  <c r="I9" i="29"/>
  <c r="G8" i="34"/>
  <c r="G9" i="34"/>
  <c r="C8" i="30"/>
  <c r="C8" i="34" s="1"/>
  <c r="D8" i="30"/>
  <c r="D8" i="34" s="1"/>
  <c r="E8" i="30"/>
  <c r="F8" i="30"/>
  <c r="H8" i="30"/>
  <c r="H8" i="34" s="1"/>
  <c r="I8" i="34" s="1"/>
  <c r="I8" i="30"/>
  <c r="C9" i="30"/>
  <c r="C9" i="34" s="1"/>
  <c r="D9" i="30"/>
  <c r="D9" i="34" s="1"/>
  <c r="E9" i="30"/>
  <c r="F9" i="30"/>
  <c r="H9" i="30"/>
  <c r="H9" i="34" s="1"/>
  <c r="I9" i="34" s="1"/>
  <c r="I9" i="30"/>
  <c r="E8" i="28"/>
  <c r="F8" i="28"/>
  <c r="H8" i="28"/>
  <c r="I8" i="28"/>
  <c r="E9" i="28"/>
  <c r="F9" i="28"/>
  <c r="H9" i="28"/>
  <c r="I9" i="28"/>
  <c r="I8" i="31"/>
  <c r="H7" i="31"/>
  <c r="I7" i="31" s="1"/>
  <c r="H8" i="31"/>
  <c r="H9" i="31"/>
  <c r="I9" i="31" s="1"/>
  <c r="F7" i="31"/>
  <c r="F8" i="31"/>
  <c r="E7" i="31"/>
  <c r="E8" i="31"/>
  <c r="E9" i="31"/>
  <c r="F9" i="31" s="1"/>
  <c r="E7" i="33"/>
  <c r="F7" i="33"/>
  <c r="H7" i="33"/>
  <c r="I7" i="33"/>
  <c r="E7" i="32"/>
  <c r="F7" i="32"/>
  <c r="H7" i="32"/>
  <c r="I7" i="32"/>
  <c r="E7" i="28"/>
  <c r="F7" i="28"/>
  <c r="H7" i="28"/>
  <c r="I7" i="28"/>
  <c r="C7" i="30"/>
  <c r="D7" i="30"/>
  <c r="C7" i="29"/>
  <c r="C7" i="34"/>
  <c r="D7" i="29"/>
  <c r="D7" i="34"/>
  <c r="G7" i="34"/>
  <c r="C7" i="1"/>
  <c r="D7" i="1"/>
  <c r="E7" i="1"/>
  <c r="F7" i="1"/>
  <c r="G7" i="1"/>
  <c r="H7" i="1"/>
  <c r="I7" i="1"/>
  <c r="H7" i="27"/>
  <c r="I7" i="27"/>
  <c r="E7" i="27"/>
  <c r="F7" i="27"/>
  <c r="E7" i="21"/>
  <c r="F7" i="21"/>
  <c r="H7" i="21"/>
  <c r="I7" i="21"/>
  <c r="E7" i="4"/>
  <c r="F7" i="4"/>
  <c r="H7" i="4"/>
  <c r="I7" i="4"/>
  <c r="E7" i="3"/>
  <c r="F7" i="3"/>
  <c r="H7" i="3"/>
  <c r="I7" i="3"/>
  <c r="E7" i="72"/>
  <c r="F7" i="72"/>
  <c r="H7" i="72"/>
  <c r="I7" i="72"/>
  <c r="E7" i="20"/>
  <c r="F7" i="20"/>
  <c r="H7" i="20"/>
  <c r="I7" i="20"/>
  <c r="E7" i="19"/>
  <c r="F7" i="19"/>
  <c r="H7" i="19"/>
  <c r="I7" i="19"/>
  <c r="E7" i="26"/>
  <c r="F7" i="26"/>
  <c r="H7" i="26"/>
  <c r="G5" i="29"/>
  <c r="G6" i="29"/>
  <c r="D4" i="29"/>
  <c r="G6" i="18"/>
  <c r="G5" i="18"/>
  <c r="G4" i="18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F5" i="3"/>
  <c r="H5" i="3"/>
  <c r="I5" i="3"/>
  <c r="E6" i="3"/>
  <c r="F6" i="3"/>
  <c r="H6" i="3"/>
  <c r="I6" i="3"/>
  <c r="G6" i="1"/>
  <c r="G6" i="34"/>
  <c r="G5" i="1"/>
  <c r="G4" i="1"/>
  <c r="B4" i="34" a="1"/>
  <c r="B4" i="34"/>
  <c r="A4" i="34" a="1"/>
  <c r="A4" i="34"/>
  <c r="A1" i="34" a="1"/>
  <c r="A1" i="34"/>
  <c r="D6" i="30"/>
  <c r="C6" i="30"/>
  <c r="E6" i="30"/>
  <c r="F6" i="30"/>
  <c r="D5" i="30"/>
  <c r="C5" i="30"/>
  <c r="D4" i="30"/>
  <c r="C4" i="30"/>
  <c r="E4" i="30"/>
  <c r="F4" i="30"/>
  <c r="D6" i="29"/>
  <c r="D6" i="34"/>
  <c r="C6" i="29"/>
  <c r="C6" i="34"/>
  <c r="D5" i="29"/>
  <c r="D5" i="34"/>
  <c r="C5" i="29"/>
  <c r="C4" i="29"/>
  <c r="D6" i="18"/>
  <c r="C6" i="18"/>
  <c r="D5" i="18"/>
  <c r="C5" i="18"/>
  <c r="E5" i="18"/>
  <c r="F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6" i="1"/>
  <c r="C5" i="1"/>
  <c r="C4" i="1"/>
  <c r="D6" i="1"/>
  <c r="D5" i="1"/>
  <c r="D4" i="1"/>
  <c r="B4" i="1" a="1"/>
  <c r="B4" i="1"/>
  <c r="A4" i="1" a="1"/>
  <c r="A4" i="1"/>
  <c r="A1" i="1" a="1"/>
  <c r="A1" i="1"/>
  <c r="I6" i="33"/>
  <c r="H6" i="33"/>
  <c r="E6" i="33"/>
  <c r="F6" i="33"/>
  <c r="I5" i="33"/>
  <c r="H5" i="33"/>
  <c r="E5" i="33"/>
  <c r="F5" i="33"/>
  <c r="E4" i="33"/>
  <c r="F4" i="33"/>
  <c r="D2" i="33"/>
  <c r="C2" i="33"/>
  <c r="A1" i="33" a="1"/>
  <c r="A1" i="33"/>
  <c r="H6" i="32"/>
  <c r="I6" i="32"/>
  <c r="F6" i="32"/>
  <c r="E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A1" i="27" a="1"/>
  <c r="A1" i="27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6" i="72"/>
  <c r="I6" i="72"/>
  <c r="H5" i="72"/>
  <c r="I5" i="72"/>
  <c r="H4" i="72"/>
  <c r="I4" i="72"/>
  <c r="G2" i="72"/>
  <c r="D2" i="72"/>
  <c r="C2" i="72"/>
  <c r="J2" i="72"/>
  <c r="A1" i="72" a="1"/>
  <c r="A1" i="72"/>
  <c r="E7" i="34"/>
  <c r="F7" i="34"/>
  <c r="I7" i="26"/>
  <c r="H7" i="29"/>
  <c r="H7" i="30"/>
  <c r="I7" i="30"/>
  <c r="E7" i="30"/>
  <c r="F7" i="30"/>
  <c r="E7" i="29"/>
  <c r="F7" i="29"/>
  <c r="G2" i="29"/>
  <c r="H6" i="29"/>
  <c r="E5" i="29"/>
  <c r="F5" i="29"/>
  <c r="D2" i="29"/>
  <c r="C5" i="34"/>
  <c r="E6" i="18"/>
  <c r="F6" i="18"/>
  <c r="D2" i="18"/>
  <c r="G5" i="34"/>
  <c r="G2" i="18"/>
  <c r="E4" i="18"/>
  <c r="F4" i="18"/>
  <c r="C4" i="34"/>
  <c r="E6" i="29"/>
  <c r="F6" i="29"/>
  <c r="H6" i="30"/>
  <c r="I6" i="30"/>
  <c r="D4" i="34"/>
  <c r="D2" i="34"/>
  <c r="E5" i="30"/>
  <c r="F5" i="30"/>
  <c r="D2" i="30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E5" i="34"/>
  <c r="F5" i="34"/>
  <c r="G2" i="1"/>
  <c r="E6" i="34"/>
  <c r="F6" i="34"/>
  <c r="E5" i="1"/>
  <c r="F5" i="1"/>
  <c r="E6" i="1"/>
  <c r="F6" i="1"/>
  <c r="H5" i="30"/>
  <c r="I5" i="30"/>
  <c r="I6" i="26"/>
  <c r="H4" i="29"/>
  <c r="I4" i="29"/>
  <c r="H5" i="29"/>
  <c r="H6" i="18"/>
  <c r="I6" i="18"/>
  <c r="H4" i="18"/>
  <c r="I4" i="18"/>
  <c r="H5" i="18"/>
  <c r="I5" i="18"/>
  <c r="C2" i="29"/>
  <c r="C2" i="30"/>
  <c r="E4" i="29"/>
  <c r="F4" i="29"/>
  <c r="C2" i="18"/>
  <c r="H4" i="1"/>
  <c r="H5" i="1"/>
  <c r="I5" i="1"/>
  <c r="H6" i="1"/>
  <c r="I6" i="1"/>
  <c r="C2" i="1"/>
  <c r="E2" i="3"/>
  <c r="F2" i="3"/>
  <c r="E4" i="1"/>
  <c r="F4" i="1"/>
  <c r="D2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I5" i="29"/>
  <c r="H5" i="34"/>
  <c r="I7" i="29"/>
  <c r="H7" i="34"/>
  <c r="I7" i="34"/>
  <c r="I6" i="29"/>
  <c r="H6" i="34"/>
  <c r="I6" i="34"/>
  <c r="E2" i="29"/>
  <c r="F2" i="29"/>
  <c r="I5" i="34"/>
  <c r="E4" i="34"/>
  <c r="F4" i="34"/>
  <c r="H2" i="1"/>
  <c r="I2" i="1"/>
  <c r="C2" i="34"/>
  <c r="I4" i="1"/>
  <c r="H2" i="29"/>
  <c r="I2" i="29"/>
  <c r="E2" i="30"/>
  <c r="F2" i="30"/>
  <c r="H2" i="18"/>
  <c r="I2" i="18"/>
  <c r="E2" i="18"/>
  <c r="F2" i="18"/>
  <c r="E2" i="1"/>
  <c r="F2" i="1"/>
  <c r="I2" i="72"/>
  <c r="E2" i="72"/>
  <c r="F2" i="72"/>
  <c r="E2" i="34"/>
  <c r="F2" i="34"/>
  <c r="H4" i="33"/>
  <c r="H4" i="30" s="1"/>
  <c r="I4" i="33"/>
  <c r="G2" i="33"/>
  <c r="H2" i="33" s="1"/>
  <c r="I2" i="33" s="1"/>
  <c r="G4" i="30"/>
  <c r="G2" i="30" s="1"/>
  <c r="H2" i="30" s="1"/>
  <c r="I2" i="30" s="1"/>
  <c r="G4" i="34"/>
  <c r="G2" i="34"/>
  <c r="H2" i="34"/>
  <c r="I2" i="34"/>
  <c r="E9" i="34" l="1"/>
  <c r="F9" i="34" s="1"/>
  <c r="E8" i="34"/>
  <c r="F8" i="34" s="1"/>
  <c r="H4" i="34"/>
  <c r="I4" i="34" s="1"/>
  <c r="I4" i="3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<sst xmlns="http://schemas.openxmlformats.org/spreadsheetml/2006/main" count="311" uniqueCount="109">
  <si>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</si>
  <si>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</si>
  <si>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</si>
  <si>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</si>
  <si>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</si>
  <si>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</si>
  <si>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</si>
  <si>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</si>
  <si>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</si>
  <si>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</si>
  <si>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</si>
  <si>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</si>
  <si>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</si>
  <si>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</si>
  <si>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</si>
  <si>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</si>
  <si>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</si>
  <si>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</si>
  <si>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</si>
  <si>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</si>
  <si>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</si>
  <si>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</si>
  <si>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</si>
  <si>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</si>
  <si>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</si>
  <si>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</si>
  <si>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</si>
  <si>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</si>
  <si>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</si>
  <si>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</si>
  <si>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</si>
  <si>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</si>
  <si>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</si>
  <si>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</si>
  <si>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</si>
  <si>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</si>
  <si>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</si>
  <si>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</si>
  <si>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</si>
  <si>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</si>
  <si>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</si>
  <si>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</si>
  <si>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</si>
  <si>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</si>
  <si>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</si>
  <si>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</si>
  <si>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</si>
  <si>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</si>
  <si>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</si>
  <si>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</si>
  <si>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</si>
  <si>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</si>
  <si>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</si>
  <si>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</si>
  <si>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</si>
  <si>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</si>
  <si>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1.Inverter  8 has started to derate by approximately 25 kW and also inverter having some rapid tripping events during high irradiance  from 07/08.
2.Site tripped offline at 15:00PM on 07/15 and back online at 16:45PM on 07/15.</t>
  </si>
  <si>
    <t>1.SR087484
2.SR087726</t>
  </si>
  <si>
    <t>1.Inverter 1 offline from 07/02 and back online on 07/25.</t>
  </si>
  <si>
    <t>1.SR087306,SR088250</t>
  </si>
  <si>
    <t>August Actual v. Expected</t>
  </si>
  <si>
    <t>August Actual v. Forecasted</t>
  </si>
  <si>
    <t>1. Site tripped offline at 15:30 on 08/17 and was re-energized at 09:00 on 08/18. Site was offline from morning and back online at 12:00PM on 08/19 
2. Inverters started late for production throughout the month. Technician updated the ISO parameters and resolved the issue on 08/28</t>
  </si>
  <si>
    <t>1. SR089200
2. SR089393</t>
  </si>
  <si>
    <t xml:space="preserve">1. Inverter 24 had tripping event on 08/12,08/15 and was offline from 08/17. Technician replaced connector and inverter is back online at 08:30 on 08/22 </t>
  </si>
  <si>
    <t>1. 	SR088921</t>
  </si>
  <si>
    <t>September Actual v. Expected</t>
  </si>
  <si>
    <t>September Actual v. Forecasted</t>
  </si>
  <si>
    <t>1.Inverters 1,5 are offline from 9/20 and back online on 9/21  and also inveretrs 3,4,6,7 are offline from 9/20 back online on 9/22</t>
  </si>
  <si>
    <t>1.SR090992</t>
  </si>
  <si>
    <t>1.Inverter 17 tripped offline at 07:30 on 9/7 and backonline at 12:30 on 9/20
2.Inverter 15 derating by 30 kW. 
   Inverter 16 derating by 40 kW.
   Inverter 19 derating by 25 kW. 
   Inverter 20 derating by 5 kW.</t>
  </si>
  <si>
    <t>1.SR090012
2. 	SR090011</t>
  </si>
  <si>
    <t>October Actual v. Expected</t>
  </si>
  <si>
    <t>October Actual v. Forecasted</t>
  </si>
  <si>
    <t>1. Relay stopped communicating from 05/23</t>
  </si>
  <si>
    <t>1.SR087895</t>
  </si>
  <si>
    <t>1.Inverter 22 tripped offline on 10/18 and back online at 13:15 on 10/21
2. Site was kept offline by UNSE on 10/28 at 13:45 and back online at 12:15 on 10/29</t>
  </si>
  <si>
    <t>1.SR092300
2.SR091553</t>
  </si>
  <si>
    <t>1. Inverter 24 is offline from 7:00AM to 15:15 on 10/05 and inverter again offline from 7:00AM to 14:30 on 10/07.
2.Site was offline from 10/10 at 14:00 and back online on 10/11 at 12:15 and again site tripped offline from 10/12 at 06:00 and back online on 10/13 at 14:45
3.Inverter 15 derating by 30 kW. 
   Inverter 16 derating by 40 kW.
   Inverter 19 derating by 25 kW. 
   Inverter 20 derating by 5 kW.</t>
  </si>
  <si>
    <t>1. SR091811
2.SR092004
3.SR090011</t>
  </si>
  <si>
    <t xml:space="preserve"> 1. Inverter 05 tripped offline at 11:00 AM on 10/3 and back online at 07:00AM 10/22. </t>
  </si>
  <si>
    <t>1. SR093071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</si>
  <si>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</si>
  <si>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</si>
  <si>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</si>
  <si>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</si>
  <si>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</si>
  <si>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</si>
  <si>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</si>
  <si>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</si>
  <si>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</si>
  <si>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</si>
  <si>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</si>
  <si>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</si>
  <si>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PowerTrack</t>
  </si>
  <si>
    <t>Bullis</t>
  </si>
  <si>
    <t>NY</t>
  </si>
  <si>
    <t>Rock Island NY (Renew Prop)</t>
  </si>
  <si>
    <t>Rock Island</t>
  </si>
  <si>
    <t xml:space="preserve"> Lockport - Slayton A &amp; B</t>
  </si>
  <si>
    <t>Slayton A &amp; B</t>
  </si>
  <si>
    <t>Clemons Road</t>
  </si>
  <si>
    <t>Minoa - Clemons Rd</t>
  </si>
  <si>
    <t>Western Ave Solar</t>
  </si>
  <si>
    <t>Manchester - Western</t>
  </si>
  <si>
    <t>ME</t>
  </si>
  <si>
    <t>Batavia - Pike Rd</t>
  </si>
  <si>
    <t>Roderick Road</t>
  </si>
  <si>
    <t>Winslow - Roderick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</si>
</sst>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49" fontId="30" fillId="38" borderId="1" xfId="2" applyNumberFormat="1" applyFont="1" applyFill="1" applyBorder="1" applyAlignment="1">
      <alignment horizontal="left" vertical="top" wrapText="1"/>
    </xf>
    <xf numFmtId="0" fontId="22" fillId="0" borderId="0" xfId="43" applyFont="1" applyAlignment="1">
      <alignment horizontal="left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2" fillId="0" borderId="0" xfId="43" applyFont="1" applyFill="1" applyAlignment="1">
      <alignment horizontal="left" wrapText="1"/>
    </xf>
    <xf numFmtId="0" fontId="22" fillId="0" borderId="0" xfId="43" applyFont="1" applyFill="1"/>
    <xf numFmtId="0" fontId="22" fillId="0" borderId="0" xfId="43" applyFont="1" applyFill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I14" sqref="I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Renewable Properties</v>
      </c>
      <c r="B1" s="75"/>
      <c r="C1" s="75"/>
      <c r="D1" s="76" t="s">
        <v>0</v>
      </c>
      <c r="E1" s="76"/>
      <c r="F1" s="76"/>
      <c r="G1" s="74" t="s">
        <v>1</v>
      </c>
      <c r="H1" s="74"/>
      <c r="I1" s="74"/>
    </row>
    <row r="2" spans="1:9" ht="19.5" customHeight="1">
      <c r="A2" s="77" t="s">
        <v>2</v>
      </c>
      <c r="B2" s="77"/>
      <c r="C2" s="5">
        <f>SUM(C4:C80)</f>
        <v>13786289.612029999</v>
      </c>
      <c r="D2" s="5">
        <f>SUM(D4:D80)</f>
        <v>14020345.4131</v>
      </c>
      <c r="E2" s="5">
        <f>C2-D2</f>
        <v>-234055.80107000098</v>
      </c>
      <c r="F2" s="6">
        <f>IFERROR(E2/D2, 0)</f>
        <v>-1.669401103708254E-2</v>
      </c>
      <c r="G2" s="5">
        <f>SUM(G4:G80)</f>
        <v>15365591.813999999</v>
      </c>
      <c r="H2" s="7">
        <f>C2-G2</f>
        <v>-1579302.2019699998</v>
      </c>
      <c r="I2" s="6">
        <f>IFERROR(H2/G2, 0)</f>
        <v>-0.10278173604293299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31" t="str" cm="1">
        <f t="array" ref="A4:A11">Sites[Site]</f>
        <v>Cedar Swamp Rd</v>
      </c>
      <c r="B4" s="32" t="str" cm="1">
        <f t="array" ref="B4:B11">Sites[State]</f>
        <v>MA</v>
      </c>
      <c r="C4" s="33">
        <f>SUM('1st Qtr'!C4, '2nd Qtr'!C4, '3rd Qtr'!C4, '4th Qtr'!C4)</f>
        <v>1164411.5</v>
      </c>
      <c r="D4" s="34">
        <f>SUM('1st Qtr'!D4, '2nd Qtr'!D4, '3rd Qtr'!D4, '4th Qtr'!D4)</f>
        <v>1065534.4029999999</v>
      </c>
      <c r="E4" s="34">
        <f>IF(AND(ISNUMBER(C4),ISNUMBER(D4)), C4-D4, "")</f>
        <v>98877.097000000067</v>
      </c>
      <c r="F4" s="35">
        <f>IFERROR(E4/D4, "")</f>
        <v>9.2795780897935096E-2</v>
      </c>
      <c r="G4" s="36">
        <f>SUM('1st Qtr'!G4, '2nd Qtr'!G4, '3rd Qtr'!G4, '4th Qtr'!G4)</f>
        <v>1057550.8840000001</v>
      </c>
      <c r="H4" s="36">
        <f>SUM('1st Qtr'!H4, '2nd Qtr'!H4, '3rd Qtr'!H4, '4th Qtr'!H4)</f>
        <v>106860.61600000001</v>
      </c>
      <c r="I4" s="37">
        <f>IFERROR(H4/G4, "")</f>
        <v>0.10104536587007382</v>
      </c>
    </row>
    <row r="5" spans="1:9" ht="15.6">
      <c r="A5" s="38" t="str">
        <v>Bullis</v>
      </c>
      <c r="B5" s="39" t="str">
        <v>NY</v>
      </c>
      <c r="C5" s="41">
        <f>SUM('1st Qtr'!C5, '2nd Qtr'!C5, '3rd Qtr'!C5, '4th Qtr'!C5)</f>
        <v>6754717.5</v>
      </c>
      <c r="D5" s="41">
        <f>SUM('1st Qtr'!D5, '2nd Qtr'!D5, '3rd Qtr'!D5, '4th Qtr'!D5)</f>
        <v>6683835.1490000002</v>
      </c>
      <c r="E5" s="41">
        <f t="shared" ref="E5:E6" si="0">IF(AND(ISNUMBER(C5),ISNUMBER(D5)), C5-D5, "")</f>
        <v>70882.350999999791</v>
      </c>
      <c r="F5" s="42">
        <f>IFERROR(E5/D5, "")</f>
        <v>1.0605041779135566E-2</v>
      </c>
      <c r="G5" s="43">
        <f>SUM('1st Qtr'!G5, '2nd Qtr'!G5, '3rd Qtr'!G5, '4th Qtr'!G5)</f>
        <v>7624076.4600000009</v>
      </c>
      <c r="H5" s="43">
        <f>SUM('1st Qtr'!H5, '2nd Qtr'!H5, '3rd Qtr'!H5, '4th Qtr'!H5)</f>
        <v>-869358.96</v>
      </c>
      <c r="I5" s="42">
        <f>IFERROR(H5/G5, "")</f>
        <v>-0.11402810091964895</v>
      </c>
    </row>
    <row r="6" spans="1:9" ht="15.6">
      <c r="A6" s="31" t="str">
        <v>Rock Island</v>
      </c>
      <c r="B6" s="32" t="str">
        <v>NY</v>
      </c>
      <c r="C6" s="33">
        <f>SUM('1st Qtr'!C6, '2nd Qtr'!C6, '3rd Qtr'!C6, '4th Qtr'!C6)</f>
        <v>5453781.5</v>
      </c>
      <c r="D6" s="34">
        <f>SUM('1st Qtr'!D6, '2nd Qtr'!D6, '3rd Qtr'!D6, '4th Qtr'!D6)</f>
        <v>5891465.7611000007</v>
      </c>
      <c r="E6" s="34">
        <f t="shared" si="0"/>
        <v>-437684.2611000007</v>
      </c>
      <c r="F6" s="35">
        <f t="shared" ref="F6" si="1">IFERROR(E6/D6, "")</f>
        <v>-7.4291233938747411E-2</v>
      </c>
      <c r="G6" s="36">
        <f>SUM('1st Qtr'!G6, '2nd Qtr'!G6, '3rd Qtr'!G6, '4th Qtr'!G6)</f>
        <v>6320386.9699999997</v>
      </c>
      <c r="H6" s="36">
        <f>SUM('1st Qtr'!H6, '2nd Qtr'!H6, '3rd Qtr'!H6, '4th Qtr'!H6)</f>
        <v>-866605.47</v>
      </c>
      <c r="I6" s="37">
        <f t="shared" ref="I6" si="2">IFERROR(H6/G6, "")</f>
        <v>-0.13711272333693833</v>
      </c>
    </row>
    <row r="7" spans="1:9" ht="15.75">
      <c r="A7" s="38" t="str">
        <v>Slayton A &amp; B</v>
      </c>
      <c r="B7" s="39" t="str">
        <v>NY</v>
      </c>
      <c r="C7" s="41">
        <f>SUM('1st Qtr'!C7, '2nd Qtr'!C7, '3rd Qtr'!C7, '4th Qtr'!C7)</f>
        <v>0</v>
      </c>
      <c r="D7" s="41">
        <f>SUM('1st Qtr'!D7, '2nd Qtr'!D7, '3rd Qtr'!D7, '4th Qtr'!D7)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43">
        <f>SUM('1st Qtr'!G7, '2nd Qtr'!G7, '3rd Qtr'!G7, '4th Qtr'!G7)</f>
        <v>0</v>
      </c>
      <c r="H7" s="43">
        <f>SUM('1st Qtr'!H7, '2nd Qtr'!H7, '3rd Qtr'!H7, '4th Qtr'!H7)</f>
        <v>0</v>
      </c>
      <c r="I7" s="42" t="str">
        <f t="shared" ref="I7" si="5">IFERROR(H7/G7, "")</f>
        <v/>
      </c>
    </row>
    <row r="8" spans="1:9" ht="15.75">
      <c r="A8" s="31" t="str">
        <v>Minoa - Clemons Rd</v>
      </c>
      <c r="B8" s="32" t="str">
        <v>NY</v>
      </c>
      <c r="C8" s="33">
        <f>SUM('1st Qtr'!C8, '2nd Qtr'!C8, '3rd Qtr'!C8, '4th Qtr'!C8)</f>
        <v>328714.09639999998</v>
      </c>
      <c r="D8" s="34">
        <f>SUM('1st Qtr'!D8, '2nd Qtr'!D8, '3rd Qtr'!D8, '4th Qtr'!D8)</f>
        <v>379510.1</v>
      </c>
      <c r="E8" s="34">
        <f t="shared" ref="E8:E9" si="6">IF(AND(ISNUMBER(C8),ISNUMBER(D8)), C8-D8, "")</f>
        <v>-50796.003599999996</v>
      </c>
      <c r="F8" s="35">
        <f t="shared" ref="F8:F9" si="7">IFERROR(E8/D8, "")</f>
        <v>-0.13384624967820355</v>
      </c>
      <c r="G8" s="36">
        <f>SUM('1st Qtr'!G8, '2nd Qtr'!G8, '3rd Qtr'!G8, '4th Qtr'!G8)</f>
        <v>363577.5</v>
      </c>
      <c r="H8" s="36">
        <f>SUM('1st Qtr'!H8, '2nd Qtr'!H8, '3rd Qtr'!H8, '4th Qtr'!H8)</f>
        <v>-34863.40360000002</v>
      </c>
      <c r="I8" s="37">
        <f t="shared" ref="I8:I9" si="8">IFERROR(H8/G8, "")</f>
        <v>-9.5889882074660884E-2</v>
      </c>
    </row>
    <row r="9" spans="1:9" ht="15.75">
      <c r="A9" s="38" t="str">
        <v>Manchester - Western</v>
      </c>
      <c r="B9" s="39" t="str">
        <v>ME</v>
      </c>
      <c r="C9" s="41">
        <f>SUM('1st Qtr'!C9, '2nd Qtr'!C9, '3rd Qtr'!C9, '4th Qtr'!C9)</f>
        <v>84665.015629999994</v>
      </c>
      <c r="D9" s="41">
        <f>SUM('1st Qtr'!D9, '2nd Qtr'!D9, '3rd Qtr'!D9, '4th Qtr'!D9)</f>
        <v>0</v>
      </c>
      <c r="E9" s="41">
        <f t="shared" si="6"/>
        <v>84665.015629999994</v>
      </c>
      <c r="F9" s="42" t="str">
        <f t="shared" si="7"/>
        <v/>
      </c>
      <c r="G9" s="43">
        <f>SUM('1st Qtr'!G9, '2nd Qtr'!G9, '3rd Qtr'!G9, '4th Qtr'!G9)</f>
        <v>0</v>
      </c>
      <c r="H9" s="43">
        <f>SUM('1st Qtr'!H9, '2nd Qtr'!H9, '3rd Qtr'!H9, '4th Qtr'!H9)</f>
        <v>84665.015629999994</v>
      </c>
      <c r="I9" s="42" t="str">
        <f t="shared" si="8"/>
        <v/>
      </c>
    </row>
    <row r="10" spans="1:9" ht="13.9">
      <c r="A10" s="14" t="str">
        <v>Batavia - Pike Rd</v>
      </c>
      <c r="B10" s="14" t="str">
        <v>NY</v>
      </c>
      <c r="C10" s="14"/>
      <c r="D10" s="14"/>
      <c r="E10" s="14"/>
      <c r="F10" s="14"/>
      <c r="G10" s="14"/>
      <c r="H10" s="14"/>
      <c r="I10" s="14"/>
    </row>
    <row r="11" spans="1:9" ht="13.9">
      <c r="A11" s="14" t="str">
        <v>Winslow - Roderick</v>
      </c>
      <c r="B11" s="14" t="str">
        <v>ME</v>
      </c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A10" sqref="A10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Renewable Properties</v>
      </c>
      <c r="B1" s="75"/>
      <c r="C1" s="75"/>
      <c r="D1" s="76" t="s">
        <v>10</v>
      </c>
      <c r="E1" s="76"/>
      <c r="F1" s="76"/>
      <c r="G1" s="74" t="s">
        <v>11</v>
      </c>
      <c r="H1" s="74"/>
      <c r="I1" s="74"/>
    </row>
    <row r="2" spans="1:9" ht="19.5" customHeight="1">
      <c r="A2" s="77" t="s">
        <v>2</v>
      </c>
      <c r="B2" s="77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11">Sites[Site]</f>
        <v>Cedar Swamp Rd</v>
      </c>
      <c r="B4" s="32" t="str" cm="1">
        <f t="array" ref="B4:B11">Sites[State]</f>
        <v>MA</v>
      </c>
      <c r="C4" s="33">
        <f>SUM(Jan!C4, Feb!C4, Mar!C4)</f>
        <v>229797.5</v>
      </c>
      <c r="D4" s="34">
        <f>SUM(Jan!D4, Feb!D4, Mar!D4)</f>
        <v>205242.87599999999</v>
      </c>
      <c r="E4" s="34">
        <f>IF(AND(ISNUMBER(C4),ISNUMBER(D4)), C4-D4, "")</f>
        <v>24554.624000000011</v>
      </c>
      <c r="F4" s="35">
        <f>IFERROR(E4/D4, "")</f>
        <v>0.11963691251334839</v>
      </c>
      <c r="G4" s="36">
        <f>SUM(Jan!G4, Feb!G4, Mar!G4)</f>
        <v>205591.58000000002</v>
      </c>
      <c r="H4" s="36">
        <f>SUM(Jan!H4, Feb!H4, Mar!H4)</f>
        <v>24205.919999999998</v>
      </c>
      <c r="I4" s="37">
        <f>IFERROR(H4/G4, "")</f>
        <v>0.11773789568619492</v>
      </c>
    </row>
    <row r="5" spans="1:9" ht="15.6">
      <c r="A5" s="45" t="str">
        <v>Bullis</v>
      </c>
      <c r="B5" s="39" t="str">
        <v>NY</v>
      </c>
      <c r="C5" s="40">
        <f>SUM(Jan!C5, Feb!C5, Mar!C5)</f>
        <v>1076204</v>
      </c>
      <c r="D5" s="41">
        <f>SUM(Jan!D5, Feb!D5, Mar!D5)</f>
        <v>1128123.0819999999</v>
      </c>
      <c r="E5" s="41">
        <f t="shared" ref="E5:E6" si="0">IF(AND(ISNUMBER(C5),ISNUMBER(D5)), C5-D5, "")</f>
        <v>-51919.081999999937</v>
      </c>
      <c r="F5" s="42">
        <f>IFERROR(E5/D5, "")</f>
        <v>-4.6022533204404324E-2</v>
      </c>
      <c r="G5" s="43">
        <f>SUM(Jan!G5, Feb!G5, Mar!G5)</f>
        <v>1369235.95</v>
      </c>
      <c r="H5" s="43">
        <f>SUM(Jan!H5, Feb!H5, Mar!H5)</f>
        <v>-293031.94999999995</v>
      </c>
      <c r="I5" s="42">
        <f>IFERROR(H5/G5, "")</f>
        <v>-0.21401128855841095</v>
      </c>
    </row>
    <row r="6" spans="1:9" ht="15.6">
      <c r="A6" s="44" t="str">
        <v>Rock Island</v>
      </c>
      <c r="B6" s="32" t="str">
        <v>NY</v>
      </c>
      <c r="C6" s="33">
        <f>SUM(Jan!C6, Feb!C6, Mar!C6)</f>
        <v>550726.5</v>
      </c>
      <c r="D6" s="34">
        <f>SUM(Jan!D6, Feb!D6, Mar!D6)</f>
        <v>609800.54709999997</v>
      </c>
      <c r="E6" s="34">
        <f t="shared" si="0"/>
        <v>-59074.047099999967</v>
      </c>
      <c r="F6" s="35">
        <f t="shared" ref="F6" si="1">IFERROR(E6/D6, "")</f>
        <v>-9.6874375369021326E-2</v>
      </c>
      <c r="G6" s="36">
        <f>SUM(Jan!G6, Feb!G6, Mar!G6)</f>
        <v>990618.92</v>
      </c>
      <c r="H6" s="36">
        <f>SUM(Jan!H6, Feb!H6, Mar!H6)</f>
        <v>-439892.42000000004</v>
      </c>
      <c r="I6" s="37">
        <f t="shared" ref="I6" si="2">IFERROR(H6/G6, "")</f>
        <v>-0.44405816517213303</v>
      </c>
    </row>
    <row r="7" spans="1:9" ht="15.6">
      <c r="A7" s="45" t="str">
        <v>Slayton A &amp; B</v>
      </c>
      <c r="B7" s="39" t="str">
        <v>NY</v>
      </c>
      <c r="C7" s="40">
        <f>SUM(Jan!C7, Feb!C7, Mar!C7)</f>
        <v>0</v>
      </c>
      <c r="D7" s="41">
        <f>SUM(Jan!D7, Feb!D7, Mar!D7)</f>
        <v>0</v>
      </c>
      <c r="E7" s="41">
        <f t="shared" ref="E7:E8" si="3">IF(AND(ISNUMBER(C7),ISNUMBER(D7)), C7-D7, "")</f>
        <v>0</v>
      </c>
      <c r="F7" s="42" t="str">
        <f t="shared" ref="F7:F8" si="4">IFERROR(E7/D7, "")</f>
        <v/>
      </c>
      <c r="G7" s="43">
        <f>SUM(Jan!G7, Feb!G7, Mar!G7)</f>
        <v>0</v>
      </c>
      <c r="H7" s="43">
        <f>SUM(Jan!H7, Feb!H7, Mar!H7)</f>
        <v>0</v>
      </c>
      <c r="I7" s="42" t="str">
        <f t="shared" ref="I7:I8" si="5">IFERROR(H7/G7, "")</f>
        <v/>
      </c>
    </row>
    <row r="8" spans="1:9" ht="15.75">
      <c r="A8" s="44" t="str">
        <v>Minoa - Clemons Rd</v>
      </c>
      <c r="B8" s="32" t="str">
        <v>NY</v>
      </c>
      <c r="C8" s="33">
        <f>SUM(Jan!C8, Feb!C8, Mar!C8)</f>
        <v>0</v>
      </c>
      <c r="D8" s="34">
        <f>SUM(Jan!D8, Feb!D8, Mar!D8)</f>
        <v>0</v>
      </c>
      <c r="E8" s="34">
        <f t="shared" si="3"/>
        <v>0</v>
      </c>
      <c r="F8" s="35" t="str">
        <f t="shared" si="4"/>
        <v/>
      </c>
      <c r="G8" s="36">
        <f>SUM(Jan!G8, Feb!G8, Mar!G8)</f>
        <v>0</v>
      </c>
      <c r="H8" s="36">
        <f>SUM(Jan!H8, Feb!H8, Mar!H8)</f>
        <v>0</v>
      </c>
      <c r="I8" s="37" t="str">
        <f t="shared" si="5"/>
        <v/>
      </c>
    </row>
    <row r="9" spans="1:9" ht="15.75">
      <c r="A9" s="45" t="str">
        <v>Manchester - Western</v>
      </c>
      <c r="B9" s="39" t="str">
        <v>ME</v>
      </c>
      <c r="C9" s="40">
        <f>SUM(Jan!C9, Feb!C9, Mar!C9)</f>
        <v>0</v>
      </c>
      <c r="D9" s="41">
        <f>SUM(Jan!D9, Feb!D9, Mar!D9)</f>
        <v>0</v>
      </c>
      <c r="E9" s="41">
        <f t="shared" ref="E9" si="6">IF(AND(ISNUMBER(C9),ISNUMBER(D9)), C9-D9, "")</f>
        <v>0</v>
      </c>
      <c r="F9" s="42" t="str">
        <f t="shared" ref="F9" si="7">IFERROR(E9/D9, "")</f>
        <v/>
      </c>
      <c r="G9" s="43">
        <f>SUM(Jan!G9, Feb!G9, Mar!G9)</f>
        <v>0</v>
      </c>
      <c r="H9" s="43">
        <f>SUM(Jan!H9, Feb!H9, Mar!H9)</f>
        <v>0</v>
      </c>
      <c r="I9" s="42" t="str">
        <f t="shared" ref="I9" si="8">IFERROR(H9/G9, "")</f>
        <v/>
      </c>
    </row>
    <row r="10" spans="1:9" ht="13.9">
      <c r="A10" s="14" t="str">
        <v>Batavia - Pike Rd</v>
      </c>
      <c r="B10" s="14" t="str">
        <v>NY</v>
      </c>
      <c r="C10" s="14"/>
      <c r="D10" s="14"/>
      <c r="E10" s="14"/>
      <c r="F10" s="14"/>
      <c r="G10" s="14"/>
      <c r="H10" s="14"/>
      <c r="I10" s="14"/>
    </row>
    <row r="11" spans="1:9" ht="13.9">
      <c r="A11" s="14" t="str">
        <v>Winslow - Roderick</v>
      </c>
      <c r="B11" s="14" t="str">
        <v>ME</v>
      </c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A6" sqref="A6:I9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Renewable Properties</v>
      </c>
      <c r="B1" s="75"/>
      <c r="C1" s="75"/>
      <c r="D1" s="76" t="s">
        <v>12</v>
      </c>
      <c r="E1" s="76"/>
      <c r="F1" s="76"/>
      <c r="G1" s="74" t="s">
        <v>13</v>
      </c>
      <c r="H1" s="74"/>
      <c r="I1" s="74"/>
    </row>
    <row r="2" spans="1:9" ht="19.5" customHeight="1">
      <c r="A2" s="77" t="s">
        <v>2</v>
      </c>
      <c r="B2" s="77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11">Sites[Site]</f>
        <v>Cedar Swamp Rd</v>
      </c>
      <c r="B4" s="32" t="str" cm="1">
        <f t="array" ref="B4:B11">Sites[State]</f>
        <v>MA</v>
      </c>
      <c r="C4" s="33">
        <f>SUM(Apr!C4, May!C4, Jun!C4)</f>
        <v>418829</v>
      </c>
      <c r="D4" s="34">
        <f>SUM(Apr!D4, May!D4, Jun!D4)</f>
        <v>374872.33</v>
      </c>
      <c r="E4" s="34">
        <f>IF(AND(ISNUMBER(C4),ISNUMBER(D4)), C4-D4, "")</f>
        <v>43956.669999999984</v>
      </c>
      <c r="F4" s="35">
        <f>IFERROR(E4/D4, "")</f>
        <v>0.11725770744402496</v>
      </c>
      <c r="G4" s="36">
        <f>SUM(Apr!G4, May!G4, Jun!G4)</f>
        <v>324449.804</v>
      </c>
      <c r="H4" s="36">
        <f>SUM(Apr!H4, May!H4, Jun!H4)</f>
        <v>94379.195999999996</v>
      </c>
      <c r="I4" s="37">
        <f>IFERROR(H4/G4, "")</f>
        <v>0.29088997692844959</v>
      </c>
    </row>
    <row r="5" spans="1:9" ht="15.6">
      <c r="A5" s="45" t="str">
        <v>Bullis</v>
      </c>
      <c r="B5" s="39" t="str">
        <v>NY</v>
      </c>
      <c r="C5" s="40">
        <f>SUM(Apr!C5, May!C5, Jun!C5)</f>
        <v>2515514</v>
      </c>
      <c r="D5" s="41">
        <f>SUM(Apr!D5, May!D5, Jun!D5)</f>
        <v>2470642.6669999999</v>
      </c>
      <c r="E5" s="41">
        <f t="shared" ref="E5:E6" si="0">IF(AND(ISNUMBER(C5),ISNUMBER(D5)), C5-D5, "")</f>
        <v>44871.333000000101</v>
      </c>
      <c r="F5" s="42">
        <f>IFERROR(E5/D5, "")</f>
        <v>1.816180607553642E-2</v>
      </c>
      <c r="G5" s="14">
        <f>SUM(Apr!G5, May!G5, Jun!G5)</f>
        <v>2874886.41</v>
      </c>
      <c r="H5" s="43">
        <f>SUM(Apr!H5, May!H5, Jun!H5)</f>
        <v>-359372.41000000003</v>
      </c>
      <c r="I5" s="42">
        <f>IFERROR(H5/G5, "")</f>
        <v>-0.12500403798562601</v>
      </c>
    </row>
    <row r="6" spans="1:9" ht="15.6">
      <c r="A6" s="44" t="str">
        <v>Rock Island</v>
      </c>
      <c r="B6" s="32" t="str">
        <v>NY</v>
      </c>
      <c r="C6" s="33">
        <f>SUM(Apr!C6, May!C6, Jun!C6)</f>
        <v>2084275</v>
      </c>
      <c r="D6" s="34">
        <f>SUM(Apr!D6, May!D6, Jun!D6)</f>
        <v>2262393.1140000001</v>
      </c>
      <c r="E6" s="34">
        <f t="shared" si="0"/>
        <v>-178118.11400000006</v>
      </c>
      <c r="F6" s="35">
        <f t="shared" ref="F6" si="1">IFERROR(E6/D6, "")</f>
        <v>-7.8729957626630251E-2</v>
      </c>
      <c r="G6" s="36">
        <f>SUM(Apr!G6, May!G6, Jun!G6)</f>
        <v>2395233.3499999996</v>
      </c>
      <c r="H6" s="36">
        <f>SUM(Apr!H6, May!H6, Jun!H6)</f>
        <v>-310958.34999999998</v>
      </c>
      <c r="I6" s="37">
        <f t="shared" ref="I6" si="2">IFERROR(H6/G6, "")</f>
        <v>-0.12982382280206645</v>
      </c>
    </row>
    <row r="7" spans="1:9" ht="15.75">
      <c r="A7" s="45" t="str">
        <v>Slayton A &amp; B</v>
      </c>
      <c r="B7" s="39" t="str">
        <v>NY</v>
      </c>
      <c r="C7" s="40">
        <f>SUM(Apr!C7, May!C7, Jun!C7)</f>
        <v>0</v>
      </c>
      <c r="D7" s="41">
        <f>SUM(Apr!D7, May!D7, Jun!D7)</f>
        <v>0</v>
      </c>
      <c r="E7" s="41">
        <f t="shared" ref="E7:E9" si="3">IF(AND(ISNUMBER(C7),ISNUMBER(D7)), C7-D7, "")</f>
        <v>0</v>
      </c>
      <c r="F7" s="42" t="str">
        <f t="shared" ref="F7:F9" si="4">IFERROR(E7/D7, "")</f>
        <v/>
      </c>
      <c r="G7" s="14">
        <f>SUM(Apr!G7, May!G7, Jun!G7)</f>
        <v>0</v>
      </c>
      <c r="H7" s="43">
        <f>SUM(Apr!H7, May!H7, Jun!H7)</f>
        <v>0</v>
      </c>
      <c r="I7" s="42" t="str">
        <f t="shared" ref="I7:I9" si="5">IFERROR(H7/G7, "")</f>
        <v/>
      </c>
    </row>
    <row r="8" spans="1:9" ht="15.75">
      <c r="A8" s="44" t="str">
        <v>Minoa - Clemons Rd</v>
      </c>
      <c r="B8" s="32" t="str">
        <v>NY</v>
      </c>
      <c r="C8" s="33">
        <f>SUM(Apr!C8, May!C8, Jun!C8)</f>
        <v>0</v>
      </c>
      <c r="D8" s="34">
        <f>SUM(Apr!D8, May!D8, Jun!D8)</f>
        <v>0</v>
      </c>
      <c r="E8" s="34">
        <f t="shared" si="3"/>
        <v>0</v>
      </c>
      <c r="F8" s="35" t="str">
        <f t="shared" si="4"/>
        <v/>
      </c>
      <c r="G8" s="36">
        <f>SUM(Apr!G8, May!G8, Jun!G8)</f>
        <v>0</v>
      </c>
      <c r="H8" s="36">
        <f>SUM(Apr!H8, May!H8, Jun!H8)</f>
        <v>0</v>
      </c>
      <c r="I8" s="37" t="str">
        <f t="shared" si="5"/>
        <v/>
      </c>
    </row>
    <row r="9" spans="1:9" ht="15.75">
      <c r="A9" s="45" t="str">
        <v>Manchester - Western</v>
      </c>
      <c r="B9" s="39" t="str">
        <v>ME</v>
      </c>
      <c r="C9" s="40">
        <f>SUM(Apr!C9, May!C9, Jun!C9)</f>
        <v>0</v>
      </c>
      <c r="D9" s="41">
        <f>SUM(Apr!D9, May!D9, Jun!D9)</f>
        <v>0</v>
      </c>
      <c r="E9" s="41">
        <f t="shared" si="3"/>
        <v>0</v>
      </c>
      <c r="F9" s="42" t="str">
        <f t="shared" si="4"/>
        <v/>
      </c>
      <c r="G9" s="14">
        <f>SUM(Apr!G9, May!G9, Jun!G9)</f>
        <v>0</v>
      </c>
      <c r="H9" s="43">
        <f>SUM(Apr!H9, May!H9, Jun!H9)</f>
        <v>0</v>
      </c>
      <c r="I9" s="42" t="str">
        <f t="shared" si="5"/>
        <v/>
      </c>
    </row>
    <row r="10" spans="1:9" ht="13.9">
      <c r="A10" s="14" t="str">
        <v>Batavia - Pike Rd</v>
      </c>
      <c r="B10" s="14" t="str">
        <v>NY</v>
      </c>
      <c r="C10" s="14"/>
      <c r="D10" s="14"/>
      <c r="E10" s="14"/>
      <c r="F10" s="14"/>
      <c r="G10" s="14"/>
      <c r="H10" s="14"/>
      <c r="I10" s="14"/>
    </row>
    <row r="11" spans="1:9" ht="13.9">
      <c r="A11" s="14" t="str">
        <v>Winslow - Roderick</v>
      </c>
      <c r="B11" s="14" t="str">
        <v>ME</v>
      </c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14" sqref="A14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Renewable Properties</v>
      </c>
      <c r="B1" s="75"/>
      <c r="C1" s="75"/>
      <c r="D1" s="76" t="s">
        <v>14</v>
      </c>
      <c r="E1" s="76"/>
      <c r="F1" s="76"/>
      <c r="G1" s="74" t="s">
        <v>15</v>
      </c>
      <c r="H1" s="74"/>
      <c r="I1" s="74"/>
    </row>
    <row r="2" spans="1:9" ht="19.5" customHeight="1">
      <c r="A2" s="77" t="s">
        <v>2</v>
      </c>
      <c r="B2" s="77"/>
      <c r="C2" s="5">
        <f>SUM(C4:C80)</f>
        <v>5348427.5</v>
      </c>
      <c r="D2" s="5">
        <f>SUM(D4:D80)</f>
        <v>5388406.0970000001</v>
      </c>
      <c r="E2" s="5">
        <f>C2-D2</f>
        <v>-39978.597000000067</v>
      </c>
      <c r="F2" s="6">
        <f>IFERROR(E2/D2, 0)</f>
        <v>-7.4193734251503775E-3</v>
      </c>
      <c r="G2" s="5">
        <f>SUM(G4:G80)</f>
        <v>5866302.0999999996</v>
      </c>
      <c r="H2" s="7">
        <f>C2-G2</f>
        <v>-517874.59999999963</v>
      </c>
      <c r="I2" s="6">
        <f>IFERROR(H2/G2, 0)</f>
        <v>-8.827956541822142E-2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11">Sites[Site]</f>
        <v>Cedar Swamp Rd</v>
      </c>
      <c r="B4" s="32" t="str" cm="1">
        <f t="array" ref="B4:B11">Sites[State]</f>
        <v>MA</v>
      </c>
      <c r="C4" s="33">
        <f>SUM(Jul!C4, Aug!C4, Sep!C4)</f>
        <v>407313</v>
      </c>
      <c r="D4" s="34">
        <f>SUM(Jul!D4, Aug!D4, Sep!D4)</f>
        <v>375977.397</v>
      </c>
      <c r="E4" s="34">
        <f>IF(AND(ISNUMBER(C4),ISNUMBER(D4)), C4-D4, "")</f>
        <v>31335.603000000003</v>
      </c>
      <c r="F4" s="35">
        <f>IFERROR(E4/D4, "")</f>
        <v>8.3344379875048724E-2</v>
      </c>
      <c r="G4" s="36">
        <f>SUM(Jul!G4, Aug!G4, Sep!G4)</f>
        <v>447233.3</v>
      </c>
      <c r="H4" s="36">
        <f>SUM(Jul!H4, Aug!H4, Sep!H4)</f>
        <v>-39920.299999999988</v>
      </c>
      <c r="I4" s="37">
        <f>IFERROR(H4/G4, "")</f>
        <v>-8.9260571607704495E-2</v>
      </c>
    </row>
    <row r="5" spans="1:9" ht="15.6">
      <c r="A5" s="45" t="str">
        <v>Bullis</v>
      </c>
      <c r="B5" s="39" t="str">
        <v>NY</v>
      </c>
      <c r="C5" s="40">
        <f>SUM(Jul!C5, Aug!C5, Sep!C5)</f>
        <v>2601711</v>
      </c>
      <c r="D5" s="41">
        <f>SUM(Jul!D5, Aug!D5, Sep!D5)</f>
        <v>2524129.5</v>
      </c>
      <c r="E5" s="41">
        <f t="shared" ref="E5:E6" si="0">IF(AND(ISNUMBER(C5),ISNUMBER(D5)), C5-D5, "")</f>
        <v>77581.5</v>
      </c>
      <c r="F5" s="42">
        <f>IFERROR(E5/D5, "")</f>
        <v>3.0735942827022147E-2</v>
      </c>
      <c r="G5" s="14">
        <f>SUM(Jul!G5, Aug!G5, Sep!G5)</f>
        <v>2915417.6</v>
      </c>
      <c r="H5" s="43">
        <f>SUM(Jul!H5, Aug!H5, Sep!H5)</f>
        <v>-313706.59999999998</v>
      </c>
      <c r="I5" s="42">
        <f>IFERROR(H5/G5, "")</f>
        <v>-0.10760262955125192</v>
      </c>
    </row>
    <row r="6" spans="1:9" ht="15.6">
      <c r="A6" s="44" t="str">
        <v>Rock Island</v>
      </c>
      <c r="B6" s="32" t="str">
        <v>NY</v>
      </c>
      <c r="C6" s="33">
        <f>SUM(Jul!C6, Aug!C6, Sep!C6)</f>
        <v>2339403.5</v>
      </c>
      <c r="D6" s="34">
        <f>SUM(Jul!D6, Aug!D6, Sep!D6)</f>
        <v>2488299.2000000002</v>
      </c>
      <c r="E6" s="34">
        <f t="shared" si="0"/>
        <v>-148895.70000000019</v>
      </c>
      <c r="F6" s="35">
        <f t="shared" ref="F6" si="1">IFERROR(E6/D6, "")</f>
        <v>-5.9838342591598377E-2</v>
      </c>
      <c r="G6" s="36">
        <f>SUM(Jul!G6, Aug!G6, Sep!G6)</f>
        <v>2503651.2000000002</v>
      </c>
      <c r="H6" s="36">
        <f>SUM(Jul!H6, Aug!H6, Sep!H6)</f>
        <v>-164247.69999999995</v>
      </c>
      <c r="I6" s="37">
        <f t="shared" ref="I6" si="2">IFERROR(H6/G6, "")</f>
        <v>-6.5603267739531748E-2</v>
      </c>
    </row>
    <row r="7" spans="1:9" ht="15.75">
      <c r="A7" s="45" t="str">
        <v>Slayton A &amp; B</v>
      </c>
      <c r="B7" s="39" t="str">
        <v>NY</v>
      </c>
      <c r="C7" s="40">
        <f>SUM(Jul!C7, Aug!C7, Sep!C7)</f>
        <v>0</v>
      </c>
      <c r="D7" s="41">
        <f>SUM(Jul!D7, Aug!D7, Sep!D7)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36">
        <f>SUM(Jul!G7, Aug!G7, Sep!G7)</f>
        <v>0</v>
      </c>
      <c r="H7" s="43">
        <f>SUM(Jul!H7, Aug!H7, Sep!H7)</f>
        <v>0</v>
      </c>
      <c r="I7" s="42" t="str">
        <f t="shared" ref="I7" si="5">IFERROR(H7/G7, "")</f>
        <v/>
      </c>
    </row>
    <row r="8" spans="1:9" ht="15.75">
      <c r="A8" s="44" t="str">
        <v>Minoa - Clemons Rd</v>
      </c>
      <c r="B8" s="32" t="str">
        <v>NY</v>
      </c>
      <c r="C8" s="33">
        <f>SUM(Jul!C8, Aug!C8, Sep!C8)</f>
        <v>0</v>
      </c>
      <c r="D8" s="34">
        <f>SUM(Jul!D8, Aug!D8, Sep!D8)</f>
        <v>0</v>
      </c>
      <c r="E8" s="34">
        <f t="shared" ref="E8:E9" si="6">IF(AND(ISNUMBER(C8),ISNUMBER(D8)), C8-D8, "")</f>
        <v>0</v>
      </c>
      <c r="F8" s="35" t="str">
        <f t="shared" ref="F8:F9" si="7">IFERROR(E8/D8, "")</f>
        <v/>
      </c>
      <c r="G8" s="36">
        <f>SUM(Jul!G8, Aug!G8, Sep!G8)</f>
        <v>0</v>
      </c>
      <c r="H8" s="36">
        <f>SUM(Jul!H8, Aug!H8, Sep!H8)</f>
        <v>0</v>
      </c>
      <c r="I8" s="37" t="str">
        <f t="shared" ref="I8:I9" si="8">IFERROR(H8/G8, "")</f>
        <v/>
      </c>
    </row>
    <row r="9" spans="1:9" ht="15.75">
      <c r="A9" s="45" t="str">
        <v>Manchester - Western</v>
      </c>
      <c r="B9" s="39" t="str">
        <v>ME</v>
      </c>
      <c r="C9" s="40">
        <f>SUM(Jul!C9, Aug!C9, Sep!C9)</f>
        <v>0</v>
      </c>
      <c r="D9" s="41">
        <f>SUM(Jul!D9, Aug!D9, Sep!D9)</f>
        <v>0</v>
      </c>
      <c r="E9" s="41">
        <f t="shared" si="6"/>
        <v>0</v>
      </c>
      <c r="F9" s="42" t="str">
        <f t="shared" si="7"/>
        <v/>
      </c>
      <c r="G9" s="36">
        <f>SUM(Jul!G9, Aug!G9, Sep!G9)</f>
        <v>0</v>
      </c>
      <c r="H9" s="43">
        <f>SUM(Jul!H9, Aug!H9, Sep!H9)</f>
        <v>0</v>
      </c>
      <c r="I9" s="42" t="str">
        <f t="shared" si="8"/>
        <v/>
      </c>
    </row>
    <row r="10" spans="1:9" ht="15.6">
      <c r="A10" s="10" t="str">
        <v>Batavia - Pike Rd</v>
      </c>
      <c r="B10" s="14" t="str">
        <v>NY</v>
      </c>
      <c r="C10" s="14"/>
      <c r="D10" s="14"/>
      <c r="E10" s="14"/>
      <c r="F10" s="14"/>
      <c r="G10" s="14"/>
      <c r="H10" s="14"/>
      <c r="I10" s="14"/>
    </row>
    <row r="11" spans="1:9" ht="15.6">
      <c r="A11" s="10" t="str">
        <v>Winslow - Roderick</v>
      </c>
      <c r="B11" s="14" t="str">
        <v>ME</v>
      </c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D9" sqref="D9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Renewable Properties</v>
      </c>
      <c r="B1" s="75"/>
      <c r="C1" s="75"/>
      <c r="D1" s="76" t="s">
        <v>16</v>
      </c>
      <c r="E1" s="76"/>
      <c r="F1" s="76"/>
      <c r="G1" s="74" t="s">
        <v>17</v>
      </c>
      <c r="H1" s="74"/>
      <c r="I1" s="74"/>
    </row>
    <row r="2" spans="1:9" ht="19.5" customHeight="1">
      <c r="A2" s="77" t="s">
        <v>2</v>
      </c>
      <c r="B2" s="77"/>
      <c r="C2" s="5">
        <f>SUM(C4:C80)</f>
        <v>1562516.11203</v>
      </c>
      <c r="D2" s="5">
        <f>SUM(D4:D80)</f>
        <v>1580864.7000000002</v>
      </c>
      <c r="E2" s="5">
        <f>C2-D2</f>
        <v>-18348.587970000226</v>
      </c>
      <c r="F2" s="6">
        <f>IFERROR(E2/D2, 0)</f>
        <v>-1.1606678275503416E-2</v>
      </c>
      <c r="G2" s="5">
        <f>SUM(G4:G80)</f>
        <v>1339273.7</v>
      </c>
      <c r="H2" s="7">
        <f>C2-G2</f>
        <v>223242.41203000001</v>
      </c>
      <c r="I2" s="6">
        <f>IFERROR(H2/G2, 0)</f>
        <v>0.16668916296198455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11">Sites[Site]</f>
        <v>Cedar Swamp Rd</v>
      </c>
      <c r="B4" s="32" t="str" cm="1">
        <f t="array" ref="B4:B11">Sites[State]</f>
        <v>MA</v>
      </c>
      <c r="C4" s="33">
        <f>SUM(Oct!C4, Nov!C4, Dec!C4)</f>
        <v>108472</v>
      </c>
      <c r="D4" s="34">
        <f>SUM(Oct!D4, Nov!D4, Dec!D4)</f>
        <v>109441.8</v>
      </c>
      <c r="E4" s="34">
        <f>IF(AND(ISNUMBER(C4),ISNUMBER(D4)), C4-D4, "")</f>
        <v>-969.80000000000291</v>
      </c>
      <c r="F4" s="35">
        <f>IFERROR(E4/D4, "")</f>
        <v>-8.8613308626137623E-3</v>
      </c>
      <c r="G4" s="43">
        <f>SUM(Oct!G4, Nov!G4, Dec!G4)</f>
        <v>80276.2</v>
      </c>
      <c r="H4" s="36">
        <f>SUM(Oct!H4, Nov!H4, Dec!H4)</f>
        <v>28195.800000000003</v>
      </c>
      <c r="I4" s="37">
        <f>IFERROR(H4/G4, "")</f>
        <v>0.3512348616401873</v>
      </c>
    </row>
    <row r="5" spans="1:9" ht="15.6">
      <c r="A5" s="45" t="str">
        <v>Bullis</v>
      </c>
      <c r="B5" s="39" t="str">
        <v>NY</v>
      </c>
      <c r="C5" s="40">
        <f>SUM(Oct!C5, Nov!C5, Dec!C5)</f>
        <v>561288.5</v>
      </c>
      <c r="D5" s="41">
        <f>SUM(Oct!D5, Nov!D5, Dec!D5)</f>
        <v>560939.9</v>
      </c>
      <c r="E5" s="41">
        <f t="shared" ref="E5:E6" si="0">IF(AND(ISNUMBER(C5),ISNUMBER(D5)), C5-D5, "")</f>
        <v>348.59999999997672</v>
      </c>
      <c r="F5" s="42">
        <f>IFERROR(E5/D5, "")</f>
        <v>6.2145695109222347E-4</v>
      </c>
      <c r="G5" s="43">
        <f>SUM(Oct!G5, Nov!G5, Dec!G5)</f>
        <v>464536.5</v>
      </c>
      <c r="H5" s="43">
        <f>SUM(Oct!H5, Nov!H5, Dec!H5)</f>
        <v>96752</v>
      </c>
      <c r="I5" s="42">
        <f>IFERROR(H5/G5, "")</f>
        <v>0.20827642176664266</v>
      </c>
    </row>
    <row r="6" spans="1:9" ht="15.6">
      <c r="A6" s="44" t="str">
        <v>Rock Island</v>
      </c>
      <c r="B6" s="32" t="str">
        <v>NY</v>
      </c>
      <c r="C6" s="33">
        <f>SUM(Oct!C6, Nov!C6, Dec!C6)</f>
        <v>479376.5</v>
      </c>
      <c r="D6" s="34">
        <f>SUM(Oct!D6, Nov!D6, Dec!D6)</f>
        <v>530972.9</v>
      </c>
      <c r="E6" s="34">
        <f t="shared" si="0"/>
        <v>-51596.400000000023</v>
      </c>
      <c r="F6" s="35">
        <f t="shared" ref="F6" si="1">IFERROR(E6/D6, "")</f>
        <v>-9.7173320898298235E-2</v>
      </c>
      <c r="G6" s="36">
        <f>SUM(Oct!G6, Nov!G6, Dec!G6)</f>
        <v>430883.5</v>
      </c>
      <c r="H6" s="36">
        <f>SUM(Oct!H6, Nov!H6, Dec!H6)</f>
        <v>48493</v>
      </c>
      <c r="I6" s="37">
        <f t="shared" ref="I6" si="2">IFERROR(H6/G6, "")</f>
        <v>0.11254318162565984</v>
      </c>
    </row>
    <row r="7" spans="1:9" ht="15.6">
      <c r="A7" s="45" t="str">
        <v>Slayton A &amp; B</v>
      </c>
      <c r="B7" s="39" t="str">
        <v>NY</v>
      </c>
      <c r="C7" s="40">
        <f>SUM(Oct!C7, Nov!C7, Dec!C7)</f>
        <v>0</v>
      </c>
      <c r="D7" s="41">
        <f>SUM(Oct!D7, Nov!D7, Dec!D7)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43">
        <f>SUM(Oct!G7, Nov!G7, Dec!G7)</f>
        <v>0</v>
      </c>
      <c r="H7" s="43">
        <f>SUM(Oct!H7, Nov!H7, Dec!H7)</f>
        <v>0</v>
      </c>
      <c r="I7" s="42" t="str">
        <f t="shared" ref="I7" si="5">IFERROR(H7/G7, "")</f>
        <v/>
      </c>
    </row>
    <row r="8" spans="1:9" ht="15.75">
      <c r="A8" s="44" t="str">
        <v>Minoa - Clemons Rd</v>
      </c>
      <c r="B8" s="32" t="str">
        <v>NY</v>
      </c>
      <c r="C8" s="33">
        <f>SUM(Oct!C8, Nov!C8, Dec!C8)</f>
        <v>328714.09639999998</v>
      </c>
      <c r="D8" s="34">
        <f>SUM(Oct!D8, Nov!D8, Dec!D8)</f>
        <v>379510.1</v>
      </c>
      <c r="E8" s="34">
        <f t="shared" ref="E8:E9" si="6">IF(AND(ISNUMBER(C8),ISNUMBER(D8)), C8-D8, "")</f>
        <v>-50796.003599999996</v>
      </c>
      <c r="F8" s="35">
        <f t="shared" ref="F8:F9" si="7">IFERROR(E8/D8, "")</f>
        <v>-0.13384624967820355</v>
      </c>
      <c r="G8" s="36">
        <f>SUM(Oct!G8, Nov!G8, Dec!G8)</f>
        <v>363577.5</v>
      </c>
      <c r="H8" s="36">
        <f>SUM(Oct!H8, Nov!H8, Dec!H8)</f>
        <v>-34863.40360000002</v>
      </c>
      <c r="I8" s="37">
        <f t="shared" ref="I8:I9" si="8">IFERROR(H8/G8, "")</f>
        <v>-9.5889882074660884E-2</v>
      </c>
    </row>
    <row r="9" spans="1:9" ht="15.75">
      <c r="A9" s="45" t="str">
        <v>Manchester - Western</v>
      </c>
      <c r="B9" s="39" t="str">
        <v>ME</v>
      </c>
      <c r="C9" s="40">
        <f>SUM(Oct!C9, Nov!C9, Dec!C9)</f>
        <v>84665.015629999994</v>
      </c>
      <c r="D9" s="41">
        <f>SUM(Oct!D9, Nov!D9, Dec!D9)</f>
        <v>0</v>
      </c>
      <c r="E9" s="41">
        <f t="shared" si="6"/>
        <v>84665.015629999994</v>
      </c>
      <c r="F9" s="42" t="str">
        <f t="shared" si="7"/>
        <v/>
      </c>
      <c r="G9" s="43">
        <f>SUM(Oct!G9, Nov!G9, Dec!G9)</f>
        <v>0</v>
      </c>
      <c r="H9" s="43">
        <f>SUM(Oct!H9, Nov!H9, Dec!H9)</f>
        <v>84665.015629999994</v>
      </c>
      <c r="I9" s="42" t="str">
        <f t="shared" si="8"/>
        <v/>
      </c>
    </row>
    <row r="10" spans="1:9" ht="14.45">
      <c r="A10" s="14" t="str">
        <v>Batavia - Pike Rd</v>
      </c>
      <c r="B10" s="9" t="str">
        <v>NY</v>
      </c>
      <c r="C10" s="27"/>
      <c r="D10" s="11"/>
      <c r="E10" s="11"/>
      <c r="F10" s="12"/>
      <c r="G10" s="13"/>
      <c r="H10" s="13"/>
      <c r="I10" s="12"/>
    </row>
    <row r="11" spans="1:9" ht="13.9">
      <c r="A11" s="14" t="str">
        <v>Winslow - Roderick</v>
      </c>
      <c r="B11" s="14" t="str">
        <v>ME</v>
      </c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22" sqref="A22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18</v>
      </c>
      <c r="E1" s="76"/>
      <c r="F1" s="76"/>
      <c r="G1" s="74" t="s">
        <v>19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49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54" t="str" cm="1">
        <f t="array" ref="A4:A11">Sites[Site]</f>
        <v>Cedar Swamp Rd</v>
      </c>
      <c r="B4" s="55" t="str" cm="1">
        <f t="array" ref="B4:B11">Sites[State]</f>
        <v>MA</v>
      </c>
      <c r="C4" s="34">
        <v>47147</v>
      </c>
      <c r="D4" s="34">
        <v>40450.07</v>
      </c>
      <c r="E4" s="34">
        <f>IF(AND(ISNUMBER(C4),ISNUMBER(D4)), C4-D4, "")</f>
        <v>6696.93</v>
      </c>
      <c r="F4" s="37">
        <f>IFERROR(E4/D4, "")</f>
        <v>0.16556040570510758</v>
      </c>
      <c r="G4" s="36">
        <v>41873.17</v>
      </c>
      <c r="H4" s="36">
        <f>IF(AND(ISNUMBER(C4),ISNUMBER(G4)), C4-G4, "")</f>
        <v>5273.8300000000017</v>
      </c>
      <c r="I4" s="37">
        <f>IFERROR(H4/G4, "")</f>
        <v>0.12594771305826624</v>
      </c>
      <c r="J4" s="56" t="s">
        <v>22</v>
      </c>
      <c r="K4" s="56" t="s">
        <v>23</v>
      </c>
    </row>
    <row r="5" spans="1:11" ht="28.9">
      <c r="A5" s="57" t="str">
        <v>Bullis</v>
      </c>
      <c r="B5" s="58" t="str">
        <v>NY</v>
      </c>
      <c r="C5" s="41">
        <v>101870</v>
      </c>
      <c r="D5" s="41">
        <v>146839.5</v>
      </c>
      <c r="E5" s="41">
        <f t="shared" ref="E5:E6" si="0">IF(AND(ISNUMBER(C5),ISNUMBER(D5)), C5-D5, "")</f>
        <v>-44969.5</v>
      </c>
      <c r="F5" s="42">
        <f t="shared" ref="F5:F6" si="1">IFERROR(E5/D5, "")</f>
        <v>-0.30624934026607281</v>
      </c>
      <c r="G5" s="43">
        <v>265386.5</v>
      </c>
      <c r="H5" s="43">
        <f t="shared" ref="H5:H6" si="2">IF(AND(ISNUMBER(C5),ISNUMBER(G5)), C5-G5, "")</f>
        <v>-163516.5</v>
      </c>
      <c r="I5" s="42">
        <f t="shared" ref="I5:I6" si="3">IFERROR(H5/G5, "")</f>
        <v>-0.61614475491405929</v>
      </c>
      <c r="J5" s="59" t="s">
        <v>24</v>
      </c>
      <c r="K5" s="59" t="s">
        <v>25</v>
      </c>
    </row>
    <row r="6" spans="1:11" ht="15.6">
      <c r="A6" s="60" t="str">
        <v>Rock Island</v>
      </c>
      <c r="B6" s="55" t="str">
        <v>NY</v>
      </c>
      <c r="C6" s="34">
        <v>0</v>
      </c>
      <c r="D6" s="34">
        <v>0</v>
      </c>
      <c r="E6" s="34">
        <f t="shared" si="0"/>
        <v>0</v>
      </c>
      <c r="F6" s="37" t="str">
        <f t="shared" si="1"/>
        <v/>
      </c>
      <c r="G6" s="36">
        <v>0</v>
      </c>
      <c r="H6" s="36">
        <f t="shared" si="2"/>
        <v>0</v>
      </c>
      <c r="I6" s="37" t="str">
        <f t="shared" si="3"/>
        <v/>
      </c>
      <c r="J6" s="56" t="s">
        <v>26</v>
      </c>
      <c r="K6" s="56" t="s">
        <v>27</v>
      </c>
    </row>
    <row r="7" spans="1:11" ht="15.6">
      <c r="A7" s="57" t="str">
        <v>Slayton A &amp; B</v>
      </c>
      <c r="B7" s="58" t="str">
        <v>NY</v>
      </c>
      <c r="C7" s="41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0" t="str">
        <v>Minoa - Clemons Rd</v>
      </c>
      <c r="B8" s="55" t="str">
        <v>NY</v>
      </c>
      <c r="C8" s="34"/>
      <c r="D8" s="34"/>
      <c r="E8" s="34" t="str">
        <f t="shared" ref="E8:E9" si="8">IF(AND(ISNUMBER(C8),ISNUMBER(D8)), C8-D8, "")</f>
        <v/>
      </c>
      <c r="F8" s="37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57" t="str">
        <v>Manchester - Western</v>
      </c>
      <c r="B9" s="58" t="str">
        <v>ME</v>
      </c>
      <c r="C9" s="41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phoneticPr fontId="4" type="noConversion"/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8" sqref="A8:K9"/>
      <selection pane="bottomLeft" activeCell="B15" sqref="B15"/>
      <selection pane="topRight" activeCell="B15" sqref="B15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28</v>
      </c>
      <c r="E1" s="76"/>
      <c r="F1" s="76"/>
      <c r="G1" s="74" t="s">
        <v>29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28.9">
      <c r="A4" s="54" t="str" cm="1">
        <f t="array" ref="A4:A11">Sites[Site]</f>
        <v>Cedar Swamp Rd</v>
      </c>
      <c r="B4" s="55" t="str" cm="1">
        <f t="array" ref="B4:B11">Sites[State]</f>
        <v>MA</v>
      </c>
      <c r="C4" s="33">
        <v>73050.75</v>
      </c>
      <c r="D4" s="34">
        <v>73781.2</v>
      </c>
      <c r="E4" s="34">
        <f>IF(AND(ISNUMBER(C4),ISNUMBER(D4)), C4-D4, "")</f>
        <v>-730.44999999999709</v>
      </c>
      <c r="F4" s="35">
        <f>IFERROR(E4/D4, "")</f>
        <v>-9.9002184838413738E-3</v>
      </c>
      <c r="G4" s="36">
        <v>55312.41</v>
      </c>
      <c r="H4" s="36">
        <f>IF(AND(ISNUMBER(C4),ISNUMBER(G4)), C4-G4, "")</f>
        <v>17738.339999999997</v>
      </c>
      <c r="I4" s="37">
        <f>IFERROR(H4/G4, "")</f>
        <v>0.32069367434902935</v>
      </c>
      <c r="J4" s="56" t="s">
        <v>30</v>
      </c>
      <c r="K4" s="56" t="s">
        <v>31</v>
      </c>
    </row>
    <row r="5" spans="1:11" ht="15.6">
      <c r="A5" s="57" t="str">
        <v>Bullis</v>
      </c>
      <c r="B5" s="58" t="str">
        <v>NY</v>
      </c>
      <c r="C5" s="40">
        <v>398240</v>
      </c>
      <c r="D5" s="41">
        <v>396786.5</v>
      </c>
      <c r="E5" s="41">
        <f t="shared" ref="E5:E6" si="0">IF(AND(ISNUMBER(C5),ISNUMBER(D5)), C5-D5, "")</f>
        <v>1453.5</v>
      </c>
      <c r="F5" s="42">
        <f>IFERROR(E5/D5, "")</f>
        <v>3.6631790648119331E-3</v>
      </c>
      <c r="G5" s="43">
        <v>423644.5</v>
      </c>
      <c r="H5" s="43">
        <f t="shared" ref="H5:H6" si="1">IF(AND(ISNUMBER(C5),ISNUMBER(G5)), C5-G5, "")</f>
        <v>-25404.5</v>
      </c>
      <c r="I5" s="42">
        <f t="shared" ref="I5:I6" si="2">IFERROR(H5/G5, "")</f>
        <v>-5.9966552144545722E-2</v>
      </c>
      <c r="J5" s="59" t="s">
        <v>32</v>
      </c>
      <c r="K5" s="59" t="s">
        <v>31</v>
      </c>
    </row>
    <row r="6" spans="1:11" ht="15.6">
      <c r="A6" s="60" t="str">
        <v>Rock Island</v>
      </c>
      <c r="B6" s="55" t="str">
        <v>NY</v>
      </c>
      <c r="C6" s="33">
        <v>568.5</v>
      </c>
      <c r="D6" s="34">
        <v>811.29309999999998</v>
      </c>
      <c r="E6" s="34">
        <f t="shared" si="0"/>
        <v>-242.79309999999998</v>
      </c>
      <c r="F6" s="35">
        <f t="shared" ref="F6" si="3">IFERROR(E6/D6, "")</f>
        <v>-0.29926681245039555</v>
      </c>
      <c r="G6" s="36">
        <v>389755.4</v>
      </c>
      <c r="H6" s="36">
        <f t="shared" si="1"/>
        <v>-389186.9</v>
      </c>
      <c r="I6" s="37">
        <f t="shared" si="2"/>
        <v>-0.99854139288384458</v>
      </c>
      <c r="J6" s="56" t="s">
        <v>26</v>
      </c>
      <c r="K6" s="56" t="s">
        <v>33</v>
      </c>
    </row>
    <row r="7" spans="1:11" ht="15.6">
      <c r="A7" s="57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0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57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34</v>
      </c>
      <c r="E1" s="76"/>
      <c r="F1" s="76"/>
      <c r="G1" s="74" t="s">
        <v>35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109599.75</v>
      </c>
      <c r="D4" s="34">
        <v>91011.606</v>
      </c>
      <c r="E4" s="34">
        <f>IF(AND(ISNUMBER(C4),ISNUMBER(D4)), C4-D4, "")</f>
        <v>18588.144</v>
      </c>
      <c r="F4" s="35">
        <f>IFERROR(E4/D4, "")</f>
        <v>0.20423927031899647</v>
      </c>
      <c r="G4" s="36">
        <v>108406</v>
      </c>
      <c r="H4" s="36">
        <f>IF(AND(ISNUMBER(C4),ISNUMBER(G4)), C4-G4, "")</f>
        <v>1193.75</v>
      </c>
      <c r="I4" s="37">
        <f>IFERROR(H4/G4, "")</f>
        <v>1.1011844362858144E-2</v>
      </c>
      <c r="J4" s="56"/>
      <c r="K4" s="56"/>
    </row>
    <row r="5" spans="1:11" ht="28.9">
      <c r="A5" s="62" t="str">
        <v>Bullis</v>
      </c>
      <c r="B5" s="58" t="str">
        <v>NY</v>
      </c>
      <c r="C5" s="40">
        <v>576094</v>
      </c>
      <c r="D5" s="41">
        <v>584497.08200000005</v>
      </c>
      <c r="E5" s="41">
        <f t="shared" ref="E5:E6" si="0">IF(AND(ISNUMBER(C5),ISNUMBER(D5)), C5-D5, "")</f>
        <v>-8403.0820000000531</v>
      </c>
      <c r="F5" s="42">
        <f>IFERROR(E5/D5, "")</f>
        <v>-1.4376602140162698E-2</v>
      </c>
      <c r="G5" s="43">
        <v>680204.95</v>
      </c>
      <c r="H5" s="43">
        <f t="shared" ref="H5:H6" si="1">IF(AND(ISNUMBER(C5),ISNUMBER(G5)), C5-G5, "")</f>
        <v>-104110.94999999995</v>
      </c>
      <c r="I5" s="42">
        <f t="shared" ref="I5:I6" si="2">IFERROR(H5/G5, "")</f>
        <v>-0.15305820694189298</v>
      </c>
      <c r="J5" s="64" t="s">
        <v>36</v>
      </c>
      <c r="K5" s="64" t="s">
        <v>37</v>
      </c>
    </row>
    <row r="6" spans="1:11" ht="28.9">
      <c r="A6" s="63" t="str">
        <v>Rock Island</v>
      </c>
      <c r="B6" s="55" t="str">
        <v>NY</v>
      </c>
      <c r="C6" s="33">
        <v>550158</v>
      </c>
      <c r="D6" s="34">
        <v>608989.25399999996</v>
      </c>
      <c r="E6" s="34">
        <f t="shared" si="0"/>
        <v>-58831.253999999957</v>
      </c>
      <c r="F6" s="35">
        <f t="shared" ref="F6" si="3">IFERROR(E6/D6, "")</f>
        <v>-9.6604748956703207E-2</v>
      </c>
      <c r="G6" s="36">
        <v>600863.52</v>
      </c>
      <c r="H6" s="36">
        <f t="shared" si="1"/>
        <v>-50705.520000000019</v>
      </c>
      <c r="I6" s="37">
        <f t="shared" si="2"/>
        <v>-8.4387749151421304E-2</v>
      </c>
      <c r="J6" s="56" t="s">
        <v>38</v>
      </c>
      <c r="K6" s="56" t="s">
        <v>39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64"/>
      <c r="K7" s="64"/>
    </row>
    <row r="8" spans="1:11" ht="15.75">
      <c r="A8" s="63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64"/>
      <c r="K9" s="64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40</v>
      </c>
      <c r="E1" s="76"/>
      <c r="F1" s="76"/>
      <c r="G1" s="74" t="s">
        <v>41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131405.25</v>
      </c>
      <c r="D4" s="34">
        <v>110454.16</v>
      </c>
      <c r="E4" s="34">
        <f>IF(AND(ISNUMBER(C4),ISNUMBER(D4)), C4-D4, "")</f>
        <v>20951.089999999997</v>
      </c>
      <c r="F4" s="35">
        <f>IFERROR(E4/D4, "")</f>
        <v>0.18968131213889994</v>
      </c>
      <c r="G4" s="36">
        <v>118284.372</v>
      </c>
      <c r="H4" s="36">
        <f>IF(AND(ISNUMBER(C4),ISNUMBER(G4)), C4-G4, "")</f>
        <v>13120.877999999997</v>
      </c>
      <c r="I4" s="37">
        <f>IFERROR(H4/G4, "")</f>
        <v>0.11092655587671377</v>
      </c>
      <c r="J4" s="56"/>
      <c r="K4" s="56"/>
    </row>
    <row r="5" spans="1:11" ht="15.6">
      <c r="A5" s="62" t="str">
        <v>Bullis</v>
      </c>
      <c r="B5" s="58" t="str">
        <v>NY</v>
      </c>
      <c r="C5" s="41">
        <v>644409</v>
      </c>
      <c r="D5" s="41">
        <v>637554.67700000003</v>
      </c>
      <c r="E5" s="41">
        <f t="shared" ref="E5:E6" si="0">IF(AND(ISNUMBER(C5),ISNUMBER(D5)), C5-D5, "")</f>
        <v>6854.3229999999749</v>
      </c>
      <c r="F5" s="42">
        <f>IFERROR(E5/D5, "")</f>
        <v>1.0750957129281594E-2</v>
      </c>
      <c r="G5" s="43">
        <v>825963.54</v>
      </c>
      <c r="H5" s="43">
        <f t="shared" ref="H5:H6" si="1">IF(AND(ISNUMBER(C5),ISNUMBER(G5)), C5-G5, "")</f>
        <v>-181554.54000000004</v>
      </c>
      <c r="I5" s="42">
        <f t="shared" ref="I5:I6" si="2">IFERROR(H5/G5, "")</f>
        <v>-0.21980938771219857</v>
      </c>
      <c r="J5" s="59"/>
      <c r="K5" s="59"/>
    </row>
    <row r="6" spans="1:11" ht="43.15">
      <c r="A6" s="63" t="str">
        <v>Rock Island</v>
      </c>
      <c r="B6" s="55" t="str">
        <v>NY</v>
      </c>
      <c r="C6" s="33">
        <v>604873.5</v>
      </c>
      <c r="D6" s="34">
        <v>671134.67200000002</v>
      </c>
      <c r="E6" s="34">
        <f t="shared" si="0"/>
        <v>-66261.17200000002</v>
      </c>
      <c r="F6" s="35">
        <f t="shared" ref="F6" si="3">IFERROR(E6/D6, "")</f>
        <v>-9.8730068292463391E-2</v>
      </c>
      <c r="G6" s="36">
        <v>661577.9</v>
      </c>
      <c r="H6" s="36">
        <f t="shared" si="1"/>
        <v>-56704.400000000023</v>
      </c>
      <c r="I6" s="37">
        <f t="shared" si="2"/>
        <v>-8.5710843726793204E-2</v>
      </c>
      <c r="J6" s="56" t="s">
        <v>42</v>
      </c>
      <c r="K6" s="56" t="s">
        <v>43</v>
      </c>
    </row>
    <row r="7" spans="1:11" ht="15.6">
      <c r="A7" s="62" t="str">
        <v>Slayton A &amp; B</v>
      </c>
      <c r="B7" s="58" t="str">
        <v>NY</v>
      </c>
      <c r="C7" s="41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1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1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44</v>
      </c>
      <c r="E1" s="76"/>
      <c r="F1" s="76"/>
      <c r="G1" s="74" t="s">
        <v>45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122900</v>
      </c>
      <c r="D4" s="34">
        <v>107134.67</v>
      </c>
      <c r="E4" s="34">
        <f>IF(AND(ISNUMBER(C4),ISNUMBER(D4)), C4-D4, "")</f>
        <v>15765.330000000002</v>
      </c>
      <c r="F4" s="35">
        <f>IFERROR(E4/D4, "")</f>
        <v>0.14715432455245347</v>
      </c>
      <c r="G4" s="36">
        <v>49888.031999999999</v>
      </c>
      <c r="H4" s="36">
        <f>IF(AND(ISNUMBER(C4),ISNUMBER(G4)), C4-G4, "")</f>
        <v>73011.967999999993</v>
      </c>
      <c r="I4" s="37">
        <f>IFERROR(H4/G4, "")</f>
        <v>1.4635167007590115</v>
      </c>
      <c r="J4" s="56"/>
      <c r="K4" s="56"/>
    </row>
    <row r="5" spans="1:11" ht="15.6">
      <c r="A5" s="62" t="str">
        <v>Bullis</v>
      </c>
      <c r="B5" s="58" t="str">
        <v>NY</v>
      </c>
      <c r="C5" s="40">
        <v>966814</v>
      </c>
      <c r="D5" s="41">
        <v>954212.39</v>
      </c>
      <c r="E5" s="41">
        <f t="shared" ref="E5:E6" si="0">IF(AND(ISNUMBER(C5),ISNUMBER(D5)), C5-D5, "")</f>
        <v>12601.609999999986</v>
      </c>
      <c r="F5" s="42">
        <f>IFERROR(E5/D5, "")</f>
        <v>1.3206294669889988E-2</v>
      </c>
      <c r="G5" s="43">
        <v>999785.87</v>
      </c>
      <c r="H5" s="43">
        <f t="shared" ref="H5:H6" si="1">IF(AND(ISNUMBER(C5),ISNUMBER(G5)), C5-G5, "")</f>
        <v>-32971.869999999995</v>
      </c>
      <c r="I5" s="42">
        <f t="shared" ref="I5:I6" si="2">IFERROR(H5/G5, "")</f>
        <v>-3.2978931778661763E-2</v>
      </c>
      <c r="J5" s="59"/>
      <c r="K5" s="59"/>
    </row>
    <row r="6" spans="1:11" ht="15.6">
      <c r="A6" s="63" t="str">
        <v>Rock Island</v>
      </c>
      <c r="B6" s="55" t="str">
        <v>NY</v>
      </c>
      <c r="C6" s="33">
        <v>726597.5</v>
      </c>
      <c r="D6" s="34">
        <v>790857.04200000002</v>
      </c>
      <c r="E6" s="34">
        <f t="shared" si="0"/>
        <v>-64259.542000000016</v>
      </c>
      <c r="F6" s="35">
        <f t="shared" ref="F6" si="3">IFERROR(E6/D6, "")</f>
        <v>-8.1253043960377372E-2</v>
      </c>
      <c r="G6" s="36">
        <v>859646.75</v>
      </c>
      <c r="H6" s="36">
        <f t="shared" si="1"/>
        <v>-133049.25</v>
      </c>
      <c r="I6" s="37">
        <f t="shared" si="2"/>
        <v>-0.15477200373292868</v>
      </c>
      <c r="J6" s="56" t="s">
        <v>46</v>
      </c>
      <c r="K6" s="56" t="s">
        <v>47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1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18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48</v>
      </c>
      <c r="E1" s="76"/>
      <c r="F1" s="76"/>
      <c r="G1" s="74" t="s">
        <v>49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164523.75</v>
      </c>
      <c r="D4" s="34">
        <v>157283.5</v>
      </c>
      <c r="E4" s="34">
        <f>IF(AND(ISNUMBER(C4),ISNUMBER(D4)), C4-D4, "")</f>
        <v>7240.25</v>
      </c>
      <c r="F4" s="35">
        <f>IFERROR(E4/D4, "")</f>
        <v>4.6033118540724234E-2</v>
      </c>
      <c r="G4" s="36">
        <v>156277.4</v>
      </c>
      <c r="H4" s="36">
        <f>IF(AND(ISNUMBER(C4),ISNUMBER(G4)), C4-G4, "")</f>
        <v>8246.3500000000058</v>
      </c>
      <c r="I4" s="37">
        <f>IFERROR(H4/G4, "")</f>
        <v>5.2767386711066386E-2</v>
      </c>
      <c r="J4" s="56"/>
      <c r="K4" s="56"/>
    </row>
    <row r="5" spans="1:11" ht="43.15">
      <c r="A5" s="62" t="str">
        <v>Bullis</v>
      </c>
      <c r="B5" s="58" t="str">
        <v>NY</v>
      </c>
      <c r="C5" s="40">
        <v>904291</v>
      </c>
      <c r="D5" s="41">
        <v>878875.6</v>
      </c>
      <c r="E5" s="41">
        <f t="shared" ref="E5:E6" si="0">IF(AND(ISNUMBER(C5),ISNUMBER(D5)), C5-D5, "")</f>
        <v>25415.400000000023</v>
      </c>
      <c r="F5" s="42">
        <f>IFERROR(E5/D5, "")</f>
        <v>2.8918085790526012E-2</v>
      </c>
      <c r="G5" s="43">
        <v>1049137</v>
      </c>
      <c r="H5" s="43">
        <f t="shared" ref="H5:H6" si="1">IF(AND(ISNUMBER(C5),ISNUMBER(G5)), C5-G5, "")</f>
        <v>-144846</v>
      </c>
      <c r="I5" s="42">
        <f t="shared" ref="I5:I6" si="2">IFERROR(H5/G5, "")</f>
        <v>-0.13806204528102622</v>
      </c>
      <c r="J5" s="59" t="s">
        <v>50</v>
      </c>
      <c r="K5" s="65" t="s">
        <v>51</v>
      </c>
    </row>
    <row r="6" spans="1:11" ht="58.5" customHeight="1">
      <c r="A6" s="63" t="str">
        <v>Rock Island</v>
      </c>
      <c r="B6" s="55" t="str">
        <v>NY</v>
      </c>
      <c r="C6" s="33">
        <v>752804</v>
      </c>
      <c r="D6" s="34">
        <v>800401.4</v>
      </c>
      <c r="E6" s="34">
        <f t="shared" si="0"/>
        <v>-47597.400000000023</v>
      </c>
      <c r="F6" s="35">
        <f t="shared" ref="F6" si="3">IFERROR(E6/D6, "")</f>
        <v>-5.9466912476664864E-2</v>
      </c>
      <c r="G6" s="36">
        <v>874008.7</v>
      </c>
      <c r="H6" s="36">
        <f t="shared" si="1"/>
        <v>-121204.69999999995</v>
      </c>
      <c r="I6" s="37">
        <f t="shared" si="2"/>
        <v>-0.13867676603219162</v>
      </c>
      <c r="J6" s="56" t="s">
        <v>52</v>
      </c>
      <c r="K6" s="56" t="s">
        <v>53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65"/>
    </row>
    <row r="8" spans="1:11" ht="15.75">
      <c r="A8" s="61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65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G8" sqref="G8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54</v>
      </c>
      <c r="E1" s="76"/>
      <c r="F1" s="76"/>
      <c r="G1" s="74" t="s">
        <v>55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2077427</v>
      </c>
      <c r="D2" s="5">
        <f>SUM(D4:D80)</f>
        <v>2106041</v>
      </c>
      <c r="E2" s="5">
        <f>C2-D2</f>
        <v>-28614</v>
      </c>
      <c r="F2" s="6">
        <f>IFERROR(E2/D2, 0)</f>
        <v>-1.3586630079851248E-2</v>
      </c>
      <c r="G2" s="5">
        <f>SUM(G4:G80)</f>
        <v>2252977.2999999998</v>
      </c>
      <c r="H2" s="7">
        <f>C2-G2</f>
        <v>-175550.29999999981</v>
      </c>
      <c r="I2" s="6">
        <f>IFERROR(H2/G2, 0)</f>
        <v>-7.7919249341748723E-2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141198</v>
      </c>
      <c r="D4" s="34">
        <v>129239</v>
      </c>
      <c r="E4" s="34">
        <f>IF(AND(ISNUMBER(C4),ISNUMBER(D4)), C4-D4, "")</f>
        <v>11959</v>
      </c>
      <c r="F4" s="35">
        <f>IFERROR(E4/D4, "")</f>
        <v>9.2533987418658453E-2</v>
      </c>
      <c r="G4" s="36">
        <v>163816.29999999999</v>
      </c>
      <c r="H4" s="36">
        <f>IF(AND(ISNUMBER(C4),ISNUMBER(G4)), C4-G4, "")</f>
        <v>-22618.299999999988</v>
      </c>
      <c r="I4" s="37">
        <f>IFERROR(H4/G4, "")</f>
        <v>-0.13807111990687124</v>
      </c>
      <c r="J4" s="56"/>
      <c r="K4" s="56"/>
    </row>
    <row r="5" spans="1:11" ht="43.15">
      <c r="A5" s="62" t="str">
        <v>Bullis</v>
      </c>
      <c r="B5" s="58" t="str">
        <v>NY</v>
      </c>
      <c r="C5" s="40">
        <v>1063971.5</v>
      </c>
      <c r="D5" s="41">
        <v>1030113</v>
      </c>
      <c r="E5" s="41">
        <f t="shared" ref="E5:E6" si="0">IF(AND(ISNUMBER(C5),ISNUMBER(D5)), C5-D5, "")</f>
        <v>33858.5</v>
      </c>
      <c r="F5" s="42">
        <f>IFERROR(E5/D5, "")</f>
        <v>3.2868724110849977E-2</v>
      </c>
      <c r="G5" s="43">
        <v>1120156</v>
      </c>
      <c r="H5" s="43">
        <f t="shared" ref="H5:H6" si="1">IF(AND(ISNUMBER(C5),ISNUMBER(G5)), C5-G5, "")</f>
        <v>-56184.5</v>
      </c>
      <c r="I5" s="42">
        <f t="shared" ref="I5:I6" si="2">IFERROR(H5/G5, "")</f>
        <v>-5.0157745885394532E-2</v>
      </c>
      <c r="J5" s="59" t="s">
        <v>56</v>
      </c>
      <c r="K5" s="65" t="s">
        <v>57</v>
      </c>
    </row>
    <row r="6" spans="1:11" ht="15.6">
      <c r="A6" s="63" t="str">
        <v>Rock Island</v>
      </c>
      <c r="B6" s="55" t="str">
        <v>NY</v>
      </c>
      <c r="C6" s="33">
        <v>872257.5</v>
      </c>
      <c r="D6" s="34">
        <v>946689</v>
      </c>
      <c r="E6" s="34">
        <f t="shared" si="0"/>
        <v>-74431.5</v>
      </c>
      <c r="F6" s="35">
        <f t="shared" ref="F6" si="3">IFERROR(E6/D6, "")</f>
        <v>-7.8622969106010521E-2</v>
      </c>
      <c r="G6" s="43">
        <v>969005</v>
      </c>
      <c r="H6" s="36">
        <f t="shared" si="1"/>
        <v>-96747.5</v>
      </c>
      <c r="I6" s="37">
        <f t="shared" si="2"/>
        <v>-9.9842106077884019E-2</v>
      </c>
      <c r="J6" s="56" t="s">
        <v>58</v>
      </c>
      <c r="K6" s="56" t="s">
        <v>59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65"/>
    </row>
    <row r="8" spans="1:11" ht="15.75">
      <c r="A8" s="63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65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60</v>
      </c>
      <c r="E1" s="76"/>
      <c r="F1" s="76"/>
      <c r="G1" s="74" t="s">
        <v>61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1682098</v>
      </c>
      <c r="D2" s="5">
        <f>SUM(D4:D80)</f>
        <v>1676510.6969999999</v>
      </c>
      <c r="E2" s="5">
        <f>C2-D2</f>
        <v>5587.3030000000726</v>
      </c>
      <c r="F2" s="6">
        <f>IFERROR(E2/D2, 0)</f>
        <v>3.3326974948613007E-3</v>
      </c>
      <c r="G2" s="5">
        <f>SUM(G4:G80)</f>
        <v>1992699</v>
      </c>
      <c r="H2" s="7">
        <f>C2-G2</f>
        <v>-310601</v>
      </c>
      <c r="I2" s="6">
        <f>IFERROR(H2/G2, 0)</f>
        <v>-0.15586950161564792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145570</v>
      </c>
      <c r="D4" s="34">
        <v>134298.69699999999</v>
      </c>
      <c r="E4" s="34">
        <f>IF(AND(ISNUMBER(C4),ISNUMBER(D4)), C4-D4, "")</f>
        <v>11271.303000000014</v>
      </c>
      <c r="F4" s="35">
        <f>IFERROR(E4/D4, "")</f>
        <v>8.3927121050176801E-2</v>
      </c>
      <c r="G4" s="36">
        <v>152692</v>
      </c>
      <c r="H4" s="36">
        <f>IF(AND(ISNUMBER(C4),ISNUMBER(G4)), C4-G4, "")</f>
        <v>-7122</v>
      </c>
      <c r="I4" s="37">
        <f>IFERROR(H4/G4, "")</f>
        <v>-4.6642915149451181E-2</v>
      </c>
      <c r="J4" s="56"/>
      <c r="K4" s="56"/>
    </row>
    <row r="5" spans="1:11" ht="57.6">
      <c r="A5" s="62" t="str">
        <v>Bullis</v>
      </c>
      <c r="B5" s="58" t="str">
        <v>NY</v>
      </c>
      <c r="C5" s="40">
        <v>802772</v>
      </c>
      <c r="D5" s="41">
        <v>784268</v>
      </c>
      <c r="E5" s="41">
        <f t="shared" ref="E5:E7" si="0">IF(AND(ISNUMBER(C5),ISNUMBER(D5)), C5-D5, "")</f>
        <v>18504</v>
      </c>
      <c r="F5" s="42">
        <f>IFERROR(E5/D5, "")</f>
        <v>2.3593975528773327E-2</v>
      </c>
      <c r="G5" s="43">
        <v>997314</v>
      </c>
      <c r="H5" s="43">
        <f t="shared" ref="H5:H7" si="1">IF(AND(ISNUMBER(C5),ISNUMBER(G5)), C5-G5, "")</f>
        <v>-194542</v>
      </c>
      <c r="I5" s="42">
        <f t="shared" ref="I5:I7" si="2">IFERROR(H5/G5, "")</f>
        <v>-0.19506594713400194</v>
      </c>
      <c r="J5" s="59" t="s">
        <v>62</v>
      </c>
      <c r="K5" s="64" t="s">
        <v>63</v>
      </c>
    </row>
    <row r="6" spans="1:11" ht="28.9">
      <c r="A6" s="63" t="str">
        <v>Rock Island</v>
      </c>
      <c r="B6" s="55" t="str">
        <v>NY</v>
      </c>
      <c r="C6" s="33">
        <v>733756</v>
      </c>
      <c r="D6" s="34">
        <v>757944</v>
      </c>
      <c r="E6" s="34">
        <f t="shared" si="0"/>
        <v>-24188</v>
      </c>
      <c r="F6" s="67">
        <f t="shared" ref="F6:F7" si="3">IFERROR(E6/D6, "")</f>
        <v>-3.1912647900108712E-2</v>
      </c>
      <c r="G6" s="36">
        <v>842693</v>
      </c>
      <c r="H6" s="36">
        <f t="shared" si="1"/>
        <v>-108937</v>
      </c>
      <c r="I6" s="37">
        <f t="shared" si="2"/>
        <v>-0.1292724634000757</v>
      </c>
      <c r="J6" s="56" t="s">
        <v>64</v>
      </c>
      <c r="K6" s="56" t="s">
        <v>65</v>
      </c>
    </row>
    <row r="7" spans="1:11" ht="15.6">
      <c r="A7" s="70" t="str">
        <v>Slayton A &amp; B</v>
      </c>
      <c r="B7" s="71" t="str">
        <v>NY</v>
      </c>
      <c r="C7" s="68"/>
      <c r="D7" s="68"/>
      <c r="E7" s="68" t="str">
        <f t="shared" si="0"/>
        <v/>
      </c>
      <c r="F7" s="67" t="str">
        <f t="shared" si="3"/>
        <v/>
      </c>
      <c r="G7" s="68"/>
      <c r="H7" s="43" t="str">
        <f t="shared" si="1"/>
        <v/>
      </c>
      <c r="I7" s="37" t="str">
        <f t="shared" si="2"/>
        <v/>
      </c>
      <c r="J7" s="68"/>
      <c r="K7" s="68"/>
    </row>
    <row r="8" spans="1:11" ht="15.75">
      <c r="A8" s="61" t="str">
        <v>Minoa - Clemons Rd</v>
      </c>
      <c r="B8" s="55" t="str">
        <v>NY</v>
      </c>
      <c r="C8" s="33"/>
      <c r="D8" s="34"/>
      <c r="E8" s="34" t="str">
        <f t="shared" ref="E8:E9" si="4">IF(AND(ISNUMBER(C8),ISNUMBER(D8)), C8-D8, "")</f>
        <v/>
      </c>
      <c r="F8" s="35" t="str">
        <f t="shared" ref="F8:F9" si="5">IFERROR(E8/D8, "")</f>
        <v/>
      </c>
      <c r="G8" s="36"/>
      <c r="H8" s="36" t="str">
        <f t="shared" ref="H8:H9" si="6">IF(AND(ISNUMBER(C8),ISNUMBER(G8)), C8-G8, "")</f>
        <v/>
      </c>
      <c r="I8" s="37" t="str">
        <f t="shared" ref="I8:I9" si="7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4"/>
        <v/>
      </c>
      <c r="F9" s="42" t="str">
        <f t="shared" si="5"/>
        <v/>
      </c>
      <c r="G9" s="43"/>
      <c r="H9" s="43" t="str">
        <f t="shared" si="6"/>
        <v/>
      </c>
      <c r="I9" s="42" t="str">
        <f t="shared" si="7"/>
        <v/>
      </c>
      <c r="J9" s="59"/>
      <c r="K9" s="64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11:F80 F4:F9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G4" activePane="bottomRight" state="frozen"/>
      <selection pane="bottomRight" activeCell="G6" sqref="G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66</v>
      </c>
      <c r="E1" s="76"/>
      <c r="F1" s="76"/>
      <c r="G1" s="74" t="s">
        <v>67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1588902.5</v>
      </c>
      <c r="D2" s="5">
        <f>SUM(D4:D80)</f>
        <v>1605854.4</v>
      </c>
      <c r="E2" s="5">
        <f>C2-D2</f>
        <v>-16951.899999999907</v>
      </c>
      <c r="F2" s="6">
        <f>IFERROR(E2/D2, 0)</f>
        <v>-1.0556311954558214E-2</v>
      </c>
      <c r="G2" s="5">
        <f>SUM(G4:G80)</f>
        <v>1620625.7999999998</v>
      </c>
      <c r="H2" s="7">
        <f>C2-G2</f>
        <v>-31723.299999999814</v>
      </c>
      <c r="I2" s="6">
        <f>IFERROR(H2/G2, 0)</f>
        <v>-1.9574722307888606E-2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28.9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120545</v>
      </c>
      <c r="D4" s="34">
        <v>112439.7</v>
      </c>
      <c r="E4" s="34">
        <f>IF(AND(ISNUMBER(C4),ISNUMBER(D4)), C4-D4, "")</f>
        <v>8105.3000000000029</v>
      </c>
      <c r="F4" s="35">
        <f>IFERROR(E4/D4, "")</f>
        <v>7.2085749072614058E-2</v>
      </c>
      <c r="G4" s="36">
        <v>130725</v>
      </c>
      <c r="H4" s="36">
        <f>IF(AND(ISNUMBER(C4),ISNUMBER(G4)), C4-G4, "")</f>
        <v>-10180</v>
      </c>
      <c r="I4" s="37">
        <f>IFERROR(H4/G4, "")</f>
        <v>-7.7873398355326071E-2</v>
      </c>
      <c r="J4" s="56" t="s">
        <v>68</v>
      </c>
      <c r="K4" s="56" t="s">
        <v>69</v>
      </c>
    </row>
    <row r="5" spans="1:11" ht="15.6">
      <c r="A5" s="62" t="str">
        <v>Bullis</v>
      </c>
      <c r="B5" s="58" t="str">
        <v>NY</v>
      </c>
      <c r="C5" s="40">
        <v>734967.5</v>
      </c>
      <c r="D5" s="41">
        <v>709748.5</v>
      </c>
      <c r="E5" s="41">
        <f t="shared" ref="E5:E6" si="0">IF(AND(ISNUMBER(C5),ISNUMBER(D5)), C5-D5, "")</f>
        <v>25219</v>
      </c>
      <c r="F5" s="42">
        <f>IFERROR(E5/D5, "")</f>
        <v>3.5532304753021667E-2</v>
      </c>
      <c r="G5" s="43">
        <v>797947.6</v>
      </c>
      <c r="H5" s="43">
        <f t="shared" ref="H5:H6" si="1">IF(AND(ISNUMBER(C5),ISNUMBER(G5)), C5-G5, "")</f>
        <v>-62980.099999999977</v>
      </c>
      <c r="I5" s="42">
        <f t="shared" ref="I5:I6" si="2">IFERROR(H5/G5, "")</f>
        <v>-7.8927613793186399E-2</v>
      </c>
      <c r="J5" s="59"/>
      <c r="K5" s="59"/>
    </row>
    <row r="6" spans="1:11" ht="72">
      <c r="A6" s="63" t="str">
        <v>Rock Island</v>
      </c>
      <c r="B6" s="55" t="str">
        <v>NY</v>
      </c>
      <c r="C6" s="33">
        <v>733390</v>
      </c>
      <c r="D6" s="34">
        <v>783666.2</v>
      </c>
      <c r="E6" s="34">
        <f t="shared" si="0"/>
        <v>-50276.199999999953</v>
      </c>
      <c r="F6" s="35">
        <f t="shared" ref="F6" si="3">IFERROR(E6/D6, "")</f>
        <v>-6.4155121147243505E-2</v>
      </c>
      <c r="G6" s="36">
        <v>691953.2</v>
      </c>
      <c r="H6" s="36">
        <f t="shared" si="1"/>
        <v>41436.800000000047</v>
      </c>
      <c r="I6" s="37">
        <f t="shared" si="2"/>
        <v>5.9883818732249593E-2</v>
      </c>
      <c r="J6" s="72" t="s">
        <v>70</v>
      </c>
      <c r="K6" s="56" t="s">
        <v>71</v>
      </c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3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72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F4" activePane="bottomRight" state="frozen"/>
      <selection pane="bottomRight" activeCell="J16" sqref="J1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72</v>
      </c>
      <c r="E1" s="76"/>
      <c r="F1" s="76"/>
      <c r="G1" s="74" t="s">
        <v>73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1562516.11203</v>
      </c>
      <c r="D2" s="5">
        <f>SUM(D4:D80)</f>
        <v>1580864.7000000002</v>
      </c>
      <c r="E2" s="5">
        <f>C2-D2</f>
        <v>-18348.587970000226</v>
      </c>
      <c r="F2" s="6">
        <f>IFERROR(E2/D2, 0)</f>
        <v>-1.1606678275503416E-2</v>
      </c>
      <c r="G2" s="5">
        <f>SUM(G4:G80)</f>
        <v>1339273.7</v>
      </c>
      <c r="H2" s="7">
        <f>C2-G2</f>
        <v>223242.41203000001</v>
      </c>
      <c r="I2" s="6">
        <f>IFERROR(H2/G2, 0)</f>
        <v>0.16668916296198455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11">Sites[Site]</f>
        <v>Cedar Swamp Rd</v>
      </c>
      <c r="B4" s="55" t="str" cm="1">
        <f t="array" ref="B4:B11">Sites[State]</f>
        <v>MA</v>
      </c>
      <c r="C4" s="33">
        <v>108472</v>
      </c>
      <c r="D4" s="34">
        <v>109441.8</v>
      </c>
      <c r="E4" s="34">
        <f>IF(AND(ISNUMBER(C4),ISNUMBER(D4)), C4-D4, "")</f>
        <v>-969.80000000000291</v>
      </c>
      <c r="F4" s="35">
        <f>IFERROR(E4/D4, "")</f>
        <v>-8.8613308626137623E-3</v>
      </c>
      <c r="G4" s="36">
        <v>80276.2</v>
      </c>
      <c r="H4" s="36">
        <f>IF(AND(ISNUMBER(C4),ISNUMBER(G4)), C4-G4, "")</f>
        <v>28195.800000000003</v>
      </c>
      <c r="I4" s="37">
        <f>IFERROR(H4/G4, "")</f>
        <v>0.3512348616401873</v>
      </c>
      <c r="J4" s="72" t="s">
        <v>74</v>
      </c>
      <c r="K4" s="56" t="s">
        <v>75</v>
      </c>
    </row>
    <row r="5" spans="1:11" ht="45.75">
      <c r="A5" s="62" t="str">
        <v>Bullis</v>
      </c>
      <c r="B5" s="58" t="str">
        <v>NY</v>
      </c>
      <c r="C5" s="40">
        <v>561288.5</v>
      </c>
      <c r="D5" s="41">
        <v>560939.9</v>
      </c>
      <c r="E5" s="41">
        <f t="shared" ref="E5:E9" si="0">IF(AND(ISNUMBER(C5),ISNUMBER(D5)), C5-D5, "")</f>
        <v>348.59999999997672</v>
      </c>
      <c r="F5" s="42">
        <f>IFERROR(E5/D5, "")</f>
        <v>6.2145695109222347E-4</v>
      </c>
      <c r="G5" s="43">
        <v>464536.5</v>
      </c>
      <c r="H5" s="43">
        <f t="shared" ref="H5:H9" si="1">IF(AND(ISNUMBER(C5),ISNUMBER(G5)), C5-G5, "")</f>
        <v>96752</v>
      </c>
      <c r="I5" s="42">
        <f t="shared" ref="I5:I9" si="2">IFERROR(H5/G5, "")</f>
        <v>0.20827642176664266</v>
      </c>
      <c r="J5" s="64" t="s">
        <v>76</v>
      </c>
      <c r="K5" s="64" t="s">
        <v>77</v>
      </c>
    </row>
    <row r="6" spans="1:11" ht="121.5">
      <c r="A6" s="63" t="str">
        <v>Rock Island</v>
      </c>
      <c r="B6" s="55" t="str">
        <v>NY</v>
      </c>
      <c r="C6" s="33">
        <v>479376.5</v>
      </c>
      <c r="D6" s="34">
        <v>530972.9</v>
      </c>
      <c r="E6" s="34">
        <f t="shared" si="0"/>
        <v>-51596.400000000023</v>
      </c>
      <c r="F6" s="35">
        <f t="shared" ref="F6:F9" si="3">IFERROR(E6/D6, "")</f>
        <v>-9.7173320898298235E-2</v>
      </c>
      <c r="G6" s="36">
        <v>430883.5</v>
      </c>
      <c r="H6" s="36">
        <f t="shared" si="1"/>
        <v>48493</v>
      </c>
      <c r="I6" s="37">
        <f t="shared" si="2"/>
        <v>0.11254318162565984</v>
      </c>
      <c r="J6" s="56" t="s">
        <v>78</v>
      </c>
      <c r="K6" s="56" t="s">
        <v>79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si="0"/>
        <v/>
      </c>
      <c r="F7" s="42" t="str">
        <f t="shared" si="3"/>
        <v/>
      </c>
      <c r="G7" s="43"/>
      <c r="H7" s="43" t="str">
        <f t="shared" si="1"/>
        <v/>
      </c>
      <c r="I7" s="42" t="str">
        <f t="shared" si="2"/>
        <v/>
      </c>
      <c r="J7" s="59"/>
      <c r="K7" s="59"/>
    </row>
    <row r="8" spans="1:11" ht="30.75">
      <c r="A8" s="63" t="str">
        <v>Minoa - Clemons Rd</v>
      </c>
      <c r="B8" s="55" t="str">
        <v>NY</v>
      </c>
      <c r="C8" s="33">
        <v>328714.09639999998</v>
      </c>
      <c r="D8" s="34">
        <v>379510.1</v>
      </c>
      <c r="E8" s="34">
        <f t="shared" si="0"/>
        <v>-50796.003599999996</v>
      </c>
      <c r="F8" s="35">
        <f t="shared" si="3"/>
        <v>-0.13384624967820355</v>
      </c>
      <c r="G8" s="36">
        <v>363577.5</v>
      </c>
      <c r="H8" s="36">
        <f t="shared" si="1"/>
        <v>-34863.40360000002</v>
      </c>
      <c r="I8" s="37">
        <f t="shared" si="2"/>
        <v>-9.5889882074660884E-2</v>
      </c>
      <c r="J8" s="56" t="s">
        <v>80</v>
      </c>
      <c r="K8" s="56" t="s">
        <v>81</v>
      </c>
    </row>
    <row r="9" spans="1:11" ht="15.75">
      <c r="A9" s="62" t="str">
        <v>Manchester - Western</v>
      </c>
      <c r="B9" s="58" t="str">
        <v>ME</v>
      </c>
      <c r="C9" s="40">
        <v>84665.015629999994</v>
      </c>
      <c r="D9" s="41">
        <v>0</v>
      </c>
      <c r="E9" s="41">
        <f t="shared" si="0"/>
        <v>84665.015629999994</v>
      </c>
      <c r="F9" s="42" t="str">
        <f t="shared" si="3"/>
        <v/>
      </c>
      <c r="G9" s="43">
        <v>0</v>
      </c>
      <c r="H9" s="43">
        <f t="shared" si="1"/>
        <v>84665.015629999994</v>
      </c>
      <c r="I9" s="42" t="str">
        <f t="shared" si="2"/>
        <v/>
      </c>
      <c r="J9" s="59"/>
      <c r="K9" s="59"/>
    </row>
    <row r="10" spans="1:11" ht="14.45">
      <c r="A10" s="14" t="str">
        <v>Batavia - Pike Rd</v>
      </c>
      <c r="B10" s="19" t="str">
        <v>NY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 t="str">
        <v>Winslow - Roderick</v>
      </c>
      <c r="B11" s="19" t="str">
        <v>ME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D16" sqref="D1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82</v>
      </c>
      <c r="E1" s="76"/>
      <c r="F1" s="76"/>
      <c r="G1" s="74" t="s">
        <v>83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6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6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3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5.75">
      <c r="A10" s="63" t="str">
        <v>Batavia - Pike Rd</v>
      </c>
      <c r="B10" s="55" t="str">
        <v>NY</v>
      </c>
      <c r="C10" s="33"/>
      <c r="D10" s="34"/>
      <c r="E10" s="34"/>
      <c r="F10" s="35"/>
      <c r="G10" s="36"/>
      <c r="H10" s="36"/>
      <c r="I10" s="37"/>
      <c r="J10" s="56"/>
      <c r="K10" s="56"/>
    </row>
    <row r="11" spans="1:11" ht="15.75">
      <c r="A11" s="62" t="str">
        <v>Winslow - Roderick</v>
      </c>
      <c r="B11" s="58" t="str">
        <v>ME</v>
      </c>
      <c r="C11" s="40"/>
      <c r="D11" s="41"/>
      <c r="E11" s="41"/>
      <c r="F11" s="42"/>
      <c r="G11" s="43"/>
      <c r="H11" s="43"/>
      <c r="I11" s="42"/>
      <c r="J11" s="59"/>
      <c r="K11" s="59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18" sqref="F18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Renewable Properties</v>
      </c>
      <c r="B1" s="75"/>
      <c r="C1" s="75"/>
      <c r="D1" s="76" t="s">
        <v>84</v>
      </c>
      <c r="E1" s="76"/>
      <c r="F1" s="76"/>
      <c r="G1" s="74" t="s">
        <v>85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11">Sites[Site]</f>
        <v>Cedar Swamp Rd</v>
      </c>
      <c r="B4" s="55" t="str" cm="1">
        <f t="array" ref="B4:B11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6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6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5.75">
      <c r="A8" s="63" t="str">
        <v>Minoa - Clemons Rd</v>
      </c>
      <c r="B8" s="55" t="str">
        <v>NY</v>
      </c>
      <c r="C8" s="33"/>
      <c r="D8" s="34"/>
      <c r="E8" s="34" t="str">
        <f t="shared" ref="E8:E9" si="8">IF(AND(ISNUMBER(C8),ISNUMBER(D8)), C8-D8, "")</f>
        <v/>
      </c>
      <c r="F8" s="35" t="str">
        <f t="shared" ref="F8:F9" si="9">IFERROR(E8/D8, "")</f>
        <v/>
      </c>
      <c r="G8" s="36"/>
      <c r="H8" s="36" t="str">
        <f t="shared" ref="H8:H9" si="10">IF(AND(ISNUMBER(C8),ISNUMBER(G8)), C8-G8, "")</f>
        <v/>
      </c>
      <c r="I8" s="37" t="str">
        <f t="shared" ref="I8:I9" si="11">IFERROR(H8/G8, "")</f>
        <v/>
      </c>
      <c r="J8" s="56"/>
      <c r="K8" s="56"/>
    </row>
    <row r="9" spans="1:11" ht="15.75">
      <c r="A9" s="62" t="str">
        <v>Manchester - Western</v>
      </c>
      <c r="B9" s="58" t="str">
        <v>ME</v>
      </c>
      <c r="C9" s="40"/>
      <c r="D9" s="41"/>
      <c r="E9" s="41" t="str">
        <f t="shared" si="8"/>
        <v/>
      </c>
      <c r="F9" s="42" t="str">
        <f t="shared" si="9"/>
        <v/>
      </c>
      <c r="G9" s="43"/>
      <c r="H9" s="43" t="str">
        <f t="shared" si="10"/>
        <v/>
      </c>
      <c r="I9" s="42" t="str">
        <f t="shared" si="11"/>
        <v/>
      </c>
      <c r="J9" s="59"/>
      <c r="K9" s="59"/>
    </row>
    <row r="10" spans="1:11" ht="15.75">
      <c r="A10" s="63" t="str">
        <v>Batavia - Pike Rd</v>
      </c>
      <c r="B10" s="55" t="str">
        <v>NY</v>
      </c>
      <c r="C10" s="33"/>
      <c r="D10" s="34"/>
      <c r="E10" s="34"/>
      <c r="F10" s="35"/>
      <c r="G10" s="36"/>
      <c r="H10" s="36"/>
      <c r="I10" s="37"/>
      <c r="J10" s="56"/>
      <c r="K10" s="56"/>
    </row>
    <row r="11" spans="1:11" ht="15.75">
      <c r="A11" s="62" t="str">
        <v>Winslow - Roderick</v>
      </c>
      <c r="B11" s="58" t="str">
        <v>ME</v>
      </c>
      <c r="C11" s="40"/>
      <c r="D11" s="41"/>
      <c r="E11" s="41"/>
      <c r="F11" s="42"/>
      <c r="G11" s="43"/>
      <c r="H11" s="43"/>
      <c r="I11" s="42"/>
      <c r="J11" s="59"/>
      <c r="K11" s="59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86</v>
      </c>
      <c r="B1" t="s">
        <v>87</v>
      </c>
    </row>
    <row r="3" spans="1:12" ht="13.15">
      <c r="A3" t="s">
        <v>88</v>
      </c>
      <c r="B3" t="s">
        <v>3</v>
      </c>
      <c r="C3" t="s">
        <v>4</v>
      </c>
      <c r="D3" t="s">
        <v>89</v>
      </c>
      <c r="E3" s="2" t="s">
        <v>90</v>
      </c>
    </row>
    <row r="4" spans="1:12" ht="14.45">
      <c r="A4" s="30" t="s">
        <v>91</v>
      </c>
      <c r="B4" t="s">
        <v>92</v>
      </c>
      <c r="C4" s="29" t="s">
        <v>93</v>
      </c>
      <c r="D4" s="28"/>
      <c r="E4" t="s">
        <v>94</v>
      </c>
      <c r="G4" s="3"/>
    </row>
    <row r="5" spans="1:12" ht="14.45">
      <c r="A5" s="30" t="s">
        <v>95</v>
      </c>
      <c r="B5" t="s">
        <v>95</v>
      </c>
      <c r="C5" s="29" t="s">
        <v>96</v>
      </c>
      <c r="D5" s="28"/>
      <c r="E5" t="s">
        <v>94</v>
      </c>
      <c r="G5" s="3"/>
    </row>
    <row r="6" spans="1:12" ht="14.45">
      <c r="A6" s="30" t="s">
        <v>97</v>
      </c>
      <c r="B6" t="s">
        <v>98</v>
      </c>
      <c r="C6" s="29" t="s">
        <v>96</v>
      </c>
      <c r="D6" s="28"/>
      <c r="E6" t="s">
        <v>94</v>
      </c>
      <c r="G6" s="3"/>
    </row>
    <row r="7" spans="1:12" ht="12.75" customHeight="1">
      <c r="A7" s="69" t="s">
        <v>99</v>
      </c>
      <c r="B7" s="66" t="s">
        <v>100</v>
      </c>
      <c r="C7" s="29" t="s">
        <v>96</v>
      </c>
      <c r="E7" t="s">
        <v>94</v>
      </c>
      <c r="K7" s="26"/>
      <c r="L7" s="26"/>
    </row>
    <row r="8" spans="1:12" ht="12.75" customHeight="1">
      <c r="A8" s="73" t="s">
        <v>101</v>
      </c>
      <c r="B8" s="66" t="s">
        <v>102</v>
      </c>
      <c r="C8" s="29" t="s">
        <v>96</v>
      </c>
      <c r="E8" t="s">
        <v>94</v>
      </c>
      <c r="K8" s="26"/>
      <c r="L8" s="26"/>
    </row>
    <row r="9" spans="1:12" ht="12.75" customHeight="1">
      <c r="A9" s="73" t="s">
        <v>103</v>
      </c>
      <c r="B9" s="66" t="s">
        <v>104</v>
      </c>
      <c r="C9" s="29" t="s">
        <v>105</v>
      </c>
      <c r="E9" t="s">
        <v>94</v>
      </c>
      <c r="K9" s="26"/>
      <c r="L9" s="26"/>
    </row>
    <row r="10" spans="1:12" ht="12.75" customHeight="1">
      <c r="A10" s="73" t="s">
        <v>106</v>
      </c>
      <c r="B10" s="66" t="s">
        <v>106</v>
      </c>
      <c r="C10" s="29" t="s">
        <v>96</v>
      </c>
      <c r="E10" t="s">
        <v>94</v>
      </c>
      <c r="K10" s="26"/>
      <c r="L10" s="26"/>
    </row>
    <row r="11" spans="1:12" ht="12.75" customHeight="1">
      <c r="A11" s="78" t="s">
        <v>107</v>
      </c>
      <c r="B11" s="79" t="s">
        <v>108</v>
      </c>
      <c r="C11" s="80" t="s">
        <v>105</v>
      </c>
      <c r="E11" t="s">
        <v>94</v>
      </c>
      <c r="K11" s="26"/>
      <c r="L11" s="26"/>
    </row>
    <row r="12" spans="1:12" ht="12.75" customHeight="1">
      <c r="K12" s="26"/>
      <c r="L12" s="2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2024-11-26T11:50:12Z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