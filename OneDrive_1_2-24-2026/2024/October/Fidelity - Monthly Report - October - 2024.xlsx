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3" documentId="13_ncr:1_{E8F9F0D9-8EBD-4213-9333-E249F0602AEA}" xr6:coauthVersionLast="47" xr6:coauthVersionMax="47" xr10:uidLastSave="{ABF99FDD-794F-49F5-9A40-E3B5D4527820}"/>
  <bookViews>
    <workbookView xWindow="-108" yWindow="-108" windowWidth="23256" windowHeight="12456" tabRatio="713" firstSheet="1" activeTab="2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8" l="1"/>
  <c r="J10" i="18"/>
  <c r="O88" i="33"/>
  <c r="I88" i="33"/>
  <c r="J8" i="18"/>
  <c r="J7" i="18"/>
  <c r="J6" i="18"/>
  <c r="J13" i="36"/>
  <c r="J10" i="36"/>
  <c r="L88" i="33"/>
  <c r="J8" i="36"/>
  <c r="J7" i="36"/>
  <c r="J6" i="36"/>
  <c r="J13" i="12"/>
  <c r="J10" i="12"/>
  <c r="F88" i="33"/>
  <c r="J8" i="12"/>
  <c r="J7" i="12"/>
  <c r="J6" i="12"/>
  <c r="I87" i="33"/>
  <c r="L87" i="33" l="1"/>
  <c r="F87" i="33"/>
  <c r="O84" i="33"/>
  <c r="O85" i="33"/>
  <c r="L86" i="33"/>
  <c r="F86" i="33"/>
  <c r="I86" i="33"/>
  <c r="L84" i="33"/>
  <c r="L85" i="33"/>
  <c r="F84" i="33"/>
  <c r="F85" i="33"/>
  <c r="I84" i="33"/>
  <c r="I85" i="33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N88" i="33"/>
  <c r="M88" i="33"/>
  <c r="N87" i="33"/>
  <c r="M87" i="33"/>
  <c r="O87" i="33" s="1"/>
  <c r="N86" i="33"/>
  <c r="M86" i="33"/>
  <c r="O86" i="33" s="1"/>
  <c r="N85" i="33"/>
  <c r="M85" i="33"/>
  <c r="N84" i="33"/>
  <c r="M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F69" i="33"/>
  <c r="F70" i="33"/>
  <c r="I69" i="33"/>
  <c r="I70" i="33"/>
  <c r="L68" i="33"/>
  <c r="N68" i="33"/>
  <c r="M68" i="33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<sst xmlns="http://schemas.openxmlformats.org/spreadsheetml/2006/main" count="506" uniqueCount="93">
  <si>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</si>
  <si>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</si>
  <si>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</si>
  <si>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</si>
  <si>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</si>
  <si>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</si>
  <si>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</si>
  <si>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</si>
  <si>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</si>
  <si>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</si>
  <si>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</si>
  <si>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</si>
  <si>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</si>
  <si>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</si>
  <si>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</si>
  <si>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</si>
  <si>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</si>
  <si>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</si>
  <si>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</si>
  <si>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</si>
  <si>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</si>
  <si>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</si>
  <si>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</si>
  <si>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</si>
  <si>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October' 2024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</si>
  <si>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</si>
  <si>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</si>
  <si>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</si>
  <si>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</si>
  <si>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</si>
  <si>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</si>
  <si>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</si>
  <si>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</si>
  <si>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erroneous values overnight throughout the entire month. We reached out to AlsoEnergy( #529959 )and manually corrected the data by considering 6:00 AM to 7:00 PM as the production hours.</t>
  </si>
  <si>
    <t>O&amp;M Activity</t>
  </si>
  <si>
    <t>Performance Notes</t>
  </si>
  <si>
    <t>Smithfield</t>
  </si>
  <si>
    <t>Westlake</t>
  </si>
  <si>
    <t>October 2024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</si>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</sst>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3" fontId="19" fillId="0" borderId="1" xfId="0" applyNumberFormat="1" applyFont="1" applyBorder="1" applyAlignment="1">
      <alignment horizontal="right"/>
    </xf>
    <xf numFmtId="4" fontId="0" fillId="0" borderId="3" xfId="0" applyNumberFormat="1" applyBorder="1" applyAlignment="1">
      <alignment wrapText="1"/>
    </xf>
    <xf numFmtId="1" fontId="19" fillId="0" borderId="1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166" fontId="0" fillId="0" borderId="10" xfId="0" applyNumberFormat="1" applyBorder="1" applyAlignment="1">
      <alignment horizontal="center" vertical="center"/>
    </xf>
    <xf numFmtId="3" fontId="19" fillId="0" borderId="18" xfId="0" applyNumberFormat="1" applyFont="1" applyBorder="1" applyAlignment="1">
      <alignment horizontal="right"/>
    </xf>
    <xf numFmtId="166" fontId="0" fillId="0" borderId="12" xfId="0" applyNumberFormat="1" applyBorder="1" applyAlignment="1">
      <alignment horizontal="right"/>
    </xf>
    <xf numFmtId="3" fontId="19" fillId="0" borderId="14" xfId="0" applyNumberFormat="1" applyFont="1" applyBorder="1" applyAlignment="1">
      <alignment horizontal="right"/>
    </xf>
    <xf numFmtId="3" fontId="19" fillId="0" borderId="15" xfId="0" applyNumberFormat="1" applyFon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Merrimack!$G$32:$G$62</c:f>
              <c:numCache>
                <c:formatCode>#,##0</c:formatCode>
                <c:ptCount val="31"/>
                <c:pt idx="0" formatCode="General">
                  <c:v>7271</c:v>
                </c:pt>
                <c:pt idx="1">
                  <c:v>6284.875</c:v>
                </c:pt>
                <c:pt idx="2">
                  <c:v>9536.75</c:v>
                </c:pt>
                <c:pt idx="3">
                  <c:v>10347.75</c:v>
                </c:pt>
                <c:pt idx="4">
                  <c:v>12304.25</c:v>
                </c:pt>
                <c:pt idx="5">
                  <c:v>14026.5</c:v>
                </c:pt>
                <c:pt idx="6">
                  <c:v>1358.75</c:v>
                </c:pt>
                <c:pt idx="7">
                  <c:v>13632</c:v>
                </c:pt>
                <c:pt idx="8">
                  <c:v>11331</c:v>
                </c:pt>
                <c:pt idx="9">
                  <c:v>10653.75</c:v>
                </c:pt>
                <c:pt idx="10">
                  <c:v>13619.5</c:v>
                </c:pt>
                <c:pt idx="11">
                  <c:v>13871</c:v>
                </c:pt>
                <c:pt idx="12">
                  <c:v>1090.75</c:v>
                </c:pt>
                <c:pt idx="13">
                  <c:v>1673</c:v>
                </c:pt>
                <c:pt idx="14" formatCode="General">
                  <c:v>7953</c:v>
                </c:pt>
                <c:pt idx="15">
                  <c:v>10115.75</c:v>
                </c:pt>
                <c:pt idx="16">
                  <c:v>13042.25</c:v>
                </c:pt>
                <c:pt idx="17">
                  <c:v>12943</c:v>
                </c:pt>
                <c:pt idx="18">
                  <c:v>12697.25</c:v>
                </c:pt>
                <c:pt idx="19">
                  <c:v>12607</c:v>
                </c:pt>
                <c:pt idx="20">
                  <c:v>11026.25</c:v>
                </c:pt>
                <c:pt idx="21">
                  <c:v>11498</c:v>
                </c:pt>
                <c:pt idx="22">
                  <c:v>10605.25</c:v>
                </c:pt>
                <c:pt idx="23">
                  <c:v>8854</c:v>
                </c:pt>
                <c:pt idx="24">
                  <c:v>12333.75</c:v>
                </c:pt>
                <c:pt idx="25">
                  <c:v>12050.5</c:v>
                </c:pt>
                <c:pt idx="26">
                  <c:v>12652.25</c:v>
                </c:pt>
                <c:pt idx="27">
                  <c:v>10052</c:v>
                </c:pt>
                <c:pt idx="28">
                  <c:v>2344.5</c:v>
                </c:pt>
                <c:pt idx="29">
                  <c:v>3243</c:v>
                </c:pt>
                <c:pt idx="30">
                  <c:v>10194.25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Merrimack!$H$32:$H$62</c:f>
              <c:numCache>
                <c:formatCode>#,##0</c:formatCode>
                <c:ptCount val="31"/>
                <c:pt idx="0">
                  <c:v>3263.2130000000002</c:v>
                </c:pt>
                <c:pt idx="1">
                  <c:v>2763.1089999999999</c:v>
                </c:pt>
                <c:pt idx="2">
                  <c:v>4521.6779999999999</c:v>
                </c:pt>
                <c:pt idx="3">
                  <c:v>4699.7820000000002</c:v>
                </c:pt>
                <c:pt idx="4">
                  <c:v>5717.8389999999999</c:v>
                </c:pt>
                <c:pt idx="5">
                  <c:v>6540.5190000000002</c:v>
                </c:pt>
                <c:pt idx="6">
                  <c:v>570.77030000000002</c:v>
                </c:pt>
                <c:pt idx="7">
                  <c:v>6201.9809999999998</c:v>
                </c:pt>
                <c:pt idx="8">
                  <c:v>5262.0940000000001</c:v>
                </c:pt>
                <c:pt idx="9">
                  <c:v>5007.0889999999999</c:v>
                </c:pt>
                <c:pt idx="10">
                  <c:v>6204.29</c:v>
                </c:pt>
                <c:pt idx="11">
                  <c:v>6419.0290000000005</c:v>
                </c:pt>
                <c:pt idx="12">
                  <c:v>455.41989999999998</c:v>
                </c:pt>
                <c:pt idx="13">
                  <c:v>686.9076</c:v>
                </c:pt>
                <c:pt idx="14">
                  <c:v>3441.4430000000002</c:v>
                </c:pt>
                <c:pt idx="15">
                  <c:v>4706.8760000000002</c:v>
                </c:pt>
                <c:pt idx="16">
                  <c:v>5994.567</c:v>
                </c:pt>
                <c:pt idx="17">
                  <c:v>6003.1509999999998</c:v>
                </c:pt>
                <c:pt idx="18">
                  <c:v>6058.308</c:v>
                </c:pt>
                <c:pt idx="19">
                  <c:v>6050.3950000000004</c:v>
                </c:pt>
                <c:pt idx="20">
                  <c:v>5218.3450000000003</c:v>
                </c:pt>
                <c:pt idx="21">
                  <c:v>5534.1629999999996</c:v>
                </c:pt>
                <c:pt idx="22">
                  <c:v>5054.7640000000001</c:v>
                </c:pt>
                <c:pt idx="23">
                  <c:v>4110.6790000000001</c:v>
                </c:pt>
                <c:pt idx="24">
                  <c:v>5741.0829999999996</c:v>
                </c:pt>
                <c:pt idx="25">
                  <c:v>5549.5569999999998</c:v>
                </c:pt>
                <c:pt idx="26">
                  <c:v>5662.777</c:v>
                </c:pt>
                <c:pt idx="27">
                  <c:v>4478.1379999999999</c:v>
                </c:pt>
                <c:pt idx="28">
                  <c:v>933.00310000000002</c:v>
                </c:pt>
                <c:pt idx="29">
                  <c:v>1409.5050000000001</c:v>
                </c:pt>
                <c:pt idx="30">
                  <c:v>4790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Smithfield!$G$32:$G$62</c:f>
              <c:numCache>
                <c:formatCode>#,##0</c:formatCode>
                <c:ptCount val="31"/>
                <c:pt idx="0">
                  <c:v>9993.75</c:v>
                </c:pt>
                <c:pt idx="1">
                  <c:v>11097.25</c:v>
                </c:pt>
                <c:pt idx="2">
                  <c:v>14584</c:v>
                </c:pt>
                <c:pt idx="3">
                  <c:v>13130.25</c:v>
                </c:pt>
                <c:pt idx="4">
                  <c:v>15223.75</c:v>
                </c:pt>
                <c:pt idx="5">
                  <c:v>17483.5</c:v>
                </c:pt>
                <c:pt idx="6">
                  <c:v>3449.75</c:v>
                </c:pt>
                <c:pt idx="7">
                  <c:v>16746.5</c:v>
                </c:pt>
                <c:pt idx="8">
                  <c:v>11777.75</c:v>
                </c:pt>
                <c:pt idx="9">
                  <c:v>16513.25</c:v>
                </c:pt>
                <c:pt idx="10">
                  <c:v>16815.75</c:v>
                </c:pt>
                <c:pt idx="11">
                  <c:v>16969</c:v>
                </c:pt>
                <c:pt idx="12">
                  <c:v>2854.75</c:v>
                </c:pt>
                <c:pt idx="13">
                  <c:v>3798.75</c:v>
                </c:pt>
                <c:pt idx="14">
                  <c:v>15356.5</c:v>
                </c:pt>
                <c:pt idx="15">
                  <c:v>14888.5</c:v>
                </c:pt>
                <c:pt idx="16">
                  <c:v>12518.25</c:v>
                </c:pt>
                <c:pt idx="17">
                  <c:v>16136.25</c:v>
                </c:pt>
                <c:pt idx="18">
                  <c:v>15473.25</c:v>
                </c:pt>
                <c:pt idx="19">
                  <c:v>15780.25</c:v>
                </c:pt>
                <c:pt idx="20">
                  <c:v>13853.5</c:v>
                </c:pt>
                <c:pt idx="21">
                  <c:v>13896</c:v>
                </c:pt>
                <c:pt idx="22">
                  <c:v>12639</c:v>
                </c:pt>
                <c:pt idx="23">
                  <c:v>10609</c:v>
                </c:pt>
                <c:pt idx="24">
                  <c:v>15153.75</c:v>
                </c:pt>
                <c:pt idx="25">
                  <c:v>11747.25</c:v>
                </c:pt>
                <c:pt idx="26">
                  <c:v>15408</c:v>
                </c:pt>
                <c:pt idx="27">
                  <c:v>12339.5</c:v>
                </c:pt>
                <c:pt idx="28">
                  <c:v>8539</c:v>
                </c:pt>
                <c:pt idx="29">
                  <c:v>8935.75</c:v>
                </c:pt>
                <c:pt idx="30">
                  <c:v>10329.5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Smithfield!$H$32:$H$62</c:f>
              <c:numCache>
                <c:formatCode>#,##0</c:formatCode>
                <c:ptCount val="31"/>
                <c:pt idx="0">
                  <c:v>3088.8409999999999</c:v>
                </c:pt>
                <c:pt idx="1">
                  <c:v>3577.1410000000001</c:v>
                </c:pt>
                <c:pt idx="2">
                  <c:v>4735.7110000000002</c:v>
                </c:pt>
                <c:pt idx="3">
                  <c:v>4075.444</c:v>
                </c:pt>
                <c:pt idx="4">
                  <c:v>4677.5829999999996</c:v>
                </c:pt>
                <c:pt idx="5">
                  <c:v>5493.2359999999999</c:v>
                </c:pt>
                <c:pt idx="6">
                  <c:v>1055.5309999999999</c:v>
                </c:pt>
                <c:pt idx="7">
                  <c:v>5168.5119999999997</c:v>
                </c:pt>
                <c:pt idx="8">
                  <c:v>3706.9270000000001</c:v>
                </c:pt>
                <c:pt idx="9">
                  <c:v>5001.1989999999996</c:v>
                </c:pt>
                <c:pt idx="10">
                  <c:v>5145.18</c:v>
                </c:pt>
                <c:pt idx="11">
                  <c:v>5192.509</c:v>
                </c:pt>
                <c:pt idx="12">
                  <c:v>818.34280000000001</c:v>
                </c:pt>
                <c:pt idx="13">
                  <c:v>1136.78</c:v>
                </c:pt>
                <c:pt idx="14">
                  <c:v>4753.3919999999998</c:v>
                </c:pt>
                <c:pt idx="15">
                  <c:v>4574.8559999999998</c:v>
                </c:pt>
                <c:pt idx="16">
                  <c:v>3697.5479999999998</c:v>
                </c:pt>
                <c:pt idx="17">
                  <c:v>4885.6670000000004</c:v>
                </c:pt>
                <c:pt idx="18">
                  <c:v>4833.3410000000003</c:v>
                </c:pt>
                <c:pt idx="19">
                  <c:v>4964.0349999999999</c:v>
                </c:pt>
                <c:pt idx="20">
                  <c:v>4327.9250000000002</c:v>
                </c:pt>
                <c:pt idx="21">
                  <c:v>4363.0540000000001</c:v>
                </c:pt>
                <c:pt idx="22">
                  <c:v>3849.297</c:v>
                </c:pt>
                <c:pt idx="23">
                  <c:v>3196.7060000000001</c:v>
                </c:pt>
                <c:pt idx="24">
                  <c:v>4646.9470000000001</c:v>
                </c:pt>
                <c:pt idx="25">
                  <c:v>3516.6350000000002</c:v>
                </c:pt>
                <c:pt idx="26">
                  <c:v>4669.7449999999999</c:v>
                </c:pt>
                <c:pt idx="27">
                  <c:v>3694.9189999999999</c:v>
                </c:pt>
                <c:pt idx="28">
                  <c:v>2534.5349999999999</c:v>
                </c:pt>
                <c:pt idx="29">
                  <c:v>2691.1790000000001</c:v>
                </c:pt>
                <c:pt idx="30">
                  <c:v>3180.0830000000001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Westlake!$G$32:$G$62</c:f>
              <c:numCache>
                <c:formatCode>#,##0</c:formatCode>
                <c:ptCount val="31"/>
                <c:pt idx="0">
                  <c:v>19990</c:v>
                </c:pt>
                <c:pt idx="1">
                  <c:v>19100</c:v>
                </c:pt>
                <c:pt idx="2">
                  <c:v>18863</c:v>
                </c:pt>
                <c:pt idx="3">
                  <c:v>19135</c:v>
                </c:pt>
                <c:pt idx="4">
                  <c:v>15000</c:v>
                </c:pt>
                <c:pt idx="5">
                  <c:v>18059</c:v>
                </c:pt>
                <c:pt idx="6">
                  <c:v>17811</c:v>
                </c:pt>
                <c:pt idx="7">
                  <c:v>17623</c:v>
                </c:pt>
                <c:pt idx="8">
                  <c:v>17584</c:v>
                </c:pt>
                <c:pt idx="9">
                  <c:v>17281</c:v>
                </c:pt>
                <c:pt idx="10">
                  <c:v>14992</c:v>
                </c:pt>
                <c:pt idx="11">
                  <c:v>16503</c:v>
                </c:pt>
                <c:pt idx="12">
                  <c:v>17331</c:v>
                </c:pt>
                <c:pt idx="13">
                  <c:v>17140</c:v>
                </c:pt>
                <c:pt idx="14">
                  <c:v>16766</c:v>
                </c:pt>
                <c:pt idx="15">
                  <c:v>19151</c:v>
                </c:pt>
                <c:pt idx="16">
                  <c:v>18031</c:v>
                </c:pt>
                <c:pt idx="17">
                  <c:v>16887</c:v>
                </c:pt>
                <c:pt idx="18">
                  <c:v>1296</c:v>
                </c:pt>
                <c:pt idx="19">
                  <c:v>17775</c:v>
                </c:pt>
                <c:pt idx="20">
                  <c:v>17881</c:v>
                </c:pt>
                <c:pt idx="21">
                  <c:v>16285</c:v>
                </c:pt>
                <c:pt idx="22">
                  <c:v>16179</c:v>
                </c:pt>
                <c:pt idx="23">
                  <c:v>16547</c:v>
                </c:pt>
                <c:pt idx="24">
                  <c:v>15201</c:v>
                </c:pt>
                <c:pt idx="25">
                  <c:v>15918</c:v>
                </c:pt>
                <c:pt idx="26">
                  <c:v>14875</c:v>
                </c:pt>
                <c:pt idx="27">
                  <c:v>15542</c:v>
                </c:pt>
                <c:pt idx="28">
                  <c:v>9759</c:v>
                </c:pt>
                <c:pt idx="29">
                  <c:v>6588</c:v>
                </c:pt>
                <c:pt idx="30">
                  <c:v>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Westlake!$H$32:$H$62</c:f>
              <c:numCache>
                <c:formatCode>#,##0</c:formatCode>
                <c:ptCount val="31"/>
                <c:pt idx="0">
                  <c:v>7451.1019999999999</c:v>
                </c:pt>
                <c:pt idx="1">
                  <c:v>6993.9309999999996</c:v>
                </c:pt>
                <c:pt idx="2">
                  <c:v>6890.52</c:v>
                </c:pt>
                <c:pt idx="3">
                  <c:v>7054.0219999999999</c:v>
                </c:pt>
                <c:pt idx="4">
                  <c:v>5400.1030000000001</c:v>
                </c:pt>
                <c:pt idx="5">
                  <c:v>6813.9780000000001</c:v>
                </c:pt>
                <c:pt idx="6">
                  <c:v>6505.634</c:v>
                </c:pt>
                <c:pt idx="7">
                  <c:v>6403.3760000000002</c:v>
                </c:pt>
                <c:pt idx="8">
                  <c:v>6409.183</c:v>
                </c:pt>
                <c:pt idx="9">
                  <c:v>6311.6009999999997</c:v>
                </c:pt>
                <c:pt idx="10">
                  <c:v>5435.7240000000002</c:v>
                </c:pt>
                <c:pt idx="11">
                  <c:v>6141.4440000000004</c:v>
                </c:pt>
                <c:pt idx="12">
                  <c:v>6502.348</c:v>
                </c:pt>
                <c:pt idx="13">
                  <c:v>6296.3190000000004</c:v>
                </c:pt>
                <c:pt idx="14">
                  <c:v>6293.7380000000003</c:v>
                </c:pt>
                <c:pt idx="15">
                  <c:v>7229.9189999999999</c:v>
                </c:pt>
                <c:pt idx="16">
                  <c:v>6664.192</c:v>
                </c:pt>
                <c:pt idx="17">
                  <c:v>5911.085</c:v>
                </c:pt>
                <c:pt idx="18">
                  <c:v>4314.0450000000001</c:v>
                </c:pt>
                <c:pt idx="19">
                  <c:v>6416.3739999999998</c:v>
                </c:pt>
                <c:pt idx="20">
                  <c:v>6464.1540000000005</c:v>
                </c:pt>
                <c:pt idx="21">
                  <c:v>5894.1279999999997</c:v>
                </c:pt>
                <c:pt idx="22">
                  <c:v>5852.2349999999997</c:v>
                </c:pt>
                <c:pt idx="23">
                  <c:v>6044.4989999999998</c:v>
                </c:pt>
                <c:pt idx="24">
                  <c:v>5559.9579999999996</c:v>
                </c:pt>
                <c:pt idx="25">
                  <c:v>5828.8339999999998</c:v>
                </c:pt>
                <c:pt idx="26">
                  <c:v>5384.8029999999999</c:v>
                </c:pt>
                <c:pt idx="27">
                  <c:v>5682.9340000000002</c:v>
                </c:pt>
                <c:pt idx="28">
                  <c:v>3598.2530000000002</c:v>
                </c:pt>
                <c:pt idx="29">
                  <c:v>2131.5810000000001</c:v>
                </c:pt>
                <c:pt idx="30">
                  <c:v>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140123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16721</xdr:colOff>
      <xdr:row>3</xdr:row>
      <xdr:rowOff>15334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364701</xdr:colOff>
      <xdr:row>2</xdr:row>
      <xdr:rowOff>131656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25404</xdr:colOff>
      <xdr:row>2</xdr:row>
      <xdr:rowOff>142972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80" t="s">
        <v>0</v>
      </c>
      <c r="B1" s="181"/>
      <c r="C1" s="181"/>
      <c r="D1" s="181"/>
      <c r="E1" s="182"/>
      <c r="F1" s="174" t="s">
        <v>1</v>
      </c>
      <c r="G1" s="175"/>
      <c r="H1" s="175"/>
      <c r="I1" s="175"/>
      <c r="J1" s="175"/>
      <c r="K1" s="17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83" t="s">
        <v>2</v>
      </c>
      <c r="B2" s="184"/>
      <c r="C2" s="184"/>
      <c r="D2" s="184"/>
      <c r="E2" s="184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76" t="s">
        <v>4</v>
      </c>
      <c r="B3" s="177"/>
      <c r="C3" s="177"/>
      <c r="D3" s="177"/>
      <c r="E3" s="177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76" t="s">
        <v>6</v>
      </c>
      <c r="B4" s="177"/>
      <c r="C4" s="177"/>
      <c r="D4" s="177"/>
      <c r="E4" s="177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76" t="s">
        <v>8</v>
      </c>
      <c r="B5" s="177"/>
      <c r="C5" s="177"/>
      <c r="D5" s="177"/>
      <c r="E5" s="177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76" t="s">
        <v>10</v>
      </c>
      <c r="B6" s="177"/>
      <c r="C6" s="177"/>
      <c r="D6" s="177"/>
      <c r="E6" s="177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76" t="s">
        <v>12</v>
      </c>
      <c r="B7" s="177"/>
      <c r="C7" s="177"/>
      <c r="D7" s="177"/>
      <c r="E7" s="177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76" t="s">
        <v>14</v>
      </c>
      <c r="B8" s="177"/>
      <c r="C8" s="177"/>
      <c r="D8" s="177"/>
      <c r="E8" s="177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76" t="s">
        <v>16</v>
      </c>
      <c r="B9" s="177"/>
      <c r="C9" s="177"/>
      <c r="D9" s="177"/>
      <c r="E9" s="177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76" t="s">
        <v>18</v>
      </c>
      <c r="B10" s="177"/>
      <c r="C10" s="177"/>
      <c r="D10" s="177"/>
      <c r="E10" s="177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78" t="s">
        <v>20</v>
      </c>
      <c r="B11" s="179"/>
      <c r="C11" s="179"/>
      <c r="D11" s="179"/>
      <c r="E11" s="179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2"/>
  <sheetViews>
    <sheetView topLeftCell="A16" zoomScale="90" zoomScaleNormal="90" workbookViewId="0">
      <selection activeCell="K59" sqref="K59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203" t="s">
        <v>22</v>
      </c>
      <c r="F1" s="203"/>
      <c r="G1" s="203"/>
      <c r="H1" s="203"/>
      <c r="I1" s="203"/>
      <c r="J1" s="203"/>
    </row>
    <row r="2" spans="3:13">
      <c r="E2" s="204" t="s">
        <v>23</v>
      </c>
      <c r="F2" s="204"/>
      <c r="G2" s="204"/>
      <c r="H2" s="204"/>
      <c r="I2" s="204"/>
      <c r="J2" s="204"/>
    </row>
    <row r="3" spans="3:13">
      <c r="E3" s="205" t="s">
        <v>24</v>
      </c>
      <c r="F3" s="206"/>
      <c r="G3" s="206"/>
      <c r="H3" s="206"/>
      <c r="I3" s="206"/>
      <c r="J3" s="206"/>
    </row>
    <row r="5" spans="3:13">
      <c r="C5" s="188" t="s">
        <v>25</v>
      </c>
      <c r="D5" s="189"/>
      <c r="E5" s="189"/>
      <c r="F5" s="189"/>
      <c r="G5" s="189"/>
      <c r="H5" s="189"/>
      <c r="I5" s="189"/>
      <c r="J5" s="189"/>
      <c r="K5" s="189"/>
      <c r="L5" s="190"/>
    </row>
    <row r="6" spans="3:13">
      <c r="C6" s="20"/>
      <c r="D6" s="21"/>
      <c r="E6" s="181" t="s">
        <v>2</v>
      </c>
      <c r="F6" s="181"/>
      <c r="G6" s="181"/>
      <c r="H6" s="181"/>
      <c r="I6" s="181"/>
      <c r="J6" s="22">
        <f>SUM(G32:G62)</f>
        <v>301212.875</v>
      </c>
      <c r="K6" s="21" t="s">
        <v>26</v>
      </c>
      <c r="L6" s="23"/>
    </row>
    <row r="7" spans="3:13">
      <c r="C7" s="3"/>
      <c r="D7" s="2"/>
      <c r="E7" s="191" t="s">
        <v>4</v>
      </c>
      <c r="F7" s="191"/>
      <c r="G7" s="191"/>
      <c r="H7" s="191"/>
      <c r="I7" s="191"/>
      <c r="J7" s="8">
        <f>'Predicted Data'!D26</f>
        <v>287672</v>
      </c>
      <c r="K7" s="69"/>
      <c r="L7" s="4"/>
    </row>
    <row r="8" spans="3:13" ht="16.149999999999999">
      <c r="C8" s="3"/>
      <c r="D8" s="2"/>
      <c r="E8" s="191" t="s">
        <v>6</v>
      </c>
      <c r="F8" s="191"/>
      <c r="G8" s="191"/>
      <c r="H8" s="191"/>
      <c r="I8" s="191"/>
      <c r="J8" s="8">
        <f>SUM(H32:H62)</f>
        <v>139050.4749</v>
      </c>
      <c r="K8" s="2" t="s">
        <v>26</v>
      </c>
      <c r="L8" s="4"/>
    </row>
    <row r="9" spans="3:13" ht="16.149999999999999">
      <c r="C9" s="3"/>
      <c r="D9" s="2"/>
      <c r="E9" s="191" t="s">
        <v>8</v>
      </c>
      <c r="F9" s="191"/>
      <c r="G9" s="191"/>
      <c r="H9" s="191"/>
      <c r="I9" s="191"/>
      <c r="J9" s="79"/>
      <c r="K9" s="69"/>
      <c r="L9" s="4"/>
    </row>
    <row r="10" spans="3:13">
      <c r="C10" s="3"/>
      <c r="D10" s="2"/>
      <c r="E10" s="191" t="s">
        <v>10</v>
      </c>
      <c r="F10" s="191"/>
      <c r="G10" s="191"/>
      <c r="H10" s="191"/>
      <c r="I10" s="191"/>
      <c r="J10" s="85">
        <f>'Plant Health'!H88</f>
        <v>303095</v>
      </c>
      <c r="K10" s="2" t="s">
        <v>26</v>
      </c>
      <c r="L10" s="4"/>
    </row>
    <row r="11" spans="3:13">
      <c r="C11" s="3"/>
      <c r="D11" s="2"/>
      <c r="E11" s="191" t="s">
        <v>12</v>
      </c>
      <c r="F11" s="191"/>
      <c r="G11" s="191"/>
      <c r="H11" s="191"/>
      <c r="I11" s="191"/>
      <c r="J11" s="31">
        <f>J6/J10</f>
        <v>0.99379031326811729</v>
      </c>
      <c r="K11" s="2"/>
      <c r="L11" s="4"/>
      <c r="M11" s="61"/>
    </row>
    <row r="12" spans="3:13">
      <c r="C12" s="3"/>
      <c r="D12" s="2"/>
      <c r="E12" s="191" t="s">
        <v>16</v>
      </c>
      <c r="F12" s="191"/>
      <c r="G12" s="191"/>
      <c r="H12" s="191"/>
      <c r="I12" s="191"/>
      <c r="J12" s="31">
        <f>J6/J7</f>
        <v>1.0470705351928586</v>
      </c>
      <c r="K12" s="2"/>
      <c r="L12" s="4"/>
    </row>
    <row r="13" spans="3:13">
      <c r="C13" s="3"/>
      <c r="D13" s="2"/>
      <c r="E13" s="191" t="s">
        <v>18</v>
      </c>
      <c r="F13" s="191"/>
      <c r="G13" s="191"/>
      <c r="H13" s="191"/>
      <c r="I13" s="191"/>
      <c r="J13" s="31">
        <f>Availability!E47</f>
        <v>1</v>
      </c>
      <c r="K13" s="2"/>
      <c r="L13" s="4"/>
    </row>
    <row r="14" spans="3:13">
      <c r="C14" s="5"/>
      <c r="D14" s="6"/>
      <c r="E14" s="202" t="s">
        <v>20</v>
      </c>
      <c r="F14" s="202"/>
      <c r="G14" s="202"/>
      <c r="H14" s="202"/>
      <c r="I14" s="202"/>
      <c r="J14" s="9">
        <f>Availability!E50</f>
        <v>0.99865999999999988</v>
      </c>
      <c r="K14" s="6"/>
      <c r="L14" s="7"/>
    </row>
    <row r="16" spans="3:13">
      <c r="C16" s="192" t="s">
        <v>27</v>
      </c>
      <c r="D16" s="192"/>
      <c r="E16" s="192"/>
      <c r="F16" s="192"/>
      <c r="G16" s="192"/>
      <c r="H16" s="192"/>
      <c r="I16" s="192"/>
      <c r="J16" s="192"/>
      <c r="K16" s="192"/>
      <c r="L16" s="192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92" t="s">
        <v>28</v>
      </c>
      <c r="G30" s="192"/>
      <c r="H30" s="192"/>
      <c r="I30" s="192"/>
      <c r="J30" s="11"/>
      <c r="K30" s="11"/>
      <c r="L30" s="11"/>
    </row>
    <row r="31" spans="3:12" s="10" customFormat="1" ht="44.1" customHeight="1">
      <c r="E31" s="13"/>
      <c r="F31" s="157" t="s">
        <v>29</v>
      </c>
      <c r="G31" s="158" t="s">
        <v>30</v>
      </c>
      <c r="H31" s="158" t="s">
        <v>31</v>
      </c>
      <c r="I31" s="158" t="s">
        <v>32</v>
      </c>
      <c r="J31" s="12"/>
      <c r="K31" s="13"/>
    </row>
    <row r="32" spans="3:12" ht="46.5" customHeight="1">
      <c r="E32" s="2"/>
      <c r="F32" s="159">
        <v>45566</v>
      </c>
      <c r="G32">
        <v>7271</v>
      </c>
      <c r="H32" s="160">
        <v>3263.2130000000002</v>
      </c>
      <c r="I32" s="162">
        <v>57</v>
      </c>
      <c r="J32" s="2"/>
      <c r="K32" s="161" t="s">
        <v>33</v>
      </c>
    </row>
    <row r="33" spans="5:15">
      <c r="E33" s="2"/>
      <c r="F33" s="159">
        <v>45567</v>
      </c>
      <c r="G33" s="160">
        <v>6284.875</v>
      </c>
      <c r="H33" s="160">
        <v>2763.1089999999999</v>
      </c>
      <c r="I33" s="162">
        <v>56</v>
      </c>
      <c r="J33" s="2"/>
      <c r="K33" s="14"/>
    </row>
    <row r="34" spans="5:15">
      <c r="E34" s="2"/>
      <c r="F34" s="159">
        <v>45568</v>
      </c>
      <c r="G34" s="160">
        <v>9536.75</v>
      </c>
      <c r="H34" s="160">
        <v>4521.6779999999999</v>
      </c>
      <c r="I34" s="162">
        <v>59</v>
      </c>
      <c r="J34" s="2"/>
      <c r="K34" s="14"/>
    </row>
    <row r="35" spans="5:15">
      <c r="E35" s="2"/>
      <c r="F35" s="159">
        <v>45569</v>
      </c>
      <c r="G35" s="160">
        <v>10347.75</v>
      </c>
      <c r="H35" s="160">
        <v>4699.7820000000002</v>
      </c>
      <c r="I35" s="162">
        <v>59</v>
      </c>
      <c r="J35" s="2"/>
      <c r="K35" s="14"/>
    </row>
    <row r="36" spans="5:15">
      <c r="E36" s="2"/>
      <c r="F36" s="159">
        <v>45570</v>
      </c>
      <c r="G36" s="160">
        <v>12304.25</v>
      </c>
      <c r="H36" s="160">
        <v>5717.8389999999999</v>
      </c>
      <c r="I36" s="162">
        <v>59</v>
      </c>
      <c r="J36" s="2"/>
      <c r="K36" s="14"/>
    </row>
    <row r="37" spans="5:15">
      <c r="E37" s="2"/>
      <c r="F37" s="159">
        <v>45571</v>
      </c>
      <c r="G37" s="160">
        <v>14026.5</v>
      </c>
      <c r="H37" s="160">
        <v>6540.5190000000002</v>
      </c>
      <c r="I37" s="162">
        <v>53</v>
      </c>
      <c r="J37" s="2"/>
      <c r="K37" s="14"/>
    </row>
    <row r="38" spans="5:15">
      <c r="E38" s="2"/>
      <c r="F38" s="159">
        <v>45572</v>
      </c>
      <c r="G38" s="160">
        <v>1358.75</v>
      </c>
      <c r="H38" s="160">
        <v>570.77030000000002</v>
      </c>
      <c r="I38" s="162">
        <v>55</v>
      </c>
      <c r="J38" s="2"/>
      <c r="K38" s="14"/>
    </row>
    <row r="39" spans="5:15">
      <c r="E39" s="2"/>
      <c r="F39" s="159">
        <v>45573</v>
      </c>
      <c r="G39" s="160">
        <v>13632</v>
      </c>
      <c r="H39" s="160">
        <v>6201.9809999999998</v>
      </c>
      <c r="I39" s="162">
        <v>50</v>
      </c>
      <c r="J39" s="2"/>
      <c r="K39" s="14"/>
    </row>
    <row r="40" spans="5:15">
      <c r="E40" s="2"/>
      <c r="F40" s="159">
        <v>45574</v>
      </c>
      <c r="G40" s="160">
        <v>11331</v>
      </c>
      <c r="H40" s="160">
        <v>5262.0940000000001</v>
      </c>
      <c r="I40" s="162">
        <v>51</v>
      </c>
      <c r="J40" s="2"/>
      <c r="K40" s="14"/>
    </row>
    <row r="41" spans="5:15">
      <c r="E41" s="2"/>
      <c r="F41" s="159">
        <v>45575</v>
      </c>
      <c r="G41" s="160">
        <v>10653.75</v>
      </c>
      <c r="H41" s="160">
        <v>5007.0889999999999</v>
      </c>
      <c r="I41" s="162">
        <v>50</v>
      </c>
      <c r="J41" s="2"/>
      <c r="K41" s="14"/>
    </row>
    <row r="42" spans="5:15">
      <c r="E42" s="2"/>
      <c r="F42" s="159">
        <v>45576</v>
      </c>
      <c r="G42" s="160">
        <v>13619.5</v>
      </c>
      <c r="H42" s="160">
        <v>6204.29</v>
      </c>
      <c r="I42" s="162">
        <v>51</v>
      </c>
      <c r="J42" s="2"/>
      <c r="K42" s="14"/>
    </row>
    <row r="43" spans="5:15">
      <c r="E43" s="2"/>
      <c r="F43" s="159">
        <v>45577</v>
      </c>
      <c r="G43" s="160">
        <v>13871</v>
      </c>
      <c r="H43" s="160">
        <v>6419.0290000000005</v>
      </c>
      <c r="I43" s="162">
        <v>55</v>
      </c>
      <c r="J43" s="2"/>
      <c r="K43" s="14"/>
    </row>
    <row r="44" spans="5:15">
      <c r="E44" s="2"/>
      <c r="F44" s="159">
        <v>45578</v>
      </c>
      <c r="G44" s="160">
        <v>1090.75</v>
      </c>
      <c r="H44" s="160">
        <v>455.41989999999998</v>
      </c>
      <c r="I44" s="162">
        <v>42</v>
      </c>
      <c r="J44" s="2"/>
      <c r="K44" s="14"/>
    </row>
    <row r="45" spans="5:15">
      <c r="E45" s="2"/>
      <c r="F45" s="159">
        <v>45579</v>
      </c>
      <c r="G45" s="160">
        <v>1673</v>
      </c>
      <c r="H45" s="160">
        <v>686.9076</v>
      </c>
      <c r="I45" s="162">
        <v>47</v>
      </c>
      <c r="J45" s="2"/>
      <c r="K45" s="14"/>
    </row>
    <row r="46" spans="5:15">
      <c r="E46" s="2"/>
      <c r="F46" s="159">
        <v>45580</v>
      </c>
      <c r="G46" s="2">
        <v>7953</v>
      </c>
      <c r="H46" s="160">
        <v>3441.4430000000002</v>
      </c>
      <c r="I46" s="162">
        <v>42</v>
      </c>
      <c r="J46" s="2"/>
      <c r="K46" s="14"/>
    </row>
    <row r="47" spans="5:15">
      <c r="E47" s="2"/>
      <c r="F47" s="171">
        <v>45581</v>
      </c>
      <c r="G47" s="170">
        <v>10115.75</v>
      </c>
      <c r="H47" s="172">
        <v>4706.8760000000002</v>
      </c>
      <c r="I47" s="162">
        <v>44</v>
      </c>
      <c r="J47" s="2"/>
      <c r="K47" s="14"/>
    </row>
    <row r="48" spans="5:15">
      <c r="E48" s="2"/>
      <c r="F48" s="159">
        <v>45582</v>
      </c>
      <c r="G48" s="173">
        <v>13042.25</v>
      </c>
      <c r="H48" s="160">
        <v>5994.567</v>
      </c>
      <c r="I48" s="162">
        <v>40</v>
      </c>
      <c r="J48" s="2"/>
      <c r="K48" s="14"/>
      <c r="M48" s="2"/>
      <c r="N48" s="2"/>
      <c r="O48" s="2"/>
    </row>
    <row r="49" spans="3:15">
      <c r="E49" s="2"/>
      <c r="F49" s="159">
        <v>45583</v>
      </c>
      <c r="G49" s="160">
        <v>12943</v>
      </c>
      <c r="H49" s="160">
        <v>6003.1509999999998</v>
      </c>
      <c r="I49" s="162">
        <v>45</v>
      </c>
      <c r="J49" s="2"/>
      <c r="K49" s="14"/>
      <c r="M49" s="2"/>
      <c r="N49" s="2"/>
      <c r="O49" s="2"/>
    </row>
    <row r="50" spans="3:15">
      <c r="E50" s="2"/>
      <c r="F50" s="159">
        <v>45584</v>
      </c>
      <c r="G50" s="160">
        <v>12697.25</v>
      </c>
      <c r="H50" s="160">
        <v>6058.308</v>
      </c>
      <c r="I50" s="162">
        <v>48</v>
      </c>
      <c r="J50" s="2"/>
      <c r="K50" s="14"/>
    </row>
    <row r="51" spans="3:15">
      <c r="E51" s="2"/>
      <c r="F51" s="159">
        <v>45585</v>
      </c>
      <c r="G51" s="160">
        <v>12607</v>
      </c>
      <c r="H51" s="160">
        <v>6050.3950000000004</v>
      </c>
      <c r="I51" s="162">
        <v>49</v>
      </c>
      <c r="J51" s="2"/>
      <c r="K51" s="14"/>
    </row>
    <row r="52" spans="3:15">
      <c r="E52" s="2"/>
      <c r="F52" s="159">
        <v>45586</v>
      </c>
      <c r="G52" s="160">
        <v>11026.25</v>
      </c>
      <c r="H52" s="160">
        <v>5218.3450000000003</v>
      </c>
      <c r="I52" s="162">
        <v>58</v>
      </c>
      <c r="J52" s="2"/>
      <c r="K52" s="14"/>
    </row>
    <row r="53" spans="3:15">
      <c r="E53" s="2"/>
      <c r="F53" s="159">
        <v>45587</v>
      </c>
      <c r="G53" s="160">
        <v>11498</v>
      </c>
      <c r="H53" s="160">
        <v>5534.1629999999996</v>
      </c>
      <c r="I53" s="162">
        <v>60</v>
      </c>
      <c r="J53" s="2"/>
      <c r="K53" s="14"/>
    </row>
    <row r="54" spans="3:15">
      <c r="E54" s="2"/>
      <c r="F54" s="159">
        <v>45588</v>
      </c>
      <c r="G54" s="160">
        <v>10605.25</v>
      </c>
      <c r="H54" s="160">
        <v>5054.7640000000001</v>
      </c>
      <c r="I54" s="162">
        <v>62</v>
      </c>
      <c r="J54" s="2"/>
      <c r="K54" s="14"/>
    </row>
    <row r="55" spans="3:15">
      <c r="E55" s="2"/>
      <c r="F55" s="159">
        <v>45589</v>
      </c>
      <c r="G55" s="160">
        <v>8854</v>
      </c>
      <c r="H55" s="160">
        <v>4110.6790000000001</v>
      </c>
      <c r="I55" s="162">
        <v>58</v>
      </c>
      <c r="J55" s="2"/>
      <c r="K55" s="14"/>
    </row>
    <row r="56" spans="3:15">
      <c r="E56" s="2"/>
      <c r="F56" s="159">
        <v>45590</v>
      </c>
      <c r="G56" s="160">
        <v>12333.75</v>
      </c>
      <c r="H56" s="160">
        <v>5741.0829999999996</v>
      </c>
      <c r="I56" s="162">
        <v>47</v>
      </c>
      <c r="J56" s="2"/>
      <c r="K56" s="14"/>
    </row>
    <row r="57" spans="3:15">
      <c r="E57" s="2"/>
      <c r="F57" s="159">
        <v>45591</v>
      </c>
      <c r="G57" s="160">
        <v>12050.5</v>
      </c>
      <c r="H57" s="160">
        <v>5549.5569999999998</v>
      </c>
      <c r="I57" s="162">
        <v>49</v>
      </c>
      <c r="J57" s="2"/>
      <c r="K57" s="14"/>
    </row>
    <row r="58" spans="3:15">
      <c r="E58" s="2"/>
      <c r="F58" s="159">
        <v>45592</v>
      </c>
      <c r="G58" s="160">
        <v>12652.25</v>
      </c>
      <c r="H58" s="160">
        <v>5662.777</v>
      </c>
      <c r="I58" s="162">
        <v>41</v>
      </c>
      <c r="J58" s="2"/>
      <c r="K58" s="14"/>
    </row>
    <row r="59" spans="3:15">
      <c r="E59" s="2"/>
      <c r="F59" s="159">
        <v>45593</v>
      </c>
      <c r="G59" s="160">
        <v>10052</v>
      </c>
      <c r="H59" s="160">
        <v>4478.1379999999999</v>
      </c>
      <c r="I59" s="162">
        <v>40</v>
      </c>
      <c r="J59" s="2"/>
      <c r="K59" s="14"/>
    </row>
    <row r="60" spans="3:15">
      <c r="E60" s="2"/>
      <c r="F60" s="159">
        <v>45594</v>
      </c>
      <c r="G60" s="160">
        <v>2344.5</v>
      </c>
      <c r="H60" s="160">
        <v>933.00310000000002</v>
      </c>
      <c r="I60" s="162">
        <v>43</v>
      </c>
      <c r="J60" s="2"/>
      <c r="K60" s="14"/>
    </row>
    <row r="61" spans="3:15">
      <c r="E61" s="2"/>
      <c r="F61" s="159">
        <v>45595</v>
      </c>
      <c r="G61" s="160">
        <v>3243</v>
      </c>
      <c r="H61" s="160">
        <v>1409.5050000000001</v>
      </c>
      <c r="I61" s="162">
        <v>52</v>
      </c>
      <c r="J61" s="2"/>
      <c r="K61" s="14"/>
    </row>
    <row r="62" spans="3:15" ht="15">
      <c r="E62" s="2"/>
      <c r="F62" s="159">
        <v>45596</v>
      </c>
      <c r="G62" s="160">
        <v>10194.25</v>
      </c>
      <c r="H62" s="160">
        <v>4790</v>
      </c>
      <c r="I62" s="162">
        <v>61</v>
      </c>
      <c r="J62" s="2"/>
      <c r="K62" s="14"/>
    </row>
    <row r="63" spans="3:15">
      <c r="F63" s="146"/>
      <c r="G63" s="138"/>
      <c r="H63" s="2"/>
      <c r="I63" s="2"/>
    </row>
    <row r="64" spans="3:15">
      <c r="C64" s="188" t="s">
        <v>34</v>
      </c>
      <c r="D64" s="189"/>
      <c r="E64" s="189"/>
      <c r="F64" s="189"/>
      <c r="G64" s="189"/>
      <c r="H64" s="189"/>
      <c r="I64" s="189"/>
      <c r="J64" s="189"/>
      <c r="K64" s="189"/>
      <c r="L64" s="190"/>
    </row>
    <row r="65" spans="3:12" ht="15" customHeight="1">
      <c r="C65" s="193"/>
      <c r="D65" s="194"/>
      <c r="E65" s="194"/>
      <c r="F65" s="194"/>
      <c r="G65" s="194"/>
      <c r="H65" s="194"/>
      <c r="I65" s="194"/>
      <c r="J65" s="194"/>
      <c r="K65" s="194"/>
      <c r="L65" s="195"/>
    </row>
    <row r="66" spans="3:12">
      <c r="C66" s="196"/>
      <c r="D66" s="197"/>
      <c r="E66" s="197"/>
      <c r="F66" s="197"/>
      <c r="G66" s="197"/>
      <c r="H66" s="197"/>
      <c r="I66" s="197"/>
      <c r="J66" s="197"/>
      <c r="K66" s="197"/>
      <c r="L66" s="198"/>
    </row>
    <row r="67" spans="3:12">
      <c r="C67" s="199"/>
      <c r="D67" s="200"/>
      <c r="E67" s="200"/>
      <c r="F67" s="200"/>
      <c r="G67" s="200"/>
      <c r="H67" s="200"/>
      <c r="I67" s="200"/>
      <c r="J67" s="200"/>
      <c r="K67" s="200"/>
      <c r="L67" s="201"/>
    </row>
    <row r="69" spans="3:12">
      <c r="C69" s="185" t="s">
        <v>35</v>
      </c>
      <c r="D69" s="186"/>
      <c r="E69" s="186"/>
      <c r="F69" s="186"/>
      <c r="G69" s="186"/>
      <c r="H69" s="186"/>
      <c r="I69" s="186"/>
      <c r="J69" s="186"/>
      <c r="K69" s="186"/>
      <c r="L69" s="187"/>
    </row>
    <row r="70" spans="3:12" ht="14.85" customHeight="1">
      <c r="C70" s="193"/>
      <c r="D70" s="194"/>
      <c r="E70" s="194"/>
      <c r="F70" s="194"/>
      <c r="G70" s="194"/>
      <c r="H70" s="194"/>
      <c r="I70" s="194"/>
      <c r="J70" s="194"/>
      <c r="K70" s="194"/>
      <c r="L70" s="195"/>
    </row>
    <row r="71" spans="3:12">
      <c r="C71" s="196"/>
      <c r="D71" s="197"/>
      <c r="E71" s="197"/>
      <c r="F71" s="197"/>
      <c r="G71" s="197"/>
      <c r="H71" s="197"/>
      <c r="I71" s="197"/>
      <c r="J71" s="197"/>
      <c r="K71" s="197"/>
      <c r="L71" s="198"/>
    </row>
    <row r="72" spans="3:12">
      <c r="C72" s="199"/>
      <c r="D72" s="200"/>
      <c r="E72" s="200"/>
      <c r="F72" s="200"/>
      <c r="G72" s="200"/>
      <c r="H72" s="200"/>
      <c r="I72" s="200"/>
      <c r="J72" s="200"/>
      <c r="K72" s="200"/>
      <c r="L72" s="201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9:L69"/>
    <mergeCell ref="C64:L64"/>
    <mergeCell ref="E13:I13"/>
    <mergeCell ref="F30:I30"/>
    <mergeCell ref="C70:L72"/>
    <mergeCell ref="C65:L67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4"/>
  <sheetViews>
    <sheetView tabSelected="1" topLeftCell="A51" zoomScale="85" zoomScaleNormal="85" workbookViewId="0">
      <selection activeCell="N37" sqref="N37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203" t="s">
        <v>36</v>
      </c>
      <c r="F1" s="203"/>
      <c r="G1" s="203"/>
      <c r="H1" s="203"/>
      <c r="I1" s="203"/>
      <c r="J1" s="203"/>
    </row>
    <row r="2" spans="3:18">
      <c r="E2" s="204" t="s">
        <v>23</v>
      </c>
      <c r="F2" s="204"/>
      <c r="G2" s="204"/>
      <c r="H2" s="204"/>
      <c r="I2" s="204"/>
      <c r="J2" s="204"/>
    </row>
    <row r="3" spans="3:18" ht="14.25" customHeight="1">
      <c r="E3" s="205" t="s">
        <v>24</v>
      </c>
      <c r="F3" s="206"/>
      <c r="G3" s="206"/>
      <c r="H3" s="206"/>
      <c r="I3" s="206"/>
      <c r="J3" s="206"/>
    </row>
    <row r="5" spans="3:18">
      <c r="C5" s="188" t="s">
        <v>25</v>
      </c>
      <c r="D5" s="189"/>
      <c r="E5" s="189"/>
      <c r="F5" s="189"/>
      <c r="G5" s="189"/>
      <c r="H5" s="189"/>
      <c r="I5" s="189"/>
      <c r="J5" s="189"/>
      <c r="K5" s="189"/>
      <c r="L5" s="190"/>
      <c r="R5" s="26"/>
    </row>
    <row r="6" spans="3:18">
      <c r="C6" s="20"/>
      <c r="D6" s="21"/>
      <c r="E6" s="181" t="s">
        <v>2</v>
      </c>
      <c r="F6" s="181"/>
      <c r="G6" s="181"/>
      <c r="H6" s="181"/>
      <c r="I6" s="181"/>
      <c r="J6" s="22">
        <f>SUM(G32:G62)</f>
        <v>394041.25</v>
      </c>
      <c r="K6" s="2"/>
      <c r="L6" s="23"/>
      <c r="R6" s="26"/>
    </row>
    <row r="7" spans="3:18">
      <c r="C7" s="3"/>
      <c r="D7" s="2"/>
      <c r="E7" s="191" t="s">
        <v>4</v>
      </c>
      <c r="F7" s="191"/>
      <c r="G7" s="191"/>
      <c r="H7" s="191"/>
      <c r="I7" s="191"/>
      <c r="J7" s="8">
        <f>'Predicted Data'!D14</f>
        <v>292225.09999999998</v>
      </c>
      <c r="K7" s="69"/>
      <c r="L7" s="4"/>
      <c r="R7" s="26"/>
    </row>
    <row r="8" spans="3:18" ht="16.149999999999999">
      <c r="C8" s="3"/>
      <c r="D8" s="2"/>
      <c r="E8" s="191" t="s">
        <v>6</v>
      </c>
      <c r="F8" s="191"/>
      <c r="G8" s="191"/>
      <c r="H8" s="191"/>
      <c r="I8" s="191"/>
      <c r="J8" s="8">
        <f>SUM(H32:H62)</f>
        <v>121252.80080000001</v>
      </c>
      <c r="K8" s="2"/>
      <c r="L8" s="4"/>
      <c r="R8" s="26"/>
    </row>
    <row r="9" spans="3:18" ht="16.149999999999999">
      <c r="C9" s="3"/>
      <c r="D9" s="2"/>
      <c r="E9" s="191" t="s">
        <v>8</v>
      </c>
      <c r="F9" s="191"/>
      <c r="G9" s="191"/>
      <c r="H9" s="191"/>
      <c r="I9" s="191"/>
      <c r="J9" s="79"/>
      <c r="K9" s="69"/>
      <c r="L9" s="4"/>
      <c r="R9" s="44"/>
    </row>
    <row r="10" spans="3:18">
      <c r="C10" s="3"/>
      <c r="D10" s="2"/>
      <c r="E10" s="191" t="s">
        <v>10</v>
      </c>
      <c r="F10" s="191"/>
      <c r="G10" s="191"/>
      <c r="H10" s="191"/>
      <c r="I10" s="191"/>
      <c r="J10" s="84">
        <f>'Plant Health'!E88</f>
        <v>349911.49000000005</v>
      </c>
      <c r="K10" s="2"/>
      <c r="L10" s="4"/>
      <c r="R10" s="26"/>
    </row>
    <row r="11" spans="3:18">
      <c r="C11" s="3"/>
      <c r="D11" s="2"/>
      <c r="E11" s="191" t="s">
        <v>12</v>
      </c>
      <c r="F11" s="191"/>
      <c r="G11" s="191"/>
      <c r="H11" s="191"/>
      <c r="I11" s="191"/>
      <c r="J11" s="31">
        <f>J6/J10</f>
        <v>1.1261169217392659</v>
      </c>
      <c r="K11" s="2"/>
      <c r="L11" s="4"/>
      <c r="R11" s="26"/>
    </row>
    <row r="12" spans="3:18">
      <c r="C12" s="3"/>
      <c r="D12" s="2"/>
      <c r="E12" s="191" t="s">
        <v>16</v>
      </c>
      <c r="F12" s="191"/>
      <c r="G12" s="191"/>
      <c r="H12" s="191"/>
      <c r="I12" s="191"/>
      <c r="J12" s="31">
        <f>J6/J7</f>
        <v>1.3484168539937194</v>
      </c>
      <c r="K12" s="2"/>
      <c r="L12" s="4"/>
      <c r="R12" s="26"/>
    </row>
    <row r="13" spans="3:18">
      <c r="C13" s="3"/>
      <c r="D13" s="2"/>
      <c r="E13" s="191" t="s">
        <v>18</v>
      </c>
      <c r="F13" s="191"/>
      <c r="G13" s="191"/>
      <c r="H13" s="191"/>
      <c r="I13" s="191"/>
      <c r="J13" s="31">
        <f>Availability!D47</f>
        <v>1</v>
      </c>
      <c r="K13" s="2"/>
      <c r="L13" s="4"/>
      <c r="R13" s="26"/>
    </row>
    <row r="14" spans="3:18">
      <c r="C14" s="5"/>
      <c r="D14" s="6"/>
      <c r="E14" s="202" t="s">
        <v>20</v>
      </c>
      <c r="F14" s="202"/>
      <c r="G14" s="202"/>
      <c r="H14" s="202"/>
      <c r="I14" s="202"/>
      <c r="J14" s="9">
        <f>Availability!D50</f>
        <v>0.99875000000000003</v>
      </c>
      <c r="K14" s="6"/>
      <c r="L14" s="7"/>
      <c r="R14" s="26"/>
    </row>
    <row r="15" spans="3:18">
      <c r="R15" s="26"/>
    </row>
    <row r="16" spans="3:18">
      <c r="C16" s="188" t="s">
        <v>27</v>
      </c>
      <c r="D16" s="189"/>
      <c r="E16" s="189"/>
      <c r="F16" s="189"/>
      <c r="G16" s="189"/>
      <c r="H16" s="189"/>
      <c r="I16" s="189"/>
      <c r="J16" s="189"/>
      <c r="K16" s="189"/>
      <c r="L16" s="190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207" t="s">
        <v>28</v>
      </c>
      <c r="G30" s="207"/>
      <c r="H30" s="207"/>
      <c r="I30" s="208"/>
      <c r="J30" s="11"/>
      <c r="K30" s="11"/>
      <c r="L30" s="11"/>
      <c r="R30" s="26"/>
    </row>
    <row r="31" spans="5:24" s="10" customFormat="1" ht="44.1" customHeight="1">
      <c r="E31" s="13"/>
      <c r="F31" s="139" t="s">
        <v>29</v>
      </c>
      <c r="G31" s="140" t="s">
        <v>30</v>
      </c>
      <c r="H31" s="144" t="s">
        <v>31</v>
      </c>
      <c r="I31" s="140" t="s">
        <v>32</v>
      </c>
      <c r="J31" s="12"/>
      <c r="K31" s="13"/>
      <c r="R31" s="45"/>
      <c r="X31"/>
    </row>
    <row r="32" spans="5:24">
      <c r="E32" s="2"/>
      <c r="F32" s="153">
        <v>45566</v>
      </c>
      <c r="G32" s="155">
        <v>9993.75</v>
      </c>
      <c r="H32" s="154">
        <v>3088.8409999999999</v>
      </c>
      <c r="I32" s="155">
        <v>60.07206</v>
      </c>
      <c r="J32" s="14"/>
      <c r="K32" s="14"/>
      <c r="R32" s="26"/>
    </row>
    <row r="33" spans="5:18">
      <c r="E33" s="2"/>
      <c r="F33" s="153">
        <v>45567</v>
      </c>
      <c r="G33" s="155">
        <v>11097.25</v>
      </c>
      <c r="H33" s="154">
        <v>3577.1410000000001</v>
      </c>
      <c r="I33" s="155">
        <v>58.626930000000002</v>
      </c>
      <c r="J33" s="14"/>
      <c r="K33" s="14"/>
      <c r="R33" s="26"/>
    </row>
    <row r="34" spans="5:18">
      <c r="E34" s="2"/>
      <c r="F34" s="153">
        <v>45568</v>
      </c>
      <c r="G34" s="155">
        <v>14584</v>
      </c>
      <c r="H34" s="154">
        <v>4735.7110000000002</v>
      </c>
      <c r="I34" s="155">
        <v>60.255600000000001</v>
      </c>
      <c r="J34" s="14"/>
      <c r="K34" s="14"/>
      <c r="R34" s="26"/>
    </row>
    <row r="35" spans="5:18">
      <c r="E35" s="2"/>
      <c r="F35" s="153">
        <v>45569</v>
      </c>
      <c r="G35" s="155">
        <v>13130.25</v>
      </c>
      <c r="H35" s="154">
        <v>4075.444</v>
      </c>
      <c r="I35" s="155">
        <v>61.979669999999999</v>
      </c>
      <c r="J35" s="14"/>
      <c r="K35" s="14"/>
      <c r="R35" s="26"/>
    </row>
    <row r="36" spans="5:18">
      <c r="E36" s="2"/>
      <c r="F36" s="153">
        <v>45570</v>
      </c>
      <c r="G36" s="155">
        <v>15223.75</v>
      </c>
      <c r="H36" s="154">
        <v>4677.5829999999996</v>
      </c>
      <c r="I36" s="155">
        <v>61.151200000000003</v>
      </c>
      <c r="J36" s="14"/>
      <c r="K36" s="14"/>
      <c r="R36" s="26"/>
    </row>
    <row r="37" spans="5:18">
      <c r="E37" s="2"/>
      <c r="F37" s="153">
        <v>45571</v>
      </c>
      <c r="G37" s="155">
        <v>17483.5</v>
      </c>
      <c r="H37" s="154">
        <v>5493.2359999999999</v>
      </c>
      <c r="I37" s="155">
        <v>56.33032</v>
      </c>
      <c r="J37" s="14"/>
      <c r="K37" s="14"/>
      <c r="R37" s="26"/>
    </row>
    <row r="38" spans="5:18">
      <c r="E38" s="2"/>
      <c r="F38" s="153">
        <v>45572</v>
      </c>
      <c r="G38" s="155">
        <v>3449.75</v>
      </c>
      <c r="H38" s="154">
        <v>1055.5309999999999</v>
      </c>
      <c r="I38" s="155">
        <v>57.313200000000002</v>
      </c>
      <c r="J38" s="14"/>
      <c r="K38" s="14"/>
    </row>
    <row r="39" spans="5:18">
      <c r="E39" s="2"/>
      <c r="F39" s="153">
        <v>45573</v>
      </c>
      <c r="G39" s="155">
        <v>16746.5</v>
      </c>
      <c r="H39" s="154">
        <v>5168.5119999999997</v>
      </c>
      <c r="I39" s="155">
        <v>52.673929999999999</v>
      </c>
      <c r="J39" s="14"/>
      <c r="K39" s="14"/>
    </row>
    <row r="40" spans="5:18">
      <c r="E40" s="2"/>
      <c r="F40" s="153">
        <v>45574</v>
      </c>
      <c r="G40" s="155">
        <v>11777.75</v>
      </c>
      <c r="H40" s="154">
        <v>3706.9270000000001</v>
      </c>
      <c r="I40" s="155">
        <v>51.67944</v>
      </c>
      <c r="J40" s="14"/>
      <c r="K40" s="14"/>
    </row>
    <row r="41" spans="5:18">
      <c r="E41" s="2"/>
      <c r="F41" s="153">
        <v>45575</v>
      </c>
      <c r="G41" s="155">
        <v>16513.25</v>
      </c>
      <c r="H41" s="154">
        <v>5001.1989999999996</v>
      </c>
      <c r="I41" s="155">
        <v>48.603529999999999</v>
      </c>
      <c r="J41" s="14"/>
      <c r="K41" s="14"/>
    </row>
    <row r="42" spans="5:18">
      <c r="E42" s="2"/>
      <c r="F42" s="153">
        <v>45576</v>
      </c>
      <c r="G42" s="155">
        <v>16815.75</v>
      </c>
      <c r="H42" s="154">
        <v>5145.18</v>
      </c>
      <c r="I42" s="155">
        <v>49.7697</v>
      </c>
      <c r="J42" s="14"/>
      <c r="K42" s="14"/>
    </row>
    <row r="43" spans="5:18">
      <c r="E43" s="2"/>
      <c r="F43" s="153">
        <v>45577</v>
      </c>
      <c r="G43" s="155">
        <v>16969</v>
      </c>
      <c r="H43" s="154">
        <v>5192.509</v>
      </c>
      <c r="I43" s="155">
        <v>57.844250000000002</v>
      </c>
      <c r="J43" s="14"/>
      <c r="K43" s="14"/>
    </row>
    <row r="44" spans="5:18">
      <c r="E44" s="2"/>
      <c r="F44" s="153">
        <v>45578</v>
      </c>
      <c r="G44" s="155">
        <v>2854.75</v>
      </c>
      <c r="H44" s="154">
        <v>818.34280000000001</v>
      </c>
      <c r="I44" s="155">
        <v>45.645499999999998</v>
      </c>
      <c r="J44" s="14"/>
      <c r="K44" s="14"/>
    </row>
    <row r="45" spans="5:18">
      <c r="E45" s="2"/>
      <c r="F45" s="153">
        <v>45579</v>
      </c>
      <c r="G45" s="155">
        <v>3798.75</v>
      </c>
      <c r="H45" s="154">
        <v>1136.78</v>
      </c>
      <c r="I45" s="155">
        <v>49.39002</v>
      </c>
      <c r="J45" s="14"/>
      <c r="K45" s="14"/>
    </row>
    <row r="46" spans="5:18">
      <c r="E46" s="2"/>
      <c r="F46" s="153">
        <v>45580</v>
      </c>
      <c r="G46" s="155">
        <v>15356.5</v>
      </c>
      <c r="H46" s="154">
        <v>4753.3919999999998</v>
      </c>
      <c r="I46" s="155">
        <v>43.702910000000003</v>
      </c>
      <c r="J46" s="14"/>
      <c r="K46" s="14"/>
    </row>
    <row r="47" spans="5:18">
      <c r="E47" s="2"/>
      <c r="F47" s="153">
        <v>45581</v>
      </c>
      <c r="G47" s="155">
        <v>14888.5</v>
      </c>
      <c r="H47" s="154">
        <v>4574.8559999999998</v>
      </c>
      <c r="I47" s="155">
        <v>44.62135</v>
      </c>
      <c r="J47" s="14"/>
      <c r="K47" s="14"/>
    </row>
    <row r="48" spans="5:18">
      <c r="E48" s="2"/>
      <c r="F48" s="153">
        <v>45582</v>
      </c>
      <c r="G48" s="155">
        <v>12518.25</v>
      </c>
      <c r="H48" s="154">
        <v>3697.5479999999998</v>
      </c>
      <c r="I48" s="155">
        <v>41.875480000000003</v>
      </c>
      <c r="J48" s="14"/>
      <c r="K48" s="14"/>
    </row>
    <row r="49" spans="5:11">
      <c r="E49" s="2"/>
      <c r="F49" s="153">
        <v>45583</v>
      </c>
      <c r="G49" s="155">
        <v>16136.25</v>
      </c>
      <c r="H49" s="154">
        <v>4885.6670000000004</v>
      </c>
      <c r="I49" s="155">
        <v>47.299840000000003</v>
      </c>
      <c r="J49" s="14"/>
      <c r="K49" s="14"/>
    </row>
    <row r="50" spans="5:11">
      <c r="E50" s="2"/>
      <c r="F50" s="153">
        <v>45584</v>
      </c>
      <c r="G50" s="155">
        <v>15473.25</v>
      </c>
      <c r="H50" s="154">
        <v>4833.3410000000003</v>
      </c>
      <c r="I50" s="155">
        <v>50.168430000000001</v>
      </c>
      <c r="J50" s="14"/>
      <c r="K50" s="14"/>
    </row>
    <row r="51" spans="5:11">
      <c r="E51" s="2"/>
      <c r="F51" s="153">
        <v>45585</v>
      </c>
      <c r="G51" s="155">
        <v>15780.25</v>
      </c>
      <c r="H51" s="154">
        <v>4964.0349999999999</v>
      </c>
      <c r="I51" s="155">
        <v>53.28725</v>
      </c>
      <c r="J51" s="14"/>
      <c r="K51" s="14"/>
    </row>
    <row r="52" spans="5:11">
      <c r="E52" s="2"/>
      <c r="F52" s="153">
        <v>45586</v>
      </c>
      <c r="G52" s="155">
        <v>13853.5</v>
      </c>
      <c r="H52" s="154">
        <v>4327.9250000000002</v>
      </c>
      <c r="I52" s="155">
        <v>61.923360000000002</v>
      </c>
      <c r="J52" s="14"/>
      <c r="K52" s="14"/>
    </row>
    <row r="53" spans="5:11">
      <c r="E53" s="2"/>
      <c r="F53" s="153">
        <v>45587</v>
      </c>
      <c r="G53" s="155">
        <v>13896</v>
      </c>
      <c r="H53" s="154">
        <v>4363.0540000000001</v>
      </c>
      <c r="I53" s="155">
        <v>65.211359999999999</v>
      </c>
      <c r="J53" s="14"/>
      <c r="K53" s="14"/>
    </row>
    <row r="54" spans="5:11">
      <c r="E54" s="2"/>
      <c r="F54" s="153">
        <v>45588</v>
      </c>
      <c r="G54" s="155">
        <v>12639</v>
      </c>
      <c r="H54" s="154">
        <v>3849.297</v>
      </c>
      <c r="I54" s="155">
        <v>61.370060000000002</v>
      </c>
      <c r="J54" s="14"/>
      <c r="K54" s="14"/>
    </row>
    <row r="55" spans="5:11">
      <c r="E55" s="2"/>
      <c r="F55" s="153">
        <v>45589</v>
      </c>
      <c r="G55" s="155">
        <v>10609</v>
      </c>
      <c r="H55" s="154">
        <v>3196.7060000000001</v>
      </c>
      <c r="I55" s="155">
        <v>60.621510000000001</v>
      </c>
      <c r="J55" s="14"/>
      <c r="K55" s="14"/>
    </row>
    <row r="56" spans="5:11">
      <c r="E56" s="2"/>
      <c r="F56" s="153">
        <v>45590</v>
      </c>
      <c r="G56" s="155">
        <v>15153.75</v>
      </c>
      <c r="H56" s="154">
        <v>4646.9470000000001</v>
      </c>
      <c r="I56" s="155">
        <v>49.155320000000003</v>
      </c>
      <c r="J56" s="14"/>
      <c r="K56" s="14"/>
    </row>
    <row r="57" spans="5:11">
      <c r="E57" s="2"/>
      <c r="F57" s="153">
        <v>45591</v>
      </c>
      <c r="G57" s="155">
        <v>11747.25</v>
      </c>
      <c r="H57" s="154">
        <v>3516.6350000000002</v>
      </c>
      <c r="I57" s="155">
        <v>50.706270000000004</v>
      </c>
      <c r="J57" s="14"/>
      <c r="K57" s="14"/>
    </row>
    <row r="58" spans="5:11">
      <c r="E58" s="2"/>
      <c r="F58" s="153">
        <v>45592</v>
      </c>
      <c r="G58" s="155">
        <v>15408</v>
      </c>
      <c r="H58" s="154">
        <v>4669.7449999999999</v>
      </c>
      <c r="I58" s="155">
        <v>41.642510000000001</v>
      </c>
      <c r="J58" s="14"/>
      <c r="K58" s="14"/>
    </row>
    <row r="59" spans="5:11">
      <c r="E59" s="2"/>
      <c r="F59" s="153">
        <v>45593</v>
      </c>
      <c r="G59" s="155">
        <v>12339.5</v>
      </c>
      <c r="H59" s="154">
        <v>3694.9189999999999</v>
      </c>
      <c r="I59" s="155">
        <v>41.173020000000001</v>
      </c>
      <c r="J59" s="14"/>
      <c r="K59" s="14"/>
    </row>
    <row r="60" spans="5:11">
      <c r="E60" s="2"/>
      <c r="F60" s="153">
        <v>45594</v>
      </c>
      <c r="G60" s="155">
        <v>8539</v>
      </c>
      <c r="H60" s="154">
        <v>2534.5349999999999</v>
      </c>
      <c r="I60" s="155">
        <v>46.360840000000003</v>
      </c>
      <c r="J60" s="14"/>
      <c r="K60" s="14"/>
    </row>
    <row r="61" spans="5:11">
      <c r="E61" s="2"/>
      <c r="F61" s="164">
        <v>45595</v>
      </c>
      <c r="G61" s="165">
        <v>8935.75</v>
      </c>
      <c r="H61" s="166">
        <v>2691.1790000000001</v>
      </c>
      <c r="I61" s="165">
        <v>59.963380000000001</v>
      </c>
      <c r="J61" s="14"/>
      <c r="K61" s="14"/>
    </row>
    <row r="62" spans="5:11">
      <c r="F62" s="167">
        <v>45596</v>
      </c>
      <c r="G62" s="168">
        <v>10329.5</v>
      </c>
      <c r="H62" s="168">
        <v>3180.0830000000001</v>
      </c>
      <c r="I62" s="1">
        <v>64</v>
      </c>
    </row>
    <row r="63" spans="5:11">
      <c r="F63" s="163"/>
      <c r="G63" s="2"/>
      <c r="H63" s="2"/>
      <c r="I63" s="2"/>
    </row>
    <row r="64" spans="5:11">
      <c r="F64" s="141"/>
      <c r="G64" s="2"/>
      <c r="H64" s="2"/>
      <c r="I64" s="2"/>
    </row>
    <row r="65" spans="3:12">
      <c r="C65" s="185" t="s">
        <v>34</v>
      </c>
      <c r="D65" s="186"/>
      <c r="E65" s="186"/>
      <c r="F65" s="186"/>
      <c r="G65" s="186"/>
      <c r="H65" s="186"/>
      <c r="I65" s="186"/>
      <c r="J65" s="186"/>
      <c r="K65" s="186"/>
      <c r="L65" s="187"/>
    </row>
    <row r="66" spans="3:12" ht="15" customHeight="1">
      <c r="C66" s="193"/>
      <c r="D66" s="194"/>
      <c r="E66" s="194"/>
      <c r="F66" s="194"/>
      <c r="G66" s="194"/>
      <c r="H66" s="194"/>
      <c r="I66" s="194"/>
      <c r="J66" s="194"/>
      <c r="K66" s="194"/>
      <c r="L66" s="195"/>
    </row>
    <row r="67" spans="3:12">
      <c r="C67" s="196"/>
      <c r="D67" s="197"/>
      <c r="E67" s="197"/>
      <c r="F67" s="197"/>
      <c r="G67" s="197"/>
      <c r="H67" s="197"/>
      <c r="I67" s="197"/>
      <c r="J67" s="197"/>
      <c r="K67" s="197"/>
      <c r="L67" s="198"/>
    </row>
    <row r="68" spans="3:12">
      <c r="C68" s="199"/>
      <c r="D68" s="200"/>
      <c r="E68" s="200"/>
      <c r="F68" s="200"/>
      <c r="G68" s="200"/>
      <c r="H68" s="200"/>
      <c r="I68" s="200"/>
      <c r="J68" s="200"/>
      <c r="K68" s="200"/>
      <c r="L68" s="201"/>
    </row>
    <row r="69" spans="3:12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>
      <c r="C70" s="185" t="s">
        <v>35</v>
      </c>
      <c r="D70" s="186"/>
      <c r="E70" s="186"/>
      <c r="F70" s="186"/>
      <c r="G70" s="186"/>
      <c r="H70" s="186"/>
      <c r="I70" s="186"/>
      <c r="J70" s="186"/>
      <c r="K70" s="186"/>
      <c r="L70" s="187"/>
    </row>
    <row r="71" spans="3:12" ht="14.85" customHeight="1">
      <c r="C71" s="193"/>
      <c r="D71" s="194"/>
      <c r="E71" s="194"/>
      <c r="F71" s="194"/>
      <c r="G71" s="194"/>
      <c r="H71" s="194"/>
      <c r="I71" s="194"/>
      <c r="J71" s="194"/>
      <c r="K71" s="194"/>
      <c r="L71" s="195"/>
    </row>
    <row r="72" spans="3:12">
      <c r="C72" s="196"/>
      <c r="D72" s="197"/>
      <c r="E72" s="197"/>
      <c r="F72" s="197"/>
      <c r="G72" s="197"/>
      <c r="H72" s="197"/>
      <c r="I72" s="197"/>
      <c r="J72" s="197"/>
      <c r="K72" s="197"/>
      <c r="L72" s="198"/>
    </row>
    <row r="73" spans="3:12">
      <c r="C73" s="199"/>
      <c r="D73" s="200"/>
      <c r="E73" s="200"/>
      <c r="F73" s="200"/>
      <c r="G73" s="200"/>
      <c r="H73" s="200"/>
      <c r="I73" s="200"/>
      <c r="J73" s="200"/>
      <c r="K73" s="200"/>
      <c r="L73" s="201"/>
    </row>
    <row r="74" spans="3:12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E1:J1"/>
    <mergeCell ref="E2:J2"/>
    <mergeCell ref="E3:J3"/>
    <mergeCell ref="E8:I8"/>
    <mergeCell ref="E9:I9"/>
    <mergeCell ref="E6:I6"/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T73"/>
  <sheetViews>
    <sheetView topLeftCell="A10" zoomScale="80" zoomScaleNormal="80" workbookViewId="0">
      <selection activeCell="N55" sqref="N55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27" t="s">
        <v>37</v>
      </c>
      <c r="F1" s="227"/>
      <c r="G1" s="227"/>
      <c r="H1" s="227"/>
      <c r="I1" s="227"/>
      <c r="J1" s="227"/>
    </row>
    <row r="2" spans="3:13">
      <c r="E2" s="228" t="s">
        <v>23</v>
      </c>
      <c r="F2" s="228"/>
      <c r="G2" s="228"/>
      <c r="H2" s="228"/>
      <c r="I2" s="228"/>
      <c r="J2" s="228"/>
    </row>
    <row r="3" spans="3:13" ht="14.25" customHeight="1">
      <c r="E3" s="205" t="s">
        <v>38</v>
      </c>
      <c r="F3" s="206"/>
      <c r="G3" s="206"/>
      <c r="H3" s="206"/>
      <c r="I3" s="206"/>
      <c r="J3" s="206"/>
    </row>
    <row r="5" spans="3:13">
      <c r="C5" s="219" t="s">
        <v>25</v>
      </c>
      <c r="D5" s="220"/>
      <c r="E5" s="220"/>
      <c r="F5" s="220"/>
      <c r="G5" s="220"/>
      <c r="H5" s="220"/>
      <c r="I5" s="220"/>
      <c r="J5" s="220"/>
      <c r="K5" s="220"/>
      <c r="L5" s="221"/>
    </row>
    <row r="6" spans="3:13">
      <c r="C6" s="107"/>
      <c r="D6" s="108"/>
      <c r="E6" s="229" t="s">
        <v>2</v>
      </c>
      <c r="F6" s="229"/>
      <c r="G6" s="229"/>
      <c r="H6" s="229"/>
      <c r="I6" s="229"/>
      <c r="J6" s="109">
        <f>SUM(G32:G62)</f>
        <v>496884</v>
      </c>
      <c r="K6" s="108"/>
      <c r="L6" s="110"/>
    </row>
    <row r="7" spans="3:13">
      <c r="C7" s="111"/>
      <c r="E7" s="226" t="s">
        <v>4</v>
      </c>
      <c r="F7" s="226"/>
      <c r="G7" s="226"/>
      <c r="H7" s="226"/>
      <c r="I7" s="226"/>
      <c r="J7" s="112">
        <f>'Predicted Data'!D38</f>
        <v>426835</v>
      </c>
      <c r="K7" s="113"/>
      <c r="L7" s="114"/>
    </row>
    <row r="8" spans="3:13" ht="16.149999999999999">
      <c r="C8" s="111"/>
      <c r="E8" s="226" t="s">
        <v>6</v>
      </c>
      <c r="F8" s="226"/>
      <c r="G8" s="226"/>
      <c r="H8" s="226"/>
      <c r="I8" s="226"/>
      <c r="J8" s="112">
        <f>SUM(H32:H62)</f>
        <v>185656.01700000002</v>
      </c>
      <c r="L8" s="114"/>
    </row>
    <row r="9" spans="3:13" ht="16.149999999999999">
      <c r="C9" s="111"/>
      <c r="E9" s="226" t="s">
        <v>8</v>
      </c>
      <c r="F9" s="226"/>
      <c r="G9" s="226"/>
      <c r="H9" s="226"/>
      <c r="I9" s="226"/>
      <c r="J9" s="115"/>
      <c r="K9" s="113"/>
      <c r="L9" s="114"/>
    </row>
    <row r="10" spans="3:13">
      <c r="C10" s="111"/>
      <c r="E10" s="226" t="s">
        <v>10</v>
      </c>
      <c r="F10" s="226"/>
      <c r="G10" s="226"/>
      <c r="H10" s="226"/>
      <c r="I10" s="226"/>
      <c r="J10" s="116">
        <f>'Plant Health'!K88</f>
        <v>462332.13900000008</v>
      </c>
      <c r="L10" s="114"/>
    </row>
    <row r="11" spans="3:13">
      <c r="C11" s="111"/>
      <c r="E11" s="226" t="s">
        <v>12</v>
      </c>
      <c r="F11" s="226"/>
      <c r="G11" s="226"/>
      <c r="H11" s="226"/>
      <c r="I11" s="226"/>
      <c r="J11" s="117">
        <f>J6/J10</f>
        <v>1.0747338505922035</v>
      </c>
      <c r="L11" s="114"/>
      <c r="M11" s="118"/>
    </row>
    <row r="12" spans="3:13">
      <c r="C12" s="111"/>
      <c r="E12" s="226" t="s">
        <v>16</v>
      </c>
      <c r="F12" s="226"/>
      <c r="G12" s="226"/>
      <c r="H12" s="226"/>
      <c r="I12" s="226"/>
      <c r="J12" s="117">
        <f>J6/J7</f>
        <v>1.1641125962022796</v>
      </c>
      <c r="L12" s="114"/>
    </row>
    <row r="13" spans="3:13">
      <c r="C13" s="111"/>
      <c r="E13" s="226" t="s">
        <v>18</v>
      </c>
      <c r="F13" s="226"/>
      <c r="G13" s="226"/>
      <c r="H13" s="226"/>
      <c r="I13" s="226"/>
      <c r="J13" s="117">
        <f>Availability!F47</f>
        <v>0.97189999999999999</v>
      </c>
      <c r="L13" s="114"/>
    </row>
    <row r="14" spans="3:13">
      <c r="C14" s="119"/>
      <c r="D14" s="120"/>
      <c r="E14" s="218" t="s">
        <v>20</v>
      </c>
      <c r="F14" s="218"/>
      <c r="G14" s="218"/>
      <c r="H14" s="218"/>
      <c r="I14" s="218"/>
      <c r="J14" s="121">
        <f>Availability!F50</f>
        <v>0.99674999999999991</v>
      </c>
      <c r="K14" s="120"/>
      <c r="L14" s="122"/>
    </row>
    <row r="16" spans="3:13">
      <c r="C16" s="219" t="s">
        <v>27</v>
      </c>
      <c r="D16" s="220"/>
      <c r="E16" s="220"/>
      <c r="F16" s="220"/>
      <c r="G16" s="220"/>
      <c r="H16" s="220"/>
      <c r="I16" s="220"/>
      <c r="J16" s="220"/>
      <c r="K16" s="220"/>
      <c r="L16" s="221"/>
    </row>
    <row r="30" spans="5:12">
      <c r="E30" s="123"/>
      <c r="F30" s="222" t="s">
        <v>28</v>
      </c>
      <c r="G30" s="222"/>
      <c r="H30" s="222"/>
      <c r="I30" s="222"/>
      <c r="J30" s="123"/>
      <c r="K30" s="123"/>
      <c r="L30" s="123"/>
    </row>
    <row r="31" spans="5:12" s="127" customFormat="1" ht="44.1" customHeight="1">
      <c r="E31" s="124"/>
      <c r="F31" s="125" t="s">
        <v>29</v>
      </c>
      <c r="G31" s="143" t="s">
        <v>30</v>
      </c>
      <c r="H31" s="143" t="s">
        <v>31</v>
      </c>
      <c r="I31" s="126" t="s">
        <v>32</v>
      </c>
      <c r="K31" s="124"/>
    </row>
    <row r="32" spans="5:12">
      <c r="F32" s="142">
        <v>45566</v>
      </c>
      <c r="G32" s="154">
        <v>19990</v>
      </c>
      <c r="H32" s="155">
        <v>7451.1019999999999</v>
      </c>
      <c r="I32" s="155">
        <v>77.947280000000006</v>
      </c>
      <c r="K32" s="128"/>
    </row>
    <row r="33" spans="6:11">
      <c r="F33" s="142">
        <v>45567</v>
      </c>
      <c r="G33" s="154">
        <v>19100</v>
      </c>
      <c r="H33" s="155">
        <v>6993.9309999999996</v>
      </c>
      <c r="I33" s="155">
        <v>77.507480000000001</v>
      </c>
      <c r="K33" s="128"/>
    </row>
    <row r="34" spans="6:11">
      <c r="F34" s="142">
        <v>45568</v>
      </c>
      <c r="G34" s="154">
        <v>18863</v>
      </c>
      <c r="H34" s="155">
        <v>6890.52</v>
      </c>
      <c r="I34" s="155">
        <v>81.898210000000006</v>
      </c>
      <c r="K34" s="128"/>
    </row>
    <row r="35" spans="6:11">
      <c r="F35" s="142">
        <v>45569</v>
      </c>
      <c r="G35" s="154">
        <v>19135</v>
      </c>
      <c r="H35" s="155">
        <v>7054.0219999999999</v>
      </c>
      <c r="I35" s="155">
        <v>78.071110000000004</v>
      </c>
      <c r="K35" s="128"/>
    </row>
    <row r="36" spans="6:11">
      <c r="F36" s="142">
        <v>45570</v>
      </c>
      <c r="G36" s="154">
        <v>15000</v>
      </c>
      <c r="H36" s="155">
        <v>5400.1030000000001</v>
      </c>
      <c r="I36" s="155">
        <v>76.003450000000001</v>
      </c>
      <c r="K36" s="128"/>
    </row>
    <row r="37" spans="6:11">
      <c r="F37" s="142">
        <v>45571</v>
      </c>
      <c r="G37" s="154">
        <v>18059</v>
      </c>
      <c r="H37" s="155">
        <v>6813.9780000000001</v>
      </c>
      <c r="I37" s="155">
        <v>78.806849999999997</v>
      </c>
      <c r="K37" s="128"/>
    </row>
    <row r="38" spans="6:11">
      <c r="F38" s="142">
        <v>45572</v>
      </c>
      <c r="G38" s="154">
        <v>17811</v>
      </c>
      <c r="H38" s="155">
        <v>6505.634</v>
      </c>
      <c r="I38" s="155">
        <v>76.802719999999994</v>
      </c>
      <c r="K38" s="128"/>
    </row>
    <row r="39" spans="6:11">
      <c r="F39" s="142">
        <v>45573</v>
      </c>
      <c r="G39" s="154">
        <v>17623</v>
      </c>
      <c r="H39" s="155">
        <v>6403.3760000000002</v>
      </c>
      <c r="I39" s="155">
        <v>73.909639999999996</v>
      </c>
      <c r="K39" s="128"/>
    </row>
    <row r="40" spans="6:11">
      <c r="F40" s="142">
        <v>45574</v>
      </c>
      <c r="G40" s="154">
        <v>17584</v>
      </c>
      <c r="H40" s="155">
        <v>6409.183</v>
      </c>
      <c r="I40" s="155">
        <v>75.363330000000005</v>
      </c>
      <c r="K40" s="128"/>
    </row>
    <row r="41" spans="6:11">
      <c r="F41" s="142">
        <v>45575</v>
      </c>
      <c r="G41" s="154">
        <v>17281</v>
      </c>
      <c r="H41" s="155">
        <v>6311.6009999999997</v>
      </c>
      <c r="I41" s="155">
        <v>79.007949999999994</v>
      </c>
      <c r="K41" s="128"/>
    </row>
    <row r="42" spans="6:11">
      <c r="F42" s="142">
        <v>45576</v>
      </c>
      <c r="G42" s="154">
        <v>14992</v>
      </c>
      <c r="H42" s="155">
        <v>5435.7240000000002</v>
      </c>
      <c r="I42" s="155">
        <v>79.464420000000004</v>
      </c>
      <c r="K42" s="128"/>
    </row>
    <row r="43" spans="6:11">
      <c r="F43" s="142">
        <v>45577</v>
      </c>
      <c r="G43" s="154">
        <v>16503</v>
      </c>
      <c r="H43" s="155">
        <v>6141.4440000000004</v>
      </c>
      <c r="I43" s="155">
        <v>81.750780000000006</v>
      </c>
      <c r="K43" s="128"/>
    </row>
    <row r="44" spans="6:11">
      <c r="F44" s="142">
        <v>45578</v>
      </c>
      <c r="G44" s="154">
        <v>17331</v>
      </c>
      <c r="H44" s="155">
        <v>6502.348</v>
      </c>
      <c r="I44" s="155">
        <v>79.729439999999997</v>
      </c>
      <c r="K44" s="128"/>
    </row>
    <row r="45" spans="6:11">
      <c r="F45" s="142">
        <v>45579</v>
      </c>
      <c r="G45" s="154">
        <v>17140</v>
      </c>
      <c r="H45" s="155">
        <v>6296.3190000000004</v>
      </c>
      <c r="I45" s="155">
        <v>72.586429999999993</v>
      </c>
      <c r="K45" s="128"/>
    </row>
    <row r="46" spans="6:11">
      <c r="F46" s="142">
        <v>45580</v>
      </c>
      <c r="G46" s="154">
        <v>16766</v>
      </c>
      <c r="H46" s="155">
        <v>6293.7380000000003</v>
      </c>
      <c r="I46" s="155">
        <v>74.390389999999996</v>
      </c>
      <c r="K46" s="128"/>
    </row>
    <row r="47" spans="6:11">
      <c r="F47" s="142">
        <v>45581</v>
      </c>
      <c r="G47" s="154">
        <v>19151</v>
      </c>
      <c r="H47" s="155">
        <v>7229.9189999999999</v>
      </c>
      <c r="I47" s="155">
        <v>60.106209999999997</v>
      </c>
      <c r="K47" s="128"/>
    </row>
    <row r="48" spans="6:11">
      <c r="F48" s="142">
        <v>45582</v>
      </c>
      <c r="G48" s="154">
        <v>18031</v>
      </c>
      <c r="H48" s="155">
        <v>6664.192</v>
      </c>
      <c r="I48" s="155">
        <v>59.35772</v>
      </c>
      <c r="K48" s="128"/>
    </row>
    <row r="49" spans="6:20">
      <c r="F49" s="142">
        <v>45583</v>
      </c>
      <c r="G49" s="154">
        <v>16887</v>
      </c>
      <c r="H49" s="155">
        <v>5911.085</v>
      </c>
      <c r="I49" s="155">
        <v>66.603070000000002</v>
      </c>
      <c r="K49" s="128"/>
    </row>
    <row r="50" spans="6:20">
      <c r="F50" s="142">
        <v>45584</v>
      </c>
      <c r="G50" s="154">
        <v>1296</v>
      </c>
      <c r="H50" s="155">
        <v>4314.0450000000001</v>
      </c>
      <c r="I50" s="155">
        <v>66.763829999999999</v>
      </c>
      <c r="K50" s="128"/>
    </row>
    <row r="51" spans="6:20">
      <c r="F51" s="142">
        <v>45585</v>
      </c>
      <c r="G51" s="154">
        <v>17775</v>
      </c>
      <c r="H51" s="155">
        <v>6416.3739999999998</v>
      </c>
      <c r="I51" s="155">
        <v>64.461250000000007</v>
      </c>
      <c r="K51" s="128"/>
    </row>
    <row r="52" spans="6:20">
      <c r="F52" s="142">
        <v>45586</v>
      </c>
      <c r="G52" s="154">
        <v>17881</v>
      </c>
      <c r="H52" s="155">
        <v>6464.1540000000005</v>
      </c>
      <c r="I52" s="155">
        <v>69.878640000000004</v>
      </c>
      <c r="K52" s="128"/>
    </row>
    <row r="53" spans="6:20">
      <c r="F53" s="142">
        <v>45587</v>
      </c>
      <c r="G53" s="154">
        <v>16285</v>
      </c>
      <c r="H53" s="155">
        <v>5894.1279999999997</v>
      </c>
      <c r="I53" s="155">
        <v>77.385279999999995</v>
      </c>
      <c r="K53" s="128"/>
    </row>
    <row r="54" spans="6:20">
      <c r="F54" s="142">
        <v>45588</v>
      </c>
      <c r="G54" s="154">
        <v>16179</v>
      </c>
      <c r="H54" s="155">
        <v>5852.2349999999997</v>
      </c>
      <c r="I54" s="155">
        <v>79.736239999999995</v>
      </c>
      <c r="K54" s="128"/>
    </row>
    <row r="55" spans="6:20">
      <c r="F55" s="142">
        <v>45589</v>
      </c>
      <c r="G55" s="154">
        <v>16547</v>
      </c>
      <c r="H55" s="155">
        <v>6044.4989999999998</v>
      </c>
      <c r="I55" s="155">
        <v>79.267610000000005</v>
      </c>
      <c r="K55" s="128"/>
    </row>
    <row r="56" spans="6:20">
      <c r="F56" s="142">
        <v>45590</v>
      </c>
      <c r="G56" s="154">
        <v>15201</v>
      </c>
      <c r="H56" s="155">
        <v>5559.9579999999996</v>
      </c>
      <c r="I56" s="155">
        <v>78.279640000000001</v>
      </c>
      <c r="K56" s="128"/>
    </row>
    <row r="57" spans="6:20">
      <c r="F57" s="142">
        <v>45591</v>
      </c>
      <c r="G57" s="154">
        <v>15918</v>
      </c>
      <c r="H57" s="155">
        <v>5828.8339999999998</v>
      </c>
      <c r="I57" s="155">
        <v>72.702340000000007</v>
      </c>
      <c r="K57" s="128"/>
      <c r="R57" s="112"/>
      <c r="S57" s="112"/>
      <c r="T57" s="112"/>
    </row>
    <row r="58" spans="6:20">
      <c r="F58" s="142">
        <v>45592</v>
      </c>
      <c r="G58" s="154">
        <v>14875</v>
      </c>
      <c r="H58" s="155">
        <v>5384.8029999999999</v>
      </c>
      <c r="I58" s="155">
        <v>72.324629999999999</v>
      </c>
      <c r="K58" s="128"/>
    </row>
    <row r="59" spans="6:20">
      <c r="F59" s="142">
        <v>45593</v>
      </c>
      <c r="G59" s="154">
        <v>15542</v>
      </c>
      <c r="H59" s="155">
        <v>5682.9340000000002</v>
      </c>
      <c r="I59" s="155">
        <v>79.090419999999995</v>
      </c>
      <c r="K59" s="128"/>
      <c r="R59" s="112"/>
      <c r="S59" s="112"/>
      <c r="T59" s="112"/>
    </row>
    <row r="60" spans="6:20">
      <c r="F60" s="142">
        <v>45594</v>
      </c>
      <c r="G60" s="154">
        <v>9759</v>
      </c>
      <c r="H60" s="155">
        <v>3598.2530000000002</v>
      </c>
      <c r="I60" s="155">
        <v>79.408450000000002</v>
      </c>
      <c r="K60" s="128"/>
    </row>
    <row r="61" spans="6:20">
      <c r="F61" s="142">
        <v>45595</v>
      </c>
      <c r="G61" s="166">
        <v>6588</v>
      </c>
      <c r="H61" s="165">
        <v>2131.5810000000001</v>
      </c>
      <c r="I61" s="165">
        <v>80.601380000000006</v>
      </c>
      <c r="K61" s="128"/>
    </row>
    <row r="62" spans="6:20">
      <c r="F62" s="167">
        <v>45596</v>
      </c>
      <c r="G62" s="168">
        <v>15791</v>
      </c>
      <c r="H62" s="168">
        <v>5776</v>
      </c>
      <c r="I62" s="168">
        <v>65.175160000000005</v>
      </c>
    </row>
    <row r="63" spans="6:20">
      <c r="F63" s="163"/>
      <c r="G63" s="156"/>
      <c r="H63" s="156"/>
      <c r="I63" s="156"/>
    </row>
    <row r="64" spans="6:20">
      <c r="F64" s="169"/>
      <c r="G64" s="129"/>
    </row>
    <row r="65" spans="3:12">
      <c r="C65" s="219" t="s">
        <v>34</v>
      </c>
      <c r="D65" s="220"/>
      <c r="E65" s="220"/>
      <c r="F65" s="220"/>
      <c r="G65" s="220"/>
      <c r="H65" s="220"/>
      <c r="I65" s="220"/>
      <c r="J65" s="220"/>
      <c r="K65" s="220"/>
      <c r="L65" s="221"/>
    </row>
    <row r="66" spans="3:12" ht="15" customHeight="1">
      <c r="C66" s="209"/>
      <c r="D66" s="210"/>
      <c r="E66" s="210"/>
      <c r="F66" s="210"/>
      <c r="G66" s="210"/>
      <c r="H66" s="210"/>
      <c r="I66" s="210"/>
      <c r="J66" s="210"/>
      <c r="K66" s="210"/>
      <c r="L66" s="211"/>
    </row>
    <row r="67" spans="3:12">
      <c r="C67" s="212"/>
      <c r="D67" s="213"/>
      <c r="E67" s="213"/>
      <c r="F67" s="213"/>
      <c r="G67" s="213"/>
      <c r="H67" s="213"/>
      <c r="I67" s="213"/>
      <c r="J67" s="213"/>
      <c r="K67" s="213"/>
      <c r="L67" s="214"/>
    </row>
    <row r="68" spans="3:12">
      <c r="C68" s="215"/>
      <c r="D68" s="216"/>
      <c r="E68" s="216"/>
      <c r="F68" s="216"/>
      <c r="G68" s="216"/>
      <c r="H68" s="216"/>
      <c r="I68" s="216"/>
      <c r="J68" s="216"/>
      <c r="K68" s="216"/>
      <c r="L68" s="217"/>
    </row>
    <row r="70" spans="3:12">
      <c r="C70" s="223" t="s">
        <v>35</v>
      </c>
      <c r="D70" s="224"/>
      <c r="E70" s="224"/>
      <c r="F70" s="224"/>
      <c r="G70" s="224"/>
      <c r="H70" s="224"/>
      <c r="I70" s="224"/>
      <c r="J70" s="224"/>
      <c r="K70" s="224"/>
      <c r="L70" s="225"/>
    </row>
    <row r="71" spans="3:12" ht="14.85" customHeight="1">
      <c r="C71" s="209"/>
      <c r="D71" s="210"/>
      <c r="E71" s="210"/>
      <c r="F71" s="210"/>
      <c r="G71" s="210"/>
      <c r="H71" s="210"/>
      <c r="I71" s="210"/>
      <c r="J71" s="210"/>
      <c r="K71" s="210"/>
      <c r="L71" s="211"/>
    </row>
    <row r="72" spans="3:12">
      <c r="C72" s="212"/>
      <c r="D72" s="213"/>
      <c r="E72" s="213"/>
      <c r="F72" s="213"/>
      <c r="G72" s="213"/>
      <c r="H72" s="213"/>
      <c r="I72" s="213"/>
      <c r="J72" s="213"/>
      <c r="K72" s="213"/>
      <c r="L72" s="214"/>
    </row>
    <row r="73" spans="3:12">
      <c r="C73" s="215"/>
      <c r="D73" s="216"/>
      <c r="E73" s="216"/>
      <c r="F73" s="216"/>
      <c r="G73" s="216"/>
      <c r="H73" s="216"/>
      <c r="I73" s="216"/>
      <c r="J73" s="216"/>
      <c r="K73" s="216"/>
      <c r="L73" s="217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1:L73"/>
    <mergeCell ref="E14:I14"/>
    <mergeCell ref="C16:L16"/>
    <mergeCell ref="F30:I30"/>
    <mergeCell ref="C65:L65"/>
    <mergeCell ref="C66:L68"/>
    <mergeCell ref="C70:L70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27" zoomScaleNormal="100" workbookViewId="0">
      <selection activeCell="E47" sqref="E47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33" t="s">
        <v>39</v>
      </c>
      <c r="D4" s="234"/>
      <c r="E4" s="235"/>
      <c r="G4" s="233" t="s">
        <v>40</v>
      </c>
      <c r="H4" s="234"/>
      <c r="I4" s="235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33" t="s">
        <v>54</v>
      </c>
      <c r="D20" s="234"/>
      <c r="E20" s="235"/>
      <c r="G20" s="230" t="s">
        <v>55</v>
      </c>
      <c r="H20" s="236"/>
      <c r="I20" s="231"/>
      <c r="K20" s="230" t="s">
        <v>55</v>
      </c>
      <c r="L20" s="231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37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7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7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5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32" t="s">
        <v>57</v>
      </c>
      <c r="D36" s="232"/>
      <c r="E36" s="232"/>
      <c r="F36" s="232"/>
    </row>
    <row r="37" spans="3:12">
      <c r="C37" s="1"/>
      <c r="D37" s="42" t="s">
        <v>36</v>
      </c>
      <c r="E37" s="42" t="s">
        <v>22</v>
      </c>
      <c r="F37" s="42" t="s">
        <v>37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</row>
    <row r="42" spans="3:12">
      <c r="C42" s="43" t="s">
        <v>45</v>
      </c>
      <c r="D42" s="62">
        <v>1</v>
      </c>
      <c r="E42" s="62">
        <v>1</v>
      </c>
      <c r="F42" s="62">
        <v>1</v>
      </c>
    </row>
    <row r="43" spans="3:12">
      <c r="C43" s="43" t="s">
        <v>46</v>
      </c>
      <c r="D43" s="62">
        <v>1</v>
      </c>
      <c r="E43" s="62">
        <v>1</v>
      </c>
      <c r="F43" s="62">
        <v>1</v>
      </c>
    </row>
    <row r="44" spans="3:12">
      <c r="C44" s="43" t="s">
        <v>47</v>
      </c>
      <c r="D44" s="62">
        <v>1</v>
      </c>
      <c r="E44" s="152">
        <v>1</v>
      </c>
      <c r="F44" s="62">
        <v>1</v>
      </c>
    </row>
    <row r="45" spans="3:12">
      <c r="C45" s="43" t="s">
        <v>48</v>
      </c>
      <c r="D45" s="62">
        <v>0.98780000000000001</v>
      </c>
      <c r="E45" s="152">
        <v>1</v>
      </c>
      <c r="F45" s="62">
        <v>1</v>
      </c>
    </row>
    <row r="46" spans="3:12">
      <c r="C46" s="43" t="s">
        <v>49</v>
      </c>
      <c r="D46" s="62">
        <v>1</v>
      </c>
      <c r="E46" s="152">
        <v>1</v>
      </c>
      <c r="F46" s="62">
        <v>1</v>
      </c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</row>
    <row r="48" spans="3:12">
      <c r="C48" s="43" t="s">
        <v>51</v>
      </c>
      <c r="D48" s="62"/>
      <c r="E48" s="46"/>
      <c r="F48" s="145"/>
    </row>
    <row r="49" spans="3:6">
      <c r="C49" s="43" t="s">
        <v>52</v>
      </c>
      <c r="D49" s="46"/>
      <c r="E49" s="46"/>
      <c r="F49" s="46"/>
    </row>
    <row r="50" spans="3:6">
      <c r="C50" s="56" t="s">
        <v>53</v>
      </c>
      <c r="D50" s="52">
        <f>AVERAGE(D38:D49)</f>
        <v>0.99875000000000003</v>
      </c>
      <c r="E50" s="52">
        <f>AVERAGE(E38:E49)</f>
        <v>0.99865999999999988</v>
      </c>
      <c r="F50" s="52">
        <f>AVERAGE(F38:F49)</f>
        <v>0.99674999999999991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opLeftCell="A59" zoomScaleNormal="100" workbookViewId="0">
      <selection activeCell="H88" sqref="H88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37" t="s">
        <v>58</v>
      </c>
      <c r="D4" s="238"/>
      <c r="E4" s="238"/>
      <c r="F4" s="238"/>
      <c r="G4" s="238"/>
      <c r="H4" s="238"/>
      <c r="I4" s="238"/>
      <c r="J4" s="77"/>
      <c r="K4" s="77"/>
      <c r="L4" s="78"/>
    </row>
    <row r="5" spans="3:12" ht="15.6">
      <c r="C5" s="42"/>
      <c r="D5" s="245" t="s">
        <v>36</v>
      </c>
      <c r="E5" s="246"/>
      <c r="F5" s="247"/>
      <c r="G5" s="245" t="s">
        <v>22</v>
      </c>
      <c r="H5" s="246"/>
      <c r="I5" s="247"/>
      <c r="J5" s="240" t="s">
        <v>59</v>
      </c>
      <c r="K5" s="241"/>
      <c r="L5" s="242"/>
    </row>
    <row r="6" spans="3:12">
      <c r="C6" s="42"/>
      <c r="D6" s="42" t="s">
        <v>60</v>
      </c>
      <c r="E6" s="42" t="s">
        <v>61</v>
      </c>
      <c r="F6" s="42" t="s">
        <v>62</v>
      </c>
      <c r="G6" s="42" t="s">
        <v>60</v>
      </c>
      <c r="H6" s="42" t="s">
        <v>61</v>
      </c>
      <c r="I6" s="42" t="s">
        <v>62</v>
      </c>
      <c r="J6" s="49" t="s">
        <v>60</v>
      </c>
      <c r="K6" s="49" t="s">
        <v>61</v>
      </c>
      <c r="L6" s="49" t="s">
        <v>62</v>
      </c>
    </row>
    <row r="7" spans="3:12">
      <c r="C7" s="47" t="s">
        <v>41</v>
      </c>
      <c r="D7" s="86" t="s">
        <v>63</v>
      </c>
      <c r="E7" s="86" t="s">
        <v>63</v>
      </c>
      <c r="F7" s="86" t="s">
        <v>63</v>
      </c>
      <c r="G7" s="86" t="s">
        <v>63</v>
      </c>
      <c r="H7" s="86" t="s">
        <v>63</v>
      </c>
      <c r="I7" s="86" t="s">
        <v>63</v>
      </c>
      <c r="J7" s="86" t="s">
        <v>63</v>
      </c>
      <c r="K7" s="86" t="s">
        <v>63</v>
      </c>
      <c r="L7" s="86" t="s">
        <v>63</v>
      </c>
    </row>
    <row r="8" spans="3:12">
      <c r="C8" s="47" t="s">
        <v>42</v>
      </c>
      <c r="D8" s="86" t="s">
        <v>63</v>
      </c>
      <c r="E8" s="86" t="s">
        <v>63</v>
      </c>
      <c r="F8" s="86" t="s">
        <v>63</v>
      </c>
      <c r="G8" s="86" t="s">
        <v>63</v>
      </c>
      <c r="H8" s="86" t="s">
        <v>63</v>
      </c>
      <c r="I8" s="86" t="s">
        <v>63</v>
      </c>
      <c r="J8" s="86" t="s">
        <v>63</v>
      </c>
      <c r="K8" s="86" t="s">
        <v>63</v>
      </c>
      <c r="L8" s="86" t="s">
        <v>63</v>
      </c>
    </row>
    <row r="9" spans="3:12">
      <c r="C9" s="47" t="s">
        <v>43</v>
      </c>
      <c r="D9" s="86" t="s">
        <v>63</v>
      </c>
      <c r="E9" s="86" t="s">
        <v>63</v>
      </c>
      <c r="F9" s="86" t="s">
        <v>63</v>
      </c>
      <c r="G9" s="86" t="s">
        <v>63</v>
      </c>
      <c r="H9" s="86" t="s">
        <v>63</v>
      </c>
      <c r="I9" s="86" t="s">
        <v>63</v>
      </c>
      <c r="J9" s="86" t="s">
        <v>63</v>
      </c>
      <c r="K9" s="86" t="s">
        <v>63</v>
      </c>
      <c r="L9" s="86" t="s">
        <v>63</v>
      </c>
    </row>
    <row r="10" spans="3:12">
      <c r="C10" s="47" t="s">
        <v>44</v>
      </c>
      <c r="D10" s="86" t="s">
        <v>63</v>
      </c>
      <c r="E10" s="86" t="s">
        <v>63</v>
      </c>
      <c r="F10" s="86" t="s">
        <v>63</v>
      </c>
      <c r="G10" s="86" t="s">
        <v>63</v>
      </c>
      <c r="H10" s="86" t="s">
        <v>63</v>
      </c>
      <c r="I10" s="86" t="s">
        <v>63</v>
      </c>
      <c r="J10" s="86" t="s">
        <v>63</v>
      </c>
      <c r="K10" s="86" t="s">
        <v>63</v>
      </c>
      <c r="L10" s="86" t="s">
        <v>63</v>
      </c>
    </row>
    <row r="11" spans="3:12">
      <c r="C11" s="47" t="s">
        <v>45</v>
      </c>
      <c r="D11" s="86" t="s">
        <v>63</v>
      </c>
      <c r="E11" s="86" t="s">
        <v>63</v>
      </c>
      <c r="F11" s="86" t="s">
        <v>63</v>
      </c>
      <c r="G11" s="86" t="s">
        <v>63</v>
      </c>
      <c r="H11" s="86" t="s">
        <v>63</v>
      </c>
      <c r="I11" s="86" t="s">
        <v>63</v>
      </c>
      <c r="J11" s="86" t="s">
        <v>63</v>
      </c>
      <c r="K11" s="86" t="s">
        <v>63</v>
      </c>
      <c r="L11" s="86" t="s">
        <v>63</v>
      </c>
    </row>
    <row r="12" spans="3:12">
      <c r="C12" s="47" t="s">
        <v>46</v>
      </c>
      <c r="D12" s="86" t="s">
        <v>63</v>
      </c>
      <c r="E12" s="86" t="s">
        <v>63</v>
      </c>
      <c r="F12" s="86" t="s">
        <v>63</v>
      </c>
      <c r="G12" s="86" t="s">
        <v>63</v>
      </c>
      <c r="H12" s="86" t="s">
        <v>63</v>
      </c>
      <c r="I12" s="86" t="s">
        <v>63</v>
      </c>
      <c r="J12" s="86" t="s">
        <v>63</v>
      </c>
      <c r="K12" s="86" t="s">
        <v>63</v>
      </c>
      <c r="L12" s="86" t="s">
        <v>63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63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63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64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37" t="s">
        <v>65</v>
      </c>
      <c r="D22" s="238"/>
      <c r="E22" s="238"/>
      <c r="F22" s="238"/>
      <c r="G22" s="238"/>
      <c r="H22" s="238"/>
      <c r="I22" s="238"/>
      <c r="J22" s="77"/>
      <c r="K22" s="77"/>
      <c r="L22" s="78"/>
    </row>
    <row r="23" spans="3:12" ht="15.6">
      <c r="C23" s="42"/>
      <c r="D23" s="245" t="s">
        <v>36</v>
      </c>
      <c r="E23" s="246"/>
      <c r="F23" s="247"/>
      <c r="G23" s="245" t="s">
        <v>22</v>
      </c>
      <c r="H23" s="246"/>
      <c r="I23" s="247"/>
      <c r="J23" s="240" t="s">
        <v>59</v>
      </c>
      <c r="K23" s="241"/>
      <c r="L23" s="242"/>
    </row>
    <row r="24" spans="3:12">
      <c r="C24" s="42"/>
      <c r="D24" s="42" t="s">
        <v>60</v>
      </c>
      <c r="E24" s="42" t="s">
        <v>61</v>
      </c>
      <c r="F24" s="42" t="s">
        <v>62</v>
      </c>
      <c r="G24" s="42" t="s">
        <v>60</v>
      </c>
      <c r="H24" s="42" t="s">
        <v>61</v>
      </c>
      <c r="I24" s="42" t="s">
        <v>62</v>
      </c>
      <c r="J24" s="49" t="s">
        <v>60</v>
      </c>
      <c r="K24" s="49" t="s">
        <v>61</v>
      </c>
      <c r="L24" s="49" t="s">
        <v>62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64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37" t="s">
        <v>66</v>
      </c>
      <c r="D40" s="238"/>
      <c r="E40" s="238"/>
      <c r="F40" s="238"/>
      <c r="G40" s="238"/>
      <c r="H40" s="238"/>
      <c r="I40" s="238"/>
      <c r="J40" s="77"/>
      <c r="K40" s="77"/>
      <c r="L40" s="78"/>
    </row>
    <row r="41" spans="3:43" ht="15.6">
      <c r="C41" s="42"/>
      <c r="D41" s="245" t="s">
        <v>36</v>
      </c>
      <c r="E41" s="246"/>
      <c r="F41" s="247"/>
      <c r="G41" s="245" t="s">
        <v>22</v>
      </c>
      <c r="H41" s="246"/>
      <c r="I41" s="247"/>
      <c r="J41" s="240" t="s">
        <v>59</v>
      </c>
      <c r="K41" s="241"/>
      <c r="L41" s="242"/>
    </row>
    <row r="42" spans="3:43">
      <c r="C42" s="42"/>
      <c r="D42" s="42" t="s">
        <v>60</v>
      </c>
      <c r="E42" s="42" t="s">
        <v>61</v>
      </c>
      <c r="F42" s="42" t="s">
        <v>62</v>
      </c>
      <c r="G42" s="42" t="s">
        <v>60</v>
      </c>
      <c r="H42" s="42" t="s">
        <v>61</v>
      </c>
      <c r="I42" s="42" t="s">
        <v>62</v>
      </c>
      <c r="J42" s="49" t="s">
        <v>60</v>
      </c>
      <c r="K42" s="49" t="s">
        <v>61</v>
      </c>
      <c r="L42" s="49" t="s">
        <v>62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43"/>
      <c r="AO49" s="243"/>
      <c r="AP49" s="243"/>
      <c r="AQ49" s="243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44"/>
      <c r="AP50" s="244"/>
      <c r="AQ50" s="244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>
      <c r="C55" s="49" t="s">
        <v>64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37" t="s">
        <v>67</v>
      </c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9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40" t="s">
        <v>36</v>
      </c>
      <c r="E59" s="241"/>
      <c r="F59" s="242"/>
      <c r="G59" s="240" t="s">
        <v>22</v>
      </c>
      <c r="H59" s="241"/>
      <c r="I59" s="242"/>
      <c r="J59" s="240" t="s">
        <v>37</v>
      </c>
      <c r="K59" s="241"/>
      <c r="L59" s="242"/>
      <c r="M59" s="240" t="s">
        <v>59</v>
      </c>
      <c r="N59" s="241"/>
      <c r="O59" s="242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60</v>
      </c>
      <c r="E60" s="42" t="s">
        <v>61</v>
      </c>
      <c r="F60" s="42" t="s">
        <v>62</v>
      </c>
      <c r="G60" s="42" t="s">
        <v>60</v>
      </c>
      <c r="H60" s="42" t="s">
        <v>61</v>
      </c>
      <c r="I60" s="42" t="s">
        <v>62</v>
      </c>
      <c r="J60" s="42" t="s">
        <v>60</v>
      </c>
      <c r="K60" s="42" t="s">
        <v>61</v>
      </c>
      <c r="L60" s="42" t="s">
        <v>62</v>
      </c>
      <c r="M60" s="49" t="s">
        <v>60</v>
      </c>
      <c r="N60" s="49" t="s">
        <v>61</v>
      </c>
      <c r="O60" s="49" t="s">
        <v>62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64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37" t="s">
        <v>68</v>
      </c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9"/>
    </row>
    <row r="77" spans="3:43" ht="15.6">
      <c r="C77" s="42"/>
      <c r="D77" s="240" t="s">
        <v>36</v>
      </c>
      <c r="E77" s="241"/>
      <c r="F77" s="242"/>
      <c r="G77" s="240" t="s">
        <v>22</v>
      </c>
      <c r="H77" s="241"/>
      <c r="I77" s="242"/>
      <c r="J77" s="240" t="s">
        <v>37</v>
      </c>
      <c r="K77" s="241"/>
      <c r="L77" s="242"/>
      <c r="M77" s="240" t="s">
        <v>59</v>
      </c>
      <c r="N77" s="241"/>
      <c r="O77" s="242"/>
    </row>
    <row r="78" spans="3:43">
      <c r="C78" s="42"/>
      <c r="D78" s="42" t="s">
        <v>60</v>
      </c>
      <c r="E78" s="42" t="s">
        <v>61</v>
      </c>
      <c r="F78" s="42" t="s">
        <v>62</v>
      </c>
      <c r="G78" s="42" t="s">
        <v>60</v>
      </c>
      <c r="H78" s="42" t="s">
        <v>61</v>
      </c>
      <c r="I78" s="42" t="s">
        <v>62</v>
      </c>
      <c r="J78" s="42" t="s">
        <v>60</v>
      </c>
      <c r="K78" s="42" t="s">
        <v>61</v>
      </c>
      <c r="L78" s="42" t="s">
        <v>62</v>
      </c>
      <c r="M78" s="49" t="s">
        <v>60</v>
      </c>
      <c r="N78" s="49" t="s">
        <v>61</v>
      </c>
      <c r="O78" s="49" t="s">
        <v>62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88" si="29">D79/E79</f>
        <v>0.62590835932218025</v>
      </c>
      <c r="G79" s="48">
        <v>86767.62</v>
      </c>
      <c r="H79" s="48">
        <v>151534.5576</v>
      </c>
      <c r="I79" s="46">
        <f t="shared" ref="I79:I88" si="30">G79/H79</f>
        <v>0.57259295420281076</v>
      </c>
      <c r="J79" s="48">
        <v>290245</v>
      </c>
      <c r="K79" s="48">
        <v>287392.10129999998</v>
      </c>
      <c r="L79" s="46">
        <f t="shared" ref="L79:L88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8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69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 t="shared" si="30"/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/>
      <c r="E89" s="48"/>
      <c r="F89" s="46"/>
      <c r="G89" s="48"/>
      <c r="H89" s="48"/>
      <c r="I89" s="46"/>
      <c r="J89" s="86"/>
      <c r="K89" s="105"/>
      <c r="L89" s="46"/>
      <c r="M89" s="50">
        <f t="shared" si="35"/>
        <v>0</v>
      </c>
      <c r="N89" s="50">
        <f t="shared" si="34"/>
        <v>0</v>
      </c>
      <c r="O89" s="51"/>
    </row>
    <row r="90" spans="3:16">
      <c r="C90" s="47" t="s">
        <v>52</v>
      </c>
      <c r="D90" s="86"/>
      <c r="E90" s="86"/>
      <c r="F90" s="46"/>
      <c r="G90" s="86"/>
      <c r="H90" s="86"/>
      <c r="I90" s="46"/>
      <c r="J90" s="86"/>
      <c r="K90" s="86"/>
      <c r="L90" s="46"/>
      <c r="M90" s="50">
        <f t="shared" si="35"/>
        <v>0</v>
      </c>
      <c r="N90" s="50">
        <f t="shared" si="34"/>
        <v>0</v>
      </c>
      <c r="O90" s="51"/>
    </row>
    <row r="91" spans="3:16">
      <c r="C91" s="49" t="s">
        <v>64</v>
      </c>
      <c r="D91" s="53">
        <f>SUM(D79:D90)</f>
        <v>3977176.2</v>
      </c>
      <c r="E91" s="53">
        <f>SUM(E79:E90)</f>
        <v>3735998.3847999997</v>
      </c>
      <c r="F91" s="55">
        <f>D91/E91</f>
        <v>1.0645551176310029</v>
      </c>
      <c r="G91" s="53">
        <f>SUM(G79:G90)</f>
        <v>3138926.3449999997</v>
      </c>
      <c r="H91" s="53">
        <f>SUM(H79:H90)</f>
        <v>3113575.0586000006</v>
      </c>
      <c r="I91" s="55">
        <f t="shared" ref="I91" si="36">G91/H91</f>
        <v>1.0081421793028489</v>
      </c>
      <c r="J91" s="53">
        <f>SUM(J79:J90)</f>
        <v>4808577.0000000009</v>
      </c>
      <c r="K91" s="53">
        <f>SUM(K79:K90)</f>
        <v>4588990.8224999998</v>
      </c>
      <c r="L91" s="55">
        <f>J91/K91</f>
        <v>1.0478506464696686</v>
      </c>
      <c r="M91" s="54">
        <f t="shared" si="35"/>
        <v>11924679.545000002</v>
      </c>
      <c r="N91" s="54">
        <f t="shared" si="34"/>
        <v>11438564.265900001</v>
      </c>
      <c r="O91" s="55">
        <f t="shared" ref="O91" si="37">M91/N91</f>
        <v>1.0424979278692501</v>
      </c>
    </row>
  </sheetData>
  <mergeCells count="24"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topLeftCell="A18" workbookViewId="0">
      <selection activeCell="D26" sqref="D26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70</v>
      </c>
      <c r="B4" s="71" t="s">
        <v>71</v>
      </c>
      <c r="C4" s="71" t="s">
        <v>72</v>
      </c>
      <c r="D4" s="72" t="s">
        <v>4</v>
      </c>
      <c r="E4" s="73" t="s">
        <v>73</v>
      </c>
      <c r="F4" s="60"/>
      <c r="G4" s="60"/>
      <c r="H4" s="60"/>
    </row>
    <row r="5" spans="1:8">
      <c r="A5" s="1" t="s">
        <v>36</v>
      </c>
      <c r="B5" s="1">
        <v>1</v>
      </c>
      <c r="C5" s="1">
        <f>2024</f>
        <v>2024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2024</f>
        <v>2024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2024</f>
        <v>2024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2024</f>
        <v>2024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2024</f>
        <v>2024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2024</f>
        <v>2024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2024</f>
        <v>2024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2024</f>
        <v>2024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2024</f>
        <v>2024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2024</f>
        <v>2024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2024</f>
        <v>2024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2024</f>
        <v>2024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>
      <c r="A28" s="150" t="s">
        <v>22</v>
      </c>
      <c r="B28" s="150">
        <v>12</v>
      </c>
      <c r="C28" s="1">
        <f>2024</f>
        <v>2024</v>
      </c>
      <c r="D28" s="151">
        <v>140863.4</v>
      </c>
      <c r="E28" s="82"/>
      <c r="F28" s="89"/>
    </row>
    <row r="29" spans="1:6">
      <c r="A29" s="147" t="s">
        <v>37</v>
      </c>
      <c r="B29" s="147">
        <v>1</v>
      </c>
      <c r="C29" s="1">
        <f>2024</f>
        <v>2024</v>
      </c>
      <c r="D29" s="136">
        <v>359065</v>
      </c>
      <c r="E29" s="81"/>
    </row>
    <row r="30" spans="1:6">
      <c r="A30" s="147" t="s">
        <v>37</v>
      </c>
      <c r="B30" s="147">
        <v>2</v>
      </c>
      <c r="C30" s="1">
        <f>2024</f>
        <v>2024</v>
      </c>
      <c r="D30" s="136">
        <v>341764</v>
      </c>
      <c r="E30" s="81"/>
    </row>
    <row r="31" spans="1:6">
      <c r="A31" s="147" t="s">
        <v>37</v>
      </c>
      <c r="B31" s="147">
        <v>3</v>
      </c>
      <c r="C31" s="1">
        <f>2024</f>
        <v>2024</v>
      </c>
      <c r="D31" s="136">
        <v>409489</v>
      </c>
      <c r="E31" s="81"/>
    </row>
    <row r="32" spans="1:6">
      <c r="A32" s="147" t="s">
        <v>37</v>
      </c>
      <c r="B32" s="147">
        <v>4</v>
      </c>
      <c r="C32" s="1">
        <f>2024</f>
        <v>2024</v>
      </c>
      <c r="D32" s="136">
        <v>426854</v>
      </c>
      <c r="E32" s="81"/>
    </row>
    <row r="33" spans="1:5">
      <c r="A33" s="147" t="s">
        <v>37</v>
      </c>
      <c r="B33" s="147">
        <v>5</v>
      </c>
      <c r="C33" s="1">
        <f>2024</f>
        <v>2024</v>
      </c>
      <c r="D33" s="136">
        <v>491560</v>
      </c>
      <c r="E33" s="81"/>
    </row>
    <row r="34" spans="1:5">
      <c r="A34" s="147" t="s">
        <v>37</v>
      </c>
      <c r="B34" s="147">
        <v>6</v>
      </c>
      <c r="C34" s="1">
        <f>2024</f>
        <v>2024</v>
      </c>
      <c r="D34" s="136">
        <v>511081</v>
      </c>
      <c r="E34" s="81"/>
    </row>
    <row r="35" spans="1:5">
      <c r="A35" s="147" t="s">
        <v>37</v>
      </c>
      <c r="B35" s="147">
        <v>7</v>
      </c>
      <c r="C35" s="1">
        <f>2024</f>
        <v>2024</v>
      </c>
      <c r="D35" s="148">
        <v>528500</v>
      </c>
      <c r="E35" s="81"/>
    </row>
    <row r="36" spans="1:5">
      <c r="A36" s="147" t="s">
        <v>37</v>
      </c>
      <c r="B36" s="147">
        <v>8</v>
      </c>
      <c r="C36" s="1">
        <f>2024</f>
        <v>2024</v>
      </c>
      <c r="D36" s="136">
        <v>491649</v>
      </c>
      <c r="E36" s="81"/>
    </row>
    <row r="37" spans="1:5">
      <c r="A37" s="147" t="s">
        <v>37</v>
      </c>
      <c r="B37" s="147">
        <v>9</v>
      </c>
      <c r="C37" s="1">
        <f>2024</f>
        <v>2024</v>
      </c>
      <c r="D37" s="136">
        <v>422985</v>
      </c>
      <c r="E37" s="81"/>
    </row>
    <row r="38" spans="1:5">
      <c r="A38" s="147" t="s">
        <v>37</v>
      </c>
      <c r="B38" s="147">
        <v>10</v>
      </c>
      <c r="C38" s="1">
        <f>2024</f>
        <v>2024</v>
      </c>
      <c r="D38" s="136">
        <v>426835</v>
      </c>
      <c r="E38" s="81"/>
    </row>
    <row r="39" spans="1:5">
      <c r="A39" s="147" t="s">
        <v>37</v>
      </c>
      <c r="B39" s="147">
        <v>11</v>
      </c>
      <c r="C39" s="1">
        <f>2024</f>
        <v>2024</v>
      </c>
      <c r="D39" s="136">
        <v>378158</v>
      </c>
      <c r="E39" s="81"/>
    </row>
    <row r="40" spans="1:5">
      <c r="A40" s="147" t="s">
        <v>37</v>
      </c>
      <c r="B40" s="147">
        <v>12</v>
      </c>
      <c r="C40" s="1">
        <f>2024</f>
        <v>2024</v>
      </c>
      <c r="D40" s="149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74</v>
      </c>
      <c r="B1" s="17" t="s">
        <v>75</v>
      </c>
      <c r="C1" s="17" t="s">
        <v>76</v>
      </c>
      <c r="D1" s="32"/>
      <c r="H1" s="204" t="s">
        <v>77</v>
      </c>
      <c r="I1" s="204"/>
      <c r="J1" s="204"/>
      <c r="K1" s="204"/>
      <c r="L1" s="204"/>
      <c r="M1" s="204"/>
      <c r="N1" s="204"/>
      <c r="O1" s="204"/>
      <c r="Q1" s="32" t="s">
        <v>78</v>
      </c>
    </row>
    <row r="2" spans="1:17">
      <c r="A2" s="33" t="s">
        <v>79</v>
      </c>
      <c r="B2" s="34" t="s">
        <v>80</v>
      </c>
      <c r="C2" s="34" t="s">
        <v>81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82</v>
      </c>
      <c r="F5" s="19"/>
      <c r="G5" t="s">
        <v>83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t="s">
        <v>84</v>
      </c>
      <c r="P1" t="s">
        <v>85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83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86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74</v>
      </c>
      <c r="B1" s="17" t="s">
        <v>75</v>
      </c>
      <c r="C1" s="17" t="s">
        <v>76</v>
      </c>
      <c r="G1" s="204" t="s">
        <v>87</v>
      </c>
      <c r="H1" s="204"/>
      <c r="I1" s="204"/>
      <c r="J1" s="204"/>
      <c r="K1" s="204"/>
      <c r="L1" s="204"/>
      <c r="M1" s="204"/>
      <c r="N1" s="204"/>
      <c r="P1" s="32" t="s">
        <v>88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83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89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s="204" t="s">
        <v>90</v>
      </c>
      <c r="H1" s="204"/>
      <c r="I1" s="204"/>
      <c r="J1" s="204"/>
      <c r="K1" s="204"/>
      <c r="L1" s="204"/>
      <c r="M1" s="204"/>
      <c r="N1" s="204"/>
      <c r="P1" s="32" t="s">
        <v>91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83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92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25757AC-F572-4FD6-8D98-A3A4BF832404}"/>
</file>

<file path=customXml/itemProps2.xml><?xml version="1.0" encoding="utf-8"?>
<ds:datastoreItem xmlns:ds="http://schemas.openxmlformats.org/officeDocument/2006/customXml" ds:itemID="{457C4860-6CD1-4A9E-BBE8-79BAFE1C7776}"/>
</file>

<file path=customXml/itemProps3.xml><?xml version="1.0" encoding="utf-8"?>
<ds:datastoreItem xmlns:ds="http://schemas.openxmlformats.org/officeDocument/2006/customXml" ds:itemID="{AE4FB608-2C95-4CB3-B789-2A06D4831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Guest User</cp:lastModifiedBy>
  <cp:revision/>
  <dcterms:created xsi:type="dcterms:W3CDTF">2013-05-02T09:51:31Z</dcterms:created>
  <dcterms:modified xsi:type="dcterms:W3CDTF">2024-11-14T04:31:59Z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