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kusumapotlada_amgsol_com/Documents/Microsoft Teams Chat Files/"/>
    </mc:Choice>
  </mc:AlternateContent>
  <xr:revisionPtr revIDLastSave="12" documentId="13_ncr:1_{1CE0E2AB-B451-4C91-9622-887CA1189910}" xr6:coauthVersionLast="47" xr6:coauthVersionMax="47" xr10:uidLastSave="{0639539F-4D8E-43AC-B5AC-0385E7F9270A}"/>
  <bookViews>
    <workbookView xWindow="-98" yWindow="-98" windowWidth="21795" windowHeight="12975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30" l="1"/>
  <c r="G4" i="30"/>
  <c r="G4" i="29"/>
  <c r="G5" i="29"/>
  <c r="A4" i="20" a="1"/>
  <c r="A4" i="20" s="1"/>
  <c r="G5" i="18"/>
  <c r="G4" i="18"/>
  <c r="G4" i="1"/>
  <c r="F4" i="72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J2" i="32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D5" i="34"/>
  <c r="C5" i="34"/>
  <c r="B4" i="34" a="1"/>
  <c r="B4" i="34" s="1"/>
  <c r="A4" i="34" a="1"/>
  <c r="A4" i="34" s="1"/>
  <c r="D5" i="30"/>
  <c r="C5" i="30"/>
  <c r="D4" i="30"/>
  <c r="D2" i="30" s="1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A1" i="72" a="1"/>
  <c r="A1" i="72" s="1"/>
  <c r="D4" i="34" l="1"/>
  <c r="D2" i="34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E5" i="34"/>
  <c r="F5" i="34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H5" i="34"/>
  <c r="I5" i="34" s="1"/>
  <c r="C2" i="29"/>
  <c r="E2" i="29" s="1"/>
  <c r="F2" i="29" s="1"/>
  <c r="C2" i="30"/>
  <c r="E4" i="29"/>
  <c r="F4" i="29" s="1"/>
  <c r="C2" i="18"/>
  <c r="H4" i="1"/>
  <c r="I4" i="1" s="1"/>
  <c r="H5" i="1"/>
  <c r="I5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<sst xmlns="http://schemas.openxmlformats.org/spreadsheetml/2006/main" count="263" uniqueCount="63">
  <si>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</si>
  <si>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</si>
  <si>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</si>
  <si>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</si>
  <si>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</si>
  <si>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</si>
  <si>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</si>
  <si>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</si>
  <si>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</si>
  <si>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</si>
  <si>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</si>
  <si>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</si>
  <si>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</si>
  <si>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</si>
  <si>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</si>
  <si>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</si>
  <si>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</si>
  <si>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</si>
  <si>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</si>
  <si>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</si>
  <si>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</si>
  <si>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</si>
  <si>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Known for bad WMS readings due to that expected data values are high.</t>
  </si>
  <si>
    <t>1. SR061954</t>
  </si>
  <si>
    <t>February Actual v. Expected</t>
  </si>
  <si>
    <t>February Actual v. Forecasted</t>
  </si>
  <si>
    <t>1. Inverter 2.3 is offline on 02/23/2024 and back online on 02/24
2. Known for bad WMS readings due to that expected data values are high.</t>
  </si>
  <si>
    <t>1. SR081278
2. SR061954</t>
  </si>
  <si>
    <t>March Actual v. Expected</t>
  </si>
  <si>
    <t>March Actual v. Forecasted</t>
  </si>
  <si>
    <t>April Actual v. Expected</t>
  </si>
  <si>
    <t>April Actual v. Forecasted</t>
  </si>
  <si>
    <t>1. Known for bad weather station readings due to that expected data values are low.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</si>
  <si>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</si>
  <si>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</si>
  <si>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</si>
  <si>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</si>
  <si>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</si>
  <si>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</si>
  <si>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1.SR061954</t>
  </si>
  <si>
    <t>August Actual v. Expected</t>
  </si>
  <si>
    <t>August Actual v. Forecasted</t>
  </si>
  <si>
    <t>1.Known for bad weather station readings due to that expected data values are low.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</si>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</sst>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5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Northbridge Companies</v>
      </c>
      <c r="B1" s="50"/>
      <c r="C1" s="50"/>
      <c r="D1" s="51" t="s">
        <v>0</v>
      </c>
      <c r="E1" s="51"/>
      <c r="F1" s="51"/>
      <c r="G1" s="49" t="s">
        <v>1</v>
      </c>
      <c r="H1" s="49"/>
      <c r="I1" s="49"/>
    </row>
    <row r="2" spans="1:9" ht="19.5" customHeight="1">
      <c r="A2" s="52" t="s">
        <v>2</v>
      </c>
      <c r="B2" s="52"/>
      <c r="C2" s="6">
        <f>SUM(C4:C90)</f>
        <v>296773.56599999999</v>
      </c>
      <c r="D2" s="6">
        <f>SUM(D4:D90)</f>
        <v>101776.67</v>
      </c>
      <c r="E2" s="6">
        <f>C2-D2</f>
        <v>194996.89600000001</v>
      </c>
      <c r="F2" s="7">
        <f>IFERROR(E2/D2, 0)</f>
        <v>1.9159292203213174</v>
      </c>
      <c r="G2" s="6">
        <f>SUM(G4:G90)</f>
        <v>248651.557</v>
      </c>
      <c r="H2" s="8">
        <f>C2-G2</f>
        <v>48122.008999999991</v>
      </c>
      <c r="I2" s="7">
        <f>IFERROR(H2/G2, 0)</f>
        <v>0.19353190295928849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245814.44099999999</v>
      </c>
      <c r="D4" s="14">
        <f>SUM('1st Qtr'!D4, '2nd Qtr'!D4, '3rd Qtr'!D4, '4th Qtr'!D4)</f>
        <v>0</v>
      </c>
      <c r="E4" s="14">
        <f>IF(AND(ISNUMBER(C4),ISNUMBER(D4)), C4-D4, "")</f>
        <v>245814.44099999999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245814.44099999999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SUM('1st Qtr'!G5,'2nd Qtr'!G5,'3rd Qtr'!G5,'4th Qtr'!G5)</f>
        <v>248651.557</v>
      </c>
      <c r="H5" s="22">
        <f>SUM(Jan!H5, Feb!H5, Mar!H5)</f>
        <v>-800.2450000000008</v>
      </c>
      <c r="I5" s="21">
        <f>IFERROR(H5/G5, "")</f>
        <v>-3.2183389867130444E-3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G5" sqref="G5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Northbridge Companies</v>
      </c>
      <c r="B1" s="50"/>
      <c r="C1" s="50"/>
      <c r="D1" s="51" t="s">
        <v>10</v>
      </c>
      <c r="E1" s="51"/>
      <c r="F1" s="51"/>
      <c r="G1" s="49" t="s">
        <v>11</v>
      </c>
      <c r="H1" s="49"/>
      <c r="I1" s="49"/>
    </row>
    <row r="2" spans="1:9" ht="19.5" customHeight="1">
      <c r="A2" s="52" t="s">
        <v>2</v>
      </c>
      <c r="B2" s="52"/>
      <c r="C2" s="6">
        <f>SUM(C4:C90)</f>
        <v>103813.125</v>
      </c>
      <c r="D2" s="6">
        <f>SUM(D4:D90)</f>
        <v>101776.67</v>
      </c>
      <c r="E2" s="6">
        <f>C2-D2</f>
        <v>2036.4550000000017</v>
      </c>
      <c r="F2" s="7">
        <f>IFERROR(E2/D2, 0)</f>
        <v>2.0009055120392541E-2</v>
      </c>
      <c r="G2" s="6">
        <f>SUM(G4:G90)</f>
        <v>51759.37</v>
      </c>
      <c r="H2" s="8">
        <f>C2-G2</f>
        <v>52053.754999999997</v>
      </c>
      <c r="I2" s="7">
        <f>IFERROR(H2/G2, 0)</f>
        <v>1.0056875692265961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52854</v>
      </c>
      <c r="D4" s="14">
        <f>SUM(Jan!D4, Feb!D4, Mar!D4)</f>
        <v>0</v>
      </c>
      <c r="E4" s="14">
        <f>IF(AND(ISNUMBER(C4),ISNUMBER(D4)), C4-D4, "")</f>
        <v>52854</v>
      </c>
      <c r="F4" s="15" t="str">
        <f>IFERROR(E4/D4, "")</f>
        <v/>
      </c>
      <c r="G4" s="16">
        <f>SUM(Jan!G4, Feb!G4, Mar!G4)</f>
        <v>0</v>
      </c>
      <c r="H4" s="16">
        <f>SUM(Jan!H4, Feb!H4, Mar!H4)</f>
        <v>52854</v>
      </c>
      <c r="I4" s="17">
        <f>IFERROR(H4/G4, 0)</f>
        <v>0</v>
      </c>
    </row>
    <row r="5" spans="1:9" ht="15.75">
      <c r="A5" s="19" t="str">
        <v>MA: North Dartmouth - 293 Cross St (Array 2)</v>
      </c>
      <c r="B5" s="11" t="str">
        <v>MA</v>
      </c>
      <c r="C5" s="12">
        <f>SUM(Jan!C5, Feb!C5, Mar!C5)</f>
        <v>50959.125</v>
      </c>
      <c r="D5" s="20">
        <f>SUM(Jan!D5, Feb!D5, Mar!D5)</f>
        <v>101776.67</v>
      </c>
      <c r="E5" s="20">
        <f t="shared" ref="E5" si="0">IF(AND(ISNUMBER(C5),ISNUMBER(D5)), C5-D5, "")</f>
        <v>-50817.544999999998</v>
      </c>
      <c r="F5" s="21">
        <f>IFERROR(E5/D5, "")</f>
        <v>-0.49930445749502317</v>
      </c>
      <c r="G5" s="22">
        <f>SUM(Jan!G5, Feb!G5, Mar!G5)</f>
        <v>51759.37</v>
      </c>
      <c r="H5" s="22">
        <f>SUM(Jan!H5, Feb!H5, Mar!H5)</f>
        <v>-800.2450000000008</v>
      </c>
      <c r="I5" s="21">
        <f>IFERROR(H5/G5, "")</f>
        <v>-1.5460872108760225E-2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2.7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Northbridge Companies</v>
      </c>
      <c r="B1" s="50"/>
      <c r="C1" s="50"/>
      <c r="D1" s="51" t="s">
        <v>12</v>
      </c>
      <c r="E1" s="51"/>
      <c r="F1" s="51"/>
      <c r="G1" s="49" t="s">
        <v>13</v>
      </c>
      <c r="H1" s="49"/>
      <c r="I1" s="49"/>
    </row>
    <row r="2" spans="1:9" ht="19.5" customHeight="1">
      <c r="A2" s="52" t="s">
        <v>2</v>
      </c>
      <c r="B2" s="52"/>
      <c r="C2" s="6">
        <f>SUM(C4:C90)</f>
        <v>179147.875</v>
      </c>
      <c r="D2" s="6">
        <f>SUM(D4:D90)</f>
        <v>39400.597000000002</v>
      </c>
      <c r="E2" s="6">
        <f>C2-D2</f>
        <v>139747.27799999999</v>
      </c>
      <c r="F2" s="7">
        <f>IFERROR(E2/D2, 0)</f>
        <v>3.5468314858274859</v>
      </c>
      <c r="G2" s="6">
        <f>SUM(G4:G90)</f>
        <v>90253.421000000002</v>
      </c>
      <c r="H2" s="8">
        <f>C2-G2</f>
        <v>88894.453999999998</v>
      </c>
      <c r="I2" s="7">
        <f>IFERROR(H2/G2, 0)</f>
        <v>0.98494276466262698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86836</v>
      </c>
      <c r="D4" s="14">
        <f>SUM(Apr!D4, May!D4, Jun!D4)</f>
        <v>0</v>
      </c>
      <c r="E4" s="14">
        <f>IF(AND(ISNUMBER(C4),ISNUMBER(D4)), C4-D4, "")</f>
        <v>86836</v>
      </c>
      <c r="F4" s="15" t="str">
        <f>IFERROR(E4/D4, "")</f>
        <v/>
      </c>
      <c r="G4" s="16">
        <f>SUM(Apr!G4, May!G4, Jun!G4)</f>
        <v>0</v>
      </c>
      <c r="H4" s="16">
        <f>SUM(Apr!H4, May!H4, Jun!H4)</f>
        <v>86836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SUM(Apr!C5, May!C5, Jun!C5)</f>
        <v>92311.875</v>
      </c>
      <c r="D5" s="20">
        <f>SUM(Apr!D5, May!D5, Jun!D5)</f>
        <v>39400.597000000002</v>
      </c>
      <c r="E5" s="20">
        <f t="shared" ref="E5" si="0">IF(AND(ISNUMBER(C5),ISNUMBER(D5)), C5-D5, "")</f>
        <v>52911.277999999998</v>
      </c>
      <c r="F5" s="21">
        <f>IFERROR(E5/D5, "")</f>
        <v>1.3429054894777355</v>
      </c>
      <c r="G5" s="12">
        <f>SUM(Apr!G5, May!G5, Jun!G5)</f>
        <v>90253.421000000002</v>
      </c>
      <c r="H5" s="22">
        <f>SUM(Apr!H5, May!H5, Jun!H5)</f>
        <v>2058.4540000000015</v>
      </c>
      <c r="I5" s="21">
        <f>IFERROR(H5/G5, "")</f>
        <v>2.2807490034089693E-2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Northbridge Companies</v>
      </c>
      <c r="B1" s="50"/>
      <c r="C1" s="50"/>
      <c r="D1" s="51" t="s">
        <v>14</v>
      </c>
      <c r="E1" s="51"/>
      <c r="F1" s="51"/>
      <c r="G1" s="49" t="s">
        <v>15</v>
      </c>
      <c r="H1" s="49"/>
      <c r="I1" s="49"/>
    </row>
    <row r="2" spans="1:9" ht="19.5" customHeight="1">
      <c r="A2" s="52" t="s">
        <v>2</v>
      </c>
      <c r="B2" s="52"/>
      <c r="C2" s="6">
        <f>SUM(C4:C90)</f>
        <v>166061.891</v>
      </c>
      <c r="D2" s="6">
        <f>SUM(D4:D90)</f>
        <v>41443.070999999996</v>
      </c>
      <c r="E2" s="6">
        <f>C2-D2</f>
        <v>124618.82</v>
      </c>
      <c r="F2" s="7">
        <f>IFERROR(E2/D2, 0)</f>
        <v>3.0069880680415797</v>
      </c>
      <c r="G2" s="6">
        <f>SUM(G4:G90)</f>
        <v>84880.856</v>
      </c>
      <c r="H2" s="8">
        <f>C2-G2</f>
        <v>81181.035000000003</v>
      </c>
      <c r="I2" s="7">
        <f>IFERROR(H2/G2, 0)</f>
        <v>0.95641159650887597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80767.641000000003</v>
      </c>
      <c r="D4" s="14">
        <f>SUM(Jul!D4, Aug!D4, Sep!D4)</f>
        <v>0</v>
      </c>
      <c r="E4" s="14">
        <f>IF(AND(ISNUMBER(C4),ISNUMBER(D4)), C4-D4, "")</f>
        <v>80767.641000000003</v>
      </c>
      <c r="F4" s="15" t="str">
        <f>IFERROR(E4/D4, "")</f>
        <v/>
      </c>
      <c r="G4" s="16">
        <f>SUM(Jul!G4, Aug!G4, Sep!G4)</f>
        <v>0</v>
      </c>
      <c r="H4" s="16">
        <f>SUM(Jul!H4, Aug!H4, Sep!H4)</f>
        <v>80767.641000000003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SUM(Jul!C5, Aug!C5, Sep!C5)</f>
        <v>85294.25</v>
      </c>
      <c r="D5" s="20">
        <f>SUM(Jul!D5, Aug!D5, Sep!D5)</f>
        <v>41443.070999999996</v>
      </c>
      <c r="E5" s="20">
        <f t="shared" ref="E5" si="0">IF(AND(ISNUMBER(C5),ISNUMBER(D5)), C5-D5, "")</f>
        <v>43851.179000000004</v>
      </c>
      <c r="F5" s="21">
        <f>IFERROR(E5/D5, "")</f>
        <v>1.058106408185822</v>
      </c>
      <c r="G5" s="20">
        <f>SUM(Jul!G5, Aug!G5, Sep!G5)</f>
        <v>84880.856</v>
      </c>
      <c r="H5" s="22">
        <f>SUM(Jul!H5, Aug!H5, Sep!H5)</f>
        <v>413.39400000000023</v>
      </c>
      <c r="I5" s="21">
        <f>IFERROR(H5/G5, "")</f>
        <v>4.870285474029624E-3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0" t="str" cm="1">
        <f t="array" ref="A1">portfolio</f>
        <v>Northbridge Companies</v>
      </c>
      <c r="B1" s="50"/>
      <c r="C1" s="50"/>
      <c r="D1" s="51" t="s">
        <v>16</v>
      </c>
      <c r="E1" s="51"/>
      <c r="F1" s="51"/>
      <c r="G1" s="49" t="s">
        <v>17</v>
      </c>
      <c r="H1" s="49"/>
      <c r="I1" s="49"/>
    </row>
    <row r="2" spans="1:9" ht="19.5" customHeight="1">
      <c r="A2" s="52" t="s">
        <v>2</v>
      </c>
      <c r="B2" s="52"/>
      <c r="C2" s="6">
        <f>SUM(C4:C90)</f>
        <v>49236.175000000003</v>
      </c>
      <c r="D2" s="6">
        <f>SUM(D4:D90)</f>
        <v>7194.1719999999996</v>
      </c>
      <c r="E2" s="6">
        <f>C2-D2</f>
        <v>42042.003000000004</v>
      </c>
      <c r="F2" s="7">
        <f>IFERROR(E2/D2, 0)</f>
        <v>5.8438973936124974</v>
      </c>
      <c r="G2" s="6">
        <f>SUM(G4:G90)</f>
        <v>21757.91</v>
      </c>
      <c r="H2" s="8">
        <f>C2-G2</f>
        <v>27478.265000000003</v>
      </c>
      <c r="I2" s="7">
        <f>IFERROR(H2/G2, 0)</f>
        <v>1.2629092132470445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75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25356.799999999999</v>
      </c>
      <c r="D4" s="14">
        <f>SUM(Oct!D4, Nov!D4, Dec!D4)</f>
        <v>0</v>
      </c>
      <c r="E4" s="14">
        <f>IF(AND(ISNUMBER(C4),ISNUMBER(D4)), C4-D4, "")</f>
        <v>25356.799999999999</v>
      </c>
      <c r="F4" s="15" t="str">
        <f>IFERROR(E4/D4, "")</f>
        <v/>
      </c>
      <c r="G4" s="16">
        <f>SUM(Oct!G4,Nov!G4,Dec!G4)</f>
        <v>0</v>
      </c>
      <c r="H4" s="16">
        <f>SUM(Oct!H4, Nov!H4, Dec!H4)</f>
        <v>25356.799999999999</v>
      </c>
      <c r="I4" s="17" t="str">
        <f>IFERROR(H4/G4, "")</f>
        <v/>
      </c>
    </row>
    <row r="5" spans="1:9" ht="15.75">
      <c r="A5" s="19" t="str">
        <v>MA: North Dartmouth - 293 Cross St (Array 2)</v>
      </c>
      <c r="B5" s="11" t="str">
        <v>MA</v>
      </c>
      <c r="C5" s="12">
        <f>SUM(Oct!C5, Nov!C5, Dec!C5)</f>
        <v>23879.375</v>
      </c>
      <c r="D5" s="20">
        <f>SUM(Oct!D5, Nov!D5, Dec!D5)</f>
        <v>7194.1719999999996</v>
      </c>
      <c r="E5" s="20">
        <f t="shared" ref="E5" si="0">IF(AND(ISNUMBER(C5),ISNUMBER(D5)), C5-D5, "")</f>
        <v>16685.203000000001</v>
      </c>
      <c r="F5" s="21">
        <f>IFERROR(E5/D5, "")</f>
        <v>2.31926662303876</v>
      </c>
      <c r="G5" s="20">
        <f>SUM(Oct!G5,Nov!G5,Dec!G5)</f>
        <v>21757.91</v>
      </c>
      <c r="H5" s="22">
        <f>SUM(Oct!H5, Nov!H5, Dec!H5)</f>
        <v>2121.4650000000001</v>
      </c>
      <c r="I5" s="21">
        <f>IFERROR(H5/G5, "")</f>
        <v>9.7503160919408166E-2</v>
      </c>
    </row>
    <row r="6" spans="1:9" ht="13.15">
      <c r="A6" s="23"/>
      <c r="B6" s="23"/>
      <c r="C6" s="23"/>
      <c r="D6" s="23"/>
      <c r="E6" s="23"/>
      <c r="F6" s="23"/>
      <c r="G6" s="23"/>
      <c r="H6" s="23"/>
      <c r="I6" s="23"/>
    </row>
    <row r="7" spans="1:9" ht="13.15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15">
      <c r="A9" s="23"/>
      <c r="B9" s="23"/>
      <c r="C9" s="23"/>
      <c r="D9" s="23"/>
      <c r="E9" s="23"/>
      <c r="F9" s="23"/>
      <c r="G9" s="23"/>
      <c r="H9" s="23"/>
      <c r="I9" s="23"/>
    </row>
    <row r="10" spans="1:9" ht="13.1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1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1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1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1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1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1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1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1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1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1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1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1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1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1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1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1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1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1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1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1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1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1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1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1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1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1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1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1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1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1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1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1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1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1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1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1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1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1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1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1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1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1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1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1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1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1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1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1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1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1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1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1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1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1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1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1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1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1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1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1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1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1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1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1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1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1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1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1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1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1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1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1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1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1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1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1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1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1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1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1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1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1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1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1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1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1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1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1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1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1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1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1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1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1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1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1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1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1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1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1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1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1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1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1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1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1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1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1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1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1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1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1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1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1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1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1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1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1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1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1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1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1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1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1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1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1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1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1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1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1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1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1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1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1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1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1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1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1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1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1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1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1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1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1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1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1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1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1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1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1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1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1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1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1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1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1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1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1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1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1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1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1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1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1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1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1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1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1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1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1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1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1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1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1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1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1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1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1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1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1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1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1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1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1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1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1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1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1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1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1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1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1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1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1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1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1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1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1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1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1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1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1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1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1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1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1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1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1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1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1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1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1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1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1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1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1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1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1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1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1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1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1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1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1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1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1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1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1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1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1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1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1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1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1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1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1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1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1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1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1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1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1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1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1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1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1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1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1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1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1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1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1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1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1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1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1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1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1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1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1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1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1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1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1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1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1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1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1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1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1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1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1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1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1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1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1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1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1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1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1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1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1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1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1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1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1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1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1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1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1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1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1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1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1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1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1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1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1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1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1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1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1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1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1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1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1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1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1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1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1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1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1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1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1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1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1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1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1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1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1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1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1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18</v>
      </c>
      <c r="E1" s="51"/>
      <c r="F1" s="51"/>
      <c r="G1" s="49" t="s">
        <v>19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SUM(C4:C89)</f>
        <v>21075.625</v>
      </c>
      <c r="D2" s="6">
        <f>SUM(D4:D89)</f>
        <v>38443.42</v>
      </c>
      <c r="E2" s="6">
        <f>C2-D2</f>
        <v>-17367.794999999998</v>
      </c>
      <c r="F2" s="7">
        <f>IFERROR(E2/D2, 0)</f>
        <v>-0.45177549239895926</v>
      </c>
      <c r="G2" s="6">
        <f>SUM(G4:G89)</f>
        <v>13191.29</v>
      </c>
      <c r="H2" s="8">
        <f>C2-G2</f>
        <v>7884.3349999999991</v>
      </c>
      <c r="I2" s="7">
        <f>IFERROR(H2/G2, 0)</f>
        <v>0.59769249254621792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11182</v>
      </c>
      <c r="D4" s="14">
        <v>0</v>
      </c>
      <c r="E4" s="14">
        <f>IF(AND(ISNUMBER(C4),ISNUMBER(D4)), C4-D4, "")</f>
        <v>11182</v>
      </c>
      <c r="F4" s="15" t="str">
        <f>IFERROR(E4/D4, "")</f>
        <v/>
      </c>
      <c r="G4" s="16">
        <v>0</v>
      </c>
      <c r="H4" s="16">
        <f>IF(AND(ISNUMBER(C4),ISNUMBER(G4)), C4-G4, "")</f>
        <v>11182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9893.625</v>
      </c>
      <c r="D5" s="20">
        <v>38443.42</v>
      </c>
      <c r="E5" s="20">
        <f t="shared" ref="E5" si="0">IF(AND(ISNUMBER(C5),ISNUMBER(D5)), C5-D5, "")</f>
        <v>-28549.794999999998</v>
      </c>
      <c r="F5" s="21">
        <f>IFERROR(E5/D5, "")</f>
        <v>-0.7426445149781159</v>
      </c>
      <c r="G5" s="22">
        <v>13191.29</v>
      </c>
      <c r="H5" s="22">
        <f t="shared" ref="H5" si="1">IF(AND(ISNUMBER(C5),ISNUMBER(G5)), C5-G5, "")</f>
        <v>-3297.6650000000009</v>
      </c>
      <c r="I5" s="21">
        <f t="shared" ref="I5" si="2">IFERROR(H5/G5, "")</f>
        <v>-0.24998806030342755</v>
      </c>
      <c r="J5" s="42" t="s">
        <v>22</v>
      </c>
      <c r="K5" s="42" t="s">
        <v>23</v>
      </c>
    </row>
    <row r="6" spans="1:11" ht="14.2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2"/>
  <sheetViews>
    <sheetView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24</v>
      </c>
      <c r="E1" s="51"/>
      <c r="F1" s="51"/>
      <c r="G1" s="49" t="s">
        <v>25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35551.5</v>
      </c>
      <c r="D2" s="6">
        <f>SUM(D4:D90)</f>
        <v>35585.25</v>
      </c>
      <c r="E2" s="6">
        <f>C2-D2</f>
        <v>-33.75</v>
      </c>
      <c r="F2" s="7">
        <f>IFERROR(E2/D2, 0)</f>
        <v>-9.4842666554260545E-4</v>
      </c>
      <c r="G2" s="6">
        <f>SUM(G4:G90)</f>
        <v>16281.08</v>
      </c>
      <c r="H2" s="8">
        <f>C2-G2</f>
        <v>19270.419999999998</v>
      </c>
      <c r="I2" s="7">
        <f>IFERROR(H2/G2, 0)</f>
        <v>1.1836082127229888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18304</v>
      </c>
      <c r="D4" s="14">
        <v>0</v>
      </c>
      <c r="E4" s="14">
        <f>IF(AND(ISNUMBER(C4),ISNUMBER(D4)), C4-D4, "")</f>
        <v>18304</v>
      </c>
      <c r="F4" s="15" t="str">
        <f>IFERROR(E4/D4, "")</f>
        <v/>
      </c>
      <c r="G4" s="16">
        <v>0</v>
      </c>
      <c r="H4" s="16">
        <f>IF(AND(ISNUMBER(C4),ISNUMBER(G4)), C4-G4, "")</f>
        <v>18304</v>
      </c>
      <c r="I4" s="17" t="str">
        <f>IFERROR(H4/G4, "")</f>
        <v/>
      </c>
      <c r="J4" s="18"/>
      <c r="K4" s="18"/>
    </row>
    <row r="5" spans="1:11" ht="28.5">
      <c r="A5" s="31" t="str">
        <v>MA: North Dartmouth - 293 Cross St (Array 2)</v>
      </c>
      <c r="B5" s="32" t="str">
        <v>MA</v>
      </c>
      <c r="C5" s="12">
        <v>17247.5</v>
      </c>
      <c r="D5" s="20">
        <v>35585.25</v>
      </c>
      <c r="E5" s="20">
        <f t="shared" ref="E5" si="0">IF(AND(ISNUMBER(C5),ISNUMBER(D5)), C5-D5, "")</f>
        <v>-18337.75</v>
      </c>
      <c r="F5" s="21">
        <f>IFERROR(E5/D5, "")</f>
        <v>-0.51531884699419006</v>
      </c>
      <c r="G5" s="22">
        <v>16281.08</v>
      </c>
      <c r="H5" s="22">
        <f t="shared" ref="H5" si="1">IF(AND(ISNUMBER(C5),ISNUMBER(G5)), C5-G5, "")</f>
        <v>966.42000000000007</v>
      </c>
      <c r="I5" s="21">
        <f t="shared" ref="I5" si="2">IFERROR(H5/G5, "")</f>
        <v>5.9358470076923651E-2</v>
      </c>
      <c r="J5" s="43" t="s">
        <v>26</v>
      </c>
      <c r="K5" s="43" t="s">
        <v>27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5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28</v>
      </c>
      <c r="E1" s="51"/>
      <c r="F1" s="51"/>
      <c r="G1" s="49" t="s">
        <v>29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47186</v>
      </c>
      <c r="D2" s="6">
        <f>SUM(D4:D90)</f>
        <v>27748</v>
      </c>
      <c r="E2" s="6">
        <f>C2-D2</f>
        <v>19438</v>
      </c>
      <c r="F2" s="7">
        <f>IFERROR(E2/D2, 0)</f>
        <v>0.70051895632117633</v>
      </c>
      <c r="G2" s="6">
        <f>SUM(G4:G90)</f>
        <v>22287</v>
      </c>
      <c r="H2" s="8">
        <f>C2-G2</f>
        <v>24899</v>
      </c>
      <c r="I2" s="7">
        <f>IFERROR(H2/G2, 0)</f>
        <v>1.117198366760892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23368</v>
      </c>
      <c r="D4" s="14">
        <v>0</v>
      </c>
      <c r="E4" s="14">
        <f>IF(AND(ISNUMBER(C4),ISNUMBER(D4)), C4-D4, "")</f>
        <v>23368</v>
      </c>
      <c r="F4" s="15" t="str">
        <f>IFERROR(E4/D4, "")</f>
        <v/>
      </c>
      <c r="G4" s="16">
        <v>0</v>
      </c>
      <c r="H4" s="16">
        <f>IF(AND(ISNUMBER(C4),ISNUMBER(G4)), C4-G4, "")</f>
        <v>23368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23818</v>
      </c>
      <c r="D5" s="20">
        <v>27748</v>
      </c>
      <c r="E5" s="20">
        <f t="shared" ref="E5" si="0">IF(AND(ISNUMBER(C5),ISNUMBER(D5)), C5-D5, "")</f>
        <v>-3930</v>
      </c>
      <c r="F5" s="21">
        <f>IFERROR(E5/D5, "")</f>
        <v>-0.14163182932103216</v>
      </c>
      <c r="G5" s="22">
        <v>22287</v>
      </c>
      <c r="H5" s="22">
        <f t="shared" ref="H5" si="1">IF(AND(ISNUMBER(C5),ISNUMBER(G5)), C5-G5, "")</f>
        <v>1531</v>
      </c>
      <c r="I5" s="21">
        <f t="shared" ref="I5" si="2">IFERROR(H5/G5, "")</f>
        <v>6.8694754789787774E-2</v>
      </c>
      <c r="J5" s="42" t="s">
        <v>22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3" activePane="bottomLeft" state="frozen"/>
      <selection pane="bottomLeft" activeCell="I14" sqref="I1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30</v>
      </c>
      <c r="E1" s="51"/>
      <c r="F1" s="51"/>
      <c r="G1" s="49" t="s">
        <v>31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52168.074999999997</v>
      </c>
      <c r="D2" s="6">
        <f>SUM(D4:D90)</f>
        <v>16380.983</v>
      </c>
      <c r="E2" s="6">
        <f>C2-D2</f>
        <v>35787.091999999997</v>
      </c>
      <c r="F2" s="7">
        <f>IFERROR(E2/D2, 0)</f>
        <v>2.184673044346606</v>
      </c>
      <c r="G2" s="6">
        <f>SUM(G4:G90)</f>
        <v>26573.545999999998</v>
      </c>
      <c r="H2" s="8">
        <f>C2-G2</f>
        <v>25594.528999999999</v>
      </c>
      <c r="I2" s="7">
        <f>IFERROR(H2/G2, 0)</f>
        <v>0.96315821004844437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25670.2</v>
      </c>
      <c r="D4" s="14">
        <v>0</v>
      </c>
      <c r="E4" s="14">
        <f>IF(AND(ISNUMBER(C4),ISNUMBER(D4)), C4-D4, "")</f>
        <v>25670.2</v>
      </c>
      <c r="F4" s="15" t="str">
        <f>IFERROR(E4/D4, "")</f>
        <v/>
      </c>
      <c r="G4" s="16">
        <v>0</v>
      </c>
      <c r="H4" s="16">
        <f>IF(AND(ISNUMBER(C4),ISNUMBER(G4)), C4-G4, "")</f>
        <v>25670.2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26497.875</v>
      </c>
      <c r="D5" s="20">
        <v>16380.983</v>
      </c>
      <c r="E5" s="20">
        <f t="shared" ref="E5" si="0">IF(AND(ISNUMBER(C5),ISNUMBER(D5)), C5-D5, "")</f>
        <v>10116.892</v>
      </c>
      <c r="F5" s="21">
        <f>IFERROR(E5/D5, "")</f>
        <v>0.6175998107073305</v>
      </c>
      <c r="G5" s="22">
        <v>26573.545999999998</v>
      </c>
      <c r="H5" s="22">
        <f t="shared" ref="H5" si="1">IF(AND(ISNUMBER(C5),ISNUMBER(G5)), C5-G5, "")</f>
        <v>-75.670999999998457</v>
      </c>
      <c r="I5" s="21">
        <f t="shared" ref="I5" si="2">IFERROR(H5/G5, "")</f>
        <v>-2.8476064127835429E-3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B1" zoomScale="80" zoomScaleNormal="80" workbookViewId="0">
      <pane ySplit="2" topLeftCell="A3" activePane="bottomLeft" state="frozen"/>
      <selection pane="bottomLeft" activeCell="J5" sqref="J5"/>
      <selection activeCell="E24" sqref="E24"/>
    </sheetView>
  </sheetViews>
  <sheetFormatPr defaultRowHeight="13.5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33</v>
      </c>
      <c r="E1" s="51"/>
      <c r="F1" s="51"/>
      <c r="G1" s="49" t="s">
        <v>34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59284.800000000003</v>
      </c>
      <c r="D2" s="6">
        <f>SUM(D4:D90)</f>
        <v>14530.614</v>
      </c>
      <c r="E2" s="6">
        <f>C2-D2</f>
        <v>44754.186000000002</v>
      </c>
      <c r="F2" s="7">
        <f>IFERROR(E2/D2, 0)</f>
        <v>3.0799927656188517</v>
      </c>
      <c r="G2" s="6">
        <f>SUM(G4:G90)</f>
        <v>31133.875</v>
      </c>
      <c r="H2" s="8">
        <f>C2-G2</f>
        <v>28150.925000000003</v>
      </c>
      <c r="I2" s="7">
        <f>IFERROR(H2/G2, 0)</f>
        <v>0.90418956843630938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28622.799999999999</v>
      </c>
      <c r="D4" s="14">
        <v>0</v>
      </c>
      <c r="E4" s="14">
        <f>IF(AND(ISNUMBER(C4),ISNUMBER(D4)), C4-D4, "")</f>
        <v>28622.799999999999</v>
      </c>
      <c r="F4" s="15" t="str">
        <f>IFERROR(E4/D4, "")</f>
        <v/>
      </c>
      <c r="G4" s="16">
        <v>0</v>
      </c>
      <c r="H4" s="16">
        <f>IF(AND(ISNUMBER(C4),ISNUMBER(G4)), C4-G4, "")</f>
        <v>28622.799999999999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30662</v>
      </c>
      <c r="D5" s="20">
        <v>14530.614</v>
      </c>
      <c r="E5" s="20">
        <f t="shared" ref="E5" si="0">IF(AND(ISNUMBER(C5),ISNUMBER(D5)), C5-D5, "")</f>
        <v>16131.386</v>
      </c>
      <c r="F5" s="21">
        <f>IFERROR(E5/D5, "")</f>
        <v>1.110165475457541</v>
      </c>
      <c r="G5" s="22">
        <v>31133.875</v>
      </c>
      <c r="H5" s="22">
        <f t="shared" ref="H5" si="1">IF(AND(ISNUMBER(C5),ISNUMBER(G5)), C5-G5, "")</f>
        <v>-471.875</v>
      </c>
      <c r="I5" s="21">
        <f t="shared" ref="I5" si="2">IFERROR(H5/G5, "")</f>
        <v>-1.5156320888421374E-2</v>
      </c>
      <c r="J5" s="42" t="s">
        <v>32</v>
      </c>
      <c r="K5" s="44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K5" sqref="K5"/>
      <selection activeCell="E24" sqref="E24"/>
    </sheetView>
  </sheetViews>
  <sheetFormatPr defaultRowHeight="13.5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35</v>
      </c>
      <c r="E1" s="51"/>
      <c r="F1" s="51"/>
      <c r="G1" s="49" t="s">
        <v>36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67695</v>
      </c>
      <c r="D2" s="6">
        <f>SUM(D4:D90)</f>
        <v>8489</v>
      </c>
      <c r="E2" s="6">
        <f>C2-D2</f>
        <v>59206</v>
      </c>
      <c r="F2" s="7">
        <f>IFERROR(E2/D2, 0)</f>
        <v>6.9744375073624694</v>
      </c>
      <c r="G2" s="6">
        <f>SUM(G4:G90)</f>
        <v>32546</v>
      </c>
      <c r="H2" s="8">
        <f>C2-G2</f>
        <v>35149</v>
      </c>
      <c r="I2" s="7">
        <f>IFERROR(H2/G2, 0)</f>
        <v>1.0799791064954218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32543</v>
      </c>
      <c r="D4" s="14">
        <v>0</v>
      </c>
      <c r="E4" s="14">
        <f>IF(AND(ISNUMBER(C4),ISNUMBER(D4)), C4-D4, "")</f>
        <v>32543</v>
      </c>
      <c r="F4" s="15" t="str">
        <f>IFERROR(E4/D4, "")</f>
        <v/>
      </c>
      <c r="G4" s="16">
        <v>0</v>
      </c>
      <c r="H4" s="16">
        <f>IF(AND(ISNUMBER(C4),ISNUMBER(G4)), C4-G4, "")</f>
        <v>32543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35152</v>
      </c>
      <c r="D5" s="20">
        <v>8489</v>
      </c>
      <c r="E5" s="20">
        <f t="shared" ref="E5" si="0">IF(AND(ISNUMBER(C5),ISNUMBER(D5)), C5-D5, "")</f>
        <v>26663</v>
      </c>
      <c r="F5" s="21">
        <f>IFERROR(E5/D5, "")</f>
        <v>3.1408882082695251</v>
      </c>
      <c r="G5" s="22">
        <v>32546</v>
      </c>
      <c r="H5" s="22">
        <f t="shared" ref="H5" si="1">IF(AND(ISNUMBER(C5),ISNUMBER(G5)), C5-G5, "")</f>
        <v>2606</v>
      </c>
      <c r="I5" s="21">
        <f t="shared" ref="I5" si="2">IFERROR(H5/G5, "")</f>
        <v>8.0071283721501879E-2</v>
      </c>
      <c r="J5" s="42" t="s">
        <v>32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opLeftCell="C1" workbookViewId="0">
      <pane ySplit="2" topLeftCell="A3" activePane="bottomLeft" state="frozen"/>
      <selection pane="bottomLeft" activeCell="G12" sqref="G12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37</v>
      </c>
      <c r="E1" s="51"/>
      <c r="F1" s="51"/>
      <c r="G1" s="49" t="s">
        <v>38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56183.125</v>
      </c>
      <c r="D2" s="6">
        <f>SUM(D4:D90)</f>
        <v>13963.361000000001</v>
      </c>
      <c r="E2" s="6">
        <f>C2-D2</f>
        <v>42219.763999999996</v>
      </c>
      <c r="F2" s="7">
        <f>IFERROR(E2/D2, 0)</f>
        <v>3.0236104330468856</v>
      </c>
      <c r="G2" s="6">
        <f>SUM(G4:G90)</f>
        <v>31018.196</v>
      </c>
      <c r="H2" s="8">
        <f>C2-G2</f>
        <v>25164.929</v>
      </c>
      <c r="I2" s="7">
        <f>IFERROR(H2/G2, 0)</f>
        <v>0.81129569882142727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26973</v>
      </c>
      <c r="D4" s="14">
        <v>0</v>
      </c>
      <c r="E4" s="14">
        <f>IF(AND(ISNUMBER(C4),ISNUMBER(D4)), C4-D4, "")</f>
        <v>26973</v>
      </c>
      <c r="F4" s="15" t="str">
        <f>IFERROR(E4/D4, "")</f>
        <v/>
      </c>
      <c r="G4" s="16">
        <v>0</v>
      </c>
      <c r="H4" s="16">
        <f>IF(AND(ISNUMBER(C4),ISNUMBER(G4)), C4-G4, "")</f>
        <v>26973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29210.125</v>
      </c>
      <c r="D5" s="20">
        <v>13963.361000000001</v>
      </c>
      <c r="E5" s="20">
        <f t="shared" ref="E5" si="0">IF(AND(ISNUMBER(C5),ISNUMBER(D5)), C5-D5, "")</f>
        <v>15246.763999999999</v>
      </c>
      <c r="F5" s="21">
        <f>IFERROR(E5/D5, "")</f>
        <v>1.0919121836067978</v>
      </c>
      <c r="G5" s="22">
        <v>31018.196</v>
      </c>
      <c r="H5" s="22">
        <f t="shared" ref="H5" si="1">IF(AND(ISNUMBER(C5),ISNUMBER(G5)), C5-G5, "")</f>
        <v>-1808.0709999999999</v>
      </c>
      <c r="I5" s="21">
        <f t="shared" ref="I5" si="2">IFERROR(H5/G5, "")</f>
        <v>-5.8290656232876985E-2</v>
      </c>
      <c r="J5" s="45" t="s">
        <v>32</v>
      </c>
      <c r="K5" s="46" t="s">
        <v>39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J5" sqref="J5:K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40</v>
      </c>
      <c r="E1" s="51"/>
      <c r="F1" s="51"/>
      <c r="G1" s="49" t="s">
        <v>41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60854</v>
      </c>
      <c r="D2" s="6">
        <f>SUM(D4:D90)</f>
        <v>17409</v>
      </c>
      <c r="E2" s="6">
        <f>C2-D2</f>
        <v>43445</v>
      </c>
      <c r="F2" s="7">
        <f>IFERROR(E2/D2, 0)</f>
        <v>2.4955482796254809</v>
      </c>
      <c r="G2" s="6">
        <f>SUM(G4:G90)</f>
        <v>28301</v>
      </c>
      <c r="H2" s="8">
        <f>C2-G2</f>
        <v>32553</v>
      </c>
      <c r="I2" s="7">
        <f>IFERROR(H2/G2, 0)</f>
        <v>1.150242040917282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29632</v>
      </c>
      <c r="D4" s="14">
        <v>0</v>
      </c>
      <c r="E4" s="14">
        <f>IF(AND(ISNUMBER(C4),ISNUMBER(D4)), C4-D4, "")</f>
        <v>29632</v>
      </c>
      <c r="F4" s="15" t="str">
        <f>IFERROR(E4/D4, "")</f>
        <v/>
      </c>
      <c r="G4" s="16">
        <v>0</v>
      </c>
      <c r="H4" s="16">
        <f>IF(AND(ISNUMBER(C4),ISNUMBER(G4)), C4-G4, "")</f>
        <v>29632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31222</v>
      </c>
      <c r="D5" s="20">
        <v>17409</v>
      </c>
      <c r="E5" s="20">
        <f t="shared" ref="E5" si="0">IF(AND(ISNUMBER(C5),ISNUMBER(D5)), C5-D5, "")</f>
        <v>13813</v>
      </c>
      <c r="F5" s="21">
        <f>IFERROR(E5/D5, "")</f>
        <v>0.79344017462232175</v>
      </c>
      <c r="G5" s="22">
        <v>28301</v>
      </c>
      <c r="H5" s="22">
        <f t="shared" ref="H5" si="1">IF(AND(ISNUMBER(C5),ISNUMBER(G5)), C5-G5, "")</f>
        <v>2921</v>
      </c>
      <c r="I5" s="21">
        <f t="shared" ref="I5" si="2">IFERROR(H5/G5, "")</f>
        <v>0.10321190063955338</v>
      </c>
      <c r="J5" s="45" t="s">
        <v>42</v>
      </c>
      <c r="K5" s="46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4" activePane="bottomLeft" state="frozen"/>
      <selection pane="bottomLeft" activeCell="K5" sqref="K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43</v>
      </c>
      <c r="E1" s="51"/>
      <c r="F1" s="51"/>
      <c r="G1" s="49" t="s">
        <v>44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49024.766000000003</v>
      </c>
      <c r="D2" s="6">
        <f>SUM(D4:D90)</f>
        <v>10070.709999999999</v>
      </c>
      <c r="E2" s="6">
        <f>C2-D2</f>
        <v>38954.056000000004</v>
      </c>
      <c r="F2" s="7">
        <f>IFERROR(E2/D2, 0)</f>
        <v>3.8680545860222377</v>
      </c>
      <c r="G2" s="6">
        <f>SUM(G4:G90)</f>
        <v>25561.66</v>
      </c>
      <c r="H2" s="8">
        <f>C2-G2</f>
        <v>23463.106000000003</v>
      </c>
      <c r="I2" s="7">
        <f>IFERROR(H2/G2, 0)</f>
        <v>0.91790228021184872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24162.641</v>
      </c>
      <c r="D4" s="14">
        <v>0</v>
      </c>
      <c r="E4" s="14">
        <f>IF(AND(ISNUMBER(C4),ISNUMBER(D4)), C4-D4, "")</f>
        <v>24162.641</v>
      </c>
      <c r="F4" s="15" t="str">
        <f>IFERROR(E4/D4, "")</f>
        <v/>
      </c>
      <c r="G4" s="16">
        <v>0</v>
      </c>
      <c r="H4" s="16">
        <f>IF(AND(ISNUMBER(C4),ISNUMBER(G4)), C4-G4, "")</f>
        <v>24162.641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24862.125</v>
      </c>
      <c r="D5" s="20">
        <v>10070.709999999999</v>
      </c>
      <c r="E5" s="20">
        <f t="shared" ref="E5" si="0">IF(AND(ISNUMBER(C5),ISNUMBER(D5)), C5-D5, "")</f>
        <v>14791.415000000001</v>
      </c>
      <c r="F5" s="21">
        <f>IFERROR(E5/D5, "")</f>
        <v>1.4687559268413053</v>
      </c>
      <c r="G5" s="22">
        <v>25561.66</v>
      </c>
      <c r="H5" s="22">
        <f t="shared" ref="H5" si="1">IF(AND(ISNUMBER(C5),ISNUMBER(G5)), C5-G5, "")</f>
        <v>-699.53499999999985</v>
      </c>
      <c r="I5" s="21">
        <f t="shared" ref="I5" si="2">IFERROR(H5/G5, "")</f>
        <v>-2.736657165457955E-2</v>
      </c>
      <c r="J5" s="11" t="s">
        <v>42</v>
      </c>
      <c r="K5" s="42" t="s">
        <v>23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tabSelected="1" zoomScale="80" zoomScaleNormal="80" workbookViewId="0">
      <pane ySplit="2" topLeftCell="A3" activePane="bottomLeft" state="frozen"/>
      <selection pane="bottomLeft" activeCell="J15" sqref="J15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45</v>
      </c>
      <c r="E1" s="51"/>
      <c r="F1" s="51"/>
      <c r="G1" s="49" t="s">
        <v>46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49236.175000000003</v>
      </c>
      <c r="D2" s="6">
        <f>SUM(D4:D90)</f>
        <v>7194.1719999999996</v>
      </c>
      <c r="E2" s="6">
        <f>C2-D2</f>
        <v>42042.003000000004</v>
      </c>
      <c r="F2" s="7">
        <f>IFERROR(E2/D2, 0)</f>
        <v>5.8438973936124974</v>
      </c>
      <c r="G2" s="6">
        <f>SUM(G4:G90)</f>
        <v>21757.91</v>
      </c>
      <c r="H2" s="8">
        <f>C2-G2</f>
        <v>27478.265000000003</v>
      </c>
      <c r="I2" s="7">
        <f>IFERROR(H2/G2, 0)</f>
        <v>1.2629092132470445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25356.799999999999</v>
      </c>
      <c r="D4" s="14">
        <v>0</v>
      </c>
      <c r="E4" s="14">
        <f>IF(AND(ISNUMBER(C4),ISNUMBER(D4)), C4-D4, "")</f>
        <v>25356.799999999999</v>
      </c>
      <c r="F4" s="15" t="str">
        <f>IFERROR(E4/D4, "")</f>
        <v/>
      </c>
      <c r="G4" s="16">
        <v>0</v>
      </c>
      <c r="H4" s="16">
        <f>IF(AND(ISNUMBER(C4),ISNUMBER(G4)), C4-G4, "")</f>
        <v>25356.799999999999</v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>
        <v>23879.375</v>
      </c>
      <c r="D5" s="20">
        <v>7194.1719999999996</v>
      </c>
      <c r="E5" s="20">
        <f t="shared" ref="E5" si="0">IF(AND(ISNUMBER(C5),ISNUMBER(D5)), C5-D5, "")</f>
        <v>16685.203000000001</v>
      </c>
      <c r="F5" s="21">
        <f>IFERROR(E5/D5, "")</f>
        <v>2.31926662303876</v>
      </c>
      <c r="G5" s="22">
        <v>21757.91</v>
      </c>
      <c r="H5" s="22">
        <f t="shared" ref="H5" si="1">IF(AND(ISNUMBER(C5),ISNUMBER(G5)), C5-G5, "")</f>
        <v>2121.4650000000001</v>
      </c>
      <c r="I5" s="21">
        <f t="shared" ref="I5" si="2">IFERROR(H5/G5, "")</f>
        <v>9.7503160919408166E-2</v>
      </c>
      <c r="J5" s="48" t="s">
        <v>42</v>
      </c>
      <c r="K5" s="47" t="s">
        <v>39</v>
      </c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E24" sqref="E24"/>
      <selection activeCell="E24" sqref="E24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47</v>
      </c>
      <c r="E1" s="51"/>
      <c r="F1" s="51"/>
      <c r="G1" s="49" t="s">
        <v>48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19"/>
    </row>
    <row r="6" spans="1:11" ht="14.2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2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3.9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F17" sqref="F17"/>
    </sheetView>
  </sheetViews>
  <sheetFormatPr defaultRowHeight="13.5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0" t="str" cm="1">
        <f t="array" ref="A1">portfolio</f>
        <v>Northbridge Companies</v>
      </c>
      <c r="B1" s="50"/>
      <c r="C1" s="50"/>
      <c r="D1" s="51" t="s">
        <v>49</v>
      </c>
      <c r="E1" s="51"/>
      <c r="F1" s="51"/>
      <c r="G1" s="49" t="s">
        <v>50</v>
      </c>
      <c r="H1" s="49"/>
      <c r="I1" s="49"/>
      <c r="J1" s="5"/>
      <c r="K1" s="5"/>
    </row>
    <row r="2" spans="1:11" ht="19.5" customHeight="1">
      <c r="A2" s="52" t="s">
        <v>2</v>
      </c>
      <c r="B2" s="52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7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75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2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2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2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2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2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2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2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2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2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2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2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2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2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2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2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2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2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2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2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2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2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2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2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2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2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2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2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2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2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2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2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2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2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2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2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2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2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2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2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2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2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2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2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2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2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2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2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2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2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2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2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2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2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2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2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2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2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2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2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2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2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2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2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2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2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2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2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2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2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2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2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2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2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2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2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2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2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2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2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2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2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2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2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2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2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2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2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2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2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2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2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2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2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2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2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2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2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2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2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2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2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2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2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2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2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2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2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2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2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2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2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2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2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2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2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2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2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2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2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2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2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2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2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2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2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2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2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2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2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2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2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2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2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2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2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2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2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2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2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2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2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2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2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2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2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2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2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2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2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2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2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2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2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2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2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2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2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2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2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2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2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2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2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2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2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2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2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2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2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2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2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2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2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2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2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2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2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2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2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2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2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2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2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2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2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2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2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2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2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2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2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2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2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2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2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2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2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2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2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2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2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2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2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2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2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2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2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2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2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2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2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2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2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2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2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2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2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2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2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2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2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2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2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2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2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2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2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2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2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2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2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2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2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2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2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2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2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2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2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2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2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2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2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2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2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2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2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2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2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2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2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2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2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2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2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2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2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2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2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2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2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2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2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2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2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2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2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2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2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2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2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2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2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2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2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2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2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2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2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2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2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2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2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2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2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2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2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2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2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2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2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2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2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2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2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2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2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2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2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2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2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2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2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2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2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2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2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2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2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2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2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2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2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2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2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2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2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2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2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2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2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2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2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2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2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3.9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E18" sqref="E18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51</v>
      </c>
      <c r="B1" t="s">
        <v>52</v>
      </c>
    </row>
    <row r="3" spans="1:7">
      <c r="A3" t="s">
        <v>53</v>
      </c>
      <c r="B3" t="s">
        <v>3</v>
      </c>
      <c r="C3" t="s">
        <v>4</v>
      </c>
      <c r="D3" t="s">
        <v>54</v>
      </c>
      <c r="E3" s="2" t="s">
        <v>55</v>
      </c>
    </row>
    <row r="4" spans="1:7" ht="14.25">
      <c r="A4" t="s">
        <v>56</v>
      </c>
      <c r="B4" t="s">
        <v>57</v>
      </c>
      <c r="C4" s="4" t="s">
        <v>58</v>
      </c>
      <c r="E4" t="s">
        <v>59</v>
      </c>
      <c r="G4" s="3"/>
    </row>
    <row r="5" spans="1:7" ht="14.25">
      <c r="A5" t="s">
        <v>60</v>
      </c>
      <c r="B5" t="s">
        <v>61</v>
      </c>
      <c r="C5" s="4" t="s">
        <v>58</v>
      </c>
      <c r="E5" t="s">
        <v>62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98A113BB-8B7A-453C-8BD4-8EFC67FC2D3F}"/>
</file>

<file path=customXml/itemProps4.xml><?xml version="1.0" encoding="utf-8"?>
<ds:datastoreItem xmlns:ds="http://schemas.openxmlformats.org/officeDocument/2006/customXml" ds:itemID="{078388C9-06F9-42F4-B857-EF76B5CAF1FD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D3A7101F-9A85-4235-8B03-415370C100B2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7946C510-7D04-49D8-9B25-EEC04582A1CA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E3716282-BFD2-4ED2-BA47-BFA1123827F0}"/>
</file>

<file path=customXml/itemProps13.xml><?xml version="1.0" encoding="utf-8"?>
<ds:datastoreItem xmlns:ds="http://schemas.openxmlformats.org/officeDocument/2006/customXml" ds:itemID="{14966E4F-347B-477B-B74C-9DAC05405806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89CF5C07-45EB-4100-9AFB-2C6AF77FA787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C0BCDC1E-6052-4E48-9BAF-94A40814E7C2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2024-11-12T06:32:55Z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