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pure sky\"/>
    </mc:Choice>
  </mc:AlternateContent>
  <xr:revisionPtr revIDLastSave="21" documentId="13_ncr:1_{D04B8DC0-6725-488C-9984-70EE5577BEBD}" xr6:coauthVersionLast="47" xr6:coauthVersionMax="47" xr10:uidLastSave="{7889D36F-55E4-4827-A40A-3CA80602810F}"/>
  <bookViews>
    <workbookView xWindow="28680" yWindow="-120" windowWidth="29040" windowHeight="15720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E2" i="20" l="1"/>
  <c r="F2" i="20" s="1"/>
  <c r="G4" i="34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<sst xmlns="http://schemas.openxmlformats.org/spreadsheetml/2006/main" count="247" uniqueCount="61">
  <si>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</si>
  <si>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</si>
  <si>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</si>
  <si>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</si>
  <si>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</si>
  <si>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</si>
  <si>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</si>
  <si>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</si>
  <si>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</si>
  <si>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</si>
  <si>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</si>
  <si>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</si>
  <si>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</si>
  <si>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</si>
  <si>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</si>
  <si>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</si>
  <si>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</si>
  <si>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</si>
  <si>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</si>
  <si>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</si>
  <si>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</si>
  <si>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</si>
  <si>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</si>
  <si>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</si>
  <si>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</si>
  <si>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</si>
  <si>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</si>
  <si>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</si>
  <si>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</si>
  <si>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</si>
  <si>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</si>
  <si>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</si>
  <si>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</si>
  <si>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</si>
  <si>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Site was offline from 06/30 to 09:00am on 07/02 and again site was offline from 07/03 to 11:00am on 07/26.</t>
  </si>
  <si>
    <t>1. SR088630</t>
  </si>
  <si>
    <t>August Actual v. Expected</t>
  </si>
  <si>
    <t>August Actual v. Forecasted</t>
  </si>
  <si>
    <t>1.Site offline from 5/8 and back online on 8/8 at 13:00 
2.Site offline from 07:00AM to 11:15AM on 8/20</t>
  </si>
  <si>
    <t>1.SR088630
2.	SR089286</t>
  </si>
  <si>
    <t>September Actual v. Expected</t>
  </si>
  <si>
    <t>September Actual v. Forecasted</t>
  </si>
  <si>
    <t>1.Site is offline at 16:45 on 09/07 and back online at 12:30 on 09/09 and again tripped offline at 11:30 on 09/11 and back online at 08:30 on 09/12</t>
  </si>
  <si>
    <t>1.SR090185</t>
  </si>
  <si>
    <t>October Actual v. Expected</t>
  </si>
  <si>
    <t>October Actual v. Forecasted</t>
  </si>
  <si>
    <t xml:space="preserve">1.Site was back online on 10/01 at 16:15
2.Meter dropped to zero multiple days but voltages are available   
3.Site offline from 10/28 at 15:00 and back online on 10/31 at 9:45 AM  </t>
  </si>
  <si>
    <t>1.SR091561
2.SR092515
3.SR092623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</si>
  <si>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</si>
  <si>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</si>
  <si>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</si>
  <si>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</si>
  <si>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</si>
  <si>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PureSky Energy</t>
  </si>
  <si>
    <t>Site DAS Name</t>
  </si>
  <si>
    <t>Update</t>
  </si>
  <si>
    <t>DAS</t>
  </si>
  <si>
    <t>Cotuit</t>
  </si>
  <si>
    <t>MA: Sandwich - 180 Cotuit Road</t>
  </si>
  <si>
    <t>MA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</si>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</sst>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A3" sqref="A3:F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PureSky Energy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1035042</v>
      </c>
      <c r="D2" s="6">
        <f>SUM(D4:D60)</f>
        <v>702593.4</v>
      </c>
      <c r="E2" s="6">
        <f>C2-D2</f>
        <v>332448.59999999998</v>
      </c>
      <c r="F2" s="7">
        <f>IFERROR(E2/D2, 0)</f>
        <v>0.47317353109209392</v>
      </c>
      <c r="G2" s="6">
        <f>SUM(G4:G60)</f>
        <v>2134791.2000000002</v>
      </c>
      <c r="H2" s="8">
        <f>C2-G2</f>
        <v>-1099749.2000000002</v>
      </c>
      <c r="I2" s="7">
        <f>IFERROR(H2/G2, 0)</f>
        <v>-0.51515539318318349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Sandwich - 180 Cotuit Road</v>
      </c>
      <c r="B4" s="10" t="str" cm="1">
        <f t="array" ref="B4">Sites[State]</f>
        <v>MA</v>
      </c>
      <c r="C4" s="26">
        <f>SUM('1st Qtr'!C4, '2nd Qtr'!C4, '3rd Qtr'!C4, '4th Qtr'!C4)</f>
        <v>1035042</v>
      </c>
      <c r="D4" s="14">
        <f>SUM('1st Qtr'!D4, '2nd Qtr'!D4, '3rd Qtr'!D4, '4th Qtr'!D4)</f>
        <v>702593.4</v>
      </c>
      <c r="E4" s="14">
        <f>IF(AND(ISNUMBER(C4),ISNUMBER(D4)), C4-D4, "")</f>
        <v>332448.59999999998</v>
      </c>
      <c r="F4" s="15">
        <f>IFERROR(E4/D4, "")</f>
        <v>0.47317353109209392</v>
      </c>
      <c r="G4" s="16">
        <f>SUM('1st Qtr'!G4,'2nd Qtr'!G4,'3rd Qtr'!G4,'4th Qtr'!G4)</f>
        <v>2134791.2000000002</v>
      </c>
      <c r="H4" s="16">
        <f>SUM('1st Qtr'!H4, '2nd Qtr'!H4, '3rd Qtr'!H4, '4th Qtr'!H4)</f>
        <v>-1099749.2</v>
      </c>
      <c r="I4" s="17">
        <f>IFERROR(H4/G4, "")</f>
        <v>-0.51515539318318337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E4" sqref="E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PureSky Energy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0</v>
      </c>
      <c r="D2" s="6">
        <f>SUM(D4:D68)</f>
        <v>0</v>
      </c>
      <c r="E2" s="6">
        <f>C2-D2</f>
        <v>0</v>
      </c>
      <c r="F2" s="7">
        <f>IFERROR(E2/D2, 0)</f>
        <v>0</v>
      </c>
      <c r="G2" s="6">
        <f>SUM(G4:G68)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Sandwich - 180 Cotuit Road</v>
      </c>
      <c r="B4" s="10" t="str" cm="1">
        <f t="array" ref="B4">Sites[State]</f>
        <v>MA</v>
      </c>
      <c r="C4" s="26">
        <f>SUM(Jan!C4, Feb!C4, Mar!C4)</f>
        <v>0</v>
      </c>
      <c r="D4" s="14">
        <f>SUM(Jan!D4, Feb!D4, Mar!D4)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SUM(Jan!G4, Feb!G4, Mar!G4)</f>
        <v>0</v>
      </c>
      <c r="H4" s="16">
        <f>SUM(Jan!H4, Feb!H4, Mar!H4)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PureSky Energy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Sandwich - 180 Cotuit Road</v>
      </c>
      <c r="B4" s="10" t="str" cm="1">
        <f t="array" ref="B4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SUM(Apr!G4+May!G4+Jun!G4)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PureSky Energy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821220</v>
      </c>
      <c r="D2" s="6">
        <f>SUM(D4:D89)</f>
        <v>578636.30000000005</v>
      </c>
      <c r="E2" s="6">
        <f>C2-D2</f>
        <v>242583.69999999995</v>
      </c>
      <c r="F2" s="7">
        <f>IFERROR(E2/D2, 0)</f>
        <v>0.41923346323070282</v>
      </c>
      <c r="G2" s="6">
        <f>SUM(G4:G89)</f>
        <v>1750525.5</v>
      </c>
      <c r="H2" s="8">
        <f>C2-G2</f>
        <v>-929305.5</v>
      </c>
      <c r="I2" s="7">
        <f>IFERROR(H2/G2, 0)</f>
        <v>-0.53087230091763871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Sandwich - 180 Cotuit Road</v>
      </c>
      <c r="B4" s="10" t="str" cm="1">
        <f t="array" ref="B4">Sites[State]</f>
        <v>MA</v>
      </c>
      <c r="C4" s="26">
        <f>SUM(Jul!C4, Aug!C4, Sep!C4)</f>
        <v>821220</v>
      </c>
      <c r="D4" s="14">
        <f>SUM(Jul!D4, Aug!D4, Sep!D4)</f>
        <v>578636.30000000005</v>
      </c>
      <c r="E4" s="14">
        <f>IF(AND(ISNUMBER(C4),ISNUMBER(D4)), C4-D4, "")</f>
        <v>242583.69999999995</v>
      </c>
      <c r="F4" s="15">
        <f>IFERROR(E4/D4, "")</f>
        <v>0.41923346323070282</v>
      </c>
      <c r="G4" s="16">
        <f>SUM(Jul!G4, Aug!G4, Sep!G4)</f>
        <v>1750525.5</v>
      </c>
      <c r="H4" s="16">
        <f>SUM(Jul!H4, Aug!H4, Sep!H4)</f>
        <v>-929305.5</v>
      </c>
      <c r="I4" s="17">
        <f>IFERROR(H4/G4, "")</f>
        <v>-0.53087230091763871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I13" sqref="I13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PureSky Energy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213822</v>
      </c>
      <c r="D2" s="6">
        <f>SUM(D4:D89)</f>
        <v>123957.1</v>
      </c>
      <c r="E2" s="6">
        <f>C2-D2</f>
        <v>89864.9</v>
      </c>
      <c r="F2" s="7">
        <f>IFERROR(E2/D2, 0)</f>
        <v>0.7249677509396395</v>
      </c>
      <c r="G2" s="6">
        <f>SUM(G4:G89)</f>
        <v>384265.7</v>
      </c>
      <c r="H2" s="8">
        <f>C2-G2</f>
        <v>-170443.7</v>
      </c>
      <c r="I2" s="7">
        <f>IFERROR(H2/G2, 0)</f>
        <v>-0.44355689305602869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Sandwich - 180 Cotuit Road</v>
      </c>
      <c r="B4" s="10" t="str" cm="1">
        <f t="array" ref="B4">Sites[State]</f>
        <v>MA</v>
      </c>
      <c r="C4" s="26">
        <f>SUM(Oct!C4, Nov!C4, Dec!C4)</f>
        <v>213822</v>
      </c>
      <c r="D4" s="14">
        <f>SUM(Oct!D4, Nov!D4, Dec!D4)</f>
        <v>123957.1</v>
      </c>
      <c r="E4" s="14">
        <f>IF(AND(ISNUMBER(C4),ISNUMBER(D4)), C4-D4, "")</f>
        <v>89864.9</v>
      </c>
      <c r="F4" s="15">
        <f>IFERROR(E4/D4, "")</f>
        <v>0.7249677509396395</v>
      </c>
      <c r="G4" s="16">
        <f>SUM(Oct!G4,Nov!G4,Dec!G4)</f>
        <v>384265.7</v>
      </c>
      <c r="H4" s="16">
        <f>SUM(Oct!H4, Nov!H4, Dec!H4)</f>
        <v>-170443.7</v>
      </c>
      <c r="I4" s="17">
        <f>IFERROR(H4/G4, "")</f>
        <v>-0.44355689305602869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G4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PureSky Energy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tabSelected="1" workbookViewId="0">
      <pane ySplit="2" topLeftCell="F3" activePane="bottomLeft" state="frozen"/>
      <selection pane="bottomLeft" activeCell="K32" sqref="K32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PureSky Energy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F35" sqref="F35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PureSky Energy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5" activePane="bottomLeft" state="frozen"/>
      <selection pane="bottomLeft" activeCell="F35" sqref="F35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PureSky Energy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5" activePane="bottomLeft" state="frozen"/>
      <selection pane="bottomLeft" activeCell="F35" sqref="F35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PureSky Energy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5" activePane="bottomLeft" state="frozen"/>
      <selection pane="bottomLeft" activeCell="F35" sqref="F35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PureSky Energy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0"/>
  <sheetViews>
    <sheetView workbookViewId="0">
      <pane ySplit="2" topLeftCell="A3" activePane="bottomLeft" state="frozen"/>
      <selection pane="bottomLeft" activeCell="F16" sqref="F16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PureSky Energy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90643</v>
      </c>
      <c r="D2" s="6">
        <f>SUM(D4:D88)</f>
        <v>214201.2</v>
      </c>
      <c r="E2" s="6">
        <f>C2-D2</f>
        <v>-123558.20000000001</v>
      </c>
      <c r="F2" s="7">
        <f>IFERROR(E2/D2, 0)</f>
        <v>-0.5768324360461099</v>
      </c>
      <c r="G2" s="6">
        <f>SUM(G4:G88)</f>
        <v>648371.4</v>
      </c>
      <c r="H2" s="8">
        <f>C2-G2</f>
        <v>-557728.4</v>
      </c>
      <c r="I2" s="7">
        <f>IFERROR(H2/G2, 0)</f>
        <v>-0.86019895387119172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>
        <v>90643</v>
      </c>
      <c r="D4" s="14">
        <v>214201.2</v>
      </c>
      <c r="E4" s="14">
        <f>IF(AND(ISNUMBER(C4),ISNUMBER(D4)), C4-D4, "")</f>
        <v>-123558.20000000001</v>
      </c>
      <c r="F4" s="15">
        <f>IFERROR(E4/D4, "")</f>
        <v>-0.5768324360461099</v>
      </c>
      <c r="G4" s="16">
        <v>648371.4</v>
      </c>
      <c r="H4" s="16">
        <f>IF(AND(ISNUMBER(C4),ISNUMBER(G4)), C4-G4, "")</f>
        <v>-557728.4</v>
      </c>
      <c r="I4" s="17">
        <f>IFERROR(H4/G4, "")</f>
        <v>-0.86019895387119172</v>
      </c>
      <c r="J4" s="18" t="s">
        <v>34</v>
      </c>
      <c r="K4" s="18" t="s">
        <v>35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88 I4:I88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zoomScale="80" zoomScaleNormal="80" workbookViewId="0">
      <pane ySplit="2" topLeftCell="A3" activePane="bottomLeft" state="frozen"/>
      <selection pane="bottomLeft" activeCell="J8" sqref="J8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PureSky Energy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468409</v>
      </c>
      <c r="D2" s="6">
        <f>SUM(D4:D30)</f>
        <v>217084.3</v>
      </c>
      <c r="E2" s="6">
        <f>C2-D2</f>
        <v>251324.7</v>
      </c>
      <c r="F2" s="7">
        <f>IFERROR(E2/D2, 0)</f>
        <v>1.157728587465791</v>
      </c>
      <c r="G2" s="6">
        <f>SUM(G4:G30)</f>
        <v>605199</v>
      </c>
      <c r="H2" s="8">
        <f>C2-G2</f>
        <v>-136790</v>
      </c>
      <c r="I2" s="7">
        <f>IFERROR(H2/G2, 0)</f>
        <v>-0.22602482819700628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>
        <v>468409</v>
      </c>
      <c r="D4" s="14">
        <v>217084.3</v>
      </c>
      <c r="E4" s="14">
        <f>IF(AND(ISNUMBER(C4),ISNUMBER(D4)), C4-D4, "")</f>
        <v>251324.7</v>
      </c>
      <c r="F4" s="15">
        <f>IFERROR(E4/D4, "")</f>
        <v>1.157728587465791</v>
      </c>
      <c r="G4" s="16">
        <v>605199</v>
      </c>
      <c r="H4" s="16">
        <f>IF(AND(ISNUMBER(C4),ISNUMBER(G4)), C4-G4, "")</f>
        <v>-136790</v>
      </c>
      <c r="I4" s="17">
        <f>IFERROR(H4/G4, "")</f>
        <v>-0.22602482819700628</v>
      </c>
      <c r="J4" s="18" t="s">
        <v>38</v>
      </c>
      <c r="K4" s="18" t="s">
        <v>39</v>
      </c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E3" activePane="bottomLeft" state="frozen"/>
      <selection pane="bottomLeft" activeCell="J11" sqref="J11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PureSky Energy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262168</v>
      </c>
      <c r="D2" s="6">
        <f>SUM(D4:D90)</f>
        <v>147350.79999999999</v>
      </c>
      <c r="E2" s="6">
        <f>C2-D2</f>
        <v>114817.20000000001</v>
      </c>
      <c r="F2" s="7">
        <f>IFERROR(E2/D2, 0)</f>
        <v>0.77920988552488357</v>
      </c>
      <c r="G2" s="6">
        <f>SUM(G4:G90)</f>
        <v>496955.1</v>
      </c>
      <c r="H2" s="8">
        <f>C2-G2</f>
        <v>-234787.09999999998</v>
      </c>
      <c r="I2" s="7">
        <f>IFERROR(H2/G2, 0)</f>
        <v>-0.47245133413461293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30.75">
      <c r="A4" s="42" t="str" cm="1">
        <f t="array" ref="A4">Sites[Site]</f>
        <v>MA: Sandwich - 180 Cotuit Road</v>
      </c>
      <c r="B4" s="30" t="str" cm="1">
        <f t="array" ref="B4">Sites[State]</f>
        <v>MA</v>
      </c>
      <c r="C4" s="26">
        <v>262168</v>
      </c>
      <c r="D4" s="14">
        <v>147350.79999999999</v>
      </c>
      <c r="E4" s="14">
        <f>IF(AND(ISNUMBER(C4),ISNUMBER(D4)), C4-D4, "")</f>
        <v>114817.20000000001</v>
      </c>
      <c r="F4" s="15">
        <f>IFERROR(E4/D4, "")</f>
        <v>0.77920988552488357</v>
      </c>
      <c r="G4" s="16">
        <v>496955.1</v>
      </c>
      <c r="H4" s="16">
        <f>IF(AND(ISNUMBER(C4),ISNUMBER(G4)), C4-G4, "")</f>
        <v>-234787.09999999998</v>
      </c>
      <c r="I4" s="17">
        <f>IFERROR(H4/G4, "")</f>
        <v>-0.47245133413461293</v>
      </c>
      <c r="J4" s="18" t="s">
        <v>42</v>
      </c>
      <c r="K4" s="18" t="s">
        <v>43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E3" activePane="bottomLeft" state="frozen"/>
      <selection pane="bottomLeft" activeCell="K4" sqref="K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PureSky Energy</v>
      </c>
      <c r="B1" s="44"/>
      <c r="C1" s="44"/>
      <c r="D1" s="45" t="s">
        <v>44</v>
      </c>
      <c r="E1" s="45"/>
      <c r="F1" s="45"/>
      <c r="G1" s="43" t="s">
        <v>45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213822</v>
      </c>
      <c r="D2" s="6">
        <f>SUM(D4:D90)</f>
        <v>123957.1</v>
      </c>
      <c r="E2" s="6">
        <f>C2-D2</f>
        <v>89864.9</v>
      </c>
      <c r="F2" s="7">
        <f>IFERROR(E2/D2, 0)</f>
        <v>0.7249677509396395</v>
      </c>
      <c r="G2" s="6">
        <f>SUM(G4:G90)</f>
        <v>384265.7</v>
      </c>
      <c r="H2" s="8">
        <f>C2-G2</f>
        <v>-170443.7</v>
      </c>
      <c r="I2" s="7">
        <f>IFERROR(H2/G2, 0)</f>
        <v>-0.44355689305602869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45.75">
      <c r="A4" s="42" t="str" cm="1">
        <f t="array" ref="A4">Sites[Site]</f>
        <v>MA: Sandwich - 180 Cotuit Road</v>
      </c>
      <c r="B4" s="30" t="str" cm="1">
        <f t="array" ref="B4">Sites[State]</f>
        <v>MA</v>
      </c>
      <c r="C4" s="26">
        <v>213822</v>
      </c>
      <c r="D4" s="14">
        <v>123957.1</v>
      </c>
      <c r="E4" s="14">
        <f>IF(AND(ISNUMBER(C4),ISNUMBER(D4)), C4-D4, "")</f>
        <v>89864.9</v>
      </c>
      <c r="F4" s="15">
        <f>IFERROR(E4/D4, "")</f>
        <v>0.7249677509396395</v>
      </c>
      <c r="G4" s="16">
        <v>384265.7</v>
      </c>
      <c r="H4" s="16">
        <f>IF(AND(ISNUMBER(C4),ISNUMBER(G4)), C4-G4, "")</f>
        <v>-170443.7</v>
      </c>
      <c r="I4" s="17">
        <f>IFERROR(H4/G4, "")</f>
        <v>-0.44355689305602869</v>
      </c>
      <c r="J4" s="18" t="s">
        <v>46</v>
      </c>
      <c r="K4" s="18" t="s">
        <v>47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PureSky Energy</v>
      </c>
      <c r="B1" s="44"/>
      <c r="C1" s="44"/>
      <c r="D1" s="45" t="s">
        <v>48</v>
      </c>
      <c r="E1" s="45"/>
      <c r="F1" s="45"/>
      <c r="G1" s="43" t="s">
        <v>49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PureSky Energy</v>
      </c>
      <c r="B1" s="44"/>
      <c r="C1" s="44"/>
      <c r="D1" s="45" t="s">
        <v>50</v>
      </c>
      <c r="E1" s="45"/>
      <c r="F1" s="45"/>
      <c r="G1" s="43" t="s">
        <v>51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21" sqref="E21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52</v>
      </c>
      <c r="B1" t="s">
        <v>53</v>
      </c>
    </row>
    <row r="3" spans="1:7" ht="13.15">
      <c r="A3" t="s">
        <v>54</v>
      </c>
      <c r="B3" t="s">
        <v>3</v>
      </c>
      <c r="C3" t="s">
        <v>4</v>
      </c>
      <c r="D3" t="s">
        <v>55</v>
      </c>
      <c r="E3" s="2" t="s">
        <v>56</v>
      </c>
    </row>
    <row r="4" spans="1:7" ht="14.45">
      <c r="A4" t="s">
        <v>57</v>
      </c>
      <c r="B4" t="s">
        <v>58</v>
      </c>
      <c r="C4" s="4" t="s">
        <v>59</v>
      </c>
      <c r="E4" t="s">
        <v>60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C0BCDC1E-6052-4E48-9BAF-94A40814E7C2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Mogilipalem[Libsys]</cp:lastModifiedBy>
  <cp:revision/>
  <dcterms:created xsi:type="dcterms:W3CDTF">2021-01-01T16:39:53Z</dcterms:created>
  <dcterms:modified xsi:type="dcterms:W3CDTF">2025-01-14T07:32:05Z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2024-08-27T10:39:12Z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ed6f9183-2800-4176-bca1-5c02a6e24db1</vt:lpwstr>
  </property>
  <property fmtid="{D5CDD505-2E9C-101B-9397-08002B2CF9AE}" pid="9" name="MSIP_Label_9d817c99-0b37-4a07-8277-96aa1f96b74b_ContentBits">
    <vt:lpwstr>0</vt:lpwstr>
  </property>
</Properties>
</file>