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99" documentId="13_ncr:1_{927B38BE-4DF6-4772-B920-ADA3FB928891}" xr6:coauthVersionLast="47" xr6:coauthVersionMax="47" xr10:uidLastSave="{B83EF28B-8C68-4DE6-BBBF-114DB203E68E}"/>
  <bookViews>
    <workbookView xWindow="-98" yWindow="-98" windowWidth="21795" windowHeight="12975" tabRatio="866" firstSheet="14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1" l="1" a="1"/>
  <c r="A4" i="31"/>
  <c r="I6" i="31"/>
  <c r="I7" i="31"/>
  <c r="H6" i="31"/>
  <c r="H7" i="31"/>
  <c r="F6" i="31"/>
  <c r="F7" i="31"/>
  <c r="E6" i="31"/>
  <c r="E7" i="31"/>
  <c r="I5" i="29"/>
  <c r="I6" i="29"/>
  <c r="I7" i="29"/>
  <c r="H5" i="29"/>
  <c r="H6" i="29"/>
  <c r="H7" i="29"/>
  <c r="F6" i="29"/>
  <c r="E5" i="29"/>
  <c r="F5" i="29" s="1"/>
  <c r="E6" i="29"/>
  <c r="E7" i="29"/>
  <c r="F7" i="29" s="1"/>
  <c r="D5" i="29"/>
  <c r="D6" i="29"/>
  <c r="D7" i="29"/>
  <c r="C5" i="29"/>
  <c r="C6" i="29"/>
  <c r="C7" i="29"/>
  <c r="G5" i="29"/>
  <c r="G6" i="29"/>
  <c r="G7" i="29"/>
  <c r="G4" i="29"/>
  <c r="H6" i="28"/>
  <c r="I6" i="28" s="1"/>
  <c r="H7" i="28"/>
  <c r="I7" i="28" s="1"/>
  <c r="F6" i="28"/>
  <c r="E6" i="28"/>
  <c r="E7" i="28"/>
  <c r="F7" i="28" s="1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H2" i="28"/>
  <c r="I2" i="28" s="1"/>
  <c r="E2" i="20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<sst xmlns="http://schemas.openxmlformats.org/spreadsheetml/2006/main" count="268" uniqueCount="76">
  <si>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</si>
  <si>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</si>
  <si>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</si>
  <si>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</si>
  <si>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</si>
  <si>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</si>
  <si>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</si>
  <si>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</si>
  <si>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</si>
  <si>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</si>
  <si>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</si>
  <si>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</si>
  <si>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</si>
  <si>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</si>
  <si>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</si>
  <si>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</si>
  <si>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</si>
  <si>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</si>
  <si>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</si>
  <si>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</si>
  <si>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</si>
  <si>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</si>
  <si>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</si>
  <si>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</si>
  <si>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</si>
  <si>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</si>
  <si>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</si>
  <si>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</si>
  <si>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</si>
  <si>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</si>
  <si>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</si>
  <si>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</si>
  <si>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</si>
  <si>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</si>
  <si>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1.Inverter 11 started production at mid off the day through out the month
2.Inverter 7 has starting production after 08:00AM</t>
  </si>
  <si>
    <t>1.SR087760
2.SR088469</t>
  </si>
  <si>
    <t>August Actual v. Expected</t>
  </si>
  <si>
    <t>August Actual v. Forecasted</t>
  </si>
  <si>
    <t>1.Inverter 11 started production at mid off the day on 08/01.
2. Inverters 11 tripped offline on 08/15 at 05:20pm and back online on 08/21 at 09:50
3.Inverter 9 and 12 were underproducing approximately 20kW and back to normal production on 08/15</t>
  </si>
  <si>
    <t>1.SR087760
2.SR089142
3.SR089115</t>
  </si>
  <si>
    <t>September Actual v. Expected</t>
  </si>
  <si>
    <t>September Actual v. Forecasted</t>
  </si>
  <si>
    <t>1.Site is offline from 7:50AM to 11:25AM on 09/03 
2.Inverter 7 is offline from 09/20 and back online on 09/22
3.Forcated values is not avaible in the september but available till August</t>
  </si>
  <si>
    <t>1.SR089845
2.SR091029</t>
  </si>
  <si>
    <t>October Actual v. Expected</t>
  </si>
  <si>
    <t>October Actual v. Forecasted</t>
  </si>
  <si>
    <t>1.Inverter 4 is underperforming approximately 8kw, Inverter 9 is underperforming approximately 6kw, Inverter 11 is underperforming approximately 4kw and Inverter 16 is underperforming approximately 6kw.
2.Actual data has been caluculated  from 10/08 since the data was not available before 10/08 in Power factors</t>
  </si>
  <si>
    <t xml:space="preserve">1. SR092461,  SR092761
</t>
  </si>
  <si>
    <t xml:space="preserve">1. Inverter 2.5 tripped offline at 6:30 on 10/14/24 and came back online at 6:30 on 10/15/24.
2. Inverter 5 was being RMA'd from 10/29/24
</t>
  </si>
  <si>
    <t>1. SR092123
2. SR092752</t>
  </si>
  <si>
    <t>1.Tracker Controller 2 was struck, causing Inverter 2 to drop in production by approximately 1,600 kW from 10/09 to 10/15
2.Inverter 1 was delayed for its production on 10/13  due to a reverse branch over current fault and back online at 08:15 on 10/13</t>
  </si>
  <si>
    <t>1.SR091968
2.SR092111</t>
  </si>
  <si>
    <t>1.The meter A phase CT is still underperforming by about 93 amps after CT replacements on 10/17/24, this could explain the 5% variance between the meter and Inverters</t>
  </si>
  <si>
    <t>1.SR092199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</si>
  <si>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</si>
  <si>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</si>
  <si>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</si>
  <si>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</si>
  <si>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</si>
  <si>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AB CarVal</t>
  </si>
  <si>
    <t>Site DAS Name</t>
  </si>
  <si>
    <t>Update</t>
  </si>
  <si>
    <t>DAS</t>
  </si>
  <si>
    <t>001 - Fairhaven</t>
  </si>
  <si>
    <t>MA: Fairhaven - 279 Mill Rd</t>
  </si>
  <si>
    <t>MA</t>
  </si>
  <si>
    <t>PowerFactors</t>
  </si>
  <si>
    <t>AFTW Solar - Wheeler</t>
  </si>
  <si>
    <t>Bakersfield - 100 Basic School Rd</t>
  </si>
  <si>
    <t>CA</t>
  </si>
  <si>
    <t>AEF</t>
  </si>
  <si>
    <t>Also Energy API</t>
  </si>
  <si>
    <t>Fresno 14MW Solar - CAISO - AB Carval</t>
  </si>
  <si>
    <t>Fresno - 2685 Cornelia Ave</t>
  </si>
  <si>
    <t>JID - Crystal Farms Local Solar</t>
  </si>
  <si>
    <t>San Juaquin - S. Placer &amp; W.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</si>
</sst>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Alignment="1">
      <alignment horizontal="left" vertical="top" wrapText="1"/>
    </xf>
    <xf numFmtId="9" fontId="30" fillId="37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" borderId="0" xfId="2" applyFont="1" applyFill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horizontal="left" vertical="top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AB CarVal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6">
        <f>SUM(C4:C60)</f>
        <v>1720750</v>
      </c>
      <c r="D2" s="6">
        <f>SUM(D4:D60)</f>
        <v>1715570.4117999999</v>
      </c>
      <c r="E2" s="6">
        <f>C2-D2</f>
        <v>5179.5882000001147</v>
      </c>
      <c r="F2" s="7">
        <f>IFERROR(E2/D2, 0)</f>
        <v>3.019163867815615E-3</v>
      </c>
      <c r="G2" s="6">
        <f>SUM(G4:G60)</f>
        <v>1199229.78</v>
      </c>
      <c r="H2" s="8">
        <f>C2-G2</f>
        <v>521520.22</v>
      </c>
      <c r="I2" s="7">
        <f>IFERROR(H2/G2, 0)</f>
        <v>0.43487931061885399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SUM('1st Qtr'!C4, '2nd Qtr'!C4, '3rd Qtr'!C4, '4th Qtr'!C4)</f>
        <v>1720750</v>
      </c>
      <c r="D4" s="14">
        <f>SUM('1st Qtr'!D4, '2nd Qtr'!D4, '3rd Qtr'!D4, '4th Qtr'!D4)</f>
        <v>1715570.4117999999</v>
      </c>
      <c r="E4" s="14">
        <f>IF(AND(ISNUMBER(C4),ISNUMBER(D4)), C4-D4, "")</f>
        <v>5179.5882000001147</v>
      </c>
      <c r="F4" s="15">
        <f>IFERROR(E4/D4, "")</f>
        <v>3.019163867815615E-3</v>
      </c>
      <c r="G4" s="16">
        <f>SUM('1st Qtr'!G4,'2nd Qtr'!G4,'3rd Qtr'!G4,'4th Qtr'!G4)</f>
        <v>1199229.78</v>
      </c>
      <c r="H4" s="16">
        <f>SUM('1st Qtr'!H4, '2nd Qtr'!H4, '3rd Qtr'!H4, '4th Qtr'!H4)</f>
        <v>521520.22</v>
      </c>
      <c r="I4" s="17">
        <f>IFERROR(H4/G4, "")</f>
        <v>0.43487931061885399</v>
      </c>
    </row>
    <row r="5" spans="1:9" ht="13.15">
      <c r="A5" s="23" t="str">
        <v>Bakersfield - 100 Basic School Rd</v>
      </c>
      <c r="B5" s="23" t="str">
        <v>CA</v>
      </c>
      <c r="C5" s="23"/>
      <c r="D5" s="23"/>
      <c r="E5" s="23"/>
      <c r="F5" s="24"/>
      <c r="G5" s="23"/>
      <c r="H5" s="23"/>
      <c r="I5" s="24"/>
    </row>
    <row r="6" spans="1:9" ht="13.15">
      <c r="A6" s="23" t="str">
        <v>Fresno - 2685 Cornelia Ave</v>
      </c>
      <c r="B6" s="23" t="str">
        <v>CA</v>
      </c>
      <c r="C6" s="23"/>
      <c r="D6" s="23"/>
      <c r="E6" s="23"/>
      <c r="F6" s="24"/>
      <c r="G6" s="23"/>
      <c r="H6" s="23"/>
      <c r="I6" s="24"/>
    </row>
    <row r="7" spans="1:9" ht="13.15">
      <c r="A7" s="23" t="str">
        <v>San Juaquin - S. Placer &amp; W. Adams</v>
      </c>
      <c r="B7" s="23" t="str">
        <v>CA</v>
      </c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B32" sqref="B32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AB CarVal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15">
      <c r="A5" s="23" t="str">
        <v>Bakersfield - 100 Basic School Rd</v>
      </c>
      <c r="B5" s="23" t="str">
        <v>CA</v>
      </c>
      <c r="C5" s="23"/>
      <c r="D5" s="23"/>
      <c r="E5" s="23"/>
      <c r="F5" s="24"/>
      <c r="G5" s="23"/>
      <c r="H5" s="23"/>
      <c r="I5" s="24"/>
    </row>
    <row r="6" spans="1:9" ht="13.15">
      <c r="A6" s="23" t="str">
        <v>Fresno - 2685 Cornelia Ave</v>
      </c>
      <c r="B6" s="23" t="str">
        <v>CA</v>
      </c>
      <c r="C6" s="23"/>
      <c r="D6" s="23"/>
      <c r="E6" s="23"/>
      <c r="F6" s="24"/>
      <c r="G6" s="23"/>
      <c r="H6" s="23"/>
      <c r="I6" s="24"/>
    </row>
    <row r="7" spans="1:9" ht="13.15">
      <c r="A7" s="23" t="str">
        <v>San Juaquin - S. Placer &amp; W. Adams</v>
      </c>
      <c r="B7" s="23" t="str">
        <v>CA</v>
      </c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32"/>
  <sheetViews>
    <sheetView workbookViewId="0">
      <pane ySplit="2" topLeftCell="A3" activePane="bottomLeft" state="frozen"/>
      <selection pane="bottomLeft" activeCell="A11" sqref="A11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11" ht="19.5" customHeight="1">
      <c r="A2" s="56" t="s">
        <v>2</v>
      </c>
      <c r="B2" s="56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75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SUM(Apr!C4, May!C4, Jun!C4)</f>
        <v>384286</v>
      </c>
      <c r="D4" s="14">
        <f>SUM(Apr!D4, May!D4, Jun!D4)</f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f>SUM(Apr!G4+May!G4+Jun!G4)</f>
        <v>391768</v>
      </c>
      <c r="H4" s="16">
        <f>SUM(Apr!H4, May!H4, Jun!H4)</f>
        <v>-7482</v>
      </c>
      <c r="I4" s="17">
        <f>IFERROR(H4/G4, "")</f>
        <v>-1.9098037614098139E-2</v>
      </c>
    </row>
    <row r="5" spans="1:11" ht="15.75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15.75">
      <c r="A6" s="13" t="str">
        <v>Fresno - 2685 Cornelia Ave</v>
      </c>
      <c r="B6" s="10" t="str">
        <v>CA</v>
      </c>
      <c r="C6" s="26"/>
      <c r="D6" s="14"/>
      <c r="E6" s="14"/>
      <c r="F6" s="15"/>
      <c r="G6" s="16"/>
      <c r="H6" s="16"/>
      <c r="I6" s="17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11" ht="13.15">
      <c r="A9" s="23"/>
      <c r="B9" s="23"/>
      <c r="C9" s="23"/>
      <c r="D9" s="23"/>
      <c r="E9" s="23"/>
      <c r="F9" s="23"/>
      <c r="G9" s="23"/>
      <c r="H9" s="23"/>
      <c r="I9" s="23"/>
    </row>
    <row r="10" spans="1:11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42" priority="5" stopIfTrue="1" operator="lessThanOrEqual">
      <formula>-0.1</formula>
    </cfRule>
    <cfRule type="expression" dxfId="41" priority="6">
      <formula>AND(ISNUMBER(F2), F2&gt;=0.1)</formula>
    </cfRule>
  </conditionalFormatting>
  <conditionalFormatting sqref="F4:F90 I4:I9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31"/>
  <sheetViews>
    <sheetView workbookViewId="0">
      <pane ySplit="2" topLeftCell="A3" activePane="bottomLeft" state="frozen"/>
      <selection pane="bottomLeft" activeCell="A5" sqref="A5:XFD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11" ht="19.5" customHeight="1">
      <c r="A2" s="56" t="s">
        <v>2</v>
      </c>
      <c r="B2" s="56"/>
      <c r="C2" s="6">
        <f>SUM(C4:C89)</f>
        <v>6096294</v>
      </c>
      <c r="D2" s="6">
        <f>SUM(D4:D89)</f>
        <v>6243430.0259999996</v>
      </c>
      <c r="E2" s="6">
        <f>C2-D2</f>
        <v>-147136.02599999961</v>
      </c>
      <c r="F2" s="7">
        <f>IFERROR(E2/D2, 0)</f>
        <v>-2.3566537205873959E-2</v>
      </c>
      <c r="G2" s="6">
        <f>SUM(G4:G89)</f>
        <v>5992142.7800000003</v>
      </c>
      <c r="H2" s="8">
        <f>C2-G2</f>
        <v>104151.21999999974</v>
      </c>
      <c r="I2" s="7">
        <f>IFERROR(H2/G2, 0)</f>
        <v>1.7381298113860986E-2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75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SUM(Jul!C4, Aug!C4, Sep!C4)</f>
        <v>1085530</v>
      </c>
      <c r="D4" s="14">
        <f>SUM(Jul!D4, Aug!D4, Sep!D4)</f>
        <v>1082252.8259999999</v>
      </c>
      <c r="E4" s="14">
        <f>IF(AND(ISNUMBER(C4),ISNUMBER(D4)), C4-D4, "")</f>
        <v>3277.1740000001155</v>
      </c>
      <c r="F4" s="15">
        <f>IFERROR(E4/D4, "")</f>
        <v>3.0281038970464335E-3</v>
      </c>
      <c r="G4" s="16">
        <f>SUM(Jul!G4, Aug!G4, Sep!G4)</f>
        <v>807461.78</v>
      </c>
      <c r="H4" s="16">
        <f>SUM(Jul!H4, Aug!H4, Sep!H4)</f>
        <v>278068.21999999997</v>
      </c>
      <c r="I4" s="17">
        <f>IFERROR(H4/G4, "")</f>
        <v>0.34437322841460061</v>
      </c>
    </row>
    <row r="5" spans="1:11" ht="15.75">
      <c r="A5" s="31" t="str">
        <v>Bakersfield - 100 Basic School Rd</v>
      </c>
      <c r="B5" s="32" t="str">
        <v>CA</v>
      </c>
      <c r="C5" s="12">
        <f>SUM(Jul!C5, Aug!C5, Sep!C5)</f>
        <v>1315185</v>
      </c>
      <c r="D5" s="20">
        <f>SUM(Jul!D5, Aug!D5, Sep!D5)</f>
        <v>1348439</v>
      </c>
      <c r="E5" s="20">
        <f t="shared" ref="E5:E7" si="0">IF(AND(ISNUMBER(C5),ISNUMBER(D5)), C5-D5, "")</f>
        <v>-33254</v>
      </c>
      <c r="F5" s="21">
        <f t="shared" ref="F5:F7" si="1">IFERROR(E5/D5, "")</f>
        <v>-2.4661108140598128E-2</v>
      </c>
      <c r="G5" s="22">
        <f>SUM(Jul!G5, Aug!G5, Sep!G5)</f>
        <v>1343400</v>
      </c>
      <c r="H5" s="22">
        <f>SUM(Jul!H5, Aug!H5, Sep!H5)</f>
        <v>-28215</v>
      </c>
      <c r="I5" s="21">
        <f t="shared" ref="I5:I7" si="2">IFERROR(H5/G5, "")</f>
        <v>-2.1002679767753461E-2</v>
      </c>
      <c r="J5" s="11"/>
      <c r="K5" s="19"/>
    </row>
    <row r="6" spans="1:11" ht="15.75">
      <c r="A6" s="13" t="str">
        <v>Fresno - 2685 Cornelia Ave</v>
      </c>
      <c r="B6" s="10" t="str">
        <v>CA</v>
      </c>
      <c r="C6" s="26">
        <f>SUM(Jul!C6, Aug!C6, Sep!C6)</f>
        <v>2700894</v>
      </c>
      <c r="D6" s="14">
        <f>SUM(Jul!D6, Aug!D6, Sep!D6)</f>
        <v>2850481</v>
      </c>
      <c r="E6" s="14">
        <f t="shared" si="0"/>
        <v>-149587</v>
      </c>
      <c r="F6" s="15">
        <f t="shared" si="1"/>
        <v>-5.2477809885419335E-2</v>
      </c>
      <c r="G6" s="16">
        <f>SUM(Jul!G6, Aug!G6, Sep!G6)</f>
        <v>2826542</v>
      </c>
      <c r="H6" s="16">
        <f>SUM(Jul!H6, Aug!H6, Sep!H6)</f>
        <v>-125648</v>
      </c>
      <c r="I6" s="17">
        <f t="shared" si="2"/>
        <v>-4.4452903937036846E-2</v>
      </c>
    </row>
    <row r="7" spans="1:11" ht="12.75" customHeight="1">
      <c r="A7" s="31" t="str">
        <v>San Juaquin - S. Placer &amp; W. Adams</v>
      </c>
      <c r="B7" s="32" t="str">
        <v>CA</v>
      </c>
      <c r="C7" s="12">
        <f>SUM(Jul!C7, Aug!C7, Sep!C7)</f>
        <v>994685</v>
      </c>
      <c r="D7" s="20">
        <f>SUM(Jul!D7, Aug!D7, Sep!D7)</f>
        <v>962257.2</v>
      </c>
      <c r="E7" s="20">
        <f t="shared" si="0"/>
        <v>32427.800000000047</v>
      </c>
      <c r="F7" s="21">
        <f t="shared" si="1"/>
        <v>3.3699721862304639E-2</v>
      </c>
      <c r="G7" s="22">
        <f>SUM(Jul!G7, Aug!G7, Sep!G7)</f>
        <v>1014739</v>
      </c>
      <c r="H7" s="22">
        <f>SUM(Jul!H7, Aug!H7, Sep!H7)</f>
        <v>-20054</v>
      </c>
      <c r="I7" s="21">
        <f t="shared" si="2"/>
        <v>-1.9762717309574185E-2</v>
      </c>
      <c r="J7" s="11"/>
      <c r="K7" s="19"/>
    </row>
    <row r="8" spans="1:11" ht="13.15">
      <c r="A8" s="23"/>
      <c r="B8" s="23"/>
      <c r="C8" s="23"/>
      <c r="D8" s="23"/>
      <c r="E8" s="23"/>
      <c r="F8" s="23"/>
      <c r="G8" s="23"/>
      <c r="H8" s="23"/>
      <c r="I8" s="23"/>
    </row>
    <row r="9" spans="1:11" ht="13.15">
      <c r="A9" s="23"/>
      <c r="B9" s="23"/>
      <c r="C9" s="23"/>
      <c r="D9" s="23"/>
      <c r="E9" s="23"/>
      <c r="F9" s="23"/>
      <c r="G9" s="23"/>
      <c r="H9" s="23"/>
      <c r="I9" s="23"/>
    </row>
    <row r="10" spans="1:11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">
    <cfRule type="cellIs" dxfId="38" priority="5" stopIfTrue="1" operator="lessThanOrEqual">
      <formula>-0.1</formula>
    </cfRule>
    <cfRule type="expression" dxfId="37" priority="6">
      <formula>AND(ISNUMBER(F2), F2&gt;=0.1)</formula>
    </cfRule>
  </conditionalFormatting>
  <conditionalFormatting sqref="F4:F89 I4:I89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29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AB CarVal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6">
        <f>SUM(C4:C89)</f>
        <v>250934</v>
      </c>
      <c r="D2" s="6">
        <f>SUM(D4:D89)</f>
        <v>221630.5858</v>
      </c>
      <c r="E2" s="6">
        <f>C2-D2</f>
        <v>29303.414199999999</v>
      </c>
      <c r="F2" s="7">
        <f>IFERROR(E2/D2, 0)</f>
        <v>0.13221737466526157</v>
      </c>
      <c r="G2" s="6">
        <f>SUM(G4:G89)</f>
        <v>0</v>
      </c>
      <c r="H2" s="8">
        <f>C2-G2</f>
        <v>250934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SUM(Oct!C4, Nov!C4, Dec!C4)</f>
        <v>250934</v>
      </c>
      <c r="D4" s="14">
        <f>SUM(Oct!D4, Nov!D4, Dec!D4)</f>
        <v>221630.5858</v>
      </c>
      <c r="E4" s="14">
        <f>IF(AND(ISNUMBER(C4),ISNUMBER(D4)), C4-D4, "")</f>
        <v>29303.414199999999</v>
      </c>
      <c r="F4" s="15">
        <f>IFERROR(E4/D4, "")</f>
        <v>0.13221737466526157</v>
      </c>
      <c r="G4" s="16"/>
      <c r="H4" s="16">
        <f>SUM(Oct!H4, Nov!H4, Dec!H4)</f>
        <v>250934</v>
      </c>
      <c r="I4" s="17" t="str">
        <f>IFERROR(H4/G4, "")</f>
        <v/>
      </c>
    </row>
    <row r="5" spans="1:9" ht="13.15">
      <c r="A5" s="23" t="str">
        <v>Bakersfield - 100 Basic School Rd</v>
      </c>
      <c r="B5" s="23" t="str">
        <v>CA</v>
      </c>
      <c r="C5" s="23"/>
      <c r="D5" s="23"/>
      <c r="E5" s="23"/>
      <c r="F5" s="23"/>
      <c r="G5" s="23"/>
      <c r="H5" s="23"/>
      <c r="I5" s="23"/>
    </row>
    <row r="6" spans="1:9" ht="13.15">
      <c r="A6" s="23" t="str">
        <v>Fresno - 2685 Cornelia Ave</v>
      </c>
      <c r="B6" s="23" t="str">
        <v>CA</v>
      </c>
      <c r="C6" s="23"/>
      <c r="D6" s="23"/>
      <c r="E6" s="23"/>
      <c r="F6" s="23"/>
      <c r="G6" s="23"/>
      <c r="H6" s="23"/>
      <c r="I6" s="23"/>
    </row>
    <row r="7" spans="1:9" ht="12.75" customHeight="1">
      <c r="A7" s="23" t="str">
        <v>San Juaquin - S. Placer &amp; W. Adams</v>
      </c>
      <c r="B7" s="23" t="str">
        <v>CA</v>
      </c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 t="str">
        <v>Fresno - 2685 Cornelia Ave</v>
      </c>
      <c r="B6" s="34" t="str">
        <v>CA</v>
      </c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32" priority="2" stopIfTrue="1" operator="lessThanOrEqual">
      <formula>-0.1</formula>
    </cfRule>
    <cfRule type="expression" dxfId="31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A9" sqref="A9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5 I4:I85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7" sqref="A7:XFD7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15" sqref="A1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26</v>
      </c>
      <c r="E1" s="55"/>
      <c r="F1" s="55"/>
      <c r="G1" s="53" t="s">
        <v>27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12" sqref="A12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90 I4:I9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7" sqref="A7:K7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384286</v>
      </c>
      <c r="D4" s="14"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v>391768</v>
      </c>
      <c r="H4" s="16">
        <f>IF(AND(ISNUMBER(C4),ISNUMBER(G4)), C4-G4, "")</f>
        <v>-7482</v>
      </c>
      <c r="I4" s="17">
        <f>IFERROR(H4/G4, "")</f>
        <v>-1.9098037614098139E-2</v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P15" sqref="P1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362724</v>
      </c>
      <c r="D2" s="6">
        <f>SUM(D4:D90)</f>
        <v>372410</v>
      </c>
      <c r="E2" s="6">
        <f>C2-D2</f>
        <v>-9686</v>
      </c>
      <c r="F2" s="7">
        <f>IFERROR(E2/D2, 0)</f>
        <v>-2.6008968609865471E-2</v>
      </c>
      <c r="G2" s="6">
        <f>SUM(G4:G90)</f>
        <v>420082</v>
      </c>
      <c r="H2" s="8">
        <f>C2-G2</f>
        <v>-57358</v>
      </c>
      <c r="I2" s="7">
        <f>IFERROR(H2/G2, 0)</f>
        <v>-0.13654000885541395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362724</v>
      </c>
      <c r="D4" s="14">
        <v>372410</v>
      </c>
      <c r="E4" s="14">
        <f>IF(AND(ISNUMBER(C4),ISNUMBER(D4)), C4-D4, "")</f>
        <v>-9686</v>
      </c>
      <c r="F4" s="15">
        <f>IFERROR(E4/D4, "")</f>
        <v>-2.6008968609865471E-2</v>
      </c>
      <c r="G4" s="16">
        <v>420082</v>
      </c>
      <c r="H4" s="16">
        <f>IF(AND(ISNUMBER(C4),ISNUMBER(G4)), C4-G4, "")</f>
        <v>-57358</v>
      </c>
      <c r="I4" s="17">
        <f>IFERROR(H4/G4, "")</f>
        <v>-0.13654000885541395</v>
      </c>
      <c r="J4" s="18" t="s">
        <v>34</v>
      </c>
      <c r="K4" s="18" t="s">
        <v>35</v>
      </c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 t="str">
        <v>Fresno - 2685 Cornelia Ave</v>
      </c>
      <c r="B6" s="34" t="str">
        <v>CA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4" sqref="D4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36</v>
      </c>
      <c r="E1" s="55"/>
      <c r="F1" s="55"/>
      <c r="G1" s="53" t="s">
        <v>37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SUM(C4:C30)</f>
        <v>396125</v>
      </c>
      <c r="D2" s="6">
        <f>SUM(D4:D30)</f>
        <v>392976.826</v>
      </c>
      <c r="E2" s="6">
        <f>C2-D2</f>
        <v>3148.1739999999991</v>
      </c>
      <c r="F2" s="7">
        <f>IFERROR(E2/D2, 0)</f>
        <v>8.0110932546439747E-3</v>
      </c>
      <c r="G2" s="6">
        <f>SUM(G4:G30)</f>
        <v>387379.78</v>
      </c>
      <c r="H2" s="8">
        <f>C2-G2</f>
        <v>8745.2199999999721</v>
      </c>
      <c r="I2" s="7">
        <f>IFERROR(H2/G2, 0)</f>
        <v>2.2575313559215639E-2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57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396125</v>
      </c>
      <c r="D4" s="14">
        <v>392976.826</v>
      </c>
      <c r="E4" s="14">
        <f>IF(AND(ISNUMBER(C4),ISNUMBER(D4)), C4-D4, "")</f>
        <v>3148.1739999999991</v>
      </c>
      <c r="F4" s="15">
        <f>IFERROR(E4/D4, "")</f>
        <v>8.0110932546439747E-3</v>
      </c>
      <c r="G4" s="16">
        <v>387379.78</v>
      </c>
      <c r="H4" s="16">
        <f>IF(AND(ISNUMBER(C4),ISNUMBER(G4)), C4-G4, "")</f>
        <v>8745.2199999999721</v>
      </c>
      <c r="I4" s="17">
        <f>IFERROR(H4/G4, "")</f>
        <v>2.2575313559215639E-2</v>
      </c>
      <c r="J4" s="18" t="s">
        <v>38</v>
      </c>
      <c r="K4" s="18" t="s">
        <v>39</v>
      </c>
    </row>
    <row r="5" spans="1:11" ht="15.75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4:F30 I4:I3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9" sqref="H9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40</v>
      </c>
      <c r="E1" s="55"/>
      <c r="F1" s="55"/>
      <c r="G1" s="53" t="s">
        <v>41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5337445</v>
      </c>
      <c r="D2" s="6">
        <f>SUM(D4:D90)</f>
        <v>5478043.2000000002</v>
      </c>
      <c r="E2" s="6">
        <f>C2-D2</f>
        <v>-140598.20000000019</v>
      </c>
      <c r="F2" s="7">
        <f>IFERROR(E2/D2, 0)</f>
        <v>-2.5665770580268549E-2</v>
      </c>
      <c r="G2" s="6">
        <f>SUM(G4:G90)</f>
        <v>5184681</v>
      </c>
      <c r="H2" s="8">
        <f>C2-G2</f>
        <v>152764</v>
      </c>
      <c r="I2" s="7">
        <f>IFERROR(H2/G2, 0)</f>
        <v>2.9464493572507161E-2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2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326681</v>
      </c>
      <c r="D4" s="14">
        <v>316866</v>
      </c>
      <c r="E4" s="14">
        <f>IF(AND(ISNUMBER(C4),ISNUMBER(D4)), C4-D4, "")</f>
        <v>9815</v>
      </c>
      <c r="F4" s="15">
        <f>IFERROR(E4/D4, "")</f>
        <v>3.0975238744453491E-2</v>
      </c>
      <c r="G4" s="16">
        <v>0</v>
      </c>
      <c r="H4" s="16">
        <f>IF(AND(ISNUMBER(C4),ISNUMBER(G4)), C4-G4, "")</f>
        <v>326681</v>
      </c>
      <c r="I4" s="17" t="str">
        <f>IFERROR(H4/G4, "")</f>
        <v/>
      </c>
      <c r="J4" s="18" t="s">
        <v>42</v>
      </c>
      <c r="K4" s="18" t="s">
        <v>43</v>
      </c>
    </row>
    <row r="5" spans="1:11" ht="15.75">
      <c r="A5" s="31" t="str">
        <v>Bakersfield - 100 Basic School Rd</v>
      </c>
      <c r="B5" s="32" t="str">
        <v>CA</v>
      </c>
      <c r="C5" s="12">
        <v>1315185</v>
      </c>
      <c r="D5" s="20">
        <v>1348439</v>
      </c>
      <c r="E5" s="20">
        <f t="shared" ref="E5:E7" si="0">IF(AND(ISNUMBER(C5),ISNUMBER(D5)), C5-D5, "")</f>
        <v>-33254</v>
      </c>
      <c r="F5" s="21">
        <f t="shared" ref="F5:F7" si="1">IFERROR(E5/D5, "")</f>
        <v>-2.4661108140598128E-2</v>
      </c>
      <c r="G5" s="22">
        <v>1343400</v>
      </c>
      <c r="H5" s="22">
        <f t="shared" ref="H5:H7" si="2">IF(AND(ISNUMBER(C5),ISNUMBER(G5)), C5-G5, "")</f>
        <v>-28215</v>
      </c>
      <c r="I5" s="21">
        <f t="shared" ref="I5:I7" si="3">IFERROR(H5/G5, "")</f>
        <v>-2.1002679767753461E-2</v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>
        <v>2700894</v>
      </c>
      <c r="D6" s="14">
        <v>2850481</v>
      </c>
      <c r="E6" s="14">
        <f t="shared" si="0"/>
        <v>-149587</v>
      </c>
      <c r="F6" s="15">
        <f t="shared" si="1"/>
        <v>-5.2477809885419335E-2</v>
      </c>
      <c r="G6" s="16">
        <v>2826542</v>
      </c>
      <c r="H6" s="16">
        <f t="shared" si="2"/>
        <v>-125648</v>
      </c>
      <c r="I6" s="17">
        <f t="shared" si="3"/>
        <v>-4.4452903937036846E-2</v>
      </c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>
        <v>994685</v>
      </c>
      <c r="D7" s="20">
        <v>962257.2</v>
      </c>
      <c r="E7" s="20">
        <f t="shared" si="0"/>
        <v>32427.800000000047</v>
      </c>
      <c r="F7" s="21">
        <f t="shared" si="1"/>
        <v>3.3699721862304639E-2</v>
      </c>
      <c r="G7" s="22">
        <v>1014739</v>
      </c>
      <c r="H7" s="22">
        <f t="shared" si="2"/>
        <v>-20054</v>
      </c>
      <c r="I7" s="21">
        <f t="shared" si="3"/>
        <v>-1.9762717309574185E-2</v>
      </c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E12" sqref="E1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44</v>
      </c>
      <c r="E1" s="55"/>
      <c r="F1" s="55"/>
      <c r="G1" s="53" t="s">
        <v>45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4208609</v>
      </c>
      <c r="D2" s="6">
        <f>SUM(D4:D90)</f>
        <v>4422716.0857999995</v>
      </c>
      <c r="E2" s="6">
        <f>C2-D2</f>
        <v>-214107.08579999954</v>
      </c>
      <c r="F2" s="7">
        <f>IFERROR(E2/D2, 0)</f>
        <v>-4.8410768777908328E-2</v>
      </c>
      <c r="G2" s="6">
        <f>SUM(G4:G90)</f>
        <v>4030429.3</v>
      </c>
      <c r="H2" s="8">
        <f>C2-G2</f>
        <v>178179.70000000019</v>
      </c>
      <c r="I2" s="7">
        <f>IFERROR(H2/G2, 0)</f>
        <v>4.4208615692626144E-2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6.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49">
        <v>250934</v>
      </c>
      <c r="D4" s="14">
        <v>221630.5858</v>
      </c>
      <c r="E4" s="14">
        <f>IF(AND(ISNUMBER(C4),ISNUMBER(D4)), C4-D4, "")</f>
        <v>29303.414199999999</v>
      </c>
      <c r="F4" s="48">
        <f>IFERROR(E4/D4, "")</f>
        <v>0.13221737466526157</v>
      </c>
      <c r="G4" s="47">
        <v>0</v>
      </c>
      <c r="H4" s="47">
        <f>IF(AND(ISNUMBER(C4),ISNUMBER(G4)), C4-G4, "")</f>
        <v>250934</v>
      </c>
      <c r="I4" s="46" t="str">
        <f>IFERROR(H4/G4, "")</f>
        <v/>
      </c>
      <c r="J4" s="45" t="s">
        <v>46</v>
      </c>
      <c r="K4" s="45" t="s">
        <v>47</v>
      </c>
    </row>
    <row r="5" spans="1:11" ht="60" customHeight="1">
      <c r="A5" s="31" t="str">
        <v>Bakersfield - 100 Basic School Rd</v>
      </c>
      <c r="B5" s="32" t="str">
        <v>CA</v>
      </c>
      <c r="C5" s="12">
        <v>1120959</v>
      </c>
      <c r="D5" s="20">
        <v>1131274</v>
      </c>
      <c r="E5" s="20">
        <f t="shared" ref="E5" si="0">IF(AND(ISNUMBER(C5),ISNUMBER(D5)), C5-D5, "")</f>
        <v>-10315</v>
      </c>
      <c r="F5" s="21">
        <f t="shared" ref="F5" si="1">IFERROR(E5/D5, "")</f>
        <v>-9.1180386007280283E-3</v>
      </c>
      <c r="G5" s="22">
        <v>1068564</v>
      </c>
      <c r="H5" s="22">
        <f t="shared" ref="H5" si="2">IF(AND(ISNUMBER(C5),ISNUMBER(G5)), C5-G5, "")</f>
        <v>52395</v>
      </c>
      <c r="I5" s="21">
        <f t="shared" ref="I5" si="3">IFERROR(H5/G5, "")</f>
        <v>4.9033094882477792E-2</v>
      </c>
      <c r="J5" s="50" t="s">
        <v>48</v>
      </c>
      <c r="K5" s="50" t="s">
        <v>49</v>
      </c>
    </row>
    <row r="6" spans="1:11" ht="57">
      <c r="A6" s="52" t="str">
        <v>Fresno - 2685 Cornelia Ave</v>
      </c>
      <c r="B6" s="30" t="str">
        <v>CA</v>
      </c>
      <c r="C6" s="49">
        <v>2004344</v>
      </c>
      <c r="D6" s="14">
        <v>2208375</v>
      </c>
      <c r="E6" s="14">
        <f>IF(AND(ISNUMBER(C6),ISNUMBER(D6)), C6-D6, "")</f>
        <v>-204031</v>
      </c>
      <c r="F6" s="48">
        <f>IFERROR(E6/D6, "")</f>
        <v>-9.2389653025414617E-2</v>
      </c>
      <c r="G6" s="47">
        <v>2168728</v>
      </c>
      <c r="H6" s="47">
        <f>IF(AND(ISNUMBER(C6),ISNUMBER(G6)), C6-G6, "")</f>
        <v>-164384</v>
      </c>
      <c r="I6" s="46">
        <f>IFERROR(H6/G6, "")</f>
        <v>-7.5797425956597594E-2</v>
      </c>
      <c r="J6" s="45" t="s">
        <v>50</v>
      </c>
      <c r="K6" s="45" t="s">
        <v>51</v>
      </c>
    </row>
    <row r="7" spans="1:11" ht="42.75">
      <c r="A7" s="31" t="str">
        <v>San Juaquin - S. Placer &amp; W. Adams</v>
      </c>
      <c r="B7" s="32" t="str">
        <v>CA</v>
      </c>
      <c r="C7" s="42">
        <v>832372</v>
      </c>
      <c r="D7" s="20">
        <v>861436.5</v>
      </c>
      <c r="E7" s="20">
        <f>IF(AND(ISNUMBER(C7),ISNUMBER(D7)), C7-D7, "")</f>
        <v>-29064.5</v>
      </c>
      <c r="F7" s="43">
        <f>IFERROR(E7/D7, "")</f>
        <v>-3.37395733754026E-2</v>
      </c>
      <c r="G7" s="44">
        <v>793137.3</v>
      </c>
      <c r="H7" s="44">
        <f>IF(AND(ISNUMBER(C7),ISNUMBER(G7)), C7-G7, "")</f>
        <v>39234.699999999953</v>
      </c>
      <c r="I7" s="43">
        <f>IFERROR(H7/G7, "")</f>
        <v>4.9467727718769436E-2</v>
      </c>
      <c r="J7" s="50" t="s">
        <v>52</v>
      </c>
      <c r="K7" s="51" t="s">
        <v>53</v>
      </c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abSelected="1" workbookViewId="0">
      <pane ySplit="2" topLeftCell="A3" activePane="bottomLeft" state="frozen"/>
      <selection pane="bottomLeft" activeCell="D16" sqref="D16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54</v>
      </c>
      <c r="E1" s="55"/>
      <c r="F1" s="55"/>
      <c r="G1" s="53" t="s">
        <v>55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AB CarVal</v>
      </c>
      <c r="B1" s="54"/>
      <c r="C1" s="54"/>
      <c r="D1" s="55" t="s">
        <v>56</v>
      </c>
      <c r="E1" s="55"/>
      <c r="F1" s="55"/>
      <c r="G1" s="53" t="s">
        <v>57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 t="str">
        <v>Fresno - 2685 Cornelia Ave</v>
      </c>
      <c r="B6" s="34" t="str">
        <v>CA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11" sqref="E1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25">
      <c r="A4" t="s">
        <v>63</v>
      </c>
      <c r="B4" t="s">
        <v>64</v>
      </c>
      <c r="C4" s="4" t="s">
        <v>65</v>
      </c>
      <c r="E4" t="s">
        <v>66</v>
      </c>
      <c r="G4" s="3"/>
    </row>
    <row r="5" spans="1:7" ht="12.75" customHeight="1">
      <c r="A5" s="4" t="s">
        <v>67</v>
      </c>
      <c r="B5" s="4" t="s">
        <v>68</v>
      </c>
      <c r="C5" s="4" t="s">
        <v>69</v>
      </c>
      <c r="D5" t="s">
        <v>70</v>
      </c>
      <c r="E5" t="s">
        <v>71</v>
      </c>
    </row>
    <row r="6" spans="1:7" ht="12.75" customHeight="1">
      <c r="A6" s="4" t="s">
        <v>72</v>
      </c>
      <c r="B6" s="4" t="s">
        <v>73</v>
      </c>
      <c r="C6" s="4" t="s">
        <v>69</v>
      </c>
      <c r="D6" t="s">
        <v>70</v>
      </c>
      <c r="E6" t="s">
        <v>71</v>
      </c>
    </row>
    <row r="7" spans="1:7" ht="12.75" customHeight="1">
      <c r="A7" s="4" t="s">
        <v>74</v>
      </c>
      <c r="B7" s="4" t="s">
        <v>75</v>
      </c>
      <c r="C7" s="4" t="s">
        <v>69</v>
      </c>
      <c r="D7" t="s">
        <v>70</v>
      </c>
      <c r="E7" t="s">
        <v>71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2024-12-17T05:49:53Z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2024-09-09T14:52:17Z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be06981d-8400-4fea-a654-3857d71c3441</vt:lpwstr>
  </property>
  <property fmtid="{D5CDD505-2E9C-101B-9397-08002B2CF9AE}" pid="9" name="MSIP_Label_9d817c99-0b37-4a07-8277-96aa1f96b74b_ContentBits">
    <vt:lpwstr>0</vt:lpwstr>
  </property>
</Properties>
</file>