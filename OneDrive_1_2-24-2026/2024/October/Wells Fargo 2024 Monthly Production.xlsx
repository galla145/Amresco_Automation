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yatinb_amgsol_com/Documents/Microsoft Teams Chat Files/"/>
    </mc:Choice>
  </mc:AlternateContent>
  <xr:revisionPtr revIDLastSave="93" documentId="13_ncr:1_{256753C2-FBB3-4DE2-BD58-6971EDD7FC10}" xr6:coauthVersionLast="47" xr6:coauthVersionMax="47" xr10:uidLastSave="{81F81B5C-2B24-447A-B27F-9957BAA8792F}"/>
  <bookViews>
    <workbookView xWindow="-98" yWindow="-98" windowWidth="21795" windowHeight="12975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Aug!$A$3:$K$3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Jul!$A$3:$K$3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72" l="1"/>
  <c r="F66" i="72"/>
  <c r="H66" i="72"/>
  <c r="I66" i="72"/>
  <c r="E67" i="72"/>
  <c r="F67" i="72"/>
  <c r="H67" i="72"/>
  <c r="I67" i="72"/>
  <c r="E68" i="72"/>
  <c r="F68" i="72"/>
  <c r="H68" i="72"/>
  <c r="I68" i="72"/>
  <c r="E69" i="72"/>
  <c r="F69" i="72"/>
  <c r="H69" i="72"/>
  <c r="I69" i="72"/>
  <c r="E25" i="27"/>
  <c r="E24" i="27"/>
  <c r="E23" i="27"/>
  <c r="H25" i="20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H28" i="3"/>
  <c r="E18" i="3"/>
  <c r="E5" i="3"/>
  <c r="E4" i="3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B4" i="32" a="1"/>
  <c r="B4" i="32" s="1"/>
  <c r="A4" i="32" a="1"/>
  <c r="A4" i="32" s="1"/>
  <c r="H69" i="31"/>
  <c r="I69" i="31" s="1"/>
  <c r="E69" i="31"/>
  <c r="F69" i="31" s="1"/>
  <c r="H68" i="31"/>
  <c r="I68" i="31" s="1"/>
  <c r="E68" i="31"/>
  <c r="F68" i="31" s="1"/>
  <c r="H67" i="31"/>
  <c r="I67" i="31" s="1"/>
  <c r="E67" i="31"/>
  <c r="F67" i="31" s="1"/>
  <c r="H66" i="31"/>
  <c r="I66" i="31" s="1"/>
  <c r="E66" i="31"/>
  <c r="F66" i="31" s="1"/>
  <c r="H65" i="31"/>
  <c r="I65" i="31" s="1"/>
  <c r="E65" i="31"/>
  <c r="F65" i="31" s="1"/>
  <c r="H64" i="31"/>
  <c r="I64" i="31" s="1"/>
  <c r="E64" i="31"/>
  <c r="F64" i="31" s="1"/>
  <c r="H63" i="31"/>
  <c r="I63" i="31" s="1"/>
  <c r="E63" i="31"/>
  <c r="F63" i="31" s="1"/>
  <c r="H62" i="31"/>
  <c r="I62" i="31" s="1"/>
  <c r="E62" i="31"/>
  <c r="F62" i="31" s="1"/>
  <c r="H61" i="31"/>
  <c r="I61" i="31" s="1"/>
  <c r="E61" i="31"/>
  <c r="F61" i="31" s="1"/>
  <c r="H60" i="31"/>
  <c r="I60" i="31" s="1"/>
  <c r="E60" i="31"/>
  <c r="F60" i="31" s="1"/>
  <c r="H59" i="31"/>
  <c r="I59" i="31" s="1"/>
  <c r="E59" i="31"/>
  <c r="F59" i="31" s="1"/>
  <c r="H58" i="31"/>
  <c r="I58" i="31" s="1"/>
  <c r="E58" i="31"/>
  <c r="F58" i="31" s="1"/>
  <c r="H57" i="31"/>
  <c r="I57" i="31" s="1"/>
  <c r="E57" i="31"/>
  <c r="F57" i="31" s="1"/>
  <c r="H56" i="31"/>
  <c r="I56" i="31" s="1"/>
  <c r="E56" i="31"/>
  <c r="F56" i="31" s="1"/>
  <c r="H55" i="31"/>
  <c r="I55" i="31" s="1"/>
  <c r="E55" i="31"/>
  <c r="F55" i="31" s="1"/>
  <c r="H54" i="31"/>
  <c r="I54" i="31" s="1"/>
  <c r="E54" i="31"/>
  <c r="F54" i="31" s="1"/>
  <c r="H53" i="31"/>
  <c r="I53" i="31" s="1"/>
  <c r="E53" i="31"/>
  <c r="F53" i="31" s="1"/>
  <c r="H52" i="31"/>
  <c r="I52" i="31" s="1"/>
  <c r="E52" i="31"/>
  <c r="F52" i="31" s="1"/>
  <c r="H51" i="31"/>
  <c r="I51" i="31" s="1"/>
  <c r="E51" i="31"/>
  <c r="F51" i="31" s="1"/>
  <c r="H50" i="31"/>
  <c r="I50" i="31" s="1"/>
  <c r="E50" i="31"/>
  <c r="F50" i="31" s="1"/>
  <c r="H49" i="31"/>
  <c r="I49" i="31" s="1"/>
  <c r="E49" i="31"/>
  <c r="F49" i="31" s="1"/>
  <c r="H48" i="31"/>
  <c r="I48" i="31" s="1"/>
  <c r="E48" i="31"/>
  <c r="F48" i="31" s="1"/>
  <c r="H47" i="31"/>
  <c r="I47" i="31" s="1"/>
  <c r="E47" i="31"/>
  <c r="F47" i="31" s="1"/>
  <c r="H46" i="31"/>
  <c r="I46" i="31" s="1"/>
  <c r="E46" i="31"/>
  <c r="F46" i="31" s="1"/>
  <c r="H45" i="31"/>
  <c r="I45" i="31" s="1"/>
  <c r="E45" i="31"/>
  <c r="F45" i="31" s="1"/>
  <c r="H44" i="31"/>
  <c r="I44" i="31" s="1"/>
  <c r="E44" i="31"/>
  <c r="F44" i="31" s="1"/>
  <c r="H43" i="31"/>
  <c r="I43" i="31" s="1"/>
  <c r="E43" i="31"/>
  <c r="F43" i="31" s="1"/>
  <c r="H42" i="31"/>
  <c r="I42" i="31" s="1"/>
  <c r="E42" i="31"/>
  <c r="F42" i="31" s="1"/>
  <c r="H41" i="31"/>
  <c r="I41" i="31" s="1"/>
  <c r="E41" i="31"/>
  <c r="F41" i="31" s="1"/>
  <c r="H40" i="31"/>
  <c r="I40" i="31" s="1"/>
  <c r="E40" i="31"/>
  <c r="F40" i="31" s="1"/>
  <c r="H39" i="31"/>
  <c r="I39" i="31" s="1"/>
  <c r="E39" i="31"/>
  <c r="F39" i="31" s="1"/>
  <c r="H38" i="31"/>
  <c r="I38" i="31" s="1"/>
  <c r="E38" i="31"/>
  <c r="F38" i="31" s="1"/>
  <c r="H37" i="31"/>
  <c r="I37" i="31" s="1"/>
  <c r="E37" i="31"/>
  <c r="F37" i="31" s="1"/>
  <c r="H36" i="31"/>
  <c r="I36" i="31" s="1"/>
  <c r="E36" i="31"/>
  <c r="F36" i="31" s="1"/>
  <c r="H35" i="31"/>
  <c r="I35" i="31" s="1"/>
  <c r="E35" i="31"/>
  <c r="F35" i="31" s="1"/>
  <c r="H34" i="31"/>
  <c r="I34" i="31" s="1"/>
  <c r="E34" i="31"/>
  <c r="F34" i="31" s="1"/>
  <c r="H33" i="31"/>
  <c r="I33" i="31" s="1"/>
  <c r="E33" i="31"/>
  <c r="F33" i="31" s="1"/>
  <c r="H32" i="31"/>
  <c r="I32" i="31" s="1"/>
  <c r="E32" i="31"/>
  <c r="F32" i="31" s="1"/>
  <c r="H31" i="31"/>
  <c r="I31" i="31" s="1"/>
  <c r="E31" i="31"/>
  <c r="F31" i="31" s="1"/>
  <c r="H30" i="31"/>
  <c r="I30" i="31" s="1"/>
  <c r="E30" i="31"/>
  <c r="F30" i="31" s="1"/>
  <c r="H29" i="31"/>
  <c r="I29" i="31" s="1"/>
  <c r="E29" i="31"/>
  <c r="F29" i="31" s="1"/>
  <c r="H28" i="31"/>
  <c r="I28" i="31" s="1"/>
  <c r="E28" i="31"/>
  <c r="F28" i="31" s="1"/>
  <c r="H27" i="31"/>
  <c r="I27" i="31" s="1"/>
  <c r="E27" i="31"/>
  <c r="F27" i="31" s="1"/>
  <c r="H26" i="31"/>
  <c r="I26" i="31" s="1"/>
  <c r="E26" i="31"/>
  <c r="F26" i="31" s="1"/>
  <c r="H25" i="31"/>
  <c r="I25" i="31" s="1"/>
  <c r="E25" i="31"/>
  <c r="F25" i="31" s="1"/>
  <c r="H24" i="31"/>
  <c r="I24" i="31" s="1"/>
  <c r="E24" i="31"/>
  <c r="F24" i="31" s="1"/>
  <c r="H23" i="31"/>
  <c r="I23" i="31" s="1"/>
  <c r="E23" i="31"/>
  <c r="F23" i="31" s="1"/>
  <c r="H22" i="31"/>
  <c r="I22" i="31" s="1"/>
  <c r="E22" i="31"/>
  <c r="F22" i="31" s="1"/>
  <c r="H21" i="31"/>
  <c r="I21" i="31" s="1"/>
  <c r="E21" i="31"/>
  <c r="F21" i="31" s="1"/>
  <c r="H20" i="31"/>
  <c r="I20" i="31" s="1"/>
  <c r="E20" i="31"/>
  <c r="F20" i="31" s="1"/>
  <c r="H19" i="31"/>
  <c r="I19" i="31" s="1"/>
  <c r="E19" i="31"/>
  <c r="F19" i="31" s="1"/>
  <c r="H18" i="31"/>
  <c r="I18" i="31" s="1"/>
  <c r="E18" i="31"/>
  <c r="F18" i="31" s="1"/>
  <c r="H17" i="31"/>
  <c r="I17" i="31" s="1"/>
  <c r="E17" i="31"/>
  <c r="F17" i="31" s="1"/>
  <c r="H16" i="31"/>
  <c r="I16" i="31" s="1"/>
  <c r="E16" i="31"/>
  <c r="F16" i="31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H30" i="28"/>
  <c r="I30" i="28" s="1"/>
  <c r="E30" i="28"/>
  <c r="F30" i="28" s="1"/>
  <c r="H29" i="28"/>
  <c r="I29" i="28" s="1"/>
  <c r="E29" i="28"/>
  <c r="F29" i="28" s="1"/>
  <c r="H28" i="28"/>
  <c r="I28" i="28" s="1"/>
  <c r="E28" i="28"/>
  <c r="F28" i="28" s="1"/>
  <c r="H27" i="28"/>
  <c r="I27" i="28" s="1"/>
  <c r="E27" i="28"/>
  <c r="F27" i="28" s="1"/>
  <c r="H26" i="28"/>
  <c r="I26" i="28" s="1"/>
  <c r="E26" i="28"/>
  <c r="F26" i="28" s="1"/>
  <c r="H25" i="28"/>
  <c r="I25" i="28" s="1"/>
  <c r="E25" i="28"/>
  <c r="F25" i="28" s="1"/>
  <c r="H24" i="28"/>
  <c r="I24" i="28" s="1"/>
  <c r="E24" i="28"/>
  <c r="F24" i="28" s="1"/>
  <c r="H23" i="28"/>
  <c r="I23" i="28" s="1"/>
  <c r="E23" i="28"/>
  <c r="F23" i="28" s="1"/>
  <c r="H22" i="28"/>
  <c r="I22" i="28" s="1"/>
  <c r="E22" i="28"/>
  <c r="F22" i="28" s="1"/>
  <c r="H21" i="28"/>
  <c r="I21" i="28" s="1"/>
  <c r="E21" i="28"/>
  <c r="F21" i="28" s="1"/>
  <c r="H20" i="28"/>
  <c r="I20" i="28" s="1"/>
  <c r="E20" i="28"/>
  <c r="F20" i="28" s="1"/>
  <c r="H19" i="28"/>
  <c r="I19" i="28" s="1"/>
  <c r="E19" i="28"/>
  <c r="F19" i="28" s="1"/>
  <c r="H18" i="28"/>
  <c r="I18" i="28" s="1"/>
  <c r="E18" i="28"/>
  <c r="F18" i="28" s="1"/>
  <c r="H17" i="28"/>
  <c r="I17" i="28" s="1"/>
  <c r="E17" i="28"/>
  <c r="F17" i="28" s="1"/>
  <c r="H16" i="28"/>
  <c r="I16" i="28" s="1"/>
  <c r="E16" i="28"/>
  <c r="F16" i="28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H69" i="27"/>
  <c r="I69" i="27" s="1"/>
  <c r="E69" i="27"/>
  <c r="F69" i="27" s="1"/>
  <c r="H68" i="27"/>
  <c r="I68" i="27" s="1"/>
  <c r="E68" i="27"/>
  <c r="F68" i="27" s="1"/>
  <c r="H67" i="27"/>
  <c r="I67" i="27" s="1"/>
  <c r="E67" i="27"/>
  <c r="F67" i="27" s="1"/>
  <c r="H66" i="27"/>
  <c r="I66" i="27" s="1"/>
  <c r="E66" i="27"/>
  <c r="F66" i="27" s="1"/>
  <c r="H65" i="27"/>
  <c r="I65" i="27" s="1"/>
  <c r="E65" i="27"/>
  <c r="F65" i="27" s="1"/>
  <c r="H64" i="27"/>
  <c r="I64" i="27" s="1"/>
  <c r="E64" i="27"/>
  <c r="F64" i="27" s="1"/>
  <c r="H63" i="27"/>
  <c r="I63" i="27" s="1"/>
  <c r="E63" i="27"/>
  <c r="F63" i="27" s="1"/>
  <c r="H62" i="27"/>
  <c r="I62" i="27" s="1"/>
  <c r="E62" i="27"/>
  <c r="F62" i="27" s="1"/>
  <c r="H61" i="27"/>
  <c r="I61" i="27" s="1"/>
  <c r="E61" i="27"/>
  <c r="F61" i="27" s="1"/>
  <c r="H60" i="27"/>
  <c r="I60" i="27" s="1"/>
  <c r="E60" i="27"/>
  <c r="F60" i="27" s="1"/>
  <c r="H59" i="27"/>
  <c r="I59" i="27" s="1"/>
  <c r="E59" i="27"/>
  <c r="F59" i="27" s="1"/>
  <c r="H58" i="27"/>
  <c r="I58" i="27" s="1"/>
  <c r="E58" i="27"/>
  <c r="F58" i="27" s="1"/>
  <c r="H57" i="27"/>
  <c r="I57" i="27" s="1"/>
  <c r="E57" i="27"/>
  <c r="F57" i="27" s="1"/>
  <c r="H56" i="27"/>
  <c r="I56" i="27" s="1"/>
  <c r="E56" i="27"/>
  <c r="F56" i="27" s="1"/>
  <c r="H55" i="27"/>
  <c r="I55" i="27" s="1"/>
  <c r="E55" i="27"/>
  <c r="F55" i="27" s="1"/>
  <c r="H54" i="27"/>
  <c r="I54" i="27" s="1"/>
  <c r="E54" i="27"/>
  <c r="F54" i="27" s="1"/>
  <c r="H53" i="27"/>
  <c r="I53" i="27" s="1"/>
  <c r="E53" i="27"/>
  <c r="F53" i="27" s="1"/>
  <c r="H52" i="27"/>
  <c r="I52" i="27" s="1"/>
  <c r="E52" i="27"/>
  <c r="F52" i="27" s="1"/>
  <c r="H51" i="27"/>
  <c r="I51" i="27" s="1"/>
  <c r="E51" i="27"/>
  <c r="F51" i="27" s="1"/>
  <c r="H50" i="27"/>
  <c r="I50" i="27" s="1"/>
  <c r="E50" i="27"/>
  <c r="F50" i="27" s="1"/>
  <c r="H49" i="27"/>
  <c r="I49" i="27" s="1"/>
  <c r="E49" i="27"/>
  <c r="F49" i="27" s="1"/>
  <c r="H48" i="27"/>
  <c r="I48" i="27" s="1"/>
  <c r="E48" i="27"/>
  <c r="F48" i="27" s="1"/>
  <c r="H47" i="27"/>
  <c r="I47" i="27" s="1"/>
  <c r="E47" i="27"/>
  <c r="F47" i="27" s="1"/>
  <c r="H46" i="27"/>
  <c r="I46" i="27" s="1"/>
  <c r="E46" i="27"/>
  <c r="F46" i="27" s="1"/>
  <c r="H45" i="27"/>
  <c r="I45" i="27" s="1"/>
  <c r="E45" i="27"/>
  <c r="F45" i="27" s="1"/>
  <c r="H44" i="27"/>
  <c r="I44" i="27" s="1"/>
  <c r="E44" i="27"/>
  <c r="F44" i="27" s="1"/>
  <c r="H43" i="27"/>
  <c r="I43" i="27" s="1"/>
  <c r="E43" i="27"/>
  <c r="F43" i="27" s="1"/>
  <c r="H42" i="27"/>
  <c r="I42" i="27" s="1"/>
  <c r="E42" i="27"/>
  <c r="F42" i="27" s="1"/>
  <c r="H41" i="27"/>
  <c r="I41" i="27" s="1"/>
  <c r="E41" i="27"/>
  <c r="F41" i="27" s="1"/>
  <c r="H40" i="27"/>
  <c r="I40" i="27" s="1"/>
  <c r="E40" i="27"/>
  <c r="F40" i="27" s="1"/>
  <c r="H39" i="27"/>
  <c r="I39" i="27" s="1"/>
  <c r="E39" i="27"/>
  <c r="F39" i="27" s="1"/>
  <c r="H38" i="27"/>
  <c r="I38" i="27" s="1"/>
  <c r="E38" i="27"/>
  <c r="F38" i="27" s="1"/>
  <c r="H37" i="27"/>
  <c r="I37" i="27" s="1"/>
  <c r="E37" i="27"/>
  <c r="F37" i="27" s="1"/>
  <c r="H36" i="27"/>
  <c r="I36" i="27" s="1"/>
  <c r="E36" i="27"/>
  <c r="F36" i="27" s="1"/>
  <c r="H35" i="27"/>
  <c r="I35" i="27" s="1"/>
  <c r="E35" i="27"/>
  <c r="F35" i="27" s="1"/>
  <c r="H34" i="27"/>
  <c r="I34" i="27" s="1"/>
  <c r="E34" i="27"/>
  <c r="F34" i="27" s="1"/>
  <c r="H33" i="27"/>
  <c r="I33" i="27" s="1"/>
  <c r="E33" i="27"/>
  <c r="F33" i="27" s="1"/>
  <c r="H32" i="27"/>
  <c r="I32" i="27" s="1"/>
  <c r="E32" i="27"/>
  <c r="F32" i="27" s="1"/>
  <c r="H31" i="27"/>
  <c r="I31" i="27" s="1"/>
  <c r="E31" i="27"/>
  <c r="F31" i="27" s="1"/>
  <c r="H30" i="27"/>
  <c r="I30" i="27" s="1"/>
  <c r="E30" i="27"/>
  <c r="F30" i="27" s="1"/>
  <c r="H29" i="27"/>
  <c r="I29" i="27" s="1"/>
  <c r="E29" i="27"/>
  <c r="F29" i="27" s="1"/>
  <c r="H28" i="27"/>
  <c r="I28" i="27" s="1"/>
  <c r="E28" i="27"/>
  <c r="F28" i="27" s="1"/>
  <c r="H27" i="27"/>
  <c r="I27" i="27" s="1"/>
  <c r="E27" i="27"/>
  <c r="F27" i="27" s="1"/>
  <c r="H26" i="27"/>
  <c r="I26" i="27" s="1"/>
  <c r="E26" i="27"/>
  <c r="F26" i="27" s="1"/>
  <c r="H25" i="27"/>
  <c r="I25" i="27" s="1"/>
  <c r="F25" i="27"/>
  <c r="H24" i="27"/>
  <c r="I24" i="27" s="1"/>
  <c r="F24" i="27"/>
  <c r="H23" i="27"/>
  <c r="I23" i="27" s="1"/>
  <c r="F23" i="27"/>
  <c r="H22" i="27"/>
  <c r="I22" i="27" s="1"/>
  <c r="E22" i="27"/>
  <c r="F22" i="27" s="1"/>
  <c r="H21" i="27"/>
  <c r="I21" i="27" s="1"/>
  <c r="E21" i="27"/>
  <c r="F21" i="27" s="1"/>
  <c r="H20" i="27"/>
  <c r="I20" i="27" s="1"/>
  <c r="E20" i="27"/>
  <c r="F20" i="27" s="1"/>
  <c r="H19" i="27"/>
  <c r="I19" i="27" s="1"/>
  <c r="E19" i="27"/>
  <c r="F19" i="27" s="1"/>
  <c r="H18" i="27"/>
  <c r="I18" i="27" s="1"/>
  <c r="E18" i="27"/>
  <c r="F18" i="27" s="1"/>
  <c r="H17" i="27"/>
  <c r="I17" i="27" s="1"/>
  <c r="E17" i="27"/>
  <c r="F17" i="27" s="1"/>
  <c r="H16" i="27"/>
  <c r="I16" i="27" s="1"/>
  <c r="E16" i="27"/>
  <c r="F16" i="27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B4" i="27" a="1"/>
  <c r="B4" i="27" s="1"/>
  <c r="A4" i="27" a="1"/>
  <c r="A4" i="27" s="1"/>
  <c r="H65" i="26"/>
  <c r="I65" i="26" s="1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I25" i="26" s="1"/>
  <c r="E25" i="26"/>
  <c r="F25" i="26" s="1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65" i="19"/>
  <c r="I65" i="19" s="1"/>
  <c r="E65" i="19"/>
  <c r="F65" i="19" s="1"/>
  <c r="H64" i="19"/>
  <c r="I64" i="19" s="1"/>
  <c r="E64" i="19"/>
  <c r="F64" i="19" s="1"/>
  <c r="H63" i="19"/>
  <c r="I63" i="19" s="1"/>
  <c r="E63" i="19"/>
  <c r="F63" i="19" s="1"/>
  <c r="H62" i="19"/>
  <c r="I62" i="19" s="1"/>
  <c r="E62" i="19"/>
  <c r="F62" i="19" s="1"/>
  <c r="H61" i="19"/>
  <c r="I61" i="19" s="1"/>
  <c r="E61" i="19"/>
  <c r="F61" i="19" s="1"/>
  <c r="H60" i="19"/>
  <c r="I60" i="19" s="1"/>
  <c r="E60" i="19"/>
  <c r="F60" i="19" s="1"/>
  <c r="H59" i="19"/>
  <c r="I59" i="19" s="1"/>
  <c r="E59" i="19"/>
  <c r="F59" i="19" s="1"/>
  <c r="H58" i="19"/>
  <c r="I58" i="19" s="1"/>
  <c r="E58" i="19"/>
  <c r="F58" i="19" s="1"/>
  <c r="H57" i="19"/>
  <c r="I57" i="19" s="1"/>
  <c r="E57" i="19"/>
  <c r="F57" i="19" s="1"/>
  <c r="H56" i="19"/>
  <c r="I56" i="19" s="1"/>
  <c r="E56" i="19"/>
  <c r="F56" i="19" s="1"/>
  <c r="H55" i="19"/>
  <c r="I55" i="19" s="1"/>
  <c r="E55" i="19"/>
  <c r="F55" i="19" s="1"/>
  <c r="H54" i="19"/>
  <c r="I54" i="19" s="1"/>
  <c r="E54" i="19"/>
  <c r="F54" i="19" s="1"/>
  <c r="H53" i="19"/>
  <c r="I53" i="19" s="1"/>
  <c r="E53" i="19"/>
  <c r="F53" i="19" s="1"/>
  <c r="H52" i="19"/>
  <c r="I52" i="19" s="1"/>
  <c r="E52" i="19"/>
  <c r="F52" i="19" s="1"/>
  <c r="H51" i="19"/>
  <c r="I51" i="19" s="1"/>
  <c r="E51" i="19"/>
  <c r="F51" i="19" s="1"/>
  <c r="H50" i="19"/>
  <c r="I50" i="19" s="1"/>
  <c r="E50" i="19"/>
  <c r="F50" i="19" s="1"/>
  <c r="H49" i="19"/>
  <c r="I49" i="19" s="1"/>
  <c r="E49" i="19"/>
  <c r="F49" i="19" s="1"/>
  <c r="H48" i="19"/>
  <c r="I48" i="19" s="1"/>
  <c r="E48" i="19"/>
  <c r="F48" i="19" s="1"/>
  <c r="H47" i="19"/>
  <c r="I47" i="19" s="1"/>
  <c r="E47" i="19"/>
  <c r="F47" i="19" s="1"/>
  <c r="H46" i="19"/>
  <c r="I46" i="19" s="1"/>
  <c r="E46" i="19"/>
  <c r="F46" i="19" s="1"/>
  <c r="H45" i="19"/>
  <c r="I45" i="19" s="1"/>
  <c r="E45" i="19"/>
  <c r="F45" i="19" s="1"/>
  <c r="H44" i="19"/>
  <c r="I44" i="19" s="1"/>
  <c r="E44" i="19"/>
  <c r="F44" i="19" s="1"/>
  <c r="H43" i="19"/>
  <c r="I43" i="19" s="1"/>
  <c r="E43" i="19"/>
  <c r="F43" i="19" s="1"/>
  <c r="H42" i="19"/>
  <c r="I42" i="19" s="1"/>
  <c r="E42" i="19"/>
  <c r="F42" i="19" s="1"/>
  <c r="H41" i="19"/>
  <c r="I41" i="19" s="1"/>
  <c r="E41" i="19"/>
  <c r="F41" i="19" s="1"/>
  <c r="H40" i="19"/>
  <c r="I40" i="19" s="1"/>
  <c r="E40" i="19"/>
  <c r="F40" i="19" s="1"/>
  <c r="H39" i="19"/>
  <c r="I39" i="19" s="1"/>
  <c r="E39" i="19"/>
  <c r="F39" i="19" s="1"/>
  <c r="H38" i="19"/>
  <c r="I38" i="19" s="1"/>
  <c r="E38" i="19"/>
  <c r="F38" i="19" s="1"/>
  <c r="H37" i="19"/>
  <c r="I37" i="19" s="1"/>
  <c r="E37" i="19"/>
  <c r="F37" i="19" s="1"/>
  <c r="H36" i="19"/>
  <c r="I36" i="19" s="1"/>
  <c r="E36" i="19"/>
  <c r="F36" i="19" s="1"/>
  <c r="H35" i="19"/>
  <c r="I35" i="19" s="1"/>
  <c r="E35" i="19"/>
  <c r="F35" i="19" s="1"/>
  <c r="H34" i="19"/>
  <c r="I34" i="19" s="1"/>
  <c r="E34" i="19"/>
  <c r="F34" i="19" s="1"/>
  <c r="H33" i="19"/>
  <c r="I33" i="19" s="1"/>
  <c r="E33" i="19"/>
  <c r="F33" i="19" s="1"/>
  <c r="H32" i="19"/>
  <c r="I32" i="19" s="1"/>
  <c r="E32" i="19"/>
  <c r="F32" i="19" s="1"/>
  <c r="H31" i="19"/>
  <c r="I31" i="19" s="1"/>
  <c r="E31" i="19"/>
  <c r="F31" i="19" s="1"/>
  <c r="H30" i="19"/>
  <c r="I30" i="19" s="1"/>
  <c r="E30" i="19"/>
  <c r="F30" i="19" s="1"/>
  <c r="H29" i="19"/>
  <c r="I29" i="19" s="1"/>
  <c r="E29" i="19"/>
  <c r="F29" i="19" s="1"/>
  <c r="H28" i="19"/>
  <c r="I28" i="19" s="1"/>
  <c r="E28" i="19"/>
  <c r="F28" i="19" s="1"/>
  <c r="H27" i="19"/>
  <c r="I27" i="19" s="1"/>
  <c r="E27" i="19"/>
  <c r="F27" i="19" s="1"/>
  <c r="H26" i="19"/>
  <c r="I26" i="19" s="1"/>
  <c r="E26" i="19"/>
  <c r="F26" i="19" s="1"/>
  <c r="H25" i="19"/>
  <c r="I25" i="19" s="1"/>
  <c r="E25" i="19"/>
  <c r="F25" i="19" s="1"/>
  <c r="H24" i="19"/>
  <c r="I24" i="19" s="1"/>
  <c r="E24" i="19"/>
  <c r="F24" i="19" s="1"/>
  <c r="H23" i="19"/>
  <c r="I23" i="19" s="1"/>
  <c r="E23" i="19"/>
  <c r="F23" i="19" s="1"/>
  <c r="H22" i="19"/>
  <c r="I22" i="19" s="1"/>
  <c r="E22" i="19"/>
  <c r="F22" i="19" s="1"/>
  <c r="H21" i="19"/>
  <c r="I21" i="19" s="1"/>
  <c r="E21" i="19"/>
  <c r="F21" i="19" s="1"/>
  <c r="H20" i="19"/>
  <c r="I20" i="19" s="1"/>
  <c r="E20" i="19"/>
  <c r="F20" i="19" s="1"/>
  <c r="H19" i="19"/>
  <c r="I19" i="19" s="1"/>
  <c r="E19" i="19"/>
  <c r="F19" i="19" s="1"/>
  <c r="H18" i="19"/>
  <c r="I18" i="19" s="1"/>
  <c r="E18" i="19"/>
  <c r="F18" i="19" s="1"/>
  <c r="H17" i="19"/>
  <c r="I17" i="19" s="1"/>
  <c r="E17" i="19"/>
  <c r="F17" i="19" s="1"/>
  <c r="H16" i="19"/>
  <c r="I16" i="19" s="1"/>
  <c r="E16" i="19"/>
  <c r="F16" i="19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B4" i="19" a="1"/>
  <c r="B4" i="19" s="1"/>
  <c r="A4" i="19" a="1"/>
  <c r="A4" i="19" s="1"/>
  <c r="H65" i="20"/>
  <c r="I65" i="20" s="1"/>
  <c r="E65" i="20"/>
  <c r="F65" i="20" s="1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20" i="20"/>
  <c r="I20" i="20" s="1"/>
  <c r="E20" i="20"/>
  <c r="F20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78" i="21"/>
  <c r="I78" i="21" s="1"/>
  <c r="E78" i="21"/>
  <c r="F78" i="21" s="1"/>
  <c r="H77" i="21"/>
  <c r="I77" i="21" s="1"/>
  <c r="E77" i="21"/>
  <c r="F77" i="21" s="1"/>
  <c r="H76" i="21"/>
  <c r="I76" i="21" s="1"/>
  <c r="E76" i="21"/>
  <c r="F76" i="21" s="1"/>
  <c r="H75" i="21"/>
  <c r="I75" i="21" s="1"/>
  <c r="E75" i="21"/>
  <c r="F75" i="21" s="1"/>
  <c r="H74" i="21"/>
  <c r="I74" i="21" s="1"/>
  <c r="E74" i="21"/>
  <c r="F74" i="21" s="1"/>
  <c r="H73" i="21"/>
  <c r="I73" i="21" s="1"/>
  <c r="E73" i="21"/>
  <c r="F73" i="21" s="1"/>
  <c r="H72" i="21"/>
  <c r="I72" i="21" s="1"/>
  <c r="E72" i="21"/>
  <c r="F72" i="21" s="1"/>
  <c r="H71" i="21"/>
  <c r="I71" i="21" s="1"/>
  <c r="E71" i="21"/>
  <c r="F71" i="21" s="1"/>
  <c r="H70" i="21"/>
  <c r="I70" i="21" s="1"/>
  <c r="E70" i="21"/>
  <c r="F70" i="21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E60" i="21"/>
  <c r="F60" i="21" s="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20" i="21"/>
  <c r="I20" i="21" s="1"/>
  <c r="E20" i="21"/>
  <c r="F20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H65" i="4"/>
  <c r="I65" i="4" s="1"/>
  <c r="E65" i="4"/>
  <c r="F65" i="4" s="1"/>
  <c r="H64" i="4"/>
  <c r="I64" i="4" s="1"/>
  <c r="E64" i="4"/>
  <c r="F64" i="4" s="1"/>
  <c r="H63" i="4"/>
  <c r="I63" i="4" s="1"/>
  <c r="E63" i="4"/>
  <c r="F63" i="4" s="1"/>
  <c r="H62" i="4"/>
  <c r="I62" i="4" s="1"/>
  <c r="E62" i="4"/>
  <c r="F62" i="4" s="1"/>
  <c r="H61" i="4"/>
  <c r="I61" i="4" s="1"/>
  <c r="E61" i="4"/>
  <c r="F61" i="4" s="1"/>
  <c r="H60" i="4"/>
  <c r="I60" i="4" s="1"/>
  <c r="E60" i="4"/>
  <c r="F60" i="4" s="1"/>
  <c r="H59" i="4"/>
  <c r="I59" i="4" s="1"/>
  <c r="E59" i="4"/>
  <c r="F59" i="4" s="1"/>
  <c r="H58" i="4"/>
  <c r="I58" i="4" s="1"/>
  <c r="E58" i="4"/>
  <c r="F58" i="4" s="1"/>
  <c r="H57" i="4"/>
  <c r="I57" i="4" s="1"/>
  <c r="E57" i="4"/>
  <c r="F57" i="4" s="1"/>
  <c r="H56" i="4"/>
  <c r="I56" i="4" s="1"/>
  <c r="E56" i="4"/>
  <c r="F56" i="4" s="1"/>
  <c r="H55" i="4"/>
  <c r="I55" i="4" s="1"/>
  <c r="E55" i="4"/>
  <c r="F55" i="4" s="1"/>
  <c r="H54" i="4"/>
  <c r="I54" i="4" s="1"/>
  <c r="E54" i="4"/>
  <c r="F54" i="4" s="1"/>
  <c r="H53" i="4"/>
  <c r="I53" i="4" s="1"/>
  <c r="E53" i="4"/>
  <c r="F53" i="4" s="1"/>
  <c r="H52" i="4"/>
  <c r="I52" i="4" s="1"/>
  <c r="E52" i="4"/>
  <c r="F52" i="4" s="1"/>
  <c r="H51" i="4"/>
  <c r="I51" i="4" s="1"/>
  <c r="E51" i="4"/>
  <c r="F51" i="4" s="1"/>
  <c r="H50" i="4"/>
  <c r="I50" i="4" s="1"/>
  <c r="E50" i="4"/>
  <c r="F50" i="4" s="1"/>
  <c r="H49" i="4"/>
  <c r="I49" i="4" s="1"/>
  <c r="E49" i="4"/>
  <c r="F49" i="4" s="1"/>
  <c r="H48" i="4"/>
  <c r="I48" i="4" s="1"/>
  <c r="E48" i="4"/>
  <c r="F48" i="4" s="1"/>
  <c r="H47" i="4"/>
  <c r="I47" i="4" s="1"/>
  <c r="E47" i="4"/>
  <c r="F47" i="4" s="1"/>
  <c r="H46" i="4"/>
  <c r="I46" i="4" s="1"/>
  <c r="E46" i="4"/>
  <c r="F46" i="4" s="1"/>
  <c r="H45" i="4"/>
  <c r="I45" i="4" s="1"/>
  <c r="E45" i="4"/>
  <c r="F45" i="4" s="1"/>
  <c r="H44" i="4"/>
  <c r="I44" i="4" s="1"/>
  <c r="E44" i="4"/>
  <c r="F44" i="4" s="1"/>
  <c r="H43" i="4"/>
  <c r="I43" i="4" s="1"/>
  <c r="E43" i="4"/>
  <c r="F43" i="4" s="1"/>
  <c r="H42" i="4"/>
  <c r="I42" i="4" s="1"/>
  <c r="E42" i="4"/>
  <c r="F42" i="4" s="1"/>
  <c r="H41" i="4"/>
  <c r="I41" i="4" s="1"/>
  <c r="E41" i="4"/>
  <c r="F41" i="4" s="1"/>
  <c r="H40" i="4"/>
  <c r="I40" i="4" s="1"/>
  <c r="E40" i="4"/>
  <c r="F40" i="4" s="1"/>
  <c r="H39" i="4"/>
  <c r="I39" i="4" s="1"/>
  <c r="E39" i="4"/>
  <c r="F39" i="4" s="1"/>
  <c r="H38" i="4"/>
  <c r="I38" i="4" s="1"/>
  <c r="E38" i="4"/>
  <c r="F38" i="4" s="1"/>
  <c r="H37" i="4"/>
  <c r="I37" i="4" s="1"/>
  <c r="E37" i="4"/>
  <c r="F37" i="4" s="1"/>
  <c r="H36" i="4"/>
  <c r="I36" i="4" s="1"/>
  <c r="E36" i="4"/>
  <c r="F36" i="4" s="1"/>
  <c r="H35" i="4"/>
  <c r="I35" i="4" s="1"/>
  <c r="E35" i="4"/>
  <c r="F35" i="4" s="1"/>
  <c r="H34" i="4"/>
  <c r="I34" i="4" s="1"/>
  <c r="E34" i="4"/>
  <c r="F34" i="4" s="1"/>
  <c r="H33" i="4"/>
  <c r="I33" i="4" s="1"/>
  <c r="E33" i="4"/>
  <c r="F33" i="4" s="1"/>
  <c r="H32" i="4"/>
  <c r="I32" i="4" s="1"/>
  <c r="E32" i="4"/>
  <c r="F32" i="4" s="1"/>
  <c r="H31" i="4"/>
  <c r="I31" i="4" s="1"/>
  <c r="E31" i="4"/>
  <c r="F31" i="4" s="1"/>
  <c r="H30" i="4"/>
  <c r="I30" i="4" s="1"/>
  <c r="E30" i="4"/>
  <c r="F30" i="4" s="1"/>
  <c r="H29" i="4"/>
  <c r="I29" i="4" s="1"/>
  <c r="E29" i="4"/>
  <c r="F29" i="4" s="1"/>
  <c r="H28" i="4"/>
  <c r="I28" i="4" s="1"/>
  <c r="E28" i="4"/>
  <c r="F28" i="4" s="1"/>
  <c r="H27" i="4"/>
  <c r="I27" i="4" s="1"/>
  <c r="E27" i="4"/>
  <c r="F27" i="4" s="1"/>
  <c r="H26" i="4"/>
  <c r="I26" i="4" s="1"/>
  <c r="E26" i="4"/>
  <c r="F26" i="4" s="1"/>
  <c r="H25" i="4"/>
  <c r="I25" i="4" s="1"/>
  <c r="E25" i="4"/>
  <c r="F25" i="4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17" i="4"/>
  <c r="I17" i="4" s="1"/>
  <c r="E17" i="4"/>
  <c r="F17" i="4" s="1"/>
  <c r="H16" i="4"/>
  <c r="I16" i="4" s="1"/>
  <c r="E16" i="4"/>
  <c r="F16" i="4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H65" i="3"/>
  <c r="I65" i="3" s="1"/>
  <c r="E65" i="3"/>
  <c r="F65" i="3" s="1"/>
  <c r="H64" i="3"/>
  <c r="I64" i="3" s="1"/>
  <c r="E64" i="3"/>
  <c r="F64" i="3" s="1"/>
  <c r="H63" i="3"/>
  <c r="I63" i="3" s="1"/>
  <c r="E63" i="3"/>
  <c r="F63" i="3" s="1"/>
  <c r="H62" i="3"/>
  <c r="I62" i="3" s="1"/>
  <c r="E62" i="3"/>
  <c r="F62" i="3" s="1"/>
  <c r="H61" i="3"/>
  <c r="I61" i="3" s="1"/>
  <c r="E61" i="3"/>
  <c r="F61" i="3" s="1"/>
  <c r="H60" i="3"/>
  <c r="I60" i="3" s="1"/>
  <c r="E60" i="3"/>
  <c r="F60" i="3" s="1"/>
  <c r="H59" i="3"/>
  <c r="I59" i="3" s="1"/>
  <c r="E59" i="3"/>
  <c r="F59" i="3" s="1"/>
  <c r="H58" i="3"/>
  <c r="I58" i="3" s="1"/>
  <c r="E58" i="3"/>
  <c r="F58" i="3" s="1"/>
  <c r="H57" i="3"/>
  <c r="I57" i="3" s="1"/>
  <c r="E57" i="3"/>
  <c r="F57" i="3" s="1"/>
  <c r="H56" i="3"/>
  <c r="I56" i="3" s="1"/>
  <c r="E56" i="3"/>
  <c r="F56" i="3" s="1"/>
  <c r="H55" i="3"/>
  <c r="I55" i="3" s="1"/>
  <c r="E55" i="3"/>
  <c r="F55" i="3" s="1"/>
  <c r="H54" i="3"/>
  <c r="I54" i="3" s="1"/>
  <c r="E54" i="3"/>
  <c r="F54" i="3" s="1"/>
  <c r="H53" i="3"/>
  <c r="I53" i="3" s="1"/>
  <c r="E53" i="3"/>
  <c r="F53" i="3" s="1"/>
  <c r="H52" i="3"/>
  <c r="I52" i="3" s="1"/>
  <c r="E52" i="3"/>
  <c r="F52" i="3" s="1"/>
  <c r="H51" i="3"/>
  <c r="I51" i="3" s="1"/>
  <c r="E51" i="3"/>
  <c r="F51" i="3" s="1"/>
  <c r="H50" i="3"/>
  <c r="I50" i="3" s="1"/>
  <c r="E50" i="3"/>
  <c r="F50" i="3" s="1"/>
  <c r="H49" i="3"/>
  <c r="I49" i="3" s="1"/>
  <c r="E49" i="3"/>
  <c r="F49" i="3" s="1"/>
  <c r="H48" i="3"/>
  <c r="I48" i="3" s="1"/>
  <c r="E48" i="3"/>
  <c r="F48" i="3" s="1"/>
  <c r="H47" i="3"/>
  <c r="I47" i="3" s="1"/>
  <c r="E47" i="3"/>
  <c r="F47" i="3" s="1"/>
  <c r="H46" i="3"/>
  <c r="I46" i="3" s="1"/>
  <c r="E46" i="3"/>
  <c r="F46" i="3" s="1"/>
  <c r="H45" i="3"/>
  <c r="I45" i="3" s="1"/>
  <c r="E45" i="3"/>
  <c r="F45" i="3" s="1"/>
  <c r="H44" i="3"/>
  <c r="I44" i="3" s="1"/>
  <c r="E44" i="3"/>
  <c r="F44" i="3" s="1"/>
  <c r="H43" i="3"/>
  <c r="I43" i="3" s="1"/>
  <c r="E43" i="3"/>
  <c r="F43" i="3" s="1"/>
  <c r="H42" i="3"/>
  <c r="I42" i="3" s="1"/>
  <c r="E42" i="3"/>
  <c r="F42" i="3" s="1"/>
  <c r="H41" i="3"/>
  <c r="I41" i="3" s="1"/>
  <c r="E41" i="3"/>
  <c r="F41" i="3" s="1"/>
  <c r="H40" i="3"/>
  <c r="I40" i="3" s="1"/>
  <c r="E40" i="3"/>
  <c r="F40" i="3" s="1"/>
  <c r="H39" i="3"/>
  <c r="I39" i="3" s="1"/>
  <c r="E39" i="3"/>
  <c r="F39" i="3" s="1"/>
  <c r="H38" i="3"/>
  <c r="I38" i="3" s="1"/>
  <c r="E38" i="3"/>
  <c r="F38" i="3" s="1"/>
  <c r="H37" i="3"/>
  <c r="I37" i="3" s="1"/>
  <c r="E37" i="3"/>
  <c r="F37" i="3" s="1"/>
  <c r="H36" i="3"/>
  <c r="I36" i="3" s="1"/>
  <c r="E36" i="3"/>
  <c r="F36" i="3" s="1"/>
  <c r="H35" i="3"/>
  <c r="I35" i="3" s="1"/>
  <c r="E35" i="3"/>
  <c r="F35" i="3" s="1"/>
  <c r="H34" i="3"/>
  <c r="I34" i="3" s="1"/>
  <c r="E34" i="3"/>
  <c r="F34" i="3" s="1"/>
  <c r="H33" i="3"/>
  <c r="I33" i="3" s="1"/>
  <c r="E33" i="3"/>
  <c r="F33" i="3" s="1"/>
  <c r="H32" i="3"/>
  <c r="I32" i="3" s="1"/>
  <c r="E32" i="3"/>
  <c r="F32" i="3" s="1"/>
  <c r="H31" i="3"/>
  <c r="I31" i="3" s="1"/>
  <c r="E31" i="3"/>
  <c r="F31" i="3" s="1"/>
  <c r="H30" i="3"/>
  <c r="I30" i="3" s="1"/>
  <c r="E30" i="3"/>
  <c r="F30" i="3" s="1"/>
  <c r="H29" i="3"/>
  <c r="I29" i="3" s="1"/>
  <c r="E29" i="3"/>
  <c r="F29" i="3" s="1"/>
  <c r="I28" i="3"/>
  <c r="E28" i="3"/>
  <c r="F28" i="3" s="1"/>
  <c r="H27" i="3"/>
  <c r="I27" i="3" s="1"/>
  <c r="E27" i="3"/>
  <c r="F27" i="3" s="1"/>
  <c r="H26" i="3"/>
  <c r="I26" i="3" s="1"/>
  <c r="E26" i="3"/>
  <c r="F26" i="3" s="1"/>
  <c r="H25" i="3"/>
  <c r="I25" i="3" s="1"/>
  <c r="E25" i="3"/>
  <c r="F25" i="3" s="1"/>
  <c r="H24" i="3"/>
  <c r="I24" i="3" s="1"/>
  <c r="E24" i="3"/>
  <c r="F24" i="3" s="1"/>
  <c r="H23" i="3"/>
  <c r="I23" i="3" s="1"/>
  <c r="E23" i="3"/>
  <c r="F23" i="3" s="1"/>
  <c r="H22" i="3"/>
  <c r="I22" i="3" s="1"/>
  <c r="E22" i="3"/>
  <c r="F22" i="3" s="1"/>
  <c r="H21" i="3"/>
  <c r="I21" i="3" s="1"/>
  <c r="E21" i="3"/>
  <c r="F21" i="3" s="1"/>
  <c r="H20" i="3"/>
  <c r="I20" i="3" s="1"/>
  <c r="E20" i="3"/>
  <c r="F20" i="3" s="1"/>
  <c r="I19" i="3"/>
  <c r="E19" i="3"/>
  <c r="F19" i="3" s="1"/>
  <c r="I18" i="3"/>
  <c r="F18" i="3"/>
  <c r="H17" i="3"/>
  <c r="I17" i="3" s="1"/>
  <c r="E17" i="3"/>
  <c r="F17" i="3" s="1"/>
  <c r="H16" i="3"/>
  <c r="I16" i="3" s="1"/>
  <c r="E16" i="3"/>
  <c r="F16" i="3" s="1"/>
  <c r="H15" i="3"/>
  <c r="I15" i="3" s="1"/>
  <c r="E15" i="3"/>
  <c r="F15" i="3" s="1"/>
  <c r="H14" i="3"/>
  <c r="I14" i="3" s="1"/>
  <c r="E14" i="3"/>
  <c r="F14" i="3" s="1"/>
  <c r="H13" i="3"/>
  <c r="I13" i="3" s="1"/>
  <c r="E13" i="3"/>
  <c r="F13" i="3" s="1"/>
  <c r="H12" i="3"/>
  <c r="I12" i="3" s="1"/>
  <c r="E12" i="3"/>
  <c r="F12" i="3" s="1"/>
  <c r="H11" i="3"/>
  <c r="I11" i="3" s="1"/>
  <c r="E11" i="3"/>
  <c r="F11" i="3" s="1"/>
  <c r="H10" i="3"/>
  <c r="I10" i="3" s="1"/>
  <c r="E10" i="3"/>
  <c r="F10" i="3" s="1"/>
  <c r="H9" i="3"/>
  <c r="I9" i="3" s="1"/>
  <c r="E9" i="3"/>
  <c r="F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F5" i="3"/>
  <c r="H4" i="3"/>
  <c r="I4" i="3" s="1"/>
  <c r="F4" i="3"/>
  <c r="B4" i="3" a="1"/>
  <c r="B4" i="3" s="1"/>
  <c r="A4" i="3" a="1"/>
  <c r="A4" i="3" s="1"/>
  <c r="E45" i="72"/>
  <c r="F45" i="72"/>
  <c r="H45" i="72"/>
  <c r="I45" i="72" s="1"/>
  <c r="E46" i="72"/>
  <c r="F46" i="72" s="1"/>
  <c r="H46" i="72"/>
  <c r="I46" i="72" s="1"/>
  <c r="E47" i="72"/>
  <c r="F47" i="72" s="1"/>
  <c r="H47" i="72"/>
  <c r="I47" i="72" s="1"/>
  <c r="E48" i="72"/>
  <c r="F48" i="72" s="1"/>
  <c r="H48" i="72"/>
  <c r="I48" i="72" s="1"/>
  <c r="E49" i="72"/>
  <c r="F49" i="72"/>
  <c r="H49" i="72"/>
  <c r="I49" i="72" s="1"/>
  <c r="E50" i="72"/>
  <c r="F50" i="72" s="1"/>
  <c r="H50" i="72"/>
  <c r="I50" i="72" s="1"/>
  <c r="E51" i="72"/>
  <c r="F51" i="72" s="1"/>
  <c r="H51" i="72"/>
  <c r="I51" i="72" s="1"/>
  <c r="E52" i="72"/>
  <c r="F52" i="72" s="1"/>
  <c r="H52" i="72"/>
  <c r="I52" i="72" s="1"/>
  <c r="E53" i="72"/>
  <c r="F53" i="72" s="1"/>
  <c r="H53" i="72"/>
  <c r="I53" i="72" s="1"/>
  <c r="E54" i="72"/>
  <c r="F54" i="72" s="1"/>
  <c r="H54" i="72"/>
  <c r="I54" i="72" s="1"/>
  <c r="E55" i="72"/>
  <c r="F55" i="72" s="1"/>
  <c r="H55" i="72"/>
  <c r="I55" i="72" s="1"/>
  <c r="E56" i="72"/>
  <c r="F56" i="72" s="1"/>
  <c r="H56" i="72"/>
  <c r="I56" i="72" s="1"/>
  <c r="E57" i="72"/>
  <c r="F57" i="72"/>
  <c r="H57" i="72"/>
  <c r="I57" i="72" s="1"/>
  <c r="E58" i="72"/>
  <c r="F58" i="72" s="1"/>
  <c r="H58" i="72"/>
  <c r="I58" i="72" s="1"/>
  <c r="E59" i="72"/>
  <c r="F59" i="72" s="1"/>
  <c r="H59" i="72"/>
  <c r="I59" i="72" s="1"/>
  <c r="E60" i="72"/>
  <c r="F60" i="72"/>
  <c r="H60" i="72"/>
  <c r="I60" i="72" s="1"/>
  <c r="E61" i="72"/>
  <c r="F61" i="72" s="1"/>
  <c r="H61" i="72"/>
  <c r="I61" i="72" s="1"/>
  <c r="E62" i="72"/>
  <c r="F62" i="72" s="1"/>
  <c r="H62" i="72"/>
  <c r="I62" i="72"/>
  <c r="E63" i="72"/>
  <c r="F63" i="72" s="1"/>
  <c r="H63" i="72"/>
  <c r="I63" i="72" s="1"/>
  <c r="E64" i="72"/>
  <c r="F64" i="72"/>
  <c r="H64" i="72"/>
  <c r="I64" i="72" s="1"/>
  <c r="E65" i="72"/>
  <c r="F65" i="72" s="1"/>
  <c r="H65" i="72"/>
  <c r="I6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A4" i="1" a="1"/>
  <c r="A4" i="1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1" i="18" l="1"/>
  <c r="F11" i="29"/>
  <c r="F11" i="30"/>
  <c r="F6" i="18"/>
  <c r="C9" i="18"/>
  <c r="F6" i="29"/>
  <c r="C9" i="29"/>
  <c r="F6" i="30"/>
  <c r="C9" i="30"/>
  <c r="B7" i="18"/>
  <c r="F9" i="18"/>
  <c r="B7" i="29"/>
  <c r="F9" i="29"/>
  <c r="B7" i="30"/>
  <c r="F9" i="30"/>
  <c r="C7" i="18"/>
  <c r="B10" i="18"/>
  <c r="C7" i="29"/>
  <c r="B10" i="29"/>
  <c r="C7" i="30"/>
  <c r="B10" i="30"/>
  <c r="B5" i="18"/>
  <c r="F7" i="18"/>
  <c r="C10" i="18"/>
  <c r="B5" i="29"/>
  <c r="F7" i="29"/>
  <c r="C10" i="29"/>
  <c r="B5" i="30"/>
  <c r="F7" i="30"/>
  <c r="C10" i="30"/>
  <c r="C5" i="18"/>
  <c r="B8" i="18"/>
  <c r="F10" i="18"/>
  <c r="C5" i="29"/>
  <c r="B8" i="29"/>
  <c r="F10" i="29"/>
  <c r="C5" i="30"/>
  <c r="B8" i="30"/>
  <c r="F10" i="30"/>
  <c r="F5" i="18"/>
  <c r="C8" i="18"/>
  <c r="B11" i="18"/>
  <c r="F5" i="29"/>
  <c r="C8" i="29"/>
  <c r="B11" i="29"/>
  <c r="F5" i="30"/>
  <c r="C8" i="30"/>
  <c r="B11" i="30"/>
  <c r="B6" i="18"/>
  <c r="F8" i="18"/>
  <c r="C11" i="18"/>
  <c r="B6" i="29"/>
  <c r="F8" i="29"/>
  <c r="C11" i="29"/>
  <c r="B6" i="30"/>
  <c r="F8" i="30"/>
  <c r="C11" i="30"/>
  <c r="C6" i="18"/>
  <c r="B9" i="18"/>
  <c r="C6" i="29"/>
  <c r="B9" i="29"/>
  <c r="C6" i="30"/>
  <c r="B9" i="30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B4" i="1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G2" i="27"/>
  <c r="D2" i="27"/>
  <c r="C2" i="27"/>
  <c r="A1" i="27" a="1"/>
  <c r="A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J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9" i="30" l="1"/>
  <c r="H9" i="30" s="1"/>
  <c r="D8" i="30"/>
  <c r="E8" i="30" s="1"/>
  <c r="G7" i="30"/>
  <c r="H7" i="30" s="1"/>
  <c r="G11" i="30"/>
  <c r="H11" i="30" s="1"/>
  <c r="D7" i="18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D4" i="1" s="1"/>
  <c r="E4" i="1" s="1"/>
  <c r="C8" i="1"/>
  <c r="C8" i="34" s="1"/>
  <c r="F11" i="1"/>
  <c r="F11" i="34" s="1"/>
  <c r="F9" i="1"/>
  <c r="F9" i="34" s="1"/>
  <c r="C11" i="1"/>
  <c r="C11" i="34" s="1"/>
  <c r="B11" i="1"/>
  <c r="F6" i="1"/>
  <c r="F6" i="34" s="1"/>
  <c r="F7" i="1"/>
  <c r="F7" i="34" s="1"/>
  <c r="B6" i="1"/>
  <c r="F4" i="30"/>
  <c r="F2" i="30" s="1"/>
  <c r="C4" i="30"/>
  <c r="C2" i="30" s="1"/>
  <c r="B4" i="30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D11" i="18"/>
  <c r="E11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5" i="1" l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11" i="1"/>
  <c r="H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2" i="1" l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<sst xmlns="http://schemas.openxmlformats.org/spreadsheetml/2006/main" count="753" uniqueCount="335">
  <si>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</si>
  <si>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</si>
  <si>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</si>
  <si>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</si>
  <si>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</si>
  <si>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</si>
  <si>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</si>
  <si>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</si>
  <si>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</si>
  <si>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</si>
  <si>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</si>
  <si>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</si>
  <si>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</si>
  <si>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</si>
  <si>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</si>
  <si>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</si>
  <si>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</si>
  <si>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</si>
  <si>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</si>
  <si>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</si>
  <si>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</si>
  <si>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</si>
  <si>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4 was replaced on 01/31</t>
  </si>
  <si>
    <t>1. SR079901</t>
  </si>
  <si>
    <t>1. Site is offline from 05/12/2023</t>
  </si>
  <si>
    <t>1. SR078942</t>
  </si>
  <si>
    <t>03/01/2023 Per Kate - Do Not Pursue Weather Station</t>
  </si>
  <si>
    <t xml:space="preserve">1. Expected energy was not available till 01/30 </t>
  </si>
  <si>
    <t>1. SR080333</t>
  </si>
  <si>
    <t xml:space="preserve">1. Inverter 4 tripped offline on 01/31
2. Expected energy was not available till 01/30 </t>
  </si>
  <si>
    <t>1. SR080633
2. SR080334</t>
  </si>
  <si>
    <t xml:space="preserve">1. Site de-energized 06/02/2023  due to TIGO investigation. </t>
  </si>
  <si>
    <t>1. SR078172</t>
  </si>
  <si>
    <t>1. SR078173</t>
  </si>
  <si>
    <t>No data available</t>
  </si>
  <si>
    <t>1. Site's de-energized 06/02/2023  due to TIGO investigation</t>
  </si>
  <si>
    <t>1. Inverter 17 was offline from morning and back online at 14:00 on 01/24</t>
  </si>
  <si>
    <t>1. SR080443</t>
  </si>
  <si>
    <t>1. SR078159</t>
  </si>
  <si>
    <t>1. SR078164</t>
  </si>
  <si>
    <t>1. SR078165</t>
  </si>
  <si>
    <t>1. SR078166</t>
  </si>
  <si>
    <t>1. SR078160</t>
  </si>
  <si>
    <t>1. SR078162</t>
  </si>
  <si>
    <t>1. SR078161</t>
  </si>
  <si>
    <t>February Actual v. Expected</t>
  </si>
  <si>
    <t>February Actual v. Forecasted</t>
  </si>
  <si>
    <t>1. Inverter 4 tripped offline on 02/12 and 02/24. Inverter being RMA'd</t>
  </si>
  <si>
    <t>1. 	SR080945</t>
  </si>
  <si>
    <t>1. Site not reporting prodcution from 05/12/2023</t>
  </si>
  <si>
    <t>1. Daily drop in production due to inverter fan failure.</t>
  </si>
  <si>
    <t>1. SR081410</t>
  </si>
  <si>
    <t xml:space="preserve">1. Inverter 4 back online on 02/21 after replacement
</t>
  </si>
  <si>
    <t>1. 	SR080633</t>
  </si>
  <si>
    <t>1. Site reenergized on 02/27 after TIGO investigation</t>
  </si>
  <si>
    <t>1. 	SR078163</t>
  </si>
  <si>
    <t>1. Site's de-energized on 06/02/2023  due to TIGO investigation and renergized on 03/05/2024</t>
  </si>
  <si>
    <t>1. Site reenergized on 02/20 after TIGO investigation</t>
  </si>
  <si>
    <t>1. Site reenergized on 02/23, but inverters 2, 3 &amp; 5 are still underproducing</t>
  </si>
  <si>
    <t>March Actual v. Expected</t>
  </si>
  <si>
    <t>March Actual v. Forecasted</t>
  </si>
  <si>
    <t>1. Inverter 4 offline on 03/02, 03/04, 03/05, 03/06, 03/08, 03/10</t>
  </si>
  <si>
    <t>1. SR080945</t>
  </si>
  <si>
    <t>1. Site stopped communicating since 03/22</t>
  </si>
  <si>
    <t>1. Daily drop in production due to inverter fan failure</t>
  </si>
  <si>
    <t>1. Site back online on 03/12. Inverter 1 to 4 are back online since 03/13, Inverters 13 to 17 are back online on 03/14, Inverters 6, 7 and 09 to 12 are back online on 03/15</t>
  </si>
  <si>
    <t>1. Site back online on 03/16 but since then all the inverters are producing constantly around 0.8kW throughout the day</t>
  </si>
  <si>
    <t>1. Site was re-energized on 03/05 and inverter 3 is underproducing ~16kW</t>
  </si>
  <si>
    <t>1. Site was re-energized on 03/12 at 13:45</t>
  </si>
  <si>
    <t>1. Site de-energized 06/02/2023  due to TIGO investigation</t>
  </si>
  <si>
    <t xml:space="preserve">1. Inverters 2, 3 &amp; 5 are underperforming throughout the month </t>
  </si>
  <si>
    <t>April Actual v. Expected</t>
  </si>
  <si>
    <t>April Actual v. Forecasted</t>
  </si>
  <si>
    <t xml:space="preserve">1. Site is offline from 04/01 &amp; back online at 04/26 at 15:00. </t>
  </si>
  <si>
    <t>1. Site stopped communicating on 03/14 at 07:00. Cannot verify production</t>
  </si>
  <si>
    <t>1. SR081942</t>
  </si>
  <si>
    <t xml:space="preserve">1. Site production is  droping consistently from the mid of the day.  </t>
  </si>
  <si>
    <t>1.SR081410</t>
  </si>
  <si>
    <t>1. Utill 04/19 all inverters were producing 0.8 kW except 2, which began operating at rated capacity from 04/18 and Inverter 10 is offline since 04/27</t>
  </si>
  <si>
    <t>1.SR078173</t>
  </si>
  <si>
    <t>1. Production meter reporting less than actual production due to phase A voltage dropping to zero throughout the month</t>
  </si>
  <si>
    <t>1. SR075812</t>
  </si>
  <si>
    <t xml:space="preserve">1. Inverter 2 tripped offline on 04/11 at 12:30, came back online at 15:00, and started derating untill 04/29. </t>
  </si>
  <si>
    <t>1.SR078163</t>
  </si>
  <si>
    <t xml:space="preserve">1. Inverter 3 is underperforming ~16kW till 04/14. </t>
  </si>
  <si>
    <t xml:space="preserve">1.Site was offline from 06/02/2023 to 04/16/2024, but inverters 1 &amp; 2 remainied offline even after the site resumed. </t>
  </si>
  <si>
    <t xml:space="preserve">1. Site was offline from 06/02/2023 to 04/02/2024, but inverters 4 remainied offline till 04/17 &amp; started underproducing till 04/28. </t>
  </si>
  <si>
    <t xml:space="preserve">1. Site was offline from 06/02/2023 to 04/10/2024. But Inverters 1, 3 &amp; 5 remained offline till 04/18 and came online on 04/19 at 11:00 am &amp; inverter 4 tripped offline on 04/19 at 10:00 am &amp; continued. </t>
  </si>
  <si>
    <t>1.SR078160</t>
  </si>
  <si>
    <t xml:space="preserve">1. Inverter 2,3 &amp; 5 are underperforming throughout the month. </t>
  </si>
  <si>
    <t>May Actual v. Expected</t>
  </si>
  <si>
    <t>May Actual v. Forecasted</t>
  </si>
  <si>
    <t>1. Inverters 2,4 &amp; 9 are underperforming approximately 4kW each compared to peers possibly string down from 05/13</t>
  </si>
  <si>
    <t>1. SR084620</t>
  </si>
  <si>
    <t>1. Intermittent meter phase C/power factor issue slightly impacting reported energy production</t>
  </si>
  <si>
    <t>1. SR077700</t>
  </si>
  <si>
    <t>1. Site production is dropping consistently from the mid of the day due to fan fault.</t>
  </si>
  <si>
    <t xml:space="preserve">1. Inverter 10 is offline from 04/27 to 05/17 and inverter 2 is offline since 05/16
</t>
  </si>
  <si>
    <t>1. Production meter reporting low production due to phase A voltage dropped to zero from 04/27</t>
  </si>
  <si>
    <t>1. Inverter 2 is derating by 25kW from 05/11/2024. Inverter 8 is underperforming approximately 50kW compared to its peers from 05/10/2024.
2. Inverter 17 is derating by 75kW from 05/28/2024.</t>
  </si>
  <si>
    <t>1. SR084558
2. SR085239</t>
  </si>
  <si>
    <t>1. Inverters 1 and 2 are offline from 05/01 to 05/20.</t>
  </si>
  <si>
    <t xml:space="preserve"> </t>
  </si>
  <si>
    <t>1. Inverter 4 is offline from 04/19 to 05/21.</t>
  </si>
  <si>
    <t>June Actual v. Expected</t>
  </si>
  <si>
    <t>June Actual v. Forecasted</t>
  </si>
  <si>
    <t>1. Site offline from 14:45 on 06/28 due to fire accident
2. Inverters 2,4 &amp; 9 are underperforming approximately 4kW each compared to peers possibly string down from 05/13</t>
  </si>
  <si>
    <t>1. 	SR087113
2.  SR084620</t>
  </si>
  <si>
    <t>1. Inverter 13 is underperforming by 5kW compared to peers possibly string down
2. Weather station reporting zero value from 05/24 due to that expected value is reporting zero</t>
  </si>
  <si>
    <t>1. SR086520
2. SR087337</t>
  </si>
  <si>
    <t>1. Inverter 5 is underperforming approximately 20kW compared to peers possibly string down</t>
  </si>
  <si>
    <t>1. 	SR085492</t>
  </si>
  <si>
    <t>July Actual v. Expected</t>
  </si>
  <si>
    <t>July Actual v. Forecasted</t>
  </si>
  <si>
    <t xml:space="preserve">1. Site offline from 14:45 on 06/28 due to fire accident. Inverter 9 being RMA'd
2. Inverter 3 is being RMA'd
</t>
  </si>
  <si>
    <t xml:space="preserve">1. 	SR087113
2. SR088261
</t>
  </si>
  <si>
    <t>1. Intermittent meter phase C/power factor issue slightly impacting reported energy production.
2. Weather station reporting erroneous values from 07/04 due to that expected values are low</t>
  </si>
  <si>
    <t>1. SR077700.
2. SR088667</t>
  </si>
  <si>
    <t>1. Inverter 13 tripped offline at 14:00 on 07/05. Inverter 13 back online on 07/24 at 15:15 but faulted string #10 is isolated</t>
  </si>
  <si>
    <t>1. 	SR087433</t>
  </si>
  <si>
    <t>1. Inverter 13 was underperforming till technician troubleshoot it on 07/25
2. Weather station reporting zero value from 05/24 due to that expected value is reporting zero. Parts being RMA'd
3. Inverter 4 tripped offline at 14:30 on 07/01 and back online on 07/05
4. All inverters reporting 0.8kW from 07/26 due to utility power sent is being curtailed</t>
  </si>
  <si>
    <t>1. SR086520
2. SR087337
3. SR087215
4. SR088287</t>
  </si>
  <si>
    <t>1. Production meter reporting low production due to phase A voltage dropped to zero from 04/27
2. Weather station reporting erroneous values throughout the month</t>
  </si>
  <si>
    <t>1. SR075812
2. Need to create SR</t>
  </si>
  <si>
    <t>August Actual v. Expected</t>
  </si>
  <si>
    <t>August Actual v. Forecasted</t>
  </si>
  <si>
    <t xml:space="preserve">1. Site back online and reporting at 10:30 on 08/09 after the fire accident. Inverter 9 still offline and being RMA'd
2. Inverter 3 was replaced and back online on 08/09
</t>
  </si>
  <si>
    <t xml:space="preserve">1. SR087113,SR087742	
2. SR088261
</t>
  </si>
  <si>
    <t>1. Site stopped communicating at 09:20 PM on 08/17, production cannot be confirmed</t>
  </si>
  <si>
    <t>1. 	SR089204</t>
  </si>
  <si>
    <t>1. Inverters stopped reporting from 06/13, technician confirmed one of the inverters is offline during PM4252 and needs to troubleshooted/replaced</t>
  </si>
  <si>
    <t>1. 	SR088671</t>
  </si>
  <si>
    <t>1.  Weather station reporting erroneous values from 07/04 due to that expected values are low.
2. Intermittent meter phase C/power factor issue slightly impacting reported energy production.</t>
  </si>
  <si>
    <t>1. SR088667
2. SR077700</t>
  </si>
  <si>
    <t>1. Inverter 6 is tripping on and off intermittently from 08/02 resulting in inverter being mostly offline. Issue occurring throughout the month</t>
  </si>
  <si>
    <t>1. 	SR088535</t>
  </si>
  <si>
    <t>1. Inverter 13 string #10 is isolated for further troubleshooting</t>
  </si>
  <si>
    <t>1. Weather station reporting zero value from 05/24 due to that expected value is reporting zero. Parts being RMA'd by AlsoEnergy
2. Site was in curtailment throughout the month resulting in low site production</t>
  </si>
  <si>
    <t>1. SR088678, SR087337
2. SR088287</t>
  </si>
  <si>
    <t>1. Site stopped communicating at 09:45 PM on 08/30, production cannot be confirmed</t>
  </si>
  <si>
    <t>1. 	SR089791</t>
  </si>
  <si>
    <t>1. Site tripped offline at 04:35 PM on 08/14 due to meter phase B voltages dropped to zero and came back online on 08/15</t>
  </si>
  <si>
    <t>1. SR089050</t>
  </si>
  <si>
    <t xml:space="preserve">1. SR075812
</t>
  </si>
  <si>
    <t xml:space="preserve">1. Inverter 5 is underperforming approximately 20kW compared to peers thorughout the month due to issue with RSD unit, requires further troubleshooting </t>
  </si>
  <si>
    <t>1. Site was offline from 08/25 at 04:00 and back online at 08:00 on 08/25</t>
  </si>
  <si>
    <t>1. SR089603</t>
  </si>
  <si>
    <t>September Actual v. Expected</t>
  </si>
  <si>
    <t>September Actual v. Forecasted</t>
  </si>
  <si>
    <t xml:space="preserve">1.The site has been turned offline for maintenance at 10:15 PDT on 09/26/2024 and back online at 16:00 PDT on 09/27/2024 </t>
  </si>
  <si>
    <t>1.SR091313</t>
  </si>
  <si>
    <t>1.  Site peaks at about 5kw, then around noon drops to 1.5KW on 09/17/2024 . Likely due to inverters offline and heat issues
2.  Inverter stuck in start up and standby mode on 09/21/2024- Fronius will not RMA inv due to thermal issues on site</t>
  </si>
  <si>
    <t>1. SR091062
2. SR091062</t>
  </si>
  <si>
    <t>1. AlsoEnergy conducting an assessment/adjustment of the RTAC settings that interact with the Duke Energy RTU  on 09/06/2024 and more over AE made changes on 09/09/2024  and site is  producing full power 
2. Inverter 13 is offline on 09/26/2024 and reporting an isolation fault. Weather related.</t>
  </si>
  <si>
    <t>1. SR090058
2. SR091286</t>
  </si>
  <si>
    <t xml:space="preserve">1.Inverter is kept offline intentionally and is being  rmad from 12:00 on 09/16/2024 </t>
  </si>
  <si>
    <t>1.SR090634</t>
  </si>
  <si>
    <t>1. The PV inverter tripped offline from 09/10/2024, reporting an IsolationErr code</t>
  </si>
  <si>
    <t>1. SR090252</t>
  </si>
  <si>
    <t>1. Inverter 1 lost communication at 17:15 on 09/23,possibly offline</t>
  </si>
  <si>
    <t>1.SR091107</t>
  </si>
  <si>
    <t>October Actual v. Expected</t>
  </si>
  <si>
    <t>October Actual v. Forecasted</t>
  </si>
  <si>
    <t>1.Weather station is started communicating from 10/15</t>
  </si>
  <si>
    <t>1.SR092201</t>
  </si>
  <si>
    <t xml:space="preserve">1.Inverter 9 is re-energised on 10/04 at 13:30 PM 
2.Inverter 4 is underperforming 8KW and Inverter 2,7 are underperforming by approximately 3KW down compared down to its peers.
</t>
  </si>
  <si>
    <t>1.SR087742
2.SR091496</t>
  </si>
  <si>
    <t>1.Site is back online on 10/04 at 13:00 PM</t>
  </si>
  <si>
    <t>1.SR089204</t>
  </si>
  <si>
    <t xml:space="preserve">1.Weather station is reporting erroneous values from 07/04/2024 </t>
  </si>
  <si>
    <t>1.SR088667</t>
  </si>
  <si>
    <t xml:space="preserve">1.Meter is not capturing all inverters production due to drop in phase B current. Meter is reporting 30kW less than all inverters. B phase current is 60 amps lower than A and C currents. </t>
  </si>
  <si>
    <t>1.SR092064</t>
  </si>
  <si>
    <t xml:space="preserve">1.Inverter back online on 10/8 </t>
  </si>
  <si>
    <t>1.SR091644</t>
  </si>
  <si>
    <t>1.SR075812</t>
  </si>
  <si>
    <t>1.Site offline from 10/19 on 13:45 and back online on 10/26 at 16:30.</t>
  </si>
  <si>
    <t>1.	SR092402</t>
  </si>
  <si>
    <t>1.Meter phase B current intermittently underreporting while inverter production unaffected. Reported energy loss may be retroactively corrected.</t>
  </si>
  <si>
    <t>1.SR077660</t>
  </si>
  <si>
    <t>1.IMT Ambient temperature sensor is not communicating.</t>
  </si>
  <si>
    <t>1.SR091735</t>
  </si>
  <si>
    <t>s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</si>
  <si>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</si>
  <si>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</si>
  <si>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</si>
  <si>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</si>
  <si>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</si>
  <si>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</si>
  <si>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</si>
  <si>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</si>
  <si>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</si>
  <si>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BE 191334 - Adams &amp; Broadway</t>
  </si>
  <si>
    <t>Adams &amp; Broadway</t>
  </si>
  <si>
    <t>CA</t>
  </si>
  <si>
    <t>AF</t>
  </si>
  <si>
    <t>PowerTrack</t>
  </si>
  <si>
    <t>BE 196270 - Otay Mesa (ATM)</t>
  </si>
  <si>
    <t>Otay Mesa</t>
  </si>
  <si>
    <t>BE 144682 - San Leandro Ops Center</t>
  </si>
  <si>
    <t>San Leandro</t>
  </si>
  <si>
    <t>AEF</t>
  </si>
  <si>
    <t>BE 191705 - Van Nuys</t>
  </si>
  <si>
    <t>Van Nuys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</si>
  <si>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</si>
  <si>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</si>
  <si>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</si>
  <si>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</si>
  <si>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</si>
  <si>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</si>
  <si>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</si>
  <si>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</si>
  <si>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</si>
  <si>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</si>
  <si>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</si>
  <si>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</si>
  <si>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</si>
  <si>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</si>
  <si>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</si>
  <si>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</si>
  <si>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</si>
  <si>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</si>
  <si>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</si>
  <si>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</si>
  <si>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</si>
  <si>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</si>
  <si>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</si>
  <si>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</si>
  <si>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</si>
  <si>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</si>
  <si>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</si>
  <si>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</si>
  <si>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</si>
  <si>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150140 - HMHQ</t>
  </si>
  <si>
    <t>West Des Moines - HMHQ</t>
  </si>
  <si>
    <t>IA</t>
  </si>
  <si>
    <t>BE 150496 - West Des Moines Campus - East</t>
  </si>
  <si>
    <t>W. Des Moines Campus EAST</t>
  </si>
  <si>
    <t>BE 150496 - West Des Moines Campus - SW</t>
  </si>
  <si>
    <t>W. Des Moines Campus SW</t>
  </si>
  <si>
    <t>BE 141278 - CIC</t>
  </si>
  <si>
    <t>WF - CIC</t>
  </si>
  <si>
    <t>NC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</si>
  <si>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</si>
  <si>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</si>
  <si>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</si>
  <si>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</si>
  <si>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</si>
  <si>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</si>
  <si>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</si>
  <si>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</si>
  <si>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</si>
  <si>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</si>
  <si>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</si>
  <si>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</si>
  <si>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</si>
  <si>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</si>
  <si>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</si>
  <si>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</si>
  <si>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</si>
  <si>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</si>
  <si>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</si>
  <si>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</si>
  <si>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</si>
  <si>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</si>
  <si>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</si>
  <si>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</si>
  <si>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</si>
  <si>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</si>
  <si>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</si>
  <si>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</si>
  <si>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</si>
  <si>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</si>
  <si>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</si>
  <si>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</si>
  <si>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</si>
  <si>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</si>
  <si>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</si>
  <si>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</si>
  <si>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</si>
  <si>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</si>
  <si>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</si>
  <si>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</si>
  <si>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</si>
  <si>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</si>
  <si>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</si>
  <si>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</si>
  <si>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</si>
  <si>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</si>
  <si>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</si>
  <si>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</si>
  <si>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</si>
  <si>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</si>
  <si>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</si>
  <si>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</si>
  <si>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</si>
  <si>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</si>
  <si>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</si>
  <si>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</si>
  <si>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</si>
  <si>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</si>
  <si>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</si>
  <si>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</si>
  <si>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</si>
  <si>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</si>
  <si>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</si>
  <si>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</si>
  <si>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</si>
  <si>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</si>
  <si>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</si>
  <si>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</si>
  <si>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</si>
  <si>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</si>
  <si>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</si>
  <si>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</si>
  <si>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</si>
  <si>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</si>
  <si>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</si>
  <si>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</si>
  <si>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</si>
  <si>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</si>
  <si>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</si>
  <si>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</si>
  <si>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</si>
  <si>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</si>
  <si>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</si>
  <si>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</si>
  <si>
    <t>BE 105499 - Lodi Vineyard</t>
  </si>
  <si>
    <t>Lodi - Lodi Vineyard</t>
  </si>
  <si>
    <t>BE 144486 - Arden Fair Mall</t>
  </si>
  <si>
    <t>Arden Fair Mall</t>
  </si>
  <si>
    <t>BE 199250 - Modesto Main</t>
  </si>
  <si>
    <t>Modesto - Modesto Main</t>
  </si>
  <si>
    <t>BE 199506 - Stevens Creek</t>
  </si>
  <si>
    <t>Stevens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</si>
</sst>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</font>
    <font>
      <sz val="11"/>
      <color rgb="FF000000"/>
      <name val="Calibri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</borders>
  <cellStyleXfs count="4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4" fillId="0" borderId="0"/>
    <xf numFmtId="43" fontId="2" fillId="0" borderId="0" applyFont="0" applyFill="0" applyBorder="0" applyAlignment="0" applyProtection="0"/>
  </cellStyleXfs>
  <cellXfs count="8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3" fontId="23" fillId="36" borderId="1" xfId="0" applyNumberFormat="1" applyFont="1" applyFill="1" applyBorder="1" applyAlignment="1">
      <alignment horizontal="center" vertical="center"/>
    </xf>
    <xf numFmtId="9" fontId="23" fillId="36" borderId="1" xfId="0" applyNumberFormat="1" applyFont="1" applyFill="1" applyBorder="1" applyAlignment="1">
      <alignment horizontal="center" vertical="center"/>
    </xf>
    <xf numFmtId="3" fontId="23" fillId="36" borderId="1" xfId="1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49" fontId="26" fillId="40" borderId="0" xfId="0" applyNumberFormat="1" applyFont="1" applyFill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4" fontId="26" fillId="0" borderId="0" xfId="1" applyNumberFormat="1" applyFont="1" applyBorder="1" applyAlignment="1">
      <alignment horizontal="center" vertical="center"/>
    </xf>
    <xf numFmtId="3" fontId="28" fillId="3" borderId="0" xfId="0" applyNumberFormat="1" applyFont="1" applyFill="1" applyAlignment="1">
      <alignment horizontal="right" vertical="center"/>
    </xf>
    <xf numFmtId="9" fontId="28" fillId="3" borderId="0" xfId="2" applyFont="1" applyFill="1" applyBorder="1" applyAlignment="1">
      <alignment horizontal="center" vertical="center"/>
    </xf>
    <xf numFmtId="3" fontId="28" fillId="4" borderId="0" xfId="1" applyNumberFormat="1" applyFont="1" applyFill="1" applyBorder="1" applyAlignment="1">
      <alignment vertical="center"/>
    </xf>
    <xf numFmtId="9" fontId="28" fillId="37" borderId="0" xfId="2" applyFont="1" applyFill="1" applyBorder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3" fontId="28" fillId="0" borderId="0" xfId="0" applyNumberFormat="1" applyFont="1" applyAlignment="1">
      <alignment horizontal="right" vertical="center"/>
    </xf>
    <xf numFmtId="9" fontId="28" fillId="0" borderId="0" xfId="2" applyFont="1" applyFill="1" applyBorder="1" applyAlignment="1">
      <alignment horizontal="center" vertical="center"/>
    </xf>
    <xf numFmtId="3" fontId="28" fillId="0" borderId="0" xfId="1" applyNumberFormat="1" applyFont="1" applyFill="1" applyBorder="1" applyAlignment="1">
      <alignment vertical="center"/>
    </xf>
    <xf numFmtId="0" fontId="30" fillId="0" borderId="0" xfId="0" applyFont="1"/>
    <xf numFmtId="9" fontId="29" fillId="0" borderId="0" xfId="2" applyFont="1" applyAlignment="1">
      <alignment horizontal="center"/>
    </xf>
    <xf numFmtId="0" fontId="27" fillId="43" borderId="1" xfId="0" applyFont="1" applyFill="1" applyBorder="1" applyAlignment="1">
      <alignment horizontal="center" vertical="center" wrapText="1"/>
    </xf>
    <xf numFmtId="164" fontId="26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7" fillId="2" borderId="11" xfId="0" applyFont="1" applyFill="1" applyBorder="1" applyAlignment="1">
      <alignment horizontal="center" vertical="center" wrapText="1"/>
    </xf>
    <xf numFmtId="0" fontId="25" fillId="40" borderId="0" xfId="0" applyFont="1" applyFill="1" applyAlignment="1">
      <alignment horizontal="center" vertical="center"/>
    </xf>
    <xf numFmtId="0" fontId="26" fillId="40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2" fillId="40" borderId="0" xfId="0" applyFont="1" applyFill="1" applyAlignment="1">
      <alignment horizontal="center"/>
    </xf>
    <xf numFmtId="0" fontId="28" fillId="0" borderId="0" xfId="0" applyFont="1"/>
    <xf numFmtId="0" fontId="23" fillId="0" borderId="0" xfId="0" applyFont="1"/>
    <xf numFmtId="0" fontId="22" fillId="41" borderId="1" xfId="0" applyFont="1" applyFill="1" applyBorder="1" applyAlignment="1">
      <alignment horizontal="center" vertical="center" wrapText="1"/>
    </xf>
    <xf numFmtId="9" fontId="22" fillId="41" borderId="1" xfId="2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/>
    </xf>
    <xf numFmtId="0" fontId="22" fillId="42" borderId="1" xfId="0" applyFont="1" applyFill="1" applyBorder="1" applyAlignment="1">
      <alignment horizontal="center" vertical="center" wrapText="1"/>
    </xf>
    <xf numFmtId="9" fontId="22" fillId="42" borderId="1" xfId="2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 vertical="center"/>
    </xf>
    <xf numFmtId="49" fontId="28" fillId="38" borderId="0" xfId="2" applyNumberFormat="1" applyFont="1" applyFill="1" applyBorder="1" applyAlignment="1">
      <alignment vertical="top" wrapText="1"/>
    </xf>
    <xf numFmtId="49" fontId="26" fillId="0" borderId="0" xfId="0" applyNumberFormat="1" applyFont="1" applyAlignment="1">
      <alignment vertical="center" wrapText="1"/>
    </xf>
    <xf numFmtId="49" fontId="25" fillId="0" borderId="0" xfId="0" applyNumberFormat="1" applyFont="1" applyAlignment="1">
      <alignment vertical="center" wrapText="1"/>
    </xf>
    <xf numFmtId="0" fontId="22" fillId="39" borderId="1" xfId="0" applyFont="1" applyFill="1" applyBorder="1" applyAlignment="1">
      <alignment horizontal="center" vertical="center"/>
    </xf>
    <xf numFmtId="0" fontId="2" fillId="0" borderId="0" xfId="0" applyFont="1"/>
    <xf numFmtId="164" fontId="26" fillId="44" borderId="0" xfId="1" applyNumberFormat="1" applyFont="1" applyFill="1" applyBorder="1" applyAlignment="1">
      <alignment horizontal="center" vertical="center" indent="1"/>
    </xf>
    <xf numFmtId="0" fontId="33" fillId="46" borderId="15" xfId="0" applyFont="1" applyFill="1" applyBorder="1"/>
    <xf numFmtId="0" fontId="33" fillId="0" borderId="0" xfId="0" applyFont="1"/>
    <xf numFmtId="0" fontId="33" fillId="46" borderId="0" xfId="0" applyFont="1" applyFill="1"/>
    <xf numFmtId="0" fontId="33" fillId="0" borderId="16" xfId="0" applyFont="1" applyBorder="1"/>
    <xf numFmtId="0" fontId="33" fillId="46" borderId="16" xfId="0" applyFont="1" applyFill="1" applyBorder="1"/>
    <xf numFmtId="0" fontId="33" fillId="0" borderId="16" xfId="0" applyFont="1" applyBorder="1" applyAlignment="1">
      <alignment wrapText="1"/>
    </xf>
    <xf numFmtId="49" fontId="26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6" fillId="0" borderId="0" xfId="1" applyNumberFormat="1" applyFont="1" applyFill="1" applyBorder="1" applyAlignment="1">
      <alignment horizontal="center" vertical="center"/>
    </xf>
    <xf numFmtId="164" fontId="26" fillId="47" borderId="0" xfId="1" applyNumberFormat="1" applyFont="1" applyFill="1" applyBorder="1" applyAlignment="1">
      <alignment horizontal="center" vertical="center"/>
    </xf>
    <xf numFmtId="49" fontId="35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top" wrapText="1"/>
    </xf>
    <xf numFmtId="49" fontId="25" fillId="0" borderId="0" xfId="0" applyNumberFormat="1" applyFont="1" applyAlignment="1">
      <alignment horizontal="left" vertical="top" wrapText="1"/>
    </xf>
    <xf numFmtId="49" fontId="26" fillId="0" borderId="0" xfId="0" applyNumberFormat="1" applyFont="1" applyAlignment="1">
      <alignment horizontal="left" vertical="center" wrapText="1"/>
    </xf>
    <xf numFmtId="164" fontId="26" fillId="44" borderId="0" xfId="1" applyNumberFormat="1" applyFont="1" applyFill="1" applyAlignment="1">
      <alignment horizontal="center" vertical="center"/>
    </xf>
    <xf numFmtId="164" fontId="26" fillId="48" borderId="0" xfId="1" applyNumberFormat="1" applyFont="1" applyFill="1" applyBorder="1" applyAlignment="1">
      <alignment horizontal="center" vertical="center"/>
    </xf>
    <xf numFmtId="9" fontId="28" fillId="3" borderId="0" xfId="2" applyFont="1" applyFill="1" applyAlignment="1">
      <alignment horizontal="center" vertical="center"/>
    </xf>
    <xf numFmtId="49" fontId="28" fillId="38" borderId="0" xfId="2" applyNumberFormat="1" applyFont="1" applyFill="1" applyAlignment="1">
      <alignment vertical="top" wrapText="1"/>
    </xf>
    <xf numFmtId="49" fontId="28" fillId="38" borderId="0" xfId="2" applyNumberFormat="1" applyFont="1" applyFill="1" applyBorder="1" applyAlignment="1">
      <alignment horizontal="left" vertical="top" wrapText="1"/>
    </xf>
    <xf numFmtId="49" fontId="28" fillId="38" borderId="0" xfId="2" applyNumberFormat="1" applyFont="1" applyFill="1" applyAlignment="1">
      <alignment horizontal="left" vertical="top" wrapText="1"/>
    </xf>
    <xf numFmtId="0" fontId="3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8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49" fontId="25" fillId="0" borderId="0" xfId="0" applyNumberFormat="1" applyFon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22" fillId="39" borderId="1" xfId="0" applyFont="1" applyFill="1" applyBorder="1" applyAlignment="1">
      <alignment horizontal="center" vertic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9" totalsRowShown="0">
  <autoFilter ref="A3:E69" xr:uid="{C9C95D9E-67ED-41E0-9F41-9C3DA4ACF4CD}"/>
  <sortState xmlns:xlrd2="http://schemas.microsoft.com/office/spreadsheetml/2017/richdata2" ref="A4:E56">
    <sortCondition ref="C3:C5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H336"/>
  <sheetViews>
    <sheetView workbookViewId="0">
      <pane xSplit="1" ySplit="3" topLeftCell="B4" activePane="bottomRight" state="frozen"/>
      <selection pane="bottomRight" activeCell="C19" sqref="C19"/>
      <selection pane="bottomLeft"/>
      <selection pane="topRight"/>
    </sheetView>
  </sheetViews>
  <sheetFormatPr defaultRowHeight="12.75"/>
  <cols>
    <col min="1" max="1" width="35.85546875" bestFit="1" customWidth="1"/>
    <col min="2" max="2" width="11.7109375" customWidth="1"/>
    <col min="3" max="4" width="13.28515625" customWidth="1"/>
    <col min="5" max="5" width="13.28515625" style="1" customWidth="1"/>
    <col min="6" max="7" width="13.28515625" customWidth="1"/>
    <col min="8" max="8" width="13.28515625" style="1" customWidth="1"/>
  </cols>
  <sheetData>
    <row r="1" spans="1:8" ht="19.5" customHeight="1">
      <c r="A1" s="72" t="str" cm="1">
        <f t="array" ref="A1">portfolio</f>
        <v>Wells Fargo</v>
      </c>
      <c r="B1" s="72"/>
      <c r="C1" s="73" t="s">
        <v>0</v>
      </c>
      <c r="D1" s="73"/>
      <c r="E1" s="73"/>
      <c r="F1" s="71" t="s">
        <v>1</v>
      </c>
      <c r="G1" s="71"/>
      <c r="H1" s="71"/>
    </row>
    <row r="2" spans="1:8" ht="19.5" customHeight="1">
      <c r="A2" s="42" t="s">
        <v>2</v>
      </c>
      <c r="B2" s="4">
        <f ca="1">SUM(B4:B94)</f>
        <v>12032650.171800524</v>
      </c>
      <c r="C2" s="4">
        <f ca="1">SUM(C4:C94)</f>
        <v>11854040.49382</v>
      </c>
      <c r="D2" s="4">
        <f ca="1">B2-C2</f>
        <v>178609.67798052356</v>
      </c>
      <c r="E2" s="5">
        <f ca="1">IFERROR(D2/C2, 0)</f>
        <v>1.5067409131396181E-2</v>
      </c>
      <c r="F2" s="4">
        <f ca="1">SUM(F4:F94)</f>
        <v>14495209.865900001</v>
      </c>
      <c r="G2" s="6">
        <f ca="1">B2-F2</f>
        <v>-2462559.6940994766</v>
      </c>
      <c r="H2" s="5">
        <f ca="1">IFERROR(G2/F2, 0)</f>
        <v>-0.16988782617716017</v>
      </c>
    </row>
    <row r="3" spans="1:8" ht="14.25" customHeight="1">
      <c r="A3" s="7" t="s">
        <v>3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25">
      <c r="A4" s="27" t="str" cm="1">
        <f t="array" ref="A4:A11">_xlfn.UNIQUE(Sites[State])</f>
        <v>CA</v>
      </c>
      <c r="B4" s="22">
        <f ca="1">SUM('1st Qtr'!B4, '2nd Qtr'!B4, '3rd Qtr'!B4, '4th Qtr'!B4)</f>
        <v>608224.88431850087</v>
      </c>
      <c r="C4" s="11">
        <f ca="1">SUM('1st Qtr'!C4, '2nd Qtr'!C4, '3rd Qtr'!C4, '4th Qtr'!C4)</f>
        <v>611505.13500000001</v>
      </c>
      <c r="D4" s="11">
        <f ca="1">IF(AND(ISNUMBER($B4),ISNUMBER(C4)), $B4-C4, "")</f>
        <v>-3280.2506814991357</v>
      </c>
      <c r="E4" s="12">
        <f ca="1">IFERROR(D4/C4, "")</f>
        <v>-5.3642242619910876E-3</v>
      </c>
      <c r="F4" s="13">
        <f ca="1">SUM('1st Qtr'!F4, '2nd Qtr'!F4, '3rd Qtr'!F4, '4th Qtr'!F4)</f>
        <v>647965.53200000001</v>
      </c>
      <c r="G4" s="13">
        <f ca="1">IF(AND(ISNUMBER($B4),ISNUMBER(F4)), $B4-F4, "")</f>
        <v>-39740.647681499133</v>
      </c>
      <c r="H4" s="14">
        <f ca="1">IFERROR(G4/F4, "")</f>
        <v>-6.1331422303955406E-2</v>
      </c>
    </row>
    <row r="5" spans="1:8" ht="15.75">
      <c r="A5" s="28" t="str">
        <v>CO</v>
      </c>
      <c r="B5" s="10">
        <f ca="1">SUM('1st Qtr'!B5, '2nd Qtr'!B5, '3rd Qtr'!B5, '4th Qtr'!B5)</f>
        <v>247213.81605513193</v>
      </c>
      <c r="C5" s="16">
        <f ca="1">SUM('1st Qtr'!C5, '2nd Qtr'!C5, '3rd Qtr'!C5, '4th Qtr'!C5)</f>
        <v>0</v>
      </c>
      <c r="D5" s="16">
        <f ca="1">IF(AND(ISNUMBER($B5),ISNUMBER(C5)), $B5-C5, "")</f>
        <v>247213.81605513193</v>
      </c>
      <c r="E5" s="17" t="str">
        <f ca="1">IFERROR(D5/C5, "")</f>
        <v/>
      </c>
      <c r="F5" s="18">
        <f ca="1">SUM('1st Qtr'!F5, '2nd Qtr'!F5, '3rd Qtr'!F5, '4th Qtr'!F5)</f>
        <v>247161.10599999997</v>
      </c>
      <c r="G5" s="18">
        <f ca="1">IF(AND(ISNUMBER($B5),ISNUMBER(F5)), $B5-F5, "")</f>
        <v>52.710055131959962</v>
      </c>
      <c r="H5" s="17">
        <f ca="1">IFERROR(G5/F5, "")</f>
        <v>2.1326193261151684E-4</v>
      </c>
    </row>
    <row r="6" spans="1:8" ht="15.75">
      <c r="A6" s="26" t="str">
        <v>CT</v>
      </c>
      <c r="B6" s="22">
        <f ca="1">SUM('1st Qtr'!B6, '2nd Qtr'!B6, '3rd Qtr'!B6, '4th Qtr'!B6)</f>
        <v>12607.613976957262</v>
      </c>
      <c r="C6" s="11">
        <f ca="1">SUM('1st Qtr'!C6, '2nd Qtr'!C6, '3rd Qtr'!C6, '4th Qtr'!C6)</f>
        <v>11106.347119999999</v>
      </c>
      <c r="D6" s="11">
        <f t="shared" ref="D6:D11" ca="1" si="0">IF(AND(ISNUMBER($B6),ISNUMBER(C6)), $B6-C6, "")</f>
        <v>1501.2668569572634</v>
      </c>
      <c r="E6" s="12">
        <f t="shared" ref="E6:E11" ca="1" si="1">IFERROR(D6/C6, "")</f>
        <v>0.1351719733533111</v>
      </c>
      <c r="F6" s="13">
        <f ca="1">SUM('1st Qtr'!F6, '2nd Qtr'!F6, '3rd Qtr'!F6, '4th Qtr'!F6)</f>
        <v>16252.463800000003</v>
      </c>
      <c r="G6" s="13">
        <f t="shared" ref="G6:G11" ca="1" si="2">IF(AND(ISNUMBER($B6),ISNUMBER(F6)), $B6-F6, "")</f>
        <v>-3644.8498230427413</v>
      </c>
      <c r="H6" s="14">
        <f t="shared" ref="H6:H11" ca="1" si="3">IFERROR(G6/F6, "")</f>
        <v>-0.22426444801819775</v>
      </c>
    </row>
    <row r="7" spans="1:8" ht="15.75">
      <c r="A7" s="28" t="str">
        <v>FL</v>
      </c>
      <c r="B7" s="10">
        <f ca="1">SUM('1st Qtr'!B7, '2nd Qtr'!B7, '3rd Qtr'!B7, '4th Qtr'!B7)</f>
        <v>11205.748881685697</v>
      </c>
      <c r="C7" s="16">
        <f ca="1">SUM('1st Qtr'!C7, '2nd Qtr'!C7, '3rd Qtr'!C7, '4th Qtr'!C7)</f>
        <v>36144.773000000001</v>
      </c>
      <c r="D7" s="16">
        <f t="shared" ca="1" si="0"/>
        <v>-24939.024118314304</v>
      </c>
      <c r="E7" s="17">
        <f t="shared" ca="1" si="1"/>
        <v>-0.6899759508328992</v>
      </c>
      <c r="F7" s="18">
        <f ca="1">SUM('1st Qtr'!F7, '2nd Qtr'!F7, '3rd Qtr'!F7, '4th Qtr'!F7)</f>
        <v>47940.661</v>
      </c>
      <c r="G7" s="18">
        <f t="shared" ca="1" si="2"/>
        <v>-36734.9121183143</v>
      </c>
      <c r="H7" s="17">
        <f t="shared" ca="1" si="3"/>
        <v>-0.76625793954560406</v>
      </c>
    </row>
    <row r="8" spans="1:8" ht="15.75">
      <c r="A8" s="26" t="str">
        <v>IA</v>
      </c>
      <c r="B8" s="22">
        <f ca="1">SUM('1st Qtr'!B8, '2nd Qtr'!B8, '3rd Qtr'!B8, '4th Qtr'!B8)</f>
        <v>2560597.4375</v>
      </c>
      <c r="C8" s="11">
        <f ca="1">SUM('1st Qtr'!C8, '2nd Qtr'!C8, '3rd Qtr'!C8, '4th Qtr'!C8)</f>
        <v>2541224.8340000003</v>
      </c>
      <c r="D8" s="11">
        <f t="shared" ca="1" si="0"/>
        <v>19372.603499999736</v>
      </c>
      <c r="E8" s="12">
        <f t="shared" ca="1" si="1"/>
        <v>7.623333142666641E-3</v>
      </c>
      <c r="F8" s="13">
        <f ca="1">SUM('1st Qtr'!F8, '2nd Qtr'!F8, '3rd Qtr'!F8, '4th Qtr'!F8)</f>
        <v>2604545.057</v>
      </c>
      <c r="G8" s="13">
        <f t="shared" ca="1" si="2"/>
        <v>-43947.61950000003</v>
      </c>
      <c r="H8" s="14">
        <f t="shared" ca="1" si="3"/>
        <v>-1.687343414616153E-2</v>
      </c>
    </row>
    <row r="9" spans="1:8" ht="15.75">
      <c r="A9" s="28" t="str">
        <v>NC</v>
      </c>
      <c r="B9" s="10">
        <f ca="1">SUM('1st Qtr'!B9, '2nd Qtr'!B9, '3rd Qtr'!B9, '4th Qtr'!B9)</f>
        <v>2150451.25</v>
      </c>
      <c r="C9" s="16">
        <f ca="1">SUM('1st Qtr'!C9, '2nd Qtr'!C9, '3rd Qtr'!C9, '4th Qtr'!C9)</f>
        <v>1925773.0660000001</v>
      </c>
      <c r="D9" s="16">
        <f t="shared" ca="1" si="0"/>
        <v>224678.18399999989</v>
      </c>
      <c r="E9" s="17">
        <f t="shared" ca="1" si="1"/>
        <v>0.11666908628371059</v>
      </c>
      <c r="F9" s="18">
        <f ca="1">SUM('1st Qtr'!F9, '2nd Qtr'!F9, '3rd Qtr'!F9, '4th Qtr'!F9)</f>
        <v>2912689.3249999997</v>
      </c>
      <c r="G9" s="18">
        <f t="shared" ca="1" si="2"/>
        <v>-762238.07499999972</v>
      </c>
      <c r="H9" s="17">
        <f t="shared" ca="1" si="3"/>
        <v>-0.26169563243755828</v>
      </c>
    </row>
    <row r="10" spans="1:8" ht="15.75">
      <c r="A10" s="26" t="str">
        <v>NJ</v>
      </c>
      <c r="B10" s="22">
        <f ca="1">SUM('1st Qtr'!B10, '2nd Qtr'!B10, '3rd Qtr'!B10, '4th Qtr'!B10)</f>
        <v>762638.26209824998</v>
      </c>
      <c r="C10" s="11">
        <f ca="1">SUM('1st Qtr'!C10, '2nd Qtr'!C10, '3rd Qtr'!C10, '4th Qtr'!C10)</f>
        <v>754341.68469999998</v>
      </c>
      <c r="D10" s="11">
        <f t="shared" ca="1" si="0"/>
        <v>8296.5773982499959</v>
      </c>
      <c r="E10" s="12">
        <f t="shared" ca="1" si="1"/>
        <v>1.0998434219566597E-2</v>
      </c>
      <c r="F10" s="13">
        <f ca="1">SUM('1st Qtr'!F10, '2nd Qtr'!F10, '3rd Qtr'!F10, '4th Qtr'!F10)</f>
        <v>830461.16810000001</v>
      </c>
      <c r="G10" s="13">
        <f t="shared" ca="1" si="2"/>
        <v>-67822.906001750031</v>
      </c>
      <c r="H10" s="14">
        <f t="shared" ca="1" si="3"/>
        <v>-8.1668967324409716E-2</v>
      </c>
    </row>
    <row r="11" spans="1:8" ht="15.75">
      <c r="A11" s="28" t="str">
        <v>TX</v>
      </c>
      <c r="B11" s="10">
        <f ca="1">SUM('1st Qtr'!B11, '2nd Qtr'!B11, '3rd Qtr'!B11, '4th Qtr'!B11)</f>
        <v>5679711.1589699993</v>
      </c>
      <c r="C11" s="16">
        <f ca="1">SUM('1st Qtr'!C11, '2nd Qtr'!C11, '3rd Qtr'!C11, '4th Qtr'!C11)</f>
        <v>5973944.6540000001</v>
      </c>
      <c r="D11" s="16">
        <f t="shared" ca="1" si="0"/>
        <v>-294233.49503000081</v>
      </c>
      <c r="E11" s="17">
        <f t="shared" ca="1" si="1"/>
        <v>-4.9252798958053554E-2</v>
      </c>
      <c r="F11" s="18">
        <f ca="1">SUM('1st Qtr'!F11, '2nd Qtr'!F11, '3rd Qtr'!F11, '4th Qtr'!F11)</f>
        <v>7188194.5530000003</v>
      </c>
      <c r="G11" s="18">
        <f t="shared" ca="1" si="2"/>
        <v>-1508483.394030001</v>
      </c>
      <c r="H11" s="17">
        <f t="shared" ca="1" si="3"/>
        <v>-0.20985567139392935</v>
      </c>
    </row>
    <row r="12" spans="1:8" ht="12.75" customHeight="1">
      <c r="A12" s="19"/>
      <c r="B12" s="19"/>
      <c r="C12" s="19"/>
      <c r="D12" s="19"/>
      <c r="E12" s="19"/>
      <c r="F12" s="19"/>
      <c r="G12" s="19"/>
      <c r="H12" s="19"/>
    </row>
    <row r="13" spans="1:8" ht="13.15">
      <c r="A13" s="19"/>
      <c r="B13" s="19"/>
      <c r="C13" s="19"/>
      <c r="D13" s="19"/>
      <c r="E13" s="19"/>
      <c r="F13" s="19"/>
      <c r="G13" s="19"/>
      <c r="H13" s="19"/>
    </row>
    <row r="14" spans="1:8" ht="13.15">
      <c r="A14" s="19"/>
      <c r="B14" s="19"/>
      <c r="C14" s="19"/>
      <c r="D14" s="19"/>
      <c r="E14" s="19"/>
      <c r="F14" s="19"/>
      <c r="G14" s="19"/>
      <c r="H14" s="19"/>
    </row>
    <row r="15" spans="1:8" ht="13.15">
      <c r="A15" s="19"/>
      <c r="B15" s="19"/>
      <c r="C15" s="19"/>
      <c r="D15" s="19"/>
      <c r="E15" s="19"/>
      <c r="F15" s="19"/>
      <c r="G15" s="19"/>
      <c r="H15" s="19"/>
    </row>
    <row r="16" spans="1:8" ht="13.15">
      <c r="A16" s="19"/>
      <c r="B16" s="19"/>
      <c r="C16" s="19"/>
      <c r="D16" s="19"/>
      <c r="E16" s="19"/>
      <c r="F16" s="19"/>
      <c r="G16" s="19"/>
      <c r="H16" s="19"/>
    </row>
    <row r="17" spans="1:8" ht="13.15">
      <c r="A17" s="19"/>
      <c r="B17" s="19"/>
      <c r="C17" s="19"/>
      <c r="D17" s="19"/>
      <c r="E17" s="19"/>
      <c r="F17" s="19"/>
      <c r="G17" s="19"/>
      <c r="H17" s="19"/>
    </row>
    <row r="18" spans="1:8" ht="13.15">
      <c r="A18" s="19"/>
      <c r="B18" s="19"/>
      <c r="C18" s="19"/>
      <c r="D18" s="19"/>
      <c r="E18" s="19"/>
      <c r="F18" s="19"/>
      <c r="G18" s="19"/>
      <c r="H18" s="19"/>
    </row>
    <row r="19" spans="1:8" ht="13.15">
      <c r="A19" s="19"/>
      <c r="B19" s="19"/>
      <c r="C19" s="19"/>
      <c r="D19" s="19"/>
      <c r="E19" s="19"/>
      <c r="F19" s="19"/>
      <c r="G19" s="19"/>
      <c r="H19" s="19"/>
    </row>
    <row r="20" spans="1:8" ht="13.15">
      <c r="A20" s="19"/>
      <c r="B20" s="19"/>
      <c r="C20" s="19"/>
      <c r="D20" s="19"/>
      <c r="E20" s="19"/>
      <c r="F20" s="19"/>
      <c r="G20" s="19"/>
      <c r="H20" s="19"/>
    </row>
    <row r="21" spans="1:8" ht="13.15">
      <c r="A21" s="19"/>
      <c r="B21" s="19"/>
      <c r="C21" s="19"/>
      <c r="D21" s="19"/>
      <c r="E21" s="19"/>
      <c r="F21" s="19"/>
      <c r="G21" s="19"/>
      <c r="H21" s="19"/>
    </row>
    <row r="22" spans="1:8" ht="13.15">
      <c r="A22" s="19"/>
      <c r="B22" s="19"/>
      <c r="C22" s="19"/>
      <c r="D22" s="19"/>
      <c r="E22" s="19"/>
      <c r="F22" s="19"/>
      <c r="G22" s="19"/>
      <c r="H22" s="19"/>
    </row>
    <row r="23" spans="1:8" ht="13.15">
      <c r="A23" s="19"/>
      <c r="B23" s="19"/>
      <c r="C23" s="19"/>
      <c r="D23" s="19"/>
      <c r="E23" s="19"/>
      <c r="F23" s="19"/>
      <c r="G23" s="19"/>
      <c r="H23" s="19"/>
    </row>
    <row r="24" spans="1:8" ht="13.15">
      <c r="A24" s="19"/>
      <c r="B24" s="19"/>
      <c r="C24" s="19"/>
      <c r="D24" s="19"/>
      <c r="E24" s="19"/>
      <c r="F24" s="19"/>
      <c r="G24" s="19"/>
      <c r="H24" s="19"/>
    </row>
    <row r="25" spans="1:8" ht="13.15">
      <c r="A25" s="19"/>
      <c r="B25" s="19"/>
      <c r="C25" s="19"/>
      <c r="D25" s="19"/>
      <c r="E25" s="19"/>
      <c r="F25" s="19"/>
      <c r="G25" s="19"/>
      <c r="H25" s="19"/>
    </row>
    <row r="26" spans="1:8" ht="13.15">
      <c r="A26" s="19"/>
      <c r="B26" s="19"/>
      <c r="C26" s="19"/>
      <c r="D26" s="19"/>
      <c r="E26" s="19"/>
      <c r="F26" s="19"/>
      <c r="G26" s="19"/>
      <c r="H26" s="19"/>
    </row>
    <row r="27" spans="1:8" ht="13.15">
      <c r="A27" s="19"/>
      <c r="B27" s="19"/>
      <c r="C27" s="19"/>
      <c r="D27" s="19"/>
      <c r="E27" s="20"/>
      <c r="F27" s="19"/>
      <c r="G27" s="19"/>
      <c r="H27" s="20"/>
    </row>
    <row r="28" spans="1:8" ht="13.15">
      <c r="A28" s="19"/>
      <c r="B28" s="19"/>
      <c r="C28" s="19"/>
      <c r="D28" s="19"/>
      <c r="E28" s="20"/>
      <c r="F28" s="19"/>
      <c r="G28" s="19"/>
      <c r="H28" s="20"/>
    </row>
    <row r="29" spans="1:8" ht="13.15">
      <c r="A29" s="19"/>
      <c r="B29" s="19"/>
      <c r="C29" s="19"/>
      <c r="D29" s="19"/>
      <c r="E29" s="20"/>
      <c r="F29" s="19"/>
      <c r="G29" s="19"/>
      <c r="H29" s="20"/>
    </row>
    <row r="30" spans="1:8" ht="13.15">
      <c r="A30" s="19"/>
      <c r="B30" s="19"/>
      <c r="C30" s="19"/>
      <c r="D30" s="19"/>
      <c r="E30" s="20"/>
      <c r="F30" s="19"/>
      <c r="G30" s="19"/>
      <c r="H30" s="20"/>
    </row>
    <row r="31" spans="1:8" ht="13.15">
      <c r="A31" s="19"/>
      <c r="B31" s="19"/>
      <c r="C31" s="19"/>
      <c r="D31" s="19"/>
      <c r="E31" s="20"/>
      <c r="F31" s="19"/>
      <c r="G31" s="19"/>
      <c r="H31" s="20"/>
    </row>
    <row r="32" spans="1:8" ht="13.15">
      <c r="A32" s="19"/>
      <c r="B32" s="19"/>
      <c r="C32" s="19"/>
      <c r="D32" s="19"/>
      <c r="E32" s="20"/>
      <c r="F32" s="19"/>
      <c r="G32" s="19"/>
      <c r="H32" s="20"/>
    </row>
    <row r="33" spans="1:8" ht="13.15">
      <c r="A33" s="19"/>
      <c r="B33" s="19"/>
      <c r="C33" s="19"/>
      <c r="D33" s="19"/>
      <c r="E33" s="20"/>
      <c r="F33" s="19"/>
      <c r="G33" s="19"/>
      <c r="H33" s="20"/>
    </row>
    <row r="34" spans="1:8" ht="13.15">
      <c r="A34" s="19"/>
      <c r="B34" s="19"/>
      <c r="C34" s="19"/>
      <c r="D34" s="19"/>
      <c r="E34" s="20"/>
      <c r="F34" s="19"/>
      <c r="G34" s="19"/>
      <c r="H34" s="20"/>
    </row>
    <row r="35" spans="1:8" ht="13.15">
      <c r="A35" s="19"/>
      <c r="B35" s="19"/>
      <c r="C35" s="19"/>
      <c r="D35" s="19"/>
      <c r="E35" s="20"/>
      <c r="F35" s="19"/>
      <c r="G35" s="19"/>
      <c r="H35" s="20"/>
    </row>
    <row r="36" spans="1:8" ht="13.15">
      <c r="A36" s="19"/>
      <c r="B36" s="19"/>
      <c r="C36" s="19"/>
      <c r="D36" s="19"/>
      <c r="E36" s="20"/>
      <c r="F36" s="19"/>
      <c r="G36" s="19"/>
      <c r="H36" s="20"/>
    </row>
    <row r="37" spans="1:8" ht="13.15">
      <c r="A37" s="19"/>
      <c r="B37" s="19"/>
      <c r="C37" s="19"/>
      <c r="D37" s="19"/>
      <c r="E37" s="20"/>
      <c r="F37" s="19"/>
      <c r="G37" s="19"/>
      <c r="H37" s="20"/>
    </row>
    <row r="38" spans="1:8" ht="13.15">
      <c r="A38" s="19"/>
      <c r="B38" s="19"/>
      <c r="C38" s="19"/>
      <c r="D38" s="19"/>
      <c r="E38" s="20"/>
      <c r="F38" s="19"/>
      <c r="G38" s="19"/>
      <c r="H38" s="20"/>
    </row>
    <row r="39" spans="1:8" ht="13.15">
      <c r="A39" s="19"/>
      <c r="B39" s="19"/>
      <c r="C39" s="19"/>
      <c r="D39" s="19"/>
      <c r="E39" s="20"/>
      <c r="F39" s="19"/>
      <c r="G39" s="19"/>
      <c r="H39" s="20"/>
    </row>
    <row r="40" spans="1:8" ht="13.15">
      <c r="A40" s="19"/>
      <c r="B40" s="19"/>
      <c r="C40" s="19"/>
      <c r="D40" s="19"/>
      <c r="E40" s="20"/>
      <c r="F40" s="19"/>
      <c r="G40" s="19"/>
      <c r="H40" s="20"/>
    </row>
    <row r="41" spans="1:8" ht="13.15">
      <c r="A41" s="19"/>
      <c r="B41" s="19"/>
      <c r="C41" s="19"/>
      <c r="D41" s="19"/>
      <c r="E41" s="20"/>
      <c r="F41" s="19"/>
      <c r="G41" s="19"/>
      <c r="H41" s="20"/>
    </row>
    <row r="42" spans="1:8" ht="13.15">
      <c r="A42" s="19"/>
      <c r="B42" s="19"/>
      <c r="C42" s="19"/>
      <c r="D42" s="19"/>
      <c r="E42" s="20"/>
      <c r="F42" s="19"/>
      <c r="G42" s="19"/>
      <c r="H42" s="20"/>
    </row>
    <row r="43" spans="1:8" ht="13.15">
      <c r="A43" s="19"/>
      <c r="B43" s="19"/>
      <c r="C43" s="19"/>
      <c r="D43" s="19"/>
      <c r="E43" s="20"/>
      <c r="F43" s="19"/>
      <c r="G43" s="19"/>
      <c r="H43" s="20"/>
    </row>
    <row r="44" spans="1:8" ht="13.15">
      <c r="A44" s="19"/>
      <c r="B44" s="19"/>
      <c r="C44" s="19"/>
      <c r="D44" s="19"/>
      <c r="E44" s="20"/>
      <c r="F44" s="19"/>
      <c r="G44" s="19"/>
      <c r="H44" s="20"/>
    </row>
    <row r="45" spans="1:8" ht="13.15">
      <c r="A45" s="19"/>
      <c r="B45" s="19"/>
      <c r="C45" s="19"/>
      <c r="D45" s="19"/>
      <c r="E45" s="20"/>
      <c r="F45" s="19"/>
      <c r="G45" s="19"/>
      <c r="H45" s="20"/>
    </row>
    <row r="46" spans="1:8" ht="13.15">
      <c r="A46" s="19"/>
      <c r="B46" s="19"/>
      <c r="C46" s="19"/>
      <c r="D46" s="19"/>
      <c r="E46" s="20"/>
      <c r="F46" s="19"/>
      <c r="G46" s="19"/>
      <c r="H46" s="20"/>
    </row>
    <row r="47" spans="1:8" ht="13.15">
      <c r="A47" s="19"/>
      <c r="B47" s="19"/>
      <c r="C47" s="19"/>
      <c r="D47" s="19"/>
      <c r="E47" s="20"/>
      <c r="F47" s="19"/>
      <c r="G47" s="19"/>
      <c r="H47" s="20"/>
    </row>
    <row r="48" spans="1:8" ht="13.15">
      <c r="A48" s="19"/>
      <c r="B48" s="19"/>
      <c r="C48" s="19"/>
      <c r="D48" s="19"/>
      <c r="E48" s="20"/>
      <c r="F48" s="19"/>
      <c r="G48" s="19"/>
      <c r="H48" s="20"/>
    </row>
    <row r="49" spans="1:8" ht="13.15">
      <c r="A49" s="19"/>
      <c r="B49" s="19"/>
      <c r="C49" s="19"/>
      <c r="D49" s="19"/>
      <c r="E49" s="20"/>
      <c r="F49" s="19"/>
      <c r="G49" s="19"/>
      <c r="H49" s="20"/>
    </row>
    <row r="50" spans="1:8" ht="13.15">
      <c r="A50" s="19"/>
      <c r="B50" s="19"/>
      <c r="C50" s="19"/>
      <c r="D50" s="19"/>
      <c r="E50" s="20"/>
      <c r="F50" s="19"/>
      <c r="G50" s="19"/>
      <c r="H50" s="20"/>
    </row>
    <row r="51" spans="1:8" ht="13.15">
      <c r="A51" s="19"/>
      <c r="B51" s="19"/>
      <c r="C51" s="19"/>
      <c r="D51" s="19"/>
      <c r="E51" s="20"/>
      <c r="F51" s="19"/>
      <c r="G51" s="19"/>
      <c r="H51" s="20"/>
    </row>
    <row r="52" spans="1:8" ht="13.15">
      <c r="A52" s="19"/>
      <c r="B52" s="19"/>
      <c r="C52" s="19"/>
      <c r="D52" s="19"/>
      <c r="E52" s="20"/>
      <c r="F52" s="19"/>
      <c r="G52" s="19"/>
      <c r="H52" s="20"/>
    </row>
    <row r="53" spans="1:8" ht="13.15">
      <c r="A53" s="19"/>
      <c r="B53" s="19"/>
      <c r="C53" s="19"/>
      <c r="D53" s="19"/>
      <c r="E53" s="20"/>
      <c r="F53" s="19"/>
      <c r="G53" s="19"/>
      <c r="H53" s="20"/>
    </row>
    <row r="54" spans="1:8" ht="13.15">
      <c r="A54" s="19"/>
      <c r="B54" s="19"/>
      <c r="C54" s="19"/>
      <c r="D54" s="19"/>
      <c r="E54" s="20"/>
      <c r="F54" s="19"/>
      <c r="G54" s="19"/>
      <c r="H54" s="20"/>
    </row>
    <row r="55" spans="1:8" ht="13.15">
      <c r="A55" s="19"/>
      <c r="B55" s="19"/>
      <c r="C55" s="19"/>
      <c r="D55" s="19"/>
      <c r="E55" s="20"/>
      <c r="F55" s="19"/>
      <c r="G55" s="19"/>
      <c r="H55" s="20"/>
    </row>
    <row r="56" spans="1:8" ht="13.15">
      <c r="A56" s="19"/>
      <c r="B56" s="19"/>
      <c r="C56" s="19"/>
      <c r="D56" s="19"/>
      <c r="E56" s="20"/>
      <c r="F56" s="19"/>
      <c r="G56" s="19"/>
      <c r="H56" s="20"/>
    </row>
    <row r="57" spans="1:8" ht="13.15">
      <c r="A57" s="19"/>
      <c r="B57" s="19"/>
      <c r="C57" s="19"/>
      <c r="D57" s="19"/>
      <c r="E57" s="20"/>
      <c r="F57" s="19"/>
      <c r="G57" s="19"/>
      <c r="H57" s="20"/>
    </row>
    <row r="58" spans="1:8" ht="13.15">
      <c r="A58" s="19"/>
      <c r="B58" s="19"/>
      <c r="C58" s="19"/>
      <c r="D58" s="19"/>
      <c r="E58" s="20"/>
      <c r="F58" s="19"/>
      <c r="G58" s="19"/>
      <c r="H58" s="20"/>
    </row>
    <row r="59" spans="1:8" ht="13.15">
      <c r="A59" s="19"/>
      <c r="B59" s="19"/>
      <c r="C59" s="19"/>
      <c r="D59" s="19"/>
      <c r="E59" s="20"/>
      <c r="F59" s="19"/>
      <c r="G59" s="19"/>
      <c r="H59" s="20"/>
    </row>
    <row r="60" spans="1:8" ht="13.15">
      <c r="A60" s="19"/>
      <c r="B60" s="19"/>
      <c r="C60" s="19"/>
      <c r="D60" s="19"/>
      <c r="E60" s="20"/>
      <c r="F60" s="19"/>
      <c r="G60" s="19"/>
      <c r="H60" s="20"/>
    </row>
    <row r="61" spans="1:8" ht="13.15">
      <c r="A61" s="19"/>
      <c r="B61" s="19"/>
      <c r="C61" s="19"/>
      <c r="D61" s="19"/>
      <c r="E61" s="20"/>
      <c r="F61" s="19"/>
      <c r="G61" s="19"/>
      <c r="H61" s="20"/>
    </row>
    <row r="62" spans="1:8" ht="13.15">
      <c r="A62" s="19"/>
      <c r="B62" s="19"/>
      <c r="C62" s="19"/>
      <c r="D62" s="19"/>
      <c r="E62" s="20"/>
      <c r="F62" s="19"/>
      <c r="G62" s="19"/>
      <c r="H62" s="20"/>
    </row>
    <row r="63" spans="1:8" ht="13.15">
      <c r="A63" s="19"/>
      <c r="B63" s="19"/>
      <c r="C63" s="19"/>
      <c r="D63" s="19"/>
      <c r="E63" s="20"/>
      <c r="F63" s="19"/>
      <c r="G63" s="19"/>
      <c r="H63" s="20"/>
    </row>
    <row r="64" spans="1:8" ht="13.15">
      <c r="A64" s="19"/>
      <c r="B64" s="19"/>
      <c r="C64" s="19"/>
      <c r="D64" s="19"/>
      <c r="E64" s="20"/>
      <c r="F64" s="19"/>
      <c r="G64" s="19"/>
      <c r="H64" s="20"/>
    </row>
    <row r="65" spans="1:8" ht="13.15">
      <c r="A65" s="19"/>
      <c r="B65" s="19"/>
      <c r="C65" s="19"/>
      <c r="D65" s="19"/>
      <c r="E65" s="20"/>
      <c r="F65" s="19"/>
      <c r="G65" s="19"/>
      <c r="H65" s="20"/>
    </row>
    <row r="66" spans="1:8" ht="13.15">
      <c r="A66" s="19"/>
      <c r="B66" s="19"/>
      <c r="C66" s="19"/>
      <c r="D66" s="19"/>
      <c r="E66" s="20"/>
      <c r="F66" s="19"/>
      <c r="G66" s="19"/>
      <c r="H66" s="20"/>
    </row>
    <row r="67" spans="1:8" ht="13.15">
      <c r="A67" s="19"/>
      <c r="B67" s="19"/>
      <c r="C67" s="19"/>
      <c r="D67" s="19"/>
      <c r="E67" s="20"/>
      <c r="F67" s="19"/>
      <c r="G67" s="19"/>
      <c r="H67" s="20"/>
    </row>
    <row r="68" spans="1:8" ht="13.15">
      <c r="A68" s="19"/>
      <c r="B68" s="19"/>
      <c r="C68" s="19"/>
      <c r="D68" s="19"/>
      <c r="E68" s="20"/>
      <c r="F68" s="19"/>
      <c r="G68" s="19"/>
      <c r="H68" s="20"/>
    </row>
    <row r="69" spans="1:8" ht="13.15">
      <c r="A69" s="19"/>
      <c r="B69" s="19"/>
      <c r="C69" s="19"/>
      <c r="D69" s="19"/>
      <c r="E69" s="20"/>
      <c r="F69" s="19"/>
      <c r="G69" s="19"/>
      <c r="H69" s="20"/>
    </row>
    <row r="70" spans="1:8" ht="13.15">
      <c r="A70" s="19"/>
      <c r="B70" s="19"/>
      <c r="C70" s="19"/>
      <c r="D70" s="19"/>
      <c r="E70" s="20"/>
      <c r="F70" s="19"/>
      <c r="G70" s="19"/>
      <c r="H70" s="20"/>
    </row>
    <row r="71" spans="1:8" ht="13.15">
      <c r="A71" s="19"/>
      <c r="B71" s="19"/>
      <c r="C71" s="19"/>
      <c r="D71" s="19"/>
      <c r="E71" s="20"/>
      <c r="F71" s="19"/>
      <c r="G71" s="19"/>
      <c r="H71" s="20"/>
    </row>
    <row r="72" spans="1:8" ht="13.15">
      <c r="A72" s="19"/>
      <c r="B72" s="19"/>
      <c r="C72" s="19"/>
      <c r="D72" s="19"/>
      <c r="E72" s="20"/>
      <c r="F72" s="19"/>
      <c r="G72" s="19"/>
      <c r="H72" s="20"/>
    </row>
    <row r="73" spans="1:8" ht="13.15">
      <c r="A73" s="19"/>
      <c r="B73" s="19"/>
      <c r="C73" s="19"/>
      <c r="D73" s="19"/>
      <c r="E73" s="20"/>
      <c r="F73" s="19"/>
      <c r="G73" s="19"/>
      <c r="H73" s="20"/>
    </row>
    <row r="74" spans="1:8" ht="13.15">
      <c r="A74" s="19"/>
      <c r="B74" s="19"/>
      <c r="C74" s="19"/>
      <c r="D74" s="19"/>
      <c r="E74" s="20"/>
      <c r="F74" s="19"/>
      <c r="G74" s="19"/>
      <c r="H74" s="20"/>
    </row>
    <row r="75" spans="1:8" ht="13.15">
      <c r="A75" s="19"/>
      <c r="B75" s="19"/>
      <c r="C75" s="19"/>
      <c r="D75" s="19"/>
      <c r="E75" s="20"/>
      <c r="F75" s="19"/>
      <c r="G75" s="19"/>
      <c r="H75" s="20"/>
    </row>
    <row r="76" spans="1:8" ht="13.15">
      <c r="A76" s="19"/>
      <c r="B76" s="19"/>
      <c r="C76" s="19"/>
      <c r="D76" s="19"/>
      <c r="E76" s="20"/>
      <c r="F76" s="19"/>
      <c r="G76" s="19"/>
      <c r="H76" s="20"/>
    </row>
    <row r="77" spans="1:8" ht="13.15">
      <c r="A77" s="19"/>
      <c r="B77" s="19"/>
      <c r="C77" s="19"/>
      <c r="D77" s="19"/>
      <c r="E77" s="20"/>
      <c r="F77" s="19"/>
      <c r="G77" s="19"/>
      <c r="H77" s="20"/>
    </row>
    <row r="78" spans="1:8" ht="13.15">
      <c r="A78" s="19"/>
      <c r="B78" s="19"/>
      <c r="C78" s="19"/>
      <c r="D78" s="19"/>
      <c r="E78" s="20"/>
      <c r="F78" s="19"/>
      <c r="G78" s="19"/>
      <c r="H78" s="20"/>
    </row>
    <row r="79" spans="1:8" ht="13.15">
      <c r="A79" s="19"/>
      <c r="B79" s="19"/>
      <c r="C79" s="19"/>
      <c r="D79" s="19"/>
      <c r="E79" s="20"/>
      <c r="F79" s="19"/>
      <c r="G79" s="19"/>
      <c r="H79" s="20"/>
    </row>
    <row r="80" spans="1:8" ht="13.15">
      <c r="A80" s="19"/>
      <c r="B80" s="19"/>
      <c r="C80" s="19"/>
      <c r="D80" s="19"/>
      <c r="E80" s="20"/>
      <c r="F80" s="19"/>
      <c r="G80" s="19"/>
      <c r="H80" s="20"/>
    </row>
    <row r="81" spans="1:8" ht="13.15">
      <c r="A81" s="19"/>
      <c r="B81" s="19"/>
      <c r="C81" s="19"/>
      <c r="D81" s="19"/>
      <c r="E81" s="20"/>
      <c r="F81" s="19"/>
      <c r="G81" s="19"/>
      <c r="H81" s="20"/>
    </row>
    <row r="82" spans="1:8" ht="13.15">
      <c r="A82" s="19"/>
      <c r="B82" s="19"/>
      <c r="C82" s="19"/>
      <c r="D82" s="19"/>
      <c r="E82" s="20"/>
      <c r="F82" s="19"/>
      <c r="G82" s="19"/>
      <c r="H82" s="20"/>
    </row>
    <row r="83" spans="1:8" ht="13.15">
      <c r="A83" s="19"/>
      <c r="B83" s="19"/>
      <c r="C83" s="19"/>
      <c r="D83" s="19"/>
      <c r="E83" s="20"/>
      <c r="F83" s="19"/>
      <c r="G83" s="19"/>
      <c r="H83" s="20"/>
    </row>
    <row r="84" spans="1:8" ht="13.15">
      <c r="A84" s="19"/>
      <c r="B84" s="19"/>
      <c r="C84" s="19"/>
      <c r="D84" s="19"/>
      <c r="E84" s="20"/>
      <c r="F84" s="19"/>
      <c r="G84" s="19"/>
      <c r="H84" s="20"/>
    </row>
    <row r="85" spans="1:8" ht="13.15">
      <c r="A85" s="19"/>
      <c r="B85" s="19"/>
      <c r="C85" s="19"/>
      <c r="D85" s="19"/>
      <c r="E85" s="20"/>
      <c r="F85" s="19"/>
      <c r="G85" s="19"/>
      <c r="H85" s="20"/>
    </row>
    <row r="86" spans="1:8" ht="13.15">
      <c r="A86" s="19"/>
      <c r="B86" s="19"/>
      <c r="C86" s="19"/>
      <c r="D86" s="19"/>
      <c r="E86" s="20"/>
      <c r="F86" s="19"/>
      <c r="G86" s="19"/>
      <c r="H86" s="20"/>
    </row>
    <row r="87" spans="1:8" ht="13.15">
      <c r="A87" s="19"/>
      <c r="B87" s="19"/>
      <c r="C87" s="19"/>
      <c r="D87" s="19"/>
      <c r="E87" s="20"/>
      <c r="F87" s="19"/>
      <c r="G87" s="19"/>
      <c r="H87" s="20"/>
    </row>
    <row r="88" spans="1:8" ht="13.15">
      <c r="A88" s="19"/>
      <c r="B88" s="19"/>
      <c r="C88" s="19"/>
      <c r="D88" s="19"/>
      <c r="E88" s="20"/>
      <c r="F88" s="19"/>
      <c r="G88" s="19"/>
      <c r="H88" s="20"/>
    </row>
    <row r="89" spans="1:8" ht="13.15">
      <c r="A89" s="19"/>
      <c r="B89" s="19"/>
      <c r="C89" s="19"/>
      <c r="D89" s="19"/>
      <c r="E89" s="20"/>
      <c r="F89" s="19"/>
      <c r="G89" s="19"/>
      <c r="H89" s="20"/>
    </row>
    <row r="90" spans="1:8" ht="13.15">
      <c r="A90" s="19"/>
      <c r="B90" s="19"/>
      <c r="C90" s="19"/>
      <c r="D90" s="19"/>
      <c r="E90" s="20"/>
      <c r="F90" s="19"/>
      <c r="G90" s="19"/>
      <c r="H90" s="20"/>
    </row>
    <row r="91" spans="1:8" ht="13.15">
      <c r="A91" s="19"/>
      <c r="B91" s="19"/>
      <c r="C91" s="19"/>
      <c r="D91" s="19"/>
      <c r="E91" s="20"/>
      <c r="F91" s="19"/>
      <c r="G91" s="19"/>
      <c r="H91" s="20"/>
    </row>
    <row r="92" spans="1:8" ht="13.15">
      <c r="A92" s="19"/>
      <c r="B92" s="19"/>
      <c r="C92" s="19"/>
      <c r="D92" s="19"/>
      <c r="E92" s="20"/>
      <c r="F92" s="19"/>
      <c r="G92" s="19"/>
      <c r="H92" s="20"/>
    </row>
    <row r="93" spans="1:8" ht="13.15">
      <c r="A93" s="19"/>
      <c r="B93" s="19"/>
      <c r="C93" s="19"/>
      <c r="D93" s="19"/>
      <c r="E93" s="20"/>
      <c r="F93" s="19"/>
      <c r="G93" s="19"/>
      <c r="H93" s="20"/>
    </row>
    <row r="94" spans="1:8" ht="13.15">
      <c r="A94" s="19"/>
      <c r="B94" s="19"/>
      <c r="C94" s="19"/>
      <c r="D94" s="19"/>
      <c r="E94" s="20"/>
      <c r="F94" s="19"/>
      <c r="G94" s="19"/>
      <c r="H94" s="20"/>
    </row>
    <row r="95" spans="1:8" ht="13.15">
      <c r="A95" s="19"/>
      <c r="B95" s="19"/>
      <c r="C95" s="19"/>
      <c r="D95" s="19"/>
      <c r="E95" s="20"/>
      <c r="F95" s="19"/>
      <c r="G95" s="19"/>
      <c r="H95" s="20"/>
    </row>
    <row r="96" spans="1:8" ht="13.15">
      <c r="A96" s="19"/>
      <c r="B96" s="19"/>
      <c r="C96" s="19"/>
      <c r="D96" s="19"/>
      <c r="E96" s="20"/>
      <c r="F96" s="19"/>
      <c r="G96" s="19"/>
      <c r="H96" s="20"/>
    </row>
    <row r="97" spans="1:8" ht="13.15">
      <c r="A97" s="19"/>
      <c r="B97" s="19"/>
      <c r="C97" s="19"/>
      <c r="D97" s="19"/>
      <c r="E97" s="20"/>
      <c r="F97" s="19"/>
      <c r="G97" s="19"/>
      <c r="H97" s="20"/>
    </row>
    <row r="98" spans="1:8" ht="13.15">
      <c r="A98" s="19"/>
      <c r="B98" s="19"/>
      <c r="C98" s="19"/>
      <c r="D98" s="19"/>
      <c r="E98" s="20"/>
      <c r="F98" s="19"/>
      <c r="G98" s="19"/>
      <c r="H98" s="20"/>
    </row>
    <row r="99" spans="1:8" ht="13.15">
      <c r="A99" s="19"/>
      <c r="B99" s="19"/>
      <c r="C99" s="19"/>
      <c r="D99" s="19"/>
      <c r="E99" s="20"/>
      <c r="F99" s="19"/>
      <c r="G99" s="19"/>
      <c r="H99" s="20"/>
    </row>
    <row r="100" spans="1:8" ht="13.15">
      <c r="A100" s="19"/>
      <c r="B100" s="19"/>
      <c r="C100" s="19"/>
      <c r="D100" s="19"/>
      <c r="E100" s="20"/>
      <c r="F100" s="19"/>
      <c r="G100" s="19"/>
      <c r="H100" s="20"/>
    </row>
    <row r="101" spans="1:8" ht="13.15">
      <c r="A101" s="19"/>
      <c r="B101" s="19"/>
      <c r="C101" s="19"/>
      <c r="D101" s="19"/>
      <c r="E101" s="20"/>
      <c r="F101" s="19"/>
      <c r="G101" s="19"/>
      <c r="H101" s="20"/>
    </row>
    <row r="102" spans="1:8" ht="13.15">
      <c r="A102" s="19"/>
      <c r="B102" s="19"/>
      <c r="C102" s="19"/>
      <c r="D102" s="19"/>
      <c r="E102" s="20"/>
      <c r="F102" s="19"/>
      <c r="G102" s="19"/>
      <c r="H102" s="20"/>
    </row>
    <row r="103" spans="1:8" ht="13.15">
      <c r="A103" s="19"/>
      <c r="B103" s="19"/>
      <c r="C103" s="19"/>
      <c r="D103" s="19"/>
      <c r="E103" s="20"/>
      <c r="F103" s="19"/>
      <c r="G103" s="19"/>
      <c r="H103" s="20"/>
    </row>
    <row r="104" spans="1:8" ht="13.15">
      <c r="A104" s="19"/>
      <c r="B104" s="19"/>
      <c r="C104" s="19"/>
      <c r="D104" s="19"/>
      <c r="E104" s="20"/>
      <c r="F104" s="19"/>
      <c r="G104" s="19"/>
      <c r="H104" s="20"/>
    </row>
    <row r="105" spans="1:8" ht="13.15">
      <c r="A105" s="19"/>
      <c r="B105" s="19"/>
      <c r="C105" s="19"/>
      <c r="D105" s="19"/>
      <c r="E105" s="20"/>
      <c r="F105" s="19"/>
      <c r="G105" s="19"/>
      <c r="H105" s="20"/>
    </row>
    <row r="106" spans="1:8" ht="13.15">
      <c r="A106" s="19"/>
      <c r="B106" s="19"/>
      <c r="C106" s="19"/>
      <c r="D106" s="19"/>
      <c r="E106" s="20"/>
      <c r="F106" s="19"/>
      <c r="G106" s="19"/>
      <c r="H106" s="20"/>
    </row>
    <row r="107" spans="1:8" ht="13.15">
      <c r="A107" s="19"/>
      <c r="B107" s="19"/>
      <c r="C107" s="19"/>
      <c r="D107" s="19"/>
      <c r="E107" s="20"/>
      <c r="F107" s="19"/>
      <c r="G107" s="19"/>
      <c r="H107" s="20"/>
    </row>
    <row r="108" spans="1:8" ht="13.15">
      <c r="A108" s="19"/>
      <c r="B108" s="19"/>
      <c r="C108" s="19"/>
      <c r="D108" s="19"/>
      <c r="E108" s="20"/>
      <c r="F108" s="19"/>
      <c r="G108" s="19"/>
      <c r="H108" s="20"/>
    </row>
    <row r="109" spans="1:8" ht="13.15">
      <c r="A109" s="19"/>
      <c r="B109" s="19"/>
      <c r="C109" s="19"/>
      <c r="D109" s="19"/>
      <c r="E109" s="20"/>
      <c r="F109" s="19"/>
      <c r="G109" s="19"/>
      <c r="H109" s="20"/>
    </row>
    <row r="110" spans="1:8" ht="13.15">
      <c r="A110" s="19"/>
      <c r="B110" s="19"/>
      <c r="C110" s="19"/>
      <c r="D110" s="19"/>
      <c r="E110" s="20"/>
      <c r="F110" s="19"/>
      <c r="G110" s="19"/>
      <c r="H110" s="20"/>
    </row>
    <row r="111" spans="1:8" ht="13.15">
      <c r="A111" s="19"/>
      <c r="B111" s="19"/>
      <c r="C111" s="19"/>
      <c r="D111" s="19"/>
      <c r="E111" s="20"/>
      <c r="F111" s="19"/>
      <c r="G111" s="19"/>
      <c r="H111" s="20"/>
    </row>
    <row r="112" spans="1:8" ht="13.15">
      <c r="A112" s="19"/>
      <c r="B112" s="19"/>
      <c r="C112" s="19"/>
      <c r="D112" s="19"/>
      <c r="E112" s="20"/>
      <c r="F112" s="19"/>
      <c r="G112" s="19"/>
      <c r="H112" s="20"/>
    </row>
    <row r="113" spans="1:8" ht="13.15">
      <c r="A113" s="19"/>
      <c r="B113" s="19"/>
      <c r="C113" s="19"/>
      <c r="D113" s="19"/>
      <c r="E113" s="20"/>
      <c r="F113" s="19"/>
      <c r="G113" s="19"/>
      <c r="H113" s="20"/>
    </row>
    <row r="114" spans="1:8" ht="13.15">
      <c r="A114" s="19"/>
      <c r="B114" s="19"/>
      <c r="C114" s="19"/>
      <c r="D114" s="19"/>
      <c r="E114" s="20"/>
      <c r="F114" s="19"/>
      <c r="G114" s="19"/>
      <c r="H114" s="20"/>
    </row>
    <row r="115" spans="1:8" ht="13.15">
      <c r="A115" s="19"/>
      <c r="B115" s="19"/>
      <c r="C115" s="19"/>
      <c r="D115" s="19"/>
      <c r="E115" s="20"/>
      <c r="F115" s="19"/>
      <c r="G115" s="19"/>
      <c r="H115" s="20"/>
    </row>
    <row r="116" spans="1:8" ht="13.15">
      <c r="A116" s="19"/>
      <c r="B116" s="19"/>
      <c r="C116" s="19"/>
      <c r="D116" s="19"/>
      <c r="E116" s="20"/>
      <c r="F116" s="19"/>
      <c r="G116" s="19"/>
      <c r="H116" s="20"/>
    </row>
    <row r="117" spans="1:8" ht="13.15">
      <c r="A117" s="19"/>
      <c r="B117" s="19"/>
      <c r="C117" s="19"/>
      <c r="D117" s="19"/>
      <c r="E117" s="20"/>
      <c r="F117" s="19"/>
      <c r="G117" s="19"/>
      <c r="H117" s="20"/>
    </row>
    <row r="118" spans="1:8" ht="13.15">
      <c r="A118" s="19"/>
      <c r="B118" s="19"/>
      <c r="C118" s="19"/>
      <c r="D118" s="19"/>
      <c r="E118" s="20"/>
      <c r="F118" s="19"/>
      <c r="G118" s="19"/>
      <c r="H118" s="20"/>
    </row>
    <row r="119" spans="1:8" ht="13.15">
      <c r="A119" s="19"/>
      <c r="B119" s="19"/>
      <c r="C119" s="19"/>
      <c r="D119" s="19"/>
      <c r="E119" s="20"/>
      <c r="F119" s="19"/>
      <c r="G119" s="19"/>
      <c r="H119" s="20"/>
    </row>
    <row r="120" spans="1:8" ht="13.15">
      <c r="A120" s="19"/>
      <c r="B120" s="19"/>
      <c r="C120" s="19"/>
      <c r="D120" s="19"/>
      <c r="E120" s="20"/>
      <c r="F120" s="19"/>
      <c r="G120" s="19"/>
      <c r="H120" s="20"/>
    </row>
    <row r="121" spans="1:8" ht="13.15">
      <c r="A121" s="19"/>
      <c r="B121" s="19"/>
      <c r="C121" s="19"/>
      <c r="D121" s="19"/>
      <c r="E121" s="20"/>
      <c r="F121" s="19"/>
      <c r="G121" s="19"/>
      <c r="H121" s="20"/>
    </row>
    <row r="122" spans="1:8" ht="13.15">
      <c r="A122" s="19"/>
      <c r="B122" s="19"/>
      <c r="C122" s="19"/>
      <c r="D122" s="19"/>
      <c r="E122" s="20"/>
      <c r="F122" s="19"/>
      <c r="G122" s="19"/>
      <c r="H122" s="20"/>
    </row>
    <row r="123" spans="1:8" ht="13.15">
      <c r="A123" s="19"/>
      <c r="B123" s="19"/>
      <c r="C123" s="19"/>
      <c r="D123" s="19"/>
      <c r="E123" s="20"/>
      <c r="F123" s="19"/>
      <c r="G123" s="19"/>
      <c r="H123" s="20"/>
    </row>
    <row r="124" spans="1:8" ht="13.15">
      <c r="A124" s="19"/>
      <c r="B124" s="19"/>
      <c r="C124" s="19"/>
      <c r="D124" s="19"/>
      <c r="E124" s="20"/>
      <c r="F124" s="19"/>
      <c r="G124" s="19"/>
      <c r="H124" s="20"/>
    </row>
    <row r="125" spans="1:8" ht="13.15">
      <c r="A125" s="19"/>
      <c r="B125" s="19"/>
      <c r="C125" s="19"/>
      <c r="D125" s="19"/>
      <c r="E125" s="20"/>
      <c r="F125" s="19"/>
      <c r="G125" s="19"/>
      <c r="H125" s="20"/>
    </row>
    <row r="126" spans="1:8" ht="13.15">
      <c r="A126" s="19"/>
      <c r="B126" s="19"/>
      <c r="C126" s="19"/>
      <c r="D126" s="19"/>
      <c r="E126" s="20"/>
      <c r="F126" s="19"/>
      <c r="G126" s="19"/>
      <c r="H126" s="20"/>
    </row>
    <row r="127" spans="1:8" ht="13.15">
      <c r="A127" s="19"/>
      <c r="B127" s="19"/>
      <c r="C127" s="19"/>
      <c r="D127" s="19"/>
      <c r="E127" s="20"/>
      <c r="F127" s="19"/>
      <c r="G127" s="19"/>
      <c r="H127" s="20"/>
    </row>
    <row r="128" spans="1:8" ht="13.15">
      <c r="A128" s="19"/>
      <c r="B128" s="19"/>
      <c r="C128" s="19"/>
      <c r="D128" s="19"/>
      <c r="E128" s="20"/>
      <c r="F128" s="19"/>
      <c r="G128" s="19"/>
      <c r="H128" s="20"/>
    </row>
    <row r="129" spans="1:8" ht="13.15">
      <c r="A129" s="19"/>
      <c r="B129" s="19"/>
      <c r="C129" s="19"/>
      <c r="D129" s="19"/>
      <c r="E129" s="20"/>
      <c r="F129" s="19"/>
      <c r="G129" s="19"/>
      <c r="H129" s="20"/>
    </row>
    <row r="130" spans="1:8" ht="13.15">
      <c r="A130" s="19"/>
      <c r="B130" s="19"/>
      <c r="C130" s="19"/>
      <c r="D130" s="19"/>
      <c r="E130" s="20"/>
      <c r="F130" s="19"/>
      <c r="G130" s="19"/>
      <c r="H130" s="20"/>
    </row>
    <row r="131" spans="1:8" ht="13.15">
      <c r="A131" s="19"/>
      <c r="B131" s="19"/>
      <c r="C131" s="19"/>
      <c r="D131" s="19"/>
      <c r="E131" s="20"/>
      <c r="F131" s="19"/>
      <c r="G131" s="19"/>
      <c r="H131" s="20"/>
    </row>
    <row r="132" spans="1:8" ht="13.15">
      <c r="A132" s="19"/>
      <c r="B132" s="19"/>
      <c r="C132" s="19"/>
      <c r="D132" s="19"/>
      <c r="E132" s="20"/>
      <c r="F132" s="19"/>
      <c r="G132" s="19"/>
      <c r="H132" s="20"/>
    </row>
    <row r="133" spans="1:8" ht="13.15">
      <c r="A133" s="19"/>
      <c r="B133" s="19"/>
      <c r="C133" s="19"/>
      <c r="D133" s="19"/>
      <c r="E133" s="20"/>
      <c r="F133" s="19"/>
      <c r="G133" s="19"/>
      <c r="H133" s="20"/>
    </row>
    <row r="134" spans="1:8" ht="13.15">
      <c r="A134" s="19"/>
      <c r="B134" s="19"/>
      <c r="C134" s="19"/>
      <c r="D134" s="19"/>
      <c r="E134" s="20"/>
      <c r="F134" s="19"/>
      <c r="G134" s="19"/>
      <c r="H134" s="20"/>
    </row>
    <row r="135" spans="1:8" ht="13.15">
      <c r="A135" s="19"/>
      <c r="B135" s="19"/>
      <c r="C135" s="19"/>
      <c r="D135" s="19"/>
      <c r="E135" s="20"/>
      <c r="F135" s="19"/>
      <c r="G135" s="19"/>
      <c r="H135" s="20"/>
    </row>
    <row r="136" spans="1:8" ht="13.15">
      <c r="A136" s="19"/>
      <c r="B136" s="19"/>
      <c r="C136" s="19"/>
      <c r="D136" s="19"/>
      <c r="E136" s="20"/>
      <c r="F136" s="19"/>
      <c r="G136" s="19"/>
      <c r="H136" s="20"/>
    </row>
    <row r="137" spans="1:8" ht="13.15">
      <c r="A137" s="19"/>
      <c r="B137" s="19"/>
      <c r="C137" s="19"/>
      <c r="D137" s="19"/>
      <c r="E137" s="20"/>
      <c r="F137" s="19"/>
      <c r="G137" s="19"/>
      <c r="H137" s="20"/>
    </row>
    <row r="138" spans="1:8" ht="13.15">
      <c r="A138" s="19"/>
      <c r="B138" s="19"/>
      <c r="C138" s="19"/>
      <c r="D138" s="19"/>
      <c r="E138" s="20"/>
      <c r="F138" s="19"/>
      <c r="G138" s="19"/>
      <c r="H138" s="20"/>
    </row>
    <row r="139" spans="1:8" ht="13.15">
      <c r="A139" s="19"/>
      <c r="B139" s="19"/>
      <c r="C139" s="19"/>
      <c r="D139" s="19"/>
      <c r="E139" s="20"/>
      <c r="F139" s="19"/>
      <c r="G139" s="19"/>
      <c r="H139" s="20"/>
    </row>
    <row r="140" spans="1:8" ht="13.15">
      <c r="A140" s="19"/>
      <c r="B140" s="19"/>
      <c r="C140" s="19"/>
      <c r="D140" s="19"/>
      <c r="E140" s="20"/>
      <c r="F140" s="19"/>
      <c r="G140" s="19"/>
      <c r="H140" s="20"/>
    </row>
    <row r="141" spans="1:8" ht="13.15">
      <c r="A141" s="19"/>
      <c r="B141" s="19"/>
      <c r="C141" s="19"/>
      <c r="D141" s="19"/>
      <c r="E141" s="20"/>
      <c r="F141" s="19"/>
      <c r="G141" s="19"/>
      <c r="H141" s="20"/>
    </row>
    <row r="142" spans="1:8" ht="13.15">
      <c r="A142" s="19"/>
      <c r="B142" s="19"/>
      <c r="C142" s="19"/>
      <c r="D142" s="19"/>
      <c r="E142" s="20"/>
      <c r="F142" s="19"/>
      <c r="G142" s="19"/>
      <c r="H142" s="20"/>
    </row>
    <row r="143" spans="1:8" ht="13.15">
      <c r="A143" s="19"/>
      <c r="B143" s="19"/>
      <c r="C143" s="19"/>
      <c r="D143" s="19"/>
      <c r="E143" s="20"/>
      <c r="F143" s="19"/>
      <c r="G143" s="19"/>
      <c r="H143" s="20"/>
    </row>
    <row r="144" spans="1:8" ht="13.15">
      <c r="A144" s="19"/>
      <c r="B144" s="19"/>
      <c r="C144" s="19"/>
      <c r="D144" s="19"/>
      <c r="E144" s="20"/>
      <c r="F144" s="19"/>
      <c r="G144" s="19"/>
      <c r="H144" s="20"/>
    </row>
    <row r="145" spans="1:8" ht="13.15">
      <c r="A145" s="19"/>
      <c r="B145" s="19"/>
      <c r="C145" s="19"/>
      <c r="D145" s="19"/>
      <c r="E145" s="20"/>
      <c r="F145" s="19"/>
      <c r="G145" s="19"/>
      <c r="H145" s="20"/>
    </row>
    <row r="146" spans="1:8" ht="13.15">
      <c r="A146" s="19"/>
      <c r="B146" s="19"/>
      <c r="C146" s="19"/>
      <c r="D146" s="19"/>
      <c r="E146" s="20"/>
      <c r="F146" s="19"/>
      <c r="G146" s="19"/>
      <c r="H146" s="20"/>
    </row>
    <row r="147" spans="1:8" ht="13.15">
      <c r="A147" s="19"/>
      <c r="B147" s="19"/>
      <c r="C147" s="19"/>
      <c r="D147" s="19"/>
      <c r="E147" s="20"/>
      <c r="F147" s="19"/>
      <c r="G147" s="19"/>
      <c r="H147" s="20"/>
    </row>
    <row r="148" spans="1:8" ht="13.15">
      <c r="A148" s="19"/>
      <c r="B148" s="19"/>
      <c r="C148" s="19"/>
      <c r="D148" s="19"/>
      <c r="E148" s="20"/>
      <c r="F148" s="19"/>
      <c r="G148" s="19"/>
      <c r="H148" s="20"/>
    </row>
    <row r="149" spans="1:8" ht="13.15">
      <c r="A149" s="19"/>
      <c r="B149" s="19"/>
      <c r="C149" s="19"/>
      <c r="D149" s="19"/>
      <c r="E149" s="20"/>
      <c r="F149" s="19"/>
      <c r="G149" s="19"/>
      <c r="H149" s="20"/>
    </row>
    <row r="150" spans="1:8" ht="13.15">
      <c r="A150" s="19"/>
      <c r="B150" s="19"/>
      <c r="C150" s="19"/>
      <c r="D150" s="19"/>
      <c r="E150" s="20"/>
      <c r="F150" s="19"/>
      <c r="G150" s="19"/>
      <c r="H150" s="20"/>
    </row>
    <row r="151" spans="1:8" ht="13.15">
      <c r="A151" s="19"/>
      <c r="B151" s="19"/>
      <c r="C151" s="19"/>
      <c r="D151" s="19"/>
      <c r="E151" s="20"/>
      <c r="F151" s="19"/>
      <c r="G151" s="19"/>
      <c r="H151" s="20"/>
    </row>
    <row r="152" spans="1:8" ht="13.15">
      <c r="A152" s="19"/>
      <c r="B152" s="19"/>
      <c r="C152" s="19"/>
      <c r="D152" s="19"/>
      <c r="E152" s="20"/>
      <c r="F152" s="19"/>
      <c r="G152" s="19"/>
      <c r="H152" s="20"/>
    </row>
    <row r="153" spans="1:8" ht="13.15">
      <c r="A153" s="19"/>
      <c r="B153" s="19"/>
      <c r="C153" s="19"/>
      <c r="D153" s="19"/>
      <c r="E153" s="20"/>
      <c r="F153" s="19"/>
      <c r="G153" s="19"/>
      <c r="H153" s="20"/>
    </row>
    <row r="154" spans="1:8" ht="13.15">
      <c r="A154" s="19"/>
      <c r="B154" s="19"/>
      <c r="C154" s="19"/>
      <c r="D154" s="19"/>
      <c r="E154" s="20"/>
      <c r="F154" s="19"/>
      <c r="G154" s="19"/>
      <c r="H154" s="20"/>
    </row>
    <row r="155" spans="1:8" ht="13.15">
      <c r="A155" s="19"/>
      <c r="B155" s="19"/>
      <c r="C155" s="19"/>
      <c r="D155" s="19"/>
      <c r="E155" s="20"/>
      <c r="F155" s="19"/>
      <c r="G155" s="19"/>
      <c r="H155" s="20"/>
    </row>
    <row r="156" spans="1:8" ht="13.15">
      <c r="A156" s="19"/>
      <c r="B156" s="19"/>
      <c r="C156" s="19"/>
      <c r="D156" s="19"/>
      <c r="E156" s="20"/>
      <c r="F156" s="19"/>
      <c r="G156" s="19"/>
      <c r="H156" s="20"/>
    </row>
    <row r="157" spans="1:8" ht="13.15">
      <c r="A157" s="19"/>
      <c r="B157" s="19"/>
      <c r="C157" s="19"/>
      <c r="D157" s="19"/>
      <c r="E157" s="20"/>
      <c r="F157" s="19"/>
      <c r="G157" s="19"/>
      <c r="H157" s="20"/>
    </row>
    <row r="158" spans="1:8" ht="13.15">
      <c r="A158" s="19"/>
      <c r="B158" s="19"/>
      <c r="C158" s="19"/>
      <c r="D158" s="19"/>
      <c r="E158" s="20"/>
      <c r="F158" s="19"/>
      <c r="G158" s="19"/>
      <c r="H158" s="20"/>
    </row>
    <row r="159" spans="1:8" ht="13.15">
      <c r="A159" s="19"/>
      <c r="B159" s="19"/>
      <c r="C159" s="19"/>
      <c r="D159" s="19"/>
      <c r="E159" s="20"/>
      <c r="F159" s="19"/>
      <c r="G159" s="19"/>
      <c r="H159" s="20"/>
    </row>
    <row r="160" spans="1:8" ht="13.15">
      <c r="A160" s="19"/>
      <c r="B160" s="19"/>
      <c r="C160" s="19"/>
      <c r="D160" s="19"/>
      <c r="E160" s="20"/>
      <c r="F160" s="19"/>
      <c r="G160" s="19"/>
      <c r="H160" s="20"/>
    </row>
    <row r="161" spans="1:8" ht="13.15">
      <c r="A161" s="19"/>
      <c r="B161" s="19"/>
      <c r="C161" s="19"/>
      <c r="D161" s="19"/>
      <c r="E161" s="20"/>
      <c r="F161" s="19"/>
      <c r="G161" s="19"/>
      <c r="H161" s="20"/>
    </row>
    <row r="162" spans="1:8" ht="13.15">
      <c r="A162" s="19"/>
      <c r="B162" s="19"/>
      <c r="C162" s="19"/>
      <c r="D162" s="19"/>
      <c r="E162" s="20"/>
      <c r="F162" s="19"/>
      <c r="G162" s="19"/>
      <c r="H162" s="20"/>
    </row>
    <row r="163" spans="1:8" ht="13.15">
      <c r="A163" s="19"/>
      <c r="B163" s="19"/>
      <c r="C163" s="19"/>
      <c r="D163" s="19"/>
      <c r="E163" s="20"/>
      <c r="F163" s="19"/>
      <c r="G163" s="19"/>
      <c r="H163" s="20"/>
    </row>
    <row r="164" spans="1:8" ht="13.15">
      <c r="A164" s="19"/>
      <c r="B164" s="19"/>
      <c r="C164" s="19"/>
      <c r="D164" s="19"/>
      <c r="E164" s="20"/>
      <c r="F164" s="19"/>
      <c r="G164" s="19"/>
      <c r="H164" s="20"/>
    </row>
    <row r="165" spans="1:8" ht="13.15">
      <c r="A165" s="19"/>
      <c r="B165" s="19"/>
      <c r="C165" s="19"/>
      <c r="D165" s="19"/>
      <c r="E165" s="20"/>
      <c r="F165" s="19"/>
      <c r="G165" s="19"/>
      <c r="H165" s="20"/>
    </row>
    <row r="166" spans="1:8" ht="13.15">
      <c r="A166" s="19"/>
      <c r="B166" s="19"/>
      <c r="C166" s="19"/>
      <c r="D166" s="19"/>
      <c r="E166" s="20"/>
      <c r="F166" s="19"/>
      <c r="G166" s="19"/>
      <c r="H166" s="20"/>
    </row>
    <row r="167" spans="1:8" ht="13.15">
      <c r="A167" s="19"/>
      <c r="B167" s="19"/>
      <c r="C167" s="19"/>
      <c r="D167" s="19"/>
      <c r="E167" s="20"/>
      <c r="F167" s="19"/>
      <c r="G167" s="19"/>
      <c r="H167" s="20"/>
    </row>
    <row r="168" spans="1:8" ht="13.15">
      <c r="A168" s="19"/>
      <c r="B168" s="19"/>
      <c r="C168" s="19"/>
      <c r="D168" s="19"/>
      <c r="E168" s="20"/>
      <c r="F168" s="19"/>
      <c r="G168" s="19"/>
      <c r="H168" s="20"/>
    </row>
    <row r="169" spans="1:8" ht="13.15">
      <c r="A169" s="19"/>
      <c r="B169" s="19"/>
      <c r="C169" s="19"/>
      <c r="D169" s="19"/>
      <c r="E169" s="20"/>
      <c r="F169" s="19"/>
      <c r="G169" s="19"/>
      <c r="H169" s="20"/>
    </row>
    <row r="170" spans="1:8" ht="13.15">
      <c r="A170" s="19"/>
      <c r="B170" s="19"/>
      <c r="C170" s="19"/>
      <c r="D170" s="19"/>
      <c r="E170" s="20"/>
      <c r="F170" s="19"/>
      <c r="G170" s="19"/>
      <c r="H170" s="20"/>
    </row>
    <row r="171" spans="1:8" ht="13.15">
      <c r="A171" s="19"/>
      <c r="B171" s="19"/>
      <c r="C171" s="19"/>
      <c r="D171" s="19"/>
      <c r="E171" s="20"/>
      <c r="F171" s="19"/>
      <c r="G171" s="19"/>
      <c r="H171" s="20"/>
    </row>
    <row r="172" spans="1:8" ht="13.15">
      <c r="A172" s="19"/>
      <c r="B172" s="19"/>
      <c r="C172" s="19"/>
      <c r="D172" s="19"/>
      <c r="E172" s="20"/>
      <c r="F172" s="19"/>
      <c r="G172" s="19"/>
      <c r="H172" s="20"/>
    </row>
    <row r="173" spans="1:8" ht="13.15">
      <c r="A173" s="19"/>
      <c r="B173" s="19"/>
      <c r="C173" s="19"/>
      <c r="D173" s="19"/>
      <c r="E173" s="20"/>
      <c r="F173" s="19"/>
      <c r="G173" s="19"/>
      <c r="H173" s="20"/>
    </row>
    <row r="174" spans="1:8" ht="13.15">
      <c r="A174" s="19"/>
      <c r="B174" s="19"/>
      <c r="C174" s="19"/>
      <c r="D174" s="19"/>
      <c r="E174" s="20"/>
      <c r="F174" s="19"/>
      <c r="G174" s="19"/>
      <c r="H174" s="20"/>
    </row>
    <row r="175" spans="1:8" ht="13.15">
      <c r="A175" s="19"/>
      <c r="B175" s="19"/>
      <c r="C175" s="19"/>
      <c r="D175" s="19"/>
      <c r="E175" s="20"/>
      <c r="F175" s="19"/>
      <c r="G175" s="19"/>
      <c r="H175" s="20"/>
    </row>
    <row r="176" spans="1:8" ht="13.15">
      <c r="A176" s="19"/>
      <c r="B176" s="19"/>
      <c r="C176" s="19"/>
      <c r="D176" s="19"/>
      <c r="E176" s="20"/>
      <c r="F176" s="19"/>
      <c r="G176" s="19"/>
      <c r="H176" s="20"/>
    </row>
    <row r="177" spans="1:8" ht="13.15">
      <c r="A177" s="19"/>
      <c r="B177" s="19"/>
      <c r="C177" s="19"/>
      <c r="D177" s="19"/>
      <c r="E177" s="20"/>
      <c r="F177" s="19"/>
      <c r="G177" s="19"/>
      <c r="H177" s="20"/>
    </row>
    <row r="178" spans="1:8" ht="13.15">
      <c r="A178" s="19"/>
      <c r="B178" s="19"/>
      <c r="C178" s="19"/>
      <c r="D178" s="19"/>
      <c r="E178" s="20"/>
      <c r="F178" s="19"/>
      <c r="G178" s="19"/>
      <c r="H178" s="20"/>
    </row>
    <row r="179" spans="1:8" ht="13.15">
      <c r="A179" s="19"/>
      <c r="B179" s="19"/>
      <c r="C179" s="19"/>
      <c r="D179" s="19"/>
      <c r="E179" s="20"/>
      <c r="F179" s="19"/>
      <c r="G179" s="19"/>
      <c r="H179" s="20"/>
    </row>
    <row r="180" spans="1:8" ht="13.15">
      <c r="A180" s="19"/>
      <c r="B180" s="19"/>
      <c r="C180" s="19"/>
      <c r="D180" s="19"/>
      <c r="E180" s="20"/>
      <c r="F180" s="19"/>
      <c r="G180" s="19"/>
      <c r="H180" s="20"/>
    </row>
    <row r="181" spans="1:8" ht="13.15">
      <c r="A181" s="19"/>
      <c r="B181" s="19"/>
      <c r="C181" s="19"/>
      <c r="D181" s="19"/>
      <c r="E181" s="20"/>
      <c r="F181" s="19"/>
      <c r="G181" s="19"/>
      <c r="H181" s="20"/>
    </row>
    <row r="182" spans="1:8" ht="13.15">
      <c r="A182" s="19"/>
      <c r="B182" s="19"/>
      <c r="C182" s="19"/>
      <c r="D182" s="19"/>
      <c r="E182" s="20"/>
      <c r="F182" s="19"/>
      <c r="G182" s="19"/>
      <c r="H182" s="20"/>
    </row>
    <row r="183" spans="1:8" ht="13.15">
      <c r="A183" s="19"/>
      <c r="B183" s="19"/>
      <c r="C183" s="19"/>
      <c r="D183" s="19"/>
      <c r="E183" s="20"/>
      <c r="F183" s="19"/>
      <c r="G183" s="19"/>
      <c r="H183" s="20"/>
    </row>
    <row r="184" spans="1:8" ht="13.15">
      <c r="A184" s="19"/>
      <c r="B184" s="19"/>
      <c r="C184" s="19"/>
      <c r="D184" s="19"/>
      <c r="E184" s="20"/>
      <c r="F184" s="19"/>
      <c r="G184" s="19"/>
      <c r="H184" s="20"/>
    </row>
    <row r="185" spans="1:8" ht="13.15">
      <c r="A185" s="19"/>
      <c r="B185" s="19"/>
      <c r="C185" s="19"/>
      <c r="D185" s="19"/>
      <c r="E185" s="20"/>
      <c r="F185" s="19"/>
      <c r="G185" s="19"/>
      <c r="H185" s="20"/>
    </row>
    <row r="186" spans="1:8" ht="13.15">
      <c r="A186" s="19"/>
      <c r="B186" s="19"/>
      <c r="C186" s="19"/>
      <c r="D186" s="19"/>
      <c r="E186" s="20"/>
      <c r="F186" s="19"/>
      <c r="G186" s="19"/>
      <c r="H186" s="20"/>
    </row>
    <row r="187" spans="1:8" ht="13.15">
      <c r="A187" s="19"/>
      <c r="B187" s="19"/>
      <c r="C187" s="19"/>
      <c r="D187" s="19"/>
      <c r="E187" s="20"/>
      <c r="F187" s="19"/>
      <c r="G187" s="19"/>
      <c r="H187" s="20"/>
    </row>
    <row r="188" spans="1:8" ht="13.15">
      <c r="A188" s="19"/>
      <c r="B188" s="19"/>
      <c r="C188" s="19"/>
      <c r="D188" s="19"/>
      <c r="E188" s="20"/>
      <c r="F188" s="19"/>
      <c r="G188" s="19"/>
      <c r="H188" s="20"/>
    </row>
    <row r="189" spans="1:8" ht="13.15">
      <c r="A189" s="19"/>
      <c r="B189" s="19"/>
      <c r="C189" s="19"/>
      <c r="D189" s="19"/>
      <c r="E189" s="20"/>
      <c r="F189" s="19"/>
      <c r="G189" s="19"/>
      <c r="H189" s="20"/>
    </row>
    <row r="190" spans="1:8" ht="13.15">
      <c r="A190" s="19"/>
      <c r="B190" s="19"/>
      <c r="C190" s="19"/>
      <c r="D190" s="19"/>
      <c r="E190" s="20"/>
      <c r="F190" s="19"/>
      <c r="G190" s="19"/>
      <c r="H190" s="20"/>
    </row>
    <row r="191" spans="1:8" ht="13.15">
      <c r="A191" s="19"/>
      <c r="B191" s="19"/>
      <c r="C191" s="19"/>
      <c r="D191" s="19"/>
      <c r="E191" s="20"/>
      <c r="F191" s="19"/>
      <c r="G191" s="19"/>
      <c r="H191" s="20"/>
    </row>
    <row r="192" spans="1:8" ht="13.15">
      <c r="A192" s="19"/>
      <c r="B192" s="19"/>
      <c r="C192" s="19"/>
      <c r="D192" s="19"/>
      <c r="E192" s="20"/>
      <c r="F192" s="19"/>
      <c r="G192" s="19"/>
      <c r="H192" s="20"/>
    </row>
    <row r="193" spans="1:8" ht="13.15">
      <c r="A193" s="19"/>
      <c r="B193" s="19"/>
      <c r="C193" s="19"/>
      <c r="D193" s="19"/>
      <c r="E193" s="20"/>
      <c r="F193" s="19"/>
      <c r="G193" s="19"/>
      <c r="H193" s="20"/>
    </row>
    <row r="194" spans="1:8" ht="13.15">
      <c r="A194" s="19"/>
      <c r="B194" s="19"/>
      <c r="C194" s="19"/>
      <c r="D194" s="19"/>
      <c r="E194" s="20"/>
      <c r="F194" s="19"/>
      <c r="G194" s="19"/>
      <c r="H194" s="20"/>
    </row>
    <row r="195" spans="1:8" ht="13.15">
      <c r="A195" s="19"/>
      <c r="B195" s="19"/>
      <c r="C195" s="19"/>
      <c r="D195" s="19"/>
      <c r="E195" s="20"/>
      <c r="F195" s="19"/>
      <c r="G195" s="19"/>
      <c r="H195" s="20"/>
    </row>
    <row r="196" spans="1:8" ht="13.15">
      <c r="A196" s="19"/>
      <c r="B196" s="19"/>
      <c r="C196" s="19"/>
      <c r="D196" s="19"/>
      <c r="E196" s="20"/>
      <c r="F196" s="19"/>
      <c r="G196" s="19"/>
      <c r="H196" s="20"/>
    </row>
    <row r="197" spans="1:8" ht="13.15">
      <c r="A197" s="19"/>
      <c r="B197" s="19"/>
      <c r="C197" s="19"/>
      <c r="D197" s="19"/>
      <c r="E197" s="20"/>
      <c r="F197" s="19"/>
      <c r="G197" s="19"/>
      <c r="H197" s="20"/>
    </row>
    <row r="198" spans="1:8" ht="13.15">
      <c r="A198" s="19"/>
      <c r="B198" s="19"/>
      <c r="C198" s="19"/>
      <c r="D198" s="19"/>
      <c r="E198" s="20"/>
      <c r="F198" s="19"/>
      <c r="G198" s="19"/>
      <c r="H198" s="20"/>
    </row>
    <row r="199" spans="1:8" ht="13.15">
      <c r="A199" s="19"/>
      <c r="B199" s="19"/>
      <c r="C199" s="19"/>
      <c r="D199" s="19"/>
      <c r="E199" s="20"/>
      <c r="F199" s="19"/>
      <c r="G199" s="19"/>
      <c r="H199" s="20"/>
    </row>
    <row r="200" spans="1:8" ht="13.15">
      <c r="A200" s="19"/>
      <c r="B200" s="19"/>
      <c r="C200" s="19"/>
      <c r="D200" s="19"/>
      <c r="E200" s="20"/>
      <c r="F200" s="19"/>
      <c r="G200" s="19"/>
      <c r="H200" s="20"/>
    </row>
    <row r="201" spans="1:8" ht="13.15">
      <c r="A201" s="19"/>
      <c r="B201" s="19"/>
      <c r="C201" s="19"/>
      <c r="D201" s="19"/>
      <c r="E201" s="20"/>
      <c r="F201" s="19"/>
      <c r="G201" s="19"/>
      <c r="H201" s="20"/>
    </row>
    <row r="202" spans="1:8" ht="13.15">
      <c r="A202" s="19"/>
      <c r="B202" s="19"/>
      <c r="C202" s="19"/>
      <c r="D202" s="19"/>
      <c r="E202" s="20"/>
      <c r="F202" s="19"/>
      <c r="G202" s="19"/>
      <c r="H202" s="20"/>
    </row>
    <row r="203" spans="1:8" ht="13.15">
      <c r="A203" s="19"/>
      <c r="B203" s="19"/>
      <c r="C203" s="19"/>
      <c r="D203" s="19"/>
      <c r="E203" s="20"/>
      <c r="F203" s="19"/>
      <c r="G203" s="19"/>
      <c r="H203" s="20"/>
    </row>
    <row r="204" spans="1:8" ht="13.15">
      <c r="A204" s="19"/>
      <c r="B204" s="19"/>
      <c r="C204" s="19"/>
      <c r="D204" s="19"/>
      <c r="E204" s="20"/>
      <c r="F204" s="19"/>
      <c r="G204" s="19"/>
      <c r="H204" s="20"/>
    </row>
    <row r="205" spans="1:8" ht="13.15">
      <c r="A205" s="19"/>
      <c r="B205" s="19"/>
      <c r="C205" s="19"/>
      <c r="D205" s="19"/>
      <c r="E205" s="20"/>
      <c r="F205" s="19"/>
      <c r="G205" s="19"/>
      <c r="H205" s="20"/>
    </row>
    <row r="206" spans="1:8" ht="13.15">
      <c r="A206" s="19"/>
      <c r="B206" s="19"/>
      <c r="C206" s="19"/>
      <c r="D206" s="19"/>
      <c r="E206" s="20"/>
      <c r="F206" s="19"/>
      <c r="G206" s="19"/>
      <c r="H206" s="20"/>
    </row>
    <row r="207" spans="1:8" ht="13.15">
      <c r="A207" s="19"/>
      <c r="B207" s="19"/>
      <c r="C207" s="19"/>
      <c r="D207" s="19"/>
      <c r="E207" s="20"/>
      <c r="F207" s="19"/>
      <c r="G207" s="19"/>
      <c r="H207" s="20"/>
    </row>
    <row r="208" spans="1:8" ht="13.15">
      <c r="A208" s="19"/>
      <c r="B208" s="19"/>
      <c r="C208" s="19"/>
      <c r="D208" s="19"/>
      <c r="E208" s="20"/>
      <c r="F208" s="19"/>
      <c r="G208" s="19"/>
      <c r="H208" s="20"/>
    </row>
    <row r="209" spans="1:8" ht="13.15">
      <c r="A209" s="19"/>
      <c r="B209" s="19"/>
      <c r="C209" s="19"/>
      <c r="D209" s="19"/>
      <c r="E209" s="20"/>
      <c r="F209" s="19"/>
      <c r="G209" s="19"/>
      <c r="H209" s="20"/>
    </row>
    <row r="210" spans="1:8" ht="13.15">
      <c r="A210" s="19"/>
      <c r="B210" s="19"/>
      <c r="C210" s="19"/>
      <c r="D210" s="19"/>
      <c r="E210" s="20"/>
      <c r="F210" s="19"/>
      <c r="G210" s="19"/>
      <c r="H210" s="20"/>
    </row>
    <row r="211" spans="1:8" ht="13.15">
      <c r="A211" s="19"/>
      <c r="B211" s="19"/>
      <c r="C211" s="19"/>
      <c r="D211" s="19"/>
      <c r="E211" s="20"/>
      <c r="F211" s="19"/>
      <c r="G211" s="19"/>
      <c r="H211" s="20"/>
    </row>
    <row r="212" spans="1:8" ht="13.15">
      <c r="A212" s="19"/>
      <c r="B212" s="19"/>
      <c r="C212" s="19"/>
      <c r="D212" s="19"/>
      <c r="E212" s="20"/>
      <c r="F212" s="19"/>
      <c r="G212" s="19"/>
      <c r="H212" s="20"/>
    </row>
    <row r="213" spans="1:8" ht="13.15">
      <c r="A213" s="19"/>
      <c r="B213" s="19"/>
      <c r="C213" s="19"/>
      <c r="D213" s="19"/>
      <c r="E213" s="20"/>
      <c r="F213" s="19"/>
      <c r="G213" s="19"/>
      <c r="H213" s="20"/>
    </row>
    <row r="214" spans="1:8" ht="13.15">
      <c r="A214" s="19"/>
      <c r="B214" s="19"/>
      <c r="C214" s="19"/>
      <c r="D214" s="19"/>
      <c r="E214" s="20"/>
      <c r="F214" s="19"/>
      <c r="G214" s="19"/>
      <c r="H214" s="20"/>
    </row>
    <row r="215" spans="1:8" ht="13.15">
      <c r="A215" s="19"/>
      <c r="B215" s="19"/>
      <c r="C215" s="19"/>
      <c r="D215" s="19"/>
      <c r="E215" s="20"/>
      <c r="F215" s="19"/>
      <c r="G215" s="19"/>
      <c r="H215" s="20"/>
    </row>
    <row r="216" spans="1:8" ht="13.15">
      <c r="A216" s="19"/>
      <c r="B216" s="19"/>
      <c r="C216" s="19"/>
      <c r="D216" s="19"/>
      <c r="E216" s="20"/>
      <c r="F216" s="19"/>
      <c r="G216" s="19"/>
      <c r="H216" s="20"/>
    </row>
    <row r="217" spans="1:8" ht="13.15">
      <c r="A217" s="19"/>
      <c r="B217" s="19"/>
      <c r="C217" s="19"/>
      <c r="D217" s="19"/>
      <c r="E217" s="20"/>
      <c r="F217" s="19"/>
      <c r="G217" s="19"/>
      <c r="H217" s="20"/>
    </row>
    <row r="218" spans="1:8" ht="13.15">
      <c r="A218" s="19"/>
      <c r="B218" s="19"/>
      <c r="C218" s="19"/>
      <c r="D218" s="19"/>
      <c r="E218" s="20"/>
      <c r="F218" s="19"/>
      <c r="G218" s="19"/>
      <c r="H218" s="20"/>
    </row>
    <row r="219" spans="1:8" ht="13.15">
      <c r="A219" s="19"/>
      <c r="B219" s="19"/>
      <c r="C219" s="19"/>
      <c r="D219" s="19"/>
      <c r="E219" s="20"/>
      <c r="F219" s="19"/>
      <c r="G219" s="19"/>
      <c r="H219" s="20"/>
    </row>
    <row r="220" spans="1:8" ht="13.15">
      <c r="A220" s="19"/>
      <c r="B220" s="19"/>
      <c r="C220" s="19"/>
      <c r="D220" s="19"/>
      <c r="E220" s="20"/>
      <c r="F220" s="19"/>
      <c r="G220" s="19"/>
      <c r="H220" s="20"/>
    </row>
    <row r="221" spans="1:8" ht="13.15">
      <c r="A221" s="19"/>
      <c r="B221" s="19"/>
      <c r="C221" s="19"/>
      <c r="D221" s="19"/>
      <c r="E221" s="20"/>
      <c r="F221" s="19"/>
      <c r="G221" s="19"/>
      <c r="H221" s="20"/>
    </row>
    <row r="222" spans="1:8" ht="13.15">
      <c r="A222" s="19"/>
      <c r="B222" s="19"/>
      <c r="C222" s="19"/>
      <c r="D222" s="19"/>
      <c r="E222" s="20"/>
      <c r="F222" s="19"/>
      <c r="G222" s="19"/>
      <c r="H222" s="20"/>
    </row>
    <row r="223" spans="1:8" ht="13.15">
      <c r="A223" s="19"/>
      <c r="B223" s="19"/>
      <c r="C223" s="19"/>
      <c r="D223" s="19"/>
      <c r="E223" s="20"/>
      <c r="F223" s="19"/>
      <c r="G223" s="19"/>
      <c r="H223" s="20"/>
    </row>
    <row r="224" spans="1:8" ht="13.15">
      <c r="A224" s="19"/>
      <c r="B224" s="19"/>
      <c r="C224" s="19"/>
      <c r="D224" s="19"/>
      <c r="E224" s="20"/>
      <c r="F224" s="19"/>
      <c r="G224" s="19"/>
      <c r="H224" s="20"/>
    </row>
    <row r="225" spans="1:8" ht="13.15">
      <c r="A225" s="19"/>
      <c r="B225" s="19"/>
      <c r="C225" s="19"/>
      <c r="D225" s="19"/>
      <c r="E225" s="20"/>
      <c r="F225" s="19"/>
      <c r="G225" s="19"/>
      <c r="H225" s="20"/>
    </row>
    <row r="226" spans="1:8" ht="13.15">
      <c r="A226" s="19"/>
      <c r="B226" s="19"/>
      <c r="C226" s="19"/>
      <c r="D226" s="19"/>
      <c r="E226" s="20"/>
      <c r="F226" s="19"/>
      <c r="G226" s="19"/>
      <c r="H226" s="20"/>
    </row>
    <row r="227" spans="1:8" ht="13.15">
      <c r="A227" s="19"/>
      <c r="B227" s="19"/>
      <c r="C227" s="19"/>
      <c r="D227" s="19"/>
      <c r="E227" s="20"/>
      <c r="F227" s="19"/>
      <c r="G227" s="19"/>
      <c r="H227" s="20"/>
    </row>
    <row r="228" spans="1:8" ht="13.15">
      <c r="A228" s="19"/>
      <c r="B228" s="19"/>
      <c r="C228" s="19"/>
      <c r="D228" s="19"/>
      <c r="E228" s="20"/>
      <c r="F228" s="19"/>
      <c r="G228" s="19"/>
      <c r="H228" s="20"/>
    </row>
    <row r="229" spans="1:8" ht="13.15">
      <c r="A229" s="19"/>
      <c r="B229" s="19"/>
      <c r="C229" s="19"/>
      <c r="D229" s="19"/>
      <c r="E229" s="20"/>
      <c r="F229" s="19"/>
      <c r="G229" s="19"/>
      <c r="H229" s="20"/>
    </row>
    <row r="230" spans="1:8" ht="13.15">
      <c r="A230" s="19"/>
      <c r="B230" s="19"/>
      <c r="C230" s="19"/>
      <c r="D230" s="19"/>
      <c r="E230" s="20"/>
      <c r="F230" s="19"/>
      <c r="G230" s="19"/>
      <c r="H230" s="20"/>
    </row>
    <row r="231" spans="1:8" ht="13.15">
      <c r="A231" s="19"/>
      <c r="B231" s="19"/>
      <c r="C231" s="19"/>
      <c r="D231" s="19"/>
      <c r="E231" s="20"/>
      <c r="F231" s="19"/>
      <c r="G231" s="19"/>
      <c r="H231" s="20"/>
    </row>
    <row r="232" spans="1:8" ht="13.15">
      <c r="A232" s="19"/>
      <c r="B232" s="19"/>
      <c r="C232" s="19"/>
      <c r="D232" s="19"/>
      <c r="E232" s="20"/>
      <c r="F232" s="19"/>
      <c r="G232" s="19"/>
      <c r="H232" s="20"/>
    </row>
    <row r="233" spans="1:8" ht="13.15">
      <c r="A233" s="19"/>
      <c r="B233" s="19"/>
      <c r="C233" s="19"/>
      <c r="D233" s="19"/>
      <c r="E233" s="20"/>
      <c r="F233" s="19"/>
      <c r="G233" s="19"/>
      <c r="H233" s="20"/>
    </row>
    <row r="234" spans="1:8" ht="13.15">
      <c r="A234" s="19"/>
      <c r="B234" s="19"/>
      <c r="C234" s="19"/>
      <c r="D234" s="19"/>
      <c r="E234" s="20"/>
      <c r="F234" s="19"/>
      <c r="G234" s="19"/>
      <c r="H234" s="20"/>
    </row>
    <row r="235" spans="1:8" ht="13.15">
      <c r="A235" s="19"/>
      <c r="B235" s="19"/>
      <c r="C235" s="19"/>
      <c r="D235" s="19"/>
      <c r="E235" s="20"/>
      <c r="F235" s="19"/>
      <c r="G235" s="19"/>
      <c r="H235" s="20"/>
    </row>
    <row r="236" spans="1:8" ht="13.15">
      <c r="A236" s="19"/>
      <c r="B236" s="19"/>
      <c r="C236" s="19"/>
      <c r="D236" s="19"/>
      <c r="E236" s="20"/>
      <c r="F236" s="19"/>
      <c r="G236" s="19"/>
      <c r="H236" s="20"/>
    </row>
    <row r="237" spans="1:8" ht="13.15">
      <c r="A237" s="19"/>
      <c r="B237" s="19"/>
      <c r="C237" s="19"/>
      <c r="D237" s="19"/>
      <c r="E237" s="20"/>
      <c r="F237" s="19"/>
      <c r="G237" s="19"/>
      <c r="H237" s="20"/>
    </row>
    <row r="238" spans="1:8" ht="13.15">
      <c r="A238" s="19"/>
      <c r="B238" s="19"/>
      <c r="C238" s="19"/>
      <c r="D238" s="19"/>
      <c r="E238" s="20"/>
      <c r="F238" s="19"/>
      <c r="G238" s="19"/>
      <c r="H238" s="20"/>
    </row>
    <row r="239" spans="1:8" ht="13.15">
      <c r="A239" s="19"/>
      <c r="B239" s="19"/>
      <c r="C239" s="19"/>
      <c r="D239" s="19"/>
      <c r="E239" s="20"/>
      <c r="F239" s="19"/>
      <c r="G239" s="19"/>
      <c r="H239" s="20"/>
    </row>
    <row r="240" spans="1:8" ht="13.15">
      <c r="A240" s="19"/>
      <c r="B240" s="19"/>
      <c r="C240" s="19"/>
      <c r="D240" s="19"/>
      <c r="E240" s="20"/>
      <c r="F240" s="19"/>
      <c r="G240" s="19"/>
      <c r="H240" s="20"/>
    </row>
    <row r="241" spans="1:8" ht="13.15">
      <c r="A241" s="19"/>
      <c r="B241" s="19"/>
      <c r="C241" s="19"/>
      <c r="D241" s="19"/>
      <c r="E241" s="20"/>
      <c r="F241" s="19"/>
      <c r="G241" s="19"/>
      <c r="H241" s="20"/>
    </row>
    <row r="242" spans="1:8" ht="13.15">
      <c r="A242" s="19"/>
      <c r="B242" s="19"/>
      <c r="C242" s="19"/>
      <c r="D242" s="19"/>
      <c r="E242" s="20"/>
      <c r="F242" s="19"/>
      <c r="G242" s="19"/>
      <c r="H242" s="20"/>
    </row>
    <row r="243" spans="1:8" ht="13.15">
      <c r="A243" s="19"/>
      <c r="B243" s="19"/>
      <c r="C243" s="19"/>
      <c r="D243" s="19"/>
      <c r="E243" s="20"/>
      <c r="F243" s="19"/>
      <c r="G243" s="19"/>
      <c r="H243" s="20"/>
    </row>
    <row r="244" spans="1:8" ht="13.15">
      <c r="A244" s="19"/>
      <c r="B244" s="19"/>
      <c r="C244" s="19"/>
      <c r="D244" s="19"/>
      <c r="E244" s="20"/>
      <c r="F244" s="19"/>
      <c r="G244" s="19"/>
      <c r="H244" s="20"/>
    </row>
    <row r="245" spans="1:8" ht="13.15">
      <c r="A245" s="19"/>
      <c r="B245" s="19"/>
      <c r="C245" s="19"/>
      <c r="D245" s="19"/>
      <c r="E245" s="20"/>
      <c r="F245" s="19"/>
      <c r="G245" s="19"/>
      <c r="H245" s="20"/>
    </row>
    <row r="246" spans="1:8" ht="13.15">
      <c r="A246" s="19"/>
      <c r="B246" s="19"/>
      <c r="C246" s="19"/>
      <c r="D246" s="19"/>
      <c r="E246" s="20"/>
      <c r="F246" s="19"/>
      <c r="G246" s="19"/>
      <c r="H246" s="20"/>
    </row>
    <row r="247" spans="1:8" ht="13.15">
      <c r="A247" s="19"/>
      <c r="B247" s="19"/>
      <c r="C247" s="19"/>
      <c r="D247" s="19"/>
      <c r="E247" s="20"/>
      <c r="F247" s="19"/>
      <c r="G247" s="19"/>
      <c r="H247" s="20"/>
    </row>
    <row r="248" spans="1:8" ht="13.15">
      <c r="A248" s="19"/>
      <c r="B248" s="19"/>
      <c r="C248" s="19"/>
      <c r="D248" s="19"/>
      <c r="E248" s="20"/>
      <c r="F248" s="19"/>
      <c r="G248" s="19"/>
      <c r="H248" s="20"/>
    </row>
    <row r="249" spans="1:8" ht="13.15">
      <c r="A249" s="19"/>
      <c r="B249" s="19"/>
      <c r="C249" s="19"/>
      <c r="D249" s="19"/>
      <c r="E249" s="20"/>
      <c r="F249" s="19"/>
      <c r="G249" s="19"/>
      <c r="H249" s="20"/>
    </row>
    <row r="250" spans="1:8" ht="13.15">
      <c r="A250" s="19"/>
      <c r="B250" s="19"/>
      <c r="C250" s="19"/>
      <c r="D250" s="19"/>
      <c r="E250" s="20"/>
      <c r="F250" s="19"/>
      <c r="G250" s="19"/>
      <c r="H250" s="20"/>
    </row>
    <row r="251" spans="1:8" ht="13.15">
      <c r="A251" s="19"/>
      <c r="B251" s="19"/>
      <c r="C251" s="19"/>
      <c r="D251" s="19"/>
      <c r="E251" s="20"/>
      <c r="F251" s="19"/>
      <c r="G251" s="19"/>
      <c r="H251" s="20"/>
    </row>
    <row r="252" spans="1:8" ht="13.15">
      <c r="A252" s="19"/>
      <c r="B252" s="19"/>
      <c r="C252" s="19"/>
      <c r="D252" s="19"/>
      <c r="E252" s="20"/>
      <c r="F252" s="19"/>
      <c r="G252" s="19"/>
      <c r="H252" s="20"/>
    </row>
    <row r="253" spans="1:8" ht="13.15">
      <c r="A253" s="19"/>
      <c r="B253" s="19"/>
      <c r="C253" s="19"/>
      <c r="D253" s="19"/>
      <c r="E253" s="20"/>
      <c r="F253" s="19"/>
      <c r="G253" s="19"/>
      <c r="H253" s="20"/>
    </row>
    <row r="254" spans="1:8" ht="13.15">
      <c r="A254" s="19"/>
      <c r="B254" s="19"/>
      <c r="C254" s="19"/>
      <c r="D254" s="19"/>
      <c r="E254" s="20"/>
      <c r="F254" s="19"/>
      <c r="G254" s="19"/>
      <c r="H254" s="20"/>
    </row>
    <row r="255" spans="1:8" ht="13.15">
      <c r="A255" s="19"/>
      <c r="B255" s="19"/>
      <c r="C255" s="19"/>
      <c r="D255" s="19"/>
      <c r="E255" s="20"/>
      <c r="F255" s="19"/>
      <c r="G255" s="19"/>
      <c r="H255" s="20"/>
    </row>
    <row r="256" spans="1:8" ht="13.15">
      <c r="A256" s="19"/>
      <c r="B256" s="19"/>
      <c r="C256" s="19"/>
      <c r="D256" s="19"/>
      <c r="E256" s="20"/>
      <c r="F256" s="19"/>
      <c r="G256" s="19"/>
      <c r="H256" s="20"/>
    </row>
    <row r="257" spans="1:8" ht="13.15">
      <c r="A257" s="19"/>
      <c r="B257" s="19"/>
      <c r="C257" s="19"/>
      <c r="D257" s="19"/>
      <c r="E257" s="20"/>
      <c r="F257" s="19"/>
      <c r="G257" s="19"/>
      <c r="H257" s="20"/>
    </row>
    <row r="258" spans="1:8" ht="13.15">
      <c r="A258" s="19"/>
      <c r="B258" s="19"/>
      <c r="C258" s="19"/>
      <c r="D258" s="19"/>
      <c r="E258" s="20"/>
      <c r="F258" s="19"/>
      <c r="G258" s="19"/>
      <c r="H258" s="20"/>
    </row>
    <row r="259" spans="1:8" ht="13.15">
      <c r="A259" s="19"/>
      <c r="B259" s="19"/>
      <c r="C259" s="19"/>
      <c r="D259" s="19"/>
      <c r="E259" s="20"/>
      <c r="F259" s="19"/>
      <c r="G259" s="19"/>
      <c r="H259" s="20"/>
    </row>
    <row r="260" spans="1:8" ht="13.15">
      <c r="A260" s="19"/>
      <c r="B260" s="19"/>
      <c r="C260" s="19"/>
      <c r="D260" s="19"/>
      <c r="E260" s="20"/>
      <c r="F260" s="19"/>
      <c r="G260" s="19"/>
      <c r="H260" s="20"/>
    </row>
    <row r="261" spans="1:8" ht="13.15">
      <c r="A261" s="19"/>
      <c r="B261" s="19"/>
      <c r="C261" s="19"/>
      <c r="D261" s="19"/>
      <c r="E261" s="20"/>
      <c r="F261" s="19"/>
      <c r="G261" s="19"/>
      <c r="H261" s="20"/>
    </row>
    <row r="262" spans="1:8" ht="13.15">
      <c r="A262" s="19"/>
      <c r="B262" s="19"/>
      <c r="C262" s="19"/>
      <c r="D262" s="19"/>
      <c r="E262" s="20"/>
      <c r="F262" s="19"/>
      <c r="G262" s="19"/>
      <c r="H262" s="20"/>
    </row>
    <row r="263" spans="1:8" ht="13.15">
      <c r="A263" s="19"/>
      <c r="B263" s="19"/>
      <c r="C263" s="19"/>
      <c r="D263" s="19"/>
      <c r="E263" s="20"/>
      <c r="F263" s="19"/>
      <c r="G263" s="19"/>
      <c r="H263" s="20"/>
    </row>
    <row r="264" spans="1:8" ht="13.15">
      <c r="A264" s="19"/>
      <c r="B264" s="19"/>
      <c r="C264" s="19"/>
      <c r="D264" s="19"/>
      <c r="E264" s="20"/>
      <c r="F264" s="19"/>
      <c r="G264" s="19"/>
      <c r="H264" s="20"/>
    </row>
    <row r="265" spans="1:8" ht="13.15">
      <c r="A265" s="19"/>
      <c r="B265" s="19"/>
      <c r="C265" s="19"/>
      <c r="D265" s="19"/>
      <c r="E265" s="20"/>
      <c r="F265" s="19"/>
      <c r="G265" s="19"/>
      <c r="H265" s="20"/>
    </row>
    <row r="266" spans="1:8" ht="13.15">
      <c r="A266" s="19"/>
      <c r="B266" s="19"/>
      <c r="C266" s="19"/>
      <c r="D266" s="19"/>
      <c r="E266" s="20"/>
      <c r="F266" s="19"/>
      <c r="G266" s="19"/>
      <c r="H266" s="20"/>
    </row>
    <row r="267" spans="1:8" ht="13.15">
      <c r="A267" s="19"/>
      <c r="B267" s="19"/>
      <c r="C267" s="19"/>
      <c r="D267" s="19"/>
      <c r="E267" s="20"/>
      <c r="F267" s="19"/>
      <c r="G267" s="19"/>
      <c r="H267" s="20"/>
    </row>
    <row r="268" spans="1:8" ht="13.15">
      <c r="A268" s="19"/>
      <c r="B268" s="19"/>
      <c r="C268" s="19"/>
      <c r="D268" s="19"/>
      <c r="E268" s="20"/>
      <c r="F268" s="19"/>
      <c r="G268" s="19"/>
      <c r="H268" s="20"/>
    </row>
    <row r="269" spans="1:8" ht="13.15">
      <c r="A269" s="19"/>
      <c r="B269" s="19"/>
      <c r="C269" s="19"/>
      <c r="D269" s="19"/>
      <c r="E269" s="20"/>
      <c r="F269" s="19"/>
      <c r="G269" s="19"/>
      <c r="H269" s="20"/>
    </row>
    <row r="270" spans="1:8" ht="13.15">
      <c r="A270" s="19"/>
      <c r="B270" s="19"/>
      <c r="C270" s="19"/>
      <c r="D270" s="19"/>
      <c r="E270" s="20"/>
      <c r="F270" s="19"/>
      <c r="G270" s="19"/>
      <c r="H270" s="20"/>
    </row>
    <row r="271" spans="1:8" ht="13.15">
      <c r="A271" s="19"/>
      <c r="B271" s="19"/>
      <c r="C271" s="19"/>
      <c r="D271" s="19"/>
      <c r="E271" s="20"/>
      <c r="F271" s="19"/>
      <c r="G271" s="19"/>
      <c r="H271" s="20"/>
    </row>
    <row r="272" spans="1:8" ht="13.15">
      <c r="A272" s="19"/>
      <c r="B272" s="19"/>
      <c r="C272" s="19"/>
      <c r="D272" s="19"/>
      <c r="E272" s="20"/>
      <c r="F272" s="19"/>
      <c r="G272" s="19"/>
      <c r="H272" s="20"/>
    </row>
    <row r="273" spans="1:8" ht="13.15">
      <c r="A273" s="19"/>
      <c r="B273" s="19"/>
      <c r="C273" s="19"/>
      <c r="D273" s="19"/>
      <c r="E273" s="20"/>
      <c r="F273" s="19"/>
      <c r="G273" s="19"/>
      <c r="H273" s="20"/>
    </row>
    <row r="274" spans="1:8" ht="13.15">
      <c r="A274" s="19"/>
      <c r="B274" s="19"/>
      <c r="C274" s="19"/>
      <c r="D274" s="19"/>
      <c r="E274" s="20"/>
      <c r="F274" s="19"/>
      <c r="G274" s="19"/>
      <c r="H274" s="20"/>
    </row>
    <row r="275" spans="1:8" ht="13.15">
      <c r="A275" s="19"/>
      <c r="B275" s="19"/>
      <c r="C275" s="19"/>
      <c r="D275" s="19"/>
      <c r="E275" s="20"/>
      <c r="F275" s="19"/>
      <c r="G275" s="19"/>
      <c r="H275" s="20"/>
    </row>
    <row r="276" spans="1:8" ht="13.15">
      <c r="A276" s="19"/>
      <c r="B276" s="19"/>
      <c r="C276" s="19"/>
      <c r="D276" s="19"/>
      <c r="E276" s="20"/>
      <c r="F276" s="19"/>
      <c r="G276" s="19"/>
      <c r="H276" s="20"/>
    </row>
    <row r="277" spans="1:8" ht="13.15">
      <c r="A277" s="19"/>
      <c r="B277" s="19"/>
      <c r="C277" s="19"/>
      <c r="D277" s="19"/>
      <c r="E277" s="20"/>
      <c r="F277" s="19"/>
      <c r="G277" s="19"/>
      <c r="H277" s="20"/>
    </row>
    <row r="278" spans="1:8" ht="13.15">
      <c r="A278" s="19"/>
      <c r="B278" s="19"/>
      <c r="C278" s="19"/>
      <c r="D278" s="19"/>
      <c r="E278" s="20"/>
      <c r="F278" s="19"/>
      <c r="G278" s="19"/>
      <c r="H278" s="20"/>
    </row>
    <row r="279" spans="1:8" ht="13.15">
      <c r="A279" s="19"/>
      <c r="B279" s="19"/>
      <c r="C279" s="19"/>
      <c r="D279" s="19"/>
      <c r="E279" s="20"/>
      <c r="F279" s="19"/>
      <c r="G279" s="19"/>
      <c r="H279" s="20"/>
    </row>
    <row r="280" spans="1:8" ht="13.15">
      <c r="A280" s="19"/>
      <c r="B280" s="19"/>
      <c r="C280" s="19"/>
      <c r="D280" s="19"/>
      <c r="E280" s="20"/>
      <c r="F280" s="19"/>
      <c r="G280" s="19"/>
      <c r="H280" s="20"/>
    </row>
    <row r="281" spans="1:8" ht="13.15">
      <c r="A281" s="19"/>
      <c r="B281" s="19"/>
      <c r="C281" s="19"/>
      <c r="D281" s="19"/>
      <c r="E281" s="20"/>
      <c r="F281" s="19"/>
      <c r="G281" s="19"/>
      <c r="H281" s="20"/>
    </row>
    <row r="282" spans="1:8" ht="13.15">
      <c r="A282" s="19"/>
      <c r="B282" s="19"/>
      <c r="C282" s="19"/>
      <c r="D282" s="19"/>
      <c r="E282" s="20"/>
      <c r="F282" s="19"/>
      <c r="G282" s="19"/>
      <c r="H282" s="20"/>
    </row>
    <row r="283" spans="1:8" ht="13.15">
      <c r="A283" s="19"/>
      <c r="B283" s="19"/>
      <c r="C283" s="19"/>
      <c r="D283" s="19"/>
      <c r="E283" s="20"/>
      <c r="F283" s="19"/>
      <c r="G283" s="19"/>
      <c r="H283" s="20"/>
    </row>
    <row r="284" spans="1:8" ht="13.15">
      <c r="A284" s="19"/>
      <c r="B284" s="19"/>
      <c r="C284" s="19"/>
      <c r="D284" s="19"/>
      <c r="E284" s="20"/>
      <c r="F284" s="19"/>
      <c r="G284" s="19"/>
      <c r="H284" s="20"/>
    </row>
    <row r="285" spans="1:8" ht="13.15">
      <c r="A285" s="19"/>
      <c r="B285" s="19"/>
      <c r="C285" s="19"/>
      <c r="D285" s="19"/>
      <c r="E285" s="20"/>
      <c r="F285" s="19"/>
      <c r="G285" s="19"/>
      <c r="H285" s="20"/>
    </row>
    <row r="286" spans="1:8" ht="13.15">
      <c r="A286" s="19"/>
      <c r="B286" s="19"/>
      <c r="C286" s="19"/>
      <c r="D286" s="19"/>
      <c r="E286" s="20"/>
      <c r="F286" s="19"/>
      <c r="G286" s="19"/>
      <c r="H286" s="20"/>
    </row>
    <row r="287" spans="1:8" ht="13.15">
      <c r="A287" s="19"/>
      <c r="B287" s="19"/>
      <c r="C287" s="19"/>
      <c r="D287" s="19"/>
      <c r="E287" s="20"/>
      <c r="F287" s="19"/>
      <c r="G287" s="19"/>
      <c r="H287" s="20"/>
    </row>
    <row r="288" spans="1:8" ht="13.15">
      <c r="A288" s="19"/>
      <c r="B288" s="19"/>
      <c r="C288" s="19"/>
      <c r="D288" s="19"/>
      <c r="E288" s="20"/>
      <c r="F288" s="19"/>
      <c r="G288" s="19"/>
      <c r="H288" s="20"/>
    </row>
    <row r="289" spans="1:8" ht="13.15">
      <c r="A289" s="19"/>
      <c r="B289" s="19"/>
      <c r="C289" s="19"/>
      <c r="D289" s="19"/>
      <c r="E289" s="20"/>
      <c r="F289" s="19"/>
      <c r="G289" s="19"/>
      <c r="H289" s="20"/>
    </row>
    <row r="290" spans="1:8" ht="13.15">
      <c r="A290" s="19"/>
      <c r="B290" s="19"/>
      <c r="C290" s="19"/>
      <c r="D290" s="19"/>
      <c r="E290" s="20"/>
      <c r="F290" s="19"/>
      <c r="G290" s="19"/>
      <c r="H290" s="20"/>
    </row>
    <row r="291" spans="1:8" ht="13.15">
      <c r="A291" s="19"/>
      <c r="B291" s="19"/>
      <c r="C291" s="19"/>
      <c r="D291" s="19"/>
      <c r="E291" s="20"/>
      <c r="F291" s="19"/>
      <c r="G291" s="19"/>
      <c r="H291" s="20"/>
    </row>
    <row r="292" spans="1:8" ht="13.15">
      <c r="A292" s="19"/>
      <c r="B292" s="19"/>
      <c r="C292" s="19"/>
      <c r="D292" s="19"/>
      <c r="E292" s="20"/>
      <c r="F292" s="19"/>
      <c r="G292" s="19"/>
      <c r="H292" s="20"/>
    </row>
    <row r="293" spans="1:8" ht="13.15">
      <c r="A293" s="19"/>
      <c r="B293" s="19"/>
      <c r="C293" s="19"/>
      <c r="D293" s="19"/>
      <c r="E293" s="20"/>
      <c r="F293" s="19"/>
      <c r="G293" s="19"/>
      <c r="H293" s="20"/>
    </row>
    <row r="294" spans="1:8" ht="13.15">
      <c r="A294" s="19"/>
      <c r="B294" s="19"/>
      <c r="C294" s="19"/>
      <c r="D294" s="19"/>
      <c r="E294" s="20"/>
      <c r="F294" s="19"/>
      <c r="G294" s="19"/>
      <c r="H294" s="20"/>
    </row>
    <row r="295" spans="1:8" ht="13.15">
      <c r="A295" s="19"/>
      <c r="B295" s="19"/>
      <c r="C295" s="19"/>
      <c r="D295" s="19"/>
      <c r="E295" s="20"/>
      <c r="F295" s="19"/>
      <c r="G295" s="19"/>
      <c r="H295" s="20"/>
    </row>
    <row r="296" spans="1:8" ht="13.15">
      <c r="A296" s="19"/>
      <c r="B296" s="19"/>
      <c r="C296" s="19"/>
      <c r="D296" s="19"/>
      <c r="E296" s="20"/>
      <c r="F296" s="19"/>
      <c r="G296" s="19"/>
      <c r="H296" s="20"/>
    </row>
    <row r="297" spans="1:8" ht="13.15">
      <c r="A297" s="19"/>
      <c r="B297" s="19"/>
      <c r="C297" s="19"/>
      <c r="D297" s="19"/>
      <c r="E297" s="20"/>
      <c r="F297" s="19"/>
      <c r="G297" s="19"/>
      <c r="H297" s="20"/>
    </row>
    <row r="298" spans="1:8" ht="13.15">
      <c r="A298" s="19"/>
      <c r="B298" s="19"/>
      <c r="C298" s="19"/>
      <c r="D298" s="19"/>
      <c r="E298" s="20"/>
      <c r="F298" s="19"/>
      <c r="G298" s="19"/>
      <c r="H298" s="20"/>
    </row>
    <row r="299" spans="1:8" ht="13.15">
      <c r="A299" s="19"/>
      <c r="B299" s="19"/>
      <c r="C299" s="19"/>
      <c r="D299" s="19"/>
      <c r="E299" s="20"/>
      <c r="F299" s="19"/>
      <c r="G299" s="19"/>
      <c r="H299" s="20"/>
    </row>
    <row r="300" spans="1:8" ht="13.15">
      <c r="A300" s="19"/>
      <c r="B300" s="19"/>
      <c r="C300" s="19"/>
      <c r="D300" s="19"/>
      <c r="E300" s="20"/>
      <c r="F300" s="19"/>
      <c r="G300" s="19"/>
      <c r="H300" s="20"/>
    </row>
    <row r="301" spans="1:8" ht="13.15">
      <c r="A301" s="19"/>
      <c r="B301" s="19"/>
      <c r="C301" s="19"/>
      <c r="D301" s="19"/>
      <c r="E301" s="20"/>
      <c r="F301" s="19"/>
      <c r="G301" s="19"/>
      <c r="H301" s="20"/>
    </row>
    <row r="302" spans="1:8" ht="13.15">
      <c r="A302" s="19"/>
      <c r="B302" s="19"/>
      <c r="C302" s="19"/>
      <c r="D302" s="19"/>
      <c r="E302" s="20"/>
      <c r="F302" s="19"/>
      <c r="G302" s="19"/>
      <c r="H302" s="20"/>
    </row>
    <row r="303" spans="1:8" ht="13.15">
      <c r="A303" s="19"/>
      <c r="B303" s="19"/>
      <c r="C303" s="19"/>
      <c r="D303" s="19"/>
      <c r="E303" s="20"/>
      <c r="F303" s="19"/>
      <c r="G303" s="19"/>
      <c r="H303" s="20"/>
    </row>
    <row r="304" spans="1:8" ht="13.15">
      <c r="A304" s="19"/>
      <c r="B304" s="19"/>
      <c r="C304" s="19"/>
      <c r="D304" s="19"/>
      <c r="E304" s="20"/>
      <c r="F304" s="19"/>
      <c r="G304" s="19"/>
      <c r="H304" s="20"/>
    </row>
    <row r="305" spans="1:8" ht="13.15">
      <c r="A305" s="19"/>
      <c r="B305" s="19"/>
      <c r="C305" s="19"/>
      <c r="D305" s="19"/>
      <c r="E305" s="20"/>
      <c r="F305" s="19"/>
      <c r="G305" s="19"/>
      <c r="H305" s="20"/>
    </row>
    <row r="306" spans="1:8" ht="13.15">
      <c r="A306" s="19"/>
      <c r="B306" s="19"/>
      <c r="C306" s="19"/>
      <c r="D306" s="19"/>
      <c r="E306" s="20"/>
      <c r="F306" s="19"/>
      <c r="G306" s="19"/>
      <c r="H306" s="20"/>
    </row>
    <row r="307" spans="1:8" ht="13.15">
      <c r="A307" s="19"/>
      <c r="B307" s="19"/>
      <c r="C307" s="19"/>
      <c r="D307" s="19"/>
      <c r="E307" s="20"/>
      <c r="F307" s="19"/>
      <c r="G307" s="19"/>
      <c r="H307" s="20"/>
    </row>
    <row r="308" spans="1:8" ht="13.15">
      <c r="A308" s="19"/>
      <c r="B308" s="19"/>
      <c r="C308" s="19"/>
      <c r="D308" s="19"/>
      <c r="E308" s="20"/>
      <c r="F308" s="19"/>
      <c r="G308" s="19"/>
      <c r="H308" s="20"/>
    </row>
    <row r="309" spans="1:8" ht="13.15">
      <c r="A309" s="19"/>
      <c r="B309" s="19"/>
      <c r="C309" s="19"/>
      <c r="D309" s="19"/>
      <c r="E309" s="20"/>
      <c r="F309" s="19"/>
      <c r="G309" s="19"/>
      <c r="H309" s="20"/>
    </row>
    <row r="310" spans="1:8" ht="13.15">
      <c r="A310" s="19"/>
      <c r="B310" s="19"/>
      <c r="C310" s="19"/>
      <c r="D310" s="19"/>
      <c r="E310" s="20"/>
      <c r="F310" s="19"/>
      <c r="G310" s="19"/>
      <c r="H310" s="20"/>
    </row>
    <row r="311" spans="1:8" ht="13.15">
      <c r="A311" s="19"/>
      <c r="B311" s="19"/>
      <c r="C311" s="19"/>
      <c r="D311" s="19"/>
      <c r="E311" s="20"/>
      <c r="F311" s="19"/>
      <c r="G311" s="19"/>
      <c r="H311" s="20"/>
    </row>
    <row r="312" spans="1:8" ht="13.15">
      <c r="A312" s="19"/>
      <c r="B312" s="19"/>
      <c r="C312" s="19"/>
      <c r="D312" s="19"/>
      <c r="E312" s="20"/>
      <c r="F312" s="19"/>
      <c r="G312" s="19"/>
      <c r="H312" s="20"/>
    </row>
    <row r="313" spans="1:8" ht="13.15">
      <c r="A313" s="19"/>
      <c r="B313" s="19"/>
      <c r="C313" s="19"/>
      <c r="D313" s="19"/>
      <c r="E313" s="20"/>
      <c r="F313" s="19"/>
      <c r="G313" s="19"/>
      <c r="H313" s="20"/>
    </row>
    <row r="314" spans="1:8" ht="13.15">
      <c r="A314" s="19"/>
      <c r="B314" s="19"/>
      <c r="C314" s="19"/>
      <c r="D314" s="19"/>
      <c r="E314" s="20"/>
      <c r="F314" s="19"/>
      <c r="G314" s="19"/>
      <c r="H314" s="20"/>
    </row>
    <row r="315" spans="1:8" ht="13.15">
      <c r="A315" s="19"/>
      <c r="B315" s="19"/>
      <c r="C315" s="19"/>
      <c r="D315" s="19"/>
      <c r="E315" s="20"/>
      <c r="F315" s="19"/>
      <c r="G315" s="19"/>
      <c r="H315" s="20"/>
    </row>
    <row r="316" spans="1:8" ht="13.15">
      <c r="A316" s="19"/>
      <c r="B316" s="19"/>
      <c r="C316" s="19"/>
      <c r="D316" s="19"/>
      <c r="E316" s="20"/>
      <c r="F316" s="19"/>
      <c r="G316" s="19"/>
      <c r="H316" s="20"/>
    </row>
    <row r="317" spans="1:8" ht="13.15">
      <c r="A317" s="19"/>
      <c r="B317" s="19"/>
      <c r="C317" s="19"/>
      <c r="D317" s="19"/>
      <c r="E317" s="20"/>
      <c r="F317" s="19"/>
      <c r="G317" s="19"/>
      <c r="H317" s="20"/>
    </row>
    <row r="318" spans="1:8" ht="13.15">
      <c r="A318" s="19"/>
      <c r="B318" s="19"/>
      <c r="C318" s="19"/>
      <c r="D318" s="19"/>
      <c r="E318" s="20"/>
      <c r="F318" s="19"/>
      <c r="G318" s="19"/>
      <c r="H318" s="20"/>
    </row>
    <row r="319" spans="1:8" ht="13.15">
      <c r="A319" s="19"/>
      <c r="B319" s="19"/>
      <c r="C319" s="19"/>
      <c r="D319" s="19"/>
      <c r="E319" s="20"/>
      <c r="F319" s="19"/>
      <c r="G319" s="19"/>
      <c r="H319" s="20"/>
    </row>
    <row r="320" spans="1:8" ht="13.15">
      <c r="A320" s="19"/>
      <c r="B320" s="19"/>
      <c r="C320" s="19"/>
      <c r="D320" s="19"/>
      <c r="E320" s="20"/>
      <c r="F320" s="19"/>
      <c r="G320" s="19"/>
      <c r="H320" s="20"/>
    </row>
    <row r="321" spans="1:8" ht="13.15">
      <c r="A321" s="19"/>
      <c r="B321" s="19"/>
      <c r="C321" s="19"/>
      <c r="D321" s="19"/>
      <c r="E321" s="20"/>
      <c r="F321" s="19"/>
      <c r="G321" s="19"/>
      <c r="H321" s="20"/>
    </row>
    <row r="322" spans="1:8" ht="13.15">
      <c r="A322" s="19"/>
      <c r="B322" s="19"/>
      <c r="C322" s="19"/>
      <c r="D322" s="19"/>
      <c r="E322" s="20"/>
      <c r="F322" s="19"/>
      <c r="G322" s="19"/>
      <c r="H322" s="20"/>
    </row>
    <row r="323" spans="1:8" ht="13.15">
      <c r="A323" s="19"/>
      <c r="B323" s="19"/>
      <c r="C323" s="19"/>
      <c r="D323" s="19"/>
      <c r="E323" s="20"/>
      <c r="F323" s="19"/>
      <c r="G323" s="19"/>
      <c r="H323" s="20"/>
    </row>
    <row r="324" spans="1:8" ht="13.15">
      <c r="A324" s="19"/>
      <c r="B324" s="19"/>
      <c r="C324" s="19"/>
      <c r="D324" s="19"/>
      <c r="E324" s="20"/>
      <c r="F324" s="19"/>
      <c r="G324" s="19"/>
      <c r="H324" s="20"/>
    </row>
    <row r="325" spans="1:8" ht="13.15">
      <c r="A325" s="19"/>
      <c r="B325" s="19"/>
      <c r="C325" s="19"/>
      <c r="D325" s="19"/>
      <c r="E325" s="20"/>
      <c r="F325" s="19"/>
      <c r="G325" s="19"/>
      <c r="H325" s="20"/>
    </row>
    <row r="326" spans="1:8" ht="13.15">
      <c r="A326" s="19"/>
      <c r="B326" s="19"/>
      <c r="C326" s="19"/>
      <c r="D326" s="19"/>
      <c r="E326" s="20"/>
      <c r="F326" s="19"/>
      <c r="G326" s="19"/>
      <c r="H326" s="20"/>
    </row>
    <row r="327" spans="1:8" ht="13.15">
      <c r="A327" s="19"/>
      <c r="B327" s="19"/>
      <c r="C327" s="19"/>
      <c r="D327" s="19"/>
      <c r="E327" s="20"/>
      <c r="F327" s="19"/>
      <c r="G327" s="19"/>
      <c r="H327" s="20"/>
    </row>
    <row r="328" spans="1:8" ht="13.15">
      <c r="A328" s="19"/>
      <c r="B328" s="19"/>
      <c r="C328" s="19"/>
      <c r="D328" s="19"/>
      <c r="E328" s="20"/>
      <c r="F328" s="19"/>
      <c r="G328" s="19"/>
      <c r="H328" s="20"/>
    </row>
    <row r="329" spans="1:8" ht="13.15">
      <c r="A329" s="19"/>
      <c r="B329" s="19"/>
      <c r="C329" s="19"/>
      <c r="D329" s="19"/>
      <c r="E329" s="20"/>
      <c r="F329" s="19"/>
      <c r="G329" s="19"/>
      <c r="H329" s="20"/>
    </row>
    <row r="330" spans="1:8" ht="13.15">
      <c r="A330" s="19"/>
      <c r="B330" s="19"/>
      <c r="C330" s="19"/>
      <c r="D330" s="19"/>
      <c r="E330" s="20"/>
      <c r="F330" s="19"/>
      <c r="G330" s="19"/>
      <c r="H330" s="20"/>
    </row>
    <row r="331" spans="1:8" ht="13.15">
      <c r="A331" s="19"/>
      <c r="B331" s="19"/>
      <c r="C331" s="19"/>
      <c r="D331" s="19"/>
      <c r="E331" s="20"/>
      <c r="F331" s="19"/>
      <c r="G331" s="19"/>
      <c r="H331" s="20"/>
    </row>
    <row r="332" spans="1:8" ht="13.15">
      <c r="A332" s="19"/>
      <c r="B332" s="19"/>
      <c r="C332" s="19"/>
      <c r="D332" s="19"/>
      <c r="E332" s="20"/>
      <c r="F332" s="19"/>
      <c r="G332" s="19"/>
      <c r="H332" s="20"/>
    </row>
    <row r="333" spans="1:8" ht="13.15">
      <c r="A333" s="19"/>
      <c r="B333" s="19"/>
      <c r="C333" s="19"/>
      <c r="D333" s="19"/>
      <c r="E333" s="20"/>
      <c r="F333" s="19"/>
      <c r="G333" s="19"/>
      <c r="H333" s="20"/>
    </row>
    <row r="334" spans="1:8" ht="13.15">
      <c r="A334" s="19"/>
      <c r="B334" s="19"/>
      <c r="C334" s="19"/>
      <c r="D334" s="19"/>
      <c r="E334" s="20"/>
      <c r="F334" s="19"/>
      <c r="G334" s="19"/>
      <c r="H334" s="20"/>
    </row>
    <row r="335" spans="1:8" ht="13.15">
      <c r="A335" s="19"/>
      <c r="B335" s="19"/>
      <c r="C335" s="19"/>
      <c r="D335" s="19"/>
      <c r="E335" s="20"/>
      <c r="F335" s="19"/>
      <c r="G335" s="19"/>
      <c r="H335" s="20"/>
    </row>
    <row r="336" spans="1:8" ht="13.15">
      <c r="A336" s="19"/>
      <c r="B336" s="19"/>
      <c r="C336" s="19"/>
      <c r="D336" s="19"/>
      <c r="E336" s="20"/>
      <c r="F336" s="19"/>
      <c r="G336" s="19"/>
      <c r="H336" s="20"/>
    </row>
  </sheetData>
  <autoFilter ref="A2:H2" xr:uid="{D5C25034-9971-4A61-864F-C938F31EB1B8}"/>
  <mergeCells count="3">
    <mergeCell ref="F1:H1"/>
    <mergeCell ref="A1:B1"/>
    <mergeCell ref="C1:E1"/>
  </mergeCells>
  <conditionalFormatting sqref="E2 H2 E4:E94 H4:H94">
    <cfRule type="cellIs" dxfId="46" priority="1" stopIfTrue="1" operator="lessThanOrEqual">
      <formula>-0.1</formula>
    </cfRule>
    <cfRule type="expression" dxfId="45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8" activePane="bottomRight" state="frozen"/>
      <selection pane="bottomRight" activeCell="B8" sqref="B8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0.710937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74" t="str" cm="1">
        <f t="array" ref="A1">portfolio</f>
        <v>Wells Fargo</v>
      </c>
      <c r="B1" s="75"/>
      <c r="C1" s="76" t="s">
        <v>9</v>
      </c>
      <c r="D1" s="77"/>
      <c r="E1" s="78"/>
      <c r="F1" s="79" t="s">
        <v>10</v>
      </c>
      <c r="G1" s="80"/>
      <c r="H1" s="81"/>
    </row>
    <row r="2" spans="1:8" ht="19.5" customHeight="1">
      <c r="A2" s="42" t="s">
        <v>2</v>
      </c>
      <c r="B2" s="4">
        <f ca="1">SUM(B4:B90)</f>
        <v>2022284.6485849586</v>
      </c>
      <c r="C2" s="4">
        <f ca="1">SUM(C4:C90)</f>
        <v>2259425.2582999999</v>
      </c>
      <c r="D2" s="4">
        <f ca="1">B2-C2</f>
        <v>-237140.60971504124</v>
      </c>
      <c r="E2" s="5">
        <f ca="1">IFERROR(D2/C2, 0)</f>
        <v>-0.1049561647785892</v>
      </c>
      <c r="F2" s="4">
        <f ca="1">SUM(F4:F90)</f>
        <v>3056274.5467999997</v>
      </c>
      <c r="G2" s="6">
        <f ca="1">B2-F2</f>
        <v>-1033989.898215041</v>
      </c>
      <c r="H2" s="5">
        <f ca="1">IFERROR(G2/F2, 0)</f>
        <v>-0.3383170858448093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25">
      <c r="A4" s="27" t="str" cm="1">
        <f t="array" ref="A4:A11">_xlfn.UNIQUE(Sites[State])</f>
        <v>CA</v>
      </c>
      <c r="B4" s="44">
        <f ca="1">SUM(SUMIF(_xlfn.ANCHORARRAY(Jan!$B$4), $A4, Jan!C$4:C$65), SUMIF(_xlfn.ANCHORARRAY(Feb!$B$4), $A4, Feb!C$4:C$78), SUMIF(_xlfn.ANCHORARRAY(Mar!$B$4), $A4, Mar!C$4:C$65))</f>
        <v>96460.874169194838</v>
      </c>
      <c r="C4" s="11">
        <f ca="1">SUM(SUMIF(_xlfn.ANCHORARRAY(Jan!$B$4), $A4, Jan!D$4:D$65), SUMIF(_xlfn.ANCHORARRAY(Feb!$B$4), $A4, Feb!D$4:D$78), SUMIF(_xlfn.ANCHORARRAY(Mar!$B$4), $A4, Mar!D$4:D$65))</f>
        <v>98630.98</v>
      </c>
      <c r="D4" s="11">
        <f ca="1">IF(AND(ISNUMBER(B4),ISNUMBER(C4)), B4-C4, "")</f>
        <v>-2170.1058308051579</v>
      </c>
      <c r="E4" s="12">
        <f ca="1">IFERROR(D4/C4, "")</f>
        <v>-2.2002273837339527E-2</v>
      </c>
      <c r="F4" s="13">
        <f ca="1">SUM(SUMIF(_xlfn.ANCHORARRAY(Jan!$B$4), $A4, Jan!G$4:G$65), SUMIF(_xlfn.ANCHORARRAY(Feb!$B$4), $A4, Feb!G$4:G$78), SUMIF(_xlfn.ANCHORARRAY(Mar!$B$4), $A4, Mar!G$4:G$65))</f>
        <v>92937.790000000008</v>
      </c>
      <c r="G4" s="13">
        <f ca="1">IF(AND(ISNUMBER(B4),ISNUMBER(F4)), B4-F4, "")</f>
        <v>3523.0841691948299</v>
      </c>
      <c r="H4" s="14">
        <f ca="1">IFERROR(G4/F4, "")</f>
        <v>3.7907983062593048E-2</v>
      </c>
    </row>
    <row r="5" spans="1:8" ht="14.25">
      <c r="A5" s="9" t="str">
        <v>CO</v>
      </c>
      <c r="B5" s="10">
        <f ca="1">SUM(SUMIF(_xlfn.ANCHORARRAY(Jan!$B$4), $A5, Jan!C$4:C$65), SUMIF(_xlfn.ANCHORARRAY(Feb!$B$4), $A5, Feb!C$4:C$78), SUMIF(_xlfn.ANCHORARRAY(Mar!$B$4), $A5, Mar!C$4:C$65))</f>
        <v>49254.600362056226</v>
      </c>
      <c r="C5" s="16">
        <f ca="1">SUM(SUMIF(_xlfn.ANCHORARRAY(Jan!$B$4), $A5, Jan!D$4:D$65), SUMIF(_xlfn.ANCHORARRAY(Feb!$B$4), $A5, Feb!D$4:D$78), SUMIF(_xlfn.ANCHORARRAY(Mar!$B$4), $A5, Mar!D$4:D$65))</f>
        <v>0</v>
      </c>
      <c r="D5" s="16">
        <f t="shared" ref="D5:D6" ca="1" si="0">IF(AND(ISNUMBER(B5),ISNUMBER(C5)), B5-C5, "")</f>
        <v>49254.600362056226</v>
      </c>
      <c r="E5" s="17" t="str">
        <f ca="1">IFERROR(D5/C5, "")</f>
        <v/>
      </c>
      <c r="F5" s="16">
        <f ca="1">SUM(SUMIF(_xlfn.ANCHORARRAY(Jan!$B$4), $A5, Jan!G$4:G$65), SUMIF(_xlfn.ANCHORARRAY(Feb!$B$4), $A5, Feb!G$4:G$78), SUMIF(_xlfn.ANCHORARRAY(Mar!$B$4), $A5, Mar!G$4:G$65))</f>
        <v>58983.134999999995</v>
      </c>
      <c r="G5" s="16">
        <f ca="1">IF(AND(ISNUMBER(B5),ISNUMBER(F5)), B5-F5, "")</f>
        <v>-9728.5346379437688</v>
      </c>
      <c r="H5" s="17">
        <f ca="1">IFERROR(G5/F5, "")</f>
        <v>-0.16493756457576847</v>
      </c>
    </row>
    <row r="6" spans="1:8" ht="14.25">
      <c r="A6" s="8" t="str">
        <v>CT</v>
      </c>
      <c r="B6" s="22">
        <f ca="1">SUM(SUMIF(_xlfn.ANCHORARRAY(Jan!$B$4), $A6, Jan!C$4:C$65), SUMIF(_xlfn.ANCHORARRAY(Feb!$B$4), $A6, Feb!C$4:C$78), SUMIF(_xlfn.ANCHORARRAY(Mar!$B$4), $A6, Mar!C$4:C$65))</f>
        <v>1437.15027175254</v>
      </c>
      <c r="C6" s="11">
        <f ca="1">SUM(SUMIF(_xlfn.ANCHORARRAY(Jan!$B$4), $A6, Jan!D$4:D$65), SUMIF(_xlfn.ANCHORARRAY(Feb!$B$4), $A6, Feb!D$4:D$78), SUMIF(_xlfn.ANCHORARRAY(Mar!$B$4), $A6, Mar!D$4:D$65))</f>
        <v>3198.4032999999999</v>
      </c>
      <c r="D6" s="11">
        <f t="shared" ca="1" si="0"/>
        <v>-1761.25302824746</v>
      </c>
      <c r="E6" s="12">
        <f t="shared" ref="E6:E11" ca="1" si="1">IFERROR(D6/C6, "")</f>
        <v>-0.55066633662098208</v>
      </c>
      <c r="F6" s="13">
        <f ca="1">SUM(SUMIF(_xlfn.ANCHORARRAY(Jan!$B$4), $A6, Jan!G$4:G$65), SUMIF(_xlfn.ANCHORARRAY(Feb!$B$4), $A6, Feb!G$4:G$78), SUMIF(_xlfn.ANCHORARRAY(Mar!$B$4), $A6, Mar!G$4:G$65))</f>
        <v>2904.6053000000002</v>
      </c>
      <c r="G6" s="13">
        <f t="shared" ref="G6:G11" ca="1" si="2">IF(AND(ISNUMBER(B6),ISNUMBER(F6)), B6-F6, "")</f>
        <v>-1467.4550282474602</v>
      </c>
      <c r="H6" s="14">
        <f t="shared" ref="H6:H11" ca="1" si="3">IFERROR(G6/F6, "")</f>
        <v>-0.50521667375855162</v>
      </c>
    </row>
    <row r="7" spans="1:8" ht="14.25">
      <c r="A7" s="9" t="str">
        <v>FL</v>
      </c>
      <c r="B7" s="10">
        <f ca="1">SUM(SUMIF(_xlfn.ANCHORARRAY(Jan!$B$4), $A7, Jan!C$4:C$65), SUMIF(_xlfn.ANCHORARRAY(Feb!$B$4), $A7, Feb!C$4:C$78), SUMIF(_xlfn.ANCHORARRAY(Mar!$B$4), $A7, Mar!C$4:C$65))</f>
        <v>3427.8034604549398</v>
      </c>
      <c r="C7" s="16">
        <f ca="1">SUM(SUMIF(_xlfn.ANCHORARRAY(Jan!$B$4), $A7, Jan!D$4:D$65), SUMIF(_xlfn.ANCHORARRAY(Feb!$B$4), $A7, Feb!D$4:D$78), SUMIF(_xlfn.ANCHORARRAY(Mar!$B$4), $A7, Mar!D$4:D$65))</f>
        <v>9472.91</v>
      </c>
      <c r="D7" s="16">
        <f t="shared" ref="D7:D11" ca="1" si="4">IF(AND(ISNUMBER(B7),ISNUMBER(C7)), B7-C7, "")</f>
        <v>-6045.1065395450605</v>
      </c>
      <c r="E7" s="17">
        <f t="shared" ca="1" si="1"/>
        <v>-0.63814672994307564</v>
      </c>
      <c r="F7" s="16">
        <f ca="1">SUM(SUMIF(_xlfn.ANCHORARRAY(Jan!$B$4), $A7, Jan!G$4:G$65), SUMIF(_xlfn.ANCHORARRAY(Feb!$B$4), $A7, Feb!G$4:G$78), SUMIF(_xlfn.ANCHORARRAY(Mar!$B$4), $A7, Mar!G$4:G$65))</f>
        <v>12229.661</v>
      </c>
      <c r="G7" s="16">
        <f t="shared" ca="1" si="2"/>
        <v>-8801.8575395450607</v>
      </c>
      <c r="H7" s="17">
        <f t="shared" ca="1" si="3"/>
        <v>-0.71971394297397617</v>
      </c>
    </row>
    <row r="8" spans="1:8" ht="12.75" customHeight="1">
      <c r="A8" s="8" t="str">
        <v>IA</v>
      </c>
      <c r="B8" s="22">
        <f ca="1">SUM(SUMIF(_xlfn.ANCHORARRAY(Jan!$B$4), $A8, Jan!C$4:C$65), SUMIF(_xlfn.ANCHORARRAY(Feb!$B$4), $A8, Feb!C$4:C$78), SUMIF(_xlfn.ANCHORARRAY(Mar!$B$4), $A8, Mar!C$4:C$65))</f>
        <v>600256.9375</v>
      </c>
      <c r="C8" s="11">
        <f ca="1">SUM(SUMIF(_xlfn.ANCHORARRAY(Jan!$B$4), $A8, Jan!D$4:D$65), SUMIF(_xlfn.ANCHORARRAY(Feb!$B$4), $A8, Feb!D$4:D$78), SUMIF(_xlfn.ANCHORARRAY(Mar!$B$4), $A8, Mar!D$4:D$65))</f>
        <v>573354.79399999999</v>
      </c>
      <c r="D8" s="11">
        <f t="shared" ca="1" si="4"/>
        <v>26902.143500000006</v>
      </c>
      <c r="E8" s="12">
        <f t="shared" ca="1" si="1"/>
        <v>4.6920587010911091E-2</v>
      </c>
      <c r="F8" s="13">
        <f ca="1">SUM(SUMIF(_xlfn.ANCHORARRAY(Jan!$B$4), $A8, Jan!G$4:G$65), SUMIF(_xlfn.ANCHORARRAY(Feb!$B$4), $A8, Feb!G$4:G$78), SUMIF(_xlfn.ANCHORARRAY(Mar!$B$4), $A8, Mar!G$4:G$65))</f>
        <v>641026.38699999999</v>
      </c>
      <c r="G8" s="13">
        <f t="shared" ca="1" si="2"/>
        <v>-40769.449499999988</v>
      </c>
      <c r="H8" s="14">
        <f t="shared" ca="1" si="3"/>
        <v>-6.3600267207097022E-2</v>
      </c>
    </row>
    <row r="9" spans="1:8" ht="14.25">
      <c r="A9" s="9" t="str">
        <v>NC</v>
      </c>
      <c r="B9" s="10">
        <f ca="1">SUM(SUMIF(_xlfn.ANCHORARRAY(Jan!$B$4), $A9, Jan!C$4:C$65), SUMIF(_xlfn.ANCHORARRAY(Feb!$B$4), $A9, Feb!C$4:C$78), SUMIF(_xlfn.ANCHORARRAY(Mar!$B$4), $A9, Mar!C$4:C$65))</f>
        <v>102107</v>
      </c>
      <c r="C9" s="16">
        <f ca="1">SUM(SUMIF(_xlfn.ANCHORARRAY(Jan!$B$4), $A9, Jan!D$4:D$65), SUMIF(_xlfn.ANCHORARRAY(Feb!$B$4), $A9, Feb!D$4:D$78), SUMIF(_xlfn.ANCHORARRAY(Mar!$B$4), $A9, Mar!D$4:D$65))</f>
        <v>266710</v>
      </c>
      <c r="D9" s="16">
        <f t="shared" ca="1" si="4"/>
        <v>-164603</v>
      </c>
      <c r="E9" s="17">
        <f t="shared" ca="1" si="1"/>
        <v>-0.61716096134378162</v>
      </c>
      <c r="F9" s="16">
        <f ca="1">SUM(SUMIF(_xlfn.ANCHORARRAY(Jan!$B$4), $A9, Jan!G$4:G$65), SUMIF(_xlfn.ANCHORARRAY(Feb!$B$4), $A9, Feb!G$4:G$78), SUMIF(_xlfn.ANCHORARRAY(Mar!$B$4), $A9, Mar!G$4:G$65))</f>
        <v>336745</v>
      </c>
      <c r="G9" s="16">
        <f t="shared" ca="1" si="2"/>
        <v>-234638</v>
      </c>
      <c r="H9" s="17">
        <f t="shared" ca="1" si="3"/>
        <v>-0.69678243181042032</v>
      </c>
    </row>
    <row r="10" spans="1:8" ht="14.25">
      <c r="A10" s="8" t="str">
        <v>NJ</v>
      </c>
      <c r="B10" s="22">
        <f ca="1">SUM(SUMIF(_xlfn.ANCHORARRAY(Jan!$B$4), $A10, Jan!C$4:C$65), SUMIF(_xlfn.ANCHORARRAY(Feb!$B$4), $A10, Feb!C$4:C$78), SUMIF(_xlfn.ANCHORARRAY(Mar!$B$4), $A10, Mar!C$4:C$65))</f>
        <v>152779.90282149997</v>
      </c>
      <c r="C10" s="11">
        <f ca="1">SUM(SUMIF(_xlfn.ANCHORARRAY(Jan!$B$4), $A10, Jan!D$4:D$65), SUMIF(_xlfn.ANCHORARRAY(Feb!$B$4), $A10, Feb!D$4:D$78), SUMIF(_xlfn.ANCHORARRAY(Mar!$B$4), $A10, Mar!D$4:D$65))</f>
        <v>157231.97099999999</v>
      </c>
      <c r="D10" s="11">
        <f t="shared" ca="1" si="4"/>
        <v>-4452.0681785000197</v>
      </c>
      <c r="E10" s="12">
        <f t="shared" ca="1" si="1"/>
        <v>-2.8315285690211311E-2</v>
      </c>
      <c r="F10" s="13">
        <f ca="1">SUM(SUMIF(_xlfn.ANCHORARRAY(Jan!$B$4), $A10, Jan!G$4:G$65), SUMIF(_xlfn.ANCHORARRAY(Feb!$B$4), $A10, Feb!G$4:G$78), SUMIF(_xlfn.ANCHORARRAY(Mar!$B$4), $A10, Mar!G$4:G$65))</f>
        <v>166141.62250000003</v>
      </c>
      <c r="G10" s="13">
        <f t="shared" ca="1" si="2"/>
        <v>-13361.719678500056</v>
      </c>
      <c r="H10" s="14">
        <f t="shared" ca="1" si="3"/>
        <v>-8.0423673956236064E-2</v>
      </c>
    </row>
    <row r="11" spans="1:8" ht="14.25">
      <c r="A11" s="9" t="str">
        <v>TX</v>
      </c>
      <c r="B11" s="10">
        <f ca="1">SUM(SUMIF(_xlfn.ANCHORARRAY(Jan!$B$4), $A11, Jan!C$4:C$65), SUMIF(_xlfn.ANCHORARRAY(Feb!$B$4), $A11, Feb!C$4:C$78), SUMIF(_xlfn.ANCHORARRAY(Mar!$B$4), $A11, Mar!C$4:C$65))</f>
        <v>1016560.38</v>
      </c>
      <c r="C11" s="16">
        <f ca="1">SUM(SUMIF(_xlfn.ANCHORARRAY(Jan!$B$4), $A11, Jan!D$4:D$65), SUMIF(_xlfn.ANCHORARRAY(Feb!$B$4), $A11, Feb!D$4:D$78), SUMIF(_xlfn.ANCHORARRAY(Mar!$B$4), $A11, Mar!D$4:D$65))</f>
        <v>1150826.2</v>
      </c>
      <c r="D11" s="16">
        <f t="shared" ca="1" si="4"/>
        <v>-134265.81999999995</v>
      </c>
      <c r="E11" s="17">
        <f t="shared" ca="1" si="1"/>
        <v>-0.11666906784013081</v>
      </c>
      <c r="F11" s="16">
        <f ca="1">SUM(SUMIF(_xlfn.ANCHORARRAY(Jan!$B$4), $A11, Jan!G$4:G$65), SUMIF(_xlfn.ANCHORARRAY(Feb!$B$4), $A11, Feb!G$4:G$78), SUMIF(_xlfn.ANCHORARRAY(Mar!$B$4), $A11, Mar!G$4:G$65))</f>
        <v>1745306.3459999999</v>
      </c>
      <c r="G11" s="16">
        <f t="shared" ca="1" si="2"/>
        <v>-728745.9659999999</v>
      </c>
      <c r="H11" s="17">
        <f t="shared" ca="1" si="3"/>
        <v>-0.41754616183582016</v>
      </c>
    </row>
    <row r="12" spans="1:8" ht="13.15">
      <c r="A12" s="19"/>
      <c r="B12" s="19"/>
      <c r="C12" s="19"/>
      <c r="D12" s="19"/>
      <c r="E12" s="19"/>
      <c r="F12" s="19"/>
      <c r="G12" s="19"/>
      <c r="H12" s="19"/>
    </row>
    <row r="13" spans="1:8" ht="13.15">
      <c r="A13" s="19"/>
      <c r="B13" s="19"/>
      <c r="C13" s="19"/>
      <c r="D13" s="19"/>
      <c r="E13" s="19"/>
      <c r="F13" s="19"/>
      <c r="G13" s="19"/>
      <c r="H13" s="19"/>
    </row>
    <row r="14" spans="1:8" ht="13.15">
      <c r="A14" s="19"/>
      <c r="B14" s="19"/>
      <c r="C14" s="19"/>
      <c r="D14" s="19"/>
      <c r="E14" s="19"/>
      <c r="F14" s="19"/>
      <c r="G14" s="19"/>
      <c r="H14" s="19"/>
    </row>
    <row r="15" spans="1:8" ht="13.15">
      <c r="A15" s="19"/>
      <c r="B15" s="19"/>
      <c r="C15" s="19"/>
      <c r="D15" s="19"/>
      <c r="E15" s="19"/>
      <c r="F15" s="19"/>
      <c r="G15" s="19"/>
      <c r="H15" s="19"/>
    </row>
    <row r="16" spans="1:8" ht="13.15">
      <c r="A16" s="19"/>
      <c r="B16" s="19"/>
      <c r="C16" s="19"/>
      <c r="D16" s="19"/>
      <c r="E16" s="19"/>
      <c r="F16" s="19"/>
      <c r="G16" s="19"/>
      <c r="H16" s="19"/>
    </row>
    <row r="17" spans="1:8" ht="13.15">
      <c r="A17" s="19"/>
      <c r="B17" s="19"/>
      <c r="C17" s="19"/>
      <c r="D17" s="19"/>
      <c r="E17" s="19"/>
      <c r="F17" s="19"/>
      <c r="G17" s="19"/>
      <c r="H17" s="19"/>
    </row>
    <row r="18" spans="1:8" ht="13.15">
      <c r="A18" s="19"/>
      <c r="B18" s="19"/>
      <c r="C18" s="19"/>
      <c r="D18" s="19"/>
      <c r="E18" s="19"/>
      <c r="F18" s="19"/>
      <c r="G18" s="19"/>
      <c r="H18" s="19"/>
    </row>
    <row r="19" spans="1:8" ht="13.15">
      <c r="A19" s="19"/>
      <c r="B19" s="19"/>
      <c r="C19" s="19"/>
      <c r="D19" s="19"/>
      <c r="E19" s="19"/>
      <c r="F19" s="19"/>
      <c r="G19" s="19"/>
      <c r="H19" s="19"/>
    </row>
    <row r="20" spans="1:8" ht="13.15">
      <c r="A20" s="19"/>
      <c r="B20" s="19"/>
      <c r="C20" s="19"/>
      <c r="D20" s="19"/>
      <c r="E20" s="19"/>
      <c r="F20" s="19"/>
      <c r="G20" s="19"/>
      <c r="H20" s="19"/>
    </row>
    <row r="21" spans="1:8" ht="13.15">
      <c r="A21" s="19"/>
      <c r="B21" s="19"/>
      <c r="C21" s="19"/>
      <c r="D21" s="19"/>
      <c r="E21" s="19"/>
      <c r="F21" s="19"/>
      <c r="G21" s="19"/>
      <c r="H21" s="19"/>
    </row>
    <row r="22" spans="1:8" ht="13.15">
      <c r="A22" s="19"/>
      <c r="B22" s="19"/>
      <c r="C22" s="19"/>
      <c r="D22" s="19"/>
      <c r="E22" s="19"/>
      <c r="F22" s="19"/>
      <c r="G22" s="19"/>
      <c r="H22" s="19"/>
    </row>
    <row r="23" spans="1:8" ht="13.15">
      <c r="A23" s="19"/>
      <c r="B23" s="19"/>
      <c r="C23" s="19"/>
      <c r="D23" s="19"/>
      <c r="E23" s="20"/>
      <c r="F23" s="19"/>
      <c r="G23" s="19"/>
      <c r="H23" s="20"/>
    </row>
    <row r="24" spans="1:8" ht="13.15">
      <c r="A24" s="19"/>
      <c r="B24" s="19"/>
      <c r="C24" s="19"/>
      <c r="D24" s="19"/>
      <c r="E24" s="20"/>
      <c r="F24" s="19"/>
      <c r="G24" s="19"/>
      <c r="H24" s="20"/>
    </row>
    <row r="25" spans="1:8" ht="13.15">
      <c r="A25" s="19"/>
      <c r="B25" s="19"/>
      <c r="C25" s="19"/>
      <c r="D25" s="19"/>
      <c r="E25" s="20"/>
      <c r="F25" s="19"/>
      <c r="G25" s="19"/>
      <c r="H25" s="20"/>
    </row>
    <row r="26" spans="1:8" ht="13.15">
      <c r="A26" s="19"/>
      <c r="B26" s="19"/>
      <c r="C26" s="19"/>
      <c r="D26" s="19"/>
      <c r="E26" s="20"/>
      <c r="F26" s="19"/>
      <c r="G26" s="19"/>
      <c r="H26" s="20"/>
    </row>
    <row r="27" spans="1:8" ht="13.15">
      <c r="A27" s="19"/>
      <c r="B27" s="19"/>
      <c r="C27" s="19"/>
      <c r="D27" s="19"/>
      <c r="E27" s="20"/>
      <c r="F27" s="19"/>
      <c r="G27" s="19"/>
      <c r="H27" s="20"/>
    </row>
    <row r="28" spans="1:8" ht="13.15">
      <c r="A28" s="19"/>
      <c r="B28" s="19"/>
      <c r="C28" s="19"/>
      <c r="D28" s="19"/>
      <c r="E28" s="20"/>
      <c r="F28" s="19"/>
      <c r="G28" s="19"/>
      <c r="H28" s="20"/>
    </row>
    <row r="29" spans="1:8" ht="13.15">
      <c r="A29" s="19"/>
      <c r="B29" s="19"/>
      <c r="C29" s="19"/>
      <c r="D29" s="19"/>
      <c r="E29" s="20"/>
      <c r="F29" s="19"/>
      <c r="G29" s="19"/>
      <c r="H29" s="20"/>
    </row>
    <row r="30" spans="1:8" ht="13.15">
      <c r="A30" s="19"/>
      <c r="B30" s="19"/>
      <c r="C30" s="19"/>
      <c r="D30" s="19"/>
      <c r="E30" s="20"/>
      <c r="F30" s="19"/>
      <c r="G30" s="19"/>
      <c r="H30" s="20"/>
    </row>
    <row r="31" spans="1:8" ht="13.15">
      <c r="A31" s="19"/>
      <c r="B31" s="19"/>
      <c r="C31" s="19"/>
      <c r="D31" s="19"/>
      <c r="E31" s="20"/>
      <c r="F31" s="19"/>
      <c r="G31" s="19"/>
      <c r="H31" s="20"/>
    </row>
    <row r="32" spans="1:8" ht="13.15">
      <c r="A32" s="19"/>
      <c r="B32" s="19"/>
      <c r="C32" s="19"/>
      <c r="D32" s="19"/>
      <c r="E32" s="20"/>
      <c r="F32" s="19"/>
      <c r="G32" s="19"/>
      <c r="H32" s="20"/>
    </row>
    <row r="33" spans="1:8" ht="13.15">
      <c r="A33" s="19"/>
      <c r="B33" s="19"/>
      <c r="C33" s="19"/>
      <c r="D33" s="19"/>
      <c r="E33" s="20"/>
      <c r="F33" s="19"/>
      <c r="G33" s="19"/>
      <c r="H33" s="20"/>
    </row>
    <row r="34" spans="1:8" ht="13.15">
      <c r="A34" s="19"/>
      <c r="B34" s="19"/>
      <c r="C34" s="19"/>
      <c r="D34" s="19"/>
      <c r="E34" s="20"/>
      <c r="F34" s="19"/>
      <c r="G34" s="19"/>
      <c r="H34" s="20"/>
    </row>
    <row r="35" spans="1:8" ht="13.15">
      <c r="A35" s="19"/>
      <c r="B35" s="19"/>
      <c r="C35" s="19"/>
      <c r="D35" s="19"/>
      <c r="E35" s="20"/>
      <c r="F35" s="19"/>
      <c r="G35" s="19"/>
      <c r="H35" s="20"/>
    </row>
    <row r="36" spans="1:8" ht="13.15">
      <c r="A36" s="19"/>
      <c r="B36" s="19"/>
      <c r="C36" s="19"/>
      <c r="D36" s="19"/>
      <c r="E36" s="20"/>
      <c r="F36" s="19"/>
      <c r="G36" s="19"/>
      <c r="H36" s="20"/>
    </row>
    <row r="37" spans="1:8" ht="13.15">
      <c r="A37" s="19"/>
      <c r="B37" s="19"/>
      <c r="C37" s="19"/>
      <c r="D37" s="19"/>
      <c r="E37" s="20"/>
      <c r="F37" s="19"/>
      <c r="G37" s="19"/>
      <c r="H37" s="20"/>
    </row>
    <row r="38" spans="1:8" ht="13.15">
      <c r="A38" s="19"/>
      <c r="B38" s="19"/>
      <c r="C38" s="19"/>
      <c r="D38" s="19"/>
      <c r="E38" s="20"/>
      <c r="F38" s="19"/>
      <c r="G38" s="19"/>
      <c r="H38" s="20"/>
    </row>
    <row r="39" spans="1:8" ht="13.15">
      <c r="A39" s="19"/>
      <c r="B39" s="19"/>
      <c r="C39" s="19"/>
      <c r="D39" s="19"/>
      <c r="E39" s="20"/>
      <c r="F39" s="19"/>
      <c r="G39" s="19"/>
      <c r="H39" s="20"/>
    </row>
    <row r="40" spans="1:8" ht="13.15">
      <c r="A40" s="19"/>
      <c r="B40" s="19"/>
      <c r="C40" s="19"/>
      <c r="D40" s="19"/>
      <c r="E40" s="20"/>
      <c r="F40" s="19"/>
      <c r="G40" s="19"/>
      <c r="H40" s="20"/>
    </row>
    <row r="41" spans="1:8" ht="13.15">
      <c r="A41" s="19"/>
      <c r="B41" s="19"/>
      <c r="C41" s="19"/>
      <c r="D41" s="19"/>
      <c r="E41" s="20"/>
      <c r="F41" s="19"/>
      <c r="G41" s="19"/>
      <c r="H41" s="20"/>
    </row>
    <row r="42" spans="1:8" ht="13.15">
      <c r="A42" s="19"/>
      <c r="B42" s="19"/>
      <c r="C42" s="19"/>
      <c r="D42" s="19"/>
      <c r="E42" s="20"/>
      <c r="F42" s="19"/>
      <c r="G42" s="19"/>
      <c r="H42" s="20"/>
    </row>
    <row r="43" spans="1:8" ht="13.15">
      <c r="A43" s="19"/>
      <c r="B43" s="19"/>
      <c r="C43" s="19"/>
      <c r="D43" s="19"/>
      <c r="E43" s="20"/>
      <c r="F43" s="19"/>
      <c r="G43" s="19"/>
      <c r="H43" s="20"/>
    </row>
    <row r="44" spans="1:8" ht="13.15">
      <c r="A44" s="19"/>
      <c r="B44" s="19"/>
      <c r="C44" s="19"/>
      <c r="D44" s="19"/>
      <c r="E44" s="20"/>
      <c r="F44" s="19"/>
      <c r="G44" s="19"/>
      <c r="H44" s="20"/>
    </row>
    <row r="45" spans="1:8" ht="13.15">
      <c r="A45" s="19"/>
      <c r="B45" s="19"/>
      <c r="C45" s="19"/>
      <c r="D45" s="19"/>
      <c r="E45" s="20"/>
      <c r="F45" s="19"/>
      <c r="G45" s="19"/>
      <c r="H45" s="20"/>
    </row>
    <row r="46" spans="1:8" ht="13.15">
      <c r="A46" s="19"/>
      <c r="B46" s="19"/>
      <c r="C46" s="19"/>
      <c r="D46" s="19"/>
      <c r="E46" s="20"/>
      <c r="F46" s="19"/>
      <c r="G46" s="19"/>
      <c r="H46" s="20"/>
    </row>
    <row r="47" spans="1:8" ht="13.15">
      <c r="A47" s="19"/>
      <c r="B47" s="19"/>
      <c r="C47" s="19"/>
      <c r="D47" s="19"/>
      <c r="E47" s="20"/>
      <c r="F47" s="19"/>
      <c r="G47" s="19"/>
      <c r="H47" s="20"/>
    </row>
    <row r="48" spans="1:8" ht="13.15">
      <c r="A48" s="19"/>
      <c r="B48" s="19"/>
      <c r="C48" s="19"/>
      <c r="D48" s="19"/>
      <c r="E48" s="20"/>
      <c r="F48" s="19"/>
      <c r="G48" s="19"/>
      <c r="H48" s="20"/>
    </row>
    <row r="49" spans="1:8" ht="13.15">
      <c r="A49" s="19"/>
      <c r="B49" s="19"/>
      <c r="C49" s="19"/>
      <c r="D49" s="19"/>
      <c r="E49" s="20"/>
      <c r="F49" s="19"/>
      <c r="G49" s="19"/>
      <c r="H49" s="20"/>
    </row>
    <row r="50" spans="1:8" ht="13.15">
      <c r="A50" s="19"/>
      <c r="B50" s="19"/>
      <c r="C50" s="19"/>
      <c r="D50" s="19"/>
      <c r="E50" s="20"/>
      <c r="F50" s="19"/>
      <c r="G50" s="19"/>
      <c r="H50" s="20"/>
    </row>
    <row r="51" spans="1:8" ht="13.15">
      <c r="A51" s="19"/>
      <c r="B51" s="19"/>
      <c r="C51" s="19"/>
      <c r="D51" s="19"/>
      <c r="E51" s="20"/>
      <c r="F51" s="19"/>
      <c r="G51" s="19"/>
      <c r="H51" s="20"/>
    </row>
    <row r="52" spans="1:8" ht="13.15">
      <c r="A52" s="19"/>
      <c r="B52" s="19"/>
      <c r="C52" s="19"/>
      <c r="D52" s="19"/>
      <c r="E52" s="20"/>
      <c r="F52" s="19"/>
      <c r="G52" s="19"/>
      <c r="H52" s="20"/>
    </row>
    <row r="53" spans="1:8" ht="13.15">
      <c r="A53" s="19"/>
      <c r="B53" s="19"/>
      <c r="C53" s="19"/>
      <c r="D53" s="19"/>
      <c r="E53" s="20"/>
      <c r="F53" s="19"/>
      <c r="G53" s="19"/>
      <c r="H53" s="20"/>
    </row>
    <row r="54" spans="1:8" ht="13.15">
      <c r="A54" s="19"/>
      <c r="B54" s="19"/>
      <c r="C54" s="19"/>
      <c r="D54" s="19"/>
      <c r="E54" s="20"/>
      <c r="F54" s="19"/>
      <c r="G54" s="19"/>
      <c r="H54" s="20"/>
    </row>
    <row r="55" spans="1:8" ht="13.15">
      <c r="A55" s="19"/>
      <c r="B55" s="19"/>
      <c r="C55" s="19"/>
      <c r="D55" s="19"/>
      <c r="E55" s="20"/>
      <c r="F55" s="19"/>
      <c r="G55" s="19"/>
      <c r="H55" s="20"/>
    </row>
    <row r="56" spans="1:8" ht="13.15">
      <c r="A56" s="19"/>
      <c r="B56" s="19"/>
      <c r="C56" s="19"/>
      <c r="D56" s="19"/>
      <c r="E56" s="20"/>
      <c r="F56" s="19"/>
      <c r="G56" s="19"/>
      <c r="H56" s="20"/>
    </row>
    <row r="57" spans="1:8" ht="13.15">
      <c r="A57" s="19"/>
      <c r="B57" s="19"/>
      <c r="C57" s="19"/>
      <c r="D57" s="19"/>
      <c r="E57" s="20"/>
      <c r="F57" s="19"/>
      <c r="G57" s="19"/>
      <c r="H57" s="20"/>
    </row>
    <row r="58" spans="1:8" ht="13.15">
      <c r="A58" s="19"/>
      <c r="B58" s="19"/>
      <c r="C58" s="19"/>
      <c r="D58" s="19"/>
      <c r="E58" s="20"/>
      <c r="F58" s="19"/>
      <c r="G58" s="19"/>
      <c r="H58" s="20"/>
    </row>
    <row r="59" spans="1:8" ht="13.15">
      <c r="A59" s="19"/>
      <c r="B59" s="19"/>
      <c r="C59" s="19"/>
      <c r="D59" s="19"/>
      <c r="E59" s="20"/>
      <c r="F59" s="19"/>
      <c r="G59" s="19"/>
      <c r="H59" s="20"/>
    </row>
    <row r="60" spans="1:8" ht="13.15">
      <c r="A60" s="19"/>
      <c r="B60" s="19"/>
      <c r="C60" s="19"/>
      <c r="D60" s="19"/>
      <c r="E60" s="20"/>
      <c r="F60" s="19"/>
      <c r="G60" s="19"/>
      <c r="H60" s="20"/>
    </row>
    <row r="61" spans="1:8" ht="13.15">
      <c r="A61" s="19"/>
      <c r="B61" s="19"/>
      <c r="C61" s="19"/>
      <c r="D61" s="19"/>
      <c r="E61" s="20"/>
      <c r="F61" s="19"/>
      <c r="G61" s="19"/>
      <c r="H61" s="20"/>
    </row>
    <row r="62" spans="1:8" ht="13.15">
      <c r="A62" s="19"/>
      <c r="B62" s="19"/>
      <c r="C62" s="19"/>
      <c r="D62" s="19"/>
      <c r="E62" s="20"/>
      <c r="F62" s="19"/>
      <c r="G62" s="19"/>
      <c r="H62" s="20"/>
    </row>
    <row r="63" spans="1:8" ht="13.15">
      <c r="A63" s="19"/>
      <c r="B63" s="19"/>
      <c r="C63" s="19"/>
      <c r="D63" s="19"/>
      <c r="E63" s="20"/>
      <c r="F63" s="19"/>
      <c r="G63" s="19"/>
      <c r="H63" s="20"/>
    </row>
    <row r="64" spans="1:8" ht="13.15">
      <c r="A64" s="19"/>
      <c r="B64" s="19"/>
      <c r="C64" s="19"/>
      <c r="D64" s="19"/>
      <c r="E64" s="20"/>
      <c r="F64" s="19"/>
      <c r="G64" s="19"/>
      <c r="H64" s="20"/>
    </row>
    <row r="65" spans="1:8" ht="13.15">
      <c r="A65" s="19"/>
      <c r="B65" s="19"/>
      <c r="C65" s="19"/>
      <c r="D65" s="19"/>
      <c r="E65" s="20"/>
      <c r="F65" s="19"/>
      <c r="G65" s="19"/>
      <c r="H65" s="20"/>
    </row>
    <row r="66" spans="1:8" ht="13.15">
      <c r="A66" s="19"/>
      <c r="B66" s="19"/>
      <c r="C66" s="19"/>
      <c r="D66" s="19"/>
      <c r="E66" s="20"/>
      <c r="F66" s="19"/>
      <c r="G66" s="19"/>
      <c r="H66" s="20"/>
    </row>
    <row r="67" spans="1:8" ht="13.15">
      <c r="A67" s="19"/>
      <c r="B67" s="19"/>
      <c r="C67" s="19"/>
      <c r="D67" s="19"/>
      <c r="E67" s="20"/>
      <c r="F67" s="19"/>
      <c r="G67" s="19"/>
      <c r="H67" s="20"/>
    </row>
    <row r="68" spans="1:8" ht="13.15">
      <c r="A68" s="19"/>
      <c r="B68" s="19"/>
      <c r="C68" s="19"/>
      <c r="D68" s="19"/>
      <c r="E68" s="20"/>
      <c r="F68" s="19"/>
      <c r="G68" s="19"/>
      <c r="H68" s="20"/>
    </row>
    <row r="69" spans="1:8" ht="13.15">
      <c r="A69" s="19"/>
      <c r="B69" s="19"/>
      <c r="C69" s="19"/>
      <c r="D69" s="19"/>
      <c r="E69" s="20"/>
      <c r="F69" s="19"/>
      <c r="G69" s="19"/>
      <c r="H69" s="20"/>
    </row>
    <row r="70" spans="1:8" ht="13.15">
      <c r="A70" s="19"/>
      <c r="B70" s="19"/>
      <c r="C70" s="19"/>
      <c r="D70" s="19"/>
      <c r="E70" s="20"/>
      <c r="F70" s="19"/>
      <c r="G70" s="19"/>
      <c r="H70" s="20"/>
    </row>
    <row r="71" spans="1:8" ht="13.15">
      <c r="A71" s="19"/>
      <c r="B71" s="19"/>
      <c r="C71" s="19"/>
      <c r="D71" s="19"/>
      <c r="E71" s="20"/>
      <c r="F71" s="19"/>
      <c r="G71" s="19"/>
      <c r="H71" s="20"/>
    </row>
    <row r="72" spans="1:8" ht="13.15">
      <c r="A72" s="19"/>
      <c r="B72" s="19"/>
      <c r="C72" s="19"/>
      <c r="D72" s="19"/>
      <c r="E72" s="20"/>
      <c r="F72" s="19"/>
      <c r="G72" s="19"/>
      <c r="H72" s="20"/>
    </row>
    <row r="73" spans="1:8" ht="13.15">
      <c r="A73" s="19"/>
      <c r="B73" s="19"/>
      <c r="C73" s="19"/>
      <c r="D73" s="19"/>
      <c r="E73" s="20"/>
      <c r="F73" s="19"/>
      <c r="G73" s="19"/>
      <c r="H73" s="20"/>
    </row>
    <row r="74" spans="1:8" ht="13.15">
      <c r="A74" s="19"/>
      <c r="B74" s="19"/>
      <c r="C74" s="19"/>
      <c r="D74" s="19"/>
      <c r="E74" s="20"/>
      <c r="F74" s="19"/>
      <c r="G74" s="19"/>
      <c r="H74" s="20"/>
    </row>
    <row r="75" spans="1:8" ht="13.15">
      <c r="A75" s="19"/>
      <c r="B75" s="19"/>
      <c r="C75" s="19"/>
      <c r="D75" s="19"/>
      <c r="E75" s="20"/>
      <c r="F75" s="19"/>
      <c r="G75" s="19"/>
      <c r="H75" s="20"/>
    </row>
    <row r="76" spans="1:8" ht="13.15">
      <c r="A76" s="19"/>
      <c r="B76" s="19"/>
      <c r="C76" s="19"/>
      <c r="D76" s="19"/>
      <c r="E76" s="20"/>
      <c r="F76" s="19"/>
      <c r="G76" s="19"/>
      <c r="H76" s="20"/>
    </row>
    <row r="77" spans="1:8" ht="13.15">
      <c r="A77" s="19"/>
      <c r="B77" s="19"/>
      <c r="C77" s="19"/>
      <c r="D77" s="19"/>
      <c r="E77" s="20"/>
      <c r="F77" s="19"/>
      <c r="G77" s="19"/>
      <c r="H77" s="20"/>
    </row>
    <row r="78" spans="1:8" ht="13.15">
      <c r="A78" s="19"/>
      <c r="B78" s="19"/>
      <c r="C78" s="19"/>
      <c r="D78" s="19"/>
      <c r="E78" s="20"/>
      <c r="F78" s="19"/>
      <c r="G78" s="19"/>
      <c r="H78" s="20"/>
    </row>
    <row r="79" spans="1:8" ht="13.15">
      <c r="A79" s="19"/>
      <c r="B79" s="19"/>
      <c r="C79" s="19"/>
      <c r="D79" s="19"/>
      <c r="E79" s="20"/>
      <c r="F79" s="19"/>
      <c r="G79" s="19"/>
      <c r="H79" s="20"/>
    </row>
    <row r="80" spans="1:8" ht="13.15">
      <c r="A80" s="19"/>
      <c r="B80" s="19"/>
      <c r="C80" s="19"/>
      <c r="D80" s="19"/>
      <c r="E80" s="20"/>
      <c r="F80" s="19"/>
      <c r="G80" s="19"/>
      <c r="H80" s="20"/>
    </row>
    <row r="81" spans="1:8" ht="13.15">
      <c r="A81" s="19"/>
      <c r="B81" s="19"/>
      <c r="C81" s="19"/>
      <c r="D81" s="19"/>
      <c r="E81" s="20"/>
      <c r="F81" s="19"/>
      <c r="G81" s="19"/>
      <c r="H81" s="20"/>
    </row>
    <row r="82" spans="1:8" ht="13.15">
      <c r="A82" s="19"/>
      <c r="B82" s="19"/>
      <c r="C82" s="19"/>
      <c r="D82" s="19"/>
      <c r="E82" s="20"/>
      <c r="F82" s="19"/>
      <c r="G82" s="19"/>
      <c r="H82" s="20"/>
    </row>
    <row r="83" spans="1:8" ht="13.15">
      <c r="A83" s="19"/>
      <c r="B83" s="19"/>
      <c r="C83" s="19"/>
      <c r="D83" s="19"/>
      <c r="E83" s="20"/>
      <c r="F83" s="19"/>
      <c r="G83" s="19"/>
      <c r="H83" s="20"/>
    </row>
    <row r="84" spans="1:8" ht="13.15">
      <c r="A84" s="19"/>
      <c r="B84" s="19"/>
      <c r="C84" s="19"/>
      <c r="D84" s="19"/>
      <c r="E84" s="20"/>
      <c r="F84" s="19"/>
      <c r="G84" s="19"/>
      <c r="H84" s="20"/>
    </row>
    <row r="85" spans="1:8" ht="13.15">
      <c r="A85" s="19"/>
      <c r="B85" s="19"/>
      <c r="C85" s="19"/>
      <c r="D85" s="19"/>
      <c r="E85" s="20"/>
      <c r="F85" s="19"/>
      <c r="G85" s="19"/>
      <c r="H85" s="20"/>
    </row>
    <row r="86" spans="1:8" ht="13.15">
      <c r="A86" s="19"/>
      <c r="B86" s="19"/>
      <c r="C86" s="19"/>
      <c r="D86" s="19"/>
      <c r="E86" s="20"/>
      <c r="F86" s="19"/>
      <c r="G86" s="19"/>
      <c r="H86" s="20"/>
    </row>
    <row r="87" spans="1:8" ht="13.15">
      <c r="A87" s="19"/>
      <c r="B87" s="19"/>
      <c r="C87" s="19"/>
      <c r="D87" s="19"/>
      <c r="E87" s="20"/>
      <c r="F87" s="19"/>
      <c r="G87" s="19"/>
      <c r="H87" s="20"/>
    </row>
    <row r="88" spans="1:8" ht="13.15">
      <c r="A88" s="19"/>
      <c r="B88" s="19"/>
      <c r="C88" s="19"/>
      <c r="D88" s="19"/>
      <c r="E88" s="20"/>
      <c r="F88" s="19"/>
      <c r="G88" s="19"/>
      <c r="H88" s="20"/>
    </row>
    <row r="89" spans="1:8" ht="13.15">
      <c r="A89" s="19"/>
      <c r="B89" s="19"/>
      <c r="C89" s="19"/>
      <c r="D89" s="19"/>
      <c r="E89" s="20"/>
      <c r="F89" s="19"/>
      <c r="G89" s="19"/>
      <c r="H89" s="20"/>
    </row>
    <row r="90" spans="1:8" ht="13.15">
      <c r="A90" s="19"/>
      <c r="B90" s="19"/>
      <c r="C90" s="19"/>
      <c r="D90" s="19"/>
      <c r="E90" s="20"/>
      <c r="F90" s="19"/>
      <c r="G90" s="19"/>
      <c r="H90" s="20"/>
    </row>
    <row r="91" spans="1:8" ht="13.15">
      <c r="A91" s="19"/>
      <c r="B91" s="19"/>
      <c r="C91" s="19"/>
      <c r="D91" s="19"/>
      <c r="E91" s="20"/>
      <c r="F91" s="19"/>
      <c r="G91" s="19"/>
      <c r="H91" s="20"/>
    </row>
    <row r="92" spans="1:8" ht="13.15">
      <c r="A92" s="19"/>
      <c r="B92" s="19"/>
      <c r="C92" s="19"/>
      <c r="D92" s="19"/>
      <c r="E92" s="20"/>
      <c r="F92" s="19"/>
      <c r="G92" s="19"/>
      <c r="H92" s="20"/>
    </row>
    <row r="93" spans="1:8" ht="13.15">
      <c r="A93" s="19"/>
      <c r="B93" s="19"/>
      <c r="C93" s="19"/>
      <c r="D93" s="19"/>
      <c r="E93" s="20"/>
      <c r="F93" s="19"/>
      <c r="G93" s="19"/>
      <c r="H93" s="20"/>
    </row>
    <row r="94" spans="1:8" ht="13.15">
      <c r="A94" s="19"/>
      <c r="B94" s="19"/>
      <c r="C94" s="19"/>
      <c r="D94" s="19"/>
      <c r="E94" s="20"/>
      <c r="F94" s="19"/>
      <c r="G94" s="19"/>
      <c r="H94" s="20"/>
    </row>
    <row r="95" spans="1:8" ht="13.15">
      <c r="A95" s="19"/>
      <c r="B95" s="19"/>
      <c r="C95" s="19"/>
      <c r="D95" s="19"/>
      <c r="E95" s="20"/>
      <c r="F95" s="19"/>
      <c r="G95" s="19"/>
      <c r="H95" s="20"/>
    </row>
    <row r="96" spans="1:8" ht="13.15">
      <c r="A96" s="19"/>
      <c r="B96" s="19"/>
      <c r="C96" s="19"/>
      <c r="D96" s="19"/>
      <c r="E96" s="20"/>
      <c r="F96" s="19"/>
      <c r="G96" s="19"/>
      <c r="H96" s="20"/>
    </row>
    <row r="97" spans="1:8" ht="13.15">
      <c r="A97" s="19"/>
      <c r="B97" s="19"/>
      <c r="C97" s="19"/>
      <c r="D97" s="19"/>
      <c r="E97" s="20"/>
      <c r="F97" s="19"/>
      <c r="G97" s="19"/>
      <c r="H97" s="20"/>
    </row>
    <row r="98" spans="1:8" ht="13.15">
      <c r="A98" s="19"/>
      <c r="B98" s="19"/>
      <c r="C98" s="19"/>
      <c r="D98" s="19"/>
      <c r="E98" s="20"/>
      <c r="F98" s="19"/>
      <c r="G98" s="19"/>
      <c r="H98" s="20"/>
    </row>
    <row r="99" spans="1:8" ht="13.15">
      <c r="A99" s="19"/>
      <c r="B99" s="19"/>
      <c r="C99" s="19"/>
      <c r="D99" s="19"/>
      <c r="E99" s="20"/>
      <c r="F99" s="19"/>
      <c r="G99" s="19"/>
      <c r="H99" s="20"/>
    </row>
    <row r="100" spans="1:8" ht="13.15">
      <c r="A100" s="19"/>
      <c r="B100" s="19"/>
      <c r="C100" s="19"/>
      <c r="D100" s="19"/>
      <c r="E100" s="20"/>
      <c r="F100" s="19"/>
      <c r="G100" s="19"/>
      <c r="H100" s="20"/>
    </row>
    <row r="101" spans="1:8" ht="13.15">
      <c r="A101" s="19"/>
      <c r="B101" s="19"/>
      <c r="C101" s="19"/>
      <c r="D101" s="19"/>
      <c r="E101" s="20"/>
      <c r="F101" s="19"/>
      <c r="G101" s="19"/>
      <c r="H101" s="20"/>
    </row>
    <row r="102" spans="1:8" ht="13.15">
      <c r="A102" s="19"/>
      <c r="B102" s="19"/>
      <c r="C102" s="19"/>
      <c r="D102" s="19"/>
      <c r="E102" s="20"/>
      <c r="F102" s="19"/>
      <c r="G102" s="19"/>
      <c r="H102" s="20"/>
    </row>
    <row r="103" spans="1:8" ht="13.15">
      <c r="A103" s="19"/>
      <c r="B103" s="19"/>
      <c r="C103" s="19"/>
      <c r="D103" s="19"/>
      <c r="E103" s="20"/>
      <c r="F103" s="19"/>
      <c r="G103" s="19"/>
      <c r="H103" s="20"/>
    </row>
    <row r="104" spans="1:8" ht="13.15">
      <c r="A104" s="19"/>
      <c r="B104" s="19"/>
      <c r="C104" s="19"/>
      <c r="D104" s="19"/>
      <c r="E104" s="20"/>
      <c r="F104" s="19"/>
      <c r="G104" s="19"/>
      <c r="H104" s="20"/>
    </row>
    <row r="105" spans="1:8" ht="13.15">
      <c r="A105" s="19"/>
      <c r="B105" s="19"/>
      <c r="C105" s="19"/>
      <c r="D105" s="19"/>
      <c r="E105" s="20"/>
      <c r="F105" s="19"/>
      <c r="G105" s="19"/>
      <c r="H105" s="20"/>
    </row>
    <row r="106" spans="1:8" ht="13.15">
      <c r="A106" s="19"/>
      <c r="B106" s="19"/>
      <c r="C106" s="19"/>
      <c r="D106" s="19"/>
      <c r="E106" s="20"/>
      <c r="F106" s="19"/>
      <c r="G106" s="19"/>
      <c r="H106" s="20"/>
    </row>
    <row r="107" spans="1:8" ht="13.15">
      <c r="A107" s="19"/>
      <c r="B107" s="19"/>
      <c r="C107" s="19"/>
      <c r="D107" s="19"/>
      <c r="E107" s="20"/>
      <c r="F107" s="19"/>
      <c r="G107" s="19"/>
      <c r="H107" s="20"/>
    </row>
    <row r="108" spans="1:8" ht="13.15">
      <c r="A108" s="19"/>
      <c r="B108" s="19"/>
      <c r="C108" s="19"/>
      <c r="D108" s="19"/>
      <c r="E108" s="20"/>
      <c r="F108" s="19"/>
      <c r="G108" s="19"/>
      <c r="H108" s="20"/>
    </row>
    <row r="109" spans="1:8" ht="13.15">
      <c r="A109" s="19"/>
      <c r="B109" s="19"/>
      <c r="C109" s="19"/>
      <c r="D109" s="19"/>
      <c r="E109" s="20"/>
      <c r="F109" s="19"/>
      <c r="G109" s="19"/>
      <c r="H109" s="20"/>
    </row>
    <row r="110" spans="1:8" ht="13.15">
      <c r="A110" s="19"/>
      <c r="B110" s="19"/>
      <c r="C110" s="19"/>
      <c r="D110" s="19"/>
      <c r="E110" s="20"/>
      <c r="F110" s="19"/>
      <c r="G110" s="19"/>
      <c r="H110" s="20"/>
    </row>
    <row r="111" spans="1:8" ht="13.15">
      <c r="A111" s="19"/>
      <c r="B111" s="19"/>
      <c r="C111" s="19"/>
      <c r="D111" s="19"/>
      <c r="E111" s="20"/>
      <c r="F111" s="19"/>
      <c r="G111" s="19"/>
      <c r="H111" s="20"/>
    </row>
    <row r="112" spans="1:8" ht="13.15">
      <c r="A112" s="19"/>
      <c r="B112" s="19"/>
      <c r="C112" s="19"/>
      <c r="D112" s="19"/>
      <c r="E112" s="20"/>
      <c r="F112" s="19"/>
      <c r="G112" s="19"/>
      <c r="H112" s="20"/>
    </row>
    <row r="113" spans="1:8" ht="13.15">
      <c r="A113" s="19"/>
      <c r="B113" s="19"/>
      <c r="C113" s="19"/>
      <c r="D113" s="19"/>
      <c r="E113" s="20"/>
      <c r="F113" s="19"/>
      <c r="G113" s="19"/>
      <c r="H113" s="20"/>
    </row>
    <row r="114" spans="1:8" ht="13.15">
      <c r="A114" s="19"/>
      <c r="B114" s="19"/>
      <c r="C114" s="19"/>
      <c r="D114" s="19"/>
      <c r="E114" s="20"/>
      <c r="F114" s="19"/>
      <c r="G114" s="19"/>
      <c r="H114" s="20"/>
    </row>
    <row r="115" spans="1:8" ht="13.15">
      <c r="A115" s="19"/>
      <c r="B115" s="19"/>
      <c r="C115" s="19"/>
      <c r="D115" s="19"/>
      <c r="E115" s="20"/>
      <c r="F115" s="19"/>
      <c r="G115" s="19"/>
      <c r="H115" s="20"/>
    </row>
    <row r="116" spans="1:8" ht="13.15">
      <c r="A116" s="19"/>
      <c r="B116" s="19"/>
      <c r="C116" s="19"/>
      <c r="D116" s="19"/>
      <c r="E116" s="20"/>
      <c r="F116" s="19"/>
      <c r="G116" s="19"/>
      <c r="H116" s="20"/>
    </row>
    <row r="117" spans="1:8" ht="13.15">
      <c r="A117" s="19"/>
      <c r="B117" s="19"/>
      <c r="C117" s="19"/>
      <c r="D117" s="19"/>
      <c r="E117" s="20"/>
      <c r="F117" s="19"/>
      <c r="G117" s="19"/>
      <c r="H117" s="20"/>
    </row>
    <row r="118" spans="1:8" ht="13.15">
      <c r="A118" s="19"/>
      <c r="B118" s="19"/>
      <c r="C118" s="19"/>
      <c r="D118" s="19"/>
      <c r="E118" s="20"/>
      <c r="F118" s="19"/>
      <c r="G118" s="19"/>
      <c r="H118" s="20"/>
    </row>
    <row r="119" spans="1:8" ht="13.15">
      <c r="A119" s="19"/>
      <c r="B119" s="19"/>
      <c r="C119" s="19"/>
      <c r="D119" s="19"/>
      <c r="E119" s="20"/>
      <c r="F119" s="19"/>
      <c r="G119" s="19"/>
      <c r="H119" s="20"/>
    </row>
    <row r="120" spans="1:8" ht="13.15">
      <c r="A120" s="19"/>
      <c r="B120" s="19"/>
      <c r="C120" s="19"/>
      <c r="D120" s="19"/>
      <c r="E120" s="20"/>
      <c r="F120" s="19"/>
      <c r="G120" s="19"/>
      <c r="H120" s="20"/>
    </row>
    <row r="121" spans="1:8" ht="13.15">
      <c r="A121" s="19"/>
      <c r="B121" s="19"/>
      <c r="C121" s="19"/>
      <c r="D121" s="19"/>
      <c r="E121" s="20"/>
      <c r="F121" s="19"/>
      <c r="G121" s="19"/>
      <c r="H121" s="20"/>
    </row>
    <row r="122" spans="1:8" ht="13.15">
      <c r="A122" s="19"/>
      <c r="B122" s="19"/>
      <c r="C122" s="19"/>
      <c r="D122" s="19"/>
      <c r="E122" s="20"/>
      <c r="F122" s="19"/>
      <c r="G122" s="19"/>
      <c r="H122" s="20"/>
    </row>
    <row r="123" spans="1:8" ht="13.15">
      <c r="A123" s="19"/>
      <c r="B123" s="19"/>
      <c r="C123" s="19"/>
      <c r="D123" s="19"/>
      <c r="E123" s="20"/>
      <c r="F123" s="19"/>
      <c r="G123" s="19"/>
      <c r="H123" s="20"/>
    </row>
    <row r="124" spans="1:8" ht="13.15">
      <c r="A124" s="19"/>
      <c r="B124" s="19"/>
      <c r="C124" s="19"/>
      <c r="D124" s="19"/>
      <c r="E124" s="20"/>
      <c r="F124" s="19"/>
      <c r="G124" s="19"/>
      <c r="H124" s="20"/>
    </row>
    <row r="125" spans="1:8" ht="13.15">
      <c r="A125" s="19"/>
      <c r="B125" s="19"/>
      <c r="C125" s="19"/>
      <c r="D125" s="19"/>
      <c r="E125" s="20"/>
      <c r="F125" s="19"/>
      <c r="G125" s="19"/>
      <c r="H125" s="20"/>
    </row>
    <row r="126" spans="1:8" ht="13.15">
      <c r="A126" s="19"/>
      <c r="B126" s="19"/>
      <c r="C126" s="19"/>
      <c r="D126" s="19"/>
      <c r="E126" s="20"/>
      <c r="F126" s="19"/>
      <c r="G126" s="19"/>
      <c r="H126" s="20"/>
    </row>
    <row r="127" spans="1:8" ht="13.15">
      <c r="A127" s="19"/>
      <c r="B127" s="19"/>
      <c r="C127" s="19"/>
      <c r="D127" s="19"/>
      <c r="E127" s="20"/>
      <c r="F127" s="19"/>
      <c r="G127" s="19"/>
      <c r="H127" s="20"/>
    </row>
    <row r="128" spans="1:8" ht="13.15">
      <c r="A128" s="19"/>
      <c r="B128" s="19"/>
      <c r="C128" s="19"/>
      <c r="D128" s="19"/>
      <c r="E128" s="20"/>
      <c r="F128" s="19"/>
      <c r="G128" s="19"/>
      <c r="H128" s="20"/>
    </row>
    <row r="129" spans="1:8" ht="13.15">
      <c r="A129" s="19"/>
      <c r="B129" s="19"/>
      <c r="C129" s="19"/>
      <c r="D129" s="19"/>
      <c r="E129" s="20"/>
      <c r="F129" s="19"/>
      <c r="G129" s="19"/>
      <c r="H129" s="20"/>
    </row>
    <row r="130" spans="1:8" ht="13.15">
      <c r="A130" s="19"/>
      <c r="B130" s="19"/>
      <c r="C130" s="19"/>
      <c r="D130" s="19"/>
      <c r="E130" s="20"/>
      <c r="F130" s="19"/>
      <c r="G130" s="19"/>
      <c r="H130" s="20"/>
    </row>
    <row r="131" spans="1:8" ht="13.15">
      <c r="A131" s="19"/>
      <c r="B131" s="19"/>
      <c r="C131" s="19"/>
      <c r="D131" s="19"/>
      <c r="E131" s="20"/>
      <c r="F131" s="19"/>
      <c r="G131" s="19"/>
      <c r="H131" s="20"/>
    </row>
    <row r="132" spans="1:8" ht="13.15">
      <c r="A132" s="19"/>
      <c r="B132" s="19"/>
      <c r="C132" s="19"/>
      <c r="D132" s="19"/>
      <c r="E132" s="20"/>
      <c r="F132" s="19"/>
      <c r="G132" s="19"/>
      <c r="H132" s="20"/>
    </row>
    <row r="133" spans="1:8" ht="13.15">
      <c r="A133" s="19"/>
      <c r="B133" s="19"/>
      <c r="C133" s="19"/>
      <c r="D133" s="19"/>
      <c r="E133" s="20"/>
      <c r="F133" s="19"/>
      <c r="G133" s="19"/>
      <c r="H133" s="20"/>
    </row>
    <row r="134" spans="1:8" ht="13.15">
      <c r="A134" s="19"/>
      <c r="B134" s="19"/>
      <c r="C134" s="19"/>
      <c r="D134" s="19"/>
      <c r="E134" s="20"/>
      <c r="F134" s="19"/>
      <c r="G134" s="19"/>
      <c r="H134" s="20"/>
    </row>
    <row r="135" spans="1:8" ht="13.15">
      <c r="A135" s="19"/>
      <c r="B135" s="19"/>
      <c r="C135" s="19"/>
      <c r="D135" s="19"/>
      <c r="E135" s="20"/>
      <c r="F135" s="19"/>
      <c r="G135" s="19"/>
      <c r="H135" s="20"/>
    </row>
    <row r="136" spans="1:8" ht="13.15">
      <c r="A136" s="19"/>
      <c r="B136" s="19"/>
      <c r="C136" s="19"/>
      <c r="D136" s="19"/>
      <c r="E136" s="20"/>
      <c r="F136" s="19"/>
      <c r="G136" s="19"/>
      <c r="H136" s="20"/>
    </row>
    <row r="137" spans="1:8" ht="13.15">
      <c r="A137" s="19"/>
      <c r="B137" s="19"/>
      <c r="C137" s="19"/>
      <c r="D137" s="19"/>
      <c r="E137" s="20"/>
      <c r="F137" s="19"/>
      <c r="G137" s="19"/>
      <c r="H137" s="20"/>
    </row>
    <row r="138" spans="1:8" ht="13.15">
      <c r="A138" s="19"/>
      <c r="B138" s="19"/>
      <c r="C138" s="19"/>
      <c r="D138" s="19"/>
      <c r="E138" s="20"/>
      <c r="F138" s="19"/>
      <c r="G138" s="19"/>
      <c r="H138" s="20"/>
    </row>
    <row r="139" spans="1:8" ht="13.15">
      <c r="A139" s="19"/>
      <c r="B139" s="19"/>
      <c r="C139" s="19"/>
      <c r="D139" s="19"/>
      <c r="E139" s="20"/>
      <c r="F139" s="19"/>
      <c r="G139" s="19"/>
      <c r="H139" s="20"/>
    </row>
    <row r="140" spans="1:8" ht="13.15">
      <c r="A140" s="19"/>
      <c r="B140" s="19"/>
      <c r="C140" s="19"/>
      <c r="D140" s="19"/>
      <c r="E140" s="20"/>
      <c r="F140" s="19"/>
      <c r="G140" s="19"/>
      <c r="H140" s="20"/>
    </row>
    <row r="141" spans="1:8" ht="13.15">
      <c r="A141" s="19"/>
      <c r="B141" s="19"/>
      <c r="C141" s="19"/>
      <c r="D141" s="19"/>
      <c r="E141" s="20"/>
      <c r="F141" s="19"/>
      <c r="G141" s="19"/>
      <c r="H141" s="20"/>
    </row>
    <row r="142" spans="1:8" ht="13.15">
      <c r="A142" s="19"/>
      <c r="B142" s="19"/>
      <c r="C142" s="19"/>
      <c r="D142" s="19"/>
      <c r="E142" s="20"/>
      <c r="F142" s="19"/>
      <c r="G142" s="19"/>
      <c r="H142" s="20"/>
    </row>
    <row r="143" spans="1:8" ht="13.15">
      <c r="A143" s="19"/>
      <c r="B143" s="19"/>
      <c r="C143" s="19"/>
      <c r="D143" s="19"/>
      <c r="E143" s="20"/>
      <c r="F143" s="19"/>
      <c r="G143" s="19"/>
      <c r="H143" s="20"/>
    </row>
    <row r="144" spans="1:8" ht="13.15">
      <c r="A144" s="19"/>
      <c r="B144" s="19"/>
      <c r="C144" s="19"/>
      <c r="D144" s="19"/>
      <c r="E144" s="20"/>
      <c r="F144" s="19"/>
      <c r="G144" s="19"/>
      <c r="H144" s="20"/>
    </row>
    <row r="145" spans="1:8" ht="13.15">
      <c r="A145" s="19"/>
      <c r="B145" s="19"/>
      <c r="C145" s="19"/>
      <c r="D145" s="19"/>
      <c r="E145" s="20"/>
      <c r="F145" s="19"/>
      <c r="G145" s="19"/>
      <c r="H145" s="20"/>
    </row>
    <row r="146" spans="1:8" ht="13.15">
      <c r="A146" s="19"/>
      <c r="B146" s="19"/>
      <c r="C146" s="19"/>
      <c r="D146" s="19"/>
      <c r="E146" s="20"/>
      <c r="F146" s="19"/>
      <c r="G146" s="19"/>
      <c r="H146" s="20"/>
    </row>
    <row r="147" spans="1:8" ht="13.15">
      <c r="A147" s="19"/>
      <c r="B147" s="19"/>
      <c r="C147" s="19"/>
      <c r="D147" s="19"/>
      <c r="E147" s="20"/>
      <c r="F147" s="19"/>
      <c r="G147" s="19"/>
      <c r="H147" s="20"/>
    </row>
    <row r="148" spans="1:8" ht="13.15">
      <c r="A148" s="19"/>
      <c r="B148" s="19"/>
      <c r="C148" s="19"/>
      <c r="D148" s="19"/>
      <c r="E148" s="20"/>
      <c r="F148" s="19"/>
      <c r="G148" s="19"/>
      <c r="H148" s="20"/>
    </row>
    <row r="149" spans="1:8" ht="13.15">
      <c r="A149" s="19"/>
      <c r="B149" s="19"/>
      <c r="C149" s="19"/>
      <c r="D149" s="19"/>
      <c r="E149" s="20"/>
      <c r="F149" s="19"/>
      <c r="G149" s="19"/>
      <c r="H149" s="20"/>
    </row>
    <row r="150" spans="1:8" ht="13.15">
      <c r="A150" s="19"/>
      <c r="B150" s="19"/>
      <c r="C150" s="19"/>
      <c r="D150" s="19"/>
      <c r="E150" s="20"/>
      <c r="F150" s="19"/>
      <c r="G150" s="19"/>
      <c r="H150" s="20"/>
    </row>
    <row r="151" spans="1:8" ht="13.15">
      <c r="A151" s="19"/>
      <c r="B151" s="19"/>
      <c r="C151" s="19"/>
      <c r="D151" s="19"/>
      <c r="E151" s="20"/>
      <c r="F151" s="19"/>
      <c r="G151" s="19"/>
      <c r="H151" s="20"/>
    </row>
    <row r="152" spans="1:8" ht="13.15">
      <c r="A152" s="19"/>
      <c r="B152" s="19"/>
      <c r="C152" s="19"/>
      <c r="D152" s="19"/>
      <c r="E152" s="20"/>
      <c r="F152" s="19"/>
      <c r="G152" s="19"/>
      <c r="H152" s="20"/>
    </row>
    <row r="153" spans="1:8" ht="13.15">
      <c r="A153" s="19"/>
      <c r="B153" s="19"/>
      <c r="C153" s="19"/>
      <c r="D153" s="19"/>
      <c r="E153" s="20"/>
      <c r="F153" s="19"/>
      <c r="G153" s="19"/>
      <c r="H153" s="20"/>
    </row>
    <row r="154" spans="1:8" ht="13.15">
      <c r="A154" s="19"/>
      <c r="B154" s="19"/>
      <c r="C154" s="19"/>
      <c r="D154" s="19"/>
      <c r="E154" s="20"/>
      <c r="F154" s="19"/>
      <c r="G154" s="19"/>
      <c r="H154" s="20"/>
    </row>
    <row r="155" spans="1:8" ht="13.15">
      <c r="A155" s="19"/>
      <c r="B155" s="19"/>
      <c r="C155" s="19"/>
      <c r="D155" s="19"/>
      <c r="E155" s="20"/>
      <c r="F155" s="19"/>
      <c r="G155" s="19"/>
      <c r="H155" s="20"/>
    </row>
    <row r="156" spans="1:8" ht="13.15">
      <c r="A156" s="19"/>
      <c r="B156" s="19"/>
      <c r="C156" s="19"/>
      <c r="D156" s="19"/>
      <c r="E156" s="20"/>
      <c r="F156" s="19"/>
      <c r="G156" s="19"/>
      <c r="H156" s="20"/>
    </row>
    <row r="157" spans="1:8" ht="13.15">
      <c r="A157" s="19"/>
      <c r="B157" s="19"/>
      <c r="C157" s="19"/>
      <c r="D157" s="19"/>
      <c r="E157" s="20"/>
      <c r="F157" s="19"/>
      <c r="G157" s="19"/>
      <c r="H157" s="20"/>
    </row>
    <row r="158" spans="1:8" ht="13.15">
      <c r="A158" s="19"/>
      <c r="B158" s="19"/>
      <c r="C158" s="19"/>
      <c r="D158" s="19"/>
      <c r="E158" s="20"/>
      <c r="F158" s="19"/>
      <c r="G158" s="19"/>
      <c r="H158" s="20"/>
    </row>
    <row r="159" spans="1:8" ht="13.15">
      <c r="A159" s="19"/>
      <c r="B159" s="19"/>
      <c r="C159" s="19"/>
      <c r="D159" s="19"/>
      <c r="E159" s="20"/>
      <c r="F159" s="19"/>
      <c r="G159" s="19"/>
      <c r="H159" s="20"/>
    </row>
    <row r="160" spans="1:8" ht="13.15">
      <c r="A160" s="19"/>
      <c r="B160" s="19"/>
      <c r="C160" s="19"/>
      <c r="D160" s="19"/>
      <c r="E160" s="20"/>
      <c r="F160" s="19"/>
      <c r="G160" s="19"/>
      <c r="H160" s="20"/>
    </row>
    <row r="161" spans="1:8" ht="13.15">
      <c r="A161" s="19"/>
      <c r="B161" s="19"/>
      <c r="C161" s="19"/>
      <c r="D161" s="19"/>
      <c r="E161" s="20"/>
      <c r="F161" s="19"/>
      <c r="G161" s="19"/>
      <c r="H161" s="20"/>
    </row>
    <row r="162" spans="1:8" ht="13.15">
      <c r="A162" s="19"/>
      <c r="B162" s="19"/>
      <c r="C162" s="19"/>
      <c r="D162" s="19"/>
      <c r="E162" s="20"/>
      <c r="F162" s="19"/>
      <c r="G162" s="19"/>
      <c r="H162" s="20"/>
    </row>
    <row r="163" spans="1:8" ht="13.15">
      <c r="A163" s="19"/>
      <c r="B163" s="19"/>
      <c r="C163" s="19"/>
      <c r="D163" s="19"/>
      <c r="E163" s="20"/>
      <c r="F163" s="19"/>
      <c r="G163" s="19"/>
      <c r="H163" s="20"/>
    </row>
    <row r="164" spans="1:8" ht="13.15">
      <c r="A164" s="19"/>
      <c r="B164" s="19"/>
      <c r="C164" s="19"/>
      <c r="D164" s="19"/>
      <c r="E164" s="20"/>
      <c r="F164" s="19"/>
      <c r="G164" s="19"/>
      <c r="H164" s="20"/>
    </row>
    <row r="165" spans="1:8" ht="13.15">
      <c r="A165" s="19"/>
      <c r="B165" s="19"/>
      <c r="C165" s="19"/>
      <c r="D165" s="19"/>
      <c r="E165" s="20"/>
      <c r="F165" s="19"/>
      <c r="G165" s="19"/>
      <c r="H165" s="20"/>
    </row>
    <row r="166" spans="1:8" ht="13.15">
      <c r="A166" s="19"/>
      <c r="B166" s="19"/>
      <c r="C166" s="19"/>
      <c r="D166" s="19"/>
      <c r="E166" s="20"/>
      <c r="F166" s="19"/>
      <c r="G166" s="19"/>
      <c r="H166" s="20"/>
    </row>
    <row r="167" spans="1:8" ht="13.15">
      <c r="A167" s="19"/>
      <c r="B167" s="19"/>
      <c r="C167" s="19"/>
      <c r="D167" s="19"/>
      <c r="E167" s="20"/>
      <c r="F167" s="19"/>
      <c r="G167" s="19"/>
      <c r="H167" s="20"/>
    </row>
    <row r="168" spans="1:8" ht="13.15">
      <c r="A168" s="19"/>
      <c r="B168" s="19"/>
      <c r="C168" s="19"/>
      <c r="D168" s="19"/>
      <c r="E168" s="20"/>
      <c r="F168" s="19"/>
      <c r="G168" s="19"/>
      <c r="H168" s="20"/>
    </row>
    <row r="169" spans="1:8" ht="13.15">
      <c r="A169" s="19"/>
      <c r="B169" s="19"/>
      <c r="C169" s="19"/>
      <c r="D169" s="19"/>
      <c r="E169" s="20"/>
      <c r="F169" s="19"/>
      <c r="G169" s="19"/>
      <c r="H169" s="20"/>
    </row>
    <row r="170" spans="1:8" ht="13.15">
      <c r="A170" s="19"/>
      <c r="B170" s="19"/>
      <c r="C170" s="19"/>
      <c r="D170" s="19"/>
      <c r="E170" s="20"/>
      <c r="F170" s="19"/>
      <c r="G170" s="19"/>
      <c r="H170" s="20"/>
    </row>
    <row r="171" spans="1:8" ht="13.15">
      <c r="A171" s="19"/>
      <c r="B171" s="19"/>
      <c r="C171" s="19"/>
      <c r="D171" s="19"/>
      <c r="E171" s="20"/>
      <c r="F171" s="19"/>
      <c r="G171" s="19"/>
      <c r="H171" s="20"/>
    </row>
    <row r="172" spans="1:8" ht="13.15">
      <c r="A172" s="19"/>
      <c r="B172" s="19"/>
      <c r="C172" s="19"/>
      <c r="D172" s="19"/>
      <c r="E172" s="20"/>
      <c r="F172" s="19"/>
      <c r="G172" s="19"/>
      <c r="H172" s="20"/>
    </row>
    <row r="173" spans="1:8" ht="13.15">
      <c r="A173" s="19"/>
      <c r="B173" s="19"/>
      <c r="C173" s="19"/>
      <c r="D173" s="19"/>
      <c r="E173" s="20"/>
      <c r="F173" s="19"/>
      <c r="G173" s="19"/>
      <c r="H173" s="20"/>
    </row>
    <row r="174" spans="1:8" ht="13.15">
      <c r="A174" s="19"/>
      <c r="B174" s="19"/>
      <c r="C174" s="19"/>
      <c r="D174" s="19"/>
      <c r="E174" s="20"/>
      <c r="F174" s="19"/>
      <c r="G174" s="19"/>
      <c r="H174" s="20"/>
    </row>
    <row r="175" spans="1:8" ht="13.15">
      <c r="A175" s="19"/>
      <c r="B175" s="19"/>
      <c r="C175" s="19"/>
      <c r="D175" s="19"/>
      <c r="E175" s="20"/>
      <c r="F175" s="19"/>
      <c r="G175" s="19"/>
      <c r="H175" s="20"/>
    </row>
    <row r="176" spans="1:8" ht="13.15">
      <c r="A176" s="19"/>
      <c r="B176" s="19"/>
      <c r="C176" s="19"/>
      <c r="D176" s="19"/>
      <c r="E176" s="20"/>
      <c r="F176" s="19"/>
      <c r="G176" s="19"/>
      <c r="H176" s="20"/>
    </row>
    <row r="177" spans="1:8" ht="13.15">
      <c r="A177" s="19"/>
      <c r="B177" s="19"/>
      <c r="C177" s="19"/>
      <c r="D177" s="19"/>
      <c r="E177" s="20"/>
      <c r="F177" s="19"/>
      <c r="G177" s="19"/>
      <c r="H177" s="20"/>
    </row>
    <row r="178" spans="1:8" ht="13.15">
      <c r="A178" s="19"/>
      <c r="B178" s="19"/>
      <c r="C178" s="19"/>
      <c r="D178" s="19"/>
      <c r="E178" s="20"/>
      <c r="F178" s="19"/>
      <c r="G178" s="19"/>
      <c r="H178" s="20"/>
    </row>
    <row r="179" spans="1:8" ht="13.15">
      <c r="A179" s="19"/>
      <c r="B179" s="19"/>
      <c r="C179" s="19"/>
      <c r="D179" s="19"/>
      <c r="E179" s="20"/>
      <c r="F179" s="19"/>
      <c r="G179" s="19"/>
      <c r="H179" s="20"/>
    </row>
    <row r="180" spans="1:8" ht="13.15">
      <c r="A180" s="19"/>
      <c r="B180" s="19"/>
      <c r="C180" s="19"/>
      <c r="D180" s="19"/>
      <c r="E180" s="20"/>
      <c r="F180" s="19"/>
      <c r="G180" s="19"/>
      <c r="H180" s="20"/>
    </row>
    <row r="181" spans="1:8" ht="13.15">
      <c r="A181" s="19"/>
      <c r="B181" s="19"/>
      <c r="C181" s="19"/>
      <c r="D181" s="19"/>
      <c r="E181" s="20"/>
      <c r="F181" s="19"/>
      <c r="G181" s="19"/>
      <c r="H181" s="20"/>
    </row>
    <row r="182" spans="1:8" ht="13.15">
      <c r="A182" s="19"/>
      <c r="B182" s="19"/>
      <c r="C182" s="19"/>
      <c r="D182" s="19"/>
      <c r="E182" s="20"/>
      <c r="F182" s="19"/>
      <c r="G182" s="19"/>
      <c r="H182" s="20"/>
    </row>
    <row r="183" spans="1:8" ht="13.15">
      <c r="A183" s="19"/>
      <c r="B183" s="19"/>
      <c r="C183" s="19"/>
      <c r="D183" s="19"/>
      <c r="E183" s="20"/>
      <c r="F183" s="19"/>
      <c r="G183" s="19"/>
      <c r="H183" s="20"/>
    </row>
    <row r="184" spans="1:8" ht="13.15">
      <c r="A184" s="19"/>
      <c r="B184" s="19"/>
      <c r="C184" s="19"/>
      <c r="D184" s="19"/>
      <c r="E184" s="20"/>
      <c r="F184" s="19"/>
      <c r="G184" s="19"/>
      <c r="H184" s="20"/>
    </row>
    <row r="185" spans="1:8" ht="13.15">
      <c r="A185" s="19"/>
      <c r="B185" s="19"/>
      <c r="C185" s="19"/>
      <c r="D185" s="19"/>
      <c r="E185" s="20"/>
      <c r="F185" s="19"/>
      <c r="G185" s="19"/>
      <c r="H185" s="20"/>
    </row>
    <row r="186" spans="1:8" ht="13.15">
      <c r="A186" s="19"/>
      <c r="B186" s="19"/>
      <c r="C186" s="19"/>
      <c r="D186" s="19"/>
      <c r="E186" s="20"/>
      <c r="F186" s="19"/>
      <c r="G186" s="19"/>
      <c r="H186" s="20"/>
    </row>
    <row r="187" spans="1:8" ht="13.15">
      <c r="A187" s="19"/>
      <c r="B187" s="19"/>
      <c r="C187" s="19"/>
      <c r="D187" s="19"/>
      <c r="E187" s="20"/>
      <c r="F187" s="19"/>
      <c r="G187" s="19"/>
      <c r="H187" s="20"/>
    </row>
    <row r="188" spans="1:8" ht="13.15">
      <c r="A188" s="19"/>
      <c r="B188" s="19"/>
      <c r="C188" s="19"/>
      <c r="D188" s="19"/>
      <c r="E188" s="20"/>
      <c r="F188" s="19"/>
      <c r="G188" s="19"/>
      <c r="H188" s="20"/>
    </row>
    <row r="189" spans="1:8" ht="13.15">
      <c r="A189" s="19"/>
      <c r="B189" s="19"/>
      <c r="C189" s="19"/>
      <c r="D189" s="19"/>
      <c r="E189" s="20"/>
      <c r="F189" s="19"/>
      <c r="G189" s="19"/>
      <c r="H189" s="20"/>
    </row>
    <row r="190" spans="1:8" ht="13.15">
      <c r="A190" s="19"/>
      <c r="B190" s="19"/>
      <c r="C190" s="19"/>
      <c r="D190" s="19"/>
      <c r="E190" s="20"/>
      <c r="F190" s="19"/>
      <c r="G190" s="19"/>
      <c r="H190" s="20"/>
    </row>
    <row r="191" spans="1:8" ht="13.15">
      <c r="A191" s="19"/>
      <c r="B191" s="19"/>
      <c r="C191" s="19"/>
      <c r="D191" s="19"/>
      <c r="E191" s="20"/>
      <c r="F191" s="19"/>
      <c r="G191" s="19"/>
      <c r="H191" s="20"/>
    </row>
    <row r="192" spans="1:8" ht="13.15">
      <c r="A192" s="19"/>
      <c r="B192" s="19"/>
      <c r="C192" s="19"/>
      <c r="D192" s="19"/>
      <c r="E192" s="20"/>
      <c r="F192" s="19"/>
      <c r="G192" s="19"/>
      <c r="H192" s="20"/>
    </row>
    <row r="193" spans="1:8" ht="13.15">
      <c r="A193" s="19"/>
      <c r="B193" s="19"/>
      <c r="C193" s="19"/>
      <c r="D193" s="19"/>
      <c r="E193" s="20"/>
      <c r="F193" s="19"/>
      <c r="G193" s="19"/>
      <c r="H193" s="20"/>
    </row>
    <row r="194" spans="1:8" ht="13.15">
      <c r="A194" s="19"/>
      <c r="B194" s="19"/>
      <c r="C194" s="19"/>
      <c r="D194" s="19"/>
      <c r="E194" s="20"/>
      <c r="F194" s="19"/>
      <c r="G194" s="19"/>
      <c r="H194" s="20"/>
    </row>
    <row r="195" spans="1:8" ht="13.15">
      <c r="A195" s="19"/>
      <c r="B195" s="19"/>
      <c r="C195" s="19"/>
      <c r="D195" s="19"/>
      <c r="E195" s="20"/>
      <c r="F195" s="19"/>
      <c r="G195" s="19"/>
      <c r="H195" s="20"/>
    </row>
    <row r="196" spans="1:8" ht="13.15">
      <c r="A196" s="19"/>
      <c r="B196" s="19"/>
      <c r="C196" s="19"/>
      <c r="D196" s="19"/>
      <c r="E196" s="20"/>
      <c r="F196" s="19"/>
      <c r="G196" s="19"/>
      <c r="H196" s="20"/>
    </row>
    <row r="197" spans="1:8" ht="13.15">
      <c r="A197" s="19"/>
      <c r="B197" s="19"/>
      <c r="C197" s="19"/>
      <c r="D197" s="19"/>
      <c r="E197" s="20"/>
      <c r="F197" s="19"/>
      <c r="G197" s="19"/>
      <c r="H197" s="20"/>
    </row>
    <row r="198" spans="1:8" ht="13.15">
      <c r="A198" s="19"/>
      <c r="B198" s="19"/>
      <c r="C198" s="19"/>
      <c r="D198" s="19"/>
      <c r="E198" s="20"/>
      <c r="F198" s="19"/>
      <c r="G198" s="19"/>
      <c r="H198" s="20"/>
    </row>
    <row r="199" spans="1:8" ht="13.15">
      <c r="A199" s="19"/>
      <c r="B199" s="19"/>
      <c r="C199" s="19"/>
      <c r="D199" s="19"/>
      <c r="E199" s="20"/>
      <c r="F199" s="19"/>
      <c r="G199" s="19"/>
      <c r="H199" s="20"/>
    </row>
    <row r="200" spans="1:8" ht="13.15">
      <c r="A200" s="19"/>
      <c r="B200" s="19"/>
      <c r="C200" s="19"/>
      <c r="D200" s="19"/>
      <c r="E200" s="20"/>
      <c r="F200" s="19"/>
      <c r="G200" s="19"/>
      <c r="H200" s="20"/>
    </row>
    <row r="201" spans="1:8" ht="13.15">
      <c r="A201" s="19"/>
      <c r="B201" s="19"/>
      <c r="C201" s="19"/>
      <c r="D201" s="19"/>
      <c r="E201" s="20"/>
      <c r="F201" s="19"/>
      <c r="G201" s="19"/>
      <c r="H201" s="20"/>
    </row>
    <row r="202" spans="1:8" ht="13.15">
      <c r="A202" s="19"/>
      <c r="B202" s="19"/>
      <c r="C202" s="19"/>
      <c r="D202" s="19"/>
      <c r="E202" s="20"/>
      <c r="F202" s="19"/>
      <c r="G202" s="19"/>
      <c r="H202" s="20"/>
    </row>
    <row r="203" spans="1:8" ht="13.15">
      <c r="A203" s="19"/>
      <c r="B203" s="19"/>
      <c r="C203" s="19"/>
      <c r="D203" s="19"/>
      <c r="E203" s="20"/>
      <c r="F203" s="19"/>
      <c r="G203" s="19"/>
      <c r="H203" s="20"/>
    </row>
    <row r="204" spans="1:8" ht="13.15">
      <c r="A204" s="19"/>
      <c r="B204" s="19"/>
      <c r="C204" s="19"/>
      <c r="D204" s="19"/>
      <c r="E204" s="20"/>
      <c r="F204" s="19"/>
      <c r="G204" s="19"/>
      <c r="H204" s="20"/>
    </row>
    <row r="205" spans="1:8" ht="13.15">
      <c r="A205" s="19"/>
      <c r="B205" s="19"/>
      <c r="C205" s="19"/>
      <c r="D205" s="19"/>
      <c r="E205" s="20"/>
      <c r="F205" s="19"/>
      <c r="G205" s="19"/>
      <c r="H205" s="20"/>
    </row>
    <row r="206" spans="1:8" ht="13.15">
      <c r="A206" s="19"/>
      <c r="B206" s="19"/>
      <c r="C206" s="19"/>
      <c r="D206" s="19"/>
      <c r="E206" s="20"/>
      <c r="F206" s="19"/>
      <c r="G206" s="19"/>
      <c r="H206" s="20"/>
    </row>
    <row r="207" spans="1:8" ht="13.15">
      <c r="A207" s="19"/>
      <c r="B207" s="19"/>
      <c r="C207" s="19"/>
      <c r="D207" s="19"/>
      <c r="E207" s="20"/>
      <c r="F207" s="19"/>
      <c r="G207" s="19"/>
      <c r="H207" s="20"/>
    </row>
    <row r="208" spans="1:8" ht="13.15">
      <c r="A208" s="19"/>
      <c r="B208" s="19"/>
      <c r="C208" s="19"/>
      <c r="D208" s="19"/>
      <c r="E208" s="20"/>
      <c r="F208" s="19"/>
      <c r="G208" s="19"/>
      <c r="H208" s="20"/>
    </row>
    <row r="209" spans="1:8" ht="13.15">
      <c r="A209" s="19"/>
      <c r="B209" s="19"/>
      <c r="C209" s="19"/>
      <c r="D209" s="19"/>
      <c r="E209" s="20"/>
      <c r="F209" s="19"/>
      <c r="G209" s="19"/>
      <c r="H209" s="20"/>
    </row>
    <row r="210" spans="1:8" ht="13.15">
      <c r="A210" s="19"/>
      <c r="B210" s="19"/>
      <c r="C210" s="19"/>
      <c r="D210" s="19"/>
      <c r="E210" s="20"/>
      <c r="F210" s="19"/>
      <c r="G210" s="19"/>
      <c r="H210" s="20"/>
    </row>
    <row r="211" spans="1:8" ht="13.15">
      <c r="A211" s="19"/>
      <c r="B211" s="19"/>
      <c r="C211" s="19"/>
      <c r="D211" s="19"/>
      <c r="E211" s="20"/>
      <c r="F211" s="19"/>
      <c r="G211" s="19"/>
      <c r="H211" s="20"/>
    </row>
    <row r="212" spans="1:8" ht="13.15">
      <c r="A212" s="19"/>
      <c r="B212" s="19"/>
      <c r="C212" s="19"/>
      <c r="D212" s="19"/>
      <c r="E212" s="20"/>
      <c r="F212" s="19"/>
      <c r="G212" s="19"/>
      <c r="H212" s="20"/>
    </row>
    <row r="213" spans="1:8" ht="13.15">
      <c r="A213" s="19"/>
      <c r="B213" s="19"/>
      <c r="C213" s="19"/>
      <c r="D213" s="19"/>
      <c r="E213" s="20"/>
      <c r="F213" s="19"/>
      <c r="G213" s="19"/>
      <c r="H213" s="20"/>
    </row>
    <row r="214" spans="1:8" ht="13.15">
      <c r="A214" s="19"/>
      <c r="B214" s="19"/>
      <c r="C214" s="19"/>
      <c r="D214" s="19"/>
      <c r="E214" s="20"/>
      <c r="F214" s="19"/>
      <c r="G214" s="19"/>
      <c r="H214" s="20"/>
    </row>
    <row r="215" spans="1:8" ht="13.15">
      <c r="A215" s="19"/>
      <c r="B215" s="19"/>
      <c r="C215" s="19"/>
      <c r="D215" s="19"/>
      <c r="E215" s="20"/>
      <c r="F215" s="19"/>
      <c r="G215" s="19"/>
      <c r="H215" s="20"/>
    </row>
    <row r="216" spans="1:8" ht="13.15">
      <c r="A216" s="19"/>
      <c r="B216" s="19"/>
      <c r="C216" s="19"/>
      <c r="D216" s="19"/>
      <c r="E216" s="20"/>
      <c r="F216" s="19"/>
      <c r="G216" s="19"/>
      <c r="H216" s="20"/>
    </row>
    <row r="217" spans="1:8" ht="13.15">
      <c r="A217" s="19"/>
      <c r="B217" s="19"/>
      <c r="C217" s="19"/>
      <c r="D217" s="19"/>
      <c r="E217" s="20"/>
      <c r="F217" s="19"/>
      <c r="G217" s="19"/>
      <c r="H217" s="20"/>
    </row>
    <row r="218" spans="1:8" ht="13.15">
      <c r="A218" s="19"/>
      <c r="B218" s="19"/>
      <c r="C218" s="19"/>
      <c r="D218" s="19"/>
      <c r="E218" s="20"/>
      <c r="F218" s="19"/>
      <c r="G218" s="19"/>
      <c r="H218" s="20"/>
    </row>
    <row r="219" spans="1:8" ht="13.15">
      <c r="A219" s="19"/>
      <c r="B219" s="19"/>
      <c r="C219" s="19"/>
      <c r="D219" s="19"/>
      <c r="E219" s="20"/>
      <c r="F219" s="19"/>
      <c r="G219" s="19"/>
      <c r="H219" s="20"/>
    </row>
    <row r="220" spans="1:8" ht="13.15">
      <c r="A220" s="19"/>
      <c r="B220" s="19"/>
      <c r="C220" s="19"/>
      <c r="D220" s="19"/>
      <c r="E220" s="20"/>
      <c r="F220" s="19"/>
      <c r="G220" s="19"/>
      <c r="H220" s="20"/>
    </row>
    <row r="221" spans="1:8" ht="13.15">
      <c r="A221" s="19"/>
      <c r="B221" s="19"/>
      <c r="C221" s="19"/>
      <c r="D221" s="19"/>
      <c r="E221" s="20"/>
      <c r="F221" s="19"/>
      <c r="G221" s="19"/>
      <c r="H221" s="20"/>
    </row>
    <row r="222" spans="1:8" ht="13.15">
      <c r="A222" s="19"/>
      <c r="B222" s="19"/>
      <c r="C222" s="19"/>
      <c r="D222" s="19"/>
      <c r="E222" s="20"/>
      <c r="F222" s="19"/>
      <c r="G222" s="19"/>
      <c r="H222" s="20"/>
    </row>
    <row r="223" spans="1:8" ht="13.15">
      <c r="A223" s="19"/>
      <c r="B223" s="19"/>
      <c r="C223" s="19"/>
      <c r="D223" s="19"/>
      <c r="E223" s="20"/>
      <c r="F223" s="19"/>
      <c r="G223" s="19"/>
      <c r="H223" s="20"/>
    </row>
    <row r="224" spans="1:8" ht="13.15">
      <c r="A224" s="19"/>
      <c r="B224" s="19"/>
      <c r="C224" s="19"/>
      <c r="D224" s="19"/>
      <c r="E224" s="20"/>
      <c r="F224" s="19"/>
      <c r="G224" s="19"/>
      <c r="H224" s="20"/>
    </row>
    <row r="225" spans="1:8" ht="13.15">
      <c r="A225" s="19"/>
      <c r="B225" s="19"/>
      <c r="C225" s="19"/>
      <c r="D225" s="19"/>
      <c r="E225" s="20"/>
      <c r="F225" s="19"/>
      <c r="G225" s="19"/>
      <c r="H225" s="20"/>
    </row>
    <row r="226" spans="1:8" ht="13.15">
      <c r="A226" s="19"/>
      <c r="B226" s="19"/>
      <c r="C226" s="19"/>
      <c r="D226" s="19"/>
      <c r="E226" s="20"/>
      <c r="F226" s="19"/>
      <c r="G226" s="19"/>
      <c r="H226" s="20"/>
    </row>
    <row r="227" spans="1:8" ht="13.15">
      <c r="A227" s="19"/>
      <c r="B227" s="19"/>
      <c r="C227" s="19"/>
      <c r="D227" s="19"/>
      <c r="E227" s="20"/>
      <c r="F227" s="19"/>
      <c r="G227" s="19"/>
      <c r="H227" s="20"/>
    </row>
    <row r="228" spans="1:8" ht="13.15">
      <c r="A228" s="19"/>
      <c r="B228" s="19"/>
      <c r="C228" s="19"/>
      <c r="D228" s="19"/>
      <c r="E228" s="20"/>
      <c r="F228" s="19"/>
      <c r="G228" s="19"/>
      <c r="H228" s="20"/>
    </row>
    <row r="229" spans="1:8" ht="13.15">
      <c r="A229" s="19"/>
      <c r="B229" s="19"/>
      <c r="C229" s="19"/>
      <c r="D229" s="19"/>
      <c r="E229" s="20"/>
      <c r="F229" s="19"/>
      <c r="G229" s="19"/>
      <c r="H229" s="20"/>
    </row>
    <row r="230" spans="1:8" ht="13.15">
      <c r="A230" s="19"/>
      <c r="B230" s="19"/>
      <c r="C230" s="19"/>
      <c r="D230" s="19"/>
      <c r="E230" s="20"/>
      <c r="F230" s="19"/>
      <c r="G230" s="19"/>
      <c r="H230" s="20"/>
    </row>
    <row r="231" spans="1:8" ht="13.15">
      <c r="A231" s="19"/>
      <c r="B231" s="19"/>
      <c r="C231" s="19"/>
      <c r="D231" s="19"/>
      <c r="E231" s="20"/>
      <c r="F231" s="19"/>
      <c r="G231" s="19"/>
      <c r="H231" s="20"/>
    </row>
    <row r="232" spans="1:8" ht="13.15">
      <c r="A232" s="19"/>
      <c r="B232" s="19"/>
      <c r="C232" s="19"/>
      <c r="D232" s="19"/>
      <c r="E232" s="20"/>
      <c r="F232" s="19"/>
      <c r="G232" s="19"/>
      <c r="H232" s="20"/>
    </row>
    <row r="233" spans="1:8" ht="13.15">
      <c r="A233" s="19"/>
      <c r="B233" s="19"/>
      <c r="C233" s="19"/>
      <c r="D233" s="19"/>
      <c r="E233" s="20"/>
      <c r="F233" s="19"/>
      <c r="G233" s="19"/>
      <c r="H233" s="20"/>
    </row>
    <row r="234" spans="1:8" ht="13.15">
      <c r="A234" s="19"/>
      <c r="B234" s="19"/>
      <c r="C234" s="19"/>
      <c r="D234" s="19"/>
      <c r="E234" s="20"/>
      <c r="F234" s="19"/>
      <c r="G234" s="19"/>
      <c r="H234" s="20"/>
    </row>
    <row r="235" spans="1:8" ht="13.15">
      <c r="A235" s="19"/>
      <c r="B235" s="19"/>
      <c r="C235" s="19"/>
      <c r="D235" s="19"/>
      <c r="E235" s="20"/>
      <c r="F235" s="19"/>
      <c r="G235" s="19"/>
      <c r="H235" s="20"/>
    </row>
    <row r="236" spans="1:8" ht="13.15">
      <c r="A236" s="19"/>
      <c r="B236" s="19"/>
      <c r="C236" s="19"/>
      <c r="D236" s="19"/>
      <c r="E236" s="20"/>
      <c r="F236" s="19"/>
      <c r="G236" s="19"/>
      <c r="H236" s="20"/>
    </row>
    <row r="237" spans="1:8" ht="13.15">
      <c r="A237" s="19"/>
      <c r="B237" s="19"/>
      <c r="C237" s="19"/>
      <c r="D237" s="19"/>
      <c r="E237" s="20"/>
      <c r="F237" s="19"/>
      <c r="G237" s="19"/>
      <c r="H237" s="20"/>
    </row>
    <row r="238" spans="1:8" ht="13.15">
      <c r="A238" s="19"/>
      <c r="B238" s="19"/>
      <c r="C238" s="19"/>
      <c r="D238" s="19"/>
      <c r="E238" s="20"/>
      <c r="F238" s="19"/>
      <c r="G238" s="19"/>
      <c r="H238" s="20"/>
    </row>
    <row r="239" spans="1:8" ht="13.15">
      <c r="A239" s="19"/>
      <c r="B239" s="19"/>
      <c r="C239" s="19"/>
      <c r="D239" s="19"/>
      <c r="E239" s="20"/>
      <c r="F239" s="19"/>
      <c r="G239" s="19"/>
      <c r="H239" s="20"/>
    </row>
    <row r="240" spans="1:8" ht="13.15">
      <c r="A240" s="19"/>
      <c r="B240" s="19"/>
      <c r="C240" s="19"/>
      <c r="D240" s="19"/>
      <c r="E240" s="20"/>
      <c r="F240" s="19"/>
      <c r="G240" s="19"/>
      <c r="H240" s="20"/>
    </row>
    <row r="241" spans="1:8" ht="13.15">
      <c r="A241" s="19"/>
      <c r="B241" s="19"/>
      <c r="C241" s="19"/>
      <c r="D241" s="19"/>
      <c r="E241" s="20"/>
      <c r="F241" s="19"/>
      <c r="G241" s="19"/>
      <c r="H241" s="20"/>
    </row>
    <row r="242" spans="1:8" ht="13.15">
      <c r="A242" s="19"/>
      <c r="B242" s="19"/>
      <c r="C242" s="19"/>
      <c r="D242" s="19"/>
      <c r="E242" s="20"/>
      <c r="F242" s="19"/>
      <c r="G242" s="19"/>
      <c r="H242" s="20"/>
    </row>
    <row r="243" spans="1:8" ht="13.15">
      <c r="A243" s="19"/>
      <c r="B243" s="19"/>
      <c r="C243" s="19"/>
      <c r="D243" s="19"/>
      <c r="E243" s="20"/>
      <c r="F243" s="19"/>
      <c r="G243" s="19"/>
      <c r="H243" s="20"/>
    </row>
    <row r="244" spans="1:8" ht="13.15">
      <c r="A244" s="19"/>
      <c r="B244" s="19"/>
      <c r="C244" s="19"/>
      <c r="D244" s="19"/>
      <c r="E244" s="20"/>
      <c r="F244" s="19"/>
      <c r="G244" s="19"/>
      <c r="H244" s="20"/>
    </row>
    <row r="245" spans="1:8" ht="13.15">
      <c r="A245" s="19"/>
      <c r="B245" s="19"/>
      <c r="C245" s="19"/>
      <c r="D245" s="19"/>
      <c r="E245" s="20"/>
      <c r="F245" s="19"/>
      <c r="G245" s="19"/>
      <c r="H245" s="20"/>
    </row>
    <row r="246" spans="1:8" ht="13.15">
      <c r="A246" s="19"/>
      <c r="B246" s="19"/>
      <c r="C246" s="19"/>
      <c r="D246" s="19"/>
      <c r="E246" s="20"/>
      <c r="F246" s="19"/>
      <c r="G246" s="19"/>
      <c r="H246" s="20"/>
    </row>
    <row r="247" spans="1:8" ht="13.15">
      <c r="A247" s="19"/>
      <c r="B247" s="19"/>
      <c r="C247" s="19"/>
      <c r="D247" s="19"/>
      <c r="E247" s="20"/>
      <c r="F247" s="19"/>
      <c r="G247" s="19"/>
      <c r="H247" s="20"/>
    </row>
    <row r="248" spans="1:8" ht="13.15">
      <c r="A248" s="19"/>
      <c r="B248" s="19"/>
      <c r="C248" s="19"/>
      <c r="D248" s="19"/>
      <c r="E248" s="20"/>
      <c r="F248" s="19"/>
      <c r="G248" s="19"/>
      <c r="H248" s="20"/>
    </row>
    <row r="249" spans="1:8" ht="13.15">
      <c r="A249" s="19"/>
      <c r="B249" s="19"/>
      <c r="C249" s="19"/>
      <c r="D249" s="19"/>
      <c r="E249" s="20"/>
      <c r="F249" s="19"/>
      <c r="G249" s="19"/>
      <c r="H249" s="20"/>
    </row>
    <row r="250" spans="1:8" ht="13.15">
      <c r="A250" s="19"/>
      <c r="B250" s="19"/>
      <c r="C250" s="19"/>
      <c r="D250" s="19"/>
      <c r="E250" s="20"/>
      <c r="F250" s="19"/>
      <c r="G250" s="19"/>
      <c r="H250" s="20"/>
    </row>
    <row r="251" spans="1:8" ht="13.15">
      <c r="A251" s="19"/>
      <c r="B251" s="19"/>
      <c r="C251" s="19"/>
      <c r="D251" s="19"/>
      <c r="E251" s="20"/>
      <c r="F251" s="19"/>
      <c r="G251" s="19"/>
      <c r="H251" s="20"/>
    </row>
    <row r="252" spans="1:8" ht="13.15">
      <c r="A252" s="19"/>
      <c r="B252" s="19"/>
      <c r="C252" s="19"/>
      <c r="D252" s="19"/>
      <c r="E252" s="20"/>
      <c r="F252" s="19"/>
      <c r="G252" s="19"/>
      <c r="H252" s="20"/>
    </row>
    <row r="253" spans="1:8" ht="13.15">
      <c r="A253" s="19"/>
      <c r="B253" s="19"/>
      <c r="C253" s="19"/>
      <c r="D253" s="19"/>
      <c r="E253" s="20"/>
      <c r="F253" s="19"/>
      <c r="G253" s="19"/>
      <c r="H253" s="20"/>
    </row>
    <row r="254" spans="1:8" ht="13.15">
      <c r="A254" s="19"/>
      <c r="B254" s="19"/>
      <c r="C254" s="19"/>
      <c r="D254" s="19"/>
      <c r="E254" s="20"/>
      <c r="F254" s="19"/>
      <c r="G254" s="19"/>
      <c r="H254" s="20"/>
    </row>
    <row r="255" spans="1:8" ht="13.15">
      <c r="A255" s="19"/>
      <c r="B255" s="19"/>
      <c r="C255" s="19"/>
      <c r="D255" s="19"/>
      <c r="E255" s="20"/>
      <c r="F255" s="19"/>
      <c r="G255" s="19"/>
      <c r="H255" s="20"/>
    </row>
    <row r="256" spans="1:8" ht="13.15">
      <c r="A256" s="19"/>
      <c r="B256" s="19"/>
      <c r="C256" s="19"/>
      <c r="D256" s="19"/>
      <c r="E256" s="20"/>
      <c r="F256" s="19"/>
      <c r="G256" s="19"/>
      <c r="H256" s="20"/>
    </row>
    <row r="257" spans="1:8" ht="13.15">
      <c r="A257" s="19"/>
      <c r="B257" s="19"/>
      <c r="C257" s="19"/>
      <c r="D257" s="19"/>
      <c r="E257" s="20"/>
      <c r="F257" s="19"/>
      <c r="G257" s="19"/>
      <c r="H257" s="20"/>
    </row>
    <row r="258" spans="1:8" ht="13.15">
      <c r="A258" s="19"/>
      <c r="B258" s="19"/>
      <c r="C258" s="19"/>
      <c r="D258" s="19"/>
      <c r="E258" s="20"/>
      <c r="F258" s="19"/>
      <c r="G258" s="19"/>
      <c r="H258" s="20"/>
    </row>
    <row r="259" spans="1:8" ht="13.15">
      <c r="A259" s="19"/>
      <c r="B259" s="19"/>
      <c r="C259" s="19"/>
      <c r="D259" s="19"/>
      <c r="E259" s="20"/>
      <c r="F259" s="19"/>
      <c r="G259" s="19"/>
      <c r="H259" s="20"/>
    </row>
    <row r="260" spans="1:8" ht="13.15">
      <c r="A260" s="19"/>
      <c r="B260" s="19"/>
      <c r="C260" s="19"/>
      <c r="D260" s="19"/>
      <c r="E260" s="20"/>
      <c r="F260" s="19"/>
      <c r="G260" s="19"/>
      <c r="H260" s="20"/>
    </row>
    <row r="261" spans="1:8" ht="13.15">
      <c r="A261" s="19"/>
      <c r="B261" s="19"/>
      <c r="C261" s="19"/>
      <c r="D261" s="19"/>
      <c r="E261" s="20"/>
      <c r="F261" s="19"/>
      <c r="G261" s="19"/>
      <c r="H261" s="20"/>
    </row>
    <row r="262" spans="1:8" ht="13.15">
      <c r="A262" s="19"/>
      <c r="B262" s="19"/>
      <c r="C262" s="19"/>
      <c r="D262" s="19"/>
      <c r="E262" s="20"/>
      <c r="F262" s="19"/>
      <c r="G262" s="19"/>
      <c r="H262" s="20"/>
    </row>
    <row r="263" spans="1:8" ht="13.15">
      <c r="A263" s="19"/>
      <c r="B263" s="19"/>
      <c r="C263" s="19"/>
      <c r="D263" s="19"/>
      <c r="E263" s="20"/>
      <c r="F263" s="19"/>
      <c r="G263" s="19"/>
      <c r="H263" s="20"/>
    </row>
    <row r="264" spans="1:8" ht="13.15">
      <c r="A264" s="19"/>
      <c r="B264" s="19"/>
      <c r="C264" s="19"/>
      <c r="D264" s="19"/>
      <c r="E264" s="20"/>
      <c r="F264" s="19"/>
      <c r="G264" s="19"/>
      <c r="H264" s="20"/>
    </row>
    <row r="265" spans="1:8" ht="13.15">
      <c r="A265" s="19"/>
      <c r="B265" s="19"/>
      <c r="C265" s="19"/>
      <c r="D265" s="19"/>
      <c r="E265" s="20"/>
      <c r="F265" s="19"/>
      <c r="G265" s="19"/>
      <c r="H265" s="20"/>
    </row>
    <row r="266" spans="1:8" ht="13.15">
      <c r="A266" s="19"/>
      <c r="B266" s="19"/>
      <c r="C266" s="19"/>
      <c r="D266" s="19"/>
      <c r="E266" s="20"/>
      <c r="F266" s="19"/>
      <c r="G266" s="19"/>
      <c r="H266" s="20"/>
    </row>
    <row r="267" spans="1:8" ht="13.15">
      <c r="A267" s="19"/>
      <c r="B267" s="19"/>
      <c r="C267" s="19"/>
      <c r="D267" s="19"/>
      <c r="E267" s="20"/>
      <c r="F267" s="19"/>
      <c r="G267" s="19"/>
      <c r="H267" s="20"/>
    </row>
    <row r="268" spans="1:8" ht="13.15">
      <c r="A268" s="19"/>
      <c r="B268" s="19"/>
      <c r="C268" s="19"/>
      <c r="D268" s="19"/>
      <c r="E268" s="20"/>
      <c r="F268" s="19"/>
      <c r="G268" s="19"/>
      <c r="H268" s="20"/>
    </row>
    <row r="269" spans="1:8" ht="13.15">
      <c r="A269" s="19"/>
      <c r="B269" s="19"/>
      <c r="C269" s="19"/>
      <c r="D269" s="19"/>
      <c r="E269" s="20"/>
      <c r="F269" s="19"/>
      <c r="G269" s="19"/>
      <c r="H269" s="20"/>
    </row>
    <row r="270" spans="1:8" ht="13.15">
      <c r="A270" s="19"/>
      <c r="B270" s="19"/>
      <c r="C270" s="19"/>
      <c r="D270" s="19"/>
      <c r="E270" s="20"/>
      <c r="F270" s="19"/>
      <c r="G270" s="19"/>
      <c r="H270" s="20"/>
    </row>
    <row r="271" spans="1:8" ht="13.15">
      <c r="A271" s="19"/>
      <c r="B271" s="19"/>
      <c r="C271" s="19"/>
      <c r="D271" s="19"/>
      <c r="E271" s="20"/>
      <c r="F271" s="19"/>
      <c r="G271" s="19"/>
      <c r="H271" s="20"/>
    </row>
    <row r="272" spans="1:8" ht="13.15">
      <c r="A272" s="19"/>
      <c r="B272" s="19"/>
      <c r="C272" s="19"/>
      <c r="D272" s="19"/>
      <c r="E272" s="20"/>
      <c r="F272" s="19"/>
      <c r="G272" s="19"/>
      <c r="H272" s="20"/>
    </row>
    <row r="273" spans="1:8" ht="13.15">
      <c r="A273" s="19"/>
      <c r="B273" s="19"/>
      <c r="C273" s="19"/>
      <c r="D273" s="19"/>
      <c r="E273" s="20"/>
      <c r="F273" s="19"/>
      <c r="G273" s="19"/>
      <c r="H273" s="20"/>
    </row>
    <row r="274" spans="1:8" ht="13.15">
      <c r="A274" s="19"/>
      <c r="B274" s="19"/>
      <c r="C274" s="19"/>
      <c r="D274" s="19"/>
      <c r="E274" s="20"/>
      <c r="F274" s="19"/>
      <c r="G274" s="19"/>
      <c r="H274" s="20"/>
    </row>
    <row r="275" spans="1:8" ht="13.15">
      <c r="A275" s="19"/>
      <c r="B275" s="19"/>
      <c r="C275" s="19"/>
      <c r="D275" s="19"/>
      <c r="E275" s="20"/>
      <c r="F275" s="19"/>
      <c r="G275" s="19"/>
      <c r="H275" s="20"/>
    </row>
    <row r="276" spans="1:8" ht="13.15">
      <c r="A276" s="19"/>
      <c r="B276" s="19"/>
      <c r="C276" s="19"/>
      <c r="D276" s="19"/>
      <c r="E276" s="20"/>
      <c r="F276" s="19"/>
      <c r="G276" s="19"/>
      <c r="H276" s="20"/>
    </row>
    <row r="277" spans="1:8" ht="13.15">
      <c r="A277" s="19"/>
      <c r="B277" s="19"/>
      <c r="C277" s="19"/>
      <c r="D277" s="19"/>
      <c r="E277" s="20"/>
      <c r="F277" s="19"/>
      <c r="G277" s="19"/>
      <c r="H277" s="20"/>
    </row>
    <row r="278" spans="1:8" ht="13.15">
      <c r="A278" s="19"/>
      <c r="B278" s="19"/>
      <c r="C278" s="19"/>
      <c r="D278" s="19"/>
      <c r="E278" s="20"/>
      <c r="F278" s="19"/>
      <c r="G278" s="19"/>
      <c r="H278" s="20"/>
    </row>
    <row r="279" spans="1:8" ht="13.15">
      <c r="A279" s="19"/>
      <c r="B279" s="19"/>
      <c r="C279" s="19"/>
      <c r="D279" s="19"/>
      <c r="E279" s="20"/>
      <c r="F279" s="19"/>
      <c r="G279" s="19"/>
      <c r="H279" s="20"/>
    </row>
    <row r="280" spans="1:8" ht="13.15">
      <c r="A280" s="19"/>
      <c r="B280" s="19"/>
      <c r="C280" s="19"/>
      <c r="D280" s="19"/>
      <c r="E280" s="20"/>
      <c r="F280" s="19"/>
      <c r="G280" s="19"/>
      <c r="H280" s="20"/>
    </row>
    <row r="281" spans="1:8" ht="13.15">
      <c r="A281" s="19"/>
      <c r="B281" s="19"/>
      <c r="C281" s="19"/>
      <c r="D281" s="19"/>
      <c r="E281" s="20"/>
      <c r="F281" s="19"/>
      <c r="G281" s="19"/>
      <c r="H281" s="20"/>
    </row>
    <row r="282" spans="1:8" ht="13.15">
      <c r="A282" s="19"/>
      <c r="B282" s="19"/>
      <c r="C282" s="19"/>
      <c r="D282" s="19"/>
      <c r="E282" s="20"/>
      <c r="F282" s="19"/>
      <c r="G282" s="19"/>
      <c r="H282" s="20"/>
    </row>
    <row r="283" spans="1:8" ht="13.15">
      <c r="A283" s="19"/>
      <c r="B283" s="19"/>
      <c r="C283" s="19"/>
      <c r="D283" s="19"/>
      <c r="E283" s="20"/>
      <c r="F283" s="19"/>
      <c r="G283" s="19"/>
      <c r="H283" s="20"/>
    </row>
    <row r="284" spans="1:8" ht="13.15">
      <c r="A284" s="19"/>
      <c r="B284" s="19"/>
      <c r="C284" s="19"/>
      <c r="D284" s="19"/>
      <c r="E284" s="20"/>
      <c r="F284" s="19"/>
      <c r="G284" s="19"/>
      <c r="H284" s="20"/>
    </row>
    <row r="285" spans="1:8" ht="13.15">
      <c r="A285" s="19"/>
      <c r="B285" s="19"/>
      <c r="C285" s="19"/>
      <c r="D285" s="19"/>
      <c r="E285" s="20"/>
      <c r="F285" s="19"/>
      <c r="G285" s="19"/>
      <c r="H285" s="20"/>
    </row>
    <row r="286" spans="1:8" ht="13.15">
      <c r="A286" s="19"/>
      <c r="B286" s="19"/>
      <c r="C286" s="19"/>
      <c r="D286" s="19"/>
      <c r="E286" s="20"/>
      <c r="F286" s="19"/>
      <c r="G286" s="19"/>
      <c r="H286" s="20"/>
    </row>
    <row r="287" spans="1:8" ht="13.15">
      <c r="A287" s="19"/>
      <c r="B287" s="19"/>
      <c r="C287" s="19"/>
      <c r="D287" s="19"/>
      <c r="E287" s="20"/>
      <c r="F287" s="19"/>
      <c r="G287" s="19"/>
      <c r="H287" s="20"/>
    </row>
    <row r="288" spans="1:8" ht="13.15">
      <c r="A288" s="19"/>
      <c r="B288" s="19"/>
      <c r="C288" s="19"/>
      <c r="D288" s="19"/>
      <c r="E288" s="20"/>
      <c r="F288" s="19"/>
      <c r="G288" s="19"/>
      <c r="H288" s="20"/>
    </row>
    <row r="289" spans="1:8" ht="13.15">
      <c r="A289" s="19"/>
      <c r="B289" s="19"/>
      <c r="C289" s="19"/>
      <c r="D289" s="19"/>
      <c r="E289" s="20"/>
      <c r="F289" s="19"/>
      <c r="G289" s="19"/>
      <c r="H289" s="20"/>
    </row>
    <row r="290" spans="1:8" ht="13.15">
      <c r="A290" s="19"/>
      <c r="B290" s="19"/>
      <c r="C290" s="19"/>
      <c r="D290" s="19"/>
      <c r="E290" s="20"/>
      <c r="F290" s="19"/>
      <c r="G290" s="19"/>
      <c r="H290" s="20"/>
    </row>
    <row r="291" spans="1:8" ht="13.15">
      <c r="A291" s="19"/>
      <c r="B291" s="19"/>
      <c r="C291" s="19"/>
      <c r="D291" s="19"/>
      <c r="E291" s="20"/>
      <c r="F291" s="19"/>
      <c r="G291" s="19"/>
      <c r="H291" s="20"/>
    </row>
    <row r="292" spans="1:8" ht="13.15">
      <c r="A292" s="19"/>
      <c r="B292" s="19"/>
      <c r="C292" s="19"/>
      <c r="D292" s="19"/>
      <c r="E292" s="20"/>
      <c r="F292" s="19"/>
      <c r="G292" s="19"/>
      <c r="H292" s="20"/>
    </row>
    <row r="293" spans="1:8" ht="13.15">
      <c r="A293" s="19"/>
      <c r="B293" s="19"/>
      <c r="C293" s="19"/>
      <c r="D293" s="19"/>
      <c r="E293" s="20"/>
      <c r="F293" s="19"/>
      <c r="G293" s="19"/>
      <c r="H293" s="20"/>
    </row>
    <row r="294" spans="1:8" ht="13.15">
      <c r="A294" s="19"/>
      <c r="B294" s="19"/>
      <c r="C294" s="19"/>
      <c r="D294" s="19"/>
      <c r="E294" s="20"/>
      <c r="F294" s="19"/>
      <c r="G294" s="19"/>
      <c r="H294" s="20"/>
    </row>
    <row r="295" spans="1:8" ht="13.15">
      <c r="A295" s="19"/>
      <c r="B295" s="19"/>
      <c r="C295" s="19"/>
      <c r="D295" s="19"/>
      <c r="E295" s="20"/>
      <c r="F295" s="19"/>
      <c r="G295" s="19"/>
      <c r="H295" s="20"/>
    </row>
    <row r="296" spans="1:8" ht="13.15">
      <c r="A296" s="19"/>
      <c r="B296" s="19"/>
      <c r="C296" s="19"/>
      <c r="D296" s="19"/>
      <c r="E296" s="20"/>
      <c r="F296" s="19"/>
      <c r="G296" s="19"/>
      <c r="H296" s="20"/>
    </row>
    <row r="297" spans="1:8" ht="13.15">
      <c r="A297" s="19"/>
      <c r="B297" s="19"/>
      <c r="C297" s="19"/>
      <c r="D297" s="19"/>
      <c r="E297" s="20"/>
      <c r="F297" s="19"/>
      <c r="G297" s="19"/>
      <c r="H297" s="20"/>
    </row>
    <row r="298" spans="1:8" ht="13.15">
      <c r="A298" s="19"/>
      <c r="B298" s="19"/>
      <c r="C298" s="19"/>
      <c r="D298" s="19"/>
      <c r="E298" s="20"/>
      <c r="F298" s="19"/>
      <c r="G298" s="19"/>
      <c r="H298" s="20"/>
    </row>
    <row r="299" spans="1:8" ht="13.15">
      <c r="A299" s="19"/>
      <c r="B299" s="19"/>
      <c r="C299" s="19"/>
      <c r="D299" s="19"/>
      <c r="E299" s="20"/>
      <c r="F299" s="19"/>
      <c r="G299" s="19"/>
      <c r="H299" s="20"/>
    </row>
    <row r="300" spans="1:8" ht="13.15">
      <c r="A300" s="19"/>
      <c r="B300" s="19"/>
      <c r="C300" s="19"/>
      <c r="D300" s="19"/>
      <c r="E300" s="20"/>
      <c r="F300" s="19"/>
      <c r="G300" s="19"/>
      <c r="H300" s="20"/>
    </row>
    <row r="301" spans="1:8" ht="13.15">
      <c r="A301" s="19"/>
      <c r="B301" s="19"/>
      <c r="C301" s="19"/>
      <c r="D301" s="19"/>
      <c r="E301" s="20"/>
      <c r="F301" s="19"/>
      <c r="G301" s="19"/>
      <c r="H301" s="20"/>
    </row>
    <row r="302" spans="1:8" ht="13.15">
      <c r="A302" s="19"/>
      <c r="B302" s="19"/>
      <c r="C302" s="19"/>
      <c r="D302" s="19"/>
      <c r="E302" s="20"/>
      <c r="F302" s="19"/>
      <c r="G302" s="19"/>
      <c r="H302" s="20"/>
    </row>
    <row r="303" spans="1:8" ht="13.15">
      <c r="A303" s="19"/>
      <c r="B303" s="19"/>
      <c r="C303" s="19"/>
      <c r="D303" s="19"/>
      <c r="E303" s="20"/>
      <c r="F303" s="19"/>
      <c r="G303" s="19"/>
      <c r="H303" s="20"/>
    </row>
    <row r="304" spans="1:8" ht="13.15">
      <c r="A304" s="19"/>
      <c r="B304" s="19"/>
      <c r="C304" s="19"/>
      <c r="D304" s="19"/>
      <c r="E304" s="20"/>
      <c r="F304" s="19"/>
      <c r="G304" s="19"/>
      <c r="H304" s="20"/>
    </row>
    <row r="305" spans="1:8" ht="13.15">
      <c r="A305" s="19"/>
      <c r="B305" s="19"/>
      <c r="C305" s="19"/>
      <c r="D305" s="19"/>
      <c r="E305" s="20"/>
      <c r="F305" s="19"/>
      <c r="G305" s="19"/>
      <c r="H305" s="20"/>
    </row>
    <row r="306" spans="1:8" ht="13.15">
      <c r="A306" s="19"/>
      <c r="B306" s="19"/>
      <c r="C306" s="19"/>
      <c r="D306" s="19"/>
      <c r="E306" s="20"/>
      <c r="F306" s="19"/>
      <c r="G306" s="19"/>
      <c r="H306" s="20"/>
    </row>
    <row r="307" spans="1:8" ht="13.15">
      <c r="A307" s="19"/>
      <c r="B307" s="19"/>
      <c r="C307" s="19"/>
      <c r="D307" s="19"/>
      <c r="E307" s="20"/>
      <c r="F307" s="19"/>
      <c r="G307" s="19"/>
      <c r="H307" s="20"/>
    </row>
    <row r="308" spans="1:8" ht="13.15">
      <c r="A308" s="19"/>
      <c r="B308" s="19"/>
      <c r="C308" s="19"/>
      <c r="D308" s="19"/>
      <c r="E308" s="20"/>
      <c r="F308" s="19"/>
      <c r="G308" s="19"/>
      <c r="H308" s="20"/>
    </row>
    <row r="309" spans="1:8" ht="13.15">
      <c r="A309" s="19"/>
      <c r="B309" s="19"/>
      <c r="C309" s="19"/>
      <c r="D309" s="19"/>
      <c r="E309" s="20"/>
      <c r="F309" s="19"/>
      <c r="G309" s="19"/>
      <c r="H309" s="20"/>
    </row>
    <row r="310" spans="1:8" ht="13.15">
      <c r="A310" s="19"/>
      <c r="B310" s="19"/>
      <c r="C310" s="19"/>
      <c r="D310" s="19"/>
      <c r="E310" s="20"/>
      <c r="F310" s="19"/>
      <c r="G310" s="19"/>
      <c r="H310" s="20"/>
    </row>
    <row r="311" spans="1:8" ht="13.15">
      <c r="A311" s="19"/>
      <c r="B311" s="19"/>
      <c r="C311" s="19"/>
      <c r="D311" s="19"/>
      <c r="E311" s="20"/>
      <c r="F311" s="19"/>
      <c r="G311" s="19"/>
      <c r="H311" s="20"/>
    </row>
    <row r="312" spans="1:8" ht="13.15">
      <c r="A312" s="19"/>
      <c r="B312" s="19"/>
      <c r="C312" s="19"/>
      <c r="D312" s="19"/>
      <c r="E312" s="20"/>
      <c r="F312" s="19"/>
      <c r="G312" s="19"/>
      <c r="H312" s="20"/>
    </row>
    <row r="313" spans="1:8" ht="13.15">
      <c r="A313" s="19"/>
      <c r="B313" s="19"/>
      <c r="C313" s="19"/>
      <c r="D313" s="19"/>
      <c r="E313" s="20"/>
      <c r="F313" s="19"/>
      <c r="G313" s="19"/>
      <c r="H313" s="20"/>
    </row>
    <row r="314" spans="1:8" ht="13.15">
      <c r="A314" s="19"/>
      <c r="B314" s="19"/>
      <c r="C314" s="19"/>
      <c r="D314" s="19"/>
      <c r="E314" s="20"/>
      <c r="F314" s="19"/>
      <c r="G314" s="19"/>
      <c r="H314" s="20"/>
    </row>
    <row r="315" spans="1:8" ht="13.15">
      <c r="A315" s="19"/>
      <c r="B315" s="19"/>
      <c r="C315" s="19"/>
      <c r="D315" s="19"/>
      <c r="E315" s="20"/>
      <c r="F315" s="19"/>
      <c r="G315" s="19"/>
      <c r="H315" s="20"/>
    </row>
    <row r="316" spans="1:8" ht="13.15">
      <c r="A316" s="19"/>
      <c r="B316" s="19"/>
      <c r="C316" s="19"/>
      <c r="D316" s="19"/>
      <c r="E316" s="20"/>
      <c r="F316" s="19"/>
      <c r="G316" s="19"/>
      <c r="H316" s="20"/>
    </row>
    <row r="317" spans="1:8" ht="13.15">
      <c r="A317" s="19"/>
      <c r="B317" s="19"/>
      <c r="C317" s="19"/>
      <c r="D317" s="19"/>
      <c r="E317" s="20"/>
      <c r="F317" s="19"/>
      <c r="G317" s="19"/>
      <c r="H317" s="20"/>
    </row>
    <row r="318" spans="1:8" ht="13.15">
      <c r="A318" s="19"/>
      <c r="B318" s="19"/>
      <c r="C318" s="19"/>
      <c r="D318" s="19"/>
      <c r="E318" s="20"/>
      <c r="F318" s="19"/>
      <c r="G318" s="19"/>
      <c r="H318" s="20"/>
    </row>
    <row r="319" spans="1:8" ht="13.15">
      <c r="A319" s="19"/>
      <c r="B319" s="19"/>
      <c r="C319" s="19"/>
      <c r="D319" s="19"/>
      <c r="E319" s="20"/>
      <c r="F319" s="19"/>
      <c r="G319" s="19"/>
      <c r="H319" s="20"/>
    </row>
    <row r="320" spans="1:8" ht="13.15">
      <c r="A320" s="19"/>
      <c r="B320" s="19"/>
      <c r="C320" s="19"/>
      <c r="D320" s="19"/>
      <c r="E320" s="20"/>
      <c r="F320" s="19"/>
      <c r="G320" s="19"/>
      <c r="H320" s="20"/>
    </row>
    <row r="321" spans="1:8" ht="13.15">
      <c r="A321" s="19"/>
      <c r="B321" s="19"/>
      <c r="C321" s="19"/>
      <c r="D321" s="19"/>
      <c r="E321" s="20"/>
      <c r="F321" s="19"/>
      <c r="G321" s="19"/>
      <c r="H321" s="20"/>
    </row>
    <row r="322" spans="1:8" ht="13.15">
      <c r="A322" s="19"/>
      <c r="B322" s="19"/>
      <c r="C322" s="19"/>
      <c r="D322" s="19"/>
      <c r="E322" s="20"/>
      <c r="F322" s="19"/>
      <c r="G322" s="19"/>
      <c r="H322" s="20"/>
    </row>
    <row r="323" spans="1:8" ht="13.15">
      <c r="A323" s="19"/>
      <c r="B323" s="19"/>
      <c r="C323" s="19"/>
      <c r="D323" s="19"/>
      <c r="E323" s="20"/>
      <c r="F323" s="19"/>
      <c r="G323" s="19"/>
      <c r="H323" s="20"/>
    </row>
    <row r="324" spans="1:8" ht="13.15">
      <c r="A324" s="19"/>
      <c r="B324" s="19"/>
      <c r="C324" s="19"/>
      <c r="D324" s="19"/>
      <c r="E324" s="20"/>
      <c r="F324" s="19"/>
      <c r="G324" s="19"/>
      <c r="H324" s="20"/>
    </row>
    <row r="325" spans="1:8" ht="13.15">
      <c r="A325" s="19"/>
      <c r="B325" s="19"/>
      <c r="C325" s="19"/>
      <c r="D325" s="19"/>
      <c r="E325" s="20"/>
      <c r="F325" s="19"/>
      <c r="G325" s="19"/>
      <c r="H325" s="20"/>
    </row>
    <row r="326" spans="1:8" ht="13.15">
      <c r="A326" s="19"/>
      <c r="B326" s="19"/>
      <c r="C326" s="19"/>
      <c r="D326" s="19"/>
      <c r="E326" s="20"/>
      <c r="F326" s="19"/>
      <c r="G326" s="19"/>
      <c r="H326" s="20"/>
    </row>
    <row r="327" spans="1:8" ht="13.15">
      <c r="A327" s="19"/>
      <c r="B327" s="19"/>
      <c r="C327" s="19"/>
      <c r="D327" s="19"/>
      <c r="E327" s="20"/>
      <c r="F327" s="19"/>
      <c r="G327" s="19"/>
      <c r="H327" s="20"/>
    </row>
    <row r="328" spans="1:8" ht="13.15">
      <c r="A328" s="19"/>
      <c r="B328" s="19"/>
      <c r="C328" s="19"/>
      <c r="D328" s="19"/>
      <c r="E328" s="20"/>
      <c r="F328" s="19"/>
      <c r="G328" s="19"/>
      <c r="H328" s="20"/>
    </row>
    <row r="329" spans="1:8" ht="13.15">
      <c r="A329" s="19"/>
      <c r="B329" s="19"/>
      <c r="C329" s="19"/>
      <c r="D329" s="19"/>
      <c r="E329" s="20"/>
      <c r="F329" s="19"/>
      <c r="G329" s="19"/>
      <c r="H329" s="20"/>
    </row>
    <row r="330" spans="1:8" ht="13.15">
      <c r="A330" s="19"/>
      <c r="B330" s="19"/>
      <c r="C330" s="19"/>
      <c r="D330" s="19"/>
      <c r="E330" s="20"/>
      <c r="F330" s="19"/>
      <c r="G330" s="19"/>
      <c r="H330" s="20"/>
    </row>
    <row r="331" spans="1:8" ht="13.15">
      <c r="A331" s="19"/>
      <c r="B331" s="19"/>
      <c r="C331" s="19"/>
      <c r="D331" s="19"/>
      <c r="E331" s="20"/>
      <c r="F331" s="19"/>
      <c r="G331" s="19"/>
      <c r="H331" s="20"/>
    </row>
    <row r="332" spans="1:8" ht="13.15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44" priority="1" stopIfTrue="1" operator="lessThanOrEqual">
      <formula>-0.1</formula>
    </cfRule>
    <cfRule type="expression" dxfId="43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5" activePane="bottomRight" state="frozen"/>
      <selection pane="bottomRight" activeCell="B5" sqref="B5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1.8554687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</cols>
  <sheetData>
    <row r="1" spans="1:8" ht="19.5" customHeight="1">
      <c r="A1" s="74" t="str" cm="1">
        <f t="array" ref="A1">portfolio</f>
        <v>Wells Fargo</v>
      </c>
      <c r="B1" s="75"/>
      <c r="C1" s="76" t="s">
        <v>12</v>
      </c>
      <c r="D1" s="77"/>
      <c r="E1" s="78"/>
      <c r="F1" s="79" t="s">
        <v>13</v>
      </c>
      <c r="G1" s="80"/>
      <c r="H1" s="81"/>
    </row>
    <row r="2" spans="1:8" ht="19.5" customHeight="1">
      <c r="A2" s="42" t="s">
        <v>2</v>
      </c>
      <c r="B2" s="4">
        <f ca="1">SUM(B4:B85)</f>
        <v>4061976.2103436808</v>
      </c>
      <c r="C2" s="4">
        <f ca="1">SUM(C4:C85)</f>
        <v>3842359.1284999996</v>
      </c>
      <c r="D2" s="4">
        <f ca="1">B2-C2</f>
        <v>219617.08184368117</v>
      </c>
      <c r="E2" s="5">
        <f ca="1">IFERROR(D2/C2, 0)</f>
        <v>5.7156833731316636E-2</v>
      </c>
      <c r="F2" s="4">
        <f ca="1">SUM(F4:F85)</f>
        <v>4722056.4857999999</v>
      </c>
      <c r="G2" s="6">
        <f ca="1">B2-F2</f>
        <v>-660080.2754563191</v>
      </c>
      <c r="H2" s="5">
        <f ca="1">IFERROR(G2/F2, 0)</f>
        <v>-0.13978661149888591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25">
      <c r="A4" s="27" t="str" cm="1">
        <f t="array" ref="A4:A11">_xlfn.UNIQUE(Sites[State])</f>
        <v>CA</v>
      </c>
      <c r="B4" s="22">
        <f ca="1">SUM(SUMIF(_xlfn.ANCHORARRAY(Apr!$B$4), $A4, Apr!C$4:C$78), SUMIF(_xlfn.ANCHORARRAY(May!$B$4), $A4, May!C$4:C$65), SUMIF(_xlfn.ANCHORARRAY(Jun!$B$4), $A4, Jun!C$4:C$65))</f>
        <v>179169.75</v>
      </c>
      <c r="C4" s="11">
        <f ca="1">SUM(SUMIF(_xlfn.ANCHORARRAY(Apr!$B$4), $A4, Apr!D$4:D$78), SUMIF(_xlfn.ANCHORARRAY(May!$B$4), $A4, May!D$4:D$65), SUMIF(_xlfn.ANCHORARRAY(Jun!$B$4), $A4, Jun!D$4:D$65))</f>
        <v>147873.06</v>
      </c>
      <c r="D4" s="11">
        <f ca="1">IF(AND(ISNUMBER(B4),ISNUMBER(C4)), B4-C4, "")</f>
        <v>31296.690000000002</v>
      </c>
      <c r="E4" s="12">
        <f ca="1">IFERROR(D4/C4, "")</f>
        <v>0.21164565066821503</v>
      </c>
      <c r="F4" s="13">
        <f ca="1">SUM(SUMIF(_xlfn.ANCHORARRAY(Apr!$B$4), $A4, Apr!G$4:G$78), SUMIF(_xlfn.ANCHORARRAY(May!$B$4), $A4, May!G$4:G$65), SUMIF(_xlfn.ANCHORARRAY(Jun!$B$4), $A4, Jun!G$4:G$65))</f>
        <v>157791.785</v>
      </c>
      <c r="G4" s="13">
        <f ca="1">IF(AND(ISNUMBER(B4),ISNUMBER(F4)), B4-F4, "")</f>
        <v>21377.964999999997</v>
      </c>
      <c r="H4" s="14">
        <f ca="1">IFERROR(G4/F4, "")</f>
        <v>0.13548211651195907</v>
      </c>
    </row>
    <row r="5" spans="1:8" ht="14.25">
      <c r="A5" s="9" t="str">
        <v>CO</v>
      </c>
      <c r="B5" s="10">
        <f ca="1">SUM(SUMIF(_xlfn.ANCHORARRAY(Apr!$B$4), $A5, Apr!C$4:C$78), SUMIF(_xlfn.ANCHORARRAY(May!$B$4), $A5, May!C$4:C$65), SUMIF(_xlfn.ANCHORARRAY(Jun!$B$4), $A5, Jun!C$4:C$65))</f>
        <v>90952.002894057892</v>
      </c>
      <c r="C5" s="16">
        <f ca="1">SUM(SUMIF(_xlfn.ANCHORARRAY(Apr!$B$4), $A5, Apr!D$4:D$78), SUMIF(_xlfn.ANCHORARRAY(May!$B$4), $A5, May!D$4:D$65), SUMIF(_xlfn.ANCHORARRAY(Jun!$B$4), $A5, Jun!D$4:D$65))</f>
        <v>0</v>
      </c>
      <c r="D5" s="16">
        <f t="shared" ref="D5:D11" ca="1" si="0">IF(AND(ISNUMBER(B5),ISNUMBER(C5)), B5-C5, "")</f>
        <v>90952.002894057892</v>
      </c>
      <c r="E5" s="17" t="str">
        <f ca="1">IFERROR(D5/C5, "")</f>
        <v/>
      </c>
      <c r="F5" s="16">
        <f ca="1">SUM(SUMIF(_xlfn.ANCHORARRAY(Apr!$B$4), $A5, Apr!G$4:G$78), SUMIF(_xlfn.ANCHORARRAY(May!$B$4), $A5, May!G$4:G$65), SUMIF(_xlfn.ANCHORARRAY(Jun!$B$4), $A5, Jun!G$4:G$65))</f>
        <v>87739.816999999995</v>
      </c>
      <c r="G5" s="16">
        <f ca="1">IF(AND(ISNUMBER(B5),ISNUMBER(F5)), B5-F5, "")</f>
        <v>3212.1858940578968</v>
      </c>
      <c r="H5" s="17">
        <f ca="1">IFERROR(G5/F5, "")</f>
        <v>3.6610355524879852E-2</v>
      </c>
    </row>
    <row r="6" spans="1:8" ht="14.25">
      <c r="A6" s="8" t="str">
        <v>CT</v>
      </c>
      <c r="B6" s="22">
        <f ca="1">SUM(SUMIF(_xlfn.ANCHORARRAY(Apr!$B$4), $A6, Apr!C$4:C$78), SUMIF(_xlfn.ANCHORARRAY(May!$B$4), $A6, May!C$4:C$65), SUMIF(_xlfn.ANCHORARRAY(Jun!$B$4), $A6, Jun!C$4:C$65))</f>
        <v>5041.9727368698659</v>
      </c>
      <c r="C6" s="11">
        <f ca="1">SUM(SUMIF(_xlfn.ANCHORARRAY(Apr!$B$4), $A6, Apr!D$4:D$78), SUMIF(_xlfn.ANCHORARRAY(May!$B$4), $A6, May!D$4:D$65), SUMIF(_xlfn.ANCHORARRAY(Jun!$B$4), $A6, Jun!D$4:D$65))</f>
        <v>5037.0563999999995</v>
      </c>
      <c r="D6" s="11">
        <f t="shared" ca="1" si="0"/>
        <v>4.9163368698664272</v>
      </c>
      <c r="E6" s="12">
        <f t="shared" ref="E6:E11" ca="1" si="1">IFERROR(D6/C6, "")</f>
        <v>9.7603371482328993E-4</v>
      </c>
      <c r="F6" s="13">
        <f ca="1">SUM(SUMIF(_xlfn.ANCHORARRAY(Apr!$B$4), $A6, Apr!G$4:G$78), SUMIF(_xlfn.ANCHORARRAY(May!$B$4), $A6, May!G$4:G$65), SUMIF(_xlfn.ANCHORARRAY(Jun!$B$4), $A6, Jun!G$4:G$65))</f>
        <v>6033.0028000000002</v>
      </c>
      <c r="G6" s="13">
        <f t="shared" ref="G6:G11" ca="1" si="2">IF(AND(ISNUMBER(B6),ISNUMBER(F6)), B6-F6, "")</f>
        <v>-991.03006313013429</v>
      </c>
      <c r="H6" s="14">
        <f t="shared" ref="H6:H11" ca="1" si="3">IFERROR(G6/F6, "")</f>
        <v>-0.16426812583778916</v>
      </c>
    </row>
    <row r="7" spans="1:8" ht="14.25">
      <c r="A7" s="9" t="str">
        <v>FL</v>
      </c>
      <c r="B7" s="10">
        <f ca="1">SUM(SUMIF(_xlfn.ANCHORARRAY(Apr!$B$4), $A7, Apr!C$4:C$78), SUMIF(_xlfn.ANCHORARRAY(May!$B$4), $A7, May!C$4:C$65), SUMIF(_xlfn.ANCHORARRAY(Jun!$B$4), $A7, Jun!C$4:C$65))</f>
        <v>2375.5372716903357</v>
      </c>
      <c r="C7" s="16">
        <f ca="1">SUM(SUMIF(_xlfn.ANCHORARRAY(Apr!$B$4), $A7, Apr!D$4:D$78), SUMIF(_xlfn.ANCHORARRAY(May!$B$4), $A7, May!D$4:D$65), SUMIF(_xlfn.ANCHORARRAY(Jun!$B$4), $A7, Jun!D$4:D$65))</f>
        <v>12898.605</v>
      </c>
      <c r="D7" s="16">
        <f t="shared" ca="1" si="0"/>
        <v>-10523.067728309663</v>
      </c>
      <c r="E7" s="17">
        <f t="shared" ca="1" si="1"/>
        <v>-0.81582990783186737</v>
      </c>
      <c r="F7" s="16">
        <f ca="1">SUM(SUMIF(_xlfn.ANCHORARRAY(Apr!$B$4), $A7, Apr!G$4:G$78), SUMIF(_xlfn.ANCHORARRAY(May!$B$4), $A7, May!G$4:G$65), SUMIF(_xlfn.ANCHORARRAY(Jun!$B$4), $A7, Jun!G$4:G$65))</f>
        <v>16185</v>
      </c>
      <c r="G7" s="16">
        <f t="shared" ca="1" si="2"/>
        <v>-13809.462728309663</v>
      </c>
      <c r="H7" s="17">
        <f t="shared" ca="1" si="3"/>
        <v>-0.85322599495271323</v>
      </c>
    </row>
    <row r="8" spans="1:8" ht="14.25">
      <c r="A8" s="8" t="str">
        <v>IA</v>
      </c>
      <c r="B8" s="22">
        <f ca="1">SUM(SUMIF(_xlfn.ANCHORARRAY(Apr!$B$4), $A8, Apr!C$4:C$78), SUMIF(_xlfn.ANCHORARRAY(May!$B$4), $A8, May!C$4:C$65), SUMIF(_xlfn.ANCHORARRAY(Jun!$B$4), $A8, Jun!C$4:C$65))</f>
        <v>840017.08250000002</v>
      </c>
      <c r="C8" s="11">
        <f ca="1">SUM(SUMIF(_xlfn.ANCHORARRAY(Apr!$B$4), $A8, Apr!D$4:D$78), SUMIF(_xlfn.ANCHORARRAY(May!$B$4), $A8, May!D$4:D$65), SUMIF(_xlfn.ANCHORARRAY(Jun!$B$4), $A8, Jun!D$4:D$65))</f>
        <v>818172.78</v>
      </c>
      <c r="D8" s="11">
        <f t="shared" ca="1" si="0"/>
        <v>21844.302499999991</v>
      </c>
      <c r="E8" s="12">
        <f t="shared" ca="1" si="1"/>
        <v>2.6698886878148146E-2</v>
      </c>
      <c r="F8" s="13">
        <f ca="1">SUM(SUMIF(_xlfn.ANCHORARRAY(Apr!$B$4), $A8, Apr!G$4:G$78), SUMIF(_xlfn.ANCHORARRAY(May!$B$4), $A8, May!G$4:G$65), SUMIF(_xlfn.ANCHORARRAY(Jun!$B$4), $A8, Jun!G$4:G$65))</f>
        <v>857847.64</v>
      </c>
      <c r="G8" s="13">
        <f t="shared" ca="1" si="2"/>
        <v>-17830.557499999995</v>
      </c>
      <c r="H8" s="14">
        <f t="shared" ca="1" si="3"/>
        <v>-2.0785226500127686E-2</v>
      </c>
    </row>
    <row r="9" spans="1:8" ht="14.25">
      <c r="A9" s="9" t="str">
        <v>NC</v>
      </c>
      <c r="B9" s="10">
        <f ca="1">SUM(SUMIF(_xlfn.ANCHORARRAY(Apr!$B$4), $A9, Apr!C$4:C$78), SUMIF(_xlfn.ANCHORARRAY(May!$B$4), $A9, May!C$4:C$65), SUMIF(_xlfn.ANCHORARRAY(Jun!$B$4), $A9, Jun!C$4:C$65))</f>
        <v>1016205</v>
      </c>
      <c r="C9" s="16">
        <f ca="1">SUM(SUMIF(_xlfn.ANCHORARRAY(Apr!$B$4), $A9, Apr!D$4:D$78), SUMIF(_xlfn.ANCHORARRAY(May!$B$4), $A9, May!D$4:D$65), SUMIF(_xlfn.ANCHORARRAY(Jun!$B$4), $A9, Jun!D$4:D$65))</f>
        <v>859577.36400000006</v>
      </c>
      <c r="D9" s="16">
        <f t="shared" ca="1" si="0"/>
        <v>156627.63599999994</v>
      </c>
      <c r="E9" s="17">
        <f t="shared" ca="1" si="1"/>
        <v>0.1822147052257648</v>
      </c>
      <c r="F9" s="16">
        <f ca="1">SUM(SUMIF(_xlfn.ANCHORARRAY(Apr!$B$4), $A9, Apr!G$4:G$78), SUMIF(_xlfn.ANCHORARRAY(May!$B$4), $A9, May!G$4:G$65), SUMIF(_xlfn.ANCHORARRAY(Jun!$B$4), $A9, Jun!G$4:G$65))</f>
        <v>1180909.1000000001</v>
      </c>
      <c r="G9" s="16">
        <f t="shared" ca="1" si="2"/>
        <v>-164704.10000000009</v>
      </c>
      <c r="H9" s="17">
        <f t="shared" ca="1" si="3"/>
        <v>-0.13947229299867372</v>
      </c>
    </row>
    <row r="10" spans="1:8" ht="14.25">
      <c r="A10" s="8" t="str">
        <v>NJ</v>
      </c>
      <c r="B10" s="22">
        <f ca="1">SUM(SUMIF(_xlfn.ANCHORARRAY(Apr!$B$4), $A10, Apr!C$4:C$78), SUMIF(_xlfn.ANCHORARRAY(May!$B$4), $A10, May!C$4:C$65), SUMIF(_xlfn.ANCHORARRAY(Jun!$B$4), $A10, Jun!C$4:C$65))</f>
        <v>277465.67722106259</v>
      </c>
      <c r="C10" s="11">
        <f ca="1">SUM(SUMIF(_xlfn.ANCHORARRAY(Apr!$B$4), $A10, Apr!D$4:D$78), SUMIF(_xlfn.ANCHORARRAY(May!$B$4), $A10, May!D$4:D$65), SUMIF(_xlfn.ANCHORARRAY(Jun!$B$4), $A10, Jun!D$4:D$65))</f>
        <v>273716.51510000002</v>
      </c>
      <c r="D10" s="11">
        <f t="shared" ca="1" si="0"/>
        <v>3749.1621210625744</v>
      </c>
      <c r="E10" s="12">
        <f t="shared" ca="1" si="1"/>
        <v>1.3697244828989767E-2</v>
      </c>
      <c r="F10" s="13">
        <f ca="1">SUM(SUMIF(_xlfn.ANCHORARRAY(Apr!$B$4), $A10, Apr!G$4:G$78), SUMIF(_xlfn.ANCHORARRAY(May!$B$4), $A10, May!G$4:G$65), SUMIF(_xlfn.ANCHORARRAY(Jun!$B$4), $A10, Jun!G$4:G$65))</f>
        <v>297775.533</v>
      </c>
      <c r="G10" s="13">
        <f t="shared" ca="1" si="2"/>
        <v>-20309.855778937403</v>
      </c>
      <c r="H10" s="14">
        <f t="shared" ca="1" si="3"/>
        <v>-6.8205253716857261E-2</v>
      </c>
    </row>
    <row r="11" spans="1:8" ht="14.25">
      <c r="A11" s="9" t="str">
        <v>TX</v>
      </c>
      <c r="B11" s="10">
        <f ca="1">SUM(SUMIF(_xlfn.ANCHORARRAY(Apr!$B$4), $A11, Apr!C$4:C$78), SUMIF(_xlfn.ANCHORARRAY(May!$B$4), $A11, May!C$4:C$65), SUMIF(_xlfn.ANCHORARRAY(Jun!$B$4), $A11, Jun!C$4:C$65))</f>
        <v>1650749.1877200003</v>
      </c>
      <c r="C11" s="16">
        <f ca="1">SUM(SUMIF(_xlfn.ANCHORARRAY(Apr!$B$4), $A11, Apr!D$4:D$78), SUMIF(_xlfn.ANCHORARRAY(May!$B$4), $A11, May!D$4:D$65), SUMIF(_xlfn.ANCHORARRAY(Jun!$B$4), $A11, Jun!D$4:D$65))</f>
        <v>1725083.7479999997</v>
      </c>
      <c r="D11" s="16">
        <f t="shared" ca="1" si="0"/>
        <v>-74334.560279999394</v>
      </c>
      <c r="E11" s="17">
        <f t="shared" ca="1" si="1"/>
        <v>-4.3090406692533174E-2</v>
      </c>
      <c r="F11" s="16">
        <f ca="1">SUM(SUMIF(_xlfn.ANCHORARRAY(Apr!$B$4), $A11, Apr!G$4:G$78), SUMIF(_xlfn.ANCHORARRAY(May!$B$4), $A11, May!G$4:G$65), SUMIF(_xlfn.ANCHORARRAY(Jun!$B$4), $A11, Jun!G$4:G$65))</f>
        <v>2117774.608</v>
      </c>
      <c r="G11" s="16">
        <f t="shared" ca="1" si="2"/>
        <v>-467025.42027999973</v>
      </c>
      <c r="H11" s="17">
        <f t="shared" ca="1" si="3"/>
        <v>-0.22052649914480404</v>
      </c>
    </row>
    <row r="12" spans="1:8" ht="15.75">
      <c r="A12" s="15"/>
      <c r="B12" s="9"/>
      <c r="C12" s="10"/>
      <c r="D12" s="16"/>
      <c r="E12" s="16"/>
      <c r="F12" s="17"/>
      <c r="G12" s="18"/>
      <c r="H12" s="18"/>
    </row>
    <row r="13" spans="1:8" ht="12.75" customHeight="1">
      <c r="A13" s="19"/>
      <c r="B13" s="19"/>
      <c r="C13" s="19"/>
      <c r="D13" s="19"/>
      <c r="E13" s="19"/>
      <c r="F13" s="19"/>
      <c r="G13" s="19"/>
      <c r="H13" s="19"/>
    </row>
    <row r="14" spans="1:8" ht="13.15">
      <c r="A14" s="19"/>
      <c r="B14" s="19"/>
      <c r="C14" s="19"/>
      <c r="D14" s="19"/>
      <c r="E14" s="19"/>
      <c r="F14" s="19"/>
      <c r="G14" s="19"/>
      <c r="H14" s="19"/>
    </row>
    <row r="15" spans="1:8" ht="13.15">
      <c r="A15" s="19"/>
      <c r="B15" s="19"/>
      <c r="C15" s="19"/>
      <c r="D15" s="19"/>
      <c r="E15" s="19"/>
      <c r="F15" s="19"/>
      <c r="G15" s="19"/>
      <c r="H15" s="19"/>
    </row>
    <row r="16" spans="1:8" ht="13.15">
      <c r="A16" s="19"/>
      <c r="B16" s="19"/>
      <c r="C16" s="19"/>
      <c r="D16" s="19"/>
      <c r="E16" s="19"/>
      <c r="F16" s="19"/>
      <c r="G16" s="19"/>
      <c r="H16" s="19"/>
    </row>
    <row r="17" spans="1:8" ht="13.15">
      <c r="A17" s="19"/>
      <c r="B17" s="19"/>
      <c r="C17" s="19"/>
      <c r="D17" s="19"/>
      <c r="E17" s="19"/>
      <c r="F17" s="19"/>
      <c r="G17" s="19"/>
      <c r="H17" s="19"/>
    </row>
    <row r="18" spans="1:8" ht="13.15">
      <c r="A18" s="19"/>
      <c r="B18" s="19"/>
      <c r="C18" s="19"/>
      <c r="D18" s="19"/>
      <c r="E18" s="19"/>
      <c r="F18" s="19"/>
      <c r="G18" s="19"/>
      <c r="H18" s="19"/>
    </row>
    <row r="19" spans="1:8" ht="13.15">
      <c r="A19" s="19"/>
      <c r="B19" s="19"/>
      <c r="C19" s="19"/>
      <c r="D19" s="19"/>
      <c r="E19" s="19"/>
      <c r="F19" s="19"/>
      <c r="G19" s="19"/>
      <c r="H19" s="19"/>
    </row>
    <row r="20" spans="1:8" ht="13.15">
      <c r="A20" s="19"/>
      <c r="B20" s="19"/>
      <c r="C20" s="19"/>
      <c r="D20" s="19"/>
      <c r="E20" s="19"/>
      <c r="F20" s="19"/>
      <c r="G20" s="19"/>
      <c r="H20" s="19"/>
    </row>
    <row r="21" spans="1:8" ht="13.15">
      <c r="A21" s="19"/>
      <c r="B21" s="19"/>
      <c r="C21" s="19"/>
      <c r="D21" s="19"/>
      <c r="E21" s="19"/>
      <c r="F21" s="19"/>
      <c r="G21" s="19"/>
      <c r="H21" s="19"/>
    </row>
    <row r="22" spans="1:8" ht="13.15">
      <c r="A22" s="19"/>
      <c r="B22" s="19"/>
      <c r="C22" s="19"/>
      <c r="D22" s="19"/>
      <c r="E22" s="19"/>
      <c r="F22" s="19"/>
      <c r="G22" s="19"/>
      <c r="H22" s="19"/>
    </row>
    <row r="23" spans="1:8" ht="13.15">
      <c r="A23" s="19"/>
      <c r="B23" s="19"/>
      <c r="C23" s="19"/>
      <c r="D23" s="19"/>
      <c r="E23" s="19"/>
      <c r="F23" s="19"/>
      <c r="G23" s="19"/>
      <c r="H23" s="19"/>
    </row>
    <row r="24" spans="1:8" ht="13.15">
      <c r="A24" s="19"/>
      <c r="B24" s="19"/>
      <c r="C24" s="19"/>
      <c r="D24" s="19"/>
      <c r="E24" s="19"/>
      <c r="F24" s="19"/>
      <c r="G24" s="19"/>
      <c r="H24" s="19"/>
    </row>
    <row r="25" spans="1:8" ht="13.15">
      <c r="A25" s="19"/>
      <c r="B25" s="19"/>
      <c r="C25" s="19"/>
      <c r="D25" s="19"/>
      <c r="E25" s="19"/>
      <c r="F25" s="19"/>
      <c r="G25" s="19"/>
      <c r="H25" s="19"/>
    </row>
    <row r="26" spans="1:8" ht="13.15">
      <c r="A26" s="19"/>
      <c r="B26" s="19"/>
      <c r="C26" s="19"/>
      <c r="D26" s="19"/>
      <c r="E26" s="19"/>
      <c r="F26" s="19"/>
      <c r="G26" s="19"/>
      <c r="H26" s="19"/>
    </row>
    <row r="27" spans="1:8" ht="13.15">
      <c r="A27" s="19"/>
      <c r="B27" s="19"/>
      <c r="C27" s="19"/>
      <c r="D27" s="19"/>
      <c r="E27" s="19"/>
      <c r="F27" s="19"/>
      <c r="G27" s="19"/>
      <c r="H27" s="19"/>
    </row>
    <row r="28" spans="1:8" ht="13.15">
      <c r="A28" s="19"/>
      <c r="B28" s="19"/>
      <c r="C28" s="19"/>
      <c r="D28" s="19"/>
      <c r="E28" s="19"/>
      <c r="F28" s="20"/>
      <c r="G28" s="19"/>
      <c r="H28" s="19"/>
    </row>
    <row r="29" spans="1:8" ht="13.15">
      <c r="A29" s="19"/>
      <c r="B29" s="19"/>
      <c r="C29" s="19"/>
      <c r="D29" s="19"/>
      <c r="E29" s="19"/>
      <c r="F29" s="20"/>
      <c r="G29" s="19"/>
      <c r="H29" s="19"/>
    </row>
    <row r="30" spans="1:8" ht="13.15">
      <c r="A30" s="19"/>
      <c r="B30" s="19"/>
      <c r="C30" s="19"/>
      <c r="D30" s="19"/>
      <c r="E30" s="19"/>
      <c r="F30" s="20"/>
      <c r="G30" s="19"/>
      <c r="H30" s="19"/>
    </row>
    <row r="31" spans="1:8" ht="13.15">
      <c r="A31" s="19"/>
      <c r="B31" s="19"/>
      <c r="C31" s="19"/>
      <c r="D31" s="19"/>
      <c r="E31" s="19"/>
      <c r="F31" s="20"/>
      <c r="G31" s="19"/>
      <c r="H31" s="19"/>
    </row>
    <row r="32" spans="1:8" ht="13.15">
      <c r="A32" s="19"/>
      <c r="B32" s="19"/>
      <c r="C32" s="19"/>
      <c r="D32" s="19"/>
      <c r="E32" s="19"/>
      <c r="F32" s="20"/>
      <c r="G32" s="19"/>
      <c r="H32" s="19"/>
    </row>
    <row r="33" spans="1:8" ht="13.15">
      <c r="A33" s="19"/>
      <c r="B33" s="19"/>
      <c r="C33" s="19"/>
      <c r="D33" s="19"/>
      <c r="E33" s="19"/>
      <c r="F33" s="20"/>
      <c r="G33" s="19"/>
      <c r="H33" s="19"/>
    </row>
    <row r="34" spans="1:8" ht="13.15">
      <c r="A34" s="19"/>
      <c r="B34" s="19"/>
      <c r="C34" s="19"/>
      <c r="D34" s="19"/>
      <c r="E34" s="19"/>
      <c r="F34" s="20"/>
      <c r="G34" s="19"/>
      <c r="H34" s="19"/>
    </row>
    <row r="35" spans="1:8" ht="13.15">
      <c r="A35" s="19"/>
      <c r="B35" s="19"/>
      <c r="C35" s="19"/>
      <c r="D35" s="19"/>
      <c r="E35" s="19"/>
      <c r="F35" s="20"/>
      <c r="G35" s="19"/>
      <c r="H35" s="19"/>
    </row>
    <row r="36" spans="1:8" ht="13.15">
      <c r="A36" s="19"/>
      <c r="B36" s="19"/>
      <c r="C36" s="19"/>
      <c r="D36" s="19"/>
      <c r="E36" s="19"/>
      <c r="F36" s="20"/>
      <c r="G36" s="19"/>
      <c r="H36" s="19"/>
    </row>
    <row r="37" spans="1:8" ht="13.15">
      <c r="A37" s="19"/>
      <c r="B37" s="19"/>
      <c r="C37" s="19"/>
      <c r="D37" s="19"/>
      <c r="E37" s="19"/>
      <c r="F37" s="20"/>
      <c r="G37" s="19"/>
      <c r="H37" s="19"/>
    </row>
    <row r="38" spans="1:8" ht="13.15">
      <c r="A38" s="19"/>
      <c r="B38" s="19"/>
      <c r="C38" s="19"/>
      <c r="D38" s="19"/>
      <c r="E38" s="19"/>
      <c r="F38" s="20"/>
      <c r="G38" s="19"/>
      <c r="H38" s="19"/>
    </row>
    <row r="39" spans="1:8" ht="13.15">
      <c r="A39" s="19"/>
      <c r="B39" s="19"/>
      <c r="C39" s="19"/>
      <c r="D39" s="19"/>
      <c r="E39" s="19"/>
      <c r="F39" s="20"/>
      <c r="G39" s="19"/>
      <c r="H39" s="19"/>
    </row>
    <row r="40" spans="1:8" ht="13.15">
      <c r="A40" s="19"/>
      <c r="B40" s="19"/>
      <c r="C40" s="19"/>
      <c r="D40" s="19"/>
      <c r="E40" s="19"/>
      <c r="F40" s="20"/>
      <c r="G40" s="19"/>
      <c r="H40" s="19"/>
    </row>
    <row r="41" spans="1:8" ht="13.15">
      <c r="A41" s="19"/>
      <c r="B41" s="19"/>
      <c r="C41" s="19"/>
      <c r="D41" s="19"/>
      <c r="E41" s="19"/>
      <c r="F41" s="20"/>
      <c r="G41" s="19"/>
      <c r="H41" s="19"/>
    </row>
    <row r="42" spans="1:8" ht="13.15">
      <c r="A42" s="19"/>
      <c r="B42" s="19"/>
      <c r="C42" s="19"/>
      <c r="D42" s="19"/>
      <c r="E42" s="19"/>
      <c r="F42" s="20"/>
      <c r="G42" s="19"/>
      <c r="H42" s="19"/>
    </row>
    <row r="43" spans="1:8" ht="13.15">
      <c r="A43" s="19"/>
      <c r="B43" s="19"/>
      <c r="C43" s="19"/>
      <c r="D43" s="19"/>
      <c r="E43" s="19"/>
      <c r="F43" s="20"/>
      <c r="G43" s="19"/>
      <c r="H43" s="19"/>
    </row>
    <row r="44" spans="1:8" ht="13.15">
      <c r="A44" s="19"/>
      <c r="B44" s="19"/>
      <c r="C44" s="19"/>
      <c r="D44" s="19"/>
      <c r="E44" s="19"/>
      <c r="F44" s="20"/>
      <c r="G44" s="19"/>
      <c r="H44" s="19"/>
    </row>
    <row r="45" spans="1:8" ht="13.15">
      <c r="A45" s="19"/>
      <c r="B45" s="19"/>
      <c r="C45" s="19"/>
      <c r="D45" s="19"/>
      <c r="E45" s="19"/>
      <c r="F45" s="20"/>
      <c r="G45" s="19"/>
      <c r="H45" s="19"/>
    </row>
    <row r="46" spans="1:8" ht="13.15">
      <c r="A46" s="19"/>
      <c r="B46" s="19"/>
      <c r="C46" s="19"/>
      <c r="D46" s="19"/>
      <c r="E46" s="19"/>
      <c r="F46" s="20"/>
      <c r="G46" s="19"/>
      <c r="H46" s="19"/>
    </row>
    <row r="47" spans="1:8" ht="13.15">
      <c r="A47" s="19"/>
      <c r="B47" s="19"/>
      <c r="C47" s="19"/>
      <c r="D47" s="19"/>
      <c r="E47" s="19"/>
      <c r="F47" s="20"/>
      <c r="G47" s="19"/>
      <c r="H47" s="19"/>
    </row>
    <row r="48" spans="1:8" ht="13.15">
      <c r="A48" s="19"/>
      <c r="B48" s="19"/>
      <c r="C48" s="19"/>
      <c r="D48" s="19"/>
      <c r="E48" s="19"/>
      <c r="F48" s="20"/>
      <c r="G48" s="19"/>
      <c r="H48" s="19"/>
    </row>
    <row r="49" spans="1:8" ht="13.15">
      <c r="A49" s="19"/>
      <c r="B49" s="19"/>
      <c r="C49" s="19"/>
      <c r="D49" s="19"/>
      <c r="E49" s="19"/>
      <c r="F49" s="20"/>
      <c r="G49" s="19"/>
      <c r="H49" s="19"/>
    </row>
    <row r="50" spans="1:8" ht="13.15">
      <c r="A50" s="19"/>
      <c r="B50" s="19"/>
      <c r="C50" s="19"/>
      <c r="D50" s="19"/>
      <c r="E50" s="19"/>
      <c r="F50" s="20"/>
      <c r="G50" s="19"/>
      <c r="H50" s="19"/>
    </row>
    <row r="51" spans="1:8" ht="13.15">
      <c r="A51" s="19"/>
      <c r="B51" s="19"/>
      <c r="C51" s="19"/>
      <c r="D51" s="19"/>
      <c r="E51" s="19"/>
      <c r="F51" s="20"/>
      <c r="G51" s="19"/>
      <c r="H51" s="19"/>
    </row>
    <row r="52" spans="1:8" ht="13.15">
      <c r="A52" s="19"/>
      <c r="B52" s="19"/>
      <c r="C52" s="19"/>
      <c r="D52" s="19"/>
      <c r="E52" s="19"/>
      <c r="F52" s="20"/>
      <c r="G52" s="19"/>
      <c r="H52" s="19"/>
    </row>
    <row r="53" spans="1:8" ht="13.15">
      <c r="A53" s="19"/>
      <c r="B53" s="19"/>
      <c r="C53" s="19"/>
      <c r="D53" s="19"/>
      <c r="E53" s="19"/>
      <c r="F53" s="20"/>
      <c r="G53" s="19"/>
      <c r="H53" s="19"/>
    </row>
    <row r="54" spans="1:8" ht="13.15">
      <c r="A54" s="19"/>
      <c r="B54" s="19"/>
      <c r="C54" s="19"/>
      <c r="D54" s="19"/>
      <c r="E54" s="19"/>
      <c r="F54" s="20"/>
      <c r="G54" s="19"/>
      <c r="H54" s="19"/>
    </row>
    <row r="55" spans="1:8" ht="13.15">
      <c r="A55" s="19"/>
      <c r="B55" s="19"/>
      <c r="C55" s="19"/>
      <c r="D55" s="19"/>
      <c r="E55" s="19"/>
      <c r="F55" s="20"/>
      <c r="G55" s="19"/>
      <c r="H55" s="19"/>
    </row>
    <row r="56" spans="1:8" ht="13.15">
      <c r="A56" s="19"/>
      <c r="B56" s="19"/>
      <c r="C56" s="19"/>
      <c r="D56" s="19"/>
      <c r="E56" s="19"/>
      <c r="F56" s="20"/>
      <c r="G56" s="19"/>
      <c r="H56" s="19"/>
    </row>
    <row r="57" spans="1:8" ht="13.15">
      <c r="A57" s="19"/>
      <c r="B57" s="19"/>
      <c r="C57" s="19"/>
      <c r="D57" s="19"/>
      <c r="E57" s="19"/>
      <c r="F57" s="20"/>
      <c r="G57" s="19"/>
      <c r="H57" s="19"/>
    </row>
    <row r="58" spans="1:8" ht="13.15">
      <c r="A58" s="19"/>
      <c r="B58" s="19"/>
      <c r="C58" s="19"/>
      <c r="D58" s="19"/>
      <c r="E58" s="19"/>
      <c r="F58" s="20"/>
      <c r="G58" s="19"/>
      <c r="H58" s="19"/>
    </row>
    <row r="59" spans="1:8" ht="13.15">
      <c r="A59" s="19"/>
      <c r="B59" s="19"/>
      <c r="C59" s="19"/>
      <c r="D59" s="19"/>
      <c r="E59" s="19"/>
      <c r="F59" s="20"/>
      <c r="G59" s="19"/>
      <c r="H59" s="19"/>
    </row>
    <row r="60" spans="1:8" ht="13.15">
      <c r="A60" s="19"/>
      <c r="B60" s="19"/>
      <c r="C60" s="19"/>
      <c r="D60" s="19"/>
      <c r="E60" s="19"/>
      <c r="F60" s="20"/>
      <c r="G60" s="19"/>
      <c r="H60" s="19"/>
    </row>
    <row r="61" spans="1:8" ht="13.15">
      <c r="A61" s="19"/>
      <c r="B61" s="19"/>
      <c r="C61" s="19"/>
      <c r="D61" s="19"/>
      <c r="E61" s="19"/>
      <c r="F61" s="20"/>
      <c r="G61" s="19"/>
      <c r="H61" s="19"/>
    </row>
    <row r="62" spans="1:8" ht="13.15">
      <c r="A62" s="19"/>
      <c r="B62" s="19"/>
      <c r="C62" s="19"/>
      <c r="D62" s="19"/>
      <c r="E62" s="19"/>
      <c r="F62" s="20"/>
      <c r="G62" s="19"/>
      <c r="H62" s="19"/>
    </row>
    <row r="63" spans="1:8" ht="13.15">
      <c r="A63" s="19"/>
      <c r="B63" s="19"/>
      <c r="C63" s="19"/>
      <c r="D63" s="19"/>
      <c r="E63" s="19"/>
      <c r="F63" s="20"/>
      <c r="G63" s="19"/>
      <c r="H63" s="19"/>
    </row>
    <row r="64" spans="1:8" ht="13.15">
      <c r="A64" s="19"/>
      <c r="B64" s="19"/>
      <c r="C64" s="19"/>
      <c r="D64" s="19"/>
      <c r="E64" s="19"/>
      <c r="F64" s="20"/>
      <c r="G64" s="19"/>
      <c r="H64" s="19"/>
    </row>
    <row r="65" spans="1:8" ht="13.15">
      <c r="A65" s="19"/>
      <c r="B65" s="19"/>
      <c r="C65" s="19"/>
      <c r="D65" s="19"/>
      <c r="E65" s="19"/>
      <c r="F65" s="20"/>
      <c r="G65" s="19"/>
      <c r="H65" s="19"/>
    </row>
    <row r="66" spans="1:8" ht="13.15">
      <c r="A66" s="19"/>
      <c r="B66" s="19"/>
      <c r="C66" s="19"/>
      <c r="D66" s="19"/>
      <c r="E66" s="19"/>
      <c r="F66" s="20"/>
      <c r="G66" s="19"/>
      <c r="H66" s="19"/>
    </row>
    <row r="67" spans="1:8" ht="13.15">
      <c r="A67" s="19"/>
      <c r="B67" s="19"/>
      <c r="C67" s="19"/>
      <c r="D67" s="19"/>
      <c r="E67" s="19"/>
      <c r="F67" s="20"/>
      <c r="G67" s="19"/>
      <c r="H67" s="19"/>
    </row>
    <row r="68" spans="1:8" ht="13.15">
      <c r="A68" s="19"/>
      <c r="B68" s="19"/>
      <c r="C68" s="19"/>
      <c r="D68" s="19"/>
      <c r="E68" s="19"/>
      <c r="F68" s="20"/>
      <c r="G68" s="19"/>
      <c r="H68" s="19"/>
    </row>
    <row r="69" spans="1:8" ht="13.15">
      <c r="A69" s="19"/>
      <c r="B69" s="19"/>
      <c r="C69" s="19"/>
      <c r="D69" s="19"/>
      <c r="E69" s="19"/>
      <c r="F69" s="20"/>
      <c r="G69" s="19"/>
      <c r="H69" s="19"/>
    </row>
    <row r="70" spans="1:8" ht="13.15">
      <c r="A70" s="19"/>
      <c r="B70" s="19"/>
      <c r="C70" s="19"/>
      <c r="D70" s="19"/>
      <c r="E70" s="19"/>
      <c r="F70" s="20"/>
      <c r="G70" s="19"/>
      <c r="H70" s="19"/>
    </row>
    <row r="71" spans="1:8" ht="13.15">
      <c r="A71" s="19"/>
      <c r="B71" s="19"/>
      <c r="C71" s="19"/>
      <c r="D71" s="19"/>
      <c r="E71" s="19"/>
      <c r="F71" s="20"/>
      <c r="G71" s="19"/>
      <c r="H71" s="19"/>
    </row>
    <row r="72" spans="1:8" ht="13.15">
      <c r="A72" s="19"/>
      <c r="B72" s="19"/>
      <c r="C72" s="19"/>
      <c r="D72" s="19"/>
      <c r="E72" s="19"/>
      <c r="F72" s="20"/>
      <c r="G72" s="19"/>
      <c r="H72" s="19"/>
    </row>
    <row r="73" spans="1:8" ht="13.15">
      <c r="A73" s="19"/>
      <c r="B73" s="19"/>
      <c r="C73" s="19"/>
      <c r="D73" s="19"/>
      <c r="E73" s="19"/>
      <c r="F73" s="20"/>
      <c r="G73" s="19"/>
      <c r="H73" s="19"/>
    </row>
    <row r="74" spans="1:8" ht="13.15">
      <c r="A74" s="19"/>
      <c r="B74" s="19"/>
      <c r="C74" s="19"/>
      <c r="D74" s="19"/>
      <c r="E74" s="19"/>
      <c r="F74" s="20"/>
      <c r="G74" s="19"/>
      <c r="H74" s="19"/>
    </row>
    <row r="75" spans="1:8" ht="13.15">
      <c r="A75" s="19"/>
      <c r="B75" s="19"/>
      <c r="C75" s="19"/>
      <c r="D75" s="19"/>
      <c r="E75" s="19"/>
      <c r="F75" s="20"/>
      <c r="G75" s="19"/>
      <c r="H75" s="19"/>
    </row>
    <row r="76" spans="1:8" ht="13.15">
      <c r="A76" s="19"/>
      <c r="B76" s="19"/>
      <c r="C76" s="19"/>
      <c r="D76" s="19"/>
      <c r="E76" s="19"/>
      <c r="F76" s="20"/>
      <c r="G76" s="19"/>
      <c r="H76" s="19"/>
    </row>
    <row r="77" spans="1:8" ht="13.15">
      <c r="A77" s="19"/>
      <c r="B77" s="19"/>
      <c r="C77" s="19"/>
      <c r="D77" s="19"/>
      <c r="E77" s="19"/>
      <c r="F77" s="20"/>
      <c r="G77" s="19"/>
      <c r="H77" s="19"/>
    </row>
    <row r="78" spans="1:8" ht="13.15">
      <c r="A78" s="19"/>
      <c r="B78" s="19"/>
      <c r="C78" s="19"/>
      <c r="D78" s="19"/>
      <c r="E78" s="19"/>
      <c r="F78" s="20"/>
      <c r="G78" s="19"/>
      <c r="H78" s="19"/>
    </row>
    <row r="79" spans="1:8" ht="13.15">
      <c r="A79" s="19"/>
      <c r="B79" s="19"/>
      <c r="C79" s="19"/>
      <c r="D79" s="19"/>
      <c r="E79" s="19"/>
      <c r="F79" s="20"/>
      <c r="G79" s="19"/>
      <c r="H79" s="19"/>
    </row>
    <row r="80" spans="1:8" ht="13.15">
      <c r="A80" s="19"/>
      <c r="B80" s="19"/>
      <c r="C80" s="19"/>
      <c r="D80" s="19"/>
      <c r="E80" s="19"/>
      <c r="F80" s="20"/>
      <c r="G80" s="19"/>
      <c r="H80" s="19"/>
    </row>
    <row r="81" spans="1:8" ht="13.15">
      <c r="A81" s="19"/>
      <c r="B81" s="19"/>
      <c r="C81" s="19"/>
      <c r="D81" s="19"/>
      <c r="E81" s="19"/>
      <c r="F81" s="20"/>
      <c r="G81" s="19"/>
      <c r="H81" s="19"/>
    </row>
    <row r="82" spans="1:8" ht="13.15">
      <c r="A82" s="19"/>
      <c r="B82" s="19"/>
      <c r="C82" s="19"/>
      <c r="D82" s="19"/>
      <c r="E82" s="19"/>
      <c r="F82" s="20"/>
      <c r="G82" s="19"/>
      <c r="H82" s="19"/>
    </row>
    <row r="83" spans="1:8" ht="13.15">
      <c r="A83" s="19"/>
      <c r="B83" s="19"/>
      <c r="C83" s="19"/>
      <c r="D83" s="19"/>
      <c r="E83" s="19"/>
      <c r="F83" s="20"/>
      <c r="G83" s="19"/>
      <c r="H83" s="19"/>
    </row>
    <row r="84" spans="1:8" ht="13.15">
      <c r="A84" s="19"/>
      <c r="B84" s="19"/>
      <c r="C84" s="19"/>
      <c r="D84" s="19"/>
      <c r="E84" s="19"/>
      <c r="F84" s="20"/>
      <c r="G84" s="19"/>
      <c r="H84" s="19"/>
    </row>
    <row r="85" spans="1:8" ht="13.15">
      <c r="A85" s="19"/>
      <c r="B85" s="19"/>
      <c r="C85" s="19"/>
      <c r="D85" s="19"/>
      <c r="E85" s="19"/>
      <c r="F85" s="20"/>
      <c r="G85" s="19"/>
      <c r="H85" s="19"/>
    </row>
    <row r="86" spans="1:8" ht="13.15">
      <c r="A86" s="19"/>
      <c r="B86" s="19"/>
      <c r="C86" s="19"/>
      <c r="D86" s="19"/>
      <c r="E86" s="19"/>
      <c r="F86" s="20"/>
      <c r="G86" s="19"/>
      <c r="H86" s="19"/>
    </row>
    <row r="87" spans="1:8" ht="13.15">
      <c r="A87" s="19"/>
      <c r="B87" s="19"/>
      <c r="C87" s="19"/>
      <c r="D87" s="19"/>
      <c r="E87" s="19"/>
      <c r="F87" s="20"/>
      <c r="G87" s="19"/>
      <c r="H87" s="19"/>
    </row>
    <row r="88" spans="1:8" ht="13.15">
      <c r="A88" s="19"/>
      <c r="B88" s="19"/>
      <c r="C88" s="19"/>
      <c r="D88" s="19"/>
      <c r="E88" s="19"/>
      <c r="F88" s="20"/>
      <c r="G88" s="19"/>
      <c r="H88" s="19"/>
    </row>
    <row r="89" spans="1:8" ht="13.15">
      <c r="A89" s="19"/>
      <c r="B89" s="19"/>
      <c r="C89" s="19"/>
      <c r="D89" s="19"/>
      <c r="E89" s="19"/>
      <c r="F89" s="20"/>
      <c r="G89" s="19"/>
      <c r="H89" s="19"/>
    </row>
    <row r="90" spans="1:8" ht="13.15">
      <c r="A90" s="19"/>
      <c r="B90" s="19"/>
      <c r="C90" s="19"/>
      <c r="D90" s="19"/>
      <c r="E90" s="19"/>
      <c r="F90" s="20"/>
      <c r="G90" s="19"/>
      <c r="H90" s="19"/>
    </row>
    <row r="91" spans="1:8" ht="13.15">
      <c r="A91" s="19"/>
      <c r="B91" s="19"/>
      <c r="C91" s="19"/>
      <c r="D91" s="19"/>
      <c r="E91" s="19"/>
      <c r="F91" s="20"/>
      <c r="G91" s="19"/>
      <c r="H91" s="19"/>
    </row>
    <row r="92" spans="1:8" ht="13.15">
      <c r="A92" s="19"/>
      <c r="B92" s="19"/>
      <c r="C92" s="19"/>
      <c r="D92" s="19"/>
      <c r="E92" s="19"/>
      <c r="F92" s="20"/>
      <c r="G92" s="19"/>
      <c r="H92" s="19"/>
    </row>
    <row r="93" spans="1:8" ht="13.15">
      <c r="A93" s="19"/>
      <c r="B93" s="19"/>
      <c r="C93" s="19"/>
      <c r="D93" s="19"/>
      <c r="E93" s="19"/>
      <c r="F93" s="20"/>
      <c r="G93" s="19"/>
      <c r="H93" s="19"/>
    </row>
    <row r="94" spans="1:8" ht="13.15">
      <c r="A94" s="19"/>
      <c r="B94" s="19"/>
      <c r="C94" s="19"/>
      <c r="D94" s="19"/>
      <c r="E94" s="19"/>
      <c r="F94" s="20"/>
      <c r="G94" s="19"/>
      <c r="H94" s="19"/>
    </row>
    <row r="95" spans="1:8" ht="13.15">
      <c r="A95" s="19"/>
      <c r="B95" s="19"/>
      <c r="C95" s="19"/>
      <c r="D95" s="19"/>
      <c r="E95" s="19"/>
      <c r="F95" s="20"/>
      <c r="G95" s="19"/>
      <c r="H95" s="19"/>
    </row>
    <row r="96" spans="1:8" ht="13.15">
      <c r="A96" s="19"/>
      <c r="B96" s="19"/>
      <c r="C96" s="19"/>
      <c r="D96" s="19"/>
      <c r="E96" s="19"/>
      <c r="F96" s="20"/>
      <c r="G96" s="19"/>
      <c r="H96" s="19"/>
    </row>
    <row r="97" spans="1:8" ht="13.15">
      <c r="A97" s="19"/>
      <c r="B97" s="19"/>
      <c r="C97" s="19"/>
      <c r="D97" s="19"/>
      <c r="E97" s="19"/>
      <c r="F97" s="20"/>
      <c r="G97" s="19"/>
      <c r="H97" s="19"/>
    </row>
    <row r="98" spans="1:8" ht="13.15">
      <c r="A98" s="19"/>
      <c r="B98" s="19"/>
      <c r="C98" s="19"/>
      <c r="D98" s="19"/>
      <c r="E98" s="19"/>
      <c r="F98" s="20"/>
      <c r="G98" s="19"/>
      <c r="H98" s="19"/>
    </row>
    <row r="99" spans="1:8" ht="13.15">
      <c r="A99" s="19"/>
      <c r="B99" s="19"/>
      <c r="C99" s="19"/>
      <c r="D99" s="19"/>
      <c r="E99" s="19"/>
      <c r="F99" s="20"/>
      <c r="G99" s="19"/>
      <c r="H99" s="19"/>
    </row>
    <row r="100" spans="1:8" ht="13.15">
      <c r="A100" s="19"/>
      <c r="B100" s="19"/>
      <c r="C100" s="19"/>
      <c r="D100" s="19"/>
      <c r="E100" s="19"/>
      <c r="F100" s="20"/>
      <c r="G100" s="19"/>
      <c r="H100" s="19"/>
    </row>
    <row r="101" spans="1:8" ht="13.15">
      <c r="A101" s="19"/>
      <c r="B101" s="19"/>
      <c r="C101" s="19"/>
      <c r="D101" s="19"/>
      <c r="E101" s="19"/>
      <c r="F101" s="20"/>
      <c r="G101" s="19"/>
      <c r="H101" s="19"/>
    </row>
    <row r="102" spans="1:8" ht="13.15">
      <c r="A102" s="19"/>
      <c r="B102" s="19"/>
      <c r="C102" s="19"/>
      <c r="D102" s="19"/>
      <c r="E102" s="19"/>
      <c r="F102" s="20"/>
      <c r="G102" s="19"/>
      <c r="H102" s="19"/>
    </row>
    <row r="103" spans="1:8" ht="13.15">
      <c r="A103" s="19"/>
      <c r="B103" s="19"/>
      <c r="C103" s="19"/>
      <c r="D103" s="19"/>
      <c r="E103" s="19"/>
      <c r="F103" s="20"/>
      <c r="G103" s="19"/>
      <c r="H103" s="19"/>
    </row>
    <row r="104" spans="1:8" ht="13.15">
      <c r="A104" s="19"/>
      <c r="B104" s="19"/>
      <c r="C104" s="19"/>
      <c r="D104" s="19"/>
      <c r="E104" s="19"/>
      <c r="F104" s="20"/>
      <c r="G104" s="19"/>
      <c r="H104" s="19"/>
    </row>
    <row r="105" spans="1:8" ht="13.15">
      <c r="A105" s="19"/>
      <c r="B105" s="19"/>
      <c r="C105" s="19"/>
      <c r="D105" s="19"/>
      <c r="E105" s="19"/>
      <c r="F105" s="20"/>
      <c r="G105" s="19"/>
      <c r="H105" s="19"/>
    </row>
    <row r="106" spans="1:8" ht="13.15">
      <c r="A106" s="19"/>
      <c r="B106" s="19"/>
      <c r="C106" s="19"/>
      <c r="D106" s="19"/>
      <c r="E106" s="19"/>
      <c r="F106" s="20"/>
      <c r="G106" s="19"/>
      <c r="H106" s="19"/>
    </row>
    <row r="107" spans="1:8" ht="13.15">
      <c r="A107" s="19"/>
      <c r="B107" s="19"/>
      <c r="C107" s="19"/>
      <c r="D107" s="19"/>
      <c r="E107" s="19"/>
      <c r="F107" s="20"/>
      <c r="G107" s="19"/>
      <c r="H107" s="19"/>
    </row>
    <row r="108" spans="1:8" ht="13.15">
      <c r="A108" s="19"/>
      <c r="B108" s="19"/>
      <c r="C108" s="19"/>
      <c r="D108" s="19"/>
      <c r="E108" s="19"/>
      <c r="F108" s="20"/>
      <c r="G108" s="19"/>
      <c r="H108" s="19"/>
    </row>
    <row r="109" spans="1:8" ht="13.15">
      <c r="A109" s="19"/>
      <c r="B109" s="19"/>
      <c r="C109" s="19"/>
      <c r="D109" s="19"/>
      <c r="E109" s="19"/>
      <c r="F109" s="20"/>
      <c r="G109" s="19"/>
      <c r="H109" s="19"/>
    </row>
    <row r="110" spans="1:8" ht="13.15">
      <c r="A110" s="19"/>
      <c r="B110" s="19"/>
      <c r="C110" s="19"/>
      <c r="D110" s="19"/>
      <c r="E110" s="19"/>
      <c r="F110" s="20"/>
      <c r="G110" s="19"/>
      <c r="H110" s="19"/>
    </row>
    <row r="111" spans="1:8" ht="13.15">
      <c r="A111" s="19"/>
      <c r="B111" s="19"/>
      <c r="C111" s="19"/>
      <c r="D111" s="19"/>
      <c r="E111" s="19"/>
      <c r="F111" s="20"/>
      <c r="G111" s="19"/>
      <c r="H111" s="19"/>
    </row>
    <row r="112" spans="1:8" ht="13.15">
      <c r="A112" s="19"/>
      <c r="B112" s="19"/>
      <c r="C112" s="19"/>
      <c r="D112" s="19"/>
      <c r="E112" s="19"/>
      <c r="F112" s="20"/>
      <c r="G112" s="19"/>
      <c r="H112" s="19"/>
    </row>
    <row r="113" spans="1:8" ht="13.15">
      <c r="A113" s="19"/>
      <c r="B113" s="19"/>
      <c r="C113" s="19"/>
      <c r="D113" s="19"/>
      <c r="E113" s="19"/>
      <c r="F113" s="20"/>
      <c r="G113" s="19"/>
      <c r="H113" s="19"/>
    </row>
    <row r="114" spans="1:8" ht="13.15">
      <c r="A114" s="19"/>
      <c r="B114" s="19"/>
      <c r="C114" s="19"/>
      <c r="D114" s="19"/>
      <c r="E114" s="19"/>
      <c r="F114" s="20"/>
      <c r="G114" s="19"/>
      <c r="H114" s="19"/>
    </row>
    <row r="115" spans="1:8" ht="13.15">
      <c r="A115" s="19"/>
      <c r="B115" s="19"/>
      <c r="C115" s="19"/>
      <c r="D115" s="19"/>
      <c r="E115" s="19"/>
      <c r="F115" s="20"/>
      <c r="G115" s="19"/>
      <c r="H115" s="19"/>
    </row>
    <row r="116" spans="1:8" ht="13.15">
      <c r="A116" s="19"/>
      <c r="B116" s="19"/>
      <c r="C116" s="19"/>
      <c r="D116" s="19"/>
      <c r="E116" s="19"/>
      <c r="F116" s="20"/>
      <c r="G116" s="19"/>
      <c r="H116" s="19"/>
    </row>
    <row r="117" spans="1:8" ht="13.15">
      <c r="A117" s="19"/>
      <c r="B117" s="19"/>
      <c r="C117" s="19"/>
      <c r="D117" s="19"/>
      <c r="E117" s="19"/>
      <c r="F117" s="20"/>
      <c r="G117" s="19"/>
      <c r="H117" s="19"/>
    </row>
    <row r="118" spans="1:8" ht="13.15">
      <c r="A118" s="19"/>
      <c r="B118" s="19"/>
      <c r="C118" s="19"/>
      <c r="D118" s="19"/>
      <c r="E118" s="19"/>
      <c r="F118" s="20"/>
      <c r="G118" s="19"/>
      <c r="H118" s="19"/>
    </row>
    <row r="119" spans="1:8" ht="13.15">
      <c r="A119" s="19"/>
      <c r="B119" s="19"/>
      <c r="C119" s="19"/>
      <c r="D119" s="19"/>
      <c r="E119" s="19"/>
      <c r="F119" s="20"/>
      <c r="G119" s="19"/>
      <c r="H119" s="19"/>
    </row>
    <row r="120" spans="1:8" ht="13.15">
      <c r="A120" s="19"/>
      <c r="B120" s="19"/>
      <c r="C120" s="19"/>
      <c r="D120" s="19"/>
      <c r="E120" s="19"/>
      <c r="F120" s="20"/>
      <c r="G120" s="19"/>
      <c r="H120" s="19"/>
    </row>
    <row r="121" spans="1:8" ht="13.15">
      <c r="A121" s="19"/>
      <c r="B121" s="19"/>
      <c r="C121" s="19"/>
      <c r="D121" s="19"/>
      <c r="E121" s="19"/>
      <c r="F121" s="20"/>
      <c r="G121" s="19"/>
      <c r="H121" s="19"/>
    </row>
    <row r="122" spans="1:8" ht="13.15">
      <c r="A122" s="19"/>
      <c r="B122" s="19"/>
      <c r="C122" s="19"/>
      <c r="D122" s="19"/>
      <c r="E122" s="19"/>
      <c r="F122" s="20"/>
      <c r="G122" s="19"/>
      <c r="H122" s="19"/>
    </row>
    <row r="123" spans="1:8" ht="13.15">
      <c r="A123" s="19"/>
      <c r="B123" s="19"/>
      <c r="C123" s="19"/>
      <c r="D123" s="19"/>
      <c r="E123" s="19"/>
      <c r="F123" s="20"/>
      <c r="G123" s="19"/>
      <c r="H123" s="19"/>
    </row>
    <row r="124" spans="1:8" ht="13.15">
      <c r="A124" s="19"/>
      <c r="B124" s="19"/>
      <c r="C124" s="19"/>
      <c r="D124" s="19"/>
      <c r="E124" s="19"/>
      <c r="F124" s="20"/>
      <c r="G124" s="19"/>
      <c r="H124" s="19"/>
    </row>
    <row r="125" spans="1:8" ht="13.15">
      <c r="A125" s="19"/>
      <c r="B125" s="19"/>
      <c r="C125" s="19"/>
      <c r="D125" s="19"/>
      <c r="E125" s="19"/>
      <c r="F125" s="20"/>
      <c r="G125" s="19"/>
      <c r="H125" s="19"/>
    </row>
    <row r="126" spans="1:8" ht="13.15">
      <c r="A126" s="19"/>
      <c r="B126" s="19"/>
      <c r="C126" s="19"/>
      <c r="D126" s="19"/>
      <c r="E126" s="19"/>
      <c r="F126" s="20"/>
      <c r="G126" s="19"/>
      <c r="H126" s="19"/>
    </row>
    <row r="127" spans="1:8" ht="13.15">
      <c r="A127" s="19"/>
      <c r="B127" s="19"/>
      <c r="C127" s="19"/>
      <c r="D127" s="19"/>
      <c r="E127" s="19"/>
      <c r="F127" s="20"/>
      <c r="G127" s="19"/>
      <c r="H127" s="19"/>
    </row>
    <row r="128" spans="1:8" ht="13.15">
      <c r="A128" s="19"/>
      <c r="B128" s="19"/>
      <c r="C128" s="19"/>
      <c r="D128" s="19"/>
      <c r="E128" s="19"/>
      <c r="F128" s="20"/>
      <c r="G128" s="19"/>
      <c r="H128" s="19"/>
    </row>
    <row r="129" spans="1:8" ht="13.15">
      <c r="A129" s="19"/>
      <c r="B129" s="19"/>
      <c r="C129" s="19"/>
      <c r="D129" s="19"/>
      <c r="E129" s="19"/>
      <c r="F129" s="20"/>
      <c r="G129" s="19"/>
      <c r="H129" s="19"/>
    </row>
    <row r="130" spans="1:8" ht="13.15">
      <c r="A130" s="19"/>
      <c r="B130" s="19"/>
      <c r="C130" s="19"/>
      <c r="D130" s="19"/>
      <c r="E130" s="19"/>
      <c r="F130" s="20"/>
      <c r="G130" s="19"/>
      <c r="H130" s="19"/>
    </row>
    <row r="131" spans="1:8" ht="13.15">
      <c r="A131" s="19"/>
      <c r="B131" s="19"/>
      <c r="C131" s="19"/>
      <c r="D131" s="19"/>
      <c r="E131" s="19"/>
      <c r="F131" s="20"/>
      <c r="G131" s="19"/>
      <c r="H131" s="19"/>
    </row>
    <row r="132" spans="1:8" ht="13.15">
      <c r="A132" s="19"/>
      <c r="B132" s="19"/>
      <c r="C132" s="19"/>
      <c r="D132" s="19"/>
      <c r="E132" s="19"/>
      <c r="F132" s="20"/>
      <c r="G132" s="19"/>
      <c r="H132" s="19"/>
    </row>
    <row r="133" spans="1:8" ht="13.15">
      <c r="A133" s="19"/>
      <c r="B133" s="19"/>
      <c r="C133" s="19"/>
      <c r="D133" s="19"/>
      <c r="E133" s="19"/>
      <c r="F133" s="20"/>
      <c r="G133" s="19"/>
      <c r="H133" s="19"/>
    </row>
    <row r="134" spans="1:8" ht="13.15">
      <c r="A134" s="19"/>
      <c r="B134" s="19"/>
      <c r="C134" s="19"/>
      <c r="D134" s="19"/>
      <c r="E134" s="19"/>
      <c r="F134" s="20"/>
      <c r="G134" s="19"/>
      <c r="H134" s="19"/>
    </row>
    <row r="135" spans="1:8" ht="13.15">
      <c r="A135" s="19"/>
      <c r="B135" s="19"/>
      <c r="C135" s="19"/>
      <c r="D135" s="19"/>
      <c r="E135" s="19"/>
      <c r="F135" s="20"/>
      <c r="G135" s="19"/>
      <c r="H135" s="19"/>
    </row>
    <row r="136" spans="1:8" ht="13.15">
      <c r="A136" s="19"/>
      <c r="B136" s="19"/>
      <c r="C136" s="19"/>
      <c r="D136" s="19"/>
      <c r="E136" s="19"/>
      <c r="F136" s="20"/>
      <c r="G136" s="19"/>
      <c r="H136" s="19"/>
    </row>
    <row r="137" spans="1:8" ht="13.15">
      <c r="A137" s="19"/>
      <c r="B137" s="19"/>
      <c r="C137" s="19"/>
      <c r="D137" s="19"/>
      <c r="E137" s="19"/>
      <c r="F137" s="20"/>
      <c r="G137" s="19"/>
      <c r="H137" s="19"/>
    </row>
    <row r="138" spans="1:8" ht="13.15">
      <c r="A138" s="19"/>
      <c r="B138" s="19"/>
      <c r="C138" s="19"/>
      <c r="D138" s="19"/>
      <c r="E138" s="19"/>
      <c r="F138" s="20"/>
      <c r="G138" s="19"/>
      <c r="H138" s="19"/>
    </row>
    <row r="139" spans="1:8" ht="13.15">
      <c r="A139" s="19"/>
      <c r="B139" s="19"/>
      <c r="C139" s="19"/>
      <c r="D139" s="19"/>
      <c r="E139" s="19"/>
      <c r="F139" s="20"/>
      <c r="G139" s="19"/>
      <c r="H139" s="19"/>
    </row>
    <row r="140" spans="1:8" ht="13.15">
      <c r="A140" s="19"/>
      <c r="B140" s="19"/>
      <c r="C140" s="19"/>
      <c r="D140" s="19"/>
      <c r="E140" s="19"/>
      <c r="F140" s="20"/>
      <c r="G140" s="19"/>
      <c r="H140" s="19"/>
    </row>
    <row r="141" spans="1:8" ht="13.15">
      <c r="A141" s="19"/>
      <c r="B141" s="19"/>
      <c r="C141" s="19"/>
      <c r="D141" s="19"/>
      <c r="E141" s="19"/>
      <c r="F141" s="20"/>
      <c r="G141" s="19"/>
      <c r="H141" s="19"/>
    </row>
    <row r="142" spans="1:8" ht="13.15">
      <c r="A142" s="19"/>
      <c r="B142" s="19"/>
      <c r="C142" s="19"/>
      <c r="D142" s="19"/>
      <c r="E142" s="19"/>
      <c r="F142" s="20"/>
      <c r="G142" s="19"/>
      <c r="H142" s="19"/>
    </row>
    <row r="143" spans="1:8" ht="13.15">
      <c r="A143" s="19"/>
      <c r="B143" s="19"/>
      <c r="C143" s="19"/>
      <c r="D143" s="19"/>
      <c r="E143" s="19"/>
      <c r="F143" s="20"/>
      <c r="G143" s="19"/>
      <c r="H143" s="19"/>
    </row>
    <row r="144" spans="1:8" ht="13.15">
      <c r="A144" s="19"/>
      <c r="B144" s="19"/>
      <c r="C144" s="19"/>
      <c r="D144" s="19"/>
      <c r="E144" s="19"/>
      <c r="F144" s="20"/>
      <c r="G144" s="19"/>
      <c r="H144" s="19"/>
    </row>
    <row r="145" spans="1:8" ht="13.15">
      <c r="A145" s="19"/>
      <c r="B145" s="19"/>
      <c r="C145" s="19"/>
      <c r="D145" s="19"/>
      <c r="E145" s="19"/>
      <c r="F145" s="20"/>
      <c r="G145" s="19"/>
      <c r="H145" s="19"/>
    </row>
    <row r="146" spans="1:8" ht="13.15">
      <c r="A146" s="19"/>
      <c r="B146" s="19"/>
      <c r="C146" s="19"/>
      <c r="D146" s="19"/>
      <c r="E146" s="19"/>
      <c r="F146" s="20"/>
      <c r="G146" s="19"/>
      <c r="H146" s="19"/>
    </row>
    <row r="147" spans="1:8" ht="13.15">
      <c r="A147" s="19"/>
      <c r="B147" s="19"/>
      <c r="C147" s="19"/>
      <c r="D147" s="19"/>
      <c r="E147" s="19"/>
      <c r="F147" s="20"/>
      <c r="G147" s="19"/>
      <c r="H147" s="19"/>
    </row>
    <row r="148" spans="1:8" ht="13.15">
      <c r="A148" s="19"/>
      <c r="B148" s="19"/>
      <c r="C148" s="19"/>
      <c r="D148" s="19"/>
      <c r="E148" s="19"/>
      <c r="F148" s="20"/>
      <c r="G148" s="19"/>
      <c r="H148" s="19"/>
    </row>
    <row r="149" spans="1:8" ht="13.15">
      <c r="A149" s="19"/>
      <c r="B149" s="19"/>
      <c r="C149" s="19"/>
      <c r="D149" s="19"/>
      <c r="E149" s="19"/>
      <c r="F149" s="20"/>
      <c r="G149" s="19"/>
      <c r="H149" s="19"/>
    </row>
    <row r="150" spans="1:8" ht="13.15">
      <c r="A150" s="19"/>
      <c r="B150" s="19"/>
      <c r="C150" s="19"/>
      <c r="D150" s="19"/>
      <c r="E150" s="19"/>
      <c r="F150" s="20"/>
      <c r="G150" s="19"/>
      <c r="H150" s="19"/>
    </row>
    <row r="151" spans="1:8" ht="13.15">
      <c r="A151" s="19"/>
      <c r="B151" s="19"/>
      <c r="C151" s="19"/>
      <c r="D151" s="19"/>
      <c r="E151" s="19"/>
      <c r="F151" s="20"/>
      <c r="G151" s="19"/>
      <c r="H151" s="19"/>
    </row>
    <row r="152" spans="1:8" ht="13.15">
      <c r="A152" s="19"/>
      <c r="B152" s="19"/>
      <c r="C152" s="19"/>
      <c r="D152" s="19"/>
      <c r="E152" s="19"/>
      <c r="F152" s="20"/>
      <c r="G152" s="19"/>
      <c r="H152" s="19"/>
    </row>
    <row r="153" spans="1:8" ht="13.15">
      <c r="A153" s="19"/>
      <c r="B153" s="19"/>
      <c r="C153" s="19"/>
      <c r="D153" s="19"/>
      <c r="E153" s="19"/>
      <c r="F153" s="20"/>
      <c r="G153" s="19"/>
      <c r="H153" s="19"/>
    </row>
    <row r="154" spans="1:8" ht="13.15">
      <c r="A154" s="19"/>
      <c r="B154" s="19"/>
      <c r="C154" s="19"/>
      <c r="D154" s="19"/>
      <c r="E154" s="19"/>
      <c r="F154" s="20"/>
      <c r="G154" s="19"/>
      <c r="H154" s="19"/>
    </row>
    <row r="155" spans="1:8" ht="13.15">
      <c r="A155" s="19"/>
      <c r="B155" s="19"/>
      <c r="C155" s="19"/>
      <c r="D155" s="19"/>
      <c r="E155" s="19"/>
      <c r="F155" s="20"/>
      <c r="G155" s="19"/>
      <c r="H155" s="19"/>
    </row>
    <row r="156" spans="1:8" ht="13.15">
      <c r="A156" s="19"/>
      <c r="B156" s="19"/>
      <c r="C156" s="19"/>
      <c r="D156" s="19"/>
      <c r="E156" s="19"/>
      <c r="F156" s="20"/>
      <c r="G156" s="19"/>
      <c r="H156" s="19"/>
    </row>
    <row r="157" spans="1:8" ht="13.15">
      <c r="A157" s="19"/>
      <c r="B157" s="19"/>
      <c r="C157" s="19"/>
      <c r="D157" s="19"/>
      <c r="E157" s="19"/>
      <c r="F157" s="20"/>
      <c r="G157" s="19"/>
      <c r="H157" s="19"/>
    </row>
    <row r="158" spans="1:8" ht="13.15">
      <c r="A158" s="19"/>
      <c r="B158" s="19"/>
      <c r="C158" s="19"/>
      <c r="D158" s="19"/>
      <c r="E158" s="19"/>
      <c r="F158" s="20"/>
      <c r="G158" s="19"/>
      <c r="H158" s="19"/>
    </row>
    <row r="159" spans="1:8" ht="13.15">
      <c r="A159" s="19"/>
      <c r="B159" s="19"/>
      <c r="C159" s="19"/>
      <c r="D159" s="19"/>
      <c r="E159" s="19"/>
      <c r="F159" s="20"/>
      <c r="G159" s="19"/>
      <c r="H159" s="19"/>
    </row>
    <row r="160" spans="1:8" ht="13.15">
      <c r="A160" s="19"/>
      <c r="B160" s="19"/>
      <c r="C160" s="19"/>
      <c r="D160" s="19"/>
      <c r="E160" s="19"/>
      <c r="F160" s="20"/>
      <c r="G160" s="19"/>
      <c r="H160" s="19"/>
    </row>
    <row r="161" spans="1:8" ht="13.15">
      <c r="A161" s="19"/>
      <c r="B161" s="19"/>
      <c r="C161" s="19"/>
      <c r="D161" s="19"/>
      <c r="E161" s="19"/>
      <c r="F161" s="20"/>
      <c r="G161" s="19"/>
      <c r="H161" s="19"/>
    </row>
    <row r="162" spans="1:8" ht="13.15">
      <c r="A162" s="19"/>
      <c r="B162" s="19"/>
      <c r="C162" s="19"/>
      <c r="D162" s="19"/>
      <c r="E162" s="19"/>
      <c r="F162" s="20"/>
      <c r="G162" s="19"/>
      <c r="H162" s="19"/>
    </row>
    <row r="163" spans="1:8" ht="13.15">
      <c r="A163" s="19"/>
      <c r="B163" s="19"/>
      <c r="C163" s="19"/>
      <c r="D163" s="19"/>
      <c r="E163" s="19"/>
      <c r="F163" s="20"/>
      <c r="G163" s="19"/>
      <c r="H163" s="19"/>
    </row>
    <row r="164" spans="1:8" ht="13.15">
      <c r="A164" s="19"/>
      <c r="B164" s="19"/>
      <c r="C164" s="19"/>
      <c r="D164" s="19"/>
      <c r="E164" s="19"/>
      <c r="F164" s="20"/>
      <c r="G164" s="19"/>
      <c r="H164" s="19"/>
    </row>
    <row r="165" spans="1:8" ht="13.15">
      <c r="A165" s="19"/>
      <c r="B165" s="19"/>
      <c r="C165" s="19"/>
      <c r="D165" s="19"/>
      <c r="E165" s="19"/>
      <c r="F165" s="20"/>
      <c r="G165" s="19"/>
      <c r="H165" s="19"/>
    </row>
    <row r="166" spans="1:8" ht="13.15">
      <c r="A166" s="19"/>
      <c r="B166" s="19"/>
      <c r="C166" s="19"/>
      <c r="D166" s="19"/>
      <c r="E166" s="19"/>
      <c r="F166" s="20"/>
      <c r="G166" s="19"/>
      <c r="H166" s="19"/>
    </row>
    <row r="167" spans="1:8" ht="13.15">
      <c r="A167" s="19"/>
      <c r="B167" s="19"/>
      <c r="C167" s="19"/>
      <c r="D167" s="19"/>
      <c r="E167" s="19"/>
      <c r="F167" s="20"/>
      <c r="G167" s="19"/>
      <c r="H167" s="19"/>
    </row>
    <row r="168" spans="1:8" ht="13.15">
      <c r="A168" s="19"/>
      <c r="B168" s="19"/>
      <c r="C168" s="19"/>
      <c r="D168" s="19"/>
      <c r="E168" s="19"/>
      <c r="F168" s="20"/>
      <c r="G168" s="19"/>
      <c r="H168" s="19"/>
    </row>
    <row r="169" spans="1:8" ht="13.15">
      <c r="A169" s="19"/>
      <c r="B169" s="19"/>
      <c r="C169" s="19"/>
      <c r="D169" s="19"/>
      <c r="E169" s="19"/>
      <c r="F169" s="20"/>
      <c r="G169" s="19"/>
      <c r="H169" s="19"/>
    </row>
    <row r="170" spans="1:8" ht="13.15">
      <c r="A170" s="19"/>
      <c r="B170" s="19"/>
      <c r="C170" s="19"/>
      <c r="D170" s="19"/>
      <c r="E170" s="19"/>
      <c r="F170" s="20"/>
      <c r="G170" s="19"/>
      <c r="H170" s="19"/>
    </row>
    <row r="171" spans="1:8" ht="13.15">
      <c r="A171" s="19"/>
      <c r="B171" s="19"/>
      <c r="C171" s="19"/>
      <c r="D171" s="19"/>
      <c r="E171" s="19"/>
      <c r="F171" s="20"/>
      <c r="G171" s="19"/>
      <c r="H171" s="19"/>
    </row>
    <row r="172" spans="1:8" ht="13.15">
      <c r="A172" s="19"/>
      <c r="B172" s="19"/>
      <c r="C172" s="19"/>
      <c r="D172" s="19"/>
      <c r="E172" s="19"/>
      <c r="F172" s="20"/>
      <c r="G172" s="19"/>
      <c r="H172" s="19"/>
    </row>
    <row r="173" spans="1:8" ht="13.15">
      <c r="A173" s="19"/>
      <c r="B173" s="19"/>
      <c r="C173" s="19"/>
      <c r="D173" s="19"/>
      <c r="E173" s="19"/>
      <c r="F173" s="20"/>
      <c r="G173" s="19"/>
      <c r="H173" s="19"/>
    </row>
    <row r="174" spans="1:8" ht="13.15">
      <c r="A174" s="19"/>
      <c r="B174" s="19"/>
      <c r="C174" s="19"/>
      <c r="D174" s="19"/>
      <c r="E174" s="19"/>
      <c r="F174" s="20"/>
      <c r="G174" s="19"/>
      <c r="H174" s="19"/>
    </row>
    <row r="175" spans="1:8" ht="13.15">
      <c r="A175" s="19"/>
      <c r="B175" s="19"/>
      <c r="C175" s="19"/>
      <c r="D175" s="19"/>
      <c r="E175" s="19"/>
      <c r="F175" s="20"/>
      <c r="G175" s="19"/>
      <c r="H175" s="19"/>
    </row>
    <row r="176" spans="1:8" ht="13.15">
      <c r="A176" s="19"/>
      <c r="B176" s="19"/>
      <c r="C176" s="19"/>
      <c r="D176" s="19"/>
      <c r="E176" s="19"/>
      <c r="F176" s="20"/>
      <c r="G176" s="19"/>
      <c r="H176" s="19"/>
    </row>
    <row r="177" spans="1:8" ht="13.15">
      <c r="A177" s="19"/>
      <c r="B177" s="19"/>
      <c r="C177" s="19"/>
      <c r="D177" s="19"/>
      <c r="E177" s="19"/>
      <c r="F177" s="20"/>
      <c r="G177" s="19"/>
      <c r="H177" s="19"/>
    </row>
    <row r="178" spans="1:8" ht="13.15">
      <c r="A178" s="19"/>
      <c r="B178" s="19"/>
      <c r="C178" s="19"/>
      <c r="D178" s="19"/>
      <c r="E178" s="19"/>
      <c r="F178" s="20"/>
      <c r="G178" s="19"/>
      <c r="H178" s="19"/>
    </row>
    <row r="179" spans="1:8" ht="13.15">
      <c r="A179" s="19"/>
      <c r="B179" s="19"/>
      <c r="C179" s="19"/>
      <c r="D179" s="19"/>
      <c r="E179" s="19"/>
      <c r="F179" s="20"/>
      <c r="G179" s="19"/>
      <c r="H179" s="19"/>
    </row>
    <row r="180" spans="1:8" ht="13.15">
      <c r="A180" s="19"/>
      <c r="B180" s="19"/>
      <c r="C180" s="19"/>
      <c r="D180" s="19"/>
      <c r="E180" s="19"/>
      <c r="F180" s="20"/>
      <c r="G180" s="19"/>
      <c r="H180" s="19"/>
    </row>
    <row r="181" spans="1:8" ht="13.15">
      <c r="A181" s="19"/>
      <c r="B181" s="19"/>
      <c r="C181" s="19"/>
      <c r="D181" s="19"/>
      <c r="E181" s="19"/>
      <c r="F181" s="20"/>
      <c r="G181" s="19"/>
      <c r="H181" s="19"/>
    </row>
    <row r="182" spans="1:8" ht="13.15">
      <c r="A182" s="19"/>
      <c r="B182" s="19"/>
      <c r="C182" s="19"/>
      <c r="D182" s="19"/>
      <c r="E182" s="19"/>
      <c r="F182" s="20"/>
      <c r="G182" s="19"/>
      <c r="H182" s="19"/>
    </row>
    <row r="183" spans="1:8" ht="13.15">
      <c r="A183" s="19"/>
      <c r="B183" s="19"/>
      <c r="C183" s="19"/>
      <c r="D183" s="19"/>
      <c r="E183" s="19"/>
      <c r="F183" s="20"/>
      <c r="G183" s="19"/>
      <c r="H183" s="19"/>
    </row>
    <row r="184" spans="1:8" ht="13.15">
      <c r="A184" s="19"/>
      <c r="B184" s="19"/>
      <c r="C184" s="19"/>
      <c r="D184" s="19"/>
      <c r="E184" s="19"/>
      <c r="F184" s="20"/>
      <c r="G184" s="19"/>
      <c r="H184" s="19"/>
    </row>
    <row r="185" spans="1:8" ht="13.15">
      <c r="A185" s="19"/>
      <c r="B185" s="19"/>
      <c r="C185" s="19"/>
      <c r="D185" s="19"/>
      <c r="E185" s="19"/>
      <c r="F185" s="20"/>
      <c r="G185" s="19"/>
      <c r="H185" s="19"/>
    </row>
    <row r="186" spans="1:8" ht="13.15">
      <c r="A186" s="19"/>
      <c r="B186" s="19"/>
      <c r="C186" s="19"/>
      <c r="D186" s="19"/>
      <c r="E186" s="19"/>
      <c r="F186" s="20"/>
      <c r="G186" s="19"/>
      <c r="H186" s="19"/>
    </row>
    <row r="187" spans="1:8" ht="13.15">
      <c r="A187" s="19"/>
      <c r="B187" s="19"/>
      <c r="C187" s="19"/>
      <c r="D187" s="19"/>
      <c r="E187" s="19"/>
      <c r="F187" s="20"/>
      <c r="G187" s="19"/>
      <c r="H187" s="19"/>
    </row>
    <row r="188" spans="1:8" ht="13.15">
      <c r="A188" s="19"/>
      <c r="B188" s="19"/>
      <c r="C188" s="19"/>
      <c r="D188" s="19"/>
      <c r="E188" s="19"/>
      <c r="F188" s="20"/>
      <c r="G188" s="19"/>
      <c r="H188" s="19"/>
    </row>
    <row r="189" spans="1:8" ht="13.15">
      <c r="A189" s="19"/>
      <c r="B189" s="19"/>
      <c r="C189" s="19"/>
      <c r="D189" s="19"/>
      <c r="E189" s="19"/>
      <c r="F189" s="20"/>
      <c r="G189" s="19"/>
      <c r="H189" s="19"/>
    </row>
    <row r="190" spans="1:8" ht="13.15">
      <c r="A190" s="19"/>
      <c r="B190" s="19"/>
      <c r="C190" s="19"/>
      <c r="D190" s="19"/>
      <c r="E190" s="19"/>
      <c r="F190" s="20"/>
      <c r="G190" s="19"/>
      <c r="H190" s="19"/>
    </row>
    <row r="191" spans="1:8" ht="13.15">
      <c r="A191" s="19"/>
      <c r="B191" s="19"/>
      <c r="C191" s="19"/>
      <c r="D191" s="19"/>
      <c r="E191" s="19"/>
      <c r="F191" s="20"/>
      <c r="G191" s="19"/>
      <c r="H191" s="19"/>
    </row>
    <row r="192" spans="1:8" ht="13.15">
      <c r="A192" s="19"/>
      <c r="B192" s="19"/>
      <c r="C192" s="19"/>
      <c r="D192" s="19"/>
      <c r="E192" s="19"/>
      <c r="F192" s="20"/>
      <c r="G192" s="19"/>
      <c r="H192" s="19"/>
    </row>
    <row r="193" spans="1:8" ht="13.15">
      <c r="A193" s="19"/>
      <c r="B193" s="19"/>
      <c r="C193" s="19"/>
      <c r="D193" s="19"/>
      <c r="E193" s="19"/>
      <c r="F193" s="20"/>
      <c r="G193" s="19"/>
      <c r="H193" s="19"/>
    </row>
    <row r="194" spans="1:8" ht="13.15">
      <c r="A194" s="19"/>
      <c r="B194" s="19"/>
      <c r="C194" s="19"/>
      <c r="D194" s="19"/>
      <c r="E194" s="19"/>
      <c r="F194" s="20"/>
      <c r="G194" s="19"/>
      <c r="H194" s="19"/>
    </row>
    <row r="195" spans="1:8" ht="13.15">
      <c r="A195" s="19"/>
      <c r="B195" s="19"/>
      <c r="C195" s="19"/>
      <c r="D195" s="19"/>
      <c r="E195" s="19"/>
      <c r="F195" s="20"/>
      <c r="G195" s="19"/>
      <c r="H195" s="19"/>
    </row>
    <row r="196" spans="1:8" ht="13.15">
      <c r="A196" s="19"/>
      <c r="B196" s="19"/>
      <c r="C196" s="19"/>
      <c r="D196" s="19"/>
      <c r="E196" s="19"/>
      <c r="F196" s="20"/>
      <c r="G196" s="19"/>
      <c r="H196" s="19"/>
    </row>
    <row r="197" spans="1:8" ht="13.15">
      <c r="A197" s="19"/>
      <c r="B197" s="19"/>
      <c r="C197" s="19"/>
      <c r="D197" s="19"/>
      <c r="E197" s="19"/>
      <c r="F197" s="20"/>
      <c r="G197" s="19"/>
      <c r="H197" s="19"/>
    </row>
    <row r="198" spans="1:8" ht="13.15">
      <c r="A198" s="19"/>
      <c r="B198" s="19"/>
      <c r="C198" s="19"/>
      <c r="D198" s="19"/>
      <c r="E198" s="19"/>
      <c r="F198" s="20"/>
      <c r="G198" s="19"/>
      <c r="H198" s="19"/>
    </row>
    <row r="199" spans="1:8" ht="13.15">
      <c r="A199" s="19"/>
      <c r="B199" s="19"/>
      <c r="C199" s="19"/>
      <c r="D199" s="19"/>
      <c r="E199" s="19"/>
      <c r="F199" s="20"/>
      <c r="G199" s="19"/>
      <c r="H199" s="19"/>
    </row>
    <row r="200" spans="1:8" ht="13.15">
      <c r="A200" s="19"/>
      <c r="B200" s="19"/>
      <c r="C200" s="19"/>
      <c r="D200" s="19"/>
      <c r="E200" s="19"/>
      <c r="F200" s="20"/>
      <c r="G200" s="19"/>
      <c r="H200" s="19"/>
    </row>
    <row r="201" spans="1:8" ht="13.15">
      <c r="A201" s="19"/>
      <c r="B201" s="19"/>
      <c r="C201" s="19"/>
      <c r="D201" s="19"/>
      <c r="E201" s="19"/>
      <c r="F201" s="20"/>
      <c r="G201" s="19"/>
      <c r="H201" s="19"/>
    </row>
    <row r="202" spans="1:8" ht="13.15">
      <c r="A202" s="19"/>
      <c r="B202" s="19"/>
      <c r="C202" s="19"/>
      <c r="D202" s="19"/>
      <c r="E202" s="19"/>
      <c r="F202" s="20"/>
      <c r="G202" s="19"/>
      <c r="H202" s="19"/>
    </row>
    <row r="203" spans="1:8" ht="13.15">
      <c r="A203" s="19"/>
      <c r="B203" s="19"/>
      <c r="C203" s="19"/>
      <c r="D203" s="19"/>
      <c r="E203" s="19"/>
      <c r="F203" s="20"/>
      <c r="G203" s="19"/>
      <c r="H203" s="19"/>
    </row>
    <row r="204" spans="1:8" ht="13.15">
      <c r="A204" s="19"/>
      <c r="B204" s="19"/>
      <c r="C204" s="19"/>
      <c r="D204" s="19"/>
      <c r="E204" s="19"/>
      <c r="F204" s="20"/>
      <c r="G204" s="19"/>
      <c r="H204" s="19"/>
    </row>
    <row r="205" spans="1:8" ht="13.15">
      <c r="A205" s="19"/>
      <c r="B205" s="19"/>
      <c r="C205" s="19"/>
      <c r="D205" s="19"/>
      <c r="E205" s="19"/>
      <c r="F205" s="20"/>
      <c r="G205" s="19"/>
      <c r="H205" s="19"/>
    </row>
    <row r="206" spans="1:8" ht="13.15">
      <c r="A206" s="19"/>
      <c r="B206" s="19"/>
      <c r="C206" s="19"/>
      <c r="D206" s="19"/>
      <c r="E206" s="19"/>
      <c r="F206" s="20"/>
      <c r="G206" s="19"/>
      <c r="H206" s="19"/>
    </row>
    <row r="207" spans="1:8" ht="13.15">
      <c r="A207" s="19"/>
      <c r="B207" s="19"/>
      <c r="C207" s="19"/>
      <c r="D207" s="19"/>
      <c r="E207" s="19"/>
      <c r="F207" s="20"/>
      <c r="G207" s="19"/>
      <c r="H207" s="19"/>
    </row>
    <row r="208" spans="1:8" ht="13.15">
      <c r="A208" s="19"/>
      <c r="B208" s="19"/>
      <c r="C208" s="19"/>
      <c r="D208" s="19"/>
      <c r="E208" s="19"/>
      <c r="F208" s="20"/>
      <c r="G208" s="19"/>
      <c r="H208" s="19"/>
    </row>
    <row r="209" spans="1:8" ht="13.15">
      <c r="A209" s="19"/>
      <c r="B209" s="19"/>
      <c r="C209" s="19"/>
      <c r="D209" s="19"/>
      <c r="E209" s="19"/>
      <c r="F209" s="20"/>
      <c r="G209" s="19"/>
      <c r="H209" s="19"/>
    </row>
    <row r="210" spans="1:8" ht="13.15">
      <c r="A210" s="19"/>
      <c r="B210" s="19"/>
      <c r="C210" s="19"/>
      <c r="D210" s="19"/>
      <c r="E210" s="19"/>
      <c r="F210" s="20"/>
      <c r="G210" s="19"/>
      <c r="H210" s="19"/>
    </row>
    <row r="211" spans="1:8" ht="13.15">
      <c r="A211" s="19"/>
      <c r="B211" s="19"/>
      <c r="C211" s="19"/>
      <c r="D211" s="19"/>
      <c r="E211" s="19"/>
      <c r="F211" s="20"/>
      <c r="G211" s="19"/>
      <c r="H211" s="19"/>
    </row>
    <row r="212" spans="1:8" ht="13.15">
      <c r="A212" s="19"/>
      <c r="B212" s="19"/>
      <c r="C212" s="19"/>
      <c r="D212" s="19"/>
      <c r="E212" s="19"/>
      <c r="F212" s="20"/>
      <c r="G212" s="19"/>
      <c r="H212" s="19"/>
    </row>
    <row r="213" spans="1:8" ht="13.15">
      <c r="A213" s="19"/>
      <c r="B213" s="19"/>
      <c r="C213" s="19"/>
      <c r="D213" s="19"/>
      <c r="E213" s="19"/>
      <c r="F213" s="20"/>
      <c r="G213" s="19"/>
      <c r="H213" s="19"/>
    </row>
    <row r="214" spans="1:8" ht="13.15">
      <c r="A214" s="19"/>
      <c r="B214" s="19"/>
      <c r="C214" s="19"/>
      <c r="D214" s="19"/>
      <c r="E214" s="19"/>
      <c r="F214" s="20"/>
      <c r="G214" s="19"/>
      <c r="H214" s="19"/>
    </row>
    <row r="215" spans="1:8" ht="13.15">
      <c r="A215" s="19"/>
      <c r="B215" s="19"/>
      <c r="C215" s="19"/>
      <c r="D215" s="19"/>
      <c r="E215" s="19"/>
      <c r="F215" s="20"/>
      <c r="G215" s="19"/>
      <c r="H215" s="19"/>
    </row>
    <row r="216" spans="1:8" ht="13.15">
      <c r="A216" s="19"/>
      <c r="B216" s="19"/>
      <c r="C216" s="19"/>
      <c r="D216" s="19"/>
      <c r="E216" s="19"/>
      <c r="F216" s="20"/>
      <c r="G216" s="19"/>
      <c r="H216" s="19"/>
    </row>
    <row r="217" spans="1:8" ht="13.15">
      <c r="A217" s="19"/>
      <c r="B217" s="19"/>
      <c r="C217" s="19"/>
      <c r="D217" s="19"/>
      <c r="E217" s="19"/>
      <c r="F217" s="20"/>
      <c r="G217" s="19"/>
      <c r="H217" s="19"/>
    </row>
    <row r="218" spans="1:8" ht="13.15">
      <c r="A218" s="19"/>
      <c r="B218" s="19"/>
      <c r="C218" s="19"/>
      <c r="D218" s="19"/>
      <c r="E218" s="19"/>
      <c r="F218" s="20"/>
      <c r="G218" s="19"/>
      <c r="H218" s="19"/>
    </row>
    <row r="219" spans="1:8" ht="13.15">
      <c r="A219" s="19"/>
      <c r="B219" s="19"/>
      <c r="C219" s="19"/>
      <c r="D219" s="19"/>
      <c r="E219" s="19"/>
      <c r="F219" s="20"/>
      <c r="G219" s="19"/>
      <c r="H219" s="19"/>
    </row>
    <row r="220" spans="1:8" ht="13.15">
      <c r="A220" s="19"/>
      <c r="B220" s="19"/>
      <c r="C220" s="19"/>
      <c r="D220" s="19"/>
      <c r="E220" s="19"/>
      <c r="F220" s="20"/>
      <c r="G220" s="19"/>
      <c r="H220" s="19"/>
    </row>
    <row r="221" spans="1:8" ht="13.15">
      <c r="A221" s="19"/>
      <c r="B221" s="19"/>
      <c r="C221" s="19"/>
      <c r="D221" s="19"/>
      <c r="E221" s="19"/>
      <c r="F221" s="20"/>
      <c r="G221" s="19"/>
      <c r="H221" s="19"/>
    </row>
    <row r="222" spans="1:8" ht="13.15">
      <c r="A222" s="19"/>
      <c r="B222" s="19"/>
      <c r="C222" s="19"/>
      <c r="D222" s="19"/>
      <c r="E222" s="19"/>
      <c r="F222" s="20"/>
      <c r="G222" s="19"/>
      <c r="H222" s="19"/>
    </row>
    <row r="223" spans="1:8" ht="13.15">
      <c r="A223" s="19"/>
      <c r="B223" s="19"/>
      <c r="C223" s="19"/>
      <c r="D223" s="19"/>
      <c r="E223" s="19"/>
      <c r="F223" s="20"/>
      <c r="G223" s="19"/>
      <c r="H223" s="19"/>
    </row>
    <row r="224" spans="1:8" ht="13.15">
      <c r="A224" s="19"/>
      <c r="B224" s="19"/>
      <c r="C224" s="19"/>
      <c r="D224" s="19"/>
      <c r="E224" s="19"/>
      <c r="F224" s="20"/>
      <c r="G224" s="19"/>
      <c r="H224" s="19"/>
    </row>
    <row r="225" spans="1:8" ht="13.15">
      <c r="A225" s="19"/>
      <c r="B225" s="19"/>
      <c r="C225" s="19"/>
      <c r="D225" s="19"/>
      <c r="E225" s="19"/>
      <c r="F225" s="20"/>
      <c r="G225" s="19"/>
      <c r="H225" s="19"/>
    </row>
    <row r="226" spans="1:8" ht="13.15">
      <c r="A226" s="19"/>
      <c r="B226" s="19"/>
      <c r="C226" s="19"/>
      <c r="D226" s="19"/>
      <c r="E226" s="19"/>
      <c r="F226" s="20"/>
      <c r="G226" s="19"/>
      <c r="H226" s="19"/>
    </row>
    <row r="227" spans="1:8" ht="13.15">
      <c r="A227" s="19"/>
      <c r="B227" s="19"/>
      <c r="C227" s="19"/>
      <c r="D227" s="19"/>
      <c r="E227" s="19"/>
      <c r="F227" s="20"/>
      <c r="G227" s="19"/>
      <c r="H227" s="19"/>
    </row>
    <row r="228" spans="1:8" ht="13.15">
      <c r="A228" s="19"/>
      <c r="B228" s="19"/>
      <c r="C228" s="19"/>
      <c r="D228" s="19"/>
      <c r="E228" s="19"/>
      <c r="F228" s="20"/>
      <c r="G228" s="19"/>
      <c r="H228" s="19"/>
    </row>
    <row r="229" spans="1:8" ht="13.15">
      <c r="A229" s="19"/>
      <c r="B229" s="19"/>
      <c r="C229" s="19"/>
      <c r="D229" s="19"/>
      <c r="E229" s="19"/>
      <c r="F229" s="20"/>
      <c r="G229" s="19"/>
      <c r="H229" s="19"/>
    </row>
    <row r="230" spans="1:8" ht="13.15">
      <c r="A230" s="19"/>
      <c r="B230" s="19"/>
      <c r="C230" s="19"/>
      <c r="D230" s="19"/>
      <c r="E230" s="19"/>
      <c r="F230" s="20"/>
      <c r="G230" s="19"/>
      <c r="H230" s="19"/>
    </row>
    <row r="231" spans="1:8" ht="13.15">
      <c r="A231" s="19"/>
      <c r="B231" s="19"/>
      <c r="C231" s="19"/>
      <c r="D231" s="19"/>
      <c r="E231" s="19"/>
      <c r="F231" s="20"/>
      <c r="G231" s="19"/>
      <c r="H231" s="19"/>
    </row>
    <row r="232" spans="1:8" ht="13.15">
      <c r="A232" s="19"/>
      <c r="B232" s="19"/>
      <c r="C232" s="19"/>
      <c r="D232" s="19"/>
      <c r="E232" s="19"/>
      <c r="F232" s="20"/>
      <c r="G232" s="19"/>
      <c r="H232" s="19"/>
    </row>
    <row r="233" spans="1:8" ht="13.15">
      <c r="A233" s="19"/>
      <c r="B233" s="19"/>
      <c r="C233" s="19"/>
      <c r="D233" s="19"/>
      <c r="E233" s="19"/>
      <c r="F233" s="20"/>
      <c r="G233" s="19"/>
      <c r="H233" s="19"/>
    </row>
    <row r="234" spans="1:8" ht="13.15">
      <c r="A234" s="19"/>
      <c r="B234" s="19"/>
      <c r="C234" s="19"/>
      <c r="D234" s="19"/>
      <c r="E234" s="19"/>
      <c r="F234" s="20"/>
      <c r="G234" s="19"/>
      <c r="H234" s="19"/>
    </row>
    <row r="235" spans="1:8" ht="13.15">
      <c r="A235" s="19"/>
      <c r="B235" s="19"/>
      <c r="C235" s="19"/>
      <c r="D235" s="19"/>
      <c r="E235" s="19"/>
      <c r="F235" s="20"/>
      <c r="G235" s="19"/>
      <c r="H235" s="19"/>
    </row>
    <row r="236" spans="1:8" ht="13.15">
      <c r="A236" s="19"/>
      <c r="B236" s="19"/>
      <c r="C236" s="19"/>
      <c r="D236" s="19"/>
      <c r="E236" s="19"/>
      <c r="F236" s="20"/>
      <c r="G236" s="19"/>
      <c r="H236" s="19"/>
    </row>
    <row r="237" spans="1:8" ht="13.15">
      <c r="A237" s="19"/>
      <c r="B237" s="19"/>
      <c r="C237" s="19"/>
      <c r="D237" s="19"/>
      <c r="E237" s="19"/>
      <c r="F237" s="20"/>
      <c r="G237" s="19"/>
      <c r="H237" s="19"/>
    </row>
    <row r="238" spans="1:8" ht="13.15">
      <c r="A238" s="19"/>
      <c r="B238" s="19"/>
      <c r="C238" s="19"/>
      <c r="D238" s="19"/>
      <c r="E238" s="19"/>
      <c r="F238" s="20"/>
      <c r="G238" s="19"/>
      <c r="H238" s="19"/>
    </row>
    <row r="239" spans="1:8" ht="13.15">
      <c r="A239" s="19"/>
      <c r="B239" s="19"/>
      <c r="C239" s="19"/>
      <c r="D239" s="19"/>
      <c r="E239" s="19"/>
      <c r="F239" s="20"/>
      <c r="G239" s="19"/>
      <c r="H239" s="19"/>
    </row>
    <row r="240" spans="1:8" ht="13.15">
      <c r="A240" s="19"/>
      <c r="B240" s="19"/>
      <c r="C240" s="19"/>
      <c r="D240" s="19"/>
      <c r="E240" s="19"/>
      <c r="F240" s="20"/>
      <c r="G240" s="19"/>
      <c r="H240" s="19"/>
    </row>
    <row r="241" spans="1:8" ht="13.15">
      <c r="A241" s="19"/>
      <c r="B241" s="19"/>
      <c r="C241" s="19"/>
      <c r="D241" s="19"/>
      <c r="E241" s="19"/>
      <c r="F241" s="20"/>
      <c r="G241" s="19"/>
      <c r="H241" s="19"/>
    </row>
    <row r="242" spans="1:8" ht="13.15">
      <c r="A242" s="19"/>
      <c r="B242" s="19"/>
      <c r="C242" s="19"/>
      <c r="D242" s="19"/>
      <c r="E242" s="19"/>
      <c r="F242" s="20"/>
      <c r="G242" s="19"/>
      <c r="H242" s="19"/>
    </row>
    <row r="243" spans="1:8" ht="13.15">
      <c r="A243" s="19"/>
      <c r="B243" s="19"/>
      <c r="C243" s="19"/>
      <c r="D243" s="19"/>
      <c r="E243" s="19"/>
      <c r="F243" s="20"/>
      <c r="G243" s="19"/>
      <c r="H243" s="19"/>
    </row>
    <row r="244" spans="1:8" ht="13.15">
      <c r="A244" s="19"/>
      <c r="B244" s="19"/>
      <c r="C244" s="19"/>
      <c r="D244" s="19"/>
      <c r="E244" s="19"/>
      <c r="F244" s="20"/>
      <c r="G244" s="19"/>
      <c r="H244" s="19"/>
    </row>
    <row r="245" spans="1:8" ht="13.15">
      <c r="A245" s="19"/>
      <c r="B245" s="19"/>
      <c r="C245" s="19"/>
      <c r="D245" s="19"/>
      <c r="E245" s="19"/>
      <c r="F245" s="20"/>
      <c r="G245" s="19"/>
      <c r="H245" s="19"/>
    </row>
    <row r="246" spans="1:8" ht="13.15">
      <c r="A246" s="19"/>
      <c r="B246" s="19"/>
      <c r="C246" s="19"/>
      <c r="D246" s="19"/>
      <c r="E246" s="19"/>
      <c r="F246" s="20"/>
      <c r="G246" s="19"/>
      <c r="H246" s="19"/>
    </row>
    <row r="247" spans="1:8" ht="13.15">
      <c r="A247" s="19"/>
      <c r="B247" s="19"/>
      <c r="C247" s="19"/>
      <c r="D247" s="19"/>
      <c r="E247" s="19"/>
      <c r="F247" s="20"/>
      <c r="G247" s="19"/>
      <c r="H247" s="19"/>
    </row>
    <row r="248" spans="1:8" ht="13.15">
      <c r="A248" s="19"/>
      <c r="B248" s="19"/>
      <c r="C248" s="19"/>
      <c r="D248" s="19"/>
      <c r="E248" s="19"/>
      <c r="F248" s="20"/>
      <c r="G248" s="19"/>
      <c r="H248" s="19"/>
    </row>
    <row r="249" spans="1:8" ht="13.15">
      <c r="A249" s="19"/>
      <c r="B249" s="19"/>
      <c r="C249" s="19"/>
      <c r="D249" s="19"/>
      <c r="E249" s="19"/>
      <c r="F249" s="20"/>
      <c r="G249" s="19"/>
      <c r="H249" s="19"/>
    </row>
    <row r="250" spans="1:8" ht="13.15">
      <c r="A250" s="19"/>
      <c r="B250" s="19"/>
      <c r="C250" s="19"/>
      <c r="D250" s="19"/>
      <c r="E250" s="19"/>
      <c r="F250" s="20"/>
      <c r="G250" s="19"/>
      <c r="H250" s="19"/>
    </row>
    <row r="251" spans="1:8" ht="13.15">
      <c r="A251" s="19"/>
      <c r="B251" s="19"/>
      <c r="C251" s="19"/>
      <c r="D251" s="19"/>
      <c r="E251" s="19"/>
      <c r="F251" s="20"/>
      <c r="G251" s="19"/>
      <c r="H251" s="19"/>
    </row>
    <row r="252" spans="1:8" ht="13.15">
      <c r="A252" s="19"/>
      <c r="B252" s="19"/>
      <c r="C252" s="19"/>
      <c r="D252" s="19"/>
      <c r="E252" s="19"/>
      <c r="F252" s="20"/>
      <c r="G252" s="19"/>
      <c r="H252" s="19"/>
    </row>
    <row r="253" spans="1:8" ht="13.15">
      <c r="A253" s="19"/>
      <c r="B253" s="19"/>
      <c r="C253" s="19"/>
      <c r="D253" s="19"/>
      <c r="E253" s="19"/>
      <c r="F253" s="20"/>
      <c r="G253" s="19"/>
      <c r="H253" s="19"/>
    </row>
    <row r="254" spans="1:8" ht="13.15">
      <c r="A254" s="19"/>
      <c r="B254" s="19"/>
      <c r="C254" s="19"/>
      <c r="D254" s="19"/>
      <c r="E254" s="19"/>
      <c r="F254" s="20"/>
      <c r="G254" s="19"/>
      <c r="H254" s="19"/>
    </row>
    <row r="255" spans="1:8" ht="13.15">
      <c r="A255" s="19"/>
      <c r="B255" s="19"/>
      <c r="C255" s="19"/>
      <c r="D255" s="19"/>
      <c r="E255" s="19"/>
      <c r="F255" s="20"/>
      <c r="G255" s="19"/>
      <c r="H255" s="19"/>
    </row>
    <row r="256" spans="1:8" ht="13.15">
      <c r="A256" s="19"/>
      <c r="B256" s="19"/>
      <c r="C256" s="19"/>
      <c r="D256" s="19"/>
      <c r="E256" s="19"/>
      <c r="F256" s="20"/>
      <c r="G256" s="19"/>
      <c r="H256" s="19"/>
    </row>
    <row r="257" spans="1:8" ht="13.15">
      <c r="A257" s="19"/>
      <c r="B257" s="19"/>
      <c r="C257" s="19"/>
      <c r="D257" s="19"/>
      <c r="E257" s="19"/>
      <c r="F257" s="20"/>
      <c r="G257" s="19"/>
      <c r="H257" s="19"/>
    </row>
    <row r="258" spans="1:8" ht="13.15">
      <c r="A258" s="19"/>
      <c r="B258" s="19"/>
      <c r="C258" s="19"/>
      <c r="D258" s="19"/>
      <c r="E258" s="19"/>
      <c r="F258" s="20"/>
      <c r="G258" s="19"/>
      <c r="H258" s="19"/>
    </row>
    <row r="259" spans="1:8" ht="13.15">
      <c r="A259" s="19"/>
      <c r="B259" s="19"/>
      <c r="C259" s="19"/>
      <c r="D259" s="19"/>
      <c r="E259" s="19"/>
      <c r="F259" s="20"/>
      <c r="G259" s="19"/>
      <c r="H259" s="19"/>
    </row>
    <row r="260" spans="1:8" ht="13.15">
      <c r="A260" s="19"/>
      <c r="B260" s="19"/>
      <c r="C260" s="19"/>
      <c r="D260" s="19"/>
      <c r="E260" s="19"/>
      <c r="F260" s="20"/>
      <c r="G260" s="19"/>
      <c r="H260" s="19"/>
    </row>
    <row r="261" spans="1:8" ht="13.15">
      <c r="A261" s="19"/>
      <c r="B261" s="19"/>
      <c r="C261" s="19"/>
      <c r="D261" s="19"/>
      <c r="E261" s="19"/>
      <c r="F261" s="20"/>
      <c r="G261" s="19"/>
      <c r="H261" s="19"/>
    </row>
    <row r="262" spans="1:8" ht="13.15">
      <c r="A262" s="19"/>
      <c r="B262" s="19"/>
      <c r="C262" s="19"/>
      <c r="D262" s="19"/>
      <c r="E262" s="19"/>
      <c r="F262" s="20"/>
      <c r="G262" s="19"/>
      <c r="H262" s="19"/>
    </row>
    <row r="263" spans="1:8" ht="13.15">
      <c r="A263" s="19"/>
      <c r="B263" s="19"/>
      <c r="C263" s="19"/>
      <c r="D263" s="19"/>
      <c r="E263" s="19"/>
      <c r="F263" s="20"/>
      <c r="G263" s="19"/>
      <c r="H263" s="19"/>
    </row>
    <row r="264" spans="1:8" ht="13.15">
      <c r="A264" s="19"/>
      <c r="B264" s="19"/>
      <c r="C264" s="19"/>
      <c r="D264" s="19"/>
      <c r="E264" s="19"/>
      <c r="F264" s="20"/>
      <c r="G264" s="19"/>
      <c r="H264" s="19"/>
    </row>
    <row r="265" spans="1:8" ht="13.15">
      <c r="A265" s="19"/>
      <c r="B265" s="19"/>
      <c r="C265" s="19"/>
      <c r="D265" s="19"/>
      <c r="E265" s="19"/>
      <c r="F265" s="20"/>
      <c r="G265" s="19"/>
      <c r="H265" s="19"/>
    </row>
    <row r="266" spans="1:8" ht="13.15">
      <c r="A266" s="19"/>
      <c r="B266" s="19"/>
      <c r="C266" s="19"/>
      <c r="D266" s="19"/>
      <c r="E266" s="19"/>
      <c r="F266" s="20"/>
      <c r="G266" s="19"/>
      <c r="H266" s="19"/>
    </row>
    <row r="267" spans="1:8" ht="13.15">
      <c r="A267" s="19"/>
      <c r="B267" s="19"/>
      <c r="C267" s="19"/>
      <c r="D267" s="19"/>
      <c r="E267" s="19"/>
      <c r="F267" s="20"/>
      <c r="G267" s="19"/>
      <c r="H267" s="19"/>
    </row>
    <row r="268" spans="1:8" ht="13.15">
      <c r="A268" s="19"/>
      <c r="B268" s="19"/>
      <c r="C268" s="19"/>
      <c r="D268" s="19"/>
      <c r="E268" s="19"/>
      <c r="F268" s="20"/>
      <c r="G268" s="19"/>
      <c r="H268" s="19"/>
    </row>
    <row r="269" spans="1:8" ht="13.15">
      <c r="A269" s="19"/>
      <c r="B269" s="19"/>
      <c r="C269" s="19"/>
      <c r="D269" s="19"/>
      <c r="E269" s="19"/>
      <c r="F269" s="20"/>
      <c r="G269" s="19"/>
      <c r="H269" s="19"/>
    </row>
    <row r="270" spans="1:8" ht="13.15">
      <c r="A270" s="19"/>
      <c r="B270" s="19"/>
      <c r="C270" s="19"/>
      <c r="D270" s="19"/>
      <c r="E270" s="19"/>
      <c r="F270" s="20"/>
      <c r="G270" s="19"/>
      <c r="H270" s="19"/>
    </row>
    <row r="271" spans="1:8" ht="13.15">
      <c r="A271" s="19"/>
      <c r="B271" s="19"/>
      <c r="C271" s="19"/>
      <c r="D271" s="19"/>
      <c r="E271" s="19"/>
      <c r="F271" s="20"/>
      <c r="G271" s="19"/>
      <c r="H271" s="19"/>
    </row>
    <row r="272" spans="1:8" ht="13.15">
      <c r="A272" s="19"/>
      <c r="B272" s="19"/>
      <c r="C272" s="19"/>
      <c r="D272" s="19"/>
      <c r="E272" s="19"/>
      <c r="F272" s="20"/>
      <c r="G272" s="19"/>
      <c r="H272" s="19"/>
    </row>
    <row r="273" spans="1:8" ht="13.15">
      <c r="A273" s="19"/>
      <c r="B273" s="19"/>
      <c r="C273" s="19"/>
      <c r="D273" s="19"/>
      <c r="E273" s="19"/>
      <c r="F273" s="20"/>
      <c r="G273" s="19"/>
      <c r="H273" s="19"/>
    </row>
    <row r="274" spans="1:8" ht="13.15">
      <c r="A274" s="19"/>
      <c r="B274" s="19"/>
      <c r="C274" s="19"/>
      <c r="D274" s="19"/>
      <c r="E274" s="19"/>
      <c r="F274" s="20"/>
      <c r="G274" s="19"/>
      <c r="H274" s="19"/>
    </row>
    <row r="275" spans="1:8" ht="13.15">
      <c r="A275" s="19"/>
      <c r="B275" s="19"/>
      <c r="C275" s="19"/>
      <c r="D275" s="19"/>
      <c r="E275" s="19"/>
      <c r="F275" s="20"/>
      <c r="G275" s="19"/>
      <c r="H275" s="19"/>
    </row>
    <row r="276" spans="1:8" ht="13.15">
      <c r="A276" s="19"/>
      <c r="B276" s="19"/>
      <c r="C276" s="19"/>
      <c r="D276" s="19"/>
      <c r="E276" s="19"/>
      <c r="F276" s="20"/>
      <c r="G276" s="19"/>
      <c r="H276" s="19"/>
    </row>
    <row r="277" spans="1:8" ht="13.15">
      <c r="A277" s="19"/>
      <c r="B277" s="19"/>
      <c r="C277" s="19"/>
      <c r="D277" s="19"/>
      <c r="E277" s="19"/>
      <c r="F277" s="20"/>
      <c r="G277" s="19"/>
      <c r="H277" s="19"/>
    </row>
    <row r="278" spans="1:8" ht="13.15">
      <c r="A278" s="19"/>
      <c r="B278" s="19"/>
      <c r="C278" s="19"/>
      <c r="D278" s="19"/>
      <c r="E278" s="19"/>
      <c r="F278" s="20"/>
      <c r="G278" s="19"/>
      <c r="H278" s="19"/>
    </row>
    <row r="279" spans="1:8" ht="13.15">
      <c r="A279" s="19"/>
      <c r="B279" s="19"/>
      <c r="C279" s="19"/>
      <c r="D279" s="19"/>
      <c r="E279" s="19"/>
      <c r="F279" s="20"/>
      <c r="G279" s="19"/>
      <c r="H279" s="19"/>
    </row>
    <row r="280" spans="1:8" ht="13.15">
      <c r="A280" s="19"/>
      <c r="B280" s="19"/>
      <c r="C280" s="19"/>
      <c r="D280" s="19"/>
      <c r="E280" s="19"/>
      <c r="F280" s="20"/>
      <c r="G280" s="19"/>
      <c r="H280" s="19"/>
    </row>
    <row r="281" spans="1:8" ht="13.15">
      <c r="A281" s="19"/>
      <c r="B281" s="19"/>
      <c r="C281" s="19"/>
      <c r="D281" s="19"/>
      <c r="E281" s="19"/>
      <c r="F281" s="20"/>
      <c r="G281" s="19"/>
      <c r="H281" s="19"/>
    </row>
    <row r="282" spans="1:8" ht="13.15">
      <c r="A282" s="19"/>
      <c r="B282" s="19"/>
      <c r="C282" s="19"/>
      <c r="D282" s="19"/>
      <c r="E282" s="19"/>
      <c r="F282" s="20"/>
      <c r="G282" s="19"/>
      <c r="H282" s="19"/>
    </row>
    <row r="283" spans="1:8" ht="13.15">
      <c r="A283" s="19"/>
      <c r="B283" s="19"/>
      <c r="C283" s="19"/>
      <c r="D283" s="19"/>
      <c r="E283" s="19"/>
      <c r="F283" s="20"/>
      <c r="G283" s="19"/>
      <c r="H283" s="19"/>
    </row>
    <row r="284" spans="1:8" ht="13.15">
      <c r="A284" s="19"/>
      <c r="B284" s="19"/>
      <c r="C284" s="19"/>
      <c r="D284" s="19"/>
      <c r="E284" s="19"/>
      <c r="F284" s="20"/>
      <c r="G284" s="19"/>
      <c r="H284" s="19"/>
    </row>
    <row r="285" spans="1:8" ht="13.15">
      <c r="A285" s="19"/>
      <c r="B285" s="19"/>
      <c r="C285" s="19"/>
      <c r="D285" s="19"/>
      <c r="E285" s="19"/>
      <c r="F285" s="20"/>
      <c r="G285" s="19"/>
      <c r="H285" s="19"/>
    </row>
    <row r="286" spans="1:8" ht="13.15">
      <c r="A286" s="19"/>
      <c r="B286" s="19"/>
      <c r="C286" s="19"/>
      <c r="D286" s="19"/>
      <c r="E286" s="19"/>
      <c r="F286" s="20"/>
      <c r="G286" s="19"/>
      <c r="H286" s="19"/>
    </row>
    <row r="287" spans="1:8" ht="13.15">
      <c r="A287" s="19"/>
      <c r="B287" s="19"/>
      <c r="C287" s="19"/>
      <c r="D287" s="19"/>
      <c r="E287" s="19"/>
      <c r="F287" s="20"/>
      <c r="G287" s="19"/>
      <c r="H287" s="19"/>
    </row>
    <row r="288" spans="1:8" ht="13.15">
      <c r="A288" s="19"/>
      <c r="B288" s="19"/>
      <c r="C288" s="19"/>
      <c r="D288" s="19"/>
      <c r="E288" s="19"/>
      <c r="F288" s="20"/>
      <c r="G288" s="19"/>
      <c r="H288" s="19"/>
    </row>
    <row r="289" spans="1:8" ht="13.15">
      <c r="A289" s="19"/>
      <c r="B289" s="19"/>
      <c r="C289" s="19"/>
      <c r="D289" s="19"/>
      <c r="E289" s="19"/>
      <c r="F289" s="20"/>
      <c r="G289" s="19"/>
      <c r="H289" s="19"/>
    </row>
    <row r="290" spans="1:8" ht="13.15">
      <c r="A290" s="19"/>
      <c r="B290" s="19"/>
      <c r="C290" s="19"/>
      <c r="D290" s="19"/>
      <c r="E290" s="19"/>
      <c r="F290" s="20"/>
      <c r="G290" s="19"/>
      <c r="H290" s="19"/>
    </row>
    <row r="291" spans="1:8" ht="13.15">
      <c r="A291" s="19"/>
      <c r="B291" s="19"/>
      <c r="C291" s="19"/>
      <c r="D291" s="19"/>
      <c r="E291" s="19"/>
      <c r="F291" s="20"/>
      <c r="G291" s="19"/>
      <c r="H291" s="19"/>
    </row>
    <row r="292" spans="1:8" ht="13.15">
      <c r="A292" s="19"/>
      <c r="B292" s="19"/>
      <c r="C292" s="19"/>
      <c r="D292" s="19"/>
      <c r="E292" s="19"/>
      <c r="F292" s="20"/>
      <c r="G292" s="19"/>
      <c r="H292" s="19"/>
    </row>
    <row r="293" spans="1:8" ht="13.15">
      <c r="A293" s="19"/>
      <c r="B293" s="19"/>
      <c r="C293" s="19"/>
      <c r="D293" s="19"/>
      <c r="E293" s="19"/>
      <c r="F293" s="20"/>
      <c r="G293" s="19"/>
      <c r="H293" s="19"/>
    </row>
    <row r="294" spans="1:8" ht="13.15">
      <c r="A294" s="19"/>
      <c r="B294" s="19"/>
      <c r="C294" s="19"/>
      <c r="D294" s="19"/>
      <c r="E294" s="19"/>
      <c r="F294" s="20"/>
      <c r="G294" s="19"/>
      <c r="H294" s="19"/>
    </row>
    <row r="295" spans="1:8" ht="13.15">
      <c r="A295" s="19"/>
      <c r="B295" s="19"/>
      <c r="C295" s="19"/>
      <c r="D295" s="19"/>
      <c r="E295" s="19"/>
      <c r="F295" s="20"/>
      <c r="G295" s="19"/>
      <c r="H295" s="19"/>
    </row>
    <row r="296" spans="1:8" ht="13.15">
      <c r="A296" s="19"/>
      <c r="B296" s="19"/>
      <c r="C296" s="19"/>
      <c r="D296" s="19"/>
      <c r="E296" s="19"/>
      <c r="F296" s="20"/>
      <c r="G296" s="19"/>
      <c r="H296" s="19"/>
    </row>
    <row r="297" spans="1:8" ht="13.15">
      <c r="A297" s="19"/>
      <c r="B297" s="19"/>
      <c r="C297" s="19"/>
      <c r="D297" s="19"/>
      <c r="E297" s="19"/>
      <c r="F297" s="20"/>
      <c r="G297" s="19"/>
      <c r="H297" s="19"/>
    </row>
    <row r="298" spans="1:8" ht="13.15">
      <c r="A298" s="19"/>
      <c r="B298" s="19"/>
      <c r="C298" s="19"/>
      <c r="D298" s="19"/>
      <c r="E298" s="19"/>
      <c r="F298" s="20"/>
      <c r="G298" s="19"/>
      <c r="H298" s="19"/>
    </row>
    <row r="299" spans="1:8" ht="13.15">
      <c r="A299" s="19"/>
      <c r="B299" s="19"/>
      <c r="C299" s="19"/>
      <c r="D299" s="19"/>
      <c r="E299" s="19"/>
      <c r="F299" s="20"/>
      <c r="G299" s="19"/>
      <c r="H299" s="19"/>
    </row>
    <row r="300" spans="1:8" ht="13.15">
      <c r="A300" s="19"/>
      <c r="B300" s="19"/>
      <c r="C300" s="19"/>
      <c r="D300" s="19"/>
      <c r="E300" s="19"/>
      <c r="F300" s="20"/>
      <c r="G300" s="19"/>
      <c r="H300" s="19"/>
    </row>
    <row r="301" spans="1:8" ht="13.15">
      <c r="A301" s="19"/>
      <c r="B301" s="19"/>
      <c r="C301" s="19"/>
      <c r="D301" s="19"/>
      <c r="E301" s="19"/>
      <c r="F301" s="20"/>
      <c r="G301" s="19"/>
      <c r="H301" s="19"/>
    </row>
    <row r="302" spans="1:8" ht="13.15">
      <c r="A302" s="19"/>
      <c r="B302" s="19"/>
      <c r="C302" s="19"/>
      <c r="D302" s="19"/>
      <c r="E302" s="19"/>
      <c r="F302" s="20"/>
      <c r="G302" s="19"/>
      <c r="H302" s="19"/>
    </row>
    <row r="303" spans="1:8" ht="13.15">
      <c r="A303" s="19"/>
      <c r="B303" s="19"/>
      <c r="C303" s="19"/>
      <c r="D303" s="19"/>
      <c r="E303" s="19"/>
      <c r="F303" s="20"/>
      <c r="G303" s="19"/>
      <c r="H303" s="19"/>
    </row>
    <row r="304" spans="1:8" ht="13.15">
      <c r="A304" s="19"/>
      <c r="B304" s="19"/>
      <c r="C304" s="19"/>
      <c r="D304" s="19"/>
      <c r="E304" s="19"/>
      <c r="F304" s="20"/>
      <c r="G304" s="19"/>
      <c r="H304" s="19"/>
    </row>
    <row r="305" spans="1:8" ht="13.15">
      <c r="A305" s="19"/>
      <c r="B305" s="19"/>
      <c r="C305" s="19"/>
      <c r="D305" s="19"/>
      <c r="E305" s="19"/>
      <c r="F305" s="20"/>
      <c r="G305" s="19"/>
      <c r="H305" s="19"/>
    </row>
    <row r="306" spans="1:8" ht="13.15">
      <c r="A306" s="19"/>
      <c r="B306" s="19"/>
      <c r="C306" s="19"/>
      <c r="D306" s="19"/>
      <c r="E306" s="19"/>
      <c r="F306" s="20"/>
      <c r="G306" s="19"/>
      <c r="H306" s="19"/>
    </row>
    <row r="307" spans="1:8" ht="13.15">
      <c r="A307" s="19"/>
      <c r="B307" s="19"/>
      <c r="C307" s="19"/>
      <c r="D307" s="19"/>
      <c r="E307" s="19"/>
      <c r="F307" s="20"/>
      <c r="G307" s="19"/>
      <c r="H307" s="19"/>
    </row>
    <row r="308" spans="1:8" ht="13.15">
      <c r="A308" s="19"/>
      <c r="B308" s="19"/>
      <c r="C308" s="19"/>
      <c r="D308" s="19"/>
      <c r="E308" s="19"/>
      <c r="F308" s="20"/>
      <c r="G308" s="19"/>
      <c r="H308" s="19"/>
    </row>
    <row r="309" spans="1:8" ht="13.15">
      <c r="A309" s="19"/>
      <c r="B309" s="19"/>
      <c r="C309" s="19"/>
      <c r="D309" s="19"/>
      <c r="E309" s="19"/>
      <c r="F309" s="20"/>
      <c r="G309" s="19"/>
      <c r="H309" s="19"/>
    </row>
    <row r="310" spans="1:8" ht="13.15">
      <c r="A310" s="19"/>
      <c r="B310" s="19"/>
      <c r="C310" s="19"/>
      <c r="D310" s="19"/>
      <c r="E310" s="19"/>
      <c r="F310" s="20"/>
      <c r="G310" s="19"/>
      <c r="H310" s="19"/>
    </row>
    <row r="311" spans="1:8" ht="13.15">
      <c r="A311" s="19"/>
      <c r="B311" s="19"/>
      <c r="C311" s="19"/>
      <c r="D311" s="19"/>
      <c r="E311" s="19"/>
      <c r="F311" s="20"/>
      <c r="G311" s="19"/>
      <c r="H311" s="19"/>
    </row>
    <row r="312" spans="1:8" ht="13.15">
      <c r="A312" s="19"/>
      <c r="B312" s="19"/>
      <c r="C312" s="19"/>
      <c r="D312" s="19"/>
      <c r="E312" s="19"/>
      <c r="F312" s="20"/>
      <c r="G312" s="19"/>
      <c r="H312" s="19"/>
    </row>
    <row r="313" spans="1:8" ht="13.15">
      <c r="A313" s="19"/>
      <c r="B313" s="19"/>
      <c r="C313" s="19"/>
      <c r="D313" s="19"/>
      <c r="E313" s="19"/>
      <c r="F313" s="20"/>
      <c r="G313" s="19"/>
      <c r="H313" s="19"/>
    </row>
    <row r="314" spans="1:8" ht="13.15">
      <c r="A314" s="19"/>
      <c r="B314" s="19"/>
      <c r="C314" s="19"/>
      <c r="D314" s="19"/>
      <c r="E314" s="19"/>
      <c r="F314" s="20"/>
      <c r="G314" s="19"/>
      <c r="H314" s="19"/>
    </row>
    <row r="315" spans="1:8" ht="13.15">
      <c r="A315" s="19"/>
      <c r="B315" s="19"/>
      <c r="C315" s="19"/>
      <c r="D315" s="19"/>
      <c r="E315" s="19"/>
      <c r="F315" s="20"/>
      <c r="G315" s="19"/>
      <c r="H315" s="19"/>
    </row>
    <row r="316" spans="1:8" ht="13.15">
      <c r="A316" s="19"/>
      <c r="B316" s="19"/>
      <c r="C316" s="19"/>
      <c r="D316" s="19"/>
      <c r="E316" s="19"/>
      <c r="F316" s="20"/>
      <c r="G316" s="19"/>
      <c r="H316" s="19"/>
    </row>
    <row r="317" spans="1:8" ht="13.15">
      <c r="A317" s="19"/>
      <c r="B317" s="19"/>
      <c r="C317" s="19"/>
      <c r="D317" s="19"/>
      <c r="E317" s="19"/>
      <c r="F317" s="20"/>
      <c r="G317" s="19"/>
      <c r="H317" s="19"/>
    </row>
    <row r="318" spans="1:8" ht="13.15">
      <c r="A318" s="19"/>
      <c r="B318" s="19"/>
      <c r="C318" s="19"/>
      <c r="D318" s="19"/>
      <c r="E318" s="19"/>
      <c r="F318" s="20"/>
      <c r="G318" s="19"/>
      <c r="H318" s="19"/>
    </row>
    <row r="319" spans="1:8" ht="13.15">
      <c r="A319" s="19"/>
      <c r="B319" s="19"/>
      <c r="C319" s="19"/>
      <c r="D319" s="19"/>
      <c r="E319" s="19"/>
      <c r="F319" s="20"/>
      <c r="G319" s="19"/>
      <c r="H319" s="19"/>
    </row>
    <row r="320" spans="1:8" ht="13.15">
      <c r="A320" s="19"/>
      <c r="B320" s="19"/>
      <c r="C320" s="19"/>
      <c r="D320" s="19"/>
      <c r="E320" s="19"/>
      <c r="F320" s="20"/>
      <c r="G320" s="19"/>
      <c r="H320" s="19"/>
    </row>
    <row r="321" spans="1:8" ht="13.15">
      <c r="A321" s="19"/>
      <c r="B321" s="19"/>
      <c r="C321" s="19"/>
      <c r="D321" s="19"/>
      <c r="E321" s="19"/>
      <c r="F321" s="20"/>
      <c r="G321" s="19"/>
      <c r="H321" s="19"/>
    </row>
    <row r="322" spans="1:8" ht="13.15">
      <c r="A322" s="19"/>
      <c r="B322" s="19"/>
      <c r="C322" s="19"/>
      <c r="D322" s="19"/>
      <c r="E322" s="19"/>
      <c r="F322" s="20"/>
      <c r="G322" s="19"/>
      <c r="H322" s="19"/>
    </row>
    <row r="323" spans="1:8" ht="13.15">
      <c r="A323" s="19"/>
      <c r="B323" s="19"/>
      <c r="C323" s="19"/>
      <c r="D323" s="19"/>
      <c r="E323" s="19"/>
      <c r="F323" s="20"/>
      <c r="G323" s="19"/>
      <c r="H323" s="19"/>
    </row>
    <row r="324" spans="1:8" ht="13.15">
      <c r="A324" s="19"/>
      <c r="B324" s="19"/>
      <c r="C324" s="19"/>
      <c r="D324" s="19"/>
      <c r="E324" s="19"/>
      <c r="F324" s="20"/>
      <c r="G324" s="19"/>
      <c r="H324" s="19"/>
    </row>
    <row r="325" spans="1:8" ht="13.15">
      <c r="A325" s="19"/>
      <c r="B325" s="19"/>
      <c r="C325" s="19"/>
      <c r="D325" s="19"/>
      <c r="E325" s="19"/>
      <c r="F325" s="20"/>
      <c r="G325" s="19"/>
      <c r="H325" s="19"/>
    </row>
    <row r="326" spans="1:8" ht="13.15">
      <c r="A326" s="19"/>
      <c r="B326" s="19"/>
      <c r="C326" s="19"/>
      <c r="D326" s="19"/>
      <c r="E326" s="19"/>
      <c r="F326" s="20"/>
      <c r="G326" s="19"/>
      <c r="H326" s="19"/>
    </row>
    <row r="327" spans="1:8" ht="13.15">
      <c r="A327" s="19"/>
      <c r="B327" s="19"/>
      <c r="C327" s="19"/>
      <c r="D327" s="19"/>
      <c r="E327" s="19"/>
      <c r="F327" s="20"/>
      <c r="G327" s="19"/>
      <c r="H327" s="19"/>
    </row>
    <row r="328" spans="1:8" ht="13.15">
      <c r="A328" s="19"/>
      <c r="B328" s="19"/>
      <c r="C328" s="19"/>
      <c r="D328" s="19"/>
      <c r="E328" s="19"/>
      <c r="F328" s="20"/>
      <c r="G328" s="19"/>
      <c r="H328" s="19"/>
    </row>
    <row r="329" spans="1:8" ht="13.15">
      <c r="A329" s="19"/>
      <c r="B329" s="19"/>
      <c r="C329" s="19"/>
      <c r="D329" s="19"/>
      <c r="E329" s="19"/>
      <c r="F329" s="20"/>
      <c r="G329" s="19"/>
      <c r="H329" s="19"/>
    </row>
    <row r="330" spans="1:8" ht="13.15">
      <c r="A330" s="19"/>
      <c r="B330" s="19"/>
      <c r="C330" s="19"/>
      <c r="D330" s="19"/>
      <c r="E330" s="19"/>
      <c r="F330" s="20"/>
      <c r="G330" s="19"/>
      <c r="H330" s="19"/>
    </row>
    <row r="331" spans="1:8" ht="13.15">
      <c r="A331" s="19"/>
      <c r="B331" s="19"/>
      <c r="C331" s="19"/>
      <c r="D331" s="19"/>
      <c r="E331" s="19"/>
      <c r="F331" s="20"/>
      <c r="G331" s="19"/>
      <c r="H331" s="19"/>
    </row>
    <row r="332" spans="1:8" ht="13.15">
      <c r="A332" s="19"/>
      <c r="B332" s="19"/>
      <c r="C332" s="19"/>
      <c r="D332" s="19"/>
      <c r="E332" s="19"/>
      <c r="F332" s="20"/>
      <c r="G332" s="19"/>
      <c r="H332" s="19"/>
    </row>
    <row r="333" spans="1:8" ht="13.15">
      <c r="A333" s="19"/>
      <c r="B333" s="19"/>
      <c r="C333" s="19"/>
      <c r="D333" s="19"/>
      <c r="E333" s="19"/>
      <c r="F333" s="20"/>
      <c r="G333" s="19"/>
      <c r="H333" s="19"/>
    </row>
    <row r="334" spans="1:8" ht="13.15">
      <c r="A334" s="19"/>
      <c r="B334" s="19"/>
      <c r="C334" s="19"/>
      <c r="D334" s="19"/>
      <c r="E334" s="19"/>
      <c r="F334" s="20"/>
      <c r="G334" s="19"/>
      <c r="H334" s="19"/>
    </row>
    <row r="335" spans="1:8" ht="13.15">
      <c r="A335" s="19"/>
      <c r="B335" s="19"/>
      <c r="C335" s="19"/>
      <c r="D335" s="19"/>
      <c r="E335" s="19"/>
      <c r="F335" s="20"/>
      <c r="G335" s="19"/>
      <c r="H335" s="19"/>
    </row>
    <row r="336" spans="1:8" ht="13.15">
      <c r="A336" s="19"/>
      <c r="B336" s="19"/>
      <c r="C336" s="19"/>
      <c r="D336" s="19"/>
      <c r="E336" s="19"/>
      <c r="F336" s="20"/>
      <c r="G336" s="19"/>
      <c r="H336" s="19"/>
    </row>
    <row r="337" spans="1:8" ht="13.15">
      <c r="A337" s="19"/>
      <c r="B337" s="19"/>
      <c r="C337" s="19"/>
      <c r="D337" s="19"/>
      <c r="E337" s="19"/>
      <c r="F337" s="20"/>
      <c r="G337" s="19"/>
      <c r="H337" s="19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1 H4:H11">
    <cfRule type="cellIs" dxfId="42" priority="1" stopIfTrue="1" operator="lessThanOrEqual">
      <formula>-0.1</formula>
    </cfRule>
    <cfRule type="expression" dxfId="41" priority="2">
      <formula>AND(ISNUMBER(E2), E2&gt;=0.1)</formula>
    </cfRule>
  </conditionalFormatting>
  <conditionalFormatting sqref="F12:F95">
    <cfRule type="cellIs" dxfId="40" priority="3" stopIfTrue="1" operator="lessThanOrEqual">
      <formula>-0.1</formula>
    </cfRule>
    <cfRule type="expression" dxfId="39" priority="4">
      <formula>AND(ISNUMBER(F12), F12&gt;=0.1)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4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74" t="str" cm="1">
        <f t="array" ref="A1">portfolio</f>
        <v>Wells Fargo</v>
      </c>
      <c r="B1" s="75"/>
      <c r="C1" s="76" t="s">
        <v>14</v>
      </c>
      <c r="D1" s="77"/>
      <c r="E1" s="78"/>
      <c r="F1" s="79" t="s">
        <v>15</v>
      </c>
      <c r="G1" s="80"/>
      <c r="H1" s="81"/>
    </row>
    <row r="2" spans="1:8" ht="19.5" customHeight="1">
      <c r="A2" s="42" t="s">
        <v>2</v>
      </c>
      <c r="B2" s="4">
        <f ca="1">SUM(B4:B90)</f>
        <v>4472304.0150185525</v>
      </c>
      <c r="C2" s="4">
        <f ca="1">SUM(C4:C90)</f>
        <v>4198626.6533499993</v>
      </c>
      <c r="D2" s="4">
        <f ca="1">B2-C2</f>
        <v>273677.3616685532</v>
      </c>
      <c r="E2" s="5">
        <f ca="1">IFERROR(D2/C2, 0)</f>
        <v>6.5182590466859341E-2</v>
      </c>
      <c r="F2" s="4">
        <f ca="1">SUM(F4:F90)</f>
        <v>5239646.6991000008</v>
      </c>
      <c r="G2" s="6">
        <f ca="1">B2-F2</f>
        <v>-767342.68408144824</v>
      </c>
      <c r="H2" s="5">
        <f ca="1">IFERROR(G2/F2, 0)</f>
        <v>-0.14644931770175507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25">
      <c r="A4" s="27" t="str" cm="1">
        <f t="array" ref="A4:A11">_xlfn.UNIQUE(Sites[State])</f>
        <v>CA</v>
      </c>
      <c r="B4" s="22">
        <f ca="1">SUM(SUMIF(_xlfn.ANCHORARRAY(Jul!$B$4), $A4, Jul!C$4:C$65), SUMIF(_xlfn.ANCHORARRAY(Aug!$B$4), $A4, Aug!C$4:C$69), SUMIF(_xlfn.ANCHORARRAY(Sep!$B$4), $A4, Sep!C$4:C$69))</f>
        <v>246974.5089010151</v>
      </c>
      <c r="C4" s="11">
        <f ca="1">SUM(SUMIF(_xlfn.ANCHORARRAY(Jul!$B$4), $A4, Jul!D$4:D$65), SUMIF(_xlfn.ANCHORARRAY(Aug!$B$4), $A4, Aug!D$4:D$69), SUMIF(_xlfn.ANCHORARRAY(Sep!$B$4), $A4, Sep!D$4:D$69))</f>
        <v>261203.81200000001</v>
      </c>
      <c r="D4" s="11">
        <f ca="1">IF(AND(ISNUMBER(B4),ISNUMBER(C4)), B4-C4, "")</f>
        <v>-14229.303098984907</v>
      </c>
      <c r="E4" s="12">
        <f ca="1">IFERROR(D4/C4, "")</f>
        <v>-5.4475863081909791E-2</v>
      </c>
      <c r="F4" s="13">
        <f ca="1">SUM(SUMIF(_xlfn.ANCHORARRAY(Jul!$B$4), $A4, Jul!G$4:G$65), SUMIF(_xlfn.ANCHORARRAY(Aug!$B$4), $A4, Aug!G$4:G$69), SUMIF(_xlfn.ANCHORARRAY(Sep!$B$4), $A4, Sep!G$4:G$69))</f>
        <v>288419.592</v>
      </c>
      <c r="G4" s="13">
        <f ca="1">IF(AND(ISNUMBER(B4),ISNUMBER(F4)), B4-F4, "")</f>
        <v>-41445.083098984906</v>
      </c>
      <c r="H4" s="14">
        <f ca="1">IFERROR(G4/F4, "")</f>
        <v>-0.1436971837162328</v>
      </c>
    </row>
    <row r="5" spans="1:8" ht="14.25">
      <c r="A5" s="9" t="str">
        <v>CO</v>
      </c>
      <c r="B5" s="10">
        <f ca="1">SUM(SUMIF(_xlfn.ANCHORARRAY(Jul!$B$4), $A5, Jul!C$4:C$65), SUMIF(_xlfn.ANCHORARRAY(Aug!$B$4), $A5, Aug!C$4:C$69), SUMIF(_xlfn.ANCHORARRAY(Sep!$B$4), $A5, Sep!C$4:C$69))</f>
        <v>84559.81818261568</v>
      </c>
      <c r="C5" s="16">
        <f ca="1">SUM(SUMIF(_xlfn.ANCHORARRAY(Jul!$B$4), $A5, Jul!D$4:D$65), SUMIF(_xlfn.ANCHORARRAY(Aug!$B$4), $A5, Aug!D$4:D$69), SUMIF(_xlfn.ANCHORARRAY(Sep!$B$4), $A5, Sep!D$4:D$69))</f>
        <v>0</v>
      </c>
      <c r="D5" s="16">
        <f t="shared" ref="D5:D11" ca="1" si="0">IF(AND(ISNUMBER(B5),ISNUMBER(C5)), B5-C5, "")</f>
        <v>84559.81818261568</v>
      </c>
      <c r="E5" s="17" t="str">
        <f ca="1">IFERROR(D5/C5, "")</f>
        <v/>
      </c>
      <c r="F5" s="16">
        <f ca="1">SUM(SUMIF(_xlfn.ANCHORARRAY(Jul!$B$4), $A5, Jul!G$4:G$65), SUMIF(_xlfn.ANCHORARRAY(Aug!$B$4), $A5, Aug!G$4:G$69), SUMIF(_xlfn.ANCHORARRAY(Sep!$B$4), $A5, Sep!G$4:G$69))</f>
        <v>78898.842999999993</v>
      </c>
      <c r="G5" s="16">
        <f ca="1">IF(AND(ISNUMBER(B5),ISNUMBER(F5)), B5-F5, "")</f>
        <v>5660.9751826156862</v>
      </c>
      <c r="H5" s="17">
        <f ca="1">IFERROR(G5/F5, "")</f>
        <v>7.1749787035732412E-2</v>
      </c>
    </row>
    <row r="6" spans="1:8" ht="14.25">
      <c r="A6" s="8" t="str">
        <v>CT</v>
      </c>
      <c r="B6" s="22">
        <f ca="1">SUM(SUMIF(_xlfn.ANCHORARRAY(Jul!$B$4), $A6, Jul!C$4:C$65), SUMIF(_xlfn.ANCHORARRAY(Aug!$B$4), $A6, Aug!C$4:C$69), SUMIF(_xlfn.ANCHORARRAY(Sep!$B$4), $A6, Sep!C$4:C$69))</f>
        <v>4907.1703441266882</v>
      </c>
      <c r="C6" s="11">
        <f ca="1">SUM(SUMIF(_xlfn.ANCHORARRAY(Jul!$B$4), $A6, Jul!D$4:D$65), SUMIF(_xlfn.ANCHORARRAY(Aug!$B$4), $A6, Aug!D$4:D$69), SUMIF(_xlfn.ANCHORARRAY(Sep!$B$4), $A6, Sep!D$4:D$69))</f>
        <v>2248.3949499999999</v>
      </c>
      <c r="D6" s="11">
        <f t="shared" ca="1" si="0"/>
        <v>2658.7753941266883</v>
      </c>
      <c r="E6" s="12">
        <f t="shared" ref="E6:E11" ca="1" si="1">IFERROR(D6/C6, "")</f>
        <v>1.1825215112347982</v>
      </c>
      <c r="F6" s="13">
        <f ca="1">SUM(SUMIF(_xlfn.ANCHORARRAY(Jul!$B$4), $A6, Jul!G$4:G$65), SUMIF(_xlfn.ANCHORARRAY(Aug!$B$4), $A6, Aug!G$4:G$69), SUMIF(_xlfn.ANCHORARRAY(Sep!$B$4), $A6, Sep!G$4:G$69))</f>
        <v>5993.1526000000003</v>
      </c>
      <c r="G6" s="13">
        <f t="shared" ref="G6:G11" ca="1" si="2">IF(AND(ISNUMBER(B6),ISNUMBER(F6)), B6-F6, "")</f>
        <v>-1085.9822558733122</v>
      </c>
      <c r="H6" s="14">
        <f t="shared" ref="H6:H11" ca="1" si="3">IFERROR(G6/F6, "")</f>
        <v>-0.18120383850618321</v>
      </c>
    </row>
    <row r="7" spans="1:8" ht="14.25">
      <c r="A7" s="9" t="str">
        <v>FL</v>
      </c>
      <c r="B7" s="10">
        <f ca="1">SUM(SUMIF(_xlfn.ANCHORARRAY(Jul!$B$4), $A7, Jul!C$4:C$65), SUMIF(_xlfn.ANCHORARRAY(Aug!$B$4), $A7, Aug!C$4:C$69), SUMIF(_xlfn.ANCHORARRAY(Sep!$B$4), $A7, Sep!C$4:C$69))</f>
        <v>2909.5079106092408</v>
      </c>
      <c r="C7" s="16">
        <f ca="1">SUM(SUMIF(_xlfn.ANCHORARRAY(Jul!$B$4), $A7, Jul!D$4:D$65), SUMIF(_xlfn.ANCHORARRAY(Aug!$B$4), $A7, Aug!D$4:D$69), SUMIF(_xlfn.ANCHORARRAY(Sep!$B$4), $A7, Sep!D$4:D$69))</f>
        <v>10996.864000000001</v>
      </c>
      <c r="D7" s="16">
        <f t="shared" ca="1" si="0"/>
        <v>-8087.3560893907606</v>
      </c>
      <c r="E7" s="17">
        <f t="shared" ca="1" si="1"/>
        <v>-0.73542385259931919</v>
      </c>
      <c r="F7" s="16">
        <f ca="1">SUM(SUMIF(_xlfn.ANCHORARRAY(Jul!$B$4), $A7, Jul!G$4:G$65), SUMIF(_xlfn.ANCHORARRAY(Aug!$B$4), $A7, Aug!G$4:G$69), SUMIF(_xlfn.ANCHORARRAY(Sep!$B$4), $A7, Sep!G$4:G$69))</f>
        <v>15389</v>
      </c>
      <c r="G7" s="16">
        <f t="shared" ca="1" si="2"/>
        <v>-12479.492089390758</v>
      </c>
      <c r="H7" s="17">
        <f t="shared" ca="1" si="3"/>
        <v>-0.81093586908770932</v>
      </c>
    </row>
    <row r="8" spans="1:8" ht="12.75" customHeight="1">
      <c r="A8" s="8" t="str">
        <v>IA</v>
      </c>
      <c r="B8" s="22">
        <f ca="1">SUM(SUMIF(_xlfn.ANCHORARRAY(Jul!$B$4), $A8, Jul!C$4:C$65), SUMIF(_xlfn.ANCHORARRAY(Aug!$B$4), $A8, Aug!C$4:C$69), SUMIF(_xlfn.ANCHORARRAY(Sep!$B$4), $A8, Sep!C$4:C$69))</f>
        <v>838363.41749999905</v>
      </c>
      <c r="C8" s="11">
        <f ca="1">SUM(SUMIF(_xlfn.ANCHORARRAY(Jul!$B$4), $A8, Jul!D$4:D$65), SUMIF(_xlfn.ANCHORARRAY(Aug!$B$4), $A8, Aug!D$4:D$69), SUMIF(_xlfn.ANCHORARRAY(Sep!$B$4), $A8, Sep!D$4:D$69))</f>
        <v>853856.55999999994</v>
      </c>
      <c r="D8" s="11">
        <f t="shared" ca="1" si="0"/>
        <v>-15493.142500000889</v>
      </c>
      <c r="E8" s="12">
        <f t="shared" ca="1" si="1"/>
        <v>-1.8144900707913858E-2</v>
      </c>
      <c r="F8" s="13">
        <f ca="1">SUM(SUMIF(_xlfn.ANCHORARRAY(Jul!$B$4), $A8, Jul!G$4:G$65), SUMIF(_xlfn.ANCHORARRAY(Aug!$B$4), $A8, Aug!G$4:G$69), SUMIF(_xlfn.ANCHORARRAY(Sep!$B$4), $A8, Sep!G$4:G$69))</f>
        <v>873758.3</v>
      </c>
      <c r="G8" s="13">
        <f t="shared" ca="1" si="2"/>
        <v>-35394.882500000997</v>
      </c>
      <c r="H8" s="14">
        <f t="shared" ca="1" si="3"/>
        <v>-4.0508779716313989E-2</v>
      </c>
    </row>
    <row r="9" spans="1:8" ht="14.25">
      <c r="A9" s="9" t="str">
        <v>NC</v>
      </c>
      <c r="B9" s="10">
        <f ca="1">SUM(SUMIF(_xlfn.ANCHORARRAY(Jul!$B$4), $A9, Jul!C$4:C$65), SUMIF(_xlfn.ANCHORARRAY(Aug!$B$4), $A9, Aug!C$4:C$69), SUMIF(_xlfn.ANCHORARRAY(Sep!$B$4), $A9, Sep!C$4:C$69))</f>
        <v>707923.75</v>
      </c>
      <c r="C9" s="16">
        <f ca="1">SUM(SUMIF(_xlfn.ANCHORARRAY(Jul!$B$4), $A9, Jul!D$4:D$65), SUMIF(_xlfn.ANCHORARRAY(Aug!$B$4), $A9, Aug!D$4:D$69), SUMIF(_xlfn.ANCHORARRAY(Sep!$B$4), $A9, Sep!D$4:D$69))</f>
        <v>467700.34100000001</v>
      </c>
      <c r="D9" s="16">
        <f t="shared" ca="1" si="0"/>
        <v>240223.40899999999</v>
      </c>
      <c r="E9" s="17">
        <f t="shared" ca="1" si="1"/>
        <v>0.51362675615410758</v>
      </c>
      <c r="F9" s="16">
        <f ca="1">SUM(SUMIF(_xlfn.ANCHORARRAY(Jul!$B$4), $A9, Jul!G$4:G$65), SUMIF(_xlfn.ANCHORARRAY(Aug!$B$4), $A9, Aug!G$4:G$69), SUMIF(_xlfn.ANCHORARRAY(Sep!$B$4), $A9, Sep!G$4:G$69))</f>
        <v>1080129.075</v>
      </c>
      <c r="G9" s="16">
        <f t="shared" ca="1" si="2"/>
        <v>-372205.32499999995</v>
      </c>
      <c r="H9" s="17">
        <f t="shared" ca="1" si="3"/>
        <v>-0.3445933764906754</v>
      </c>
    </row>
    <row r="10" spans="1:8" ht="14.25">
      <c r="A10" s="8" t="str">
        <v>NJ</v>
      </c>
      <c r="B10" s="22">
        <f ca="1">SUM(SUMIF(_xlfn.ANCHORARRAY(Jul!$B$4), $A10, Jul!C$4:C$65), SUMIF(_xlfn.ANCHORARRAY(Aug!$B$4), $A10, Aug!C$4:C$69), SUMIF(_xlfn.ANCHORARRAY(Sep!$B$4), $A10, Sep!C$4:C$69))</f>
        <v>256720.40393018746</v>
      </c>
      <c r="C10" s="11">
        <f ca="1">SUM(SUMIF(_xlfn.ANCHORARRAY(Jul!$B$4), $A10, Jul!D$4:D$65), SUMIF(_xlfn.ANCHORARRAY(Aug!$B$4), $A10, Aug!D$4:D$69), SUMIF(_xlfn.ANCHORARRAY(Sep!$B$4), $A10, Sep!D$4:D$69))</f>
        <v>251646.41139999998</v>
      </c>
      <c r="D10" s="11">
        <f t="shared" ca="1" si="0"/>
        <v>5073.9925301874755</v>
      </c>
      <c r="E10" s="12">
        <f t="shared" ca="1" si="1"/>
        <v>2.0163182546331659E-2</v>
      </c>
      <c r="F10" s="13">
        <f ca="1">SUM(SUMIF(_xlfn.ANCHORARRAY(Jul!$B$4), $A10, Jul!G$4:G$65), SUMIF(_xlfn.ANCHORARRAY(Aug!$B$4), $A10, Aug!G$4:G$69), SUMIF(_xlfn.ANCHORARRAY(Sep!$B$4), $A10, Sep!G$4:G$69))</f>
        <v>296221.94050000003</v>
      </c>
      <c r="G10" s="13">
        <f t="shared" ca="1" si="2"/>
        <v>-39501.536569812568</v>
      </c>
      <c r="H10" s="14">
        <f t="shared" ca="1" si="3"/>
        <v>-0.13335115050268387</v>
      </c>
    </row>
    <row r="11" spans="1:8" ht="14.25">
      <c r="A11" s="9" t="str">
        <v>TX</v>
      </c>
      <c r="B11" s="10">
        <f ca="1">SUM(SUMIF(_xlfn.ANCHORARRAY(Jul!$B$4), $A11, Jul!C$4:C$65), SUMIF(_xlfn.ANCHORARRAY(Aug!$B$4), $A11, Aug!C$4:C$69), SUMIF(_xlfn.ANCHORARRAY(Sep!$B$4), $A11, Sep!C$4:C$69))</f>
        <v>2329945.4382499997</v>
      </c>
      <c r="C11" s="16">
        <f ca="1">SUM(SUMIF(_xlfn.ANCHORARRAY(Jul!$B$4), $A11, Jul!D$4:D$65), SUMIF(_xlfn.ANCHORARRAY(Aug!$B$4), $A11, Aug!D$4:D$69), SUMIF(_xlfn.ANCHORARRAY(Sep!$B$4), $A11, Sep!D$4:D$69))</f>
        <v>2350974.27</v>
      </c>
      <c r="D11" s="16">
        <f t="shared" ca="1" si="0"/>
        <v>-21028.831750000361</v>
      </c>
      <c r="E11" s="17">
        <f t="shared" ca="1" si="1"/>
        <v>-8.9447307094519413E-3</v>
      </c>
      <c r="F11" s="16">
        <f ca="1">SUM(SUMIF(_xlfn.ANCHORARRAY(Jul!$B$4), $A11, Jul!G$4:G$65), SUMIF(_xlfn.ANCHORARRAY(Aug!$B$4), $A11, Aug!G$4:G$69), SUMIF(_xlfn.ANCHORARRAY(Sep!$B$4), $A11, Sep!G$4:G$69))</f>
        <v>2600836.7960000001</v>
      </c>
      <c r="G11" s="16">
        <f t="shared" ca="1" si="2"/>
        <v>-270891.35775000043</v>
      </c>
      <c r="H11" s="17">
        <f t="shared" ca="1" si="3"/>
        <v>-0.10415546187543266</v>
      </c>
    </row>
    <row r="12" spans="1:8" ht="13.15">
      <c r="A12" s="19"/>
      <c r="B12" s="19"/>
      <c r="C12" s="19"/>
      <c r="D12" s="19"/>
      <c r="E12" s="19"/>
      <c r="F12" s="19"/>
      <c r="G12" s="19"/>
      <c r="H12" s="19"/>
    </row>
    <row r="13" spans="1:8" ht="13.15">
      <c r="A13" s="19"/>
      <c r="B13" s="19"/>
      <c r="C13" s="19"/>
      <c r="D13" s="19"/>
      <c r="E13" s="19"/>
      <c r="F13" s="19"/>
      <c r="G13" s="19"/>
      <c r="H13" s="19"/>
    </row>
    <row r="14" spans="1:8" ht="13.15">
      <c r="A14" s="19"/>
      <c r="B14" s="19"/>
      <c r="C14" s="19"/>
      <c r="D14" s="19"/>
      <c r="E14" s="19"/>
      <c r="F14" s="19"/>
      <c r="G14" s="19"/>
      <c r="H14" s="19"/>
    </row>
    <row r="15" spans="1:8" ht="13.15">
      <c r="A15" s="19"/>
      <c r="B15" s="19"/>
      <c r="C15" s="19"/>
      <c r="D15" s="19"/>
      <c r="E15" s="19"/>
      <c r="F15" s="19"/>
      <c r="G15" s="19"/>
      <c r="H15" s="19"/>
    </row>
    <row r="16" spans="1:8" ht="13.15">
      <c r="A16" s="19"/>
      <c r="B16" s="19"/>
      <c r="C16" s="19"/>
      <c r="D16" s="19"/>
      <c r="E16" s="19"/>
      <c r="F16" s="19"/>
      <c r="G16" s="19"/>
      <c r="H16" s="19"/>
    </row>
    <row r="17" spans="1:8" ht="13.15">
      <c r="A17" s="19"/>
      <c r="B17" s="19"/>
      <c r="C17" s="19"/>
      <c r="D17" s="19"/>
      <c r="E17" s="19"/>
      <c r="F17" s="19"/>
      <c r="G17" s="19"/>
      <c r="H17" s="19"/>
    </row>
    <row r="18" spans="1:8" ht="13.15">
      <c r="A18" s="19"/>
      <c r="B18" s="19"/>
      <c r="C18" s="19"/>
      <c r="D18" s="19"/>
      <c r="E18" s="19"/>
      <c r="F18" s="19"/>
      <c r="G18" s="19"/>
      <c r="H18" s="19"/>
    </row>
    <row r="19" spans="1:8" ht="13.15">
      <c r="A19" s="19"/>
      <c r="B19" s="19"/>
      <c r="C19" s="19"/>
      <c r="D19" s="19"/>
      <c r="E19" s="19"/>
      <c r="F19" s="19"/>
      <c r="G19" s="19"/>
      <c r="H19" s="19"/>
    </row>
    <row r="20" spans="1:8" ht="13.15">
      <c r="A20" s="19"/>
      <c r="B20" s="19"/>
      <c r="C20" s="19"/>
      <c r="D20" s="19"/>
      <c r="E20" s="19"/>
      <c r="F20" s="19"/>
      <c r="G20" s="19"/>
      <c r="H20" s="19"/>
    </row>
    <row r="21" spans="1:8" ht="13.15">
      <c r="A21" s="19"/>
      <c r="B21" s="19"/>
      <c r="C21" s="19"/>
      <c r="D21" s="19"/>
      <c r="E21" s="19"/>
      <c r="F21" s="19"/>
      <c r="G21" s="19"/>
      <c r="H21" s="19"/>
    </row>
    <row r="22" spans="1:8" ht="13.15">
      <c r="A22" s="19"/>
      <c r="B22" s="19"/>
      <c r="C22" s="19"/>
      <c r="D22" s="19"/>
      <c r="E22" s="19"/>
      <c r="F22" s="19"/>
      <c r="G22" s="19"/>
      <c r="H22" s="19"/>
    </row>
    <row r="23" spans="1:8" ht="13.15">
      <c r="A23" s="19"/>
      <c r="B23" s="19"/>
      <c r="C23" s="19"/>
      <c r="D23" s="19"/>
      <c r="E23" s="20"/>
      <c r="F23" s="19"/>
      <c r="G23" s="19"/>
      <c r="H23" s="20"/>
    </row>
    <row r="24" spans="1:8" ht="13.15">
      <c r="A24" s="19"/>
      <c r="B24" s="19"/>
      <c r="C24" s="19"/>
      <c r="D24" s="19"/>
      <c r="E24" s="20"/>
      <c r="F24" s="19"/>
      <c r="G24" s="19"/>
      <c r="H24" s="20"/>
    </row>
    <row r="25" spans="1:8" ht="13.15">
      <c r="A25" s="19"/>
      <c r="B25" s="19"/>
      <c r="C25" s="19"/>
      <c r="D25" s="19"/>
      <c r="E25" s="20"/>
      <c r="F25" s="19"/>
      <c r="G25" s="19"/>
      <c r="H25" s="20"/>
    </row>
    <row r="26" spans="1:8" ht="13.15">
      <c r="A26" s="19"/>
      <c r="B26" s="19"/>
      <c r="C26" s="19"/>
      <c r="D26" s="19"/>
      <c r="E26" s="20"/>
      <c r="F26" s="19"/>
      <c r="G26" s="19"/>
      <c r="H26" s="20"/>
    </row>
    <row r="27" spans="1:8" ht="13.15">
      <c r="A27" s="19"/>
      <c r="B27" s="19"/>
      <c r="C27" s="19"/>
      <c r="D27" s="19"/>
      <c r="E27" s="20"/>
      <c r="F27" s="19"/>
      <c r="G27" s="19"/>
      <c r="H27" s="20"/>
    </row>
    <row r="28" spans="1:8" ht="13.15">
      <c r="A28" s="19"/>
      <c r="B28" s="19"/>
      <c r="C28" s="19"/>
      <c r="D28" s="19"/>
      <c r="E28" s="20"/>
      <c r="F28" s="19"/>
      <c r="G28" s="19"/>
      <c r="H28" s="20"/>
    </row>
    <row r="29" spans="1:8" ht="13.15">
      <c r="A29" s="19"/>
      <c r="B29" s="19"/>
      <c r="C29" s="19"/>
      <c r="D29" s="19"/>
      <c r="E29" s="20"/>
      <c r="F29" s="19"/>
      <c r="G29" s="19"/>
      <c r="H29" s="20"/>
    </row>
    <row r="30" spans="1:8" ht="13.15">
      <c r="A30" s="19"/>
      <c r="B30" s="19"/>
      <c r="C30" s="19"/>
      <c r="D30" s="19"/>
      <c r="E30" s="20"/>
      <c r="F30" s="19"/>
      <c r="G30" s="19"/>
      <c r="H30" s="20"/>
    </row>
    <row r="31" spans="1:8" ht="13.15">
      <c r="A31" s="19"/>
      <c r="B31" s="19"/>
      <c r="C31" s="19"/>
      <c r="D31" s="19"/>
      <c r="E31" s="20"/>
      <c r="F31" s="19"/>
      <c r="G31" s="19"/>
      <c r="H31" s="20"/>
    </row>
    <row r="32" spans="1:8" ht="13.15">
      <c r="A32" s="19"/>
      <c r="B32" s="19"/>
      <c r="C32" s="19"/>
      <c r="D32" s="19"/>
      <c r="E32" s="20"/>
      <c r="F32" s="19"/>
      <c r="G32" s="19"/>
      <c r="H32" s="20"/>
    </row>
    <row r="33" spans="1:8" ht="13.15">
      <c r="A33" s="19"/>
      <c r="B33" s="19"/>
      <c r="C33" s="19"/>
      <c r="D33" s="19"/>
      <c r="E33" s="20"/>
      <c r="F33" s="19"/>
      <c r="G33" s="19"/>
      <c r="H33" s="20"/>
    </row>
    <row r="34" spans="1:8" ht="13.15">
      <c r="A34" s="19"/>
      <c r="B34" s="19"/>
      <c r="C34" s="19"/>
      <c r="D34" s="19"/>
      <c r="E34" s="20"/>
      <c r="F34" s="19"/>
      <c r="G34" s="19"/>
      <c r="H34" s="20"/>
    </row>
    <row r="35" spans="1:8" ht="13.15">
      <c r="A35" s="19"/>
      <c r="B35" s="19"/>
      <c r="C35" s="19"/>
      <c r="D35" s="19"/>
      <c r="E35" s="20"/>
      <c r="F35" s="19"/>
      <c r="G35" s="19"/>
      <c r="H35" s="20"/>
    </row>
    <row r="36" spans="1:8" ht="13.15">
      <c r="A36" s="19"/>
      <c r="B36" s="19"/>
      <c r="C36" s="19"/>
      <c r="D36" s="19"/>
      <c r="E36" s="20"/>
      <c r="F36" s="19"/>
      <c r="G36" s="19"/>
      <c r="H36" s="20"/>
    </row>
    <row r="37" spans="1:8" ht="13.15">
      <c r="A37" s="19"/>
      <c r="B37" s="19"/>
      <c r="C37" s="19"/>
      <c r="D37" s="19"/>
      <c r="E37" s="20"/>
      <c r="F37" s="19"/>
      <c r="G37" s="19"/>
      <c r="H37" s="20"/>
    </row>
    <row r="38" spans="1:8" ht="13.15">
      <c r="A38" s="19"/>
      <c r="B38" s="19"/>
      <c r="C38" s="19"/>
      <c r="D38" s="19"/>
      <c r="E38" s="20"/>
      <c r="F38" s="19"/>
      <c r="G38" s="19"/>
      <c r="H38" s="20"/>
    </row>
    <row r="39" spans="1:8" ht="13.15">
      <c r="A39" s="19"/>
      <c r="B39" s="19"/>
      <c r="C39" s="19"/>
      <c r="D39" s="19"/>
      <c r="E39" s="20"/>
      <c r="F39" s="19"/>
      <c r="G39" s="19"/>
      <c r="H39" s="20"/>
    </row>
    <row r="40" spans="1:8" ht="13.15">
      <c r="A40" s="19"/>
      <c r="B40" s="19"/>
      <c r="C40" s="19"/>
      <c r="D40" s="19"/>
      <c r="E40" s="20"/>
      <c r="F40" s="19"/>
      <c r="G40" s="19"/>
      <c r="H40" s="20"/>
    </row>
    <row r="41" spans="1:8" ht="13.15">
      <c r="A41" s="19"/>
      <c r="B41" s="19"/>
      <c r="C41" s="19"/>
      <c r="D41" s="19"/>
      <c r="E41" s="20"/>
      <c r="F41" s="19"/>
      <c r="G41" s="19"/>
      <c r="H41" s="20"/>
    </row>
    <row r="42" spans="1:8" ht="13.15">
      <c r="A42" s="19"/>
      <c r="B42" s="19"/>
      <c r="C42" s="19"/>
      <c r="D42" s="19"/>
      <c r="E42" s="20"/>
      <c r="F42" s="19"/>
      <c r="G42" s="19"/>
      <c r="H42" s="20"/>
    </row>
    <row r="43" spans="1:8" ht="13.15">
      <c r="A43" s="19"/>
      <c r="B43" s="19"/>
      <c r="C43" s="19"/>
      <c r="D43" s="19"/>
      <c r="E43" s="20"/>
      <c r="F43" s="19"/>
      <c r="G43" s="19"/>
      <c r="H43" s="20"/>
    </row>
    <row r="44" spans="1:8" ht="13.15">
      <c r="A44" s="19"/>
      <c r="B44" s="19"/>
      <c r="C44" s="19"/>
      <c r="D44" s="19"/>
      <c r="E44" s="20"/>
      <c r="F44" s="19"/>
      <c r="G44" s="19"/>
      <c r="H44" s="20"/>
    </row>
    <row r="45" spans="1:8" ht="13.15">
      <c r="A45" s="19"/>
      <c r="B45" s="19"/>
      <c r="C45" s="19"/>
      <c r="D45" s="19"/>
      <c r="E45" s="20"/>
      <c r="F45" s="19"/>
      <c r="G45" s="19"/>
      <c r="H45" s="20"/>
    </row>
    <row r="46" spans="1:8" ht="13.15">
      <c r="A46" s="19"/>
      <c r="B46" s="19"/>
      <c r="C46" s="19"/>
      <c r="D46" s="19"/>
      <c r="E46" s="20"/>
      <c r="F46" s="19"/>
      <c r="G46" s="19"/>
      <c r="H46" s="20"/>
    </row>
    <row r="47" spans="1:8" ht="13.15">
      <c r="A47" s="19"/>
      <c r="B47" s="19"/>
      <c r="C47" s="19"/>
      <c r="D47" s="19"/>
      <c r="E47" s="20"/>
      <c r="F47" s="19"/>
      <c r="G47" s="19"/>
      <c r="H47" s="20"/>
    </row>
    <row r="48" spans="1:8" ht="13.15">
      <c r="A48" s="19"/>
      <c r="B48" s="19"/>
      <c r="C48" s="19"/>
      <c r="D48" s="19"/>
      <c r="E48" s="20"/>
      <c r="F48" s="19"/>
      <c r="G48" s="19"/>
      <c r="H48" s="20"/>
    </row>
    <row r="49" spans="1:8" ht="13.15">
      <c r="A49" s="19"/>
      <c r="B49" s="19"/>
      <c r="C49" s="19"/>
      <c r="D49" s="19"/>
      <c r="E49" s="20"/>
      <c r="F49" s="19"/>
      <c r="G49" s="19"/>
      <c r="H49" s="20"/>
    </row>
    <row r="50" spans="1:8" ht="13.15">
      <c r="A50" s="19"/>
      <c r="B50" s="19"/>
      <c r="C50" s="19"/>
      <c r="D50" s="19"/>
      <c r="E50" s="20"/>
      <c r="F50" s="19"/>
      <c r="G50" s="19"/>
      <c r="H50" s="20"/>
    </row>
    <row r="51" spans="1:8" ht="13.15">
      <c r="A51" s="19"/>
      <c r="B51" s="19"/>
      <c r="C51" s="19"/>
      <c r="D51" s="19"/>
      <c r="E51" s="20"/>
      <c r="F51" s="19"/>
      <c r="G51" s="19"/>
      <c r="H51" s="20"/>
    </row>
    <row r="52" spans="1:8" ht="13.15">
      <c r="A52" s="19"/>
      <c r="B52" s="19"/>
      <c r="C52" s="19"/>
      <c r="D52" s="19"/>
      <c r="E52" s="20"/>
      <c r="F52" s="19"/>
      <c r="G52" s="19"/>
      <c r="H52" s="20"/>
    </row>
    <row r="53" spans="1:8" ht="13.15">
      <c r="A53" s="19"/>
      <c r="B53" s="19"/>
      <c r="C53" s="19"/>
      <c r="D53" s="19"/>
      <c r="E53" s="20"/>
      <c r="F53" s="19"/>
      <c r="G53" s="19"/>
      <c r="H53" s="20"/>
    </row>
    <row r="54" spans="1:8" ht="13.15">
      <c r="A54" s="19"/>
      <c r="B54" s="19"/>
      <c r="C54" s="19"/>
      <c r="D54" s="19"/>
      <c r="E54" s="20"/>
      <c r="F54" s="19"/>
      <c r="G54" s="19"/>
      <c r="H54" s="20"/>
    </row>
    <row r="55" spans="1:8" ht="13.15">
      <c r="A55" s="19"/>
      <c r="B55" s="19"/>
      <c r="C55" s="19"/>
      <c r="D55" s="19"/>
      <c r="E55" s="20"/>
      <c r="F55" s="19"/>
      <c r="G55" s="19"/>
      <c r="H55" s="20"/>
    </row>
    <row r="56" spans="1:8" ht="13.15">
      <c r="A56" s="19"/>
      <c r="B56" s="19"/>
      <c r="C56" s="19"/>
      <c r="D56" s="19"/>
      <c r="E56" s="20"/>
      <c r="F56" s="19"/>
      <c r="G56" s="19"/>
      <c r="H56" s="20"/>
    </row>
    <row r="57" spans="1:8" ht="13.15">
      <c r="A57" s="19"/>
      <c r="B57" s="19"/>
      <c r="C57" s="19"/>
      <c r="D57" s="19"/>
      <c r="E57" s="20"/>
      <c r="F57" s="19"/>
      <c r="G57" s="19"/>
      <c r="H57" s="20"/>
    </row>
    <row r="58" spans="1:8" ht="13.15">
      <c r="A58" s="19"/>
      <c r="B58" s="19"/>
      <c r="C58" s="19"/>
      <c r="D58" s="19"/>
      <c r="E58" s="20"/>
      <c r="F58" s="19"/>
      <c r="G58" s="19"/>
      <c r="H58" s="20"/>
    </row>
    <row r="59" spans="1:8" ht="13.15">
      <c r="A59" s="19"/>
      <c r="B59" s="19"/>
      <c r="C59" s="19"/>
      <c r="D59" s="19"/>
      <c r="E59" s="20"/>
      <c r="F59" s="19"/>
      <c r="G59" s="19"/>
      <c r="H59" s="20"/>
    </row>
    <row r="60" spans="1:8" ht="13.15">
      <c r="A60" s="19"/>
      <c r="B60" s="19"/>
      <c r="C60" s="19"/>
      <c r="D60" s="19"/>
      <c r="E60" s="20"/>
      <c r="F60" s="19"/>
      <c r="G60" s="19"/>
      <c r="H60" s="20"/>
    </row>
    <row r="61" spans="1:8" ht="13.15">
      <c r="A61" s="19"/>
      <c r="B61" s="19"/>
      <c r="C61" s="19"/>
      <c r="D61" s="19"/>
      <c r="E61" s="20"/>
      <c r="F61" s="19"/>
      <c r="G61" s="19"/>
      <c r="H61" s="20"/>
    </row>
    <row r="62" spans="1:8" ht="13.15">
      <c r="A62" s="19"/>
      <c r="B62" s="19"/>
      <c r="C62" s="19"/>
      <c r="D62" s="19"/>
      <c r="E62" s="20"/>
      <c r="F62" s="19"/>
      <c r="G62" s="19"/>
      <c r="H62" s="20"/>
    </row>
    <row r="63" spans="1:8" ht="13.15">
      <c r="A63" s="19"/>
      <c r="B63" s="19"/>
      <c r="C63" s="19"/>
      <c r="D63" s="19"/>
      <c r="E63" s="20"/>
      <c r="F63" s="19"/>
      <c r="G63" s="19"/>
      <c r="H63" s="20"/>
    </row>
    <row r="64" spans="1:8" ht="13.15">
      <c r="A64" s="19"/>
      <c r="B64" s="19"/>
      <c r="C64" s="19"/>
      <c r="D64" s="19"/>
      <c r="E64" s="20"/>
      <c r="F64" s="19"/>
      <c r="G64" s="19"/>
      <c r="H64" s="20"/>
    </row>
    <row r="65" spans="1:8" ht="13.15">
      <c r="A65" s="19"/>
      <c r="B65" s="19"/>
      <c r="C65" s="19"/>
      <c r="D65" s="19"/>
      <c r="E65" s="20"/>
      <c r="F65" s="19"/>
      <c r="G65" s="19"/>
      <c r="H65" s="20"/>
    </row>
    <row r="66" spans="1:8" ht="13.15">
      <c r="A66" s="19"/>
      <c r="B66" s="19"/>
      <c r="C66" s="19"/>
      <c r="D66" s="19"/>
      <c r="E66" s="20"/>
      <c r="F66" s="19"/>
      <c r="G66" s="19"/>
      <c r="H66" s="20"/>
    </row>
    <row r="67" spans="1:8" ht="13.15">
      <c r="A67" s="19"/>
      <c r="B67" s="19"/>
      <c r="C67" s="19"/>
      <c r="D67" s="19"/>
      <c r="E67" s="20"/>
      <c r="F67" s="19"/>
      <c r="G67" s="19"/>
      <c r="H67" s="20"/>
    </row>
    <row r="68" spans="1:8" ht="13.15">
      <c r="A68" s="19"/>
      <c r="B68" s="19"/>
      <c r="C68" s="19"/>
      <c r="D68" s="19"/>
      <c r="E68" s="20"/>
      <c r="F68" s="19"/>
      <c r="G68" s="19"/>
      <c r="H68" s="20"/>
    </row>
    <row r="69" spans="1:8" ht="13.15">
      <c r="A69" s="19"/>
      <c r="B69" s="19"/>
      <c r="C69" s="19"/>
      <c r="D69" s="19"/>
      <c r="E69" s="20"/>
      <c r="F69" s="19"/>
      <c r="G69" s="19"/>
      <c r="H69" s="20"/>
    </row>
    <row r="70" spans="1:8" ht="13.15">
      <c r="A70" s="19"/>
      <c r="B70" s="19"/>
      <c r="C70" s="19"/>
      <c r="D70" s="19"/>
      <c r="E70" s="20"/>
      <c r="F70" s="19"/>
      <c r="G70" s="19"/>
      <c r="H70" s="20"/>
    </row>
    <row r="71" spans="1:8" ht="13.15">
      <c r="A71" s="19"/>
      <c r="B71" s="19"/>
      <c r="C71" s="19"/>
      <c r="D71" s="19"/>
      <c r="E71" s="20"/>
      <c r="F71" s="19"/>
      <c r="G71" s="19"/>
      <c r="H71" s="20"/>
    </row>
    <row r="72" spans="1:8" ht="13.15">
      <c r="A72" s="19"/>
      <c r="B72" s="19"/>
      <c r="C72" s="19"/>
      <c r="D72" s="19"/>
      <c r="E72" s="20"/>
      <c r="F72" s="19"/>
      <c r="G72" s="19"/>
      <c r="H72" s="20"/>
    </row>
    <row r="73" spans="1:8" ht="13.15">
      <c r="A73" s="19"/>
      <c r="B73" s="19"/>
      <c r="C73" s="19"/>
      <c r="D73" s="19"/>
      <c r="E73" s="20"/>
      <c r="F73" s="19"/>
      <c r="G73" s="19"/>
      <c r="H73" s="20"/>
    </row>
    <row r="74" spans="1:8" ht="13.15">
      <c r="A74" s="19"/>
      <c r="B74" s="19"/>
      <c r="C74" s="19"/>
      <c r="D74" s="19"/>
      <c r="E74" s="20"/>
      <c r="F74" s="19"/>
      <c r="G74" s="19"/>
      <c r="H74" s="20"/>
    </row>
    <row r="75" spans="1:8" ht="13.15">
      <c r="A75" s="19"/>
      <c r="B75" s="19"/>
      <c r="C75" s="19"/>
      <c r="D75" s="19"/>
      <c r="E75" s="20"/>
      <c r="F75" s="19"/>
      <c r="G75" s="19"/>
      <c r="H75" s="20"/>
    </row>
    <row r="76" spans="1:8" ht="13.15">
      <c r="A76" s="19"/>
      <c r="B76" s="19"/>
      <c r="C76" s="19"/>
      <c r="D76" s="19"/>
      <c r="E76" s="20"/>
      <c r="F76" s="19"/>
      <c r="G76" s="19"/>
      <c r="H76" s="20"/>
    </row>
    <row r="77" spans="1:8" ht="13.15">
      <c r="A77" s="19"/>
      <c r="B77" s="19"/>
      <c r="C77" s="19"/>
      <c r="D77" s="19"/>
      <c r="E77" s="20"/>
      <c r="F77" s="19"/>
      <c r="G77" s="19"/>
      <c r="H77" s="20"/>
    </row>
    <row r="78" spans="1:8" ht="13.15">
      <c r="A78" s="19"/>
      <c r="B78" s="19"/>
      <c r="C78" s="19"/>
      <c r="D78" s="19"/>
      <c r="E78" s="20"/>
      <c r="F78" s="19"/>
      <c r="G78" s="19"/>
      <c r="H78" s="20"/>
    </row>
    <row r="79" spans="1:8" ht="13.15">
      <c r="A79" s="19"/>
      <c r="B79" s="19"/>
      <c r="C79" s="19"/>
      <c r="D79" s="19"/>
      <c r="E79" s="20"/>
      <c r="F79" s="19"/>
      <c r="G79" s="19"/>
      <c r="H79" s="20"/>
    </row>
    <row r="80" spans="1:8" ht="13.15">
      <c r="A80" s="19"/>
      <c r="B80" s="19"/>
      <c r="C80" s="19"/>
      <c r="D80" s="19"/>
      <c r="E80" s="20"/>
      <c r="F80" s="19"/>
      <c r="G80" s="19"/>
      <c r="H80" s="20"/>
    </row>
    <row r="81" spans="1:8" ht="13.15">
      <c r="A81" s="19"/>
      <c r="B81" s="19"/>
      <c r="C81" s="19"/>
      <c r="D81" s="19"/>
      <c r="E81" s="20"/>
      <c r="F81" s="19"/>
      <c r="G81" s="19"/>
      <c r="H81" s="20"/>
    </row>
    <row r="82" spans="1:8" ht="13.15">
      <c r="A82" s="19"/>
      <c r="B82" s="19"/>
      <c r="C82" s="19"/>
      <c r="D82" s="19"/>
      <c r="E82" s="20"/>
      <c r="F82" s="19"/>
      <c r="G82" s="19"/>
      <c r="H82" s="20"/>
    </row>
    <row r="83" spans="1:8" ht="13.15">
      <c r="A83" s="19"/>
      <c r="B83" s="19"/>
      <c r="C83" s="19"/>
      <c r="D83" s="19"/>
      <c r="E83" s="20"/>
      <c r="F83" s="19"/>
      <c r="G83" s="19"/>
      <c r="H83" s="20"/>
    </row>
    <row r="84" spans="1:8" ht="13.15">
      <c r="A84" s="19"/>
      <c r="B84" s="19"/>
      <c r="C84" s="19"/>
      <c r="D84" s="19"/>
      <c r="E84" s="20"/>
      <c r="F84" s="19"/>
      <c r="G84" s="19"/>
      <c r="H84" s="20"/>
    </row>
    <row r="85" spans="1:8" ht="13.15">
      <c r="A85" s="19"/>
      <c r="B85" s="19"/>
      <c r="C85" s="19"/>
      <c r="D85" s="19"/>
      <c r="E85" s="20"/>
      <c r="F85" s="19"/>
      <c r="G85" s="19"/>
      <c r="H85" s="20"/>
    </row>
    <row r="86" spans="1:8" ht="13.15">
      <c r="A86" s="19"/>
      <c r="B86" s="19"/>
      <c r="C86" s="19"/>
      <c r="D86" s="19"/>
      <c r="E86" s="20"/>
      <c r="F86" s="19"/>
      <c r="G86" s="19"/>
      <c r="H86" s="20"/>
    </row>
    <row r="87" spans="1:8" ht="13.15">
      <c r="A87" s="19"/>
      <c r="B87" s="19"/>
      <c r="C87" s="19"/>
      <c r="D87" s="19"/>
      <c r="E87" s="20"/>
      <c r="F87" s="19"/>
      <c r="G87" s="19"/>
      <c r="H87" s="20"/>
    </row>
    <row r="88" spans="1:8" ht="13.15">
      <c r="A88" s="19"/>
      <c r="B88" s="19"/>
      <c r="C88" s="19"/>
      <c r="D88" s="19"/>
      <c r="E88" s="20"/>
      <c r="F88" s="19"/>
      <c r="G88" s="19"/>
      <c r="H88" s="20"/>
    </row>
    <row r="89" spans="1:8" ht="13.15">
      <c r="A89" s="19"/>
      <c r="B89" s="19"/>
      <c r="C89" s="19"/>
      <c r="D89" s="19"/>
      <c r="E89" s="20"/>
      <c r="F89" s="19"/>
      <c r="G89" s="19"/>
      <c r="H89" s="20"/>
    </row>
    <row r="90" spans="1:8" ht="13.15">
      <c r="A90" s="19"/>
      <c r="B90" s="19"/>
      <c r="C90" s="19"/>
      <c r="D90" s="19"/>
      <c r="E90" s="20"/>
      <c r="F90" s="19"/>
      <c r="G90" s="19"/>
      <c r="H90" s="20"/>
    </row>
    <row r="91" spans="1:8" ht="13.15">
      <c r="A91" s="19"/>
      <c r="B91" s="19"/>
      <c r="C91" s="19"/>
      <c r="D91" s="19"/>
      <c r="E91" s="20"/>
      <c r="F91" s="19"/>
      <c r="G91" s="19"/>
      <c r="H91" s="20"/>
    </row>
    <row r="92" spans="1:8" ht="13.15">
      <c r="A92" s="19"/>
      <c r="B92" s="19"/>
      <c r="C92" s="19"/>
      <c r="D92" s="19"/>
      <c r="E92" s="20"/>
      <c r="F92" s="19"/>
      <c r="G92" s="19"/>
      <c r="H92" s="20"/>
    </row>
    <row r="93" spans="1:8" ht="13.15">
      <c r="A93" s="19"/>
      <c r="B93" s="19"/>
      <c r="C93" s="19"/>
      <c r="D93" s="19"/>
      <c r="E93" s="20"/>
      <c r="F93" s="19"/>
      <c r="G93" s="19"/>
      <c r="H93" s="20"/>
    </row>
    <row r="94" spans="1:8" ht="13.15">
      <c r="A94" s="19"/>
      <c r="B94" s="19"/>
      <c r="C94" s="19"/>
      <c r="D94" s="19"/>
      <c r="E94" s="20"/>
      <c r="F94" s="19"/>
      <c r="G94" s="19"/>
      <c r="H94" s="20"/>
    </row>
    <row r="95" spans="1:8" ht="13.15">
      <c r="A95" s="19"/>
      <c r="B95" s="19"/>
      <c r="C95" s="19"/>
      <c r="D95" s="19"/>
      <c r="E95" s="20"/>
      <c r="F95" s="19"/>
      <c r="G95" s="19"/>
      <c r="H95" s="20"/>
    </row>
    <row r="96" spans="1:8" ht="13.15">
      <c r="A96" s="19"/>
      <c r="B96" s="19"/>
      <c r="C96" s="19"/>
      <c r="D96" s="19"/>
      <c r="E96" s="20"/>
      <c r="F96" s="19"/>
      <c r="G96" s="19"/>
      <c r="H96" s="20"/>
    </row>
    <row r="97" spans="1:8" ht="13.15">
      <c r="A97" s="19"/>
      <c r="B97" s="19"/>
      <c r="C97" s="19"/>
      <c r="D97" s="19"/>
      <c r="E97" s="20"/>
      <c r="F97" s="19"/>
      <c r="G97" s="19"/>
      <c r="H97" s="20"/>
    </row>
    <row r="98" spans="1:8" ht="13.15">
      <c r="A98" s="19"/>
      <c r="B98" s="19"/>
      <c r="C98" s="19"/>
      <c r="D98" s="19"/>
      <c r="E98" s="20"/>
      <c r="F98" s="19"/>
      <c r="G98" s="19"/>
      <c r="H98" s="20"/>
    </row>
    <row r="99" spans="1:8" ht="13.15">
      <c r="A99" s="19"/>
      <c r="B99" s="19"/>
      <c r="C99" s="19"/>
      <c r="D99" s="19"/>
      <c r="E99" s="20"/>
      <c r="F99" s="19"/>
      <c r="G99" s="19"/>
      <c r="H99" s="20"/>
    </row>
    <row r="100" spans="1:8" ht="13.15">
      <c r="A100" s="19"/>
      <c r="B100" s="19"/>
      <c r="C100" s="19"/>
      <c r="D100" s="19"/>
      <c r="E100" s="20"/>
      <c r="F100" s="19"/>
      <c r="G100" s="19"/>
      <c r="H100" s="20"/>
    </row>
    <row r="101" spans="1:8" ht="13.15">
      <c r="A101" s="19"/>
      <c r="B101" s="19"/>
      <c r="C101" s="19"/>
      <c r="D101" s="19"/>
      <c r="E101" s="20"/>
      <c r="F101" s="19"/>
      <c r="G101" s="19"/>
      <c r="H101" s="20"/>
    </row>
    <row r="102" spans="1:8" ht="13.15">
      <c r="A102" s="19"/>
      <c r="B102" s="19"/>
      <c r="C102" s="19"/>
      <c r="D102" s="19"/>
      <c r="E102" s="20"/>
      <c r="F102" s="19"/>
      <c r="G102" s="19"/>
      <c r="H102" s="20"/>
    </row>
    <row r="103" spans="1:8" ht="13.15">
      <c r="A103" s="19"/>
      <c r="B103" s="19"/>
      <c r="C103" s="19"/>
      <c r="D103" s="19"/>
      <c r="E103" s="20"/>
      <c r="F103" s="19"/>
      <c r="G103" s="19"/>
      <c r="H103" s="20"/>
    </row>
    <row r="104" spans="1:8" ht="13.15">
      <c r="A104" s="19"/>
      <c r="B104" s="19"/>
      <c r="C104" s="19"/>
      <c r="D104" s="19"/>
      <c r="E104" s="20"/>
      <c r="F104" s="19"/>
      <c r="G104" s="19"/>
      <c r="H104" s="20"/>
    </row>
    <row r="105" spans="1:8" ht="13.15">
      <c r="A105" s="19"/>
      <c r="B105" s="19"/>
      <c r="C105" s="19"/>
      <c r="D105" s="19"/>
      <c r="E105" s="20"/>
      <c r="F105" s="19"/>
      <c r="G105" s="19"/>
      <c r="H105" s="20"/>
    </row>
    <row r="106" spans="1:8" ht="13.15">
      <c r="A106" s="19"/>
      <c r="B106" s="19"/>
      <c r="C106" s="19"/>
      <c r="D106" s="19"/>
      <c r="E106" s="20"/>
      <c r="F106" s="19"/>
      <c r="G106" s="19"/>
      <c r="H106" s="20"/>
    </row>
    <row r="107" spans="1:8" ht="13.15">
      <c r="A107" s="19"/>
      <c r="B107" s="19"/>
      <c r="C107" s="19"/>
      <c r="D107" s="19"/>
      <c r="E107" s="20"/>
      <c r="F107" s="19"/>
      <c r="G107" s="19"/>
      <c r="H107" s="20"/>
    </row>
    <row r="108" spans="1:8" ht="13.15">
      <c r="A108" s="19"/>
      <c r="B108" s="19"/>
      <c r="C108" s="19"/>
      <c r="D108" s="19"/>
      <c r="E108" s="20"/>
      <c r="F108" s="19"/>
      <c r="G108" s="19"/>
      <c r="H108" s="20"/>
    </row>
    <row r="109" spans="1:8" ht="13.15">
      <c r="A109" s="19"/>
      <c r="B109" s="19"/>
      <c r="C109" s="19"/>
      <c r="D109" s="19"/>
      <c r="E109" s="20"/>
      <c r="F109" s="19"/>
      <c r="G109" s="19"/>
      <c r="H109" s="20"/>
    </row>
    <row r="110" spans="1:8" ht="13.15">
      <c r="A110" s="19"/>
      <c r="B110" s="19"/>
      <c r="C110" s="19"/>
      <c r="D110" s="19"/>
      <c r="E110" s="20"/>
      <c r="F110" s="19"/>
      <c r="G110" s="19"/>
      <c r="H110" s="20"/>
    </row>
    <row r="111" spans="1:8" ht="13.15">
      <c r="A111" s="19"/>
      <c r="B111" s="19"/>
      <c r="C111" s="19"/>
      <c r="D111" s="19"/>
      <c r="E111" s="20"/>
      <c r="F111" s="19"/>
      <c r="G111" s="19"/>
      <c r="H111" s="20"/>
    </row>
    <row r="112" spans="1:8" ht="13.15">
      <c r="A112" s="19"/>
      <c r="B112" s="19"/>
      <c r="C112" s="19"/>
      <c r="D112" s="19"/>
      <c r="E112" s="20"/>
      <c r="F112" s="19"/>
      <c r="G112" s="19"/>
      <c r="H112" s="20"/>
    </row>
    <row r="113" spans="1:8" ht="13.15">
      <c r="A113" s="19"/>
      <c r="B113" s="19"/>
      <c r="C113" s="19"/>
      <c r="D113" s="19"/>
      <c r="E113" s="20"/>
      <c r="F113" s="19"/>
      <c r="G113" s="19"/>
      <c r="H113" s="20"/>
    </row>
    <row r="114" spans="1:8" ht="13.15">
      <c r="A114" s="19"/>
      <c r="B114" s="19"/>
      <c r="C114" s="19"/>
      <c r="D114" s="19"/>
      <c r="E114" s="20"/>
      <c r="F114" s="19"/>
      <c r="G114" s="19"/>
      <c r="H114" s="20"/>
    </row>
    <row r="115" spans="1:8" ht="13.15">
      <c r="A115" s="19"/>
      <c r="B115" s="19"/>
      <c r="C115" s="19"/>
      <c r="D115" s="19"/>
      <c r="E115" s="20"/>
      <c r="F115" s="19"/>
      <c r="G115" s="19"/>
      <c r="H115" s="20"/>
    </row>
    <row r="116" spans="1:8" ht="13.15">
      <c r="A116" s="19"/>
      <c r="B116" s="19"/>
      <c r="C116" s="19"/>
      <c r="D116" s="19"/>
      <c r="E116" s="20"/>
      <c r="F116" s="19"/>
      <c r="G116" s="19"/>
      <c r="H116" s="20"/>
    </row>
    <row r="117" spans="1:8" ht="13.15">
      <c r="A117" s="19"/>
      <c r="B117" s="19"/>
      <c r="C117" s="19"/>
      <c r="D117" s="19"/>
      <c r="E117" s="20"/>
      <c r="F117" s="19"/>
      <c r="G117" s="19"/>
      <c r="H117" s="20"/>
    </row>
    <row r="118" spans="1:8" ht="13.15">
      <c r="A118" s="19"/>
      <c r="B118" s="19"/>
      <c r="C118" s="19"/>
      <c r="D118" s="19"/>
      <c r="E118" s="20"/>
      <c r="F118" s="19"/>
      <c r="G118" s="19"/>
      <c r="H118" s="20"/>
    </row>
    <row r="119" spans="1:8" ht="13.15">
      <c r="A119" s="19"/>
      <c r="B119" s="19"/>
      <c r="C119" s="19"/>
      <c r="D119" s="19"/>
      <c r="E119" s="20"/>
      <c r="F119" s="19"/>
      <c r="G119" s="19"/>
      <c r="H119" s="20"/>
    </row>
    <row r="120" spans="1:8" ht="13.15">
      <c r="A120" s="19"/>
      <c r="B120" s="19"/>
      <c r="C120" s="19"/>
      <c r="D120" s="19"/>
      <c r="E120" s="20"/>
      <c r="F120" s="19"/>
      <c r="G120" s="19"/>
      <c r="H120" s="20"/>
    </row>
    <row r="121" spans="1:8" ht="13.15">
      <c r="A121" s="19"/>
      <c r="B121" s="19"/>
      <c r="C121" s="19"/>
      <c r="D121" s="19"/>
      <c r="E121" s="20"/>
      <c r="F121" s="19"/>
      <c r="G121" s="19"/>
      <c r="H121" s="20"/>
    </row>
    <row r="122" spans="1:8" ht="13.15">
      <c r="A122" s="19"/>
      <c r="B122" s="19"/>
      <c r="C122" s="19"/>
      <c r="D122" s="19"/>
      <c r="E122" s="20"/>
      <c r="F122" s="19"/>
      <c r="G122" s="19"/>
      <c r="H122" s="20"/>
    </row>
    <row r="123" spans="1:8" ht="13.15">
      <c r="A123" s="19"/>
      <c r="B123" s="19"/>
      <c r="C123" s="19"/>
      <c r="D123" s="19"/>
      <c r="E123" s="20"/>
      <c r="F123" s="19"/>
      <c r="G123" s="19"/>
      <c r="H123" s="20"/>
    </row>
    <row r="124" spans="1:8" ht="13.15">
      <c r="A124" s="19"/>
      <c r="B124" s="19"/>
      <c r="C124" s="19"/>
      <c r="D124" s="19"/>
      <c r="E124" s="20"/>
      <c r="F124" s="19"/>
      <c r="G124" s="19"/>
      <c r="H124" s="20"/>
    </row>
    <row r="125" spans="1:8" ht="13.15">
      <c r="A125" s="19"/>
      <c r="B125" s="19"/>
      <c r="C125" s="19"/>
      <c r="D125" s="19"/>
      <c r="E125" s="20"/>
      <c r="F125" s="19"/>
      <c r="G125" s="19"/>
      <c r="H125" s="20"/>
    </row>
    <row r="126" spans="1:8" ht="13.15">
      <c r="A126" s="19"/>
      <c r="B126" s="19"/>
      <c r="C126" s="19"/>
      <c r="D126" s="19"/>
      <c r="E126" s="20"/>
      <c r="F126" s="19"/>
      <c r="G126" s="19"/>
      <c r="H126" s="20"/>
    </row>
    <row r="127" spans="1:8" ht="13.15">
      <c r="A127" s="19"/>
      <c r="B127" s="19"/>
      <c r="C127" s="19"/>
      <c r="D127" s="19"/>
      <c r="E127" s="20"/>
      <c r="F127" s="19"/>
      <c r="G127" s="19"/>
      <c r="H127" s="20"/>
    </row>
    <row r="128" spans="1:8" ht="13.15">
      <c r="A128" s="19"/>
      <c r="B128" s="19"/>
      <c r="C128" s="19"/>
      <c r="D128" s="19"/>
      <c r="E128" s="20"/>
      <c r="F128" s="19"/>
      <c r="G128" s="19"/>
      <c r="H128" s="20"/>
    </row>
    <row r="129" spans="1:8" ht="13.15">
      <c r="A129" s="19"/>
      <c r="B129" s="19"/>
      <c r="C129" s="19"/>
      <c r="D129" s="19"/>
      <c r="E129" s="20"/>
      <c r="F129" s="19"/>
      <c r="G129" s="19"/>
      <c r="H129" s="20"/>
    </row>
    <row r="130" spans="1:8" ht="13.15">
      <c r="A130" s="19"/>
      <c r="B130" s="19"/>
      <c r="C130" s="19"/>
      <c r="D130" s="19"/>
      <c r="E130" s="20"/>
      <c r="F130" s="19"/>
      <c r="G130" s="19"/>
      <c r="H130" s="20"/>
    </row>
    <row r="131" spans="1:8" ht="13.15">
      <c r="A131" s="19"/>
      <c r="B131" s="19"/>
      <c r="C131" s="19"/>
      <c r="D131" s="19"/>
      <c r="E131" s="20"/>
      <c r="F131" s="19"/>
      <c r="G131" s="19"/>
      <c r="H131" s="20"/>
    </row>
    <row r="132" spans="1:8" ht="13.15">
      <c r="A132" s="19"/>
      <c r="B132" s="19"/>
      <c r="C132" s="19"/>
      <c r="D132" s="19"/>
      <c r="E132" s="20"/>
      <c r="F132" s="19"/>
      <c r="G132" s="19"/>
      <c r="H132" s="20"/>
    </row>
    <row r="133" spans="1:8" ht="13.15">
      <c r="A133" s="19"/>
      <c r="B133" s="19"/>
      <c r="C133" s="19"/>
      <c r="D133" s="19"/>
      <c r="E133" s="20"/>
      <c r="F133" s="19"/>
      <c r="G133" s="19"/>
      <c r="H133" s="20"/>
    </row>
    <row r="134" spans="1:8" ht="13.15">
      <c r="A134" s="19"/>
      <c r="B134" s="19"/>
      <c r="C134" s="19"/>
      <c r="D134" s="19"/>
      <c r="E134" s="20"/>
      <c r="F134" s="19"/>
      <c r="G134" s="19"/>
      <c r="H134" s="20"/>
    </row>
    <row r="135" spans="1:8" ht="13.15">
      <c r="A135" s="19"/>
      <c r="B135" s="19"/>
      <c r="C135" s="19"/>
      <c r="D135" s="19"/>
      <c r="E135" s="20"/>
      <c r="F135" s="19"/>
      <c r="G135" s="19"/>
      <c r="H135" s="20"/>
    </row>
    <row r="136" spans="1:8" ht="13.15">
      <c r="A136" s="19"/>
      <c r="B136" s="19"/>
      <c r="C136" s="19"/>
      <c r="D136" s="19"/>
      <c r="E136" s="20"/>
      <c r="F136" s="19"/>
      <c r="G136" s="19"/>
      <c r="H136" s="20"/>
    </row>
    <row r="137" spans="1:8" ht="13.15">
      <c r="A137" s="19"/>
      <c r="B137" s="19"/>
      <c r="C137" s="19"/>
      <c r="D137" s="19"/>
      <c r="E137" s="20"/>
      <c r="F137" s="19"/>
      <c r="G137" s="19"/>
      <c r="H137" s="20"/>
    </row>
    <row r="138" spans="1:8" ht="13.15">
      <c r="A138" s="19"/>
      <c r="B138" s="19"/>
      <c r="C138" s="19"/>
      <c r="D138" s="19"/>
      <c r="E138" s="20"/>
      <c r="F138" s="19"/>
      <c r="G138" s="19"/>
      <c r="H138" s="20"/>
    </row>
    <row r="139" spans="1:8" ht="13.15">
      <c r="A139" s="19"/>
      <c r="B139" s="19"/>
      <c r="C139" s="19"/>
      <c r="D139" s="19"/>
      <c r="E139" s="20"/>
      <c r="F139" s="19"/>
      <c r="G139" s="19"/>
      <c r="H139" s="20"/>
    </row>
    <row r="140" spans="1:8" ht="13.15">
      <c r="A140" s="19"/>
      <c r="B140" s="19"/>
      <c r="C140" s="19"/>
      <c r="D140" s="19"/>
      <c r="E140" s="20"/>
      <c r="F140" s="19"/>
      <c r="G140" s="19"/>
      <c r="H140" s="20"/>
    </row>
    <row r="141" spans="1:8" ht="13.15">
      <c r="A141" s="19"/>
      <c r="B141" s="19"/>
      <c r="C141" s="19"/>
      <c r="D141" s="19"/>
      <c r="E141" s="20"/>
      <c r="F141" s="19"/>
      <c r="G141" s="19"/>
      <c r="H141" s="20"/>
    </row>
    <row r="142" spans="1:8" ht="13.15">
      <c r="A142" s="19"/>
      <c r="B142" s="19"/>
      <c r="C142" s="19"/>
      <c r="D142" s="19"/>
      <c r="E142" s="20"/>
      <c r="F142" s="19"/>
      <c r="G142" s="19"/>
      <c r="H142" s="20"/>
    </row>
    <row r="143" spans="1:8" ht="13.15">
      <c r="A143" s="19"/>
      <c r="B143" s="19"/>
      <c r="C143" s="19"/>
      <c r="D143" s="19"/>
      <c r="E143" s="20"/>
      <c r="F143" s="19"/>
      <c r="G143" s="19"/>
      <c r="H143" s="20"/>
    </row>
    <row r="144" spans="1:8" ht="13.15">
      <c r="A144" s="19"/>
      <c r="B144" s="19"/>
      <c r="C144" s="19"/>
      <c r="D144" s="19"/>
      <c r="E144" s="20"/>
      <c r="F144" s="19"/>
      <c r="G144" s="19"/>
      <c r="H144" s="20"/>
    </row>
    <row r="145" spans="1:8" ht="13.15">
      <c r="A145" s="19"/>
      <c r="B145" s="19"/>
      <c r="C145" s="19"/>
      <c r="D145" s="19"/>
      <c r="E145" s="20"/>
      <c r="F145" s="19"/>
      <c r="G145" s="19"/>
      <c r="H145" s="20"/>
    </row>
    <row r="146" spans="1:8" ht="13.15">
      <c r="A146" s="19"/>
      <c r="B146" s="19"/>
      <c r="C146" s="19"/>
      <c r="D146" s="19"/>
      <c r="E146" s="20"/>
      <c r="F146" s="19"/>
      <c r="G146" s="19"/>
      <c r="H146" s="20"/>
    </row>
    <row r="147" spans="1:8" ht="13.15">
      <c r="A147" s="19"/>
      <c r="B147" s="19"/>
      <c r="C147" s="19"/>
      <c r="D147" s="19"/>
      <c r="E147" s="20"/>
      <c r="F147" s="19"/>
      <c r="G147" s="19"/>
      <c r="H147" s="20"/>
    </row>
    <row r="148" spans="1:8" ht="13.15">
      <c r="A148" s="19"/>
      <c r="B148" s="19"/>
      <c r="C148" s="19"/>
      <c r="D148" s="19"/>
      <c r="E148" s="20"/>
      <c r="F148" s="19"/>
      <c r="G148" s="19"/>
      <c r="H148" s="20"/>
    </row>
    <row r="149" spans="1:8" ht="13.15">
      <c r="A149" s="19"/>
      <c r="B149" s="19"/>
      <c r="C149" s="19"/>
      <c r="D149" s="19"/>
      <c r="E149" s="20"/>
      <c r="F149" s="19"/>
      <c r="G149" s="19"/>
      <c r="H149" s="20"/>
    </row>
    <row r="150" spans="1:8" ht="13.15">
      <c r="A150" s="19"/>
      <c r="B150" s="19"/>
      <c r="C150" s="19"/>
      <c r="D150" s="19"/>
      <c r="E150" s="20"/>
      <c r="F150" s="19"/>
      <c r="G150" s="19"/>
      <c r="H150" s="20"/>
    </row>
    <row r="151" spans="1:8" ht="13.15">
      <c r="A151" s="19"/>
      <c r="B151" s="19"/>
      <c r="C151" s="19"/>
      <c r="D151" s="19"/>
      <c r="E151" s="20"/>
      <c r="F151" s="19"/>
      <c r="G151" s="19"/>
      <c r="H151" s="20"/>
    </row>
    <row r="152" spans="1:8" ht="13.15">
      <c r="A152" s="19"/>
      <c r="B152" s="19"/>
      <c r="C152" s="19"/>
      <c r="D152" s="19"/>
      <c r="E152" s="20"/>
      <c r="F152" s="19"/>
      <c r="G152" s="19"/>
      <c r="H152" s="20"/>
    </row>
    <row r="153" spans="1:8" ht="13.15">
      <c r="A153" s="19"/>
      <c r="B153" s="19"/>
      <c r="C153" s="19"/>
      <c r="D153" s="19"/>
      <c r="E153" s="20"/>
      <c r="F153" s="19"/>
      <c r="G153" s="19"/>
      <c r="H153" s="20"/>
    </row>
    <row r="154" spans="1:8" ht="13.15">
      <c r="A154" s="19"/>
      <c r="B154" s="19"/>
      <c r="C154" s="19"/>
      <c r="D154" s="19"/>
      <c r="E154" s="20"/>
      <c r="F154" s="19"/>
      <c r="G154" s="19"/>
      <c r="H154" s="20"/>
    </row>
    <row r="155" spans="1:8" ht="13.15">
      <c r="A155" s="19"/>
      <c r="B155" s="19"/>
      <c r="C155" s="19"/>
      <c r="D155" s="19"/>
      <c r="E155" s="20"/>
      <c r="F155" s="19"/>
      <c r="G155" s="19"/>
      <c r="H155" s="20"/>
    </row>
    <row r="156" spans="1:8" ht="13.15">
      <c r="A156" s="19"/>
      <c r="B156" s="19"/>
      <c r="C156" s="19"/>
      <c r="D156" s="19"/>
      <c r="E156" s="20"/>
      <c r="F156" s="19"/>
      <c r="G156" s="19"/>
      <c r="H156" s="20"/>
    </row>
    <row r="157" spans="1:8" ht="13.15">
      <c r="A157" s="19"/>
      <c r="B157" s="19"/>
      <c r="C157" s="19"/>
      <c r="D157" s="19"/>
      <c r="E157" s="20"/>
      <c r="F157" s="19"/>
      <c r="G157" s="19"/>
      <c r="H157" s="20"/>
    </row>
    <row r="158" spans="1:8" ht="13.15">
      <c r="A158" s="19"/>
      <c r="B158" s="19"/>
      <c r="C158" s="19"/>
      <c r="D158" s="19"/>
      <c r="E158" s="20"/>
      <c r="F158" s="19"/>
      <c r="G158" s="19"/>
      <c r="H158" s="20"/>
    </row>
    <row r="159" spans="1:8" ht="13.15">
      <c r="A159" s="19"/>
      <c r="B159" s="19"/>
      <c r="C159" s="19"/>
      <c r="D159" s="19"/>
      <c r="E159" s="20"/>
      <c r="F159" s="19"/>
      <c r="G159" s="19"/>
      <c r="H159" s="20"/>
    </row>
    <row r="160" spans="1:8" ht="13.15">
      <c r="A160" s="19"/>
      <c r="B160" s="19"/>
      <c r="C160" s="19"/>
      <c r="D160" s="19"/>
      <c r="E160" s="20"/>
      <c r="F160" s="19"/>
      <c r="G160" s="19"/>
      <c r="H160" s="20"/>
    </row>
    <row r="161" spans="1:8" ht="13.15">
      <c r="A161" s="19"/>
      <c r="B161" s="19"/>
      <c r="C161" s="19"/>
      <c r="D161" s="19"/>
      <c r="E161" s="20"/>
      <c r="F161" s="19"/>
      <c r="G161" s="19"/>
      <c r="H161" s="20"/>
    </row>
    <row r="162" spans="1:8" ht="13.15">
      <c r="A162" s="19"/>
      <c r="B162" s="19"/>
      <c r="C162" s="19"/>
      <c r="D162" s="19"/>
      <c r="E162" s="20"/>
      <c r="F162" s="19"/>
      <c r="G162" s="19"/>
      <c r="H162" s="20"/>
    </row>
    <row r="163" spans="1:8" ht="13.15">
      <c r="A163" s="19"/>
      <c r="B163" s="19"/>
      <c r="C163" s="19"/>
      <c r="D163" s="19"/>
      <c r="E163" s="20"/>
      <c r="F163" s="19"/>
      <c r="G163" s="19"/>
      <c r="H163" s="20"/>
    </row>
    <row r="164" spans="1:8" ht="13.15">
      <c r="A164" s="19"/>
      <c r="B164" s="19"/>
      <c r="C164" s="19"/>
      <c r="D164" s="19"/>
      <c r="E164" s="20"/>
      <c r="F164" s="19"/>
      <c r="G164" s="19"/>
      <c r="H164" s="20"/>
    </row>
    <row r="165" spans="1:8" ht="13.15">
      <c r="A165" s="19"/>
      <c r="B165" s="19"/>
      <c r="C165" s="19"/>
      <c r="D165" s="19"/>
      <c r="E165" s="20"/>
      <c r="F165" s="19"/>
      <c r="G165" s="19"/>
      <c r="H165" s="20"/>
    </row>
    <row r="166" spans="1:8" ht="13.15">
      <c r="A166" s="19"/>
      <c r="B166" s="19"/>
      <c r="C166" s="19"/>
      <c r="D166" s="19"/>
      <c r="E166" s="20"/>
      <c r="F166" s="19"/>
      <c r="G166" s="19"/>
      <c r="H166" s="20"/>
    </row>
    <row r="167" spans="1:8" ht="13.15">
      <c r="A167" s="19"/>
      <c r="B167" s="19"/>
      <c r="C167" s="19"/>
      <c r="D167" s="19"/>
      <c r="E167" s="20"/>
      <c r="F167" s="19"/>
      <c r="G167" s="19"/>
      <c r="H167" s="20"/>
    </row>
    <row r="168" spans="1:8" ht="13.15">
      <c r="A168" s="19"/>
      <c r="B168" s="19"/>
      <c r="C168" s="19"/>
      <c r="D168" s="19"/>
      <c r="E168" s="20"/>
      <c r="F168" s="19"/>
      <c r="G168" s="19"/>
      <c r="H168" s="20"/>
    </row>
    <row r="169" spans="1:8" ht="13.15">
      <c r="A169" s="19"/>
      <c r="B169" s="19"/>
      <c r="C169" s="19"/>
      <c r="D169" s="19"/>
      <c r="E169" s="20"/>
      <c r="F169" s="19"/>
      <c r="G169" s="19"/>
      <c r="H169" s="20"/>
    </row>
    <row r="170" spans="1:8" ht="13.15">
      <c r="A170" s="19"/>
      <c r="B170" s="19"/>
      <c r="C170" s="19"/>
      <c r="D170" s="19"/>
      <c r="E170" s="20"/>
      <c r="F170" s="19"/>
      <c r="G170" s="19"/>
      <c r="H170" s="20"/>
    </row>
    <row r="171" spans="1:8" ht="13.15">
      <c r="A171" s="19"/>
      <c r="B171" s="19"/>
      <c r="C171" s="19"/>
      <c r="D171" s="19"/>
      <c r="E171" s="20"/>
      <c r="F171" s="19"/>
      <c r="G171" s="19"/>
      <c r="H171" s="20"/>
    </row>
    <row r="172" spans="1:8" ht="13.15">
      <c r="A172" s="19"/>
      <c r="B172" s="19"/>
      <c r="C172" s="19"/>
      <c r="D172" s="19"/>
      <c r="E172" s="20"/>
      <c r="F172" s="19"/>
      <c r="G172" s="19"/>
      <c r="H172" s="20"/>
    </row>
    <row r="173" spans="1:8" ht="13.15">
      <c r="A173" s="19"/>
      <c r="B173" s="19"/>
      <c r="C173" s="19"/>
      <c r="D173" s="19"/>
      <c r="E173" s="20"/>
      <c r="F173" s="19"/>
      <c r="G173" s="19"/>
      <c r="H173" s="20"/>
    </row>
    <row r="174" spans="1:8" ht="13.15">
      <c r="A174" s="19"/>
      <c r="B174" s="19"/>
      <c r="C174" s="19"/>
      <c r="D174" s="19"/>
      <c r="E174" s="20"/>
      <c r="F174" s="19"/>
      <c r="G174" s="19"/>
      <c r="H174" s="20"/>
    </row>
    <row r="175" spans="1:8" ht="13.15">
      <c r="A175" s="19"/>
      <c r="B175" s="19"/>
      <c r="C175" s="19"/>
      <c r="D175" s="19"/>
      <c r="E175" s="20"/>
      <c r="F175" s="19"/>
      <c r="G175" s="19"/>
      <c r="H175" s="20"/>
    </row>
    <row r="176" spans="1:8" ht="13.15">
      <c r="A176" s="19"/>
      <c r="B176" s="19"/>
      <c r="C176" s="19"/>
      <c r="D176" s="19"/>
      <c r="E176" s="20"/>
      <c r="F176" s="19"/>
      <c r="G176" s="19"/>
      <c r="H176" s="20"/>
    </row>
    <row r="177" spans="1:8" ht="13.15">
      <c r="A177" s="19"/>
      <c r="B177" s="19"/>
      <c r="C177" s="19"/>
      <c r="D177" s="19"/>
      <c r="E177" s="20"/>
      <c r="F177" s="19"/>
      <c r="G177" s="19"/>
      <c r="H177" s="20"/>
    </row>
    <row r="178" spans="1:8" ht="13.15">
      <c r="A178" s="19"/>
      <c r="B178" s="19"/>
      <c r="C178" s="19"/>
      <c r="D178" s="19"/>
      <c r="E178" s="20"/>
      <c r="F178" s="19"/>
      <c r="G178" s="19"/>
      <c r="H178" s="20"/>
    </row>
    <row r="179" spans="1:8" ht="13.15">
      <c r="A179" s="19"/>
      <c r="B179" s="19"/>
      <c r="C179" s="19"/>
      <c r="D179" s="19"/>
      <c r="E179" s="20"/>
      <c r="F179" s="19"/>
      <c r="G179" s="19"/>
      <c r="H179" s="20"/>
    </row>
    <row r="180" spans="1:8" ht="13.15">
      <c r="A180" s="19"/>
      <c r="B180" s="19"/>
      <c r="C180" s="19"/>
      <c r="D180" s="19"/>
      <c r="E180" s="20"/>
      <c r="F180" s="19"/>
      <c r="G180" s="19"/>
      <c r="H180" s="20"/>
    </row>
    <row r="181" spans="1:8" ht="13.15">
      <c r="A181" s="19"/>
      <c r="B181" s="19"/>
      <c r="C181" s="19"/>
      <c r="D181" s="19"/>
      <c r="E181" s="20"/>
      <c r="F181" s="19"/>
      <c r="G181" s="19"/>
      <c r="H181" s="20"/>
    </row>
    <row r="182" spans="1:8" ht="13.15">
      <c r="A182" s="19"/>
      <c r="B182" s="19"/>
      <c r="C182" s="19"/>
      <c r="D182" s="19"/>
      <c r="E182" s="20"/>
      <c r="F182" s="19"/>
      <c r="G182" s="19"/>
      <c r="H182" s="20"/>
    </row>
    <row r="183" spans="1:8" ht="13.15">
      <c r="A183" s="19"/>
      <c r="B183" s="19"/>
      <c r="C183" s="19"/>
      <c r="D183" s="19"/>
      <c r="E183" s="20"/>
      <c r="F183" s="19"/>
      <c r="G183" s="19"/>
      <c r="H183" s="20"/>
    </row>
    <row r="184" spans="1:8" ht="13.15">
      <c r="A184" s="19"/>
      <c r="B184" s="19"/>
      <c r="C184" s="19"/>
      <c r="D184" s="19"/>
      <c r="E184" s="20"/>
      <c r="F184" s="19"/>
      <c r="G184" s="19"/>
      <c r="H184" s="20"/>
    </row>
    <row r="185" spans="1:8" ht="13.15">
      <c r="A185" s="19"/>
      <c r="B185" s="19"/>
      <c r="C185" s="19"/>
      <c r="D185" s="19"/>
      <c r="E185" s="20"/>
      <c r="F185" s="19"/>
      <c r="G185" s="19"/>
      <c r="H185" s="20"/>
    </row>
    <row r="186" spans="1:8" ht="13.15">
      <c r="A186" s="19"/>
      <c r="B186" s="19"/>
      <c r="C186" s="19"/>
      <c r="D186" s="19"/>
      <c r="E186" s="20"/>
      <c r="F186" s="19"/>
      <c r="G186" s="19"/>
      <c r="H186" s="20"/>
    </row>
    <row r="187" spans="1:8" ht="13.15">
      <c r="A187" s="19"/>
      <c r="B187" s="19"/>
      <c r="C187" s="19"/>
      <c r="D187" s="19"/>
      <c r="E187" s="20"/>
      <c r="F187" s="19"/>
      <c r="G187" s="19"/>
      <c r="H187" s="20"/>
    </row>
    <row r="188" spans="1:8" ht="13.15">
      <c r="A188" s="19"/>
      <c r="B188" s="19"/>
      <c r="C188" s="19"/>
      <c r="D188" s="19"/>
      <c r="E188" s="20"/>
      <c r="F188" s="19"/>
      <c r="G188" s="19"/>
      <c r="H188" s="20"/>
    </row>
    <row r="189" spans="1:8" ht="13.15">
      <c r="A189" s="19"/>
      <c r="B189" s="19"/>
      <c r="C189" s="19"/>
      <c r="D189" s="19"/>
      <c r="E189" s="20"/>
      <c r="F189" s="19"/>
      <c r="G189" s="19"/>
      <c r="H189" s="20"/>
    </row>
    <row r="190" spans="1:8" ht="13.15">
      <c r="A190" s="19"/>
      <c r="B190" s="19"/>
      <c r="C190" s="19"/>
      <c r="D190" s="19"/>
      <c r="E190" s="20"/>
      <c r="F190" s="19"/>
      <c r="G190" s="19"/>
      <c r="H190" s="20"/>
    </row>
    <row r="191" spans="1:8" ht="13.15">
      <c r="A191" s="19"/>
      <c r="B191" s="19"/>
      <c r="C191" s="19"/>
      <c r="D191" s="19"/>
      <c r="E191" s="20"/>
      <c r="F191" s="19"/>
      <c r="G191" s="19"/>
      <c r="H191" s="20"/>
    </row>
    <row r="192" spans="1:8" ht="13.15">
      <c r="A192" s="19"/>
      <c r="B192" s="19"/>
      <c r="C192" s="19"/>
      <c r="D192" s="19"/>
      <c r="E192" s="20"/>
      <c r="F192" s="19"/>
      <c r="G192" s="19"/>
      <c r="H192" s="20"/>
    </row>
    <row r="193" spans="1:8" ht="13.15">
      <c r="A193" s="19"/>
      <c r="B193" s="19"/>
      <c r="C193" s="19"/>
      <c r="D193" s="19"/>
      <c r="E193" s="20"/>
      <c r="F193" s="19"/>
      <c r="G193" s="19"/>
      <c r="H193" s="20"/>
    </row>
    <row r="194" spans="1:8" ht="13.15">
      <c r="A194" s="19"/>
      <c r="B194" s="19"/>
      <c r="C194" s="19"/>
      <c r="D194" s="19"/>
      <c r="E194" s="20"/>
      <c r="F194" s="19"/>
      <c r="G194" s="19"/>
      <c r="H194" s="20"/>
    </row>
    <row r="195" spans="1:8" ht="13.15">
      <c r="A195" s="19"/>
      <c r="B195" s="19"/>
      <c r="C195" s="19"/>
      <c r="D195" s="19"/>
      <c r="E195" s="20"/>
      <c r="F195" s="19"/>
      <c r="G195" s="19"/>
      <c r="H195" s="20"/>
    </row>
    <row r="196" spans="1:8" ht="13.15">
      <c r="A196" s="19"/>
      <c r="B196" s="19"/>
      <c r="C196" s="19"/>
      <c r="D196" s="19"/>
      <c r="E196" s="20"/>
      <c r="F196" s="19"/>
      <c r="G196" s="19"/>
      <c r="H196" s="20"/>
    </row>
    <row r="197" spans="1:8" ht="13.15">
      <c r="A197" s="19"/>
      <c r="B197" s="19"/>
      <c r="C197" s="19"/>
      <c r="D197" s="19"/>
      <c r="E197" s="20"/>
      <c r="F197" s="19"/>
      <c r="G197" s="19"/>
      <c r="H197" s="20"/>
    </row>
    <row r="198" spans="1:8" ht="13.15">
      <c r="A198" s="19"/>
      <c r="B198" s="19"/>
      <c r="C198" s="19"/>
      <c r="D198" s="19"/>
      <c r="E198" s="20"/>
      <c r="F198" s="19"/>
      <c r="G198" s="19"/>
      <c r="H198" s="20"/>
    </row>
    <row r="199" spans="1:8" ht="13.15">
      <c r="A199" s="19"/>
      <c r="B199" s="19"/>
      <c r="C199" s="19"/>
      <c r="D199" s="19"/>
      <c r="E199" s="20"/>
      <c r="F199" s="19"/>
      <c r="G199" s="19"/>
      <c r="H199" s="20"/>
    </row>
    <row r="200" spans="1:8" ht="13.15">
      <c r="A200" s="19"/>
      <c r="B200" s="19"/>
      <c r="C200" s="19"/>
      <c r="D200" s="19"/>
      <c r="E200" s="20"/>
      <c r="F200" s="19"/>
      <c r="G200" s="19"/>
      <c r="H200" s="20"/>
    </row>
    <row r="201" spans="1:8" ht="13.15">
      <c r="A201" s="19"/>
      <c r="B201" s="19"/>
      <c r="C201" s="19"/>
      <c r="D201" s="19"/>
      <c r="E201" s="20"/>
      <c r="F201" s="19"/>
      <c r="G201" s="19"/>
      <c r="H201" s="20"/>
    </row>
    <row r="202" spans="1:8" ht="13.15">
      <c r="A202" s="19"/>
      <c r="B202" s="19"/>
      <c r="C202" s="19"/>
      <c r="D202" s="19"/>
      <c r="E202" s="20"/>
      <c r="F202" s="19"/>
      <c r="G202" s="19"/>
      <c r="H202" s="20"/>
    </row>
    <row r="203" spans="1:8" ht="13.15">
      <c r="A203" s="19"/>
      <c r="B203" s="19"/>
      <c r="C203" s="19"/>
      <c r="D203" s="19"/>
      <c r="E203" s="20"/>
      <c r="F203" s="19"/>
      <c r="G203" s="19"/>
      <c r="H203" s="20"/>
    </row>
    <row r="204" spans="1:8" ht="13.15">
      <c r="A204" s="19"/>
      <c r="B204" s="19"/>
      <c r="C204" s="19"/>
      <c r="D204" s="19"/>
      <c r="E204" s="20"/>
      <c r="F204" s="19"/>
      <c r="G204" s="19"/>
      <c r="H204" s="20"/>
    </row>
    <row r="205" spans="1:8" ht="13.15">
      <c r="A205" s="19"/>
      <c r="B205" s="19"/>
      <c r="C205" s="19"/>
      <c r="D205" s="19"/>
      <c r="E205" s="20"/>
      <c r="F205" s="19"/>
      <c r="G205" s="19"/>
      <c r="H205" s="20"/>
    </row>
    <row r="206" spans="1:8" ht="13.15">
      <c r="A206" s="19"/>
      <c r="B206" s="19"/>
      <c r="C206" s="19"/>
      <c r="D206" s="19"/>
      <c r="E206" s="20"/>
      <c r="F206" s="19"/>
      <c r="G206" s="19"/>
      <c r="H206" s="20"/>
    </row>
    <row r="207" spans="1:8" ht="13.15">
      <c r="A207" s="19"/>
      <c r="B207" s="19"/>
      <c r="C207" s="19"/>
      <c r="D207" s="19"/>
      <c r="E207" s="20"/>
      <c r="F207" s="19"/>
      <c r="G207" s="19"/>
      <c r="H207" s="20"/>
    </row>
    <row r="208" spans="1:8" ht="13.15">
      <c r="A208" s="19"/>
      <c r="B208" s="19"/>
      <c r="C208" s="19"/>
      <c r="D208" s="19"/>
      <c r="E208" s="20"/>
      <c r="F208" s="19"/>
      <c r="G208" s="19"/>
      <c r="H208" s="20"/>
    </row>
    <row r="209" spans="1:8" ht="13.15">
      <c r="A209" s="19"/>
      <c r="B209" s="19"/>
      <c r="C209" s="19"/>
      <c r="D209" s="19"/>
      <c r="E209" s="20"/>
      <c r="F209" s="19"/>
      <c r="G209" s="19"/>
      <c r="H209" s="20"/>
    </row>
    <row r="210" spans="1:8" ht="13.15">
      <c r="A210" s="19"/>
      <c r="B210" s="19"/>
      <c r="C210" s="19"/>
      <c r="D210" s="19"/>
      <c r="E210" s="20"/>
      <c r="F210" s="19"/>
      <c r="G210" s="19"/>
      <c r="H210" s="20"/>
    </row>
    <row r="211" spans="1:8" ht="13.15">
      <c r="A211" s="19"/>
      <c r="B211" s="19"/>
      <c r="C211" s="19"/>
      <c r="D211" s="19"/>
      <c r="E211" s="20"/>
      <c r="F211" s="19"/>
      <c r="G211" s="19"/>
      <c r="H211" s="20"/>
    </row>
    <row r="212" spans="1:8" ht="13.15">
      <c r="A212" s="19"/>
      <c r="B212" s="19"/>
      <c r="C212" s="19"/>
      <c r="D212" s="19"/>
      <c r="E212" s="20"/>
      <c r="F212" s="19"/>
      <c r="G212" s="19"/>
      <c r="H212" s="20"/>
    </row>
    <row r="213" spans="1:8" ht="13.15">
      <c r="A213" s="19"/>
      <c r="B213" s="19"/>
      <c r="C213" s="19"/>
      <c r="D213" s="19"/>
      <c r="E213" s="20"/>
      <c r="F213" s="19"/>
      <c r="G213" s="19"/>
      <c r="H213" s="20"/>
    </row>
    <row r="214" spans="1:8" ht="13.15">
      <c r="A214" s="19"/>
      <c r="B214" s="19"/>
      <c r="C214" s="19"/>
      <c r="D214" s="19"/>
      <c r="E214" s="20"/>
      <c r="F214" s="19"/>
      <c r="G214" s="19"/>
      <c r="H214" s="20"/>
    </row>
    <row r="215" spans="1:8" ht="13.15">
      <c r="A215" s="19"/>
      <c r="B215" s="19"/>
      <c r="C215" s="19"/>
      <c r="D215" s="19"/>
      <c r="E215" s="20"/>
      <c r="F215" s="19"/>
      <c r="G215" s="19"/>
      <c r="H215" s="20"/>
    </row>
    <row r="216" spans="1:8" ht="13.15">
      <c r="A216" s="19"/>
      <c r="B216" s="19"/>
      <c r="C216" s="19"/>
      <c r="D216" s="19"/>
      <c r="E216" s="20"/>
      <c r="F216" s="19"/>
      <c r="G216" s="19"/>
      <c r="H216" s="20"/>
    </row>
    <row r="217" spans="1:8" ht="13.15">
      <c r="A217" s="19"/>
      <c r="B217" s="19"/>
      <c r="C217" s="19"/>
      <c r="D217" s="19"/>
      <c r="E217" s="20"/>
      <c r="F217" s="19"/>
      <c r="G217" s="19"/>
      <c r="H217" s="20"/>
    </row>
    <row r="218" spans="1:8" ht="13.15">
      <c r="A218" s="19"/>
      <c r="B218" s="19"/>
      <c r="C218" s="19"/>
      <c r="D218" s="19"/>
      <c r="E218" s="20"/>
      <c r="F218" s="19"/>
      <c r="G218" s="19"/>
      <c r="H218" s="20"/>
    </row>
    <row r="219" spans="1:8" ht="13.15">
      <c r="A219" s="19"/>
      <c r="B219" s="19"/>
      <c r="C219" s="19"/>
      <c r="D219" s="19"/>
      <c r="E219" s="20"/>
      <c r="F219" s="19"/>
      <c r="G219" s="19"/>
      <c r="H219" s="20"/>
    </row>
    <row r="220" spans="1:8" ht="13.15">
      <c r="A220" s="19"/>
      <c r="B220" s="19"/>
      <c r="C220" s="19"/>
      <c r="D220" s="19"/>
      <c r="E220" s="20"/>
      <c r="F220" s="19"/>
      <c r="G220" s="19"/>
      <c r="H220" s="20"/>
    </row>
    <row r="221" spans="1:8" ht="13.15">
      <c r="A221" s="19"/>
      <c r="B221" s="19"/>
      <c r="C221" s="19"/>
      <c r="D221" s="19"/>
      <c r="E221" s="20"/>
      <c r="F221" s="19"/>
      <c r="G221" s="19"/>
      <c r="H221" s="20"/>
    </row>
    <row r="222" spans="1:8" ht="13.15">
      <c r="A222" s="19"/>
      <c r="B222" s="19"/>
      <c r="C222" s="19"/>
      <c r="D222" s="19"/>
      <c r="E222" s="20"/>
      <c r="F222" s="19"/>
      <c r="G222" s="19"/>
      <c r="H222" s="20"/>
    </row>
    <row r="223" spans="1:8" ht="13.15">
      <c r="A223" s="19"/>
      <c r="B223" s="19"/>
      <c r="C223" s="19"/>
      <c r="D223" s="19"/>
      <c r="E223" s="20"/>
      <c r="F223" s="19"/>
      <c r="G223" s="19"/>
      <c r="H223" s="20"/>
    </row>
    <row r="224" spans="1:8" ht="13.15">
      <c r="A224" s="19"/>
      <c r="B224" s="19"/>
      <c r="C224" s="19"/>
      <c r="D224" s="19"/>
      <c r="E224" s="20"/>
      <c r="F224" s="19"/>
      <c r="G224" s="19"/>
      <c r="H224" s="20"/>
    </row>
    <row r="225" spans="1:8" ht="13.15">
      <c r="A225" s="19"/>
      <c r="B225" s="19"/>
      <c r="C225" s="19"/>
      <c r="D225" s="19"/>
      <c r="E225" s="20"/>
      <c r="F225" s="19"/>
      <c r="G225" s="19"/>
      <c r="H225" s="20"/>
    </row>
    <row r="226" spans="1:8" ht="13.15">
      <c r="A226" s="19"/>
      <c r="B226" s="19"/>
      <c r="C226" s="19"/>
      <c r="D226" s="19"/>
      <c r="E226" s="20"/>
      <c r="F226" s="19"/>
      <c r="G226" s="19"/>
      <c r="H226" s="20"/>
    </row>
    <row r="227" spans="1:8" ht="13.15">
      <c r="A227" s="19"/>
      <c r="B227" s="19"/>
      <c r="C227" s="19"/>
      <c r="D227" s="19"/>
      <c r="E227" s="20"/>
      <c r="F227" s="19"/>
      <c r="G227" s="19"/>
      <c r="H227" s="20"/>
    </row>
    <row r="228" spans="1:8" ht="13.15">
      <c r="A228" s="19"/>
      <c r="B228" s="19"/>
      <c r="C228" s="19"/>
      <c r="D228" s="19"/>
      <c r="E228" s="20"/>
      <c r="F228" s="19"/>
      <c r="G228" s="19"/>
      <c r="H228" s="20"/>
    </row>
    <row r="229" spans="1:8" ht="13.15">
      <c r="A229" s="19"/>
      <c r="B229" s="19"/>
      <c r="C229" s="19"/>
      <c r="D229" s="19"/>
      <c r="E229" s="20"/>
      <c r="F229" s="19"/>
      <c r="G229" s="19"/>
      <c r="H229" s="20"/>
    </row>
    <row r="230" spans="1:8" ht="13.15">
      <c r="A230" s="19"/>
      <c r="B230" s="19"/>
      <c r="C230" s="19"/>
      <c r="D230" s="19"/>
      <c r="E230" s="20"/>
      <c r="F230" s="19"/>
      <c r="G230" s="19"/>
      <c r="H230" s="20"/>
    </row>
    <row r="231" spans="1:8" ht="13.15">
      <c r="A231" s="19"/>
      <c r="B231" s="19"/>
      <c r="C231" s="19"/>
      <c r="D231" s="19"/>
      <c r="E231" s="20"/>
      <c r="F231" s="19"/>
      <c r="G231" s="19"/>
      <c r="H231" s="20"/>
    </row>
    <row r="232" spans="1:8" ht="13.15">
      <c r="A232" s="19"/>
      <c r="B232" s="19"/>
      <c r="C232" s="19"/>
      <c r="D232" s="19"/>
      <c r="E232" s="20"/>
      <c r="F232" s="19"/>
      <c r="G232" s="19"/>
      <c r="H232" s="20"/>
    </row>
    <row r="233" spans="1:8" ht="13.15">
      <c r="A233" s="19"/>
      <c r="B233" s="19"/>
      <c r="C233" s="19"/>
      <c r="D233" s="19"/>
      <c r="E233" s="20"/>
      <c r="F233" s="19"/>
      <c r="G233" s="19"/>
      <c r="H233" s="20"/>
    </row>
    <row r="234" spans="1:8" ht="13.15">
      <c r="A234" s="19"/>
      <c r="B234" s="19"/>
      <c r="C234" s="19"/>
      <c r="D234" s="19"/>
      <c r="E234" s="20"/>
      <c r="F234" s="19"/>
      <c r="G234" s="19"/>
      <c r="H234" s="20"/>
    </row>
    <row r="235" spans="1:8" ht="13.15">
      <c r="A235" s="19"/>
      <c r="B235" s="19"/>
      <c r="C235" s="19"/>
      <c r="D235" s="19"/>
      <c r="E235" s="20"/>
      <c r="F235" s="19"/>
      <c r="G235" s="19"/>
      <c r="H235" s="20"/>
    </row>
    <row r="236" spans="1:8" ht="13.15">
      <c r="A236" s="19"/>
      <c r="B236" s="19"/>
      <c r="C236" s="19"/>
      <c r="D236" s="19"/>
      <c r="E236" s="20"/>
      <c r="F236" s="19"/>
      <c r="G236" s="19"/>
      <c r="H236" s="20"/>
    </row>
    <row r="237" spans="1:8" ht="13.15">
      <c r="A237" s="19"/>
      <c r="B237" s="19"/>
      <c r="C237" s="19"/>
      <c r="D237" s="19"/>
      <c r="E237" s="20"/>
      <c r="F237" s="19"/>
      <c r="G237" s="19"/>
      <c r="H237" s="20"/>
    </row>
    <row r="238" spans="1:8" ht="13.15">
      <c r="A238" s="19"/>
      <c r="B238" s="19"/>
      <c r="C238" s="19"/>
      <c r="D238" s="19"/>
      <c r="E238" s="20"/>
      <c r="F238" s="19"/>
      <c r="G238" s="19"/>
      <c r="H238" s="20"/>
    </row>
    <row r="239" spans="1:8" ht="13.15">
      <c r="A239" s="19"/>
      <c r="B239" s="19"/>
      <c r="C239" s="19"/>
      <c r="D239" s="19"/>
      <c r="E239" s="20"/>
      <c r="F239" s="19"/>
      <c r="G239" s="19"/>
      <c r="H239" s="20"/>
    </row>
    <row r="240" spans="1:8" ht="13.15">
      <c r="A240" s="19"/>
      <c r="B240" s="19"/>
      <c r="C240" s="19"/>
      <c r="D240" s="19"/>
      <c r="E240" s="20"/>
      <c r="F240" s="19"/>
      <c r="G240" s="19"/>
      <c r="H240" s="20"/>
    </row>
    <row r="241" spans="1:8" ht="13.15">
      <c r="A241" s="19"/>
      <c r="B241" s="19"/>
      <c r="C241" s="19"/>
      <c r="D241" s="19"/>
      <c r="E241" s="20"/>
      <c r="F241" s="19"/>
      <c r="G241" s="19"/>
      <c r="H241" s="20"/>
    </row>
    <row r="242" spans="1:8" ht="13.15">
      <c r="A242" s="19"/>
      <c r="B242" s="19"/>
      <c r="C242" s="19"/>
      <c r="D242" s="19"/>
      <c r="E242" s="20"/>
      <c r="F242" s="19"/>
      <c r="G242" s="19"/>
      <c r="H242" s="20"/>
    </row>
    <row r="243" spans="1:8" ht="13.15">
      <c r="A243" s="19"/>
      <c r="B243" s="19"/>
      <c r="C243" s="19"/>
      <c r="D243" s="19"/>
      <c r="E243" s="20"/>
      <c r="F243" s="19"/>
      <c r="G243" s="19"/>
      <c r="H243" s="20"/>
    </row>
    <row r="244" spans="1:8" ht="13.15">
      <c r="A244" s="19"/>
      <c r="B244" s="19"/>
      <c r="C244" s="19"/>
      <c r="D244" s="19"/>
      <c r="E244" s="20"/>
      <c r="F244" s="19"/>
      <c r="G244" s="19"/>
      <c r="H244" s="20"/>
    </row>
    <row r="245" spans="1:8" ht="13.15">
      <c r="A245" s="19"/>
      <c r="B245" s="19"/>
      <c r="C245" s="19"/>
      <c r="D245" s="19"/>
      <c r="E245" s="20"/>
      <c r="F245" s="19"/>
      <c r="G245" s="19"/>
      <c r="H245" s="20"/>
    </row>
    <row r="246" spans="1:8" ht="13.15">
      <c r="A246" s="19"/>
      <c r="B246" s="19"/>
      <c r="C246" s="19"/>
      <c r="D246" s="19"/>
      <c r="E246" s="20"/>
      <c r="F246" s="19"/>
      <c r="G246" s="19"/>
      <c r="H246" s="20"/>
    </row>
    <row r="247" spans="1:8" ht="13.15">
      <c r="A247" s="19"/>
      <c r="B247" s="19"/>
      <c r="C247" s="19"/>
      <c r="D247" s="19"/>
      <c r="E247" s="20"/>
      <c r="F247" s="19"/>
      <c r="G247" s="19"/>
      <c r="H247" s="20"/>
    </row>
    <row r="248" spans="1:8" ht="13.15">
      <c r="A248" s="19"/>
      <c r="B248" s="19"/>
      <c r="C248" s="19"/>
      <c r="D248" s="19"/>
      <c r="E248" s="20"/>
      <c r="F248" s="19"/>
      <c r="G248" s="19"/>
      <c r="H248" s="20"/>
    </row>
    <row r="249" spans="1:8" ht="13.15">
      <c r="A249" s="19"/>
      <c r="B249" s="19"/>
      <c r="C249" s="19"/>
      <c r="D249" s="19"/>
      <c r="E249" s="20"/>
      <c r="F249" s="19"/>
      <c r="G249" s="19"/>
      <c r="H249" s="20"/>
    </row>
    <row r="250" spans="1:8" ht="13.15">
      <c r="A250" s="19"/>
      <c r="B250" s="19"/>
      <c r="C250" s="19"/>
      <c r="D250" s="19"/>
      <c r="E250" s="20"/>
      <c r="F250" s="19"/>
      <c r="G250" s="19"/>
      <c r="H250" s="20"/>
    </row>
    <row r="251" spans="1:8" ht="13.15">
      <c r="A251" s="19"/>
      <c r="B251" s="19"/>
      <c r="C251" s="19"/>
      <c r="D251" s="19"/>
      <c r="E251" s="20"/>
      <c r="F251" s="19"/>
      <c r="G251" s="19"/>
      <c r="H251" s="20"/>
    </row>
    <row r="252" spans="1:8" ht="13.15">
      <c r="A252" s="19"/>
      <c r="B252" s="19"/>
      <c r="C252" s="19"/>
      <c r="D252" s="19"/>
      <c r="E252" s="20"/>
      <c r="F252" s="19"/>
      <c r="G252" s="19"/>
      <c r="H252" s="20"/>
    </row>
    <row r="253" spans="1:8" ht="13.15">
      <c r="A253" s="19"/>
      <c r="B253" s="19"/>
      <c r="C253" s="19"/>
      <c r="D253" s="19"/>
      <c r="E253" s="20"/>
      <c r="F253" s="19"/>
      <c r="G253" s="19"/>
      <c r="H253" s="20"/>
    </row>
    <row r="254" spans="1:8" ht="13.15">
      <c r="A254" s="19"/>
      <c r="B254" s="19"/>
      <c r="C254" s="19"/>
      <c r="D254" s="19"/>
      <c r="E254" s="20"/>
      <c r="F254" s="19"/>
      <c r="G254" s="19"/>
      <c r="H254" s="20"/>
    </row>
    <row r="255" spans="1:8" ht="13.15">
      <c r="A255" s="19"/>
      <c r="B255" s="19"/>
      <c r="C255" s="19"/>
      <c r="D255" s="19"/>
      <c r="E255" s="20"/>
      <c r="F255" s="19"/>
      <c r="G255" s="19"/>
      <c r="H255" s="20"/>
    </row>
    <row r="256" spans="1:8" ht="13.15">
      <c r="A256" s="19"/>
      <c r="B256" s="19"/>
      <c r="C256" s="19"/>
      <c r="D256" s="19"/>
      <c r="E256" s="20"/>
      <c r="F256" s="19"/>
      <c r="G256" s="19"/>
      <c r="H256" s="20"/>
    </row>
    <row r="257" spans="1:8" ht="13.15">
      <c r="A257" s="19"/>
      <c r="B257" s="19"/>
      <c r="C257" s="19"/>
      <c r="D257" s="19"/>
      <c r="E257" s="20"/>
      <c r="F257" s="19"/>
      <c r="G257" s="19"/>
      <c r="H257" s="20"/>
    </row>
    <row r="258" spans="1:8" ht="13.15">
      <c r="A258" s="19"/>
      <c r="B258" s="19"/>
      <c r="C258" s="19"/>
      <c r="D258" s="19"/>
      <c r="E258" s="20"/>
      <c r="F258" s="19"/>
      <c r="G258" s="19"/>
      <c r="H258" s="20"/>
    </row>
    <row r="259" spans="1:8" ht="13.15">
      <c r="A259" s="19"/>
      <c r="B259" s="19"/>
      <c r="C259" s="19"/>
      <c r="D259" s="19"/>
      <c r="E259" s="20"/>
      <c r="F259" s="19"/>
      <c r="G259" s="19"/>
      <c r="H259" s="20"/>
    </row>
    <row r="260" spans="1:8" ht="13.15">
      <c r="A260" s="19"/>
      <c r="B260" s="19"/>
      <c r="C260" s="19"/>
      <c r="D260" s="19"/>
      <c r="E260" s="20"/>
      <c r="F260" s="19"/>
      <c r="G260" s="19"/>
      <c r="H260" s="20"/>
    </row>
    <row r="261" spans="1:8" ht="13.15">
      <c r="A261" s="19"/>
      <c r="B261" s="19"/>
      <c r="C261" s="19"/>
      <c r="D261" s="19"/>
      <c r="E261" s="20"/>
      <c r="F261" s="19"/>
      <c r="G261" s="19"/>
      <c r="H261" s="20"/>
    </row>
    <row r="262" spans="1:8" ht="13.15">
      <c r="A262" s="19"/>
      <c r="B262" s="19"/>
      <c r="C262" s="19"/>
      <c r="D262" s="19"/>
      <c r="E262" s="20"/>
      <c r="F262" s="19"/>
      <c r="G262" s="19"/>
      <c r="H262" s="20"/>
    </row>
    <row r="263" spans="1:8" ht="13.15">
      <c r="A263" s="19"/>
      <c r="B263" s="19"/>
      <c r="C263" s="19"/>
      <c r="D263" s="19"/>
      <c r="E263" s="20"/>
      <c r="F263" s="19"/>
      <c r="G263" s="19"/>
      <c r="H263" s="20"/>
    </row>
    <row r="264" spans="1:8" ht="13.15">
      <c r="A264" s="19"/>
      <c r="B264" s="19"/>
      <c r="C264" s="19"/>
      <c r="D264" s="19"/>
      <c r="E264" s="20"/>
      <c r="F264" s="19"/>
      <c r="G264" s="19"/>
      <c r="H264" s="20"/>
    </row>
    <row r="265" spans="1:8" ht="13.15">
      <c r="A265" s="19"/>
      <c r="B265" s="19"/>
      <c r="C265" s="19"/>
      <c r="D265" s="19"/>
      <c r="E265" s="20"/>
      <c r="F265" s="19"/>
      <c r="G265" s="19"/>
      <c r="H265" s="20"/>
    </row>
    <row r="266" spans="1:8" ht="13.15">
      <c r="A266" s="19"/>
      <c r="B266" s="19"/>
      <c r="C266" s="19"/>
      <c r="D266" s="19"/>
      <c r="E266" s="20"/>
      <c r="F266" s="19"/>
      <c r="G266" s="19"/>
      <c r="H266" s="20"/>
    </row>
    <row r="267" spans="1:8" ht="13.15">
      <c r="A267" s="19"/>
      <c r="B267" s="19"/>
      <c r="C267" s="19"/>
      <c r="D267" s="19"/>
      <c r="E267" s="20"/>
      <c r="F267" s="19"/>
      <c r="G267" s="19"/>
      <c r="H267" s="20"/>
    </row>
    <row r="268" spans="1:8" ht="13.15">
      <c r="A268" s="19"/>
      <c r="B268" s="19"/>
      <c r="C268" s="19"/>
      <c r="D268" s="19"/>
      <c r="E268" s="20"/>
      <c r="F268" s="19"/>
      <c r="G268" s="19"/>
      <c r="H268" s="20"/>
    </row>
    <row r="269" spans="1:8" ht="13.15">
      <c r="A269" s="19"/>
      <c r="B269" s="19"/>
      <c r="C269" s="19"/>
      <c r="D269" s="19"/>
      <c r="E269" s="20"/>
      <c r="F269" s="19"/>
      <c r="G269" s="19"/>
      <c r="H269" s="20"/>
    </row>
    <row r="270" spans="1:8" ht="13.15">
      <c r="A270" s="19"/>
      <c r="B270" s="19"/>
      <c r="C270" s="19"/>
      <c r="D270" s="19"/>
      <c r="E270" s="20"/>
      <c r="F270" s="19"/>
      <c r="G270" s="19"/>
      <c r="H270" s="20"/>
    </row>
    <row r="271" spans="1:8" ht="13.15">
      <c r="A271" s="19"/>
      <c r="B271" s="19"/>
      <c r="C271" s="19"/>
      <c r="D271" s="19"/>
      <c r="E271" s="20"/>
      <c r="F271" s="19"/>
      <c r="G271" s="19"/>
      <c r="H271" s="20"/>
    </row>
    <row r="272" spans="1:8" ht="13.15">
      <c r="A272" s="19"/>
      <c r="B272" s="19"/>
      <c r="C272" s="19"/>
      <c r="D272" s="19"/>
      <c r="E272" s="20"/>
      <c r="F272" s="19"/>
      <c r="G272" s="19"/>
      <c r="H272" s="20"/>
    </row>
    <row r="273" spans="1:8" ht="13.15">
      <c r="A273" s="19"/>
      <c r="B273" s="19"/>
      <c r="C273" s="19"/>
      <c r="D273" s="19"/>
      <c r="E273" s="20"/>
      <c r="F273" s="19"/>
      <c r="G273" s="19"/>
      <c r="H273" s="20"/>
    </row>
    <row r="274" spans="1:8" ht="13.15">
      <c r="A274" s="19"/>
      <c r="B274" s="19"/>
      <c r="C274" s="19"/>
      <c r="D274" s="19"/>
      <c r="E274" s="20"/>
      <c r="F274" s="19"/>
      <c r="G274" s="19"/>
      <c r="H274" s="20"/>
    </row>
    <row r="275" spans="1:8" ht="13.15">
      <c r="A275" s="19"/>
      <c r="B275" s="19"/>
      <c r="C275" s="19"/>
      <c r="D275" s="19"/>
      <c r="E275" s="20"/>
      <c r="F275" s="19"/>
      <c r="G275" s="19"/>
      <c r="H275" s="20"/>
    </row>
    <row r="276" spans="1:8" ht="13.15">
      <c r="A276" s="19"/>
      <c r="B276" s="19"/>
      <c r="C276" s="19"/>
      <c r="D276" s="19"/>
      <c r="E276" s="20"/>
      <c r="F276" s="19"/>
      <c r="G276" s="19"/>
      <c r="H276" s="20"/>
    </row>
    <row r="277" spans="1:8" ht="13.15">
      <c r="A277" s="19"/>
      <c r="B277" s="19"/>
      <c r="C277" s="19"/>
      <c r="D277" s="19"/>
      <c r="E277" s="20"/>
      <c r="F277" s="19"/>
      <c r="G277" s="19"/>
      <c r="H277" s="20"/>
    </row>
    <row r="278" spans="1:8" ht="13.15">
      <c r="A278" s="19"/>
      <c r="B278" s="19"/>
      <c r="C278" s="19"/>
      <c r="D278" s="19"/>
      <c r="E278" s="20"/>
      <c r="F278" s="19"/>
      <c r="G278" s="19"/>
      <c r="H278" s="20"/>
    </row>
    <row r="279" spans="1:8" ht="13.15">
      <c r="A279" s="19"/>
      <c r="B279" s="19"/>
      <c r="C279" s="19"/>
      <c r="D279" s="19"/>
      <c r="E279" s="20"/>
      <c r="F279" s="19"/>
      <c r="G279" s="19"/>
      <c r="H279" s="20"/>
    </row>
    <row r="280" spans="1:8" ht="13.15">
      <c r="A280" s="19"/>
      <c r="B280" s="19"/>
      <c r="C280" s="19"/>
      <c r="D280" s="19"/>
      <c r="E280" s="20"/>
      <c r="F280" s="19"/>
      <c r="G280" s="19"/>
      <c r="H280" s="20"/>
    </row>
    <row r="281" spans="1:8" ht="13.15">
      <c r="A281" s="19"/>
      <c r="B281" s="19"/>
      <c r="C281" s="19"/>
      <c r="D281" s="19"/>
      <c r="E281" s="20"/>
      <c r="F281" s="19"/>
      <c r="G281" s="19"/>
      <c r="H281" s="20"/>
    </row>
    <row r="282" spans="1:8" ht="13.15">
      <c r="A282" s="19"/>
      <c r="B282" s="19"/>
      <c r="C282" s="19"/>
      <c r="D282" s="19"/>
      <c r="E282" s="20"/>
      <c r="F282" s="19"/>
      <c r="G282" s="19"/>
      <c r="H282" s="20"/>
    </row>
    <row r="283" spans="1:8" ht="13.15">
      <c r="A283" s="19"/>
      <c r="B283" s="19"/>
      <c r="C283" s="19"/>
      <c r="D283" s="19"/>
      <c r="E283" s="20"/>
      <c r="F283" s="19"/>
      <c r="G283" s="19"/>
      <c r="H283" s="20"/>
    </row>
    <row r="284" spans="1:8" ht="13.15">
      <c r="A284" s="19"/>
      <c r="B284" s="19"/>
      <c r="C284" s="19"/>
      <c r="D284" s="19"/>
      <c r="E284" s="20"/>
      <c r="F284" s="19"/>
      <c r="G284" s="19"/>
      <c r="H284" s="20"/>
    </row>
    <row r="285" spans="1:8" ht="13.15">
      <c r="A285" s="19"/>
      <c r="B285" s="19"/>
      <c r="C285" s="19"/>
      <c r="D285" s="19"/>
      <c r="E285" s="20"/>
      <c r="F285" s="19"/>
      <c r="G285" s="19"/>
      <c r="H285" s="20"/>
    </row>
    <row r="286" spans="1:8" ht="13.15">
      <c r="A286" s="19"/>
      <c r="B286" s="19"/>
      <c r="C286" s="19"/>
      <c r="D286" s="19"/>
      <c r="E286" s="20"/>
      <c r="F286" s="19"/>
      <c r="G286" s="19"/>
      <c r="H286" s="20"/>
    </row>
    <row r="287" spans="1:8" ht="13.15">
      <c r="A287" s="19"/>
      <c r="B287" s="19"/>
      <c r="C287" s="19"/>
      <c r="D287" s="19"/>
      <c r="E287" s="20"/>
      <c r="F287" s="19"/>
      <c r="G287" s="19"/>
      <c r="H287" s="20"/>
    </row>
    <row r="288" spans="1:8" ht="13.15">
      <c r="A288" s="19"/>
      <c r="B288" s="19"/>
      <c r="C288" s="19"/>
      <c r="D288" s="19"/>
      <c r="E288" s="20"/>
      <c r="F288" s="19"/>
      <c r="G288" s="19"/>
      <c r="H288" s="20"/>
    </row>
    <row r="289" spans="1:8" ht="13.15">
      <c r="A289" s="19"/>
      <c r="B289" s="19"/>
      <c r="C289" s="19"/>
      <c r="D289" s="19"/>
      <c r="E289" s="20"/>
      <c r="F289" s="19"/>
      <c r="G289" s="19"/>
      <c r="H289" s="20"/>
    </row>
    <row r="290" spans="1:8" ht="13.15">
      <c r="A290" s="19"/>
      <c r="B290" s="19"/>
      <c r="C290" s="19"/>
      <c r="D290" s="19"/>
      <c r="E290" s="20"/>
      <c r="F290" s="19"/>
      <c r="G290" s="19"/>
      <c r="H290" s="20"/>
    </row>
    <row r="291" spans="1:8" ht="13.15">
      <c r="A291" s="19"/>
      <c r="B291" s="19"/>
      <c r="C291" s="19"/>
      <c r="D291" s="19"/>
      <c r="E291" s="20"/>
      <c r="F291" s="19"/>
      <c r="G291" s="19"/>
      <c r="H291" s="20"/>
    </row>
    <row r="292" spans="1:8" ht="13.15">
      <c r="A292" s="19"/>
      <c r="B292" s="19"/>
      <c r="C292" s="19"/>
      <c r="D292" s="19"/>
      <c r="E292" s="20"/>
      <c r="F292" s="19"/>
      <c r="G292" s="19"/>
      <c r="H292" s="20"/>
    </row>
    <row r="293" spans="1:8" ht="13.15">
      <c r="A293" s="19"/>
      <c r="B293" s="19"/>
      <c r="C293" s="19"/>
      <c r="D293" s="19"/>
      <c r="E293" s="20"/>
      <c r="F293" s="19"/>
      <c r="G293" s="19"/>
      <c r="H293" s="20"/>
    </row>
    <row r="294" spans="1:8" ht="13.15">
      <c r="A294" s="19"/>
      <c r="B294" s="19"/>
      <c r="C294" s="19"/>
      <c r="D294" s="19"/>
      <c r="E294" s="20"/>
      <c r="F294" s="19"/>
      <c r="G294" s="19"/>
      <c r="H294" s="20"/>
    </row>
    <row r="295" spans="1:8" ht="13.15">
      <c r="A295" s="19"/>
      <c r="B295" s="19"/>
      <c r="C295" s="19"/>
      <c r="D295" s="19"/>
      <c r="E295" s="20"/>
      <c r="F295" s="19"/>
      <c r="G295" s="19"/>
      <c r="H295" s="20"/>
    </row>
    <row r="296" spans="1:8" ht="13.15">
      <c r="A296" s="19"/>
      <c r="B296" s="19"/>
      <c r="C296" s="19"/>
      <c r="D296" s="19"/>
      <c r="E296" s="20"/>
      <c r="F296" s="19"/>
      <c r="G296" s="19"/>
      <c r="H296" s="20"/>
    </row>
    <row r="297" spans="1:8" ht="13.15">
      <c r="A297" s="19"/>
      <c r="B297" s="19"/>
      <c r="C297" s="19"/>
      <c r="D297" s="19"/>
      <c r="E297" s="20"/>
      <c r="F297" s="19"/>
      <c r="G297" s="19"/>
      <c r="H297" s="20"/>
    </row>
    <row r="298" spans="1:8" ht="13.15">
      <c r="A298" s="19"/>
      <c r="B298" s="19"/>
      <c r="C298" s="19"/>
      <c r="D298" s="19"/>
      <c r="E298" s="20"/>
      <c r="F298" s="19"/>
      <c r="G298" s="19"/>
      <c r="H298" s="20"/>
    </row>
    <row r="299" spans="1:8" ht="13.15">
      <c r="A299" s="19"/>
      <c r="B299" s="19"/>
      <c r="C299" s="19"/>
      <c r="D299" s="19"/>
      <c r="E299" s="20"/>
      <c r="F299" s="19"/>
      <c r="G299" s="19"/>
      <c r="H299" s="20"/>
    </row>
    <row r="300" spans="1:8" ht="13.15">
      <c r="A300" s="19"/>
      <c r="B300" s="19"/>
      <c r="C300" s="19"/>
      <c r="D300" s="19"/>
      <c r="E300" s="20"/>
      <c r="F300" s="19"/>
      <c r="G300" s="19"/>
      <c r="H300" s="20"/>
    </row>
    <row r="301" spans="1:8" ht="13.15">
      <c r="A301" s="19"/>
      <c r="B301" s="19"/>
      <c r="C301" s="19"/>
      <c r="D301" s="19"/>
      <c r="E301" s="20"/>
      <c r="F301" s="19"/>
      <c r="G301" s="19"/>
      <c r="H301" s="20"/>
    </row>
    <row r="302" spans="1:8" ht="13.15">
      <c r="A302" s="19"/>
      <c r="B302" s="19"/>
      <c r="C302" s="19"/>
      <c r="D302" s="19"/>
      <c r="E302" s="20"/>
      <c r="F302" s="19"/>
      <c r="G302" s="19"/>
      <c r="H302" s="20"/>
    </row>
    <row r="303" spans="1:8" ht="13.15">
      <c r="A303" s="19"/>
      <c r="B303" s="19"/>
      <c r="C303" s="19"/>
      <c r="D303" s="19"/>
      <c r="E303" s="20"/>
      <c r="F303" s="19"/>
      <c r="G303" s="19"/>
      <c r="H303" s="20"/>
    </row>
    <row r="304" spans="1:8" ht="13.15">
      <c r="A304" s="19"/>
      <c r="B304" s="19"/>
      <c r="C304" s="19"/>
      <c r="D304" s="19"/>
      <c r="E304" s="20"/>
      <c r="F304" s="19"/>
      <c r="G304" s="19"/>
      <c r="H304" s="20"/>
    </row>
    <row r="305" spans="1:8" ht="13.15">
      <c r="A305" s="19"/>
      <c r="B305" s="19"/>
      <c r="C305" s="19"/>
      <c r="D305" s="19"/>
      <c r="E305" s="20"/>
      <c r="F305" s="19"/>
      <c r="G305" s="19"/>
      <c r="H305" s="20"/>
    </row>
    <row r="306" spans="1:8" ht="13.15">
      <c r="A306" s="19"/>
      <c r="B306" s="19"/>
      <c r="C306" s="19"/>
      <c r="D306" s="19"/>
      <c r="E306" s="20"/>
      <c r="F306" s="19"/>
      <c r="G306" s="19"/>
      <c r="H306" s="20"/>
    </row>
    <row r="307" spans="1:8" ht="13.15">
      <c r="A307" s="19"/>
      <c r="B307" s="19"/>
      <c r="C307" s="19"/>
      <c r="D307" s="19"/>
      <c r="E307" s="20"/>
      <c r="F307" s="19"/>
      <c r="G307" s="19"/>
      <c r="H307" s="20"/>
    </row>
    <row r="308" spans="1:8" ht="13.15">
      <c r="A308" s="19"/>
      <c r="B308" s="19"/>
      <c r="C308" s="19"/>
      <c r="D308" s="19"/>
      <c r="E308" s="20"/>
      <c r="F308" s="19"/>
      <c r="G308" s="19"/>
      <c r="H308" s="20"/>
    </row>
    <row r="309" spans="1:8" ht="13.15">
      <c r="A309" s="19"/>
      <c r="B309" s="19"/>
      <c r="C309" s="19"/>
      <c r="D309" s="19"/>
      <c r="E309" s="20"/>
      <c r="F309" s="19"/>
      <c r="G309" s="19"/>
      <c r="H309" s="20"/>
    </row>
    <row r="310" spans="1:8" ht="13.15">
      <c r="A310" s="19"/>
      <c r="B310" s="19"/>
      <c r="C310" s="19"/>
      <c r="D310" s="19"/>
      <c r="E310" s="20"/>
      <c r="F310" s="19"/>
      <c r="G310" s="19"/>
      <c r="H310" s="20"/>
    </row>
    <row r="311" spans="1:8" ht="13.15">
      <c r="A311" s="19"/>
      <c r="B311" s="19"/>
      <c r="C311" s="19"/>
      <c r="D311" s="19"/>
      <c r="E311" s="20"/>
      <c r="F311" s="19"/>
      <c r="G311" s="19"/>
      <c r="H311" s="20"/>
    </row>
    <row r="312" spans="1:8" ht="13.15">
      <c r="A312" s="19"/>
      <c r="B312" s="19"/>
      <c r="C312" s="19"/>
      <c r="D312" s="19"/>
      <c r="E312" s="20"/>
      <c r="F312" s="19"/>
      <c r="G312" s="19"/>
      <c r="H312" s="20"/>
    </row>
    <row r="313" spans="1:8" ht="13.15">
      <c r="A313" s="19"/>
      <c r="B313" s="19"/>
      <c r="C313" s="19"/>
      <c r="D313" s="19"/>
      <c r="E313" s="20"/>
      <c r="F313" s="19"/>
      <c r="G313" s="19"/>
      <c r="H313" s="20"/>
    </row>
    <row r="314" spans="1:8" ht="13.15">
      <c r="A314" s="19"/>
      <c r="B314" s="19"/>
      <c r="C314" s="19"/>
      <c r="D314" s="19"/>
      <c r="E314" s="20"/>
      <c r="F314" s="19"/>
      <c r="G314" s="19"/>
      <c r="H314" s="20"/>
    </row>
    <row r="315" spans="1:8" ht="13.15">
      <c r="A315" s="19"/>
      <c r="B315" s="19"/>
      <c r="C315" s="19"/>
      <c r="D315" s="19"/>
      <c r="E315" s="20"/>
      <c r="F315" s="19"/>
      <c r="G315" s="19"/>
      <c r="H315" s="20"/>
    </row>
    <row r="316" spans="1:8" ht="13.15">
      <c r="A316" s="19"/>
      <c r="B316" s="19"/>
      <c r="C316" s="19"/>
      <c r="D316" s="19"/>
      <c r="E316" s="20"/>
      <c r="F316" s="19"/>
      <c r="G316" s="19"/>
      <c r="H316" s="20"/>
    </row>
    <row r="317" spans="1:8" ht="13.15">
      <c r="A317" s="19"/>
      <c r="B317" s="19"/>
      <c r="C317" s="19"/>
      <c r="D317" s="19"/>
      <c r="E317" s="20"/>
      <c r="F317" s="19"/>
      <c r="G317" s="19"/>
      <c r="H317" s="20"/>
    </row>
    <row r="318" spans="1:8" ht="13.15">
      <c r="A318" s="19"/>
      <c r="B318" s="19"/>
      <c r="C318" s="19"/>
      <c r="D318" s="19"/>
      <c r="E318" s="20"/>
      <c r="F318" s="19"/>
      <c r="G318" s="19"/>
      <c r="H318" s="20"/>
    </row>
    <row r="319" spans="1:8" ht="13.15">
      <c r="A319" s="19"/>
      <c r="B319" s="19"/>
      <c r="C319" s="19"/>
      <c r="D319" s="19"/>
      <c r="E319" s="20"/>
      <c r="F319" s="19"/>
      <c r="G319" s="19"/>
      <c r="H319" s="20"/>
    </row>
    <row r="320" spans="1:8" ht="13.15">
      <c r="A320" s="19"/>
      <c r="B320" s="19"/>
      <c r="C320" s="19"/>
      <c r="D320" s="19"/>
      <c r="E320" s="20"/>
      <c r="F320" s="19"/>
      <c r="G320" s="19"/>
      <c r="H320" s="20"/>
    </row>
    <row r="321" spans="1:8" ht="13.15">
      <c r="A321" s="19"/>
      <c r="B321" s="19"/>
      <c r="C321" s="19"/>
      <c r="D321" s="19"/>
      <c r="E321" s="20"/>
      <c r="F321" s="19"/>
      <c r="G321" s="19"/>
      <c r="H321" s="20"/>
    </row>
    <row r="322" spans="1:8" ht="13.15">
      <c r="A322" s="19"/>
      <c r="B322" s="19"/>
      <c r="C322" s="19"/>
      <c r="D322" s="19"/>
      <c r="E322" s="20"/>
      <c r="F322" s="19"/>
      <c r="G322" s="19"/>
      <c r="H322" s="20"/>
    </row>
    <row r="323" spans="1:8" ht="13.15">
      <c r="A323" s="19"/>
      <c r="B323" s="19"/>
      <c r="C323" s="19"/>
      <c r="D323" s="19"/>
      <c r="E323" s="20"/>
      <c r="F323" s="19"/>
      <c r="G323" s="19"/>
      <c r="H323" s="20"/>
    </row>
    <row r="324" spans="1:8" ht="13.15">
      <c r="A324" s="19"/>
      <c r="B324" s="19"/>
      <c r="C324" s="19"/>
      <c r="D324" s="19"/>
      <c r="E324" s="20"/>
      <c r="F324" s="19"/>
      <c r="G324" s="19"/>
      <c r="H324" s="20"/>
    </row>
    <row r="325" spans="1:8" ht="13.15">
      <c r="A325" s="19"/>
      <c r="B325" s="19"/>
      <c r="C325" s="19"/>
      <c r="D325" s="19"/>
      <c r="E325" s="20"/>
      <c r="F325" s="19"/>
      <c r="G325" s="19"/>
      <c r="H325" s="20"/>
    </row>
    <row r="326" spans="1:8" ht="13.15">
      <c r="A326" s="19"/>
      <c r="B326" s="19"/>
      <c r="C326" s="19"/>
      <c r="D326" s="19"/>
      <c r="E326" s="20"/>
      <c r="F326" s="19"/>
      <c r="G326" s="19"/>
      <c r="H326" s="20"/>
    </row>
    <row r="327" spans="1:8" ht="13.15">
      <c r="A327" s="19"/>
      <c r="B327" s="19"/>
      <c r="C327" s="19"/>
      <c r="D327" s="19"/>
      <c r="E327" s="20"/>
      <c r="F327" s="19"/>
      <c r="G327" s="19"/>
      <c r="H327" s="20"/>
    </row>
    <row r="328" spans="1:8" ht="13.15">
      <c r="A328" s="19"/>
      <c r="B328" s="19"/>
      <c r="C328" s="19"/>
      <c r="D328" s="19"/>
      <c r="E328" s="20"/>
      <c r="F328" s="19"/>
      <c r="G328" s="19"/>
      <c r="H328" s="20"/>
    </row>
    <row r="329" spans="1:8" ht="13.15">
      <c r="A329" s="19"/>
      <c r="B329" s="19"/>
      <c r="C329" s="19"/>
      <c r="D329" s="19"/>
      <c r="E329" s="20"/>
      <c r="F329" s="19"/>
      <c r="G329" s="19"/>
      <c r="H329" s="20"/>
    </row>
    <row r="330" spans="1:8" ht="13.15">
      <c r="A330" s="19"/>
      <c r="B330" s="19"/>
      <c r="C330" s="19"/>
      <c r="D330" s="19"/>
      <c r="E330" s="20"/>
      <c r="F330" s="19"/>
      <c r="G330" s="19"/>
      <c r="H330" s="20"/>
    </row>
    <row r="331" spans="1:8" ht="13.15">
      <c r="A331" s="19"/>
      <c r="B331" s="19"/>
      <c r="C331" s="19"/>
      <c r="D331" s="19"/>
      <c r="E331" s="20"/>
      <c r="F331" s="19"/>
      <c r="G331" s="19"/>
      <c r="H331" s="20"/>
    </row>
    <row r="332" spans="1:8" ht="13.15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38" priority="1" stopIfTrue="1" operator="lessThanOrEqual">
      <formula>-0.1</formula>
    </cfRule>
    <cfRule type="expression" dxfId="37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74" t="str" cm="1">
        <f t="array" ref="A1">portfolio</f>
        <v>Wells Fargo</v>
      </c>
      <c r="B1" s="75"/>
      <c r="C1" s="76" t="s">
        <v>16</v>
      </c>
      <c r="D1" s="77"/>
      <c r="E1" s="78"/>
      <c r="F1" s="79" t="s">
        <v>17</v>
      </c>
      <c r="G1" s="80"/>
      <c r="H1" s="81"/>
    </row>
    <row r="2" spans="1:8" ht="19.5" customHeight="1">
      <c r="A2" s="42" t="s">
        <v>2</v>
      </c>
      <c r="B2" s="4">
        <f>SUM(B4:B90)</f>
        <v>1476085.2978533334</v>
      </c>
      <c r="C2" s="4">
        <f>SUM(C4:C90)</f>
        <v>1553629.45367</v>
      </c>
      <c r="D2" s="4">
        <f>B2-C2</f>
        <v>-77544.155816666549</v>
      </c>
      <c r="E2" s="5">
        <f>IFERROR(D2/C2, 0)</f>
        <v>-4.9911615432811807E-2</v>
      </c>
      <c r="F2" s="4">
        <f>SUM(F4:F90)</f>
        <v>1477232.1342</v>
      </c>
      <c r="G2" s="6">
        <f>B2-F2</f>
        <v>-1146.8363466665614</v>
      </c>
      <c r="H2" s="5">
        <f>IFERROR(G2/F2, 0)</f>
        <v>-7.7634132112055262E-4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4.25">
      <c r="A4" s="27" t="str" cm="1">
        <f t="array" ref="A4:A11">_xlfn.UNIQUE(Sites[State])</f>
        <v>CA</v>
      </c>
      <c r="B4" s="22">
        <f>SUM(SUMIF(_xlfn.ANCHORARRAY(Oct!$B$4), $A4, Oct!C$4:C$69), SUMIF(_xlfn.ANCHORARRAY(Nov!$B$4), $A4, Nov!C$4:C$69), SUMIF(_xlfn.ANCHORARRAY(Dec!$B$4), $A4, Dec!C$4:C$69))</f>
        <v>85619.751248290951</v>
      </c>
      <c r="C4" s="11">
        <f>SUM(SUMIF(_xlfn.ANCHORARRAY(Oct!$B$4), $A4, Oct!D$4:D$69), SUMIF(_xlfn.ANCHORARRAY(Nov!$B$4), $A4, Nov!D$4:D$69), SUMIF(_xlfn.ANCHORARRAY(Dec!$B$4), $A4, Dec!D$4:D$69))</f>
        <v>103797.283</v>
      </c>
      <c r="D4" s="11">
        <f>IF(AND(ISNUMBER(B4),ISNUMBER(C4)), B4-C4, "")</f>
        <v>-18177.531751709044</v>
      </c>
      <c r="E4" s="12">
        <f>IFERROR(D4/C4, "")</f>
        <v>-0.17512531374938828</v>
      </c>
      <c r="F4" s="13">
        <f>SUM(SUMIF(_xlfn.ANCHORARRAY(Oct!$B$4), $A4, Oct!G$4:G$69), SUMIF(_xlfn.ANCHORARRAY(Nov!$B$4), $A4, Nov!G$4:G$69), SUMIF(_xlfn.ANCHORARRAY(Dec!$B$4), $A4, Dec!G$4:G$69))</f>
        <v>108816.36500000001</v>
      </c>
      <c r="G4" s="13">
        <f>IF(AND(ISNUMBER(B4),ISNUMBER(F4)), B4-F4, "")</f>
        <v>-23196.613751709054</v>
      </c>
      <c r="H4" s="14">
        <f>IFERROR(G4/F4, "")</f>
        <v>-0.21317210652744237</v>
      </c>
    </row>
    <row r="5" spans="1:8" ht="14.25">
      <c r="A5" s="9" t="str">
        <v>CO</v>
      </c>
      <c r="B5" s="10">
        <f>SUM(SUMIF(_xlfn.ANCHORARRAY(Oct!$B$4), $A5, Oct!C$4:C$69), SUMIF(_xlfn.ANCHORARRAY(Nov!$B$4), $A5, Nov!C$4:C$69), SUMIF(_xlfn.ANCHORARRAY(Dec!$B$4), $A5, Dec!C$4:C$69))</f>
        <v>22447.394616402122</v>
      </c>
      <c r="C5" s="16">
        <f>SUM(SUMIF(_xlfn.ANCHORARRAY(Oct!$B$4), $A5, Oct!D$4:D$69), SUMIF(_xlfn.ANCHORARRAY(Nov!$B$4), $A5, Nov!D$4:D$69), SUMIF(_xlfn.ANCHORARRAY(Dec!$B$4), $A5, Dec!D$4:D$69))</f>
        <v>0</v>
      </c>
      <c r="D5" s="16">
        <f t="shared" ref="D5:D11" si="0">IF(AND(ISNUMBER(B5),ISNUMBER(C5)), B5-C5, "")</f>
        <v>22447.394616402122</v>
      </c>
      <c r="E5" s="17" t="str">
        <f>IFERROR(D5/C5, "")</f>
        <v/>
      </c>
      <c r="F5" s="16">
        <f>SUM(SUMIF(_xlfn.ANCHORARRAY(Oct!$B$4), $A5, Oct!G$4:G$69), SUMIF(_xlfn.ANCHORARRAY(Nov!$B$4), $A5, Nov!G$4:G$69), SUMIF(_xlfn.ANCHORARRAY(Dec!$B$4), $A5, Dec!G$4:G$69))</f>
        <v>21539.311000000002</v>
      </c>
      <c r="G5" s="16">
        <f>IF(AND(ISNUMBER(B5),ISNUMBER(F5)), B5-F5, "")</f>
        <v>908.08361640212024</v>
      </c>
      <c r="H5" s="17">
        <f>IFERROR(G5/F5, "")</f>
        <v>4.2159362312105535E-2</v>
      </c>
    </row>
    <row r="6" spans="1:8" ht="14.25">
      <c r="A6" s="8" t="str">
        <v>CT</v>
      </c>
      <c r="B6" s="22">
        <f>SUM(SUMIF(_xlfn.ANCHORARRAY(Oct!$B$4), $A6, Oct!C$4:C$69), SUMIF(_xlfn.ANCHORARRAY(Nov!$B$4), $A6, Nov!C$4:C$69), SUMIF(_xlfn.ANCHORARRAY(Dec!$B$4), $A6, Dec!C$4:C$69))</f>
        <v>1221.320624208169</v>
      </c>
      <c r="C6" s="11">
        <f>SUM(SUMIF(_xlfn.ANCHORARRAY(Oct!$B$4), $A6, Oct!D$4:D$69), SUMIF(_xlfn.ANCHORARRAY(Nov!$B$4), $A6, Nov!D$4:D$69), SUMIF(_xlfn.ANCHORARRAY(Dec!$B$4), $A6, Dec!D$4:D$69))</f>
        <v>622.49247000000003</v>
      </c>
      <c r="D6" s="11">
        <f t="shared" si="0"/>
        <v>598.82815420816894</v>
      </c>
      <c r="E6" s="12">
        <f t="shared" ref="E6:E11" si="1">IFERROR(D6/C6, "")</f>
        <v>0.96198457502332346</v>
      </c>
      <c r="F6" s="13">
        <f>SUM(SUMIF(_xlfn.ANCHORARRAY(Oct!$B$4), $A6, Oct!G$4:G$69), SUMIF(_xlfn.ANCHORARRAY(Nov!$B$4), $A6, Nov!G$4:G$69), SUMIF(_xlfn.ANCHORARRAY(Dec!$B$4), $A6, Dec!G$4:G$69))</f>
        <v>1321.7031000000002</v>
      </c>
      <c r="G6" s="13">
        <f t="shared" ref="G6:G11" si="2">IF(AND(ISNUMBER(B6),ISNUMBER(F6)), B6-F6, "")</f>
        <v>-100.38247579183121</v>
      </c>
      <c r="H6" s="14">
        <f t="shared" ref="H6:H11" si="3">IFERROR(G6/F6, "")</f>
        <v>-7.5949338237786684E-2</v>
      </c>
    </row>
    <row r="7" spans="1:8" ht="14.25">
      <c r="A7" s="9" t="str">
        <v>FL</v>
      </c>
      <c r="B7" s="10">
        <f>SUM(SUMIF(_xlfn.ANCHORARRAY(Oct!$B$4), $A7, Oct!C$4:C$69), SUMIF(_xlfn.ANCHORARRAY(Nov!$B$4), $A7, Nov!C$4:C$69), SUMIF(_xlfn.ANCHORARRAY(Dec!$B$4), $A7, Dec!C$4:C$69))</f>
        <v>2492.90023893118</v>
      </c>
      <c r="C7" s="16">
        <f>SUM(SUMIF(_xlfn.ANCHORARRAY(Oct!$B$4), $A7, Oct!D$4:D$69), SUMIF(_xlfn.ANCHORARRAY(Nov!$B$4), $A7, Nov!D$4:D$69), SUMIF(_xlfn.ANCHORARRAY(Dec!$B$4), $A7, Dec!D$4:D$69))</f>
        <v>2776.3939999999998</v>
      </c>
      <c r="D7" s="16">
        <f t="shared" si="0"/>
        <v>-283.49376106881982</v>
      </c>
      <c r="E7" s="17">
        <f t="shared" si="1"/>
        <v>-0.10210862041512114</v>
      </c>
      <c r="F7" s="16">
        <f>SUM(SUMIF(_xlfn.ANCHORARRAY(Oct!$B$4), $A7, Oct!G$4:G$69), SUMIF(_xlfn.ANCHORARRAY(Nov!$B$4), $A7, Nov!G$4:G$69), SUMIF(_xlfn.ANCHORARRAY(Dec!$B$4), $A7, Dec!G$4:G$69))</f>
        <v>4137</v>
      </c>
      <c r="G7" s="16">
        <f t="shared" si="2"/>
        <v>-1644.09976106882</v>
      </c>
      <c r="H7" s="17">
        <f t="shared" si="3"/>
        <v>-0.39741352696853277</v>
      </c>
    </row>
    <row r="8" spans="1:8" ht="12.75" customHeight="1">
      <c r="A8" s="8" t="str">
        <v>IA</v>
      </c>
      <c r="B8" s="22">
        <f>SUM(SUMIF(_xlfn.ANCHORARRAY(Oct!$B$4), $A8, Oct!C$4:C$69), SUMIF(_xlfn.ANCHORARRAY(Nov!$B$4), $A8, Nov!C$4:C$69), SUMIF(_xlfn.ANCHORARRAY(Dec!$B$4), $A8, Dec!C$4:C$69))</f>
        <v>281960.00000000099</v>
      </c>
      <c r="C8" s="11">
        <f>SUM(SUMIF(_xlfn.ANCHORARRAY(Oct!$B$4), $A8, Oct!D$4:D$69), SUMIF(_xlfn.ANCHORARRAY(Nov!$B$4), $A8, Nov!D$4:D$69), SUMIF(_xlfn.ANCHORARRAY(Dec!$B$4), $A8, Dec!D$4:D$69))</f>
        <v>295840.7</v>
      </c>
      <c r="D8" s="11">
        <f t="shared" si="0"/>
        <v>-13880.699999999022</v>
      </c>
      <c r="E8" s="12">
        <f t="shared" si="1"/>
        <v>-4.6919507694509317E-2</v>
      </c>
      <c r="F8" s="13">
        <f>SUM(SUMIF(_xlfn.ANCHORARRAY(Oct!$B$4), $A8, Oct!G$4:G$69), SUMIF(_xlfn.ANCHORARRAY(Nov!$B$4), $A8, Nov!G$4:G$69), SUMIF(_xlfn.ANCHORARRAY(Dec!$B$4), $A8, Dec!G$4:G$69))</f>
        <v>231912.72999999998</v>
      </c>
      <c r="G8" s="13">
        <f t="shared" si="2"/>
        <v>50047.270000001008</v>
      </c>
      <c r="H8" s="14">
        <f t="shared" si="3"/>
        <v>0.215802168341518</v>
      </c>
    </row>
    <row r="9" spans="1:8" ht="14.25">
      <c r="A9" s="9" t="str">
        <v>NC</v>
      </c>
      <c r="B9" s="10">
        <f>SUM(SUMIF(_xlfn.ANCHORARRAY(Oct!$B$4), $A9, Oct!C$4:C$69), SUMIF(_xlfn.ANCHORARRAY(Nov!$B$4), $A9, Nov!C$4:C$69), SUMIF(_xlfn.ANCHORARRAY(Dec!$B$4), $A9, Dec!C$4:C$69))</f>
        <v>324215.5</v>
      </c>
      <c r="C9" s="16">
        <f>SUM(SUMIF(_xlfn.ANCHORARRAY(Oct!$B$4), $A9, Oct!D$4:D$69), SUMIF(_xlfn.ANCHORARRAY(Nov!$B$4), $A9, Nov!D$4:D$69), SUMIF(_xlfn.ANCHORARRAY(Dec!$B$4), $A9, Dec!D$4:D$69))</f>
        <v>331785.36100000003</v>
      </c>
      <c r="D9" s="16">
        <f t="shared" si="0"/>
        <v>-7569.8610000000335</v>
      </c>
      <c r="E9" s="17">
        <f t="shared" si="1"/>
        <v>-2.2815536457619759E-2</v>
      </c>
      <c r="F9" s="16">
        <f>SUM(SUMIF(_xlfn.ANCHORARRAY(Oct!$B$4), $A9, Oct!G$4:G$69), SUMIF(_xlfn.ANCHORARRAY(Nov!$B$4), $A9, Nov!G$4:G$69), SUMIF(_xlfn.ANCHORARRAY(Dec!$B$4), $A9, Dec!G$4:G$69))</f>
        <v>314906.15000000002</v>
      </c>
      <c r="G9" s="16">
        <f t="shared" si="2"/>
        <v>9309.3499999999767</v>
      </c>
      <c r="H9" s="17">
        <f t="shared" si="3"/>
        <v>2.9562299751846623E-2</v>
      </c>
    </row>
    <row r="10" spans="1:8" ht="14.25">
      <c r="A10" s="8" t="str">
        <v>NJ</v>
      </c>
      <c r="B10" s="22">
        <f>SUM(SUMIF(_xlfn.ANCHORARRAY(Oct!$B$4), $A10, Oct!C$4:C$69), SUMIF(_xlfn.ANCHORARRAY(Nov!$B$4), $A10, Nov!C$4:C$69), SUMIF(_xlfn.ANCHORARRAY(Dec!$B$4), $A10, Dec!C$4:C$69))</f>
        <v>75672.278125500001</v>
      </c>
      <c r="C10" s="11">
        <f>SUM(SUMIF(_xlfn.ANCHORARRAY(Oct!$B$4), $A10, Oct!D$4:D$69), SUMIF(_xlfn.ANCHORARRAY(Nov!$B$4), $A10, Nov!D$4:D$69), SUMIF(_xlfn.ANCHORARRAY(Dec!$B$4), $A10, Dec!D$4:D$69))</f>
        <v>71746.787200000006</v>
      </c>
      <c r="D10" s="11">
        <f t="shared" si="0"/>
        <v>3925.4909254999948</v>
      </c>
      <c r="E10" s="12">
        <f t="shared" si="1"/>
        <v>5.4713124847770113E-2</v>
      </c>
      <c r="F10" s="13">
        <f>SUM(SUMIF(_xlfn.ANCHORARRAY(Oct!$B$4), $A10, Oct!G$4:G$69), SUMIF(_xlfn.ANCHORARRAY(Nov!$B$4), $A10, Nov!G$4:G$69), SUMIF(_xlfn.ANCHORARRAY(Dec!$B$4), $A10, Dec!G$4:G$69))</f>
        <v>70322.072100000005</v>
      </c>
      <c r="G10" s="13">
        <f t="shared" si="2"/>
        <v>5350.206025499996</v>
      </c>
      <c r="H10" s="14">
        <f t="shared" si="3"/>
        <v>7.608146156290517E-2</v>
      </c>
    </row>
    <row r="11" spans="1:8" ht="14.25">
      <c r="A11" s="9" t="str">
        <v>TX</v>
      </c>
      <c r="B11" s="10">
        <f>SUM(SUMIF(_xlfn.ANCHORARRAY(Oct!$B$4), $A11, Oct!C$4:C$69), SUMIF(_xlfn.ANCHORARRAY(Nov!$B$4), $A11, Nov!C$4:C$69), SUMIF(_xlfn.ANCHORARRAY(Dec!$B$4), $A11, Dec!C$4:C$69))</f>
        <v>682456.15300000005</v>
      </c>
      <c r="C11" s="16">
        <f>SUM(SUMIF(_xlfn.ANCHORARRAY(Oct!$B$4), $A11, Oct!D$4:D$69), SUMIF(_xlfn.ANCHORARRAY(Nov!$B$4), $A11, Nov!D$4:D$69), SUMIF(_xlfn.ANCHORARRAY(Dec!$B$4), $A11, Dec!D$4:D$69))</f>
        <v>747060.43599999987</v>
      </c>
      <c r="D11" s="16">
        <f t="shared" si="0"/>
        <v>-64604.282999999821</v>
      </c>
      <c r="E11" s="17">
        <f t="shared" si="1"/>
        <v>-8.647798743822091E-2</v>
      </c>
      <c r="F11" s="16">
        <f>SUM(SUMIF(_xlfn.ANCHORARRAY(Oct!$B$4), $A11, Oct!G$4:G$69), SUMIF(_xlfn.ANCHORARRAY(Nov!$B$4), $A11, Nov!G$4:G$69), SUMIF(_xlfn.ANCHORARRAY(Dec!$B$4), $A11, Dec!G$4:G$69))</f>
        <v>724276.80299999996</v>
      </c>
      <c r="G11" s="16">
        <f t="shared" si="2"/>
        <v>-41820.649999999907</v>
      </c>
      <c r="H11" s="17">
        <f t="shared" si="3"/>
        <v>-5.7741252828719836E-2</v>
      </c>
    </row>
    <row r="12" spans="1:8" ht="13.15">
      <c r="A12" s="19"/>
      <c r="B12" s="19"/>
      <c r="C12" s="19"/>
      <c r="D12" s="19"/>
      <c r="E12" s="19"/>
      <c r="F12" s="19"/>
      <c r="G12" s="19"/>
      <c r="H12" s="19"/>
    </row>
    <row r="13" spans="1:8" ht="13.15">
      <c r="A13" s="19"/>
      <c r="B13" s="19"/>
      <c r="C13" s="19"/>
      <c r="D13" s="19"/>
      <c r="E13" s="19"/>
      <c r="F13" s="19"/>
      <c r="G13" s="19"/>
      <c r="H13" s="19"/>
    </row>
    <row r="14" spans="1:8" ht="13.15">
      <c r="A14" s="19"/>
      <c r="B14" s="19"/>
      <c r="C14" s="19"/>
      <c r="D14" s="19"/>
      <c r="E14" s="19"/>
      <c r="F14" s="19"/>
      <c r="G14" s="19"/>
      <c r="H14" s="19"/>
    </row>
    <row r="15" spans="1:8" ht="13.15">
      <c r="A15" s="19"/>
      <c r="B15" s="19"/>
      <c r="C15" s="19"/>
      <c r="D15" s="19"/>
      <c r="E15" s="19"/>
      <c r="F15" s="19"/>
      <c r="G15" s="19"/>
      <c r="H15" s="19"/>
    </row>
    <row r="16" spans="1:8" ht="13.15">
      <c r="A16" s="19"/>
      <c r="B16" s="19"/>
      <c r="C16" s="19"/>
      <c r="D16" s="19"/>
      <c r="E16" s="19"/>
      <c r="F16" s="19"/>
      <c r="G16" s="19"/>
      <c r="H16" s="19"/>
    </row>
    <row r="17" spans="1:8" ht="13.15">
      <c r="A17" s="19"/>
      <c r="B17" s="19"/>
      <c r="C17" s="19"/>
      <c r="D17" s="19"/>
      <c r="E17" s="19"/>
      <c r="F17" s="19"/>
      <c r="G17" s="19"/>
      <c r="H17" s="19"/>
    </row>
    <row r="18" spans="1:8" ht="13.15">
      <c r="A18" s="19"/>
      <c r="B18" s="19"/>
      <c r="C18" s="19"/>
      <c r="D18" s="19"/>
      <c r="E18" s="19"/>
      <c r="F18" s="19"/>
      <c r="G18" s="19"/>
      <c r="H18" s="19"/>
    </row>
    <row r="19" spans="1:8" ht="13.15">
      <c r="A19" s="19"/>
      <c r="B19" s="19"/>
      <c r="C19" s="19"/>
      <c r="D19" s="19"/>
      <c r="E19" s="19"/>
      <c r="F19" s="19"/>
      <c r="G19" s="19"/>
      <c r="H19" s="19"/>
    </row>
    <row r="20" spans="1:8" ht="13.15">
      <c r="A20" s="19"/>
      <c r="B20" s="19"/>
      <c r="C20" s="19"/>
      <c r="D20" s="19"/>
      <c r="E20" s="19"/>
      <c r="F20" s="19"/>
      <c r="G20" s="19"/>
      <c r="H20" s="19"/>
    </row>
    <row r="21" spans="1:8" ht="13.15">
      <c r="A21" s="19"/>
      <c r="B21" s="19"/>
      <c r="C21" s="19"/>
      <c r="D21" s="19"/>
      <c r="E21" s="19"/>
      <c r="F21" s="19"/>
      <c r="G21" s="19"/>
      <c r="H21" s="19"/>
    </row>
    <row r="22" spans="1:8" ht="13.15">
      <c r="A22" s="19"/>
      <c r="B22" s="19"/>
      <c r="C22" s="19"/>
      <c r="D22" s="19"/>
      <c r="E22" s="19"/>
      <c r="F22" s="19"/>
      <c r="G22" s="19"/>
      <c r="H22" s="19"/>
    </row>
    <row r="23" spans="1:8" ht="13.15">
      <c r="A23" s="19"/>
      <c r="B23" s="19"/>
      <c r="C23" s="19"/>
      <c r="D23" s="19"/>
      <c r="E23" s="20"/>
      <c r="F23" s="19"/>
      <c r="G23" s="19"/>
      <c r="H23" s="20"/>
    </row>
    <row r="24" spans="1:8" ht="13.15">
      <c r="A24" s="19"/>
      <c r="B24" s="19"/>
      <c r="C24" s="19"/>
      <c r="D24" s="19"/>
      <c r="E24" s="20"/>
      <c r="F24" s="19"/>
      <c r="G24" s="19"/>
      <c r="H24" s="20"/>
    </row>
    <row r="25" spans="1:8" ht="13.15">
      <c r="A25" s="19"/>
      <c r="B25" s="19"/>
      <c r="C25" s="19"/>
      <c r="D25" s="19"/>
      <c r="E25" s="20"/>
      <c r="F25" s="19"/>
      <c r="G25" s="19"/>
      <c r="H25" s="20"/>
    </row>
    <row r="26" spans="1:8" ht="13.15">
      <c r="A26" s="19"/>
      <c r="B26" s="19"/>
      <c r="C26" s="19"/>
      <c r="D26" s="19"/>
      <c r="E26" s="20"/>
      <c r="F26" s="19"/>
      <c r="G26" s="19"/>
      <c r="H26" s="20"/>
    </row>
    <row r="27" spans="1:8" ht="13.15">
      <c r="A27" s="19"/>
      <c r="B27" s="19"/>
      <c r="C27" s="19"/>
      <c r="D27" s="19"/>
      <c r="E27" s="20"/>
      <c r="F27" s="19"/>
      <c r="G27" s="19"/>
      <c r="H27" s="20"/>
    </row>
    <row r="28" spans="1:8" ht="13.15">
      <c r="A28" s="19"/>
      <c r="B28" s="19"/>
      <c r="C28" s="19"/>
      <c r="D28" s="19"/>
      <c r="E28" s="20"/>
      <c r="F28" s="19"/>
      <c r="G28" s="19"/>
      <c r="H28" s="20"/>
    </row>
    <row r="29" spans="1:8" ht="13.15">
      <c r="A29" s="19"/>
      <c r="B29" s="19"/>
      <c r="C29" s="19"/>
      <c r="D29" s="19"/>
      <c r="E29" s="20"/>
      <c r="F29" s="19"/>
      <c r="G29" s="19"/>
      <c r="H29" s="20"/>
    </row>
    <row r="30" spans="1:8" ht="13.15">
      <c r="A30" s="19"/>
      <c r="B30" s="19"/>
      <c r="C30" s="19"/>
      <c r="D30" s="19"/>
      <c r="E30" s="20"/>
      <c r="F30" s="19"/>
      <c r="G30" s="19"/>
      <c r="H30" s="20"/>
    </row>
    <row r="31" spans="1:8" ht="13.15">
      <c r="A31" s="19"/>
      <c r="B31" s="19"/>
      <c r="C31" s="19"/>
      <c r="D31" s="19"/>
      <c r="E31" s="20"/>
      <c r="F31" s="19"/>
      <c r="G31" s="19"/>
      <c r="H31" s="20"/>
    </row>
    <row r="32" spans="1:8" ht="13.15">
      <c r="A32" s="19"/>
      <c r="B32" s="19"/>
      <c r="C32" s="19"/>
      <c r="D32" s="19"/>
      <c r="E32" s="20"/>
      <c r="F32" s="19"/>
      <c r="G32" s="19"/>
      <c r="H32" s="20"/>
    </row>
    <row r="33" spans="1:8" ht="13.15">
      <c r="A33" s="19"/>
      <c r="B33" s="19"/>
      <c r="C33" s="19"/>
      <c r="D33" s="19"/>
      <c r="E33" s="20"/>
      <c r="F33" s="19"/>
      <c r="G33" s="19"/>
      <c r="H33" s="20"/>
    </row>
    <row r="34" spans="1:8" ht="13.15">
      <c r="A34" s="19"/>
      <c r="B34" s="19"/>
      <c r="C34" s="19"/>
      <c r="D34" s="19"/>
      <c r="E34" s="20"/>
      <c r="F34" s="19"/>
      <c r="G34" s="19"/>
      <c r="H34" s="20"/>
    </row>
    <row r="35" spans="1:8" ht="13.15">
      <c r="A35" s="19"/>
      <c r="B35" s="19"/>
      <c r="C35" s="19"/>
      <c r="D35" s="19"/>
      <c r="E35" s="20"/>
      <c r="F35" s="19"/>
      <c r="G35" s="19"/>
      <c r="H35" s="20"/>
    </row>
    <row r="36" spans="1:8" ht="13.15">
      <c r="A36" s="19"/>
      <c r="B36" s="19"/>
      <c r="C36" s="19"/>
      <c r="D36" s="19"/>
      <c r="E36" s="20"/>
      <c r="F36" s="19"/>
      <c r="G36" s="19"/>
      <c r="H36" s="20"/>
    </row>
    <row r="37" spans="1:8" ht="13.15">
      <c r="A37" s="19"/>
      <c r="B37" s="19"/>
      <c r="C37" s="19"/>
      <c r="D37" s="19"/>
      <c r="E37" s="20"/>
      <c r="F37" s="19"/>
      <c r="G37" s="19"/>
      <c r="H37" s="20"/>
    </row>
    <row r="38" spans="1:8" ht="13.15">
      <c r="A38" s="19"/>
      <c r="B38" s="19"/>
      <c r="C38" s="19"/>
      <c r="D38" s="19"/>
      <c r="E38" s="20"/>
      <c r="F38" s="19"/>
      <c r="G38" s="19"/>
      <c r="H38" s="20"/>
    </row>
    <row r="39" spans="1:8" ht="13.15">
      <c r="A39" s="19"/>
      <c r="B39" s="19"/>
      <c r="C39" s="19"/>
      <c r="D39" s="19"/>
      <c r="E39" s="20"/>
      <c r="F39" s="19"/>
      <c r="G39" s="19"/>
      <c r="H39" s="20"/>
    </row>
    <row r="40" spans="1:8" ht="13.15">
      <c r="A40" s="19"/>
      <c r="B40" s="19"/>
      <c r="C40" s="19"/>
      <c r="D40" s="19"/>
      <c r="E40" s="20"/>
      <c r="F40" s="19"/>
      <c r="G40" s="19"/>
      <c r="H40" s="20"/>
    </row>
    <row r="41" spans="1:8" ht="13.15">
      <c r="A41" s="19"/>
      <c r="B41" s="19"/>
      <c r="C41" s="19"/>
      <c r="D41" s="19"/>
      <c r="E41" s="20"/>
      <c r="F41" s="19"/>
      <c r="G41" s="19"/>
      <c r="H41" s="20"/>
    </row>
    <row r="42" spans="1:8" ht="13.15">
      <c r="A42" s="19"/>
      <c r="B42" s="19"/>
      <c r="C42" s="19"/>
      <c r="D42" s="19"/>
      <c r="E42" s="20"/>
      <c r="F42" s="19"/>
      <c r="G42" s="19"/>
      <c r="H42" s="20"/>
    </row>
    <row r="43" spans="1:8" ht="13.15">
      <c r="A43" s="19"/>
      <c r="B43" s="19"/>
      <c r="C43" s="19"/>
      <c r="D43" s="19"/>
      <c r="E43" s="20"/>
      <c r="F43" s="19"/>
      <c r="G43" s="19"/>
      <c r="H43" s="20"/>
    </row>
    <row r="44" spans="1:8" ht="13.15">
      <c r="A44" s="19"/>
      <c r="B44" s="19"/>
      <c r="C44" s="19"/>
      <c r="D44" s="19"/>
      <c r="E44" s="20"/>
      <c r="F44" s="19"/>
      <c r="G44" s="19"/>
      <c r="H44" s="20"/>
    </row>
    <row r="45" spans="1:8" ht="13.15">
      <c r="A45" s="19"/>
      <c r="B45" s="19"/>
      <c r="C45" s="19"/>
      <c r="D45" s="19"/>
      <c r="E45" s="20"/>
      <c r="F45" s="19"/>
      <c r="G45" s="19"/>
      <c r="H45" s="20"/>
    </row>
    <row r="46" spans="1:8" ht="13.15">
      <c r="A46" s="19"/>
      <c r="B46" s="19"/>
      <c r="C46" s="19"/>
      <c r="D46" s="19"/>
      <c r="E46" s="20"/>
      <c r="F46" s="19"/>
      <c r="G46" s="19"/>
      <c r="H46" s="20"/>
    </row>
    <row r="47" spans="1:8" ht="13.15">
      <c r="A47" s="19"/>
      <c r="B47" s="19"/>
      <c r="C47" s="19"/>
      <c r="D47" s="19"/>
      <c r="E47" s="20"/>
      <c r="F47" s="19"/>
      <c r="G47" s="19"/>
      <c r="H47" s="20"/>
    </row>
    <row r="48" spans="1:8" ht="13.15">
      <c r="A48" s="19"/>
      <c r="B48" s="19"/>
      <c r="C48" s="19"/>
      <c r="D48" s="19"/>
      <c r="E48" s="20"/>
      <c r="F48" s="19"/>
      <c r="G48" s="19"/>
      <c r="H48" s="20"/>
    </row>
    <row r="49" spans="1:8" ht="13.15">
      <c r="A49" s="19"/>
      <c r="B49" s="19"/>
      <c r="C49" s="19"/>
      <c r="D49" s="19"/>
      <c r="E49" s="20"/>
      <c r="F49" s="19"/>
      <c r="G49" s="19"/>
      <c r="H49" s="20"/>
    </row>
    <row r="50" spans="1:8" ht="13.15">
      <c r="A50" s="19"/>
      <c r="B50" s="19"/>
      <c r="C50" s="19"/>
      <c r="D50" s="19"/>
      <c r="E50" s="20"/>
      <c r="F50" s="19"/>
      <c r="G50" s="19"/>
      <c r="H50" s="20"/>
    </row>
    <row r="51" spans="1:8" ht="13.15">
      <c r="A51" s="19"/>
      <c r="B51" s="19"/>
      <c r="C51" s="19"/>
      <c r="D51" s="19"/>
      <c r="E51" s="20"/>
      <c r="F51" s="19"/>
      <c r="G51" s="19"/>
      <c r="H51" s="20"/>
    </row>
    <row r="52" spans="1:8" ht="13.15">
      <c r="A52" s="19"/>
      <c r="B52" s="19"/>
      <c r="C52" s="19"/>
      <c r="D52" s="19"/>
      <c r="E52" s="20"/>
      <c r="F52" s="19"/>
      <c r="G52" s="19"/>
      <c r="H52" s="20"/>
    </row>
    <row r="53" spans="1:8" ht="13.15">
      <c r="A53" s="19"/>
      <c r="B53" s="19"/>
      <c r="C53" s="19"/>
      <c r="D53" s="19"/>
      <c r="E53" s="20"/>
      <c r="F53" s="19"/>
      <c r="G53" s="19"/>
      <c r="H53" s="20"/>
    </row>
    <row r="54" spans="1:8" ht="13.15">
      <c r="A54" s="19"/>
      <c r="B54" s="19"/>
      <c r="C54" s="19"/>
      <c r="D54" s="19"/>
      <c r="E54" s="20"/>
      <c r="F54" s="19"/>
      <c r="G54" s="19"/>
      <c r="H54" s="20"/>
    </row>
    <row r="55" spans="1:8" ht="13.15">
      <c r="A55" s="19"/>
      <c r="B55" s="19"/>
      <c r="C55" s="19"/>
      <c r="D55" s="19"/>
      <c r="E55" s="20"/>
      <c r="F55" s="19"/>
      <c r="G55" s="19"/>
      <c r="H55" s="20"/>
    </row>
    <row r="56" spans="1:8" ht="13.15">
      <c r="A56" s="19"/>
      <c r="B56" s="19"/>
      <c r="C56" s="19"/>
      <c r="D56" s="19"/>
      <c r="E56" s="20"/>
      <c r="F56" s="19"/>
      <c r="G56" s="19"/>
      <c r="H56" s="20"/>
    </row>
    <row r="57" spans="1:8" ht="13.15">
      <c r="A57" s="19"/>
      <c r="B57" s="19"/>
      <c r="C57" s="19"/>
      <c r="D57" s="19"/>
      <c r="E57" s="20"/>
      <c r="F57" s="19"/>
      <c r="G57" s="19"/>
      <c r="H57" s="20"/>
    </row>
    <row r="58" spans="1:8" ht="13.15">
      <c r="A58" s="19"/>
      <c r="B58" s="19"/>
      <c r="C58" s="19"/>
      <c r="D58" s="19"/>
      <c r="E58" s="20"/>
      <c r="F58" s="19"/>
      <c r="G58" s="19"/>
      <c r="H58" s="20"/>
    </row>
    <row r="59" spans="1:8" ht="13.15">
      <c r="A59" s="19"/>
      <c r="B59" s="19"/>
      <c r="C59" s="19"/>
      <c r="D59" s="19"/>
      <c r="E59" s="20"/>
      <c r="F59" s="19"/>
      <c r="G59" s="19"/>
      <c r="H59" s="20"/>
    </row>
    <row r="60" spans="1:8" ht="13.15">
      <c r="A60" s="19"/>
      <c r="B60" s="19"/>
      <c r="C60" s="19"/>
      <c r="D60" s="19"/>
      <c r="E60" s="20"/>
      <c r="F60" s="19"/>
      <c r="G60" s="19"/>
      <c r="H60" s="20"/>
    </row>
    <row r="61" spans="1:8" ht="13.15">
      <c r="A61" s="19"/>
      <c r="B61" s="19"/>
      <c r="C61" s="19"/>
      <c r="D61" s="19"/>
      <c r="E61" s="20"/>
      <c r="F61" s="19"/>
      <c r="G61" s="19"/>
      <c r="H61" s="20"/>
    </row>
    <row r="62" spans="1:8" ht="13.15">
      <c r="A62" s="19"/>
      <c r="B62" s="19"/>
      <c r="C62" s="19"/>
      <c r="D62" s="19"/>
      <c r="E62" s="20"/>
      <c r="F62" s="19"/>
      <c r="G62" s="19"/>
      <c r="H62" s="20"/>
    </row>
    <row r="63" spans="1:8" ht="13.15">
      <c r="A63" s="19"/>
      <c r="B63" s="19"/>
      <c r="C63" s="19"/>
      <c r="D63" s="19"/>
      <c r="E63" s="20"/>
      <c r="F63" s="19"/>
      <c r="G63" s="19"/>
      <c r="H63" s="20"/>
    </row>
    <row r="64" spans="1:8" ht="13.15">
      <c r="A64" s="19"/>
      <c r="B64" s="19"/>
      <c r="C64" s="19"/>
      <c r="D64" s="19"/>
      <c r="E64" s="20"/>
      <c r="F64" s="19"/>
      <c r="G64" s="19"/>
      <c r="H64" s="20"/>
    </row>
    <row r="65" spans="1:8" ht="13.15">
      <c r="A65" s="19"/>
      <c r="B65" s="19"/>
      <c r="C65" s="19"/>
      <c r="D65" s="19"/>
      <c r="E65" s="20"/>
      <c r="F65" s="19"/>
      <c r="G65" s="19"/>
      <c r="H65" s="20"/>
    </row>
    <row r="66" spans="1:8" ht="13.15">
      <c r="A66" s="19"/>
      <c r="B66" s="19"/>
      <c r="C66" s="19"/>
      <c r="D66" s="19"/>
      <c r="E66" s="20"/>
      <c r="F66" s="19"/>
      <c r="G66" s="19"/>
      <c r="H66" s="20"/>
    </row>
    <row r="67" spans="1:8" ht="13.15">
      <c r="A67" s="19"/>
      <c r="B67" s="19"/>
      <c r="C67" s="19"/>
      <c r="D67" s="19"/>
      <c r="E67" s="20"/>
      <c r="F67" s="19"/>
      <c r="G67" s="19"/>
      <c r="H67" s="20"/>
    </row>
    <row r="68" spans="1:8" ht="13.15">
      <c r="A68" s="19"/>
      <c r="B68" s="19"/>
      <c r="C68" s="19"/>
      <c r="D68" s="19"/>
      <c r="E68" s="20"/>
      <c r="F68" s="19"/>
      <c r="G68" s="19"/>
      <c r="H68" s="20"/>
    </row>
    <row r="69" spans="1:8" ht="13.15">
      <c r="A69" s="19"/>
      <c r="B69" s="19"/>
      <c r="C69" s="19"/>
      <c r="D69" s="19"/>
      <c r="E69" s="20"/>
      <c r="F69" s="19"/>
      <c r="G69" s="19"/>
      <c r="H69" s="20"/>
    </row>
    <row r="70" spans="1:8" ht="13.15">
      <c r="A70" s="19"/>
      <c r="B70" s="19"/>
      <c r="C70" s="19"/>
      <c r="D70" s="19"/>
      <c r="E70" s="20"/>
      <c r="F70" s="19"/>
      <c r="G70" s="19"/>
      <c r="H70" s="20"/>
    </row>
    <row r="71" spans="1:8" ht="13.15">
      <c r="A71" s="19"/>
      <c r="B71" s="19"/>
      <c r="C71" s="19"/>
      <c r="D71" s="19"/>
      <c r="E71" s="20"/>
      <c r="F71" s="19"/>
      <c r="G71" s="19"/>
      <c r="H71" s="20"/>
    </row>
    <row r="72" spans="1:8" ht="13.15">
      <c r="A72" s="19"/>
      <c r="B72" s="19"/>
      <c r="C72" s="19"/>
      <c r="D72" s="19"/>
      <c r="E72" s="20"/>
      <c r="F72" s="19"/>
      <c r="G72" s="19"/>
      <c r="H72" s="20"/>
    </row>
    <row r="73" spans="1:8" ht="13.15">
      <c r="A73" s="19"/>
      <c r="B73" s="19"/>
      <c r="C73" s="19"/>
      <c r="D73" s="19"/>
      <c r="E73" s="20"/>
      <c r="F73" s="19"/>
      <c r="G73" s="19"/>
      <c r="H73" s="20"/>
    </row>
    <row r="74" spans="1:8" ht="13.15">
      <c r="A74" s="19"/>
      <c r="B74" s="19"/>
      <c r="C74" s="19"/>
      <c r="D74" s="19"/>
      <c r="E74" s="20"/>
      <c r="F74" s="19"/>
      <c r="G74" s="19"/>
      <c r="H74" s="20"/>
    </row>
    <row r="75" spans="1:8" ht="13.15">
      <c r="A75" s="19"/>
      <c r="B75" s="19"/>
      <c r="C75" s="19"/>
      <c r="D75" s="19"/>
      <c r="E75" s="20"/>
      <c r="F75" s="19"/>
      <c r="G75" s="19"/>
      <c r="H75" s="20"/>
    </row>
    <row r="76" spans="1:8" ht="13.15">
      <c r="A76" s="19"/>
      <c r="B76" s="19"/>
      <c r="C76" s="19"/>
      <c r="D76" s="19"/>
      <c r="E76" s="20"/>
      <c r="F76" s="19"/>
      <c r="G76" s="19"/>
      <c r="H76" s="20"/>
    </row>
    <row r="77" spans="1:8" ht="13.15">
      <c r="A77" s="19"/>
      <c r="B77" s="19"/>
      <c r="C77" s="19"/>
      <c r="D77" s="19"/>
      <c r="E77" s="20"/>
      <c r="F77" s="19"/>
      <c r="G77" s="19"/>
      <c r="H77" s="20"/>
    </row>
    <row r="78" spans="1:8" ht="13.15">
      <c r="A78" s="19"/>
      <c r="B78" s="19"/>
      <c r="C78" s="19"/>
      <c r="D78" s="19"/>
      <c r="E78" s="20"/>
      <c r="F78" s="19"/>
      <c r="G78" s="19"/>
      <c r="H78" s="20"/>
    </row>
    <row r="79" spans="1:8" ht="13.15">
      <c r="A79" s="19"/>
      <c r="B79" s="19"/>
      <c r="C79" s="19"/>
      <c r="D79" s="19"/>
      <c r="E79" s="20"/>
      <c r="F79" s="19"/>
      <c r="G79" s="19"/>
      <c r="H79" s="20"/>
    </row>
    <row r="80" spans="1:8" ht="13.15">
      <c r="A80" s="19"/>
      <c r="B80" s="19"/>
      <c r="C80" s="19"/>
      <c r="D80" s="19"/>
      <c r="E80" s="20"/>
      <c r="F80" s="19"/>
      <c r="G80" s="19"/>
      <c r="H80" s="20"/>
    </row>
    <row r="81" spans="1:8" ht="13.15">
      <c r="A81" s="19"/>
      <c r="B81" s="19"/>
      <c r="C81" s="19"/>
      <c r="D81" s="19"/>
      <c r="E81" s="20"/>
      <c r="F81" s="19"/>
      <c r="G81" s="19"/>
      <c r="H81" s="20"/>
    </row>
    <row r="82" spans="1:8" ht="13.15">
      <c r="A82" s="19"/>
      <c r="B82" s="19"/>
      <c r="C82" s="19"/>
      <c r="D82" s="19"/>
      <c r="E82" s="20"/>
      <c r="F82" s="19"/>
      <c r="G82" s="19"/>
      <c r="H82" s="20"/>
    </row>
    <row r="83" spans="1:8" ht="13.15">
      <c r="A83" s="19"/>
      <c r="B83" s="19"/>
      <c r="C83" s="19"/>
      <c r="D83" s="19"/>
      <c r="E83" s="20"/>
      <c r="F83" s="19"/>
      <c r="G83" s="19"/>
      <c r="H83" s="20"/>
    </row>
    <row r="84" spans="1:8" ht="13.15">
      <c r="A84" s="19"/>
      <c r="B84" s="19"/>
      <c r="C84" s="19"/>
      <c r="D84" s="19"/>
      <c r="E84" s="20"/>
      <c r="F84" s="19"/>
      <c r="G84" s="19"/>
      <c r="H84" s="20"/>
    </row>
    <row r="85" spans="1:8" ht="13.15">
      <c r="A85" s="19"/>
      <c r="B85" s="19"/>
      <c r="C85" s="19"/>
      <c r="D85" s="19"/>
      <c r="E85" s="20"/>
      <c r="F85" s="19"/>
      <c r="G85" s="19"/>
      <c r="H85" s="20"/>
    </row>
    <row r="86" spans="1:8" ht="13.15">
      <c r="A86" s="19"/>
      <c r="B86" s="19"/>
      <c r="C86" s="19"/>
      <c r="D86" s="19"/>
      <c r="E86" s="20"/>
      <c r="F86" s="19"/>
      <c r="G86" s="19"/>
      <c r="H86" s="20"/>
    </row>
    <row r="87" spans="1:8" ht="13.15">
      <c r="A87" s="19"/>
      <c r="B87" s="19"/>
      <c r="C87" s="19"/>
      <c r="D87" s="19"/>
      <c r="E87" s="20"/>
      <c r="F87" s="19"/>
      <c r="G87" s="19"/>
      <c r="H87" s="20"/>
    </row>
    <row r="88" spans="1:8" ht="13.15">
      <c r="A88" s="19"/>
      <c r="B88" s="19"/>
      <c r="C88" s="19"/>
      <c r="D88" s="19"/>
      <c r="E88" s="20"/>
      <c r="F88" s="19"/>
      <c r="G88" s="19"/>
      <c r="H88" s="20"/>
    </row>
    <row r="89" spans="1:8" ht="13.15">
      <c r="A89" s="19"/>
      <c r="B89" s="19"/>
      <c r="C89" s="19"/>
      <c r="D89" s="19"/>
      <c r="E89" s="20"/>
      <c r="F89" s="19"/>
      <c r="G89" s="19"/>
      <c r="H89" s="20"/>
    </row>
    <row r="90" spans="1:8" ht="13.15">
      <c r="A90" s="19"/>
      <c r="B90" s="19"/>
      <c r="C90" s="19"/>
      <c r="D90" s="19"/>
      <c r="E90" s="20"/>
      <c r="F90" s="19"/>
      <c r="G90" s="19"/>
      <c r="H90" s="20"/>
    </row>
    <row r="91" spans="1:8" ht="13.15">
      <c r="A91" s="19"/>
      <c r="B91" s="19"/>
      <c r="C91" s="19"/>
      <c r="D91" s="19"/>
      <c r="E91" s="20"/>
      <c r="F91" s="19"/>
      <c r="G91" s="19"/>
      <c r="H91" s="20"/>
    </row>
    <row r="92" spans="1:8" ht="13.15">
      <c r="A92" s="19"/>
      <c r="B92" s="19"/>
      <c r="C92" s="19"/>
      <c r="D92" s="19"/>
      <c r="E92" s="20"/>
      <c r="F92" s="19"/>
      <c r="G92" s="19"/>
      <c r="H92" s="20"/>
    </row>
    <row r="93" spans="1:8" ht="13.15">
      <c r="A93" s="19"/>
      <c r="B93" s="19"/>
      <c r="C93" s="19"/>
      <c r="D93" s="19"/>
      <c r="E93" s="20"/>
      <c r="F93" s="19"/>
      <c r="G93" s="19"/>
      <c r="H93" s="20"/>
    </row>
    <row r="94" spans="1:8" ht="13.15">
      <c r="A94" s="19"/>
      <c r="B94" s="19"/>
      <c r="C94" s="19"/>
      <c r="D94" s="19"/>
      <c r="E94" s="20"/>
      <c r="F94" s="19"/>
      <c r="G94" s="19"/>
      <c r="H94" s="20"/>
    </row>
    <row r="95" spans="1:8" ht="13.15">
      <c r="A95" s="19"/>
      <c r="B95" s="19"/>
      <c r="C95" s="19"/>
      <c r="D95" s="19"/>
      <c r="E95" s="20"/>
      <c r="F95" s="19"/>
      <c r="G95" s="19"/>
      <c r="H95" s="20"/>
    </row>
    <row r="96" spans="1:8" ht="13.15">
      <c r="A96" s="19"/>
      <c r="B96" s="19"/>
      <c r="C96" s="19"/>
      <c r="D96" s="19"/>
      <c r="E96" s="20"/>
      <c r="F96" s="19"/>
      <c r="G96" s="19"/>
      <c r="H96" s="20"/>
    </row>
    <row r="97" spans="1:8" ht="13.15">
      <c r="A97" s="19"/>
      <c r="B97" s="19"/>
      <c r="C97" s="19"/>
      <c r="D97" s="19"/>
      <c r="E97" s="20"/>
      <c r="F97" s="19"/>
      <c r="G97" s="19"/>
      <c r="H97" s="20"/>
    </row>
    <row r="98" spans="1:8" ht="13.15">
      <c r="A98" s="19"/>
      <c r="B98" s="19"/>
      <c r="C98" s="19"/>
      <c r="D98" s="19"/>
      <c r="E98" s="20"/>
      <c r="F98" s="19"/>
      <c r="G98" s="19"/>
      <c r="H98" s="20"/>
    </row>
    <row r="99" spans="1:8" ht="13.15">
      <c r="A99" s="19"/>
      <c r="B99" s="19"/>
      <c r="C99" s="19"/>
      <c r="D99" s="19"/>
      <c r="E99" s="20"/>
      <c r="F99" s="19"/>
      <c r="G99" s="19"/>
      <c r="H99" s="20"/>
    </row>
    <row r="100" spans="1:8" ht="13.15">
      <c r="A100" s="19"/>
      <c r="B100" s="19"/>
      <c r="C100" s="19"/>
      <c r="D100" s="19"/>
      <c r="E100" s="20"/>
      <c r="F100" s="19"/>
      <c r="G100" s="19"/>
      <c r="H100" s="20"/>
    </row>
    <row r="101" spans="1:8" ht="13.15">
      <c r="A101" s="19"/>
      <c r="B101" s="19"/>
      <c r="C101" s="19"/>
      <c r="D101" s="19"/>
      <c r="E101" s="20"/>
      <c r="F101" s="19"/>
      <c r="G101" s="19"/>
      <c r="H101" s="20"/>
    </row>
    <row r="102" spans="1:8" ht="13.15">
      <c r="A102" s="19"/>
      <c r="B102" s="19"/>
      <c r="C102" s="19"/>
      <c r="D102" s="19"/>
      <c r="E102" s="20"/>
      <c r="F102" s="19"/>
      <c r="G102" s="19"/>
      <c r="H102" s="20"/>
    </row>
    <row r="103" spans="1:8" ht="13.15">
      <c r="A103" s="19"/>
      <c r="B103" s="19"/>
      <c r="C103" s="19"/>
      <c r="D103" s="19"/>
      <c r="E103" s="20"/>
      <c r="F103" s="19"/>
      <c r="G103" s="19"/>
      <c r="H103" s="20"/>
    </row>
    <row r="104" spans="1:8" ht="13.15">
      <c r="A104" s="19"/>
      <c r="B104" s="19"/>
      <c r="C104" s="19"/>
      <c r="D104" s="19"/>
      <c r="E104" s="20"/>
      <c r="F104" s="19"/>
      <c r="G104" s="19"/>
      <c r="H104" s="20"/>
    </row>
    <row r="105" spans="1:8" ht="13.15">
      <c r="A105" s="19"/>
      <c r="B105" s="19"/>
      <c r="C105" s="19"/>
      <c r="D105" s="19"/>
      <c r="E105" s="20"/>
      <c r="F105" s="19"/>
      <c r="G105" s="19"/>
      <c r="H105" s="20"/>
    </row>
    <row r="106" spans="1:8" ht="13.15">
      <c r="A106" s="19"/>
      <c r="B106" s="19"/>
      <c r="C106" s="19"/>
      <c r="D106" s="19"/>
      <c r="E106" s="20"/>
      <c r="F106" s="19"/>
      <c r="G106" s="19"/>
      <c r="H106" s="20"/>
    </row>
    <row r="107" spans="1:8" ht="13.15">
      <c r="A107" s="19"/>
      <c r="B107" s="19"/>
      <c r="C107" s="19"/>
      <c r="D107" s="19"/>
      <c r="E107" s="20"/>
      <c r="F107" s="19"/>
      <c r="G107" s="19"/>
      <c r="H107" s="20"/>
    </row>
    <row r="108" spans="1:8" ht="13.15">
      <c r="A108" s="19"/>
      <c r="B108" s="19"/>
      <c r="C108" s="19"/>
      <c r="D108" s="19"/>
      <c r="E108" s="20"/>
      <c r="F108" s="19"/>
      <c r="G108" s="19"/>
      <c r="H108" s="20"/>
    </row>
    <row r="109" spans="1:8" ht="13.15">
      <c r="A109" s="19"/>
      <c r="B109" s="19"/>
      <c r="C109" s="19"/>
      <c r="D109" s="19"/>
      <c r="E109" s="20"/>
      <c r="F109" s="19"/>
      <c r="G109" s="19"/>
      <c r="H109" s="20"/>
    </row>
    <row r="110" spans="1:8" ht="13.15">
      <c r="A110" s="19"/>
      <c r="B110" s="19"/>
      <c r="C110" s="19"/>
      <c r="D110" s="19"/>
      <c r="E110" s="20"/>
      <c r="F110" s="19"/>
      <c r="G110" s="19"/>
      <c r="H110" s="20"/>
    </row>
    <row r="111" spans="1:8" ht="13.15">
      <c r="A111" s="19"/>
      <c r="B111" s="19"/>
      <c r="C111" s="19"/>
      <c r="D111" s="19"/>
      <c r="E111" s="20"/>
      <c r="F111" s="19"/>
      <c r="G111" s="19"/>
      <c r="H111" s="20"/>
    </row>
    <row r="112" spans="1:8" ht="13.15">
      <c r="A112" s="19"/>
      <c r="B112" s="19"/>
      <c r="C112" s="19"/>
      <c r="D112" s="19"/>
      <c r="E112" s="20"/>
      <c r="F112" s="19"/>
      <c r="G112" s="19"/>
      <c r="H112" s="20"/>
    </row>
    <row r="113" spans="1:8" ht="13.15">
      <c r="A113" s="19"/>
      <c r="B113" s="19"/>
      <c r="C113" s="19"/>
      <c r="D113" s="19"/>
      <c r="E113" s="20"/>
      <c r="F113" s="19"/>
      <c r="G113" s="19"/>
      <c r="H113" s="20"/>
    </row>
    <row r="114" spans="1:8" ht="13.15">
      <c r="A114" s="19"/>
      <c r="B114" s="19"/>
      <c r="C114" s="19"/>
      <c r="D114" s="19"/>
      <c r="E114" s="20"/>
      <c r="F114" s="19"/>
      <c r="G114" s="19"/>
      <c r="H114" s="20"/>
    </row>
    <row r="115" spans="1:8" ht="13.15">
      <c r="A115" s="19"/>
      <c r="B115" s="19"/>
      <c r="C115" s="19"/>
      <c r="D115" s="19"/>
      <c r="E115" s="20"/>
      <c r="F115" s="19"/>
      <c r="G115" s="19"/>
      <c r="H115" s="20"/>
    </row>
    <row r="116" spans="1:8" ht="13.15">
      <c r="A116" s="19"/>
      <c r="B116" s="19"/>
      <c r="C116" s="19"/>
      <c r="D116" s="19"/>
      <c r="E116" s="20"/>
      <c r="F116" s="19"/>
      <c r="G116" s="19"/>
      <c r="H116" s="20"/>
    </row>
    <row r="117" spans="1:8" ht="13.15">
      <c r="A117" s="19"/>
      <c r="B117" s="19"/>
      <c r="C117" s="19"/>
      <c r="D117" s="19"/>
      <c r="E117" s="20"/>
      <c r="F117" s="19"/>
      <c r="G117" s="19"/>
      <c r="H117" s="20"/>
    </row>
    <row r="118" spans="1:8" ht="13.15">
      <c r="A118" s="19"/>
      <c r="B118" s="19"/>
      <c r="C118" s="19"/>
      <c r="D118" s="19"/>
      <c r="E118" s="20"/>
      <c r="F118" s="19"/>
      <c r="G118" s="19"/>
      <c r="H118" s="20"/>
    </row>
    <row r="119" spans="1:8" ht="13.15">
      <c r="A119" s="19"/>
      <c r="B119" s="19"/>
      <c r="C119" s="19"/>
      <c r="D119" s="19"/>
      <c r="E119" s="20"/>
      <c r="F119" s="19"/>
      <c r="G119" s="19"/>
      <c r="H119" s="20"/>
    </row>
    <row r="120" spans="1:8" ht="13.15">
      <c r="A120" s="19"/>
      <c r="B120" s="19"/>
      <c r="C120" s="19"/>
      <c r="D120" s="19"/>
      <c r="E120" s="20"/>
      <c r="F120" s="19"/>
      <c r="G120" s="19"/>
      <c r="H120" s="20"/>
    </row>
    <row r="121" spans="1:8" ht="13.15">
      <c r="A121" s="19"/>
      <c r="B121" s="19"/>
      <c r="C121" s="19"/>
      <c r="D121" s="19"/>
      <c r="E121" s="20"/>
      <c r="F121" s="19"/>
      <c r="G121" s="19"/>
      <c r="H121" s="20"/>
    </row>
    <row r="122" spans="1:8" ht="13.15">
      <c r="A122" s="19"/>
      <c r="B122" s="19"/>
      <c r="C122" s="19"/>
      <c r="D122" s="19"/>
      <c r="E122" s="20"/>
      <c r="F122" s="19"/>
      <c r="G122" s="19"/>
      <c r="H122" s="20"/>
    </row>
    <row r="123" spans="1:8" ht="13.15">
      <c r="A123" s="19"/>
      <c r="B123" s="19"/>
      <c r="C123" s="19"/>
      <c r="D123" s="19"/>
      <c r="E123" s="20"/>
      <c r="F123" s="19"/>
      <c r="G123" s="19"/>
      <c r="H123" s="20"/>
    </row>
    <row r="124" spans="1:8" ht="13.15">
      <c r="A124" s="19"/>
      <c r="B124" s="19"/>
      <c r="C124" s="19"/>
      <c r="D124" s="19"/>
      <c r="E124" s="20"/>
      <c r="F124" s="19"/>
      <c r="G124" s="19"/>
      <c r="H124" s="20"/>
    </row>
    <row r="125" spans="1:8" ht="13.15">
      <c r="A125" s="19"/>
      <c r="B125" s="19"/>
      <c r="C125" s="19"/>
      <c r="D125" s="19"/>
      <c r="E125" s="20"/>
      <c r="F125" s="19"/>
      <c r="G125" s="19"/>
      <c r="H125" s="20"/>
    </row>
    <row r="126" spans="1:8" ht="13.15">
      <c r="A126" s="19"/>
      <c r="B126" s="19"/>
      <c r="C126" s="19"/>
      <c r="D126" s="19"/>
      <c r="E126" s="20"/>
      <c r="F126" s="19"/>
      <c r="G126" s="19"/>
      <c r="H126" s="20"/>
    </row>
    <row r="127" spans="1:8" ht="13.15">
      <c r="A127" s="19"/>
      <c r="B127" s="19"/>
      <c r="C127" s="19"/>
      <c r="D127" s="19"/>
      <c r="E127" s="20"/>
      <c r="F127" s="19"/>
      <c r="G127" s="19"/>
      <c r="H127" s="20"/>
    </row>
    <row r="128" spans="1:8" ht="13.15">
      <c r="A128" s="19"/>
      <c r="B128" s="19"/>
      <c r="C128" s="19"/>
      <c r="D128" s="19"/>
      <c r="E128" s="20"/>
      <c r="F128" s="19"/>
      <c r="G128" s="19"/>
      <c r="H128" s="20"/>
    </row>
    <row r="129" spans="1:8" ht="13.15">
      <c r="A129" s="19"/>
      <c r="B129" s="19"/>
      <c r="C129" s="19"/>
      <c r="D129" s="19"/>
      <c r="E129" s="20"/>
      <c r="F129" s="19"/>
      <c r="G129" s="19"/>
      <c r="H129" s="20"/>
    </row>
    <row r="130" spans="1:8" ht="13.15">
      <c r="A130" s="19"/>
      <c r="B130" s="19"/>
      <c r="C130" s="19"/>
      <c r="D130" s="19"/>
      <c r="E130" s="20"/>
      <c r="F130" s="19"/>
      <c r="G130" s="19"/>
      <c r="H130" s="20"/>
    </row>
    <row r="131" spans="1:8" ht="13.15">
      <c r="A131" s="19"/>
      <c r="B131" s="19"/>
      <c r="C131" s="19"/>
      <c r="D131" s="19"/>
      <c r="E131" s="20"/>
      <c r="F131" s="19"/>
      <c r="G131" s="19"/>
      <c r="H131" s="20"/>
    </row>
    <row r="132" spans="1:8" ht="13.15">
      <c r="A132" s="19"/>
      <c r="B132" s="19"/>
      <c r="C132" s="19"/>
      <c r="D132" s="19"/>
      <c r="E132" s="20"/>
      <c r="F132" s="19"/>
      <c r="G132" s="19"/>
      <c r="H132" s="20"/>
    </row>
    <row r="133" spans="1:8" ht="13.15">
      <c r="A133" s="19"/>
      <c r="B133" s="19"/>
      <c r="C133" s="19"/>
      <c r="D133" s="19"/>
      <c r="E133" s="20"/>
      <c r="F133" s="19"/>
      <c r="G133" s="19"/>
      <c r="H133" s="20"/>
    </row>
    <row r="134" spans="1:8" ht="13.15">
      <c r="A134" s="19"/>
      <c r="B134" s="19"/>
      <c r="C134" s="19"/>
      <c r="D134" s="19"/>
      <c r="E134" s="20"/>
      <c r="F134" s="19"/>
      <c r="G134" s="19"/>
      <c r="H134" s="20"/>
    </row>
    <row r="135" spans="1:8" ht="13.15">
      <c r="A135" s="19"/>
      <c r="B135" s="19"/>
      <c r="C135" s="19"/>
      <c r="D135" s="19"/>
      <c r="E135" s="20"/>
      <c r="F135" s="19"/>
      <c r="G135" s="19"/>
      <c r="H135" s="20"/>
    </row>
    <row r="136" spans="1:8" ht="13.15">
      <c r="A136" s="19"/>
      <c r="B136" s="19"/>
      <c r="C136" s="19"/>
      <c r="D136" s="19"/>
      <c r="E136" s="20"/>
      <c r="F136" s="19"/>
      <c r="G136" s="19"/>
      <c r="H136" s="20"/>
    </row>
    <row r="137" spans="1:8" ht="13.15">
      <c r="A137" s="19"/>
      <c r="B137" s="19"/>
      <c r="C137" s="19"/>
      <c r="D137" s="19"/>
      <c r="E137" s="20"/>
      <c r="F137" s="19"/>
      <c r="G137" s="19"/>
      <c r="H137" s="20"/>
    </row>
    <row r="138" spans="1:8" ht="13.15">
      <c r="A138" s="19"/>
      <c r="B138" s="19"/>
      <c r="C138" s="19"/>
      <c r="D138" s="19"/>
      <c r="E138" s="20"/>
      <c r="F138" s="19"/>
      <c r="G138" s="19"/>
      <c r="H138" s="20"/>
    </row>
    <row r="139" spans="1:8" ht="13.15">
      <c r="A139" s="19"/>
      <c r="B139" s="19"/>
      <c r="C139" s="19"/>
      <c r="D139" s="19"/>
      <c r="E139" s="20"/>
      <c r="F139" s="19"/>
      <c r="G139" s="19"/>
      <c r="H139" s="20"/>
    </row>
    <row r="140" spans="1:8" ht="13.15">
      <c r="A140" s="19"/>
      <c r="B140" s="19"/>
      <c r="C140" s="19"/>
      <c r="D140" s="19"/>
      <c r="E140" s="20"/>
      <c r="F140" s="19"/>
      <c r="G140" s="19"/>
      <c r="H140" s="20"/>
    </row>
    <row r="141" spans="1:8" ht="13.15">
      <c r="A141" s="19"/>
      <c r="B141" s="19"/>
      <c r="C141" s="19"/>
      <c r="D141" s="19"/>
      <c r="E141" s="20"/>
      <c r="F141" s="19"/>
      <c r="G141" s="19"/>
      <c r="H141" s="20"/>
    </row>
    <row r="142" spans="1:8" ht="13.15">
      <c r="A142" s="19"/>
      <c r="B142" s="19"/>
      <c r="C142" s="19"/>
      <c r="D142" s="19"/>
      <c r="E142" s="20"/>
      <c r="F142" s="19"/>
      <c r="G142" s="19"/>
      <c r="H142" s="20"/>
    </row>
    <row r="143" spans="1:8" ht="13.15">
      <c r="A143" s="19"/>
      <c r="B143" s="19"/>
      <c r="C143" s="19"/>
      <c r="D143" s="19"/>
      <c r="E143" s="20"/>
      <c r="F143" s="19"/>
      <c r="G143" s="19"/>
      <c r="H143" s="20"/>
    </row>
    <row r="144" spans="1:8" ht="13.15">
      <c r="A144" s="19"/>
      <c r="B144" s="19"/>
      <c r="C144" s="19"/>
      <c r="D144" s="19"/>
      <c r="E144" s="20"/>
      <c r="F144" s="19"/>
      <c r="G144" s="19"/>
      <c r="H144" s="20"/>
    </row>
    <row r="145" spans="1:8" ht="13.15">
      <c r="A145" s="19"/>
      <c r="B145" s="19"/>
      <c r="C145" s="19"/>
      <c r="D145" s="19"/>
      <c r="E145" s="20"/>
      <c r="F145" s="19"/>
      <c r="G145" s="19"/>
      <c r="H145" s="20"/>
    </row>
    <row r="146" spans="1:8" ht="13.15">
      <c r="A146" s="19"/>
      <c r="B146" s="19"/>
      <c r="C146" s="19"/>
      <c r="D146" s="19"/>
      <c r="E146" s="20"/>
      <c r="F146" s="19"/>
      <c r="G146" s="19"/>
      <c r="H146" s="20"/>
    </row>
    <row r="147" spans="1:8" ht="13.15">
      <c r="A147" s="19"/>
      <c r="B147" s="19"/>
      <c r="C147" s="19"/>
      <c r="D147" s="19"/>
      <c r="E147" s="20"/>
      <c r="F147" s="19"/>
      <c r="G147" s="19"/>
      <c r="H147" s="20"/>
    </row>
    <row r="148" spans="1:8" ht="13.15">
      <c r="A148" s="19"/>
      <c r="B148" s="19"/>
      <c r="C148" s="19"/>
      <c r="D148" s="19"/>
      <c r="E148" s="20"/>
      <c r="F148" s="19"/>
      <c r="G148" s="19"/>
      <c r="H148" s="20"/>
    </row>
    <row r="149" spans="1:8" ht="13.15">
      <c r="A149" s="19"/>
      <c r="B149" s="19"/>
      <c r="C149" s="19"/>
      <c r="D149" s="19"/>
      <c r="E149" s="20"/>
      <c r="F149" s="19"/>
      <c r="G149" s="19"/>
      <c r="H149" s="20"/>
    </row>
    <row r="150" spans="1:8" ht="13.15">
      <c r="A150" s="19"/>
      <c r="B150" s="19"/>
      <c r="C150" s="19"/>
      <c r="D150" s="19"/>
      <c r="E150" s="20"/>
      <c r="F150" s="19"/>
      <c r="G150" s="19"/>
      <c r="H150" s="20"/>
    </row>
    <row r="151" spans="1:8" ht="13.15">
      <c r="A151" s="19"/>
      <c r="B151" s="19"/>
      <c r="C151" s="19"/>
      <c r="D151" s="19"/>
      <c r="E151" s="20"/>
      <c r="F151" s="19"/>
      <c r="G151" s="19"/>
      <c r="H151" s="20"/>
    </row>
    <row r="152" spans="1:8" ht="13.15">
      <c r="A152" s="19"/>
      <c r="B152" s="19"/>
      <c r="C152" s="19"/>
      <c r="D152" s="19"/>
      <c r="E152" s="20"/>
      <c r="F152" s="19"/>
      <c r="G152" s="19"/>
      <c r="H152" s="20"/>
    </row>
    <row r="153" spans="1:8" ht="13.15">
      <c r="A153" s="19"/>
      <c r="B153" s="19"/>
      <c r="C153" s="19"/>
      <c r="D153" s="19"/>
      <c r="E153" s="20"/>
      <c r="F153" s="19"/>
      <c r="G153" s="19"/>
      <c r="H153" s="20"/>
    </row>
    <row r="154" spans="1:8" ht="13.15">
      <c r="A154" s="19"/>
      <c r="B154" s="19"/>
      <c r="C154" s="19"/>
      <c r="D154" s="19"/>
      <c r="E154" s="20"/>
      <c r="F154" s="19"/>
      <c r="G154" s="19"/>
      <c r="H154" s="20"/>
    </row>
    <row r="155" spans="1:8" ht="13.15">
      <c r="A155" s="19"/>
      <c r="B155" s="19"/>
      <c r="C155" s="19"/>
      <c r="D155" s="19"/>
      <c r="E155" s="20"/>
      <c r="F155" s="19"/>
      <c r="G155" s="19"/>
      <c r="H155" s="20"/>
    </row>
    <row r="156" spans="1:8" ht="13.15">
      <c r="A156" s="19"/>
      <c r="B156" s="19"/>
      <c r="C156" s="19"/>
      <c r="D156" s="19"/>
      <c r="E156" s="20"/>
      <c r="F156" s="19"/>
      <c r="G156" s="19"/>
      <c r="H156" s="20"/>
    </row>
    <row r="157" spans="1:8" ht="13.15">
      <c r="A157" s="19"/>
      <c r="B157" s="19"/>
      <c r="C157" s="19"/>
      <c r="D157" s="19"/>
      <c r="E157" s="20"/>
      <c r="F157" s="19"/>
      <c r="G157" s="19"/>
      <c r="H157" s="20"/>
    </row>
    <row r="158" spans="1:8" ht="13.15">
      <c r="A158" s="19"/>
      <c r="B158" s="19"/>
      <c r="C158" s="19"/>
      <c r="D158" s="19"/>
      <c r="E158" s="20"/>
      <c r="F158" s="19"/>
      <c r="G158" s="19"/>
      <c r="H158" s="20"/>
    </row>
    <row r="159" spans="1:8" ht="13.15">
      <c r="A159" s="19"/>
      <c r="B159" s="19"/>
      <c r="C159" s="19"/>
      <c r="D159" s="19"/>
      <c r="E159" s="20"/>
      <c r="F159" s="19"/>
      <c r="G159" s="19"/>
      <c r="H159" s="20"/>
    </row>
    <row r="160" spans="1:8" ht="13.15">
      <c r="A160" s="19"/>
      <c r="B160" s="19"/>
      <c r="C160" s="19"/>
      <c r="D160" s="19"/>
      <c r="E160" s="20"/>
      <c r="F160" s="19"/>
      <c r="G160" s="19"/>
      <c r="H160" s="20"/>
    </row>
    <row r="161" spans="1:8" ht="13.15">
      <c r="A161" s="19"/>
      <c r="B161" s="19"/>
      <c r="C161" s="19"/>
      <c r="D161" s="19"/>
      <c r="E161" s="20"/>
      <c r="F161" s="19"/>
      <c r="G161" s="19"/>
      <c r="H161" s="20"/>
    </row>
    <row r="162" spans="1:8" ht="13.15">
      <c r="A162" s="19"/>
      <c r="B162" s="19"/>
      <c r="C162" s="19"/>
      <c r="D162" s="19"/>
      <c r="E162" s="20"/>
      <c r="F162" s="19"/>
      <c r="G162" s="19"/>
      <c r="H162" s="20"/>
    </row>
    <row r="163" spans="1:8" ht="13.15">
      <c r="A163" s="19"/>
      <c r="B163" s="19"/>
      <c r="C163" s="19"/>
      <c r="D163" s="19"/>
      <c r="E163" s="20"/>
      <c r="F163" s="19"/>
      <c r="G163" s="19"/>
      <c r="H163" s="20"/>
    </row>
    <row r="164" spans="1:8" ht="13.15">
      <c r="A164" s="19"/>
      <c r="B164" s="19"/>
      <c r="C164" s="19"/>
      <c r="D164" s="19"/>
      <c r="E164" s="20"/>
      <c r="F164" s="19"/>
      <c r="G164" s="19"/>
      <c r="H164" s="20"/>
    </row>
    <row r="165" spans="1:8" ht="13.15">
      <c r="A165" s="19"/>
      <c r="B165" s="19"/>
      <c r="C165" s="19"/>
      <c r="D165" s="19"/>
      <c r="E165" s="20"/>
      <c r="F165" s="19"/>
      <c r="G165" s="19"/>
      <c r="H165" s="20"/>
    </row>
    <row r="166" spans="1:8" ht="13.15">
      <c r="A166" s="19"/>
      <c r="B166" s="19"/>
      <c r="C166" s="19"/>
      <c r="D166" s="19"/>
      <c r="E166" s="20"/>
      <c r="F166" s="19"/>
      <c r="G166" s="19"/>
      <c r="H166" s="20"/>
    </row>
    <row r="167" spans="1:8" ht="13.15">
      <c r="A167" s="19"/>
      <c r="B167" s="19"/>
      <c r="C167" s="19"/>
      <c r="D167" s="19"/>
      <c r="E167" s="20"/>
      <c r="F167" s="19"/>
      <c r="G167" s="19"/>
      <c r="H167" s="20"/>
    </row>
    <row r="168" spans="1:8" ht="13.15">
      <c r="A168" s="19"/>
      <c r="B168" s="19"/>
      <c r="C168" s="19"/>
      <c r="D168" s="19"/>
      <c r="E168" s="20"/>
      <c r="F168" s="19"/>
      <c r="G168" s="19"/>
      <c r="H168" s="20"/>
    </row>
    <row r="169" spans="1:8" ht="13.15">
      <c r="A169" s="19"/>
      <c r="B169" s="19"/>
      <c r="C169" s="19"/>
      <c r="D169" s="19"/>
      <c r="E169" s="20"/>
      <c r="F169" s="19"/>
      <c r="G169" s="19"/>
      <c r="H169" s="20"/>
    </row>
    <row r="170" spans="1:8" ht="13.15">
      <c r="A170" s="19"/>
      <c r="B170" s="19"/>
      <c r="C170" s="19"/>
      <c r="D170" s="19"/>
      <c r="E170" s="20"/>
      <c r="F170" s="19"/>
      <c r="G170" s="19"/>
      <c r="H170" s="20"/>
    </row>
    <row r="171" spans="1:8" ht="13.15">
      <c r="A171" s="19"/>
      <c r="B171" s="19"/>
      <c r="C171" s="19"/>
      <c r="D171" s="19"/>
      <c r="E171" s="20"/>
      <c r="F171" s="19"/>
      <c r="G171" s="19"/>
      <c r="H171" s="20"/>
    </row>
    <row r="172" spans="1:8" ht="13.15">
      <c r="A172" s="19"/>
      <c r="B172" s="19"/>
      <c r="C172" s="19"/>
      <c r="D172" s="19"/>
      <c r="E172" s="20"/>
      <c r="F172" s="19"/>
      <c r="G172" s="19"/>
      <c r="H172" s="20"/>
    </row>
    <row r="173" spans="1:8" ht="13.15">
      <c r="A173" s="19"/>
      <c r="B173" s="19"/>
      <c r="C173" s="19"/>
      <c r="D173" s="19"/>
      <c r="E173" s="20"/>
      <c r="F173" s="19"/>
      <c r="G173" s="19"/>
      <c r="H173" s="20"/>
    </row>
    <row r="174" spans="1:8" ht="13.15">
      <c r="A174" s="19"/>
      <c r="B174" s="19"/>
      <c r="C174" s="19"/>
      <c r="D174" s="19"/>
      <c r="E174" s="20"/>
      <c r="F174" s="19"/>
      <c r="G174" s="19"/>
      <c r="H174" s="20"/>
    </row>
    <row r="175" spans="1:8" ht="13.15">
      <c r="A175" s="19"/>
      <c r="B175" s="19"/>
      <c r="C175" s="19"/>
      <c r="D175" s="19"/>
      <c r="E175" s="20"/>
      <c r="F175" s="19"/>
      <c r="G175" s="19"/>
      <c r="H175" s="20"/>
    </row>
    <row r="176" spans="1:8" ht="13.15">
      <c r="A176" s="19"/>
      <c r="B176" s="19"/>
      <c r="C176" s="19"/>
      <c r="D176" s="19"/>
      <c r="E176" s="20"/>
      <c r="F176" s="19"/>
      <c r="G176" s="19"/>
      <c r="H176" s="20"/>
    </row>
    <row r="177" spans="1:8" ht="13.15">
      <c r="A177" s="19"/>
      <c r="B177" s="19"/>
      <c r="C177" s="19"/>
      <c r="D177" s="19"/>
      <c r="E177" s="20"/>
      <c r="F177" s="19"/>
      <c r="G177" s="19"/>
      <c r="H177" s="20"/>
    </row>
    <row r="178" spans="1:8" ht="13.15">
      <c r="A178" s="19"/>
      <c r="B178" s="19"/>
      <c r="C178" s="19"/>
      <c r="D178" s="19"/>
      <c r="E178" s="20"/>
      <c r="F178" s="19"/>
      <c r="G178" s="19"/>
      <c r="H178" s="20"/>
    </row>
    <row r="179" spans="1:8" ht="13.15">
      <c r="A179" s="19"/>
      <c r="B179" s="19"/>
      <c r="C179" s="19"/>
      <c r="D179" s="19"/>
      <c r="E179" s="20"/>
      <c r="F179" s="19"/>
      <c r="G179" s="19"/>
      <c r="H179" s="20"/>
    </row>
    <row r="180" spans="1:8" ht="13.15">
      <c r="A180" s="19"/>
      <c r="B180" s="19"/>
      <c r="C180" s="19"/>
      <c r="D180" s="19"/>
      <c r="E180" s="20"/>
      <c r="F180" s="19"/>
      <c r="G180" s="19"/>
      <c r="H180" s="20"/>
    </row>
    <row r="181" spans="1:8" ht="13.15">
      <c r="A181" s="19"/>
      <c r="B181" s="19"/>
      <c r="C181" s="19"/>
      <c r="D181" s="19"/>
      <c r="E181" s="20"/>
      <c r="F181" s="19"/>
      <c r="G181" s="19"/>
      <c r="H181" s="20"/>
    </row>
    <row r="182" spans="1:8" ht="13.15">
      <c r="A182" s="19"/>
      <c r="B182" s="19"/>
      <c r="C182" s="19"/>
      <c r="D182" s="19"/>
      <c r="E182" s="20"/>
      <c r="F182" s="19"/>
      <c r="G182" s="19"/>
      <c r="H182" s="20"/>
    </row>
    <row r="183" spans="1:8" ht="13.15">
      <c r="A183" s="19"/>
      <c r="B183" s="19"/>
      <c r="C183" s="19"/>
      <c r="D183" s="19"/>
      <c r="E183" s="20"/>
      <c r="F183" s="19"/>
      <c r="G183" s="19"/>
      <c r="H183" s="20"/>
    </row>
    <row r="184" spans="1:8" ht="13.15">
      <c r="A184" s="19"/>
      <c r="B184" s="19"/>
      <c r="C184" s="19"/>
      <c r="D184" s="19"/>
      <c r="E184" s="20"/>
      <c r="F184" s="19"/>
      <c r="G184" s="19"/>
      <c r="H184" s="20"/>
    </row>
    <row r="185" spans="1:8" ht="13.15">
      <c r="A185" s="19"/>
      <c r="B185" s="19"/>
      <c r="C185" s="19"/>
      <c r="D185" s="19"/>
      <c r="E185" s="20"/>
      <c r="F185" s="19"/>
      <c r="G185" s="19"/>
      <c r="H185" s="20"/>
    </row>
    <row r="186" spans="1:8" ht="13.15">
      <c r="A186" s="19"/>
      <c r="B186" s="19"/>
      <c r="C186" s="19"/>
      <c r="D186" s="19"/>
      <c r="E186" s="20"/>
      <c r="F186" s="19"/>
      <c r="G186" s="19"/>
      <c r="H186" s="20"/>
    </row>
    <row r="187" spans="1:8" ht="13.15">
      <c r="A187" s="19"/>
      <c r="B187" s="19"/>
      <c r="C187" s="19"/>
      <c r="D187" s="19"/>
      <c r="E187" s="20"/>
      <c r="F187" s="19"/>
      <c r="G187" s="19"/>
      <c r="H187" s="20"/>
    </row>
    <row r="188" spans="1:8" ht="13.15">
      <c r="A188" s="19"/>
      <c r="B188" s="19"/>
      <c r="C188" s="19"/>
      <c r="D188" s="19"/>
      <c r="E188" s="20"/>
      <c r="F188" s="19"/>
      <c r="G188" s="19"/>
      <c r="H188" s="20"/>
    </row>
    <row r="189" spans="1:8" ht="13.15">
      <c r="A189" s="19"/>
      <c r="B189" s="19"/>
      <c r="C189" s="19"/>
      <c r="D189" s="19"/>
      <c r="E189" s="20"/>
      <c r="F189" s="19"/>
      <c r="G189" s="19"/>
      <c r="H189" s="20"/>
    </row>
    <row r="190" spans="1:8" ht="13.15">
      <c r="A190" s="19"/>
      <c r="B190" s="19"/>
      <c r="C190" s="19"/>
      <c r="D190" s="19"/>
      <c r="E190" s="20"/>
      <c r="F190" s="19"/>
      <c r="G190" s="19"/>
      <c r="H190" s="20"/>
    </row>
    <row r="191" spans="1:8" ht="13.15">
      <c r="A191" s="19"/>
      <c r="B191" s="19"/>
      <c r="C191" s="19"/>
      <c r="D191" s="19"/>
      <c r="E191" s="20"/>
      <c r="F191" s="19"/>
      <c r="G191" s="19"/>
      <c r="H191" s="20"/>
    </row>
    <row r="192" spans="1:8" ht="13.15">
      <c r="A192" s="19"/>
      <c r="B192" s="19"/>
      <c r="C192" s="19"/>
      <c r="D192" s="19"/>
      <c r="E192" s="20"/>
      <c r="F192" s="19"/>
      <c r="G192" s="19"/>
      <c r="H192" s="20"/>
    </row>
    <row r="193" spans="1:8" ht="13.15">
      <c r="A193" s="19"/>
      <c r="B193" s="19"/>
      <c r="C193" s="19"/>
      <c r="D193" s="19"/>
      <c r="E193" s="20"/>
      <c r="F193" s="19"/>
      <c r="G193" s="19"/>
      <c r="H193" s="20"/>
    </row>
    <row r="194" spans="1:8" ht="13.15">
      <c r="A194" s="19"/>
      <c r="B194" s="19"/>
      <c r="C194" s="19"/>
      <c r="D194" s="19"/>
      <c r="E194" s="20"/>
      <c r="F194" s="19"/>
      <c r="G194" s="19"/>
      <c r="H194" s="20"/>
    </row>
    <row r="195" spans="1:8" ht="13.15">
      <c r="A195" s="19"/>
      <c r="B195" s="19"/>
      <c r="C195" s="19"/>
      <c r="D195" s="19"/>
      <c r="E195" s="20"/>
      <c r="F195" s="19"/>
      <c r="G195" s="19"/>
      <c r="H195" s="20"/>
    </row>
    <row r="196" spans="1:8" ht="13.15">
      <c r="A196" s="19"/>
      <c r="B196" s="19"/>
      <c r="C196" s="19"/>
      <c r="D196" s="19"/>
      <c r="E196" s="20"/>
      <c r="F196" s="19"/>
      <c r="G196" s="19"/>
      <c r="H196" s="20"/>
    </row>
    <row r="197" spans="1:8" ht="13.15">
      <c r="A197" s="19"/>
      <c r="B197" s="19"/>
      <c r="C197" s="19"/>
      <c r="D197" s="19"/>
      <c r="E197" s="20"/>
      <c r="F197" s="19"/>
      <c r="G197" s="19"/>
      <c r="H197" s="20"/>
    </row>
    <row r="198" spans="1:8" ht="13.15">
      <c r="A198" s="19"/>
      <c r="B198" s="19"/>
      <c r="C198" s="19"/>
      <c r="D198" s="19"/>
      <c r="E198" s="20"/>
      <c r="F198" s="19"/>
      <c r="G198" s="19"/>
      <c r="H198" s="20"/>
    </row>
    <row r="199" spans="1:8" ht="13.15">
      <c r="A199" s="19"/>
      <c r="B199" s="19"/>
      <c r="C199" s="19"/>
      <c r="D199" s="19"/>
      <c r="E199" s="20"/>
      <c r="F199" s="19"/>
      <c r="G199" s="19"/>
      <c r="H199" s="20"/>
    </row>
    <row r="200" spans="1:8" ht="13.15">
      <c r="A200" s="19"/>
      <c r="B200" s="19"/>
      <c r="C200" s="19"/>
      <c r="D200" s="19"/>
      <c r="E200" s="20"/>
      <c r="F200" s="19"/>
      <c r="G200" s="19"/>
      <c r="H200" s="20"/>
    </row>
    <row r="201" spans="1:8" ht="13.15">
      <c r="A201" s="19"/>
      <c r="B201" s="19"/>
      <c r="C201" s="19"/>
      <c r="D201" s="19"/>
      <c r="E201" s="20"/>
      <c r="F201" s="19"/>
      <c r="G201" s="19"/>
      <c r="H201" s="20"/>
    </row>
    <row r="202" spans="1:8" ht="13.15">
      <c r="A202" s="19"/>
      <c r="B202" s="19"/>
      <c r="C202" s="19"/>
      <c r="D202" s="19"/>
      <c r="E202" s="20"/>
      <c r="F202" s="19"/>
      <c r="G202" s="19"/>
      <c r="H202" s="20"/>
    </row>
    <row r="203" spans="1:8" ht="13.15">
      <c r="A203" s="19"/>
      <c r="B203" s="19"/>
      <c r="C203" s="19"/>
      <c r="D203" s="19"/>
      <c r="E203" s="20"/>
      <c r="F203" s="19"/>
      <c r="G203" s="19"/>
      <c r="H203" s="20"/>
    </row>
    <row r="204" spans="1:8" ht="13.15">
      <c r="A204" s="19"/>
      <c r="B204" s="19"/>
      <c r="C204" s="19"/>
      <c r="D204" s="19"/>
      <c r="E204" s="20"/>
      <c r="F204" s="19"/>
      <c r="G204" s="19"/>
      <c r="H204" s="20"/>
    </row>
    <row r="205" spans="1:8" ht="13.15">
      <c r="A205" s="19"/>
      <c r="B205" s="19"/>
      <c r="C205" s="19"/>
      <c r="D205" s="19"/>
      <c r="E205" s="20"/>
      <c r="F205" s="19"/>
      <c r="G205" s="19"/>
      <c r="H205" s="20"/>
    </row>
    <row r="206" spans="1:8" ht="13.15">
      <c r="A206" s="19"/>
      <c r="B206" s="19"/>
      <c r="C206" s="19"/>
      <c r="D206" s="19"/>
      <c r="E206" s="20"/>
      <c r="F206" s="19"/>
      <c r="G206" s="19"/>
      <c r="H206" s="20"/>
    </row>
    <row r="207" spans="1:8" ht="13.15">
      <c r="A207" s="19"/>
      <c r="B207" s="19"/>
      <c r="C207" s="19"/>
      <c r="D207" s="19"/>
      <c r="E207" s="20"/>
      <c r="F207" s="19"/>
      <c r="G207" s="19"/>
      <c r="H207" s="20"/>
    </row>
    <row r="208" spans="1:8" ht="13.15">
      <c r="A208" s="19"/>
      <c r="B208" s="19"/>
      <c r="C208" s="19"/>
      <c r="D208" s="19"/>
      <c r="E208" s="20"/>
      <c r="F208" s="19"/>
      <c r="G208" s="19"/>
      <c r="H208" s="20"/>
    </row>
    <row r="209" spans="1:8" ht="13.15">
      <c r="A209" s="19"/>
      <c r="B209" s="19"/>
      <c r="C209" s="19"/>
      <c r="D209" s="19"/>
      <c r="E209" s="20"/>
      <c r="F209" s="19"/>
      <c r="G209" s="19"/>
      <c r="H209" s="20"/>
    </row>
    <row r="210" spans="1:8" ht="13.15">
      <c r="A210" s="19"/>
      <c r="B210" s="19"/>
      <c r="C210" s="19"/>
      <c r="D210" s="19"/>
      <c r="E210" s="20"/>
      <c r="F210" s="19"/>
      <c r="G210" s="19"/>
      <c r="H210" s="20"/>
    </row>
    <row r="211" spans="1:8" ht="13.15">
      <c r="A211" s="19"/>
      <c r="B211" s="19"/>
      <c r="C211" s="19"/>
      <c r="D211" s="19"/>
      <c r="E211" s="20"/>
      <c r="F211" s="19"/>
      <c r="G211" s="19"/>
      <c r="H211" s="20"/>
    </row>
    <row r="212" spans="1:8" ht="13.15">
      <c r="A212" s="19"/>
      <c r="B212" s="19"/>
      <c r="C212" s="19"/>
      <c r="D212" s="19"/>
      <c r="E212" s="20"/>
      <c r="F212" s="19"/>
      <c r="G212" s="19"/>
      <c r="H212" s="20"/>
    </row>
    <row r="213" spans="1:8" ht="13.15">
      <c r="A213" s="19"/>
      <c r="B213" s="19"/>
      <c r="C213" s="19"/>
      <c r="D213" s="19"/>
      <c r="E213" s="20"/>
      <c r="F213" s="19"/>
      <c r="G213" s="19"/>
      <c r="H213" s="20"/>
    </row>
    <row r="214" spans="1:8" ht="13.15">
      <c r="A214" s="19"/>
      <c r="B214" s="19"/>
      <c r="C214" s="19"/>
      <c r="D214" s="19"/>
      <c r="E214" s="20"/>
      <c r="F214" s="19"/>
      <c r="G214" s="19"/>
      <c r="H214" s="20"/>
    </row>
    <row r="215" spans="1:8" ht="13.15">
      <c r="A215" s="19"/>
      <c r="B215" s="19"/>
      <c r="C215" s="19"/>
      <c r="D215" s="19"/>
      <c r="E215" s="20"/>
      <c r="F215" s="19"/>
      <c r="G215" s="19"/>
      <c r="H215" s="20"/>
    </row>
    <row r="216" spans="1:8" ht="13.15">
      <c r="A216" s="19"/>
      <c r="B216" s="19"/>
      <c r="C216" s="19"/>
      <c r="D216" s="19"/>
      <c r="E216" s="20"/>
      <c r="F216" s="19"/>
      <c r="G216" s="19"/>
      <c r="H216" s="20"/>
    </row>
    <row r="217" spans="1:8" ht="13.15">
      <c r="A217" s="19"/>
      <c r="B217" s="19"/>
      <c r="C217" s="19"/>
      <c r="D217" s="19"/>
      <c r="E217" s="20"/>
      <c r="F217" s="19"/>
      <c r="G217" s="19"/>
      <c r="H217" s="20"/>
    </row>
    <row r="218" spans="1:8" ht="13.15">
      <c r="A218" s="19"/>
      <c r="B218" s="19"/>
      <c r="C218" s="19"/>
      <c r="D218" s="19"/>
      <c r="E218" s="20"/>
      <c r="F218" s="19"/>
      <c r="G218" s="19"/>
      <c r="H218" s="20"/>
    </row>
    <row r="219" spans="1:8" ht="13.15">
      <c r="A219" s="19"/>
      <c r="B219" s="19"/>
      <c r="C219" s="19"/>
      <c r="D219" s="19"/>
      <c r="E219" s="20"/>
      <c r="F219" s="19"/>
      <c r="G219" s="19"/>
      <c r="H219" s="20"/>
    </row>
    <row r="220" spans="1:8" ht="13.15">
      <c r="A220" s="19"/>
      <c r="B220" s="19"/>
      <c r="C220" s="19"/>
      <c r="D220" s="19"/>
      <c r="E220" s="20"/>
      <c r="F220" s="19"/>
      <c r="G220" s="19"/>
      <c r="H220" s="20"/>
    </row>
    <row r="221" spans="1:8" ht="13.15">
      <c r="A221" s="19"/>
      <c r="B221" s="19"/>
      <c r="C221" s="19"/>
      <c r="D221" s="19"/>
      <c r="E221" s="20"/>
      <c r="F221" s="19"/>
      <c r="G221" s="19"/>
      <c r="H221" s="20"/>
    </row>
    <row r="222" spans="1:8" ht="13.15">
      <c r="A222" s="19"/>
      <c r="B222" s="19"/>
      <c r="C222" s="19"/>
      <c r="D222" s="19"/>
      <c r="E222" s="20"/>
      <c r="F222" s="19"/>
      <c r="G222" s="19"/>
      <c r="H222" s="20"/>
    </row>
    <row r="223" spans="1:8" ht="13.15">
      <c r="A223" s="19"/>
      <c r="B223" s="19"/>
      <c r="C223" s="19"/>
      <c r="D223" s="19"/>
      <c r="E223" s="20"/>
      <c r="F223" s="19"/>
      <c r="G223" s="19"/>
      <c r="H223" s="20"/>
    </row>
    <row r="224" spans="1:8" ht="13.15">
      <c r="A224" s="19"/>
      <c r="B224" s="19"/>
      <c r="C224" s="19"/>
      <c r="D224" s="19"/>
      <c r="E224" s="20"/>
      <c r="F224" s="19"/>
      <c r="G224" s="19"/>
      <c r="H224" s="20"/>
    </row>
    <row r="225" spans="1:8" ht="13.15">
      <c r="A225" s="19"/>
      <c r="B225" s="19"/>
      <c r="C225" s="19"/>
      <c r="D225" s="19"/>
      <c r="E225" s="20"/>
      <c r="F225" s="19"/>
      <c r="G225" s="19"/>
      <c r="H225" s="20"/>
    </row>
    <row r="226" spans="1:8" ht="13.15">
      <c r="A226" s="19"/>
      <c r="B226" s="19"/>
      <c r="C226" s="19"/>
      <c r="D226" s="19"/>
      <c r="E226" s="20"/>
      <c r="F226" s="19"/>
      <c r="G226" s="19"/>
      <c r="H226" s="20"/>
    </row>
    <row r="227" spans="1:8" ht="13.15">
      <c r="A227" s="19"/>
      <c r="B227" s="19"/>
      <c r="C227" s="19"/>
      <c r="D227" s="19"/>
      <c r="E227" s="20"/>
      <c r="F227" s="19"/>
      <c r="G227" s="19"/>
      <c r="H227" s="20"/>
    </row>
    <row r="228" spans="1:8" ht="13.15">
      <c r="A228" s="19"/>
      <c r="B228" s="19"/>
      <c r="C228" s="19"/>
      <c r="D228" s="19"/>
      <c r="E228" s="20"/>
      <c r="F228" s="19"/>
      <c r="G228" s="19"/>
      <c r="H228" s="20"/>
    </row>
    <row r="229" spans="1:8" ht="13.15">
      <c r="A229" s="19"/>
      <c r="B229" s="19"/>
      <c r="C229" s="19"/>
      <c r="D229" s="19"/>
      <c r="E229" s="20"/>
      <c r="F229" s="19"/>
      <c r="G229" s="19"/>
      <c r="H229" s="20"/>
    </row>
    <row r="230" spans="1:8" ht="13.15">
      <c r="A230" s="19"/>
      <c r="B230" s="19"/>
      <c r="C230" s="19"/>
      <c r="D230" s="19"/>
      <c r="E230" s="20"/>
      <c r="F230" s="19"/>
      <c r="G230" s="19"/>
      <c r="H230" s="20"/>
    </row>
    <row r="231" spans="1:8" ht="13.15">
      <c r="A231" s="19"/>
      <c r="B231" s="19"/>
      <c r="C231" s="19"/>
      <c r="D231" s="19"/>
      <c r="E231" s="20"/>
      <c r="F231" s="19"/>
      <c r="G231" s="19"/>
      <c r="H231" s="20"/>
    </row>
    <row r="232" spans="1:8" ht="13.15">
      <c r="A232" s="19"/>
      <c r="B232" s="19"/>
      <c r="C232" s="19"/>
      <c r="D232" s="19"/>
      <c r="E232" s="20"/>
      <c r="F232" s="19"/>
      <c r="G232" s="19"/>
      <c r="H232" s="20"/>
    </row>
    <row r="233" spans="1:8" ht="13.15">
      <c r="A233" s="19"/>
      <c r="B233" s="19"/>
      <c r="C233" s="19"/>
      <c r="D233" s="19"/>
      <c r="E233" s="20"/>
      <c r="F233" s="19"/>
      <c r="G233" s="19"/>
      <c r="H233" s="20"/>
    </row>
    <row r="234" spans="1:8" ht="13.15">
      <c r="A234" s="19"/>
      <c r="B234" s="19"/>
      <c r="C234" s="19"/>
      <c r="D234" s="19"/>
      <c r="E234" s="20"/>
      <c r="F234" s="19"/>
      <c r="G234" s="19"/>
      <c r="H234" s="20"/>
    </row>
    <row r="235" spans="1:8" ht="13.15">
      <c r="A235" s="19"/>
      <c r="B235" s="19"/>
      <c r="C235" s="19"/>
      <c r="D235" s="19"/>
      <c r="E235" s="20"/>
      <c r="F235" s="19"/>
      <c r="G235" s="19"/>
      <c r="H235" s="20"/>
    </row>
    <row r="236" spans="1:8" ht="13.15">
      <c r="A236" s="19"/>
      <c r="B236" s="19"/>
      <c r="C236" s="19"/>
      <c r="D236" s="19"/>
      <c r="E236" s="20"/>
      <c r="F236" s="19"/>
      <c r="G236" s="19"/>
      <c r="H236" s="20"/>
    </row>
    <row r="237" spans="1:8" ht="13.15">
      <c r="A237" s="19"/>
      <c r="B237" s="19"/>
      <c r="C237" s="19"/>
      <c r="D237" s="19"/>
      <c r="E237" s="20"/>
      <c r="F237" s="19"/>
      <c r="G237" s="19"/>
      <c r="H237" s="20"/>
    </row>
    <row r="238" spans="1:8" ht="13.15">
      <c r="A238" s="19"/>
      <c r="B238" s="19"/>
      <c r="C238" s="19"/>
      <c r="D238" s="19"/>
      <c r="E238" s="20"/>
      <c r="F238" s="19"/>
      <c r="G238" s="19"/>
      <c r="H238" s="20"/>
    </row>
    <row r="239" spans="1:8" ht="13.15">
      <c r="A239" s="19"/>
      <c r="B239" s="19"/>
      <c r="C239" s="19"/>
      <c r="D239" s="19"/>
      <c r="E239" s="20"/>
      <c r="F239" s="19"/>
      <c r="G239" s="19"/>
      <c r="H239" s="20"/>
    </row>
    <row r="240" spans="1:8" ht="13.15">
      <c r="A240" s="19"/>
      <c r="B240" s="19"/>
      <c r="C240" s="19"/>
      <c r="D240" s="19"/>
      <c r="E240" s="20"/>
      <c r="F240" s="19"/>
      <c r="G240" s="19"/>
      <c r="H240" s="20"/>
    </row>
    <row r="241" spans="1:8" ht="13.15">
      <c r="A241" s="19"/>
      <c r="B241" s="19"/>
      <c r="C241" s="19"/>
      <c r="D241" s="19"/>
      <c r="E241" s="20"/>
      <c r="F241" s="19"/>
      <c r="G241" s="19"/>
      <c r="H241" s="20"/>
    </row>
    <row r="242" spans="1:8" ht="13.15">
      <c r="A242" s="19"/>
      <c r="B242" s="19"/>
      <c r="C242" s="19"/>
      <c r="D242" s="19"/>
      <c r="E242" s="20"/>
      <c r="F242" s="19"/>
      <c r="G242" s="19"/>
      <c r="H242" s="20"/>
    </row>
    <row r="243" spans="1:8" ht="13.15">
      <c r="A243" s="19"/>
      <c r="B243" s="19"/>
      <c r="C243" s="19"/>
      <c r="D243" s="19"/>
      <c r="E243" s="20"/>
      <c r="F243" s="19"/>
      <c r="G243" s="19"/>
      <c r="H243" s="20"/>
    </row>
    <row r="244" spans="1:8" ht="13.15">
      <c r="A244" s="19"/>
      <c r="B244" s="19"/>
      <c r="C244" s="19"/>
      <c r="D244" s="19"/>
      <c r="E244" s="20"/>
      <c r="F244" s="19"/>
      <c r="G244" s="19"/>
      <c r="H244" s="20"/>
    </row>
    <row r="245" spans="1:8" ht="13.15">
      <c r="A245" s="19"/>
      <c r="B245" s="19"/>
      <c r="C245" s="19"/>
      <c r="D245" s="19"/>
      <c r="E245" s="20"/>
      <c r="F245" s="19"/>
      <c r="G245" s="19"/>
      <c r="H245" s="20"/>
    </row>
    <row r="246" spans="1:8" ht="13.15">
      <c r="A246" s="19"/>
      <c r="B246" s="19"/>
      <c r="C246" s="19"/>
      <c r="D246" s="19"/>
      <c r="E246" s="20"/>
      <c r="F246" s="19"/>
      <c r="G246" s="19"/>
      <c r="H246" s="20"/>
    </row>
    <row r="247" spans="1:8" ht="13.15">
      <c r="A247" s="19"/>
      <c r="B247" s="19"/>
      <c r="C247" s="19"/>
      <c r="D247" s="19"/>
      <c r="E247" s="20"/>
      <c r="F247" s="19"/>
      <c r="G247" s="19"/>
      <c r="H247" s="20"/>
    </row>
    <row r="248" spans="1:8" ht="13.15">
      <c r="A248" s="19"/>
      <c r="B248" s="19"/>
      <c r="C248" s="19"/>
      <c r="D248" s="19"/>
      <c r="E248" s="20"/>
      <c r="F248" s="19"/>
      <c r="G248" s="19"/>
      <c r="H248" s="20"/>
    </row>
    <row r="249" spans="1:8" ht="13.15">
      <c r="A249" s="19"/>
      <c r="B249" s="19"/>
      <c r="C249" s="19"/>
      <c r="D249" s="19"/>
      <c r="E249" s="20"/>
      <c r="F249" s="19"/>
      <c r="G249" s="19"/>
      <c r="H249" s="20"/>
    </row>
    <row r="250" spans="1:8" ht="13.15">
      <c r="A250" s="19"/>
      <c r="B250" s="19"/>
      <c r="C250" s="19"/>
      <c r="D250" s="19"/>
      <c r="E250" s="20"/>
      <c r="F250" s="19"/>
      <c r="G250" s="19"/>
      <c r="H250" s="20"/>
    </row>
    <row r="251" spans="1:8" ht="13.15">
      <c r="A251" s="19"/>
      <c r="B251" s="19"/>
      <c r="C251" s="19"/>
      <c r="D251" s="19"/>
      <c r="E251" s="20"/>
      <c r="F251" s="19"/>
      <c r="G251" s="19"/>
      <c r="H251" s="20"/>
    </row>
    <row r="252" spans="1:8" ht="13.15">
      <c r="A252" s="19"/>
      <c r="B252" s="19"/>
      <c r="C252" s="19"/>
      <c r="D252" s="19"/>
      <c r="E252" s="20"/>
      <c r="F252" s="19"/>
      <c r="G252" s="19"/>
      <c r="H252" s="20"/>
    </row>
    <row r="253" spans="1:8" ht="13.15">
      <c r="A253" s="19"/>
      <c r="B253" s="19"/>
      <c r="C253" s="19"/>
      <c r="D253" s="19"/>
      <c r="E253" s="20"/>
      <c r="F253" s="19"/>
      <c r="G253" s="19"/>
      <c r="H253" s="20"/>
    </row>
    <row r="254" spans="1:8" ht="13.15">
      <c r="A254" s="19"/>
      <c r="B254" s="19"/>
      <c r="C254" s="19"/>
      <c r="D254" s="19"/>
      <c r="E254" s="20"/>
      <c r="F254" s="19"/>
      <c r="G254" s="19"/>
      <c r="H254" s="20"/>
    </row>
    <row r="255" spans="1:8" ht="13.15">
      <c r="A255" s="19"/>
      <c r="B255" s="19"/>
      <c r="C255" s="19"/>
      <c r="D255" s="19"/>
      <c r="E255" s="20"/>
      <c r="F255" s="19"/>
      <c r="G255" s="19"/>
      <c r="H255" s="20"/>
    </row>
    <row r="256" spans="1:8" ht="13.15">
      <c r="A256" s="19"/>
      <c r="B256" s="19"/>
      <c r="C256" s="19"/>
      <c r="D256" s="19"/>
      <c r="E256" s="20"/>
      <c r="F256" s="19"/>
      <c r="G256" s="19"/>
      <c r="H256" s="20"/>
    </row>
    <row r="257" spans="1:8" ht="13.15">
      <c r="A257" s="19"/>
      <c r="B257" s="19"/>
      <c r="C257" s="19"/>
      <c r="D257" s="19"/>
      <c r="E257" s="20"/>
      <c r="F257" s="19"/>
      <c r="G257" s="19"/>
      <c r="H257" s="20"/>
    </row>
    <row r="258" spans="1:8" ht="13.15">
      <c r="A258" s="19"/>
      <c r="B258" s="19"/>
      <c r="C258" s="19"/>
      <c r="D258" s="19"/>
      <c r="E258" s="20"/>
      <c r="F258" s="19"/>
      <c r="G258" s="19"/>
      <c r="H258" s="20"/>
    </row>
    <row r="259" spans="1:8" ht="13.15">
      <c r="A259" s="19"/>
      <c r="B259" s="19"/>
      <c r="C259" s="19"/>
      <c r="D259" s="19"/>
      <c r="E259" s="20"/>
      <c r="F259" s="19"/>
      <c r="G259" s="19"/>
      <c r="H259" s="20"/>
    </row>
    <row r="260" spans="1:8" ht="13.15">
      <c r="A260" s="19"/>
      <c r="B260" s="19"/>
      <c r="C260" s="19"/>
      <c r="D260" s="19"/>
      <c r="E260" s="20"/>
      <c r="F260" s="19"/>
      <c r="G260" s="19"/>
      <c r="H260" s="20"/>
    </row>
    <row r="261" spans="1:8" ht="13.15">
      <c r="A261" s="19"/>
      <c r="B261" s="19"/>
      <c r="C261" s="19"/>
      <c r="D261" s="19"/>
      <c r="E261" s="20"/>
      <c r="F261" s="19"/>
      <c r="G261" s="19"/>
      <c r="H261" s="20"/>
    </row>
    <row r="262" spans="1:8" ht="13.15">
      <c r="A262" s="19"/>
      <c r="B262" s="19"/>
      <c r="C262" s="19"/>
      <c r="D262" s="19"/>
      <c r="E262" s="20"/>
      <c r="F262" s="19"/>
      <c r="G262" s="19"/>
      <c r="H262" s="20"/>
    </row>
    <row r="263" spans="1:8" ht="13.15">
      <c r="A263" s="19"/>
      <c r="B263" s="19"/>
      <c r="C263" s="19"/>
      <c r="D263" s="19"/>
      <c r="E263" s="20"/>
      <c r="F263" s="19"/>
      <c r="G263" s="19"/>
      <c r="H263" s="20"/>
    </row>
    <row r="264" spans="1:8" ht="13.15">
      <c r="A264" s="19"/>
      <c r="B264" s="19"/>
      <c r="C264" s="19"/>
      <c r="D264" s="19"/>
      <c r="E264" s="20"/>
      <c r="F264" s="19"/>
      <c r="G264" s="19"/>
      <c r="H264" s="20"/>
    </row>
    <row r="265" spans="1:8" ht="13.15">
      <c r="A265" s="19"/>
      <c r="B265" s="19"/>
      <c r="C265" s="19"/>
      <c r="D265" s="19"/>
      <c r="E265" s="20"/>
      <c r="F265" s="19"/>
      <c r="G265" s="19"/>
      <c r="H265" s="20"/>
    </row>
    <row r="266" spans="1:8" ht="13.15">
      <c r="A266" s="19"/>
      <c r="B266" s="19"/>
      <c r="C266" s="19"/>
      <c r="D266" s="19"/>
      <c r="E266" s="20"/>
      <c r="F266" s="19"/>
      <c r="G266" s="19"/>
      <c r="H266" s="20"/>
    </row>
    <row r="267" spans="1:8" ht="13.15">
      <c r="A267" s="19"/>
      <c r="B267" s="19"/>
      <c r="C267" s="19"/>
      <c r="D267" s="19"/>
      <c r="E267" s="20"/>
      <c r="F267" s="19"/>
      <c r="G267" s="19"/>
      <c r="H267" s="20"/>
    </row>
    <row r="268" spans="1:8" ht="13.15">
      <c r="A268" s="19"/>
      <c r="B268" s="19"/>
      <c r="C268" s="19"/>
      <c r="D268" s="19"/>
      <c r="E268" s="20"/>
      <c r="F268" s="19"/>
      <c r="G268" s="19"/>
      <c r="H268" s="20"/>
    </row>
    <row r="269" spans="1:8" ht="13.15">
      <c r="A269" s="19"/>
      <c r="B269" s="19"/>
      <c r="C269" s="19"/>
      <c r="D269" s="19"/>
      <c r="E269" s="20"/>
      <c r="F269" s="19"/>
      <c r="G269" s="19"/>
      <c r="H269" s="20"/>
    </row>
    <row r="270" spans="1:8" ht="13.15">
      <c r="A270" s="19"/>
      <c r="B270" s="19"/>
      <c r="C270" s="19"/>
      <c r="D270" s="19"/>
      <c r="E270" s="20"/>
      <c r="F270" s="19"/>
      <c r="G270" s="19"/>
      <c r="H270" s="20"/>
    </row>
    <row r="271" spans="1:8" ht="13.15">
      <c r="A271" s="19"/>
      <c r="B271" s="19"/>
      <c r="C271" s="19"/>
      <c r="D271" s="19"/>
      <c r="E271" s="20"/>
      <c r="F271" s="19"/>
      <c r="G271" s="19"/>
      <c r="H271" s="20"/>
    </row>
    <row r="272" spans="1:8" ht="13.15">
      <c r="A272" s="19"/>
      <c r="B272" s="19"/>
      <c r="C272" s="19"/>
      <c r="D272" s="19"/>
      <c r="E272" s="20"/>
      <c r="F272" s="19"/>
      <c r="G272" s="19"/>
      <c r="H272" s="20"/>
    </row>
    <row r="273" spans="1:8" ht="13.15">
      <c r="A273" s="19"/>
      <c r="B273" s="19"/>
      <c r="C273" s="19"/>
      <c r="D273" s="19"/>
      <c r="E273" s="20"/>
      <c r="F273" s="19"/>
      <c r="G273" s="19"/>
      <c r="H273" s="20"/>
    </row>
    <row r="274" spans="1:8" ht="13.15">
      <c r="A274" s="19"/>
      <c r="B274" s="19"/>
      <c r="C274" s="19"/>
      <c r="D274" s="19"/>
      <c r="E274" s="20"/>
      <c r="F274" s="19"/>
      <c r="G274" s="19"/>
      <c r="H274" s="20"/>
    </row>
    <row r="275" spans="1:8" ht="13.15">
      <c r="A275" s="19"/>
      <c r="B275" s="19"/>
      <c r="C275" s="19"/>
      <c r="D275" s="19"/>
      <c r="E275" s="20"/>
      <c r="F275" s="19"/>
      <c r="G275" s="19"/>
      <c r="H275" s="20"/>
    </row>
    <row r="276" spans="1:8" ht="13.15">
      <c r="A276" s="19"/>
      <c r="B276" s="19"/>
      <c r="C276" s="19"/>
      <c r="D276" s="19"/>
      <c r="E276" s="20"/>
      <c r="F276" s="19"/>
      <c r="G276" s="19"/>
      <c r="H276" s="20"/>
    </row>
    <row r="277" spans="1:8" ht="13.15">
      <c r="A277" s="19"/>
      <c r="B277" s="19"/>
      <c r="C277" s="19"/>
      <c r="D277" s="19"/>
      <c r="E277" s="20"/>
      <c r="F277" s="19"/>
      <c r="G277" s="19"/>
      <c r="H277" s="20"/>
    </row>
    <row r="278" spans="1:8" ht="13.15">
      <c r="A278" s="19"/>
      <c r="B278" s="19"/>
      <c r="C278" s="19"/>
      <c r="D278" s="19"/>
      <c r="E278" s="20"/>
      <c r="F278" s="19"/>
      <c r="G278" s="19"/>
      <c r="H278" s="20"/>
    </row>
    <row r="279" spans="1:8" ht="13.15">
      <c r="A279" s="19"/>
      <c r="B279" s="19"/>
      <c r="C279" s="19"/>
      <c r="D279" s="19"/>
      <c r="E279" s="20"/>
      <c r="F279" s="19"/>
      <c r="G279" s="19"/>
      <c r="H279" s="20"/>
    </row>
    <row r="280" spans="1:8" ht="13.15">
      <c r="A280" s="19"/>
      <c r="B280" s="19"/>
      <c r="C280" s="19"/>
      <c r="D280" s="19"/>
      <c r="E280" s="20"/>
      <c r="F280" s="19"/>
      <c r="G280" s="19"/>
      <c r="H280" s="20"/>
    </row>
    <row r="281" spans="1:8" ht="13.15">
      <c r="A281" s="19"/>
      <c r="B281" s="19"/>
      <c r="C281" s="19"/>
      <c r="D281" s="19"/>
      <c r="E281" s="20"/>
      <c r="F281" s="19"/>
      <c r="G281" s="19"/>
      <c r="H281" s="20"/>
    </row>
    <row r="282" spans="1:8" ht="13.15">
      <c r="A282" s="19"/>
      <c r="B282" s="19"/>
      <c r="C282" s="19"/>
      <c r="D282" s="19"/>
      <c r="E282" s="20"/>
      <c r="F282" s="19"/>
      <c r="G282" s="19"/>
      <c r="H282" s="20"/>
    </row>
    <row r="283" spans="1:8" ht="13.15">
      <c r="A283" s="19"/>
      <c r="B283" s="19"/>
      <c r="C283" s="19"/>
      <c r="D283" s="19"/>
      <c r="E283" s="20"/>
      <c r="F283" s="19"/>
      <c r="G283" s="19"/>
      <c r="H283" s="20"/>
    </row>
    <row r="284" spans="1:8" ht="13.15">
      <c r="A284" s="19"/>
      <c r="B284" s="19"/>
      <c r="C284" s="19"/>
      <c r="D284" s="19"/>
      <c r="E284" s="20"/>
      <c r="F284" s="19"/>
      <c r="G284" s="19"/>
      <c r="H284" s="20"/>
    </row>
    <row r="285" spans="1:8" ht="13.15">
      <c r="A285" s="19"/>
      <c r="B285" s="19"/>
      <c r="C285" s="19"/>
      <c r="D285" s="19"/>
      <c r="E285" s="20"/>
      <c r="F285" s="19"/>
      <c r="G285" s="19"/>
      <c r="H285" s="20"/>
    </row>
    <row r="286" spans="1:8" ht="13.15">
      <c r="A286" s="19"/>
      <c r="B286" s="19"/>
      <c r="C286" s="19"/>
      <c r="D286" s="19"/>
      <c r="E286" s="20"/>
      <c r="F286" s="19"/>
      <c r="G286" s="19"/>
      <c r="H286" s="20"/>
    </row>
    <row r="287" spans="1:8" ht="13.15">
      <c r="A287" s="19"/>
      <c r="B287" s="19"/>
      <c r="C287" s="19"/>
      <c r="D287" s="19"/>
      <c r="E287" s="20"/>
      <c r="F287" s="19"/>
      <c r="G287" s="19"/>
      <c r="H287" s="20"/>
    </row>
    <row r="288" spans="1:8" ht="13.15">
      <c r="A288" s="19"/>
      <c r="B288" s="19"/>
      <c r="C288" s="19"/>
      <c r="D288" s="19"/>
      <c r="E288" s="20"/>
      <c r="F288" s="19"/>
      <c r="G288" s="19"/>
      <c r="H288" s="20"/>
    </row>
    <row r="289" spans="1:8" ht="13.15">
      <c r="A289" s="19"/>
      <c r="B289" s="19"/>
      <c r="C289" s="19"/>
      <c r="D289" s="19"/>
      <c r="E289" s="20"/>
      <c r="F289" s="19"/>
      <c r="G289" s="19"/>
      <c r="H289" s="20"/>
    </row>
    <row r="290" spans="1:8" ht="13.15">
      <c r="A290" s="19"/>
      <c r="B290" s="19"/>
      <c r="C290" s="19"/>
      <c r="D290" s="19"/>
      <c r="E290" s="20"/>
      <c r="F290" s="19"/>
      <c r="G290" s="19"/>
      <c r="H290" s="20"/>
    </row>
    <row r="291" spans="1:8" ht="13.15">
      <c r="A291" s="19"/>
      <c r="B291" s="19"/>
      <c r="C291" s="19"/>
      <c r="D291" s="19"/>
      <c r="E291" s="20"/>
      <c r="F291" s="19"/>
      <c r="G291" s="19"/>
      <c r="H291" s="20"/>
    </row>
    <row r="292" spans="1:8" ht="13.15">
      <c r="A292" s="19"/>
      <c r="B292" s="19"/>
      <c r="C292" s="19"/>
      <c r="D292" s="19"/>
      <c r="E292" s="20"/>
      <c r="F292" s="19"/>
      <c r="G292" s="19"/>
      <c r="H292" s="20"/>
    </row>
    <row r="293" spans="1:8" ht="13.15">
      <c r="A293" s="19"/>
      <c r="B293" s="19"/>
      <c r="C293" s="19"/>
      <c r="D293" s="19"/>
      <c r="E293" s="20"/>
      <c r="F293" s="19"/>
      <c r="G293" s="19"/>
      <c r="H293" s="20"/>
    </row>
    <row r="294" spans="1:8" ht="13.15">
      <c r="A294" s="19"/>
      <c r="B294" s="19"/>
      <c r="C294" s="19"/>
      <c r="D294" s="19"/>
      <c r="E294" s="20"/>
      <c r="F294" s="19"/>
      <c r="G294" s="19"/>
      <c r="H294" s="20"/>
    </row>
    <row r="295" spans="1:8" ht="13.15">
      <c r="A295" s="19"/>
      <c r="B295" s="19"/>
      <c r="C295" s="19"/>
      <c r="D295" s="19"/>
      <c r="E295" s="20"/>
      <c r="F295" s="19"/>
      <c r="G295" s="19"/>
      <c r="H295" s="20"/>
    </row>
    <row r="296" spans="1:8" ht="13.15">
      <c r="A296" s="19"/>
      <c r="B296" s="19"/>
      <c r="C296" s="19"/>
      <c r="D296" s="19"/>
      <c r="E296" s="20"/>
      <c r="F296" s="19"/>
      <c r="G296" s="19"/>
      <c r="H296" s="20"/>
    </row>
    <row r="297" spans="1:8" ht="13.15">
      <c r="A297" s="19"/>
      <c r="B297" s="19"/>
      <c r="C297" s="19"/>
      <c r="D297" s="19"/>
      <c r="E297" s="20"/>
      <c r="F297" s="19"/>
      <c r="G297" s="19"/>
      <c r="H297" s="20"/>
    </row>
    <row r="298" spans="1:8" ht="13.15">
      <c r="A298" s="19"/>
      <c r="B298" s="19"/>
      <c r="C298" s="19"/>
      <c r="D298" s="19"/>
      <c r="E298" s="20"/>
      <c r="F298" s="19"/>
      <c r="G298" s="19"/>
      <c r="H298" s="20"/>
    </row>
    <row r="299" spans="1:8" ht="13.15">
      <c r="A299" s="19"/>
      <c r="B299" s="19"/>
      <c r="C299" s="19"/>
      <c r="D299" s="19"/>
      <c r="E299" s="20"/>
      <c r="F299" s="19"/>
      <c r="G299" s="19"/>
      <c r="H299" s="20"/>
    </row>
    <row r="300" spans="1:8" ht="13.15">
      <c r="A300" s="19"/>
      <c r="B300" s="19"/>
      <c r="C300" s="19"/>
      <c r="D300" s="19"/>
      <c r="E300" s="20"/>
      <c r="F300" s="19"/>
      <c r="G300" s="19"/>
      <c r="H300" s="20"/>
    </row>
    <row r="301" spans="1:8" ht="13.15">
      <c r="A301" s="19"/>
      <c r="B301" s="19"/>
      <c r="C301" s="19"/>
      <c r="D301" s="19"/>
      <c r="E301" s="20"/>
      <c r="F301" s="19"/>
      <c r="G301" s="19"/>
      <c r="H301" s="20"/>
    </row>
    <row r="302" spans="1:8" ht="13.15">
      <c r="A302" s="19"/>
      <c r="B302" s="19"/>
      <c r="C302" s="19"/>
      <c r="D302" s="19"/>
      <c r="E302" s="20"/>
      <c r="F302" s="19"/>
      <c r="G302" s="19"/>
      <c r="H302" s="20"/>
    </row>
    <row r="303" spans="1:8" ht="13.15">
      <c r="A303" s="19"/>
      <c r="B303" s="19"/>
      <c r="C303" s="19"/>
      <c r="D303" s="19"/>
      <c r="E303" s="20"/>
      <c r="F303" s="19"/>
      <c r="G303" s="19"/>
      <c r="H303" s="20"/>
    </row>
    <row r="304" spans="1:8" ht="13.15">
      <c r="A304" s="19"/>
      <c r="B304" s="19"/>
      <c r="C304" s="19"/>
      <c r="D304" s="19"/>
      <c r="E304" s="20"/>
      <c r="F304" s="19"/>
      <c r="G304" s="19"/>
      <c r="H304" s="20"/>
    </row>
    <row r="305" spans="1:8" ht="13.15">
      <c r="A305" s="19"/>
      <c r="B305" s="19"/>
      <c r="C305" s="19"/>
      <c r="D305" s="19"/>
      <c r="E305" s="20"/>
      <c r="F305" s="19"/>
      <c r="G305" s="19"/>
      <c r="H305" s="20"/>
    </row>
    <row r="306" spans="1:8" ht="13.15">
      <c r="A306" s="19"/>
      <c r="B306" s="19"/>
      <c r="C306" s="19"/>
      <c r="D306" s="19"/>
      <c r="E306" s="20"/>
      <c r="F306" s="19"/>
      <c r="G306" s="19"/>
      <c r="H306" s="20"/>
    </row>
    <row r="307" spans="1:8" ht="13.15">
      <c r="A307" s="19"/>
      <c r="B307" s="19"/>
      <c r="C307" s="19"/>
      <c r="D307" s="19"/>
      <c r="E307" s="20"/>
      <c r="F307" s="19"/>
      <c r="G307" s="19"/>
      <c r="H307" s="20"/>
    </row>
    <row r="308" spans="1:8" ht="13.15">
      <c r="A308" s="19"/>
      <c r="B308" s="19"/>
      <c r="C308" s="19"/>
      <c r="D308" s="19"/>
      <c r="E308" s="20"/>
      <c r="F308" s="19"/>
      <c r="G308" s="19"/>
      <c r="H308" s="20"/>
    </row>
    <row r="309" spans="1:8" ht="13.15">
      <c r="A309" s="19"/>
      <c r="B309" s="19"/>
      <c r="C309" s="19"/>
      <c r="D309" s="19"/>
      <c r="E309" s="20"/>
      <c r="F309" s="19"/>
      <c r="G309" s="19"/>
      <c r="H309" s="20"/>
    </row>
    <row r="310" spans="1:8" ht="13.15">
      <c r="A310" s="19"/>
      <c r="B310" s="19"/>
      <c r="C310" s="19"/>
      <c r="D310" s="19"/>
      <c r="E310" s="20"/>
      <c r="F310" s="19"/>
      <c r="G310" s="19"/>
      <c r="H310" s="20"/>
    </row>
    <row r="311" spans="1:8" ht="13.15">
      <c r="A311" s="19"/>
      <c r="B311" s="19"/>
      <c r="C311" s="19"/>
      <c r="D311" s="19"/>
      <c r="E311" s="20"/>
      <c r="F311" s="19"/>
      <c r="G311" s="19"/>
      <c r="H311" s="20"/>
    </row>
    <row r="312" spans="1:8" ht="13.15">
      <c r="A312" s="19"/>
      <c r="B312" s="19"/>
      <c r="C312" s="19"/>
      <c r="D312" s="19"/>
      <c r="E312" s="20"/>
      <c r="F312" s="19"/>
      <c r="G312" s="19"/>
      <c r="H312" s="20"/>
    </row>
    <row r="313" spans="1:8" ht="13.15">
      <c r="A313" s="19"/>
      <c r="B313" s="19"/>
      <c r="C313" s="19"/>
      <c r="D313" s="19"/>
      <c r="E313" s="20"/>
      <c r="F313" s="19"/>
      <c r="G313" s="19"/>
      <c r="H313" s="20"/>
    </row>
    <row r="314" spans="1:8" ht="13.15">
      <c r="A314" s="19"/>
      <c r="B314" s="19"/>
      <c r="C314" s="19"/>
      <c r="D314" s="19"/>
      <c r="E314" s="20"/>
      <c r="F314" s="19"/>
      <c r="G314" s="19"/>
      <c r="H314" s="20"/>
    </row>
    <row r="315" spans="1:8" ht="13.15">
      <c r="A315" s="19"/>
      <c r="B315" s="19"/>
      <c r="C315" s="19"/>
      <c r="D315" s="19"/>
      <c r="E315" s="20"/>
      <c r="F315" s="19"/>
      <c r="G315" s="19"/>
      <c r="H315" s="20"/>
    </row>
    <row r="316" spans="1:8" ht="13.15">
      <c r="A316" s="19"/>
      <c r="B316" s="19"/>
      <c r="C316" s="19"/>
      <c r="D316" s="19"/>
      <c r="E316" s="20"/>
      <c r="F316" s="19"/>
      <c r="G316" s="19"/>
      <c r="H316" s="20"/>
    </row>
    <row r="317" spans="1:8" ht="13.15">
      <c r="A317" s="19"/>
      <c r="B317" s="19"/>
      <c r="C317" s="19"/>
      <c r="D317" s="19"/>
      <c r="E317" s="20"/>
      <c r="F317" s="19"/>
      <c r="G317" s="19"/>
      <c r="H317" s="20"/>
    </row>
    <row r="318" spans="1:8" ht="13.15">
      <c r="A318" s="19"/>
      <c r="B318" s="19"/>
      <c r="C318" s="19"/>
      <c r="D318" s="19"/>
      <c r="E318" s="20"/>
      <c r="F318" s="19"/>
      <c r="G318" s="19"/>
      <c r="H318" s="20"/>
    </row>
    <row r="319" spans="1:8" ht="13.15">
      <c r="A319" s="19"/>
      <c r="B319" s="19"/>
      <c r="C319" s="19"/>
      <c r="D319" s="19"/>
      <c r="E319" s="20"/>
      <c r="F319" s="19"/>
      <c r="G319" s="19"/>
      <c r="H319" s="20"/>
    </row>
    <row r="320" spans="1:8" ht="13.15">
      <c r="A320" s="19"/>
      <c r="B320" s="19"/>
      <c r="C320" s="19"/>
      <c r="D320" s="19"/>
      <c r="E320" s="20"/>
      <c r="F320" s="19"/>
      <c r="G320" s="19"/>
      <c r="H320" s="20"/>
    </row>
    <row r="321" spans="1:8" ht="13.15">
      <c r="A321" s="19"/>
      <c r="B321" s="19"/>
      <c r="C321" s="19"/>
      <c r="D321" s="19"/>
      <c r="E321" s="20"/>
      <c r="F321" s="19"/>
      <c r="G321" s="19"/>
      <c r="H321" s="20"/>
    </row>
    <row r="322" spans="1:8" ht="13.15">
      <c r="A322" s="19"/>
      <c r="B322" s="19"/>
      <c r="C322" s="19"/>
      <c r="D322" s="19"/>
      <c r="E322" s="20"/>
      <c r="F322" s="19"/>
      <c r="G322" s="19"/>
      <c r="H322" s="20"/>
    </row>
    <row r="323" spans="1:8" ht="13.15">
      <c r="A323" s="19"/>
      <c r="B323" s="19"/>
      <c r="C323" s="19"/>
      <c r="D323" s="19"/>
      <c r="E323" s="20"/>
      <c r="F323" s="19"/>
      <c r="G323" s="19"/>
      <c r="H323" s="20"/>
    </row>
    <row r="324" spans="1:8" ht="13.15">
      <c r="A324" s="19"/>
      <c r="B324" s="19"/>
      <c r="C324" s="19"/>
      <c r="D324" s="19"/>
      <c r="E324" s="20"/>
      <c r="F324" s="19"/>
      <c r="G324" s="19"/>
      <c r="H324" s="20"/>
    </row>
    <row r="325" spans="1:8" ht="13.15">
      <c r="A325" s="19"/>
      <c r="B325" s="19"/>
      <c r="C325" s="19"/>
      <c r="D325" s="19"/>
      <c r="E325" s="20"/>
      <c r="F325" s="19"/>
      <c r="G325" s="19"/>
      <c r="H325" s="20"/>
    </row>
    <row r="326" spans="1:8" ht="13.15">
      <c r="A326" s="19"/>
      <c r="B326" s="19"/>
      <c r="C326" s="19"/>
      <c r="D326" s="19"/>
      <c r="E326" s="20"/>
      <c r="F326" s="19"/>
      <c r="G326" s="19"/>
      <c r="H326" s="20"/>
    </row>
    <row r="327" spans="1:8" ht="13.15">
      <c r="A327" s="19"/>
      <c r="B327" s="19"/>
      <c r="C327" s="19"/>
      <c r="D327" s="19"/>
      <c r="E327" s="20"/>
      <c r="F327" s="19"/>
      <c r="G327" s="19"/>
      <c r="H327" s="20"/>
    </row>
    <row r="328" spans="1:8" ht="13.15">
      <c r="A328" s="19"/>
      <c r="B328" s="19"/>
      <c r="C328" s="19"/>
      <c r="D328" s="19"/>
      <c r="E328" s="20"/>
      <c r="F328" s="19"/>
      <c r="G328" s="19"/>
      <c r="H328" s="20"/>
    </row>
    <row r="329" spans="1:8" ht="13.15">
      <c r="A329" s="19"/>
      <c r="B329" s="19"/>
      <c r="C329" s="19"/>
      <c r="D329" s="19"/>
      <c r="E329" s="20"/>
      <c r="F329" s="19"/>
      <c r="G329" s="19"/>
      <c r="H329" s="20"/>
    </row>
    <row r="330" spans="1:8" ht="13.15">
      <c r="A330" s="19"/>
      <c r="B330" s="19"/>
      <c r="C330" s="19"/>
      <c r="D330" s="19"/>
      <c r="E330" s="20"/>
      <c r="F330" s="19"/>
      <c r="G330" s="19"/>
      <c r="H330" s="20"/>
    </row>
    <row r="331" spans="1:8" ht="13.15">
      <c r="A331" s="19"/>
      <c r="B331" s="19"/>
      <c r="C331" s="19"/>
      <c r="D331" s="19"/>
      <c r="E331" s="20"/>
      <c r="F331" s="19"/>
      <c r="G331" s="19"/>
      <c r="H331" s="20"/>
    </row>
    <row r="332" spans="1:8" ht="13.15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36" priority="1" stopIfTrue="1" operator="lessThanOrEqual">
      <formula>-0.1</formula>
    </cfRule>
    <cfRule type="expression" dxfId="35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3"/>
  <sheetViews>
    <sheetView workbookViewId="0">
      <pane xSplit="2" ySplit="3" topLeftCell="C59" activePane="bottomRight" state="frozen"/>
      <selection pane="bottomRight" activeCell="A66" sqref="A66:K6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2" t="str" cm="1">
        <f t="array" ref="A1">portfolio</f>
        <v>Wells Fargo</v>
      </c>
      <c r="B1" s="72"/>
      <c r="C1" s="72"/>
      <c r="D1" s="73" t="s">
        <v>18</v>
      </c>
      <c r="E1" s="73"/>
      <c r="F1" s="73"/>
      <c r="G1" s="71" t="s">
        <v>19</v>
      </c>
      <c r="H1" s="71"/>
      <c r="I1" s="71"/>
      <c r="J1" s="3"/>
      <c r="K1" s="3"/>
    </row>
    <row r="2" spans="1:11" ht="19.5" customHeight="1">
      <c r="A2" s="82" t="s">
        <v>2</v>
      </c>
      <c r="B2" s="82"/>
      <c r="C2" s="4">
        <f>SUM(C4:C65)</f>
        <v>434853.63533934351</v>
      </c>
      <c r="D2" s="4">
        <f>SUM(D4:D65)</f>
        <v>405850.92660000001</v>
      </c>
      <c r="E2" s="4">
        <f>C2-D2</f>
        <v>29002.708739343507</v>
      </c>
      <c r="F2" s="5">
        <f>IFERROR(E2/D2, 0)</f>
        <v>7.1461482131659884E-2</v>
      </c>
      <c r="G2" s="4">
        <f>SUM(G4:G65)</f>
        <v>698800.05</v>
      </c>
      <c r="H2" s="6">
        <f>C2-G2</f>
        <v>-263946.41466065653</v>
      </c>
      <c r="I2" s="5">
        <f>IFERROR(H2/G2, 0)</f>
        <v>-0.37771378903114922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25" t="s">
        <v>3</v>
      </c>
      <c r="B3" s="7" t="s">
        <v>11</v>
      </c>
      <c r="C3" s="11" t="s">
        <v>4</v>
      </c>
      <c r="D3" s="33" t="s">
        <v>5</v>
      </c>
      <c r="E3" s="33" t="s">
        <v>6</v>
      </c>
      <c r="F3" s="34" t="s">
        <v>7</v>
      </c>
      <c r="G3" s="38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668.5</v>
      </c>
      <c r="D4" s="11">
        <v>0</v>
      </c>
      <c r="E4" s="11">
        <f>IF(AND(ISNUMBER(C4),ISNUMBER(D4)), C4-D4, "")</f>
        <v>668.5</v>
      </c>
      <c r="F4" s="12" t="str">
        <f>IFERROR(E4/D4, "")</f>
        <v/>
      </c>
      <c r="G4" s="13">
        <v>660.25800000000004</v>
      </c>
      <c r="H4" s="13">
        <f>IF(AND(ISNUMBER(C4),ISNUMBER(G4)), C4-G4, "")</f>
        <v>8.2419999999999618</v>
      </c>
      <c r="I4" s="14">
        <f>IFERROR(H4/G4, "")</f>
        <v>1.2482999070060433E-2</v>
      </c>
      <c r="J4" s="39"/>
      <c r="K4" s="39"/>
    </row>
    <row r="5" spans="1:11" ht="15.75">
      <c r="A5" s="28" t="str">
        <v>Otay Mesa</v>
      </c>
      <c r="B5" s="29" t="str">
        <v>CA</v>
      </c>
      <c r="C5" s="10">
        <v>37.789000000000001</v>
      </c>
      <c r="D5" s="16">
        <v>0</v>
      </c>
      <c r="E5" s="16">
        <f t="shared" ref="E5:E31" si="0">IF(AND(ISNUMBER(C5),ISNUMBER(D5)), C5-D5, "")</f>
        <v>37.789000000000001</v>
      </c>
      <c r="F5" s="17" t="str">
        <f>IFERROR(E5/D5, "")</f>
        <v/>
      </c>
      <c r="G5" s="18">
        <v>0</v>
      </c>
      <c r="H5" s="18">
        <f t="shared" ref="H5:H6" si="1">IF(AND(ISNUMBER(C5),ISNUMBER(G5)), C5-G5, "")</f>
        <v>37.789000000000001</v>
      </c>
      <c r="I5" s="17" t="str">
        <f t="shared" ref="I5:I6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>
        <v>18587.375</v>
      </c>
      <c r="D6" s="11">
        <v>25565.67</v>
      </c>
      <c r="E6" s="11">
        <f t="shared" si="0"/>
        <v>-6978.2949999999983</v>
      </c>
      <c r="F6" s="12">
        <f t="shared" ref="F6:F31" si="3">IFERROR(E6/D6, "")</f>
        <v>-0.27295568627773098</v>
      </c>
      <c r="G6" s="13">
        <v>22910.168000000001</v>
      </c>
      <c r="H6" s="13">
        <f t="shared" si="1"/>
        <v>-4322.7930000000015</v>
      </c>
      <c r="I6" s="14">
        <f t="shared" si="2"/>
        <v>-0.18868447407282221</v>
      </c>
      <c r="J6" s="39" t="s">
        <v>22</v>
      </c>
      <c r="K6" s="39" t="s">
        <v>23</v>
      </c>
    </row>
    <row r="7" spans="1:11" ht="15.75">
      <c r="A7" s="28" t="str">
        <v>Van Nuys</v>
      </c>
      <c r="B7" s="29" t="str">
        <v>CA</v>
      </c>
      <c r="C7" s="10">
        <v>1267.69792819484</v>
      </c>
      <c r="D7" s="16">
        <v>0</v>
      </c>
      <c r="E7" s="16">
        <f t="shared" si="0"/>
        <v>1267.69792819484</v>
      </c>
      <c r="F7" s="17" t="str">
        <f t="shared" si="3"/>
        <v/>
      </c>
      <c r="G7" s="18">
        <v>1339.7470000000001</v>
      </c>
      <c r="H7" s="18">
        <f t="shared" ref="H7:H31" si="4">IF(AND(ISNUMBER(C7),ISNUMBER(G7)), C7-G7, "")</f>
        <v>-72.049071805160111</v>
      </c>
      <c r="I7" s="17">
        <f t="shared" ref="I7:I31" si="5">IFERROR(H7/G7, "")</f>
        <v>-5.377811766337981E-2</v>
      </c>
      <c r="J7" s="40"/>
      <c r="K7" s="40"/>
    </row>
    <row r="8" spans="1:11" ht="15.75">
      <c r="A8" s="26" t="str">
        <v>98th &amp; Grant</v>
      </c>
      <c r="B8" s="27" t="str">
        <v>CO</v>
      </c>
      <c r="C8" s="22">
        <v>724.20000000000402</v>
      </c>
      <c r="D8" s="11">
        <v>0</v>
      </c>
      <c r="E8" s="11">
        <f t="shared" si="0"/>
        <v>724.20000000000402</v>
      </c>
      <c r="F8" s="12" t="str">
        <f t="shared" si="3"/>
        <v/>
      </c>
      <c r="G8" s="13">
        <v>1165.0160000000001</v>
      </c>
      <c r="H8" s="13">
        <f t="shared" si="4"/>
        <v>-440.81599999999605</v>
      </c>
      <c r="I8" s="14">
        <f t="shared" si="5"/>
        <v>-0.37837763601529595</v>
      </c>
      <c r="J8" s="39"/>
      <c r="K8" s="39"/>
    </row>
    <row r="9" spans="1:11" ht="15.75">
      <c r="A9" s="28" t="str">
        <v>Arapahoe Crossings</v>
      </c>
      <c r="B9" s="29" t="str">
        <v>CO</v>
      </c>
      <c r="C9" s="10">
        <v>2121.2003780567402</v>
      </c>
      <c r="D9" s="16">
        <v>0</v>
      </c>
      <c r="E9" s="16">
        <f t="shared" si="0"/>
        <v>2121.2003780567402</v>
      </c>
      <c r="F9" s="17" t="str">
        <f t="shared" si="3"/>
        <v/>
      </c>
      <c r="G9" s="18">
        <v>2132.9670000000001</v>
      </c>
      <c r="H9" s="18">
        <f t="shared" si="4"/>
        <v>-11.766621943259906</v>
      </c>
      <c r="I9" s="17">
        <f t="shared" si="5"/>
        <v>-5.5165513312019857E-3</v>
      </c>
      <c r="J9" s="40"/>
      <c r="K9" s="40"/>
    </row>
    <row r="10" spans="1:11" ht="15.75">
      <c r="A10" s="26" t="str">
        <v>Aurora City Center</v>
      </c>
      <c r="B10" s="27" t="str">
        <v>CO</v>
      </c>
      <c r="C10" s="22">
        <v>1077.5</v>
      </c>
      <c r="D10" s="11">
        <v>0</v>
      </c>
      <c r="E10" s="11">
        <f t="shared" si="0"/>
        <v>1077.5</v>
      </c>
      <c r="F10" s="12" t="str">
        <f t="shared" si="3"/>
        <v/>
      </c>
      <c r="G10" s="13">
        <v>1040.5160000000001</v>
      </c>
      <c r="H10" s="13">
        <f t="shared" si="4"/>
        <v>36.983999999999924</v>
      </c>
      <c r="I10" s="14">
        <f t="shared" si="5"/>
        <v>3.5543903217249824E-2</v>
      </c>
      <c r="J10" s="39"/>
      <c r="K10" s="39"/>
    </row>
    <row r="11" spans="1:11" ht="15.75">
      <c r="A11" s="28" t="str">
        <v>Dry Creek</v>
      </c>
      <c r="B11" s="29" t="str">
        <v>CO</v>
      </c>
      <c r="C11" s="10">
        <v>-0.40201211551175198</v>
      </c>
      <c r="D11" s="16">
        <v>0</v>
      </c>
      <c r="E11" s="16">
        <f t="shared" si="0"/>
        <v>-0.40201211551175198</v>
      </c>
      <c r="F11" s="17" t="str">
        <f t="shared" si="3"/>
        <v/>
      </c>
      <c r="G11" s="18">
        <v>1258.0160000000001</v>
      </c>
      <c r="H11" s="18">
        <f t="shared" si="4"/>
        <v>-1258.4180121155118</v>
      </c>
      <c r="I11" s="17">
        <f t="shared" si="5"/>
        <v>-1.0003195604153776</v>
      </c>
      <c r="J11" s="40" t="s">
        <v>24</v>
      </c>
      <c r="K11" s="40" t="s">
        <v>25</v>
      </c>
    </row>
    <row r="12" spans="1:11" ht="15.75">
      <c r="A12" s="26" t="str">
        <v>Highlands Ranch S.</v>
      </c>
      <c r="B12" s="27" t="str">
        <v>CO</v>
      </c>
      <c r="C12" s="22">
        <v>1000.7</v>
      </c>
      <c r="D12" s="11">
        <v>0</v>
      </c>
      <c r="E12" s="11">
        <f t="shared" si="0"/>
        <v>1000.7</v>
      </c>
      <c r="F12" s="12" t="str">
        <f t="shared" si="3"/>
        <v/>
      </c>
      <c r="G12" s="13">
        <v>1110.7739999999999</v>
      </c>
      <c r="H12" s="13">
        <f t="shared" si="4"/>
        <v>-110.07399999999984</v>
      </c>
      <c r="I12" s="14">
        <f t="shared" si="5"/>
        <v>-9.9096665928442559E-2</v>
      </c>
      <c r="J12" s="39"/>
      <c r="K12" s="39"/>
    </row>
    <row r="13" spans="1:11" ht="15.75">
      <c r="A13" s="28" t="str">
        <v>Lone Tree</v>
      </c>
      <c r="B13" s="29" t="str">
        <v>CO</v>
      </c>
      <c r="C13" s="10">
        <v>2395.4000000000101</v>
      </c>
      <c r="D13" s="16">
        <v>0</v>
      </c>
      <c r="E13" s="16">
        <f t="shared" si="0"/>
        <v>2395.4000000000101</v>
      </c>
      <c r="F13" s="17" t="str">
        <f t="shared" si="3"/>
        <v/>
      </c>
      <c r="G13" s="18">
        <v>2590.4189999999999</v>
      </c>
      <c r="H13" s="18">
        <f t="shared" si="4"/>
        <v>-195.01899999998977</v>
      </c>
      <c r="I13" s="17">
        <f t="shared" si="5"/>
        <v>-7.5284731929463833E-2</v>
      </c>
      <c r="J13" s="40"/>
      <c r="K13" s="40"/>
    </row>
    <row r="14" spans="1:11" ht="15.75">
      <c r="A14" s="26" t="str">
        <v>Meridian</v>
      </c>
      <c r="B14" s="27" t="str">
        <v>CO</v>
      </c>
      <c r="C14" s="22">
        <v>1646.0999999999799</v>
      </c>
      <c r="D14" s="11">
        <v>0</v>
      </c>
      <c r="E14" s="11">
        <f t="shared" si="0"/>
        <v>1646.0999999999799</v>
      </c>
      <c r="F14" s="12" t="str">
        <f t="shared" si="3"/>
        <v/>
      </c>
      <c r="G14" s="13">
        <v>1355.097</v>
      </c>
      <c r="H14" s="13">
        <f t="shared" si="4"/>
        <v>291.00299999997992</v>
      </c>
      <c r="I14" s="14">
        <f t="shared" si="5"/>
        <v>0.21474698859194577</v>
      </c>
      <c r="J14" s="39"/>
      <c r="K14" s="39"/>
    </row>
    <row r="15" spans="1:11" ht="15.75">
      <c r="A15" s="28" t="str">
        <v>Southglenn</v>
      </c>
      <c r="B15" s="29" t="str">
        <v>CO</v>
      </c>
      <c r="C15" s="10">
        <v>1513</v>
      </c>
      <c r="D15" s="16">
        <v>0</v>
      </c>
      <c r="E15" s="16">
        <f t="shared" si="0"/>
        <v>1513</v>
      </c>
      <c r="F15" s="17" t="str">
        <f t="shared" si="3"/>
        <v/>
      </c>
      <c r="G15" s="18">
        <v>1611.403</v>
      </c>
      <c r="H15" s="18">
        <f t="shared" si="4"/>
        <v>-98.40300000000002</v>
      </c>
      <c r="I15" s="17">
        <f t="shared" si="5"/>
        <v>-6.1066660543638074E-2</v>
      </c>
      <c r="J15" s="40"/>
      <c r="K15" s="40"/>
    </row>
    <row r="16" spans="1:11" ht="15.75">
      <c r="A16" s="26" t="str">
        <v>Standley Lake</v>
      </c>
      <c r="B16" s="27" t="str">
        <v>CO</v>
      </c>
      <c r="C16" s="22">
        <v>2051.1000000000099</v>
      </c>
      <c r="D16" s="11">
        <v>0</v>
      </c>
      <c r="E16" s="11">
        <f t="shared" si="0"/>
        <v>2051.1000000000099</v>
      </c>
      <c r="F16" s="12" t="str">
        <f t="shared" si="3"/>
        <v/>
      </c>
      <c r="G16" s="13">
        <v>2170.4029999999998</v>
      </c>
      <c r="H16" s="13">
        <f t="shared" si="4"/>
        <v>-119.30299999998988</v>
      </c>
      <c r="I16" s="14">
        <f t="shared" si="5"/>
        <v>-5.4968132646328764E-2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1739.79999999999</v>
      </c>
      <c r="D17" s="16">
        <v>0</v>
      </c>
      <c r="E17" s="16">
        <f t="shared" si="0"/>
        <v>1739.79999999999</v>
      </c>
      <c r="F17" s="17" t="str">
        <f t="shared" si="3"/>
        <v/>
      </c>
      <c r="G17" s="18">
        <v>846.25800000000004</v>
      </c>
      <c r="H17" s="18">
        <f t="shared" si="4"/>
        <v>893.54199999998991</v>
      </c>
      <c r="I17" s="17">
        <f t="shared" si="5"/>
        <v>1.055874213301369</v>
      </c>
      <c r="J17" s="40" t="s">
        <v>26</v>
      </c>
      <c r="K17" s="40"/>
    </row>
    <row r="18" spans="1:11" ht="15.75">
      <c r="A18" s="26" t="str">
        <v>East Hartford</v>
      </c>
      <c r="B18" s="27" t="str">
        <v>CT</v>
      </c>
      <c r="C18" s="22">
        <v>119.7</v>
      </c>
      <c r="D18" s="11">
        <v>246.8964</v>
      </c>
      <c r="E18" s="11">
        <f t="shared" si="0"/>
        <v>-127.1964</v>
      </c>
      <c r="F18" s="12">
        <f t="shared" si="3"/>
        <v>-0.51518126631251004</v>
      </c>
      <c r="G18" s="13">
        <v>273.27499999999998</v>
      </c>
      <c r="H18" s="13">
        <f t="shared" si="4"/>
        <v>-153.57499999999999</v>
      </c>
      <c r="I18" s="14">
        <f t="shared" si="5"/>
        <v>-0.56197969078766807</v>
      </c>
      <c r="J18" s="39"/>
      <c r="K18" s="39"/>
    </row>
    <row r="19" spans="1:11" ht="15.75">
      <c r="A19" s="28" t="str">
        <v>Norwalk</v>
      </c>
      <c r="B19" s="29" t="str">
        <v>CT</v>
      </c>
      <c r="C19" s="10">
        <v>117.74057825254</v>
      </c>
      <c r="D19" s="16">
        <v>417.31670000000003</v>
      </c>
      <c r="E19" s="16">
        <f t="shared" si="0"/>
        <v>-299.57612174746004</v>
      </c>
      <c r="F19" s="17">
        <f t="shared" si="3"/>
        <v>-0.71786276884548361</v>
      </c>
      <c r="G19" s="18">
        <v>376.75700000000001</v>
      </c>
      <c r="H19" s="18">
        <f t="shared" si="4"/>
        <v>-259.01642174746002</v>
      </c>
      <c r="I19" s="17">
        <f t="shared" si="5"/>
        <v>-0.68748934126628047</v>
      </c>
      <c r="J19" s="40"/>
      <c r="K19" s="40"/>
    </row>
    <row r="20" spans="1:11" ht="15.75">
      <c r="A20" s="26" t="str">
        <v>Hialeah Gardens</v>
      </c>
      <c r="B20" s="27" t="str">
        <v>FL</v>
      </c>
      <c r="C20" s="22">
        <v>1428.4985294549399</v>
      </c>
      <c r="D20" s="11">
        <v>2582.0729999999999</v>
      </c>
      <c r="E20" s="11">
        <f t="shared" si="0"/>
        <v>-1153.57447054506</v>
      </c>
      <c r="F20" s="12">
        <f t="shared" si="3"/>
        <v>-0.44676291899766585</v>
      </c>
      <c r="G20" s="13">
        <v>3451.6610000000001</v>
      </c>
      <c r="H20" s="13">
        <f t="shared" si="4"/>
        <v>-2023.1624705450602</v>
      </c>
      <c r="I20" s="14">
        <f t="shared" si="5"/>
        <v>-0.58614170700571699</v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>
        <v>12390.9375</v>
      </c>
      <c r="D21" s="16">
        <v>16455.02</v>
      </c>
      <c r="E21" s="16">
        <f t="shared" si="0"/>
        <v>-4064.0825000000004</v>
      </c>
      <c r="F21" s="17">
        <f t="shared" si="3"/>
        <v>-0.24698131633993761</v>
      </c>
      <c r="G21" s="18">
        <v>23956.603999999999</v>
      </c>
      <c r="H21" s="18">
        <f t="shared" si="4"/>
        <v>-11565.666499999999</v>
      </c>
      <c r="I21" s="17">
        <f t="shared" si="5"/>
        <v>-0.48277570977923245</v>
      </c>
      <c r="J21" s="40"/>
      <c r="K21" s="40"/>
    </row>
    <row r="22" spans="1:11" ht="15.75">
      <c r="A22" s="26" t="str">
        <v>W. Des Moines Campus EAST</v>
      </c>
      <c r="B22" s="27" t="str">
        <v>IA</v>
      </c>
      <c r="C22" s="22">
        <v>62192.5</v>
      </c>
      <c r="D22" s="11">
        <v>8477.2479999999996</v>
      </c>
      <c r="E22" s="11">
        <f t="shared" si="0"/>
        <v>53715.252</v>
      </c>
      <c r="F22" s="12">
        <f t="shared" si="3"/>
        <v>6.3364020965294401</v>
      </c>
      <c r="G22" s="13">
        <v>105997.32</v>
      </c>
      <c r="H22" s="13">
        <f t="shared" si="4"/>
        <v>-43804.820000000007</v>
      </c>
      <c r="I22" s="14">
        <f t="shared" si="5"/>
        <v>-0.41326346741596864</v>
      </c>
      <c r="J22" s="39" t="s">
        <v>27</v>
      </c>
      <c r="K22" s="39" t="s">
        <v>28</v>
      </c>
    </row>
    <row r="23" spans="1:11" ht="28.5">
      <c r="A23" s="28" t="str">
        <v>W. Des Moines Campus SW</v>
      </c>
      <c r="B23" s="29" t="str">
        <v>IA</v>
      </c>
      <c r="C23" s="10">
        <v>25312.5</v>
      </c>
      <c r="D23" s="16">
        <v>4681.4859999999999</v>
      </c>
      <c r="E23" s="16">
        <f t="shared" si="0"/>
        <v>20631.013999999999</v>
      </c>
      <c r="F23" s="17">
        <f t="shared" si="3"/>
        <v>4.4069370281145774</v>
      </c>
      <c r="G23" s="18">
        <v>55952.783000000003</v>
      </c>
      <c r="H23" s="18">
        <f t="shared" si="4"/>
        <v>-30640.283000000003</v>
      </c>
      <c r="I23" s="17">
        <f t="shared" si="5"/>
        <v>-0.54760963364413884</v>
      </c>
      <c r="J23" s="40" t="s">
        <v>29</v>
      </c>
      <c r="K23" s="40" t="s">
        <v>30</v>
      </c>
    </row>
    <row r="24" spans="1:11" ht="15.75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0"/>
        <v>0</v>
      </c>
      <c r="F24" s="12" t="str">
        <f t="shared" si="3"/>
        <v/>
      </c>
      <c r="G24" s="13">
        <v>0</v>
      </c>
      <c r="H24" s="13">
        <f t="shared" si="4"/>
        <v>0</v>
      </c>
      <c r="I24" s="14" t="str">
        <f t="shared" si="5"/>
        <v/>
      </c>
      <c r="J24" s="39" t="s">
        <v>31</v>
      </c>
      <c r="K24" s="39" t="s">
        <v>32</v>
      </c>
    </row>
    <row r="25" spans="1:11" ht="15.75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0"/>
        <v>0</v>
      </c>
      <c r="F25" s="17" t="str">
        <f t="shared" si="3"/>
        <v/>
      </c>
      <c r="G25" s="18">
        <v>0</v>
      </c>
      <c r="H25" s="18">
        <f t="shared" si="4"/>
        <v>0</v>
      </c>
      <c r="I25" s="17" t="str">
        <f t="shared" si="5"/>
        <v/>
      </c>
      <c r="J25" s="40" t="s">
        <v>31</v>
      </c>
      <c r="K25" s="40" t="s">
        <v>33</v>
      </c>
    </row>
    <row r="26" spans="1:11" ht="15.75">
      <c r="A26" s="26" t="str">
        <v>East Windsor</v>
      </c>
      <c r="B26" s="27" t="str">
        <v>NJ</v>
      </c>
      <c r="C26" s="22">
        <v>234.39999999999799</v>
      </c>
      <c r="D26" s="11">
        <v>395.19540000000001</v>
      </c>
      <c r="E26" s="11">
        <f t="shared" si="0"/>
        <v>-160.79540000000202</v>
      </c>
      <c r="F26" s="12">
        <f t="shared" si="3"/>
        <v>-0.40687568731822793</v>
      </c>
      <c r="G26" s="13">
        <v>408.178</v>
      </c>
      <c r="H26" s="13">
        <f t="shared" si="4"/>
        <v>-173.77800000000201</v>
      </c>
      <c r="I26" s="14">
        <f t="shared" si="5"/>
        <v>-0.42574073075962449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720</v>
      </c>
      <c r="D27" s="16">
        <v>848.94200000000001</v>
      </c>
      <c r="E27" s="16">
        <f t="shared" si="0"/>
        <v>-128.94200000000001</v>
      </c>
      <c r="F27" s="17">
        <f t="shared" si="3"/>
        <v>-0.15188552339264638</v>
      </c>
      <c r="G27" s="18">
        <v>1105.296</v>
      </c>
      <c r="H27" s="18">
        <f t="shared" si="4"/>
        <v>-385.29600000000005</v>
      </c>
      <c r="I27" s="17">
        <f t="shared" si="5"/>
        <v>-0.34859078473096805</v>
      </c>
      <c r="J27" s="40"/>
      <c r="K27" s="40"/>
    </row>
    <row r="28" spans="1:11" ht="15.75">
      <c r="A28" s="26" t="str">
        <v>Bayonne</v>
      </c>
      <c r="B28" s="27" t="str">
        <v>NJ</v>
      </c>
      <c r="C28" s="22">
        <v>792.69999999999698</v>
      </c>
      <c r="D28" s="11">
        <v>1075.8119999999999</v>
      </c>
      <c r="E28" s="11">
        <f t="shared" si="0"/>
        <v>-283.11200000000292</v>
      </c>
      <c r="F28" s="12">
        <f t="shared" si="3"/>
        <v>-0.26316122147736126</v>
      </c>
      <c r="G28" s="13">
        <v>2010.779</v>
      </c>
      <c r="H28" s="13">
        <f t="shared" si="4"/>
        <v>-1218.0790000000029</v>
      </c>
      <c r="I28" s="14">
        <f t="shared" si="5"/>
        <v>-0.60577467737628199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824.296875</v>
      </c>
      <c r="D29" s="16">
        <v>1479.194</v>
      </c>
      <c r="E29" s="16">
        <f t="shared" si="0"/>
        <v>-654.89712499999996</v>
      </c>
      <c r="F29" s="17">
        <f t="shared" si="3"/>
        <v>-0.44273917079166086</v>
      </c>
      <c r="G29" s="18">
        <v>2566.1019999999999</v>
      </c>
      <c r="H29" s="18">
        <f t="shared" si="4"/>
        <v>-1741.8051249999999</v>
      </c>
      <c r="I29" s="17">
        <f t="shared" si="5"/>
        <v>-0.67877470381146188</v>
      </c>
      <c r="J29" s="40"/>
      <c r="K29" s="40"/>
    </row>
    <row r="30" spans="1:11" ht="15.75">
      <c r="A30" s="26" t="str">
        <v>North Elizabeth</v>
      </c>
      <c r="B30" s="27" t="str">
        <v>NJ</v>
      </c>
      <c r="C30" s="22">
        <v>784.099999999999</v>
      </c>
      <c r="D30" s="11">
        <v>751.98900000000003</v>
      </c>
      <c r="E30" s="11">
        <f t="shared" si="0"/>
        <v>32.110999999998967</v>
      </c>
      <c r="F30" s="12">
        <f t="shared" si="3"/>
        <v>4.270142249421064E-2</v>
      </c>
      <c r="G30" s="13">
        <v>1413.1279999999999</v>
      </c>
      <c r="H30" s="13">
        <f t="shared" si="4"/>
        <v>-629.02800000000093</v>
      </c>
      <c r="I30" s="14">
        <f t="shared" si="5"/>
        <v>-0.44513165120215648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494.19999999999698</v>
      </c>
      <c r="D31" s="16">
        <v>789.42079999999999</v>
      </c>
      <c r="E31" s="16">
        <f t="shared" si="0"/>
        <v>-295.22080000000301</v>
      </c>
      <c r="F31" s="17">
        <f t="shared" si="3"/>
        <v>-0.37397139776403537</v>
      </c>
      <c r="G31" s="18">
        <v>999.19299999999998</v>
      </c>
      <c r="H31" s="18">
        <f t="shared" si="4"/>
        <v>-504.99300000000301</v>
      </c>
      <c r="I31" s="17">
        <f t="shared" si="5"/>
        <v>-0.50540085849280669</v>
      </c>
      <c r="J31" s="40"/>
      <c r="K31" s="40"/>
    </row>
    <row r="32" spans="1:11" ht="15.75">
      <c r="A32" s="26" t="str">
        <v>Parsippany</v>
      </c>
      <c r="B32" s="27" t="str">
        <v>NJ</v>
      </c>
      <c r="C32" s="22">
        <v>583.80000000000302</v>
      </c>
      <c r="D32" s="11">
        <v>1291.575</v>
      </c>
      <c r="E32" s="11">
        <f t="shared" ref="E32:E44" si="6">IF(AND(ISNUMBER(C32),ISNUMBER(D32)), C32-D32, "")</f>
        <v>-707.77499999999702</v>
      </c>
      <c r="F32" s="12">
        <f t="shared" ref="F32:F44" si="7">IFERROR(E32/D32, "")</f>
        <v>-0.54799372858718776</v>
      </c>
      <c r="G32" s="13">
        <v>1156.298</v>
      </c>
      <c r="H32" s="13">
        <f t="shared" ref="H32:H44" si="8">IF(AND(ISNUMBER(C32),ISNUMBER(G32)), C32-G32, "")</f>
        <v>-572.49799999999698</v>
      </c>
      <c r="I32" s="14">
        <f t="shared" ref="I32:I44" si="9">IFERROR(H32/G32, "")</f>
        <v>-0.49511285153135004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559.79999999999598</v>
      </c>
      <c r="D33" s="16">
        <v>806.62959999999998</v>
      </c>
      <c r="E33" s="16">
        <f t="shared" si="6"/>
        <v>-246.82960000000401</v>
      </c>
      <c r="F33" s="17">
        <f t="shared" si="7"/>
        <v>-0.30600116831815249</v>
      </c>
      <c r="G33" s="18">
        <v>953.54600000000005</v>
      </c>
      <c r="H33" s="18">
        <f t="shared" si="8"/>
        <v>-393.74600000000407</v>
      </c>
      <c r="I33" s="17">
        <f t="shared" si="9"/>
        <v>-0.41292816497578938</v>
      </c>
      <c r="J33" s="40"/>
      <c r="K33" s="40"/>
    </row>
    <row r="34" spans="1:11" ht="15.75">
      <c r="A34" s="26" t="str">
        <v>Closter</v>
      </c>
      <c r="B34" s="27" t="str">
        <v>NJ</v>
      </c>
      <c r="C34" s="22">
        <v>144.199999999997</v>
      </c>
      <c r="D34" s="11">
        <v>202.64850000000001</v>
      </c>
      <c r="E34" s="11">
        <f t="shared" si="6"/>
        <v>-58.448500000003008</v>
      </c>
      <c r="F34" s="12">
        <f t="shared" si="7"/>
        <v>-0.28842305765896614</v>
      </c>
      <c r="G34" s="13">
        <v>494.76900000000001</v>
      </c>
      <c r="H34" s="13">
        <f t="shared" si="8"/>
        <v>-350.56900000000303</v>
      </c>
      <c r="I34" s="14">
        <f t="shared" si="9"/>
        <v>-0.70855085908778248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450.30000000000302</v>
      </c>
      <c r="D35" s="16">
        <v>643.08439999999996</v>
      </c>
      <c r="E35" s="16">
        <f t="shared" si="6"/>
        <v>-192.78439999999694</v>
      </c>
      <c r="F35" s="17">
        <f t="shared" si="7"/>
        <v>-0.29978086857649938</v>
      </c>
      <c r="G35" s="18">
        <v>809.70399999999995</v>
      </c>
      <c r="H35" s="18">
        <f t="shared" si="8"/>
        <v>-359.40399999999693</v>
      </c>
      <c r="I35" s="17">
        <f t="shared" si="9"/>
        <v>-0.4438708466303698</v>
      </c>
      <c r="J35" s="40"/>
      <c r="K35" s="40"/>
    </row>
    <row r="36" spans="1:11" ht="15.75">
      <c r="A36" s="26" t="str">
        <v>Ellisburg Circle Center</v>
      </c>
      <c r="B36" s="27" t="str">
        <v>NJ</v>
      </c>
      <c r="C36" s="22">
        <v>241</v>
      </c>
      <c r="D36" s="11">
        <v>385.1902</v>
      </c>
      <c r="E36" s="11">
        <f t="shared" si="6"/>
        <v>-144.1902</v>
      </c>
      <c r="F36" s="12">
        <f t="shared" si="7"/>
        <v>-0.37433506875304723</v>
      </c>
      <c r="G36" s="13">
        <v>451.60599999999999</v>
      </c>
      <c r="H36" s="13">
        <f t="shared" si="8"/>
        <v>-210.60599999999999</v>
      </c>
      <c r="I36" s="14">
        <f t="shared" si="9"/>
        <v>-0.46634898562020877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770.89999999999395</v>
      </c>
      <c r="D37" s="16">
        <v>1199.326</v>
      </c>
      <c r="E37" s="16">
        <f t="shared" si="6"/>
        <v>-428.42600000000607</v>
      </c>
      <c r="F37" s="17">
        <f t="shared" si="7"/>
        <v>-0.35722230652883874</v>
      </c>
      <c r="G37" s="18">
        <v>1734.511</v>
      </c>
      <c r="H37" s="18">
        <f t="shared" si="8"/>
        <v>-963.61100000000602</v>
      </c>
      <c r="I37" s="17">
        <f t="shared" si="9"/>
        <v>-0.555551968249268</v>
      </c>
      <c r="J37" s="40"/>
      <c r="K37" s="40"/>
    </row>
    <row r="38" spans="1:11" ht="15.75">
      <c r="A38" s="26" t="str">
        <v>Marlton</v>
      </c>
      <c r="B38" s="27" t="str">
        <v>NJ</v>
      </c>
      <c r="C38" s="22">
        <v>1016.59999999999</v>
      </c>
      <c r="D38" s="11">
        <v>1055.635</v>
      </c>
      <c r="E38" s="11">
        <f t="shared" si="6"/>
        <v>-39.035000000009973</v>
      </c>
      <c r="F38" s="12">
        <f t="shared" si="7"/>
        <v>-3.69777432540698E-2</v>
      </c>
      <c r="G38" s="13">
        <v>1680.2619999999999</v>
      </c>
      <c r="H38" s="13">
        <f t="shared" si="8"/>
        <v>-663.66200000000993</v>
      </c>
      <c r="I38" s="14">
        <f t="shared" si="9"/>
        <v>-0.3949753074223008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994.099999999999</v>
      </c>
      <c r="D39" s="16">
        <v>964.94500000000005</v>
      </c>
      <c r="E39" s="16">
        <f t="shared" si="6"/>
        <v>29.15499999999895</v>
      </c>
      <c r="F39" s="17">
        <f t="shared" si="7"/>
        <v>3.0214157283574659E-2</v>
      </c>
      <c r="G39" s="18">
        <v>1643.9359999999999</v>
      </c>
      <c r="H39" s="18">
        <f t="shared" si="8"/>
        <v>-649.83600000000092</v>
      </c>
      <c r="I39" s="17">
        <f t="shared" si="9"/>
        <v>-0.39529276078874176</v>
      </c>
      <c r="J39" s="40"/>
      <c r="K39" s="40"/>
    </row>
    <row r="40" spans="1:11" ht="15.75">
      <c r="A40" s="26" t="str">
        <v>Whiting Crestwood</v>
      </c>
      <c r="B40" s="27" t="str">
        <v>NJ</v>
      </c>
      <c r="C40" s="22">
        <v>1524.8999999999901</v>
      </c>
      <c r="D40" s="11">
        <v>1991.1859999999999</v>
      </c>
      <c r="E40" s="11">
        <f t="shared" si="6"/>
        <v>-466.28600000000984</v>
      </c>
      <c r="F40" s="12">
        <f t="shared" si="7"/>
        <v>-0.23417500926583948</v>
      </c>
      <c r="G40" s="13">
        <v>2510.9960000000001</v>
      </c>
      <c r="H40" s="13">
        <f t="shared" si="8"/>
        <v>-986.09600000001001</v>
      </c>
      <c r="I40" s="14">
        <f t="shared" si="9"/>
        <v>-0.39271109949996336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1678.6484375</v>
      </c>
      <c r="D41" s="16">
        <v>1609.7439999999999</v>
      </c>
      <c r="E41" s="16">
        <f t="shared" si="6"/>
        <v>68.904437500000085</v>
      </c>
      <c r="F41" s="17">
        <f t="shared" si="7"/>
        <v>4.2804593463308505E-2</v>
      </c>
      <c r="G41" s="18">
        <v>2100.114</v>
      </c>
      <c r="H41" s="18">
        <f t="shared" si="8"/>
        <v>-421.46556250000003</v>
      </c>
      <c r="I41" s="17">
        <f t="shared" si="9"/>
        <v>-0.20068699246802793</v>
      </c>
      <c r="J41" s="40"/>
      <c r="K41" s="40"/>
    </row>
    <row r="42" spans="1:11" ht="15.75">
      <c r="A42" s="26" t="str">
        <v>Manchester</v>
      </c>
      <c r="B42" s="27" t="str">
        <v>NJ</v>
      </c>
      <c r="C42" s="22">
        <v>1243.7</v>
      </c>
      <c r="D42" s="11">
        <v>1242.431</v>
      </c>
      <c r="E42" s="11">
        <f t="shared" si="6"/>
        <v>1.2690000000000055</v>
      </c>
      <c r="F42" s="12">
        <f t="shared" si="7"/>
        <v>1.0213846885662105E-3</v>
      </c>
      <c r="G42" s="13">
        <v>2172.9290000000001</v>
      </c>
      <c r="H42" s="13">
        <f t="shared" si="8"/>
        <v>-929.22900000000004</v>
      </c>
      <c r="I42" s="14">
        <f t="shared" si="9"/>
        <v>-0.42763891503127804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1385.8999999999901</v>
      </c>
      <c r="D43" s="16">
        <v>1614.307</v>
      </c>
      <c r="E43" s="16">
        <f t="shared" si="6"/>
        <v>-228.40700000000993</v>
      </c>
      <c r="F43" s="17">
        <f t="shared" si="7"/>
        <v>-0.1414891962929046</v>
      </c>
      <c r="G43" s="18">
        <v>1978.3620000000001</v>
      </c>
      <c r="H43" s="18">
        <f t="shared" si="8"/>
        <v>-592.46200000000999</v>
      </c>
      <c r="I43" s="17">
        <f t="shared" si="9"/>
        <v>-0.29947097649470117</v>
      </c>
      <c r="J43" s="40"/>
      <c r="K43" s="40"/>
    </row>
    <row r="44" spans="1:11" ht="15.75">
      <c r="A44" s="26" t="str">
        <v>Edison</v>
      </c>
      <c r="B44" s="27" t="str">
        <v>NJ</v>
      </c>
      <c r="C44" s="22">
        <v>923</v>
      </c>
      <c r="D44" s="11">
        <v>960.84810000000004</v>
      </c>
      <c r="E44" s="11">
        <f t="shared" si="6"/>
        <v>-37.848100000000045</v>
      </c>
      <c r="F44" s="12">
        <f t="shared" si="7"/>
        <v>-3.9390305293833687E-2</v>
      </c>
      <c r="G44" s="13">
        <v>1532.135</v>
      </c>
      <c r="H44" s="13">
        <f t="shared" si="8"/>
        <v>-609.13499999999999</v>
      </c>
      <c r="I44" s="14">
        <f t="shared" si="9"/>
        <v>-0.39757266820482529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745.80000000000996</v>
      </c>
      <c r="D45" s="16">
        <v>1052.367</v>
      </c>
      <c r="E45" s="16">
        <f t="shared" ref="E45:E65" si="10">IF(AND(ISNUMBER(C45),ISNUMBER(D45)), C45-D45, "")</f>
        <v>-306.56699999999</v>
      </c>
      <c r="F45" s="17">
        <f t="shared" ref="F45:F65" si="11">IFERROR(E45/D45, "")</f>
        <v>-0.2913118712388264</v>
      </c>
      <c r="G45" s="18">
        <v>1315.7850000000001</v>
      </c>
      <c r="H45" s="18">
        <f t="shared" ref="H45:H65" si="12">IF(AND(ISNUMBER(C45),ISNUMBER(G45)), C45-G45, "")</f>
        <v>-569.98499999999012</v>
      </c>
      <c r="I45" s="17">
        <f t="shared" ref="I45:I65" si="13">IFERROR(H45/G45, "")</f>
        <v>-0.43319007284624017</v>
      </c>
      <c r="J45" s="40"/>
      <c r="K45" s="40"/>
    </row>
    <row r="46" spans="1:11" ht="15.75">
      <c r="A46" s="26" t="str">
        <v>Route 22</v>
      </c>
      <c r="B46" s="27" t="str">
        <v>NJ</v>
      </c>
      <c r="C46" s="22">
        <v>933.70000000000402</v>
      </c>
      <c r="D46" s="11">
        <v>1153.6600000000001</v>
      </c>
      <c r="E46" s="11">
        <f t="shared" si="10"/>
        <v>-219.95999999999606</v>
      </c>
      <c r="F46" s="12">
        <f t="shared" si="11"/>
        <v>-0.19066276025865164</v>
      </c>
      <c r="G46" s="13">
        <v>1296.3989999999999</v>
      </c>
      <c r="H46" s="13">
        <f t="shared" si="12"/>
        <v>-362.69899999999586</v>
      </c>
      <c r="I46" s="14">
        <f t="shared" si="13"/>
        <v>-0.27977420531795838</v>
      </c>
      <c r="J46" s="39"/>
      <c r="K46" s="39"/>
    </row>
    <row r="47" spans="1:11" ht="15.75">
      <c r="A47" s="28" t="str">
        <v>Laurelton</v>
      </c>
      <c r="B47" s="29" t="str">
        <v>NJ</v>
      </c>
      <c r="C47" s="10">
        <v>799.400000000001</v>
      </c>
      <c r="D47" s="16">
        <v>861.14009999999996</v>
      </c>
      <c r="E47" s="16">
        <f t="shared" si="10"/>
        <v>-61.740099999998961</v>
      </c>
      <c r="F47" s="17">
        <f t="shared" si="11"/>
        <v>-7.1695767041854125E-2</v>
      </c>
      <c r="G47" s="18">
        <v>1207.299</v>
      </c>
      <c r="H47" s="18">
        <f t="shared" si="12"/>
        <v>-407.89899999999898</v>
      </c>
      <c r="I47" s="17">
        <f t="shared" si="13"/>
        <v>-0.33786079504745631</v>
      </c>
      <c r="J47" s="40"/>
      <c r="K47" s="40"/>
    </row>
    <row r="48" spans="1:11" ht="15.75">
      <c r="A48" s="26" t="str">
        <v>Mahwah</v>
      </c>
      <c r="B48" s="27" t="str">
        <v>NJ</v>
      </c>
      <c r="C48" s="22">
        <v>530.099999999999</v>
      </c>
      <c r="D48" s="11">
        <v>950.65279999999996</v>
      </c>
      <c r="E48" s="11">
        <f t="shared" si="10"/>
        <v>-420.55280000000096</v>
      </c>
      <c r="F48" s="12">
        <f t="shared" si="11"/>
        <v>-0.44238317080641953</v>
      </c>
      <c r="G48" s="13">
        <v>1061.701</v>
      </c>
      <c r="H48" s="13">
        <f t="shared" si="12"/>
        <v>-531.60100000000102</v>
      </c>
      <c r="I48" s="14">
        <f t="shared" si="13"/>
        <v>-0.50070688451833523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643.099999999999</v>
      </c>
      <c r="D49" s="16">
        <v>924.32209999999998</v>
      </c>
      <c r="E49" s="16">
        <f t="shared" si="10"/>
        <v>-281.22210000000098</v>
      </c>
      <c r="F49" s="17">
        <f t="shared" si="11"/>
        <v>-0.30424686372856496</v>
      </c>
      <c r="G49" s="18">
        <v>1767.34</v>
      </c>
      <c r="H49" s="18">
        <f t="shared" si="12"/>
        <v>-1124.2400000000009</v>
      </c>
      <c r="I49" s="17">
        <f t="shared" si="13"/>
        <v>-0.63611981848427634</v>
      </c>
      <c r="J49" s="40"/>
      <c r="K49" s="40"/>
    </row>
    <row r="50" spans="1:11" ht="15.75">
      <c r="A50" s="26" t="str">
        <v>Bordentown</v>
      </c>
      <c r="B50" s="27" t="str">
        <v>NJ</v>
      </c>
      <c r="C50" s="22">
        <v>705.70000000001198</v>
      </c>
      <c r="D50" s="11">
        <v>734.38490000000002</v>
      </c>
      <c r="E50" s="11">
        <f t="shared" si="10"/>
        <v>-28.684899999988033</v>
      </c>
      <c r="F50" s="12">
        <f t="shared" si="11"/>
        <v>-3.9059762802840896E-2</v>
      </c>
      <c r="G50" s="13">
        <v>1121.3510000000001</v>
      </c>
      <c r="H50" s="13">
        <f t="shared" si="12"/>
        <v>-415.65099999998813</v>
      </c>
      <c r="I50" s="14">
        <f t="shared" si="13"/>
        <v>-0.37066984378663603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440.79999999999899</v>
      </c>
      <c r="D51" s="16">
        <v>493.0951</v>
      </c>
      <c r="E51" s="16">
        <f t="shared" si="10"/>
        <v>-52.295100000001014</v>
      </c>
      <c r="F51" s="17">
        <f t="shared" si="11"/>
        <v>-0.10605479551510655</v>
      </c>
      <c r="G51" s="18">
        <v>750.99599999999998</v>
      </c>
      <c r="H51" s="18">
        <f t="shared" si="12"/>
        <v>-310.19600000000099</v>
      </c>
      <c r="I51" s="17">
        <f t="shared" si="13"/>
        <v>-0.4130461413909009</v>
      </c>
      <c r="J51" s="40"/>
      <c r="K51" s="40"/>
    </row>
    <row r="52" spans="1:11" ht="15.75">
      <c r="A52" s="26" t="str">
        <v>Somerset</v>
      </c>
      <c r="B52" s="27" t="str">
        <v>NJ</v>
      </c>
      <c r="C52" s="22">
        <v>0</v>
      </c>
      <c r="D52" s="11">
        <v>0</v>
      </c>
      <c r="E52" s="11">
        <f t="shared" si="10"/>
        <v>0</v>
      </c>
      <c r="F52" s="12" t="str">
        <f t="shared" si="11"/>
        <v/>
      </c>
      <c r="G52" s="13">
        <v>0</v>
      </c>
      <c r="H52" s="13">
        <f t="shared" si="12"/>
        <v>0</v>
      </c>
      <c r="I52" s="14" t="str">
        <f t="shared" si="13"/>
        <v/>
      </c>
      <c r="J52" s="39" t="s">
        <v>34</v>
      </c>
      <c r="K52" s="39"/>
    </row>
    <row r="53" spans="1:11" ht="15.75">
      <c r="A53" s="28" t="str">
        <v>Clinton Main Relo</v>
      </c>
      <c r="B53" s="29" t="str">
        <v>NJ</v>
      </c>
      <c r="C53" s="10">
        <v>611.73828125</v>
      </c>
      <c r="D53" s="16">
        <v>1001.651</v>
      </c>
      <c r="E53" s="16">
        <f t="shared" si="10"/>
        <v>-389.91271874999995</v>
      </c>
      <c r="F53" s="17">
        <f t="shared" si="11"/>
        <v>-0.38927003392399145</v>
      </c>
      <c r="G53" s="18">
        <v>1153.7650000000001</v>
      </c>
      <c r="H53" s="18">
        <f t="shared" si="12"/>
        <v>-542.0267187500001</v>
      </c>
      <c r="I53" s="17">
        <f t="shared" si="13"/>
        <v>-0.46978953144704516</v>
      </c>
      <c r="J53" s="40"/>
      <c r="K53" s="40"/>
    </row>
    <row r="54" spans="1:11" ht="15.75">
      <c r="A54" s="26" t="str">
        <v>North Brunswick</v>
      </c>
      <c r="B54" s="27" t="str">
        <v>NJ</v>
      </c>
      <c r="C54" s="22">
        <v>740.09999999999104</v>
      </c>
      <c r="D54" s="11">
        <v>851.9058</v>
      </c>
      <c r="E54" s="11">
        <f t="shared" si="10"/>
        <v>-111.80580000000896</v>
      </c>
      <c r="F54" s="12">
        <f t="shared" si="11"/>
        <v>-0.13124197534517193</v>
      </c>
      <c r="G54" s="13">
        <v>1435.0250000000001</v>
      </c>
      <c r="H54" s="13">
        <f t="shared" si="12"/>
        <v>-694.92500000000905</v>
      </c>
      <c r="I54" s="14">
        <f t="shared" si="13"/>
        <v>-0.48425985610007422</v>
      </c>
      <c r="J54" s="39"/>
      <c r="K54" s="39"/>
    </row>
    <row r="55" spans="1:11" ht="15.75">
      <c r="A55" s="28" t="str">
        <v>Cherry Hill</v>
      </c>
      <c r="B55" s="29" t="str">
        <v>NJ</v>
      </c>
      <c r="C55" s="10">
        <v>566.71484375</v>
      </c>
      <c r="D55" s="16">
        <v>844.154</v>
      </c>
      <c r="E55" s="16">
        <f t="shared" si="10"/>
        <v>-277.43915625</v>
      </c>
      <c r="F55" s="17">
        <f t="shared" si="11"/>
        <v>-0.32865941078286665</v>
      </c>
      <c r="G55" s="18">
        <v>928.45899999999995</v>
      </c>
      <c r="H55" s="18">
        <f t="shared" si="12"/>
        <v>-361.74415624999995</v>
      </c>
      <c r="I55" s="17">
        <f t="shared" si="13"/>
        <v>-0.38961780353251996</v>
      </c>
      <c r="J55" s="40"/>
      <c r="K55" s="40"/>
    </row>
    <row r="56" spans="1:11" ht="15.75">
      <c r="A56" s="26" t="str">
        <v>Hainesport</v>
      </c>
      <c r="B56" s="27" t="str">
        <v>NJ</v>
      </c>
      <c r="C56" s="22">
        <v>701.099999999999</v>
      </c>
      <c r="D56" s="11">
        <v>866.38070000000005</v>
      </c>
      <c r="E56" s="11">
        <f t="shared" si="10"/>
        <v>-165.28070000000105</v>
      </c>
      <c r="F56" s="12">
        <f t="shared" si="11"/>
        <v>-0.19077144724022713</v>
      </c>
      <c r="G56" s="13">
        <v>998.58500000000004</v>
      </c>
      <c r="H56" s="13">
        <f t="shared" si="12"/>
        <v>-297.48500000000104</v>
      </c>
      <c r="I56" s="14">
        <f t="shared" si="13"/>
        <v>-0.29790653775091858</v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>
        <v>0</v>
      </c>
      <c r="D57" s="16">
        <v>0</v>
      </c>
      <c r="E57" s="16">
        <f t="shared" si="10"/>
        <v>0</v>
      </c>
      <c r="F57" s="17" t="str">
        <f t="shared" si="11"/>
        <v/>
      </c>
      <c r="G57" s="18">
        <v>0</v>
      </c>
      <c r="H57" s="18">
        <f t="shared" si="12"/>
        <v>0</v>
      </c>
      <c r="I57" s="17" t="str">
        <f t="shared" si="13"/>
        <v/>
      </c>
      <c r="J57" s="40" t="s">
        <v>35</v>
      </c>
      <c r="K57" s="40"/>
    </row>
    <row r="58" spans="1:11" ht="15.75">
      <c r="A58" s="26" t="str">
        <v>San Antonio - Ops Ctr GM</v>
      </c>
      <c r="B58" s="27" t="str">
        <v>TX</v>
      </c>
      <c r="C58" s="22">
        <v>275677</v>
      </c>
      <c r="D58" s="11">
        <v>318383.40000000002</v>
      </c>
      <c r="E58" s="11">
        <f t="shared" si="10"/>
        <v>-42706.400000000023</v>
      </c>
      <c r="F58" s="12">
        <f t="shared" si="11"/>
        <v>-0.13413513392972126</v>
      </c>
      <c r="G58" s="13">
        <v>289610.83399999997</v>
      </c>
      <c r="H58" s="13">
        <f t="shared" si="12"/>
        <v>-13933.833999999973</v>
      </c>
      <c r="I58" s="14">
        <f t="shared" si="13"/>
        <v>-4.811226778898739E-2</v>
      </c>
      <c r="J58" s="39" t="s">
        <v>36</v>
      </c>
      <c r="K58" s="39" t="s">
        <v>37</v>
      </c>
    </row>
    <row r="59" spans="1:11" ht="15.75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0"/>
        <v>0</v>
      </c>
      <c r="F59" s="17" t="str">
        <f t="shared" si="11"/>
        <v/>
      </c>
      <c r="G59" s="18">
        <v>35803.379999999997</v>
      </c>
      <c r="H59" s="18">
        <f t="shared" si="12"/>
        <v>-35803.379999999997</v>
      </c>
      <c r="I59" s="17">
        <f t="shared" si="13"/>
        <v>-1</v>
      </c>
      <c r="J59" s="40" t="s">
        <v>35</v>
      </c>
      <c r="K59" s="40" t="s">
        <v>38</v>
      </c>
    </row>
    <row r="60" spans="1:11" ht="15.75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0"/>
        <v>0</v>
      </c>
      <c r="F60" s="12" t="str">
        <f t="shared" si="11"/>
        <v/>
      </c>
      <c r="G60" s="13"/>
      <c r="H60" s="13" t="str">
        <f t="shared" si="12"/>
        <v/>
      </c>
      <c r="I60" s="14" t="str">
        <f t="shared" si="13"/>
        <v/>
      </c>
      <c r="J60" s="39" t="s">
        <v>35</v>
      </c>
      <c r="K60" s="39" t="s">
        <v>39</v>
      </c>
    </row>
    <row r="61" spans="1:11" ht="15.75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0"/>
        <v>0</v>
      </c>
      <c r="F61" s="17" t="str">
        <f t="shared" si="11"/>
        <v/>
      </c>
      <c r="G61" s="18">
        <v>33517.699000000001</v>
      </c>
      <c r="H61" s="18">
        <f t="shared" si="12"/>
        <v>-33517.699000000001</v>
      </c>
      <c r="I61" s="17">
        <f t="shared" si="13"/>
        <v>-1</v>
      </c>
      <c r="J61" s="40" t="s">
        <v>35</v>
      </c>
      <c r="K61" s="40" t="s">
        <v>40</v>
      </c>
    </row>
    <row r="62" spans="1:11" ht="15.75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0"/>
        <v>0</v>
      </c>
      <c r="F62" s="12" t="str">
        <f t="shared" si="11"/>
        <v/>
      </c>
      <c r="G62" s="13">
        <v>34698.845000000001</v>
      </c>
      <c r="H62" s="13">
        <f t="shared" si="12"/>
        <v>-34698.845000000001</v>
      </c>
      <c r="I62" s="14">
        <f t="shared" si="13"/>
        <v>-1</v>
      </c>
      <c r="J62" s="39" t="s">
        <v>35</v>
      </c>
      <c r="K62" s="39" t="s">
        <v>41</v>
      </c>
    </row>
    <row r="63" spans="1:11" ht="15.75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0"/>
        <v>0</v>
      </c>
      <c r="F63" s="17" t="str">
        <f t="shared" si="11"/>
        <v/>
      </c>
      <c r="G63" s="18">
        <v>34211.300999999999</v>
      </c>
      <c r="H63" s="18">
        <f t="shared" si="12"/>
        <v>-34211.300999999999</v>
      </c>
      <c r="I63" s="17">
        <f t="shared" si="13"/>
        <v>-1</v>
      </c>
      <c r="J63" s="40" t="s">
        <v>35</v>
      </c>
      <c r="K63" s="40" t="s">
        <v>42</v>
      </c>
    </row>
    <row r="64" spans="1:11" ht="15.75">
      <c r="A64" s="26" t="str">
        <v>San Antonio - Ops Ctr (Bldg 104)</v>
      </c>
      <c r="B64" s="27" t="str">
        <v>TX</v>
      </c>
      <c r="C64" s="22">
        <v>0</v>
      </c>
      <c r="D64" s="11">
        <v>0</v>
      </c>
      <c r="E64" s="11">
        <f t="shared" si="10"/>
        <v>0</v>
      </c>
      <c r="F64" s="12" t="str">
        <f t="shared" si="11"/>
        <v/>
      </c>
      <c r="G64" s="13">
        <v>0</v>
      </c>
      <c r="H64" s="13">
        <f t="shared" si="12"/>
        <v>0</v>
      </c>
      <c r="I64" s="14" t="str">
        <f t="shared" si="13"/>
        <v/>
      </c>
      <c r="J64" s="39" t="s">
        <v>35</v>
      </c>
      <c r="K64" s="39" t="s">
        <v>43</v>
      </c>
    </row>
    <row r="65" spans="1:11" ht="15.75">
      <c r="A65" s="28" t="str">
        <v>San Antonio - Ops Ctr (Bldg 102)</v>
      </c>
      <c r="B65" s="29" t="str">
        <v>TX</v>
      </c>
      <c r="C65" s="10">
        <v>0</v>
      </c>
      <c r="D65" s="16">
        <v>0</v>
      </c>
      <c r="E65" s="16">
        <f t="shared" si="10"/>
        <v>0</v>
      </c>
      <c r="F65" s="17" t="str">
        <f t="shared" si="11"/>
        <v/>
      </c>
      <c r="G65" s="18">
        <v>0</v>
      </c>
      <c r="H65" s="18">
        <f t="shared" si="12"/>
        <v>0</v>
      </c>
      <c r="I65" s="17" t="str">
        <f t="shared" si="13"/>
        <v/>
      </c>
      <c r="J65" s="40" t="s">
        <v>35</v>
      </c>
      <c r="K65" s="40" t="s">
        <v>44</v>
      </c>
    </row>
    <row r="66" spans="1:11" ht="15.75">
      <c r="A66" s="26" t="str">
        <v>Lodi - Lodi Vineyard</v>
      </c>
      <c r="B66" s="27" t="str">
        <v>CA</v>
      </c>
      <c r="C66" s="22"/>
      <c r="D66" s="11"/>
      <c r="E66" s="11" t="str">
        <f t="shared" ref="E66:E69" si="14">IF(AND(ISNUMBER(C66),ISNUMBER(D66)), C66-D66, "")</f>
        <v/>
      </c>
      <c r="F66" s="12" t="str">
        <f t="shared" ref="F66:F69" si="15">IFERROR(E66/D66, "")</f>
        <v/>
      </c>
      <c r="G66" s="13"/>
      <c r="H66" s="13" t="str">
        <f t="shared" ref="H66:H69" si="16">IF(AND(ISNUMBER(C66),ISNUMBER(G66)), C66-G66, "")</f>
        <v/>
      </c>
      <c r="I66" s="14" t="str">
        <f t="shared" ref="I66:I69" si="17">IFERROR(H66/G66, "")</f>
        <v/>
      </c>
      <c r="J66" s="39"/>
      <c r="K66" s="39"/>
    </row>
    <row r="67" spans="1:11" ht="15.75">
      <c r="A67" s="28" t="str">
        <v>Arden Fair Mall</v>
      </c>
      <c r="B67" s="29" t="str">
        <v>CA</v>
      </c>
      <c r="C67" s="10"/>
      <c r="D67" s="16"/>
      <c r="E67" s="16" t="str">
        <f t="shared" si="14"/>
        <v/>
      </c>
      <c r="F67" s="17" t="str">
        <f t="shared" si="15"/>
        <v/>
      </c>
      <c r="G67" s="18"/>
      <c r="H67" s="18" t="str">
        <f t="shared" si="16"/>
        <v/>
      </c>
      <c r="I67" s="17" t="str">
        <f t="shared" si="17"/>
        <v/>
      </c>
      <c r="J67" s="40"/>
      <c r="K67" s="40"/>
    </row>
    <row r="68" spans="1:11" ht="15.75">
      <c r="A68" s="26" t="str">
        <v>Modesto - Modesto Main</v>
      </c>
      <c r="B68" s="27" t="str">
        <v>CA</v>
      </c>
      <c r="C68" s="22"/>
      <c r="D68" s="11"/>
      <c r="E68" s="11" t="str">
        <f t="shared" si="14"/>
        <v/>
      </c>
      <c r="F68" s="12" t="str">
        <f t="shared" si="15"/>
        <v/>
      </c>
      <c r="G68" s="13"/>
      <c r="H68" s="13" t="str">
        <f t="shared" si="16"/>
        <v/>
      </c>
      <c r="I68" s="14" t="str">
        <f t="shared" si="17"/>
        <v/>
      </c>
      <c r="J68" s="39"/>
      <c r="K68" s="39"/>
    </row>
    <row r="69" spans="1:11" ht="15.75">
      <c r="A69" s="28" t="str">
        <v>Stevens Creek</v>
      </c>
      <c r="B69" s="29" t="str">
        <v>CA</v>
      </c>
      <c r="C69" s="10"/>
      <c r="D69" s="16"/>
      <c r="E69" s="16" t="str">
        <f t="shared" si="14"/>
        <v/>
      </c>
      <c r="F69" s="17" t="str">
        <f t="shared" si="15"/>
        <v/>
      </c>
      <c r="G69" s="18"/>
      <c r="H69" s="18" t="str">
        <f t="shared" si="16"/>
        <v/>
      </c>
      <c r="I69" s="17" t="str">
        <f t="shared" si="17"/>
        <v/>
      </c>
      <c r="J69" s="40"/>
      <c r="K69" s="40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</sheetData>
  <mergeCells count="4">
    <mergeCell ref="D1:F1"/>
    <mergeCell ref="A1:C1"/>
    <mergeCell ref="G1:I1"/>
    <mergeCell ref="A2:B2"/>
  </mergeCells>
  <conditionalFormatting sqref="F2 I2 F4:F69 I4:I69">
    <cfRule type="cellIs" dxfId="34" priority="6" stopIfTrue="1" operator="lessThanOrEqual">
      <formula>-0.1</formula>
    </cfRule>
    <cfRule type="expression" dxfId="33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workbookViewId="0">
      <pane xSplit="2" ySplit="3" topLeftCell="C52" activePane="bottomRight" state="frozen"/>
      <selection pane="bottomRight" activeCell="A66" sqref="A66:K6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2" ht="19.5" customHeight="1">
      <c r="A1" s="72" t="str" cm="1">
        <f t="array" ref="A1">portfolio</f>
        <v>Wells Fargo</v>
      </c>
      <c r="B1" s="72"/>
      <c r="C1" s="72"/>
      <c r="D1" s="73" t="s">
        <v>45</v>
      </c>
      <c r="E1" s="73"/>
      <c r="F1" s="73"/>
      <c r="G1" s="71" t="s">
        <v>46</v>
      </c>
      <c r="H1" s="71"/>
      <c r="I1" s="71"/>
      <c r="J1" s="3"/>
      <c r="K1" s="3"/>
    </row>
    <row r="2" spans="1:12" ht="19.5" customHeight="1">
      <c r="A2" s="82" t="s">
        <v>2</v>
      </c>
      <c r="B2" s="82"/>
      <c r="C2" s="4">
        <f>SUM(C4:C100)</f>
        <v>650956.60945189407</v>
      </c>
      <c r="D2" s="4">
        <f>SUM(D4:D100)</f>
        <v>702151.33169999998</v>
      </c>
      <c r="E2" s="4">
        <f>C2-D2</f>
        <v>-51194.722248105914</v>
      </c>
      <c r="F2" s="5">
        <f>IFERROR(E2/D2, 0)</f>
        <v>-7.2911237131968135E-2</v>
      </c>
      <c r="G2" s="4">
        <f>SUM(G4:G100)</f>
        <v>903765.68880000024</v>
      </c>
      <c r="H2" s="6">
        <f>C2-G2</f>
        <v>-252809.07934810617</v>
      </c>
      <c r="I2" s="5">
        <f>IFERROR(H2/G2, 0)</f>
        <v>-0.27972856513703281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2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2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11">
        <v>675.2</v>
      </c>
      <c r="D4" s="11">
        <v>0</v>
      </c>
      <c r="E4" s="11">
        <f>IF(AND(ISNUMBER(C4),ISNUMBER(D4)), C4-D4, "")</f>
        <v>675.2</v>
      </c>
      <c r="F4" s="12" t="str">
        <f>IFERROR(E4/D4, "")</f>
        <v/>
      </c>
      <c r="G4" s="13">
        <v>746.37</v>
      </c>
      <c r="H4" s="13">
        <f>IF(AND(ISNUMBER(C4),ISNUMBER(G4)), C4-G4, "")</f>
        <v>-71.169999999999959</v>
      </c>
      <c r="I4" s="14">
        <f>IFERROR(H4/G4, "")</f>
        <v>-9.5354850811259773E-2</v>
      </c>
      <c r="J4" s="39"/>
      <c r="K4" s="39"/>
    </row>
    <row r="5" spans="1:12" ht="15.75">
      <c r="A5" s="28" t="str">
        <v>Otay Mesa</v>
      </c>
      <c r="B5" s="29" t="str">
        <v>CA</v>
      </c>
      <c r="C5" s="10">
        <v>0</v>
      </c>
      <c r="D5" s="16">
        <v>0</v>
      </c>
      <c r="E5" s="16">
        <f>IF(AND(ISNUMBER(C5),ISNUMBER(D5)), C5-D5, "")</f>
        <v>0</v>
      </c>
      <c r="F5" s="17" t="str">
        <f>IFERROR(E5/D5, "")</f>
        <v/>
      </c>
      <c r="G5" s="18">
        <v>0</v>
      </c>
      <c r="H5" s="18">
        <f>IF(AND(ISNUMBER(C5),ISNUMBER(G5)), C5-G5, "")</f>
        <v>0</v>
      </c>
      <c r="I5" s="17" t="str">
        <f t="shared" ref="I5:I65" si="0">IFERROR(H5/G5, "")</f>
        <v/>
      </c>
      <c r="J5" s="40"/>
      <c r="K5" s="40"/>
    </row>
    <row r="6" spans="1:12" ht="15.75">
      <c r="A6" s="26" t="str">
        <v>San Leandro</v>
      </c>
      <c r="B6" s="27" t="str">
        <v>CA</v>
      </c>
      <c r="C6" s="22">
        <v>27875.8125</v>
      </c>
      <c r="D6" s="11">
        <v>31129.31</v>
      </c>
      <c r="E6" s="11">
        <f t="shared" ref="E6:E65" si="1">IF(AND(ISNUMBER(C6),ISNUMBER(D6)), C6-D6, "")</f>
        <v>-3253.4975000000013</v>
      </c>
      <c r="F6" s="12">
        <f t="shared" ref="F6:F65" si="2">IFERROR(E6/D6, "")</f>
        <v>-0.10451556748286425</v>
      </c>
      <c r="G6" s="13">
        <v>25298.6</v>
      </c>
      <c r="H6" s="13">
        <f t="shared" ref="H6:H65" si="3">IF(AND(ISNUMBER(C6),ISNUMBER(G6)), C6-G6, "")</f>
        <v>2577.2125000000015</v>
      </c>
      <c r="I6" s="14">
        <f t="shared" si="0"/>
        <v>0.10187174389096636</v>
      </c>
      <c r="J6" s="39" t="s">
        <v>47</v>
      </c>
      <c r="K6" s="39" t="s">
        <v>48</v>
      </c>
    </row>
    <row r="7" spans="1:12" ht="15.75">
      <c r="A7" s="28" t="str">
        <v>Van Nuys</v>
      </c>
      <c r="B7" s="29" t="str">
        <v>CA</v>
      </c>
      <c r="C7" s="10">
        <v>1221.4997410000001</v>
      </c>
      <c r="D7" s="16">
        <v>0</v>
      </c>
      <c r="E7" s="16">
        <f t="shared" si="1"/>
        <v>1221.4997410000001</v>
      </c>
      <c r="F7" s="17" t="str">
        <f t="shared" si="2"/>
        <v/>
      </c>
      <c r="G7" s="18">
        <v>1486.6469999999999</v>
      </c>
      <c r="H7" s="18">
        <f t="shared" si="3"/>
        <v>-265.14725899999985</v>
      </c>
      <c r="I7" s="17">
        <f t="shared" si="0"/>
        <v>-0.17835253358732764</v>
      </c>
      <c r="J7" s="40"/>
      <c r="K7" s="41"/>
    </row>
    <row r="8" spans="1:12" ht="15.75">
      <c r="A8" s="26" t="str">
        <v>98th &amp; Grant</v>
      </c>
      <c r="B8" s="27" t="str">
        <v>CO</v>
      </c>
      <c r="C8" s="22">
        <v>884</v>
      </c>
      <c r="D8" s="11">
        <v>0</v>
      </c>
      <c r="E8" s="11">
        <f t="shared" si="1"/>
        <v>884</v>
      </c>
      <c r="F8" s="12" t="str">
        <f t="shared" si="2"/>
        <v/>
      </c>
      <c r="G8" s="13">
        <v>1280</v>
      </c>
      <c r="H8" s="13">
        <f t="shared" si="3"/>
        <v>-396</v>
      </c>
      <c r="I8" s="14">
        <f t="shared" si="0"/>
        <v>-0.30937500000000001</v>
      </c>
      <c r="J8" s="39"/>
      <c r="K8" s="39"/>
    </row>
    <row r="9" spans="1:12" ht="15.75">
      <c r="A9" s="28" t="str">
        <v>Arapahoe Crossings</v>
      </c>
      <c r="B9" s="29" t="str">
        <v>CO</v>
      </c>
      <c r="C9" s="10">
        <v>2267.1002079999998</v>
      </c>
      <c r="D9" s="16">
        <v>0</v>
      </c>
      <c r="E9" s="16">
        <f t="shared" si="1"/>
        <v>2267.1002079999998</v>
      </c>
      <c r="F9" s="17" t="str">
        <f t="shared" si="2"/>
        <v/>
      </c>
      <c r="G9" s="18">
        <v>2339.4580000000001</v>
      </c>
      <c r="H9" s="18">
        <f t="shared" si="3"/>
        <v>-72.357792000000245</v>
      </c>
      <c r="I9" s="17">
        <f t="shared" si="0"/>
        <v>-3.0929297298776144E-2</v>
      </c>
      <c r="J9" s="40"/>
      <c r="K9" s="41"/>
    </row>
    <row r="10" spans="1:12" ht="15.75">
      <c r="A10" s="26" t="str">
        <v>Aurora City Center</v>
      </c>
      <c r="B10" s="27" t="str">
        <v>CO</v>
      </c>
      <c r="C10" s="22">
        <v>1176.7</v>
      </c>
      <c r="D10" s="11">
        <v>0</v>
      </c>
      <c r="E10" s="11">
        <f t="shared" si="1"/>
        <v>1176.7</v>
      </c>
      <c r="F10" s="12" t="str">
        <f t="shared" si="2"/>
        <v/>
      </c>
      <c r="G10" s="13">
        <v>1140</v>
      </c>
      <c r="H10" s="13">
        <f t="shared" si="3"/>
        <v>36.700000000000045</v>
      </c>
      <c r="I10" s="14">
        <f t="shared" si="0"/>
        <v>3.2192982456140391E-2</v>
      </c>
      <c r="J10" s="39"/>
      <c r="K10" s="39"/>
    </row>
    <row r="11" spans="1:12" ht="15.75">
      <c r="A11" s="28" t="str">
        <v>Dry Creek</v>
      </c>
      <c r="B11" s="29" t="str">
        <v>CO</v>
      </c>
      <c r="C11" s="10">
        <v>-3.9020056059999999</v>
      </c>
      <c r="D11" s="16">
        <v>0</v>
      </c>
      <c r="E11" s="16">
        <f t="shared" si="1"/>
        <v>-3.9020056059999999</v>
      </c>
      <c r="F11" s="17" t="str">
        <f t="shared" si="2"/>
        <v/>
      </c>
      <c r="G11" s="18">
        <v>1386</v>
      </c>
      <c r="H11" s="18">
        <f t="shared" si="3"/>
        <v>-1389.9020056060001</v>
      </c>
      <c r="I11" s="17">
        <f t="shared" si="0"/>
        <v>-1.002815299860029</v>
      </c>
      <c r="J11" s="40" t="s">
        <v>49</v>
      </c>
      <c r="K11" s="40" t="s">
        <v>25</v>
      </c>
    </row>
    <row r="12" spans="1:12" ht="15.75">
      <c r="A12" s="26" t="str">
        <v>Highlands Ranch S.</v>
      </c>
      <c r="B12" s="27" t="str">
        <v>CO</v>
      </c>
      <c r="C12" s="22">
        <v>1075.3</v>
      </c>
      <c r="D12" s="11">
        <v>0</v>
      </c>
      <c r="E12" s="11">
        <f t="shared" si="1"/>
        <v>1075.3</v>
      </c>
      <c r="F12" s="12" t="str">
        <f t="shared" si="2"/>
        <v/>
      </c>
      <c r="G12" s="13">
        <v>1265</v>
      </c>
      <c r="H12" s="13">
        <f t="shared" si="3"/>
        <v>-189.70000000000005</v>
      </c>
      <c r="I12" s="14">
        <f t="shared" si="0"/>
        <v>-0.14996047430830042</v>
      </c>
      <c r="J12" s="39"/>
      <c r="K12" s="39"/>
    </row>
    <row r="13" spans="1:12" ht="15.75">
      <c r="A13" s="28" t="str">
        <v>Lone Tree</v>
      </c>
      <c r="B13" s="29" t="str">
        <v>CO</v>
      </c>
      <c r="C13" s="10">
        <v>1922.5</v>
      </c>
      <c r="D13" s="16">
        <v>0</v>
      </c>
      <c r="E13" s="16">
        <f t="shared" si="1"/>
        <v>1922.5</v>
      </c>
      <c r="F13" s="17" t="str">
        <f t="shared" si="2"/>
        <v/>
      </c>
      <c r="G13" s="18">
        <v>2891</v>
      </c>
      <c r="H13" s="18">
        <f t="shared" si="3"/>
        <v>-968.5</v>
      </c>
      <c r="I13" s="17">
        <f t="shared" si="0"/>
        <v>-0.33500518851608441</v>
      </c>
      <c r="J13" s="40"/>
      <c r="K13" s="40"/>
    </row>
    <row r="14" spans="1:12" ht="15.75">
      <c r="A14" s="26" t="str">
        <v>Meridian</v>
      </c>
      <c r="B14" s="27" t="str">
        <v>CO</v>
      </c>
      <c r="C14" s="22">
        <v>1964.8</v>
      </c>
      <c r="D14" s="11">
        <v>0</v>
      </c>
      <c r="E14" s="11">
        <f t="shared" si="1"/>
        <v>1964.8</v>
      </c>
      <c r="F14" s="12" t="str">
        <f t="shared" si="2"/>
        <v/>
      </c>
      <c r="G14" s="13">
        <v>1699</v>
      </c>
      <c r="H14" s="13">
        <f t="shared" si="3"/>
        <v>265.79999999999995</v>
      </c>
      <c r="I14" s="14">
        <f t="shared" si="0"/>
        <v>0.15644496762801646</v>
      </c>
      <c r="J14" s="39"/>
      <c r="K14" s="39"/>
      <c r="L14" s="52"/>
    </row>
    <row r="15" spans="1:12" ht="15.75">
      <c r="A15" s="28" t="str">
        <v>Southglenn</v>
      </c>
      <c r="B15" s="29" t="str">
        <v>CO</v>
      </c>
      <c r="C15" s="10">
        <v>1800.9</v>
      </c>
      <c r="D15" s="16">
        <v>0</v>
      </c>
      <c r="E15" s="16">
        <f t="shared" si="1"/>
        <v>1800.9</v>
      </c>
      <c r="F15" s="17" t="str">
        <f t="shared" si="2"/>
        <v/>
      </c>
      <c r="G15" s="18">
        <v>1778</v>
      </c>
      <c r="H15" s="18">
        <f t="shared" si="3"/>
        <v>22.900000000000091</v>
      </c>
      <c r="I15" s="17">
        <f t="shared" si="0"/>
        <v>1.2879640044994426E-2</v>
      </c>
      <c r="J15" s="40"/>
      <c r="K15" s="41"/>
    </row>
    <row r="16" spans="1:12" ht="15.75">
      <c r="A16" s="26" t="str">
        <v>Standley Lake</v>
      </c>
      <c r="B16" s="27" t="str">
        <v>CO</v>
      </c>
      <c r="C16" s="22">
        <v>2393.1</v>
      </c>
      <c r="D16" s="11">
        <v>0</v>
      </c>
      <c r="E16" s="11">
        <f t="shared" si="1"/>
        <v>2393.1</v>
      </c>
      <c r="F16" s="12" t="str">
        <f t="shared" si="2"/>
        <v/>
      </c>
      <c r="G16" s="13">
        <v>2371</v>
      </c>
      <c r="H16" s="13">
        <f t="shared" si="3"/>
        <v>22.099999999999909</v>
      </c>
      <c r="I16" s="14">
        <f t="shared" si="0"/>
        <v>9.3209616195697627E-3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2062.1</v>
      </c>
      <c r="D17" s="16">
        <v>0</v>
      </c>
      <c r="E17" s="16">
        <f t="shared" si="1"/>
        <v>2062.1</v>
      </c>
      <c r="F17" s="17" t="str">
        <f t="shared" si="2"/>
        <v/>
      </c>
      <c r="G17" s="18">
        <v>926</v>
      </c>
      <c r="H17" s="18">
        <f t="shared" si="3"/>
        <v>1136.0999999999999</v>
      </c>
      <c r="I17" s="17">
        <f t="shared" si="0"/>
        <v>1.226889848812095</v>
      </c>
      <c r="J17" s="40" t="s">
        <v>26</v>
      </c>
      <c r="K17" s="41"/>
    </row>
    <row r="18" spans="1:11" ht="12.75" customHeight="1">
      <c r="A18" s="26" t="str">
        <v>East Hartford</v>
      </c>
      <c r="B18" s="27" t="str">
        <v>CT</v>
      </c>
      <c r="C18" s="22">
        <v>277.7</v>
      </c>
      <c r="D18" s="11">
        <v>420.28399999999999</v>
      </c>
      <c r="E18" s="11">
        <f>IF(AND(ISNUMBER(C18),ISNUMBER(D18)), C18-D18, "")</f>
        <v>-142.584</v>
      </c>
      <c r="F18" s="12">
        <f t="shared" si="2"/>
        <v>-0.33925631239828308</v>
      </c>
      <c r="G18" s="13">
        <v>431.18579999999997</v>
      </c>
      <c r="H18" s="13">
        <v>-153</v>
      </c>
      <c r="I18" s="14">
        <f t="shared" si="0"/>
        <v>-0.3548354328922706</v>
      </c>
      <c r="J18" s="39"/>
      <c r="K18" s="39"/>
    </row>
    <row r="19" spans="1:11" ht="15.75">
      <c r="A19" s="28" t="str">
        <v>Norwalk</v>
      </c>
      <c r="B19" s="29" t="str">
        <v>CT</v>
      </c>
      <c r="C19" s="10">
        <v>212.0096935</v>
      </c>
      <c r="D19" s="16">
        <v>641.90620000000001</v>
      </c>
      <c r="E19" s="16">
        <f t="shared" si="1"/>
        <v>-429.89650649999999</v>
      </c>
      <c r="F19" s="17">
        <f t="shared" si="2"/>
        <v>-0.66971857648360456</v>
      </c>
      <c r="G19" s="18">
        <v>490.38749999999999</v>
      </c>
      <c r="H19" s="18">
        <v>-278</v>
      </c>
      <c r="I19" s="17">
        <f t="shared" si="0"/>
        <v>-0.5668986260865132</v>
      </c>
      <c r="J19" s="40"/>
      <c r="K19" s="41"/>
    </row>
    <row r="20" spans="1:11" ht="15.75">
      <c r="A20" s="26" t="str">
        <v>Hialeah Gardens</v>
      </c>
      <c r="B20" s="27" t="str">
        <v>FL</v>
      </c>
      <c r="C20" s="22">
        <v>1245.3049309999999</v>
      </c>
      <c r="D20" s="11">
        <v>3165.837</v>
      </c>
      <c r="E20" s="11">
        <f t="shared" si="1"/>
        <v>-1920.5320690000001</v>
      </c>
      <c r="F20" s="12">
        <f t="shared" si="2"/>
        <v>-0.60664275166409387</v>
      </c>
      <c r="G20" s="13">
        <v>3739</v>
      </c>
      <c r="H20" s="13">
        <f t="shared" si="3"/>
        <v>-2493.6950690000003</v>
      </c>
      <c r="I20" s="14">
        <f t="shared" si="0"/>
        <v>-0.66694171409467784</v>
      </c>
      <c r="J20" s="39" t="s">
        <v>50</v>
      </c>
      <c r="K20" s="39" t="s">
        <v>51</v>
      </c>
    </row>
    <row r="21" spans="1:11" ht="15.75">
      <c r="A21" s="28" t="str">
        <v>West Des Moines - HMHQ</v>
      </c>
      <c r="B21" s="29" t="str">
        <v>IA</v>
      </c>
      <c r="C21" s="10">
        <v>33641.5</v>
      </c>
      <c r="D21" s="16">
        <v>34557.14</v>
      </c>
      <c r="E21" s="16">
        <f t="shared" si="1"/>
        <v>-915.63999999999942</v>
      </c>
      <c r="F21" s="17">
        <f t="shared" si="2"/>
        <v>-2.649640566320012E-2</v>
      </c>
      <c r="G21" s="18">
        <v>29114.09</v>
      </c>
      <c r="H21" s="18">
        <f t="shared" si="3"/>
        <v>4527.41</v>
      </c>
      <c r="I21" s="17">
        <f t="shared" si="0"/>
        <v>0.15550580492125976</v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>
        <v>154786</v>
      </c>
      <c r="D22" s="11">
        <v>162400.1</v>
      </c>
      <c r="E22" s="11">
        <f t="shared" si="1"/>
        <v>-7614.1000000000058</v>
      </c>
      <c r="F22" s="12">
        <f t="shared" si="2"/>
        <v>-4.6884823346783684E-2</v>
      </c>
      <c r="G22" s="13">
        <v>124800</v>
      </c>
      <c r="H22" s="13">
        <f t="shared" si="3"/>
        <v>29986</v>
      </c>
      <c r="I22" s="14">
        <f t="shared" si="0"/>
        <v>0.24027243589743591</v>
      </c>
      <c r="J22" s="39"/>
      <c r="K22" s="39"/>
    </row>
    <row r="23" spans="1:11" ht="28.5">
      <c r="A23" s="28" t="str">
        <v>W. Des Moines Campus SW</v>
      </c>
      <c r="B23" s="29" t="str">
        <v>IA</v>
      </c>
      <c r="C23" s="10">
        <v>63016.5</v>
      </c>
      <c r="D23" s="16">
        <v>89106.8</v>
      </c>
      <c r="E23" s="16">
        <f t="shared" si="1"/>
        <v>-26090.300000000003</v>
      </c>
      <c r="F23" s="17">
        <f t="shared" si="2"/>
        <v>-0.29279808050564043</v>
      </c>
      <c r="G23" s="18">
        <v>63174.59</v>
      </c>
      <c r="H23" s="18">
        <f t="shared" si="3"/>
        <v>-158.08999999999651</v>
      </c>
      <c r="I23" s="17">
        <f t="shared" si="0"/>
        <v>-2.5024301701047293E-3</v>
      </c>
      <c r="J23" s="51" t="s">
        <v>52</v>
      </c>
      <c r="K23" s="51" t="s">
        <v>53</v>
      </c>
    </row>
    <row r="24" spans="1:11" ht="15.75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1"/>
        <v>0</v>
      </c>
      <c r="F24" s="12" t="str">
        <f t="shared" si="2"/>
        <v/>
      </c>
      <c r="G24" s="13">
        <v>0</v>
      </c>
      <c r="H24" s="13">
        <f t="shared" si="3"/>
        <v>0</v>
      </c>
      <c r="I24" s="14" t="str">
        <f t="shared" si="0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1"/>
        <v>0</v>
      </c>
      <c r="F25" s="17" t="str">
        <f t="shared" si="2"/>
        <v/>
      </c>
      <c r="G25" s="18">
        <v>0</v>
      </c>
      <c r="H25" s="18">
        <f t="shared" si="3"/>
        <v>0</v>
      </c>
      <c r="I25" s="17" t="str">
        <f t="shared" si="0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>
        <v>616.9</v>
      </c>
      <c r="D26" s="11">
        <v>728.96259999999995</v>
      </c>
      <c r="E26" s="11">
        <f t="shared" si="1"/>
        <v>-112.06259999999997</v>
      </c>
      <c r="F26" s="12">
        <f t="shared" si="2"/>
        <v>-0.15372887443059491</v>
      </c>
      <c r="G26" s="13">
        <v>481.67079999999999</v>
      </c>
      <c r="H26" s="13">
        <f t="shared" si="3"/>
        <v>135.22919999999999</v>
      </c>
      <c r="I26" s="14">
        <f t="shared" si="0"/>
        <v>0.28075025515351976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1843.1</v>
      </c>
      <c r="D27" s="16">
        <v>1626.606</v>
      </c>
      <c r="E27" s="16">
        <f t="shared" si="1"/>
        <v>216.49399999999991</v>
      </c>
      <c r="F27" s="17">
        <f t="shared" si="2"/>
        <v>0.13309553757947526</v>
      </c>
      <c r="G27" s="18">
        <v>1364.992</v>
      </c>
      <c r="H27" s="18">
        <f t="shared" si="3"/>
        <v>478.10799999999995</v>
      </c>
      <c r="I27" s="17">
        <f t="shared" si="0"/>
        <v>0.35026432389347334</v>
      </c>
      <c r="J27" s="40"/>
      <c r="K27" s="41"/>
    </row>
    <row r="28" spans="1:11" ht="15.75">
      <c r="A28" s="26" t="str">
        <v>Bayonne</v>
      </c>
      <c r="B28" s="27" t="str">
        <v>NJ</v>
      </c>
      <c r="C28" s="22">
        <v>1770</v>
      </c>
      <c r="D28" s="11">
        <v>2142.0250000000001</v>
      </c>
      <c r="E28" s="11">
        <f t="shared" si="1"/>
        <v>-372.02500000000009</v>
      </c>
      <c r="F28" s="12">
        <f t="shared" si="2"/>
        <v>-0.17367911205518147</v>
      </c>
      <c r="G28" s="13">
        <v>2322.5810000000001</v>
      </c>
      <c r="H28" s="13">
        <f>IF(AND(ISNUMBER(C28),ISNUMBER(G28)), C28-G28, "")</f>
        <v>-552.58100000000013</v>
      </c>
      <c r="I28" s="14">
        <f t="shared" si="0"/>
        <v>-0.23791678309604708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2043.28125</v>
      </c>
      <c r="D29" s="16">
        <v>2654.5340000000001</v>
      </c>
      <c r="E29" s="16">
        <f t="shared" si="1"/>
        <v>-611.25275000000011</v>
      </c>
      <c r="F29" s="17">
        <f t="shared" si="2"/>
        <v>-0.23026744053758591</v>
      </c>
      <c r="G29" s="18">
        <v>3038.3029999999999</v>
      </c>
      <c r="H29" s="18">
        <f t="shared" si="3"/>
        <v>-995.02174999999988</v>
      </c>
      <c r="I29" s="17">
        <f t="shared" si="0"/>
        <v>-0.3274926003101073</v>
      </c>
      <c r="J29" s="40"/>
      <c r="K29" s="41"/>
    </row>
    <row r="30" spans="1:11" ht="15.75">
      <c r="A30" s="26" t="str">
        <v>North Elizabeth</v>
      </c>
      <c r="B30" s="27" t="str">
        <v>NJ</v>
      </c>
      <c r="C30" s="22">
        <v>1566.5</v>
      </c>
      <c r="D30" s="11">
        <v>1603.5609999999999</v>
      </c>
      <c r="E30" s="11">
        <f t="shared" si="1"/>
        <v>-37.060999999999922</v>
      </c>
      <c r="F30" s="12">
        <f t="shared" si="2"/>
        <v>-2.3111687051505944E-2</v>
      </c>
      <c r="G30" s="13">
        <v>1917.395</v>
      </c>
      <c r="H30" s="13">
        <f t="shared" si="3"/>
        <v>-350.89499999999998</v>
      </c>
      <c r="I30" s="14">
        <f t="shared" si="0"/>
        <v>-0.18300610985216922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1473.6</v>
      </c>
      <c r="D31" s="16">
        <v>1550.355</v>
      </c>
      <c r="E31" s="16">
        <f t="shared" si="1"/>
        <v>-76.755000000000109</v>
      </c>
      <c r="F31" s="17">
        <f t="shared" si="2"/>
        <v>-4.9508015906034493E-2</v>
      </c>
      <c r="G31" s="18">
        <v>1328.6790000000001</v>
      </c>
      <c r="H31" s="18">
        <f t="shared" si="3"/>
        <v>144.92099999999982</v>
      </c>
      <c r="I31" s="17">
        <f t="shared" si="0"/>
        <v>0.10907149130828425</v>
      </c>
      <c r="J31" s="40"/>
      <c r="K31" s="41"/>
    </row>
    <row r="32" spans="1:11" ht="15.75">
      <c r="A32" s="26" t="str">
        <v>Parsippany</v>
      </c>
      <c r="B32" s="27" t="str">
        <v>NJ</v>
      </c>
      <c r="C32" s="22">
        <v>1595.4</v>
      </c>
      <c r="D32" s="11">
        <v>2384.3180000000002</v>
      </c>
      <c r="E32" s="11">
        <f t="shared" si="1"/>
        <v>-788.91800000000012</v>
      </c>
      <c r="F32" s="12">
        <f t="shared" si="2"/>
        <v>-0.33087784431439099</v>
      </c>
      <c r="G32" s="13">
        <v>1729.4559999999999</v>
      </c>
      <c r="H32" s="13">
        <f t="shared" si="3"/>
        <v>-134.05599999999981</v>
      </c>
      <c r="I32" s="14">
        <f t="shared" si="0"/>
        <v>-7.7513391494203859E-2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1274.5</v>
      </c>
      <c r="D33" s="16">
        <v>1502.578</v>
      </c>
      <c r="E33" s="16">
        <f t="shared" si="1"/>
        <v>-228.07799999999997</v>
      </c>
      <c r="F33" s="17">
        <f t="shared" si="2"/>
        <v>-0.15179112165890887</v>
      </c>
      <c r="G33" s="18">
        <v>1380.123</v>
      </c>
      <c r="H33" s="18">
        <f t="shared" si="3"/>
        <v>-105.62300000000005</v>
      </c>
      <c r="I33" s="17">
        <f t="shared" si="0"/>
        <v>-7.6531584503700067E-2</v>
      </c>
      <c r="J33" s="40"/>
      <c r="K33" s="41"/>
    </row>
    <row r="34" spans="1:11" ht="15.75">
      <c r="A34" s="26" t="str">
        <v>Closter</v>
      </c>
      <c r="B34" s="27" t="str">
        <v>NJ</v>
      </c>
      <c r="C34" s="22">
        <v>304.89999999999998</v>
      </c>
      <c r="D34" s="11">
        <v>446.60890000000001</v>
      </c>
      <c r="E34" s="11">
        <f t="shared" si="1"/>
        <v>-141.70890000000003</v>
      </c>
      <c r="F34" s="12">
        <f t="shared" si="2"/>
        <v>-0.31729976720123587</v>
      </c>
      <c r="G34" s="13">
        <v>770.42439999999999</v>
      </c>
      <c r="H34" s="13">
        <f t="shared" si="3"/>
        <v>-465.52440000000001</v>
      </c>
      <c r="I34" s="14">
        <f t="shared" si="0"/>
        <v>-0.6042441023415146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1149.5</v>
      </c>
      <c r="D35" s="16">
        <v>1236.095</v>
      </c>
      <c r="E35" s="16">
        <f t="shared" si="1"/>
        <v>-86.595000000000027</v>
      </c>
      <c r="F35" s="17">
        <f t="shared" si="2"/>
        <v>-7.0055295102722709E-2</v>
      </c>
      <c r="G35" s="18">
        <v>1001</v>
      </c>
      <c r="H35" s="18">
        <f t="shared" si="3"/>
        <v>148.5</v>
      </c>
      <c r="I35" s="17">
        <f t="shared" si="0"/>
        <v>0.14835164835164835</v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>
        <v>662.6</v>
      </c>
      <c r="D36" s="11">
        <v>734.09749999999997</v>
      </c>
      <c r="E36" s="11">
        <f t="shared" si="1"/>
        <v>-71.497499999999945</v>
      </c>
      <c r="F36" s="12">
        <f t="shared" si="2"/>
        <v>-9.7395100787020725E-2</v>
      </c>
      <c r="G36" s="13">
        <v>615</v>
      </c>
      <c r="H36" s="13">
        <f t="shared" si="3"/>
        <v>47.600000000000023</v>
      </c>
      <c r="I36" s="14">
        <f t="shared" si="0"/>
        <v>7.7398373983739874E-2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1637.7</v>
      </c>
      <c r="D37" s="16">
        <v>2148.2539999999999</v>
      </c>
      <c r="E37" s="16">
        <f t="shared" si="1"/>
        <v>-510.55399999999986</v>
      </c>
      <c r="F37" s="17">
        <f t="shared" si="2"/>
        <v>-0.23765997875483993</v>
      </c>
      <c r="G37" s="18">
        <v>2500.1089999999999</v>
      </c>
      <c r="H37" s="18">
        <f t="shared" si="3"/>
        <v>-862.40899999999988</v>
      </c>
      <c r="I37" s="17">
        <f t="shared" si="0"/>
        <v>-0.34494856024277337</v>
      </c>
      <c r="J37" s="40"/>
      <c r="K37" s="41"/>
    </row>
    <row r="38" spans="1:11" ht="15.75">
      <c r="A38" s="26" t="str">
        <v>Marlton</v>
      </c>
      <c r="B38" s="27" t="str">
        <v>NJ</v>
      </c>
      <c r="C38" s="22">
        <v>2616.5</v>
      </c>
      <c r="D38" s="11">
        <v>1996.4369999999999</v>
      </c>
      <c r="E38" s="11">
        <f t="shared" si="1"/>
        <v>620.0630000000001</v>
      </c>
      <c r="F38" s="12">
        <f t="shared" si="2"/>
        <v>0.31058480683337369</v>
      </c>
      <c r="G38" s="13">
        <v>2216.3470000000002</v>
      </c>
      <c r="H38" s="13">
        <f t="shared" si="3"/>
        <v>400.15299999999979</v>
      </c>
      <c r="I38" s="14">
        <f t="shared" si="0"/>
        <v>0.18054618703659658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2120.4</v>
      </c>
      <c r="D39" s="16">
        <v>1811.7570000000001</v>
      </c>
      <c r="E39" s="16">
        <f t="shared" si="1"/>
        <v>308.64300000000003</v>
      </c>
      <c r="F39" s="17">
        <f t="shared" si="2"/>
        <v>0.17035562716192074</v>
      </c>
      <c r="G39" s="18">
        <v>1910.473</v>
      </c>
      <c r="H39" s="18">
        <f t="shared" si="3"/>
        <v>209.92700000000013</v>
      </c>
      <c r="I39" s="17">
        <f t="shared" si="0"/>
        <v>0.10988221241545949</v>
      </c>
      <c r="J39" s="40"/>
      <c r="K39" s="41"/>
    </row>
    <row r="40" spans="1:11" ht="15.75">
      <c r="A40" s="26" t="str">
        <v>Whiting Crestwood</v>
      </c>
      <c r="B40" s="27" t="str">
        <v>NJ</v>
      </c>
      <c r="C40" s="22">
        <v>3314.8</v>
      </c>
      <c r="D40" s="11">
        <v>3360.4720000000002</v>
      </c>
      <c r="E40" s="11">
        <f t="shared" si="1"/>
        <v>-45.672000000000025</v>
      </c>
      <c r="F40" s="12">
        <f t="shared" si="2"/>
        <v>-1.3590947938265822E-2</v>
      </c>
      <c r="G40" s="13">
        <v>2967.6689999999999</v>
      </c>
      <c r="H40" s="13">
        <f t="shared" si="3"/>
        <v>347.13100000000031</v>
      </c>
      <c r="I40" s="14">
        <f t="shared" si="0"/>
        <v>0.11697092903554956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3450.6484380000002</v>
      </c>
      <c r="D41" s="16">
        <v>2871.1619999999998</v>
      </c>
      <c r="E41" s="16">
        <f t="shared" si="1"/>
        <v>579.48643800000036</v>
      </c>
      <c r="F41" s="17">
        <f t="shared" si="2"/>
        <v>0.20182993436107066</v>
      </c>
      <c r="G41" s="18">
        <v>2744.4810000000002</v>
      </c>
      <c r="H41" s="18">
        <f t="shared" si="3"/>
        <v>706.16743799999995</v>
      </c>
      <c r="I41" s="17">
        <f t="shared" si="0"/>
        <v>0.25730454610543846</v>
      </c>
      <c r="J41" s="40"/>
      <c r="K41" s="41"/>
    </row>
    <row r="42" spans="1:11" ht="15.75">
      <c r="A42" s="26" t="str">
        <v>Manchester</v>
      </c>
      <c r="B42" s="27" t="str">
        <v>NJ</v>
      </c>
      <c r="C42" s="22">
        <v>2231.9</v>
      </c>
      <c r="D42" s="11">
        <v>2113.0419999999999</v>
      </c>
      <c r="E42" s="11">
        <f t="shared" si="1"/>
        <v>118.85800000000017</v>
      </c>
      <c r="F42" s="12">
        <f t="shared" si="2"/>
        <v>5.6249710133542151E-2</v>
      </c>
      <c r="G42" s="13">
        <v>2378.8609999999999</v>
      </c>
      <c r="H42" s="13">
        <f t="shared" si="3"/>
        <v>-146.96099999999979</v>
      </c>
      <c r="I42" s="14">
        <f t="shared" si="0"/>
        <v>-6.1777884458150266E-2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3009.1</v>
      </c>
      <c r="D43" s="16">
        <v>2738.82</v>
      </c>
      <c r="E43" s="16">
        <f t="shared" si="1"/>
        <v>270.27999999999975</v>
      </c>
      <c r="F43" s="17">
        <f t="shared" si="2"/>
        <v>9.868483507495919E-2</v>
      </c>
      <c r="G43" s="18">
        <v>2354.1869999999999</v>
      </c>
      <c r="H43" s="18">
        <f t="shared" si="3"/>
        <v>654.91300000000001</v>
      </c>
      <c r="I43" s="17">
        <f t="shared" si="0"/>
        <v>0.27819072996325273</v>
      </c>
      <c r="J43" s="40"/>
      <c r="K43" s="41"/>
    </row>
    <row r="44" spans="1:11" ht="15.75">
      <c r="A44" s="26" t="str">
        <v>Edison</v>
      </c>
      <c r="B44" s="27" t="str">
        <v>NJ</v>
      </c>
      <c r="C44" s="22">
        <v>2238.1</v>
      </c>
      <c r="D44" s="11">
        <v>1936.8489999999999</v>
      </c>
      <c r="E44" s="11">
        <f t="shared" si="1"/>
        <v>301.25099999999998</v>
      </c>
      <c r="F44" s="12">
        <f t="shared" si="2"/>
        <v>0.15553664741030404</v>
      </c>
      <c r="G44" s="13">
        <v>2090.0410000000002</v>
      </c>
      <c r="H44" s="13">
        <f t="shared" si="3"/>
        <v>148.05899999999974</v>
      </c>
      <c r="I44" s="14">
        <f t="shared" si="0"/>
        <v>7.0840237105396373E-2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1635.7</v>
      </c>
      <c r="D45" s="16">
        <v>1878.6089999999999</v>
      </c>
      <c r="E45" s="16">
        <f t="shared" si="1"/>
        <v>-242.90899999999988</v>
      </c>
      <c r="F45" s="17">
        <f t="shared" si="2"/>
        <v>-0.12930258505096051</v>
      </c>
      <c r="G45" s="18">
        <v>1856.0840000000001</v>
      </c>
      <c r="H45" s="18">
        <f t="shared" si="3"/>
        <v>-220.38400000000001</v>
      </c>
      <c r="I45" s="17">
        <f t="shared" si="0"/>
        <v>-0.1187360054825105</v>
      </c>
      <c r="J45" s="40"/>
      <c r="K45" s="41"/>
    </row>
    <row r="46" spans="1:11" ht="15.75">
      <c r="A46" s="26" t="str">
        <v>Route 22</v>
      </c>
      <c r="B46" s="27" t="str">
        <v>NJ</v>
      </c>
      <c r="C46" s="22">
        <v>1838.9</v>
      </c>
      <c r="D46" s="11">
        <v>2501.375</v>
      </c>
      <c r="E46" s="11">
        <f t="shared" si="1"/>
        <v>-662.47499999999991</v>
      </c>
      <c r="F46" s="12">
        <f t="shared" si="2"/>
        <v>-0.26484433561541149</v>
      </c>
      <c r="G46" s="13">
        <v>1744.93</v>
      </c>
      <c r="H46" s="13">
        <f t="shared" si="3"/>
        <v>93.970000000000027</v>
      </c>
      <c r="I46" s="14">
        <f t="shared" si="0"/>
        <v>5.38531631641384E-2</v>
      </c>
      <c r="J46" s="39"/>
      <c r="K46" s="39"/>
    </row>
    <row r="47" spans="1:11" ht="15.75">
      <c r="A47" s="28" t="str">
        <v>Laurelton</v>
      </c>
      <c r="B47" s="29" t="str">
        <v>NJ</v>
      </c>
      <c r="C47" s="10">
        <v>1846.9</v>
      </c>
      <c r="D47" s="16">
        <v>1545.61</v>
      </c>
      <c r="E47" s="16">
        <f t="shared" si="1"/>
        <v>301.29000000000019</v>
      </c>
      <c r="F47" s="17">
        <f t="shared" si="2"/>
        <v>0.19493274500035598</v>
      </c>
      <c r="G47" s="18">
        <v>1514.1289999999999</v>
      </c>
      <c r="H47" s="18">
        <f t="shared" si="3"/>
        <v>332.77100000000019</v>
      </c>
      <c r="I47" s="17">
        <f t="shared" si="0"/>
        <v>0.21977717882690326</v>
      </c>
      <c r="J47" s="40"/>
      <c r="K47" s="41"/>
    </row>
    <row r="48" spans="1:11" ht="15.75">
      <c r="A48" s="26" t="str">
        <v>Mahwah</v>
      </c>
      <c r="B48" s="27" t="str">
        <v>NJ</v>
      </c>
      <c r="C48" s="22">
        <v>1409</v>
      </c>
      <c r="D48" s="11">
        <v>1801.931</v>
      </c>
      <c r="E48" s="11">
        <f t="shared" si="1"/>
        <v>-392.93100000000004</v>
      </c>
      <c r="F48" s="12">
        <f t="shared" si="2"/>
        <v>-0.21806106893105232</v>
      </c>
      <c r="G48" s="13">
        <v>1471.5309999999999</v>
      </c>
      <c r="H48" s="13">
        <f t="shared" si="3"/>
        <v>-62.530999999999949</v>
      </c>
      <c r="I48" s="14">
        <f t="shared" si="0"/>
        <v>-4.2493838050302678E-2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1710.6</v>
      </c>
      <c r="D49" s="16">
        <v>1659.973</v>
      </c>
      <c r="E49" s="16">
        <f t="shared" si="1"/>
        <v>50.626999999999953</v>
      </c>
      <c r="F49" s="17">
        <f t="shared" si="2"/>
        <v>3.0498688834095466E-2</v>
      </c>
      <c r="G49" s="18">
        <v>2156.48</v>
      </c>
      <c r="H49" s="18">
        <f t="shared" si="3"/>
        <v>-445.88000000000011</v>
      </c>
      <c r="I49" s="17">
        <f t="shared" si="0"/>
        <v>-0.20676287282979675</v>
      </c>
      <c r="J49" s="40"/>
      <c r="K49" s="41"/>
    </row>
    <row r="50" spans="1:11" ht="15.75">
      <c r="A50" s="26" t="str">
        <v>Bordentown</v>
      </c>
      <c r="B50" s="27" t="str">
        <v>NJ</v>
      </c>
      <c r="C50" s="22">
        <v>1752.8</v>
      </c>
      <c r="D50" s="11">
        <v>1349.7190000000001</v>
      </c>
      <c r="E50" s="11">
        <f t="shared" si="1"/>
        <v>403.0809999999999</v>
      </c>
      <c r="F50" s="12">
        <f t="shared" si="2"/>
        <v>0.29864068002302691</v>
      </c>
      <c r="G50" s="13">
        <v>1259.502</v>
      </c>
      <c r="H50" s="13">
        <f t="shared" si="3"/>
        <v>493.298</v>
      </c>
      <c r="I50" s="14">
        <f t="shared" si="0"/>
        <v>0.39166114861270568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1060</v>
      </c>
      <c r="D51" s="16">
        <v>954.56050000000005</v>
      </c>
      <c r="E51" s="16">
        <f t="shared" si="1"/>
        <v>105.43949999999995</v>
      </c>
      <c r="F51" s="17">
        <f t="shared" si="2"/>
        <v>0.1104586875321155</v>
      </c>
      <c r="G51" s="18">
        <v>943.88130000000001</v>
      </c>
      <c r="H51" s="18">
        <f t="shared" si="3"/>
        <v>116.11869999999999</v>
      </c>
      <c r="I51" s="17">
        <f t="shared" si="0"/>
        <v>0.12302256650280072</v>
      </c>
      <c r="J51" s="40"/>
      <c r="K51" s="41"/>
    </row>
    <row r="52" spans="1:11" ht="15.75">
      <c r="A52" s="26" t="str">
        <v>Somerset</v>
      </c>
      <c r="B52" s="27" t="str">
        <v>NJ</v>
      </c>
      <c r="C52" s="22">
        <v>1459</v>
      </c>
      <c r="D52" s="11">
        <v>2436.7570000000001</v>
      </c>
      <c r="E52" s="11">
        <f t="shared" si="1"/>
        <v>-977.75700000000006</v>
      </c>
      <c r="F52" s="12">
        <f t="shared" si="2"/>
        <v>-0.40125338718633002</v>
      </c>
      <c r="G52" s="13">
        <v>1447.482</v>
      </c>
      <c r="H52" s="13">
        <f t="shared" si="3"/>
        <v>11.518000000000029</v>
      </c>
      <c r="I52" s="14">
        <f t="shared" si="0"/>
        <v>7.9572664806885542E-3</v>
      </c>
      <c r="J52" s="39"/>
      <c r="K52" s="39"/>
    </row>
    <row r="53" spans="1:11" ht="15.75">
      <c r="A53" s="28" t="str">
        <v>Clinton Main Relo</v>
      </c>
      <c r="B53" s="29" t="str">
        <v>NJ</v>
      </c>
      <c r="C53" s="10">
        <v>1706.6640629999999</v>
      </c>
      <c r="D53" s="16">
        <v>1993.0519999999999</v>
      </c>
      <c r="E53" s="16">
        <f t="shared" si="1"/>
        <v>-286.38793699999997</v>
      </c>
      <c r="F53" s="17">
        <f t="shared" si="2"/>
        <v>-0.14369315853274273</v>
      </c>
      <c r="G53" s="18">
        <v>1675.4079999999999</v>
      </c>
      <c r="H53" s="18">
        <f t="shared" si="3"/>
        <v>31.25606300000004</v>
      </c>
      <c r="I53" s="17">
        <f t="shared" si="0"/>
        <v>1.8655791902629115E-2</v>
      </c>
      <c r="J53" s="40"/>
      <c r="K53" s="41"/>
    </row>
    <row r="54" spans="1:11" ht="15.75">
      <c r="A54" s="26" t="str">
        <v>North Brunswick</v>
      </c>
      <c r="B54" s="27" t="str">
        <v>NJ</v>
      </c>
      <c r="C54" s="22">
        <v>1841.8</v>
      </c>
      <c r="D54" s="11">
        <v>1726.46</v>
      </c>
      <c r="E54" s="11">
        <f t="shared" si="1"/>
        <v>115.33999999999992</v>
      </c>
      <c r="F54" s="12">
        <f t="shared" si="2"/>
        <v>6.6807224030675433E-2</v>
      </c>
      <c r="G54" s="13">
        <v>1852.114</v>
      </c>
      <c r="H54" s="13">
        <f t="shared" si="3"/>
        <v>-10.314000000000078</v>
      </c>
      <c r="I54" s="14">
        <f t="shared" si="0"/>
        <v>-5.5687716846803586E-3</v>
      </c>
      <c r="J54" s="39"/>
      <c r="K54" s="39"/>
    </row>
    <row r="55" spans="1:11" ht="15.75">
      <c r="A55" s="28" t="str">
        <v>Cherry Hill</v>
      </c>
      <c r="B55" s="29" t="str">
        <v>NJ</v>
      </c>
      <c r="C55" s="10">
        <v>1352.2106329999999</v>
      </c>
      <c r="D55" s="16">
        <v>1529.7660000000001</v>
      </c>
      <c r="E55" s="16">
        <f t="shared" si="1"/>
        <v>-177.55536700000016</v>
      </c>
      <c r="F55" s="17">
        <f t="shared" si="2"/>
        <v>-0.1160670109023211</v>
      </c>
      <c r="G55" s="18">
        <v>1197.873</v>
      </c>
      <c r="H55" s="18">
        <f t="shared" si="3"/>
        <v>154.33763299999987</v>
      </c>
      <c r="I55" s="17">
        <f t="shared" si="0"/>
        <v>0.12884306850559271</v>
      </c>
      <c r="J55" s="40"/>
      <c r="K55" s="40"/>
    </row>
    <row r="56" spans="1:11" ht="15.75">
      <c r="A56" s="26" t="str">
        <v>Hainesport</v>
      </c>
      <c r="B56" s="27" t="str">
        <v>NJ</v>
      </c>
      <c r="C56" s="22">
        <v>1647.1</v>
      </c>
      <c r="D56" s="11">
        <v>1596.808</v>
      </c>
      <c r="E56" s="11">
        <f t="shared" si="1"/>
        <v>50.291999999999916</v>
      </c>
      <c r="F56" s="12">
        <f t="shared" si="2"/>
        <v>3.1495333189713426E-2</v>
      </c>
      <c r="G56" s="13">
        <v>1161.867</v>
      </c>
      <c r="H56" s="13">
        <f t="shared" si="3"/>
        <v>485.23299999999995</v>
      </c>
      <c r="I56" s="14">
        <f t="shared" si="0"/>
        <v>0.41763213861827553</v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53">
        <v>2887</v>
      </c>
      <c r="D57" s="16">
        <v>0</v>
      </c>
      <c r="E57" s="16">
        <f t="shared" si="1"/>
        <v>2887</v>
      </c>
      <c r="F57" s="17" t="str">
        <f t="shared" si="2"/>
        <v/>
      </c>
      <c r="G57" s="18">
        <v>38409</v>
      </c>
      <c r="H57" s="18">
        <f t="shared" si="3"/>
        <v>-35522</v>
      </c>
      <c r="I57" s="17">
        <f t="shared" si="0"/>
        <v>-0.92483532505402377</v>
      </c>
      <c r="J57" s="40" t="s">
        <v>54</v>
      </c>
      <c r="K57" s="40" t="s">
        <v>55</v>
      </c>
    </row>
    <row r="58" spans="1:11" ht="15.75">
      <c r="A58" s="26" t="str">
        <v>San Antonio - Ops Ctr GM</v>
      </c>
      <c r="B58" s="27" t="str">
        <v>TX</v>
      </c>
      <c r="C58" s="54">
        <v>285995.75</v>
      </c>
      <c r="D58" s="11">
        <v>324168.8</v>
      </c>
      <c r="E58" s="11">
        <f t="shared" si="1"/>
        <v>-38173.049999999988</v>
      </c>
      <c r="F58" s="12">
        <f t="shared" si="2"/>
        <v>-0.11775670576563811</v>
      </c>
      <c r="G58" s="13">
        <v>305642</v>
      </c>
      <c r="H58" s="13">
        <f t="shared" si="3"/>
        <v>-19646.25</v>
      </c>
      <c r="I58" s="14">
        <f t="shared" si="0"/>
        <v>-6.4278633172142566E-2</v>
      </c>
      <c r="J58" s="39"/>
      <c r="K58" s="39"/>
    </row>
    <row r="59" spans="1:11" ht="28.5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"/>
        <v>0</v>
      </c>
      <c r="F59" s="17" t="str">
        <f t="shared" si="2"/>
        <v/>
      </c>
      <c r="G59" s="18">
        <v>38321</v>
      </c>
      <c r="H59" s="18">
        <f t="shared" si="3"/>
        <v>-38321</v>
      </c>
      <c r="I59" s="17">
        <f t="shared" si="0"/>
        <v>-1</v>
      </c>
      <c r="J59" s="40" t="s">
        <v>56</v>
      </c>
      <c r="K59" s="40" t="s">
        <v>38</v>
      </c>
    </row>
    <row r="60" spans="1:11" ht="15.75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"/>
        <v>0</v>
      </c>
      <c r="F60" s="12" t="str">
        <f t="shared" si="2"/>
        <v/>
      </c>
      <c r="G60" s="13">
        <v>39375.26</v>
      </c>
      <c r="H60" s="13">
        <f t="shared" si="3"/>
        <v>-39375.26</v>
      </c>
      <c r="I60" s="14">
        <f t="shared" si="0"/>
        <v>-1</v>
      </c>
      <c r="J60" s="39" t="s">
        <v>35</v>
      </c>
      <c r="K60" s="39" t="s">
        <v>39</v>
      </c>
    </row>
    <row r="61" spans="1:11" ht="15.75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"/>
        <v>0</v>
      </c>
      <c r="F61" s="17" t="str">
        <f t="shared" si="2"/>
        <v/>
      </c>
      <c r="G61" s="18">
        <v>36456.78</v>
      </c>
      <c r="H61" s="18">
        <f t="shared" si="3"/>
        <v>-36456.78</v>
      </c>
      <c r="I61" s="17">
        <f t="shared" si="0"/>
        <v>-1</v>
      </c>
      <c r="J61" s="40" t="s">
        <v>35</v>
      </c>
      <c r="K61" s="40" t="s">
        <v>40</v>
      </c>
    </row>
    <row r="62" spans="1:11" ht="15.75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"/>
        <v>0</v>
      </c>
      <c r="F62" s="12" t="str">
        <f t="shared" si="2"/>
        <v/>
      </c>
      <c r="G62" s="13">
        <v>37489.762999999999</v>
      </c>
      <c r="H62" s="13">
        <f t="shared" si="3"/>
        <v>-37489.762999999999</v>
      </c>
      <c r="I62" s="14">
        <f t="shared" si="0"/>
        <v>-1</v>
      </c>
      <c r="J62" s="39" t="s">
        <v>35</v>
      </c>
      <c r="K62" s="39" t="s">
        <v>41</v>
      </c>
    </row>
    <row r="63" spans="1:11" ht="15.75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"/>
        <v>0</v>
      </c>
      <c r="F63" s="17" t="str">
        <f t="shared" si="2"/>
        <v/>
      </c>
      <c r="G63" s="18">
        <v>36430.224000000002</v>
      </c>
      <c r="H63" s="18">
        <f t="shared" si="3"/>
        <v>-36430.224000000002</v>
      </c>
      <c r="I63" s="17">
        <f t="shared" si="0"/>
        <v>-1</v>
      </c>
      <c r="J63" s="40" t="s">
        <v>35</v>
      </c>
      <c r="K63" s="40" t="s">
        <v>42</v>
      </c>
    </row>
    <row r="64" spans="1:11" ht="15.75">
      <c r="A64" s="26" t="str">
        <v>San Antonio - Ops Ctr (Bldg 104)</v>
      </c>
      <c r="B64" s="27" t="str">
        <v>TX</v>
      </c>
      <c r="C64" s="22">
        <v>3498.63</v>
      </c>
      <c r="D64" s="11">
        <v>0</v>
      </c>
      <c r="E64" s="11">
        <f t="shared" si="1"/>
        <v>3498.63</v>
      </c>
      <c r="F64" s="12" t="str">
        <f t="shared" si="2"/>
        <v/>
      </c>
      <c r="G64" s="13">
        <v>11154.26</v>
      </c>
      <c r="H64" s="13">
        <f t="shared" si="3"/>
        <v>-7655.63</v>
      </c>
      <c r="I64" s="14">
        <f t="shared" si="0"/>
        <v>-0.68634136195498396</v>
      </c>
      <c r="J64" s="39" t="s">
        <v>57</v>
      </c>
      <c r="K64" s="39" t="s">
        <v>43</v>
      </c>
    </row>
    <row r="65" spans="1:11" ht="15.75">
      <c r="A65" s="28" t="str">
        <v>San Antonio - Ops Ctr (Bldg 102)</v>
      </c>
      <c r="B65" s="29" t="str">
        <v>TX</v>
      </c>
      <c r="C65" s="10">
        <v>5901</v>
      </c>
      <c r="D65" s="16">
        <v>0</v>
      </c>
      <c r="E65" s="16">
        <f t="shared" si="1"/>
        <v>5901</v>
      </c>
      <c r="F65" s="17" t="str">
        <f t="shared" si="2"/>
        <v/>
      </c>
      <c r="G65" s="18">
        <v>40738</v>
      </c>
      <c r="H65" s="18">
        <f t="shared" si="3"/>
        <v>-34837</v>
      </c>
      <c r="I65" s="17">
        <f t="shared" si="0"/>
        <v>-0.85514752810643624</v>
      </c>
      <c r="J65" s="40" t="s">
        <v>58</v>
      </c>
      <c r="K65" s="40" t="s">
        <v>44</v>
      </c>
    </row>
    <row r="66" spans="1:11" ht="15.75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39"/>
      <c r="K66" s="39"/>
    </row>
    <row r="67" spans="1:11" ht="15.75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40"/>
      <c r="K67" s="40"/>
    </row>
    <row r="68" spans="1:11" ht="15.75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39"/>
      <c r="K68" s="39"/>
    </row>
    <row r="69" spans="1:11" ht="15.75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40"/>
      <c r="K69" s="40"/>
    </row>
    <row r="70" spans="1:11" ht="12.75">
      <c r="B70"/>
      <c r="F70"/>
      <c r="I70"/>
    </row>
    <row r="71" spans="1:11" ht="12.75">
      <c r="B71"/>
      <c r="F71"/>
      <c r="I71"/>
    </row>
    <row r="72" spans="1:11" ht="12.75">
      <c r="B72"/>
      <c r="F72"/>
      <c r="I72"/>
    </row>
    <row r="73" spans="1:11" ht="12.75">
      <c r="B73"/>
      <c r="F73"/>
      <c r="I73"/>
    </row>
    <row r="74" spans="1:11" ht="12.75">
      <c r="B74"/>
      <c r="F74"/>
      <c r="I74"/>
    </row>
    <row r="75" spans="1:11" ht="12.75">
      <c r="B75"/>
      <c r="F75"/>
      <c r="I75"/>
    </row>
    <row r="76" spans="1:11" ht="12.75">
      <c r="B76"/>
      <c r="F76"/>
      <c r="I76"/>
    </row>
    <row r="77" spans="1:11" ht="12.75">
      <c r="B77"/>
      <c r="F77"/>
      <c r="I77"/>
    </row>
    <row r="78" spans="1:11" ht="12.75">
      <c r="B78"/>
      <c r="F78"/>
      <c r="I78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2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2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2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2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2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2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2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2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2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3.9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phoneticPr fontId="4" type="noConversion"/>
  <conditionalFormatting sqref="F2 I2">
    <cfRule type="cellIs" dxfId="32" priority="9" stopIfTrue="1" operator="lessThanOrEqual">
      <formula>-0.1</formula>
    </cfRule>
    <cfRule type="expression" dxfId="31" priority="10">
      <formula>AND(ISNUMBER(F2), F2&gt;=0.1)</formula>
    </cfRule>
  </conditionalFormatting>
  <conditionalFormatting sqref="F4:F100 I4:I100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workbookViewId="0">
      <pane xSplit="2" ySplit="3" topLeftCell="C61" activePane="bottomRight" state="frozen"/>
      <selection pane="bottomRight" activeCell="A66" sqref="A66:K6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2" t="str" cm="1">
        <f t="array" ref="A1">portfolio</f>
        <v>Wells Fargo</v>
      </c>
      <c r="B1" s="72"/>
      <c r="C1" s="72"/>
      <c r="D1" s="73" t="s">
        <v>59</v>
      </c>
      <c r="E1" s="73"/>
      <c r="F1" s="73"/>
      <c r="G1" s="71" t="s">
        <v>60</v>
      </c>
      <c r="H1" s="71"/>
      <c r="I1" s="71"/>
      <c r="J1" s="3"/>
      <c r="K1" s="3"/>
    </row>
    <row r="2" spans="1:11" ht="19.5" customHeight="1">
      <c r="A2" s="82" t="s">
        <v>2</v>
      </c>
      <c r="B2" s="82"/>
      <c r="C2" s="4">
        <f>SUM(C4:C87)</f>
        <v>936474.40379372099</v>
      </c>
      <c r="D2" s="4">
        <f>SUM(D4:D87)</f>
        <v>1151423</v>
      </c>
      <c r="E2" s="4">
        <f>C2-D2</f>
        <v>-214948.59620627901</v>
      </c>
      <c r="F2" s="5">
        <f>IFERROR(E2/D2, 0)</f>
        <v>-0.18668082555783497</v>
      </c>
      <c r="G2" s="4">
        <f>SUM(G4:G87)</f>
        <v>1453708.808</v>
      </c>
      <c r="H2" s="6">
        <f>C2-G2</f>
        <v>-517234.40420627897</v>
      </c>
      <c r="I2" s="5">
        <f>IFERROR(H2/G2, 0)</f>
        <v>-0.35580330899823437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1138</v>
      </c>
      <c r="D4" s="11">
        <v>0</v>
      </c>
      <c r="E4" s="11">
        <f>IF(AND(ISNUMBER(C4),ISNUMBER(D4)), C4-D4, "")</f>
        <v>1138</v>
      </c>
      <c r="F4" s="12" t="str">
        <f>IFERROR(E4/D4, "")</f>
        <v/>
      </c>
      <c r="G4" s="13">
        <v>1060</v>
      </c>
      <c r="H4" s="13">
        <f>IF(AND(ISNUMBER(C4),ISNUMBER(G4)), C4-G4, "")</f>
        <v>78</v>
      </c>
      <c r="I4" s="14">
        <f>IFERROR(H4/G4, "")</f>
        <v>7.3584905660377356E-2</v>
      </c>
      <c r="J4" s="39"/>
      <c r="K4" s="39"/>
    </row>
    <row r="5" spans="1:11" ht="15.75">
      <c r="A5" s="28" t="str">
        <v>Otay Mesa</v>
      </c>
      <c r="B5" s="29" t="str">
        <v>CA</v>
      </c>
      <c r="C5" s="60"/>
      <c r="D5" s="16">
        <v>0</v>
      </c>
      <c r="E5" s="16" t="str">
        <f t="shared" ref="E5:E65" si="0">IF(AND(ISNUMBER(C5),ISNUMBER(D5)), C5-D5, "")</f>
        <v/>
      </c>
      <c r="F5" s="17" t="str">
        <f>IFERROR(E5/D5, "")</f>
        <v/>
      </c>
      <c r="G5" s="18"/>
      <c r="H5" s="18" t="str">
        <f t="shared" ref="H5:H65" si="1">IF(AND(ISNUMBER(C5),ISNUMBER(G5)), C5-G5, "")</f>
        <v/>
      </c>
      <c r="I5" s="17" t="str">
        <f t="shared" ref="I5:I65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>
        <v>43042</v>
      </c>
      <c r="D6" s="11">
        <v>41936</v>
      </c>
      <c r="E6" s="11">
        <f t="shared" si="0"/>
        <v>1106</v>
      </c>
      <c r="F6" s="12">
        <f t="shared" ref="F6:F65" si="3">IFERROR(E6/D6, "")</f>
        <v>2.6373521556657765E-2</v>
      </c>
      <c r="G6" s="13">
        <v>37309</v>
      </c>
      <c r="H6" s="13">
        <f t="shared" si="1"/>
        <v>5733</v>
      </c>
      <c r="I6" s="14">
        <f t="shared" si="2"/>
        <v>0.15366265512342867</v>
      </c>
      <c r="J6" s="39" t="s">
        <v>61</v>
      </c>
      <c r="K6" s="39" t="s">
        <v>62</v>
      </c>
    </row>
    <row r="7" spans="1:11" ht="15.75">
      <c r="A7" s="28" t="str">
        <v>Van Nuys</v>
      </c>
      <c r="B7" s="29" t="str">
        <v>CA</v>
      </c>
      <c r="C7" s="10">
        <v>1947</v>
      </c>
      <c r="D7" s="16">
        <v>0</v>
      </c>
      <c r="E7" s="16">
        <f t="shared" si="0"/>
        <v>1947</v>
      </c>
      <c r="F7" s="17" t="str">
        <f t="shared" si="3"/>
        <v/>
      </c>
      <c r="G7" s="18">
        <v>2127</v>
      </c>
      <c r="H7" s="18">
        <f t="shared" si="1"/>
        <v>-180</v>
      </c>
      <c r="I7" s="17">
        <f t="shared" si="2"/>
        <v>-8.4626234132581094E-2</v>
      </c>
      <c r="J7" s="40"/>
      <c r="K7" s="40"/>
    </row>
    <row r="8" spans="1:11" ht="15.75">
      <c r="A8" s="26" t="str">
        <v>98th &amp; Grant</v>
      </c>
      <c r="B8" s="27" t="str">
        <v>CO</v>
      </c>
      <c r="C8" s="22">
        <v>1216</v>
      </c>
      <c r="D8" s="11">
        <v>0</v>
      </c>
      <c r="E8" s="11">
        <f t="shared" si="0"/>
        <v>1216</v>
      </c>
      <c r="F8" s="12" t="str">
        <f t="shared" si="3"/>
        <v/>
      </c>
      <c r="G8" s="13">
        <v>1984</v>
      </c>
      <c r="H8" s="13">
        <f t="shared" si="1"/>
        <v>-768</v>
      </c>
      <c r="I8" s="14">
        <f t="shared" si="2"/>
        <v>-0.38709677419354838</v>
      </c>
      <c r="J8" s="39"/>
      <c r="K8" s="39"/>
    </row>
    <row r="9" spans="1:11" ht="15.75">
      <c r="A9" s="28" t="str">
        <v>Arapahoe Crossings</v>
      </c>
      <c r="B9" s="29" t="str">
        <v>CO</v>
      </c>
      <c r="C9" s="10">
        <v>3183.3997760000002</v>
      </c>
      <c r="D9" s="16">
        <v>0</v>
      </c>
      <c r="E9" s="16">
        <f t="shared" si="0"/>
        <v>3183.3997760000002</v>
      </c>
      <c r="F9" s="17" t="str">
        <f t="shared" si="3"/>
        <v/>
      </c>
      <c r="G9" s="18">
        <v>3628.808</v>
      </c>
      <c r="H9" s="18">
        <f t="shared" si="1"/>
        <v>-445.40822399999979</v>
      </c>
      <c r="I9" s="17">
        <f t="shared" si="2"/>
        <v>-0.12274229554167644</v>
      </c>
      <c r="J9" s="40"/>
      <c r="K9" s="40"/>
    </row>
    <row r="10" spans="1:11" ht="15.75">
      <c r="A10" s="26" t="str">
        <v>Aurora City Center</v>
      </c>
      <c r="B10" s="27" t="str">
        <v>CO</v>
      </c>
      <c r="C10" s="22">
        <v>1628</v>
      </c>
      <c r="D10" s="11">
        <v>0</v>
      </c>
      <c r="E10" s="11">
        <f t="shared" si="0"/>
        <v>1628</v>
      </c>
      <c r="F10" s="12" t="str">
        <f t="shared" si="3"/>
        <v/>
      </c>
      <c r="G10" s="13">
        <v>1727</v>
      </c>
      <c r="H10" s="13">
        <f t="shared" si="1"/>
        <v>-99</v>
      </c>
      <c r="I10" s="14">
        <f t="shared" si="2"/>
        <v>-5.7324840764331211E-2</v>
      </c>
      <c r="J10" s="39"/>
      <c r="K10" s="39"/>
    </row>
    <row r="11" spans="1:11" ht="15.75">
      <c r="A11" s="28" t="str">
        <v>Dry Creek</v>
      </c>
      <c r="B11" s="29" t="str">
        <v>CO</v>
      </c>
      <c r="C11" s="10">
        <v>-2.9959822790000001</v>
      </c>
      <c r="D11" s="16">
        <v>0</v>
      </c>
      <c r="E11" s="16">
        <f t="shared" si="0"/>
        <v>-2.9959822790000001</v>
      </c>
      <c r="F11" s="17" t="str">
        <f t="shared" si="3"/>
        <v/>
      </c>
      <c r="G11" s="18">
        <v>2153</v>
      </c>
      <c r="H11" s="18">
        <f t="shared" si="1"/>
        <v>-2155.9959822790001</v>
      </c>
      <c r="I11" s="17">
        <f t="shared" si="2"/>
        <v>-1.0013915384482119</v>
      </c>
      <c r="J11" s="40" t="s">
        <v>63</v>
      </c>
      <c r="K11" s="40" t="s">
        <v>25</v>
      </c>
    </row>
    <row r="12" spans="1:11" ht="15.75">
      <c r="A12" s="26" t="str">
        <v>Highlands Ranch S.</v>
      </c>
      <c r="B12" s="27" t="str">
        <v>CO</v>
      </c>
      <c r="C12" s="22">
        <v>1464</v>
      </c>
      <c r="D12" s="11">
        <v>0</v>
      </c>
      <c r="E12" s="11">
        <f t="shared" si="0"/>
        <v>1464</v>
      </c>
      <c r="F12" s="12" t="str">
        <f t="shared" si="3"/>
        <v/>
      </c>
      <c r="G12" s="13">
        <v>2006</v>
      </c>
      <c r="H12" s="13">
        <f t="shared" si="1"/>
        <v>-542</v>
      </c>
      <c r="I12" s="14">
        <f t="shared" si="2"/>
        <v>-0.27018943170488535</v>
      </c>
      <c r="J12" s="39"/>
      <c r="K12" s="39"/>
    </row>
    <row r="13" spans="1:11" ht="15.75">
      <c r="A13" s="28" t="str">
        <v>Lone Tree</v>
      </c>
      <c r="B13" s="29" t="str">
        <v>CO</v>
      </c>
      <c r="C13" s="10">
        <v>2352</v>
      </c>
      <c r="D13" s="16">
        <v>0</v>
      </c>
      <c r="E13" s="16">
        <f t="shared" si="0"/>
        <v>2352</v>
      </c>
      <c r="F13" s="17" t="str">
        <f t="shared" si="3"/>
        <v/>
      </c>
      <c r="G13" s="18">
        <v>4580</v>
      </c>
      <c r="H13" s="18">
        <f t="shared" si="1"/>
        <v>-2228</v>
      </c>
      <c r="I13" s="17">
        <f t="shared" si="2"/>
        <v>-0.48646288209606986</v>
      </c>
      <c r="J13" s="40"/>
      <c r="K13" s="40"/>
    </row>
    <row r="14" spans="1:11" ht="15.75">
      <c r="A14" s="26" t="str">
        <v>Meridian</v>
      </c>
      <c r="B14" s="27" t="str">
        <v>CO</v>
      </c>
      <c r="C14" s="22">
        <v>2687</v>
      </c>
      <c r="D14" s="11">
        <v>0</v>
      </c>
      <c r="E14" s="11">
        <f t="shared" si="0"/>
        <v>2687</v>
      </c>
      <c r="F14" s="12" t="str">
        <f t="shared" si="3"/>
        <v/>
      </c>
      <c r="G14" s="13">
        <v>2667</v>
      </c>
      <c r="H14" s="13">
        <f t="shared" si="1"/>
        <v>20</v>
      </c>
      <c r="I14" s="14">
        <f t="shared" si="2"/>
        <v>7.4990626171728535E-3</v>
      </c>
      <c r="J14" s="39"/>
      <c r="K14" s="39"/>
    </row>
    <row r="15" spans="1:11" ht="15.75">
      <c r="A15" s="28" t="str">
        <v>Southglenn</v>
      </c>
      <c r="B15" s="29" t="str">
        <v>CO</v>
      </c>
      <c r="C15" s="10">
        <v>2486</v>
      </c>
      <c r="D15" s="16">
        <v>0</v>
      </c>
      <c r="E15" s="16">
        <f t="shared" si="0"/>
        <v>2486</v>
      </c>
      <c r="F15" s="17" t="str">
        <f t="shared" si="3"/>
        <v/>
      </c>
      <c r="G15" s="18">
        <v>2762</v>
      </c>
      <c r="H15" s="18">
        <f t="shared" si="1"/>
        <v>-276</v>
      </c>
      <c r="I15" s="17">
        <f t="shared" si="2"/>
        <v>-9.9927588703837805E-2</v>
      </c>
      <c r="J15" s="40"/>
      <c r="K15" s="40"/>
    </row>
    <row r="16" spans="1:11" ht="15.75">
      <c r="A16" s="26" t="str">
        <v>Standley Lake</v>
      </c>
      <c r="B16" s="27" t="str">
        <v>CO</v>
      </c>
      <c r="C16" s="22">
        <v>1464</v>
      </c>
      <c r="D16" s="11">
        <v>0</v>
      </c>
      <c r="E16" s="11">
        <f t="shared" si="0"/>
        <v>1464</v>
      </c>
      <c r="F16" s="12" t="str">
        <f t="shared" si="3"/>
        <v/>
      </c>
      <c r="G16" s="13">
        <v>3683</v>
      </c>
      <c r="H16" s="13">
        <f t="shared" si="1"/>
        <v>-2219</v>
      </c>
      <c r="I16" s="14">
        <f t="shared" si="2"/>
        <v>-0.60249796361661689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2966</v>
      </c>
      <c r="D17" s="16">
        <v>0</v>
      </c>
      <c r="E17" s="16">
        <f t="shared" si="0"/>
        <v>2966</v>
      </c>
      <c r="F17" s="17" t="str">
        <f t="shared" si="3"/>
        <v/>
      </c>
      <c r="G17" s="18">
        <v>1436</v>
      </c>
      <c r="H17" s="18">
        <f t="shared" si="1"/>
        <v>1530</v>
      </c>
      <c r="I17" s="17">
        <f t="shared" si="2"/>
        <v>1.0654596100278551</v>
      </c>
      <c r="J17" s="40"/>
      <c r="K17" s="55"/>
    </row>
    <row r="18" spans="1:11" ht="12.75" customHeight="1">
      <c r="A18" s="26" t="str">
        <v>East Hartford</v>
      </c>
      <c r="B18" s="27" t="str">
        <v>CT</v>
      </c>
      <c r="C18" s="60"/>
      <c r="D18" s="11">
        <v>609</v>
      </c>
      <c r="E18" s="11" t="str">
        <f t="shared" si="0"/>
        <v/>
      </c>
      <c r="F18" s="12" t="str">
        <f t="shared" si="3"/>
        <v/>
      </c>
      <c r="G18" s="13">
        <v>599</v>
      </c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>
        <v>710</v>
      </c>
      <c r="D19" s="16">
        <v>863</v>
      </c>
      <c r="E19" s="16">
        <f t="shared" si="0"/>
        <v>-153</v>
      </c>
      <c r="F19" s="17">
        <f t="shared" si="3"/>
        <v>-0.17728852838933951</v>
      </c>
      <c r="G19" s="18">
        <v>734</v>
      </c>
      <c r="H19" s="18">
        <f t="shared" si="1"/>
        <v>-24</v>
      </c>
      <c r="I19" s="17">
        <f t="shared" si="2"/>
        <v>-3.2697547683923703E-2</v>
      </c>
      <c r="J19" s="40"/>
      <c r="K19" s="40"/>
    </row>
    <row r="20" spans="1:11" ht="15.75">
      <c r="A20" s="26" t="str">
        <v>Hialeah Gardens</v>
      </c>
      <c r="B20" s="27" t="str">
        <v>FL</v>
      </c>
      <c r="C20" s="22">
        <v>754</v>
      </c>
      <c r="D20" s="11">
        <v>3725</v>
      </c>
      <c r="E20" s="11">
        <f t="shared" si="0"/>
        <v>-2971</v>
      </c>
      <c r="F20" s="12">
        <f t="shared" si="3"/>
        <v>-0.79758389261744966</v>
      </c>
      <c r="G20" s="13">
        <v>5039</v>
      </c>
      <c r="H20" s="13">
        <f t="shared" si="1"/>
        <v>-4285</v>
      </c>
      <c r="I20" s="14">
        <f t="shared" si="2"/>
        <v>-0.85036713633657468</v>
      </c>
      <c r="J20" s="39" t="s">
        <v>64</v>
      </c>
      <c r="K20" s="39" t="s">
        <v>51</v>
      </c>
    </row>
    <row r="21" spans="1:11" ht="15.75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40"/>
      <c r="K21" s="40"/>
    </row>
    <row r="22" spans="1:11" ht="15.75">
      <c r="A22" s="26" t="str">
        <v>W. Des Moines Campus EAST</v>
      </c>
      <c r="B22" s="27" t="str">
        <v>IA</v>
      </c>
      <c r="C22" s="22">
        <v>168562</v>
      </c>
      <c r="D22" s="11">
        <v>169387</v>
      </c>
      <c r="E22" s="11">
        <f t="shared" si="0"/>
        <v>-825</v>
      </c>
      <c r="F22" s="12">
        <f t="shared" si="3"/>
        <v>-4.8705036395945379E-3</v>
      </c>
      <c r="G22" s="13">
        <v>159000</v>
      </c>
      <c r="H22" s="13">
        <f t="shared" si="1"/>
        <v>9562</v>
      </c>
      <c r="I22" s="14">
        <f t="shared" si="2"/>
        <v>6.0138364779874214E-2</v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>
        <v>80355</v>
      </c>
      <c r="D23" s="16">
        <v>88290</v>
      </c>
      <c r="E23" s="16">
        <f t="shared" si="0"/>
        <v>-7935</v>
      </c>
      <c r="F23" s="17">
        <f t="shared" si="3"/>
        <v>-8.9874277947672443E-2</v>
      </c>
      <c r="G23" s="18">
        <v>79031</v>
      </c>
      <c r="H23" s="18">
        <f t="shared" si="1"/>
        <v>1324</v>
      </c>
      <c r="I23" s="17">
        <f t="shared" si="2"/>
        <v>1.675291974035505E-2</v>
      </c>
      <c r="J23" s="40"/>
      <c r="K23" s="40"/>
    </row>
    <row r="24" spans="1:11" ht="28.5">
      <c r="A24" s="26" t="str">
        <v>WF - CIC</v>
      </c>
      <c r="B24" s="27" t="str">
        <v>NC</v>
      </c>
      <c r="C24" s="22">
        <v>101088</v>
      </c>
      <c r="D24" s="11">
        <v>111466</v>
      </c>
      <c r="E24" s="11">
        <f t="shared" si="0"/>
        <v>-10378</v>
      </c>
      <c r="F24" s="12">
        <f t="shared" si="3"/>
        <v>-9.3104623831482242E-2</v>
      </c>
      <c r="G24" s="13">
        <v>171329</v>
      </c>
      <c r="H24" s="13">
        <f t="shared" si="1"/>
        <v>-70241</v>
      </c>
      <c r="I24" s="14">
        <f t="shared" si="2"/>
        <v>-0.40997729514559705</v>
      </c>
      <c r="J24" s="39" t="s">
        <v>65</v>
      </c>
      <c r="K24" s="39" t="s">
        <v>32</v>
      </c>
    </row>
    <row r="25" spans="1:11" ht="28.5">
      <c r="A25" s="28" t="str">
        <v>Charlotte - Wells Fargo - DUC</v>
      </c>
      <c r="B25" s="29" t="str">
        <v>NC</v>
      </c>
      <c r="C25" s="10">
        <v>1019</v>
      </c>
      <c r="D25" s="16">
        <v>155244</v>
      </c>
      <c r="E25" s="16">
        <f t="shared" si="0"/>
        <v>-154225</v>
      </c>
      <c r="F25" s="17">
        <f t="shared" si="3"/>
        <v>-0.99343613923887553</v>
      </c>
      <c r="G25" s="18">
        <v>165416</v>
      </c>
      <c r="H25" s="18">
        <f t="shared" si="1"/>
        <v>-164397</v>
      </c>
      <c r="I25" s="17">
        <f t="shared" si="2"/>
        <v>-0.99383977366155629</v>
      </c>
      <c r="J25" s="40" t="s">
        <v>66</v>
      </c>
      <c r="K25" s="56" t="s">
        <v>33</v>
      </c>
    </row>
    <row r="26" spans="1:11" ht="15.75">
      <c r="A26" s="26" t="str">
        <v>East Windsor</v>
      </c>
      <c r="B26" s="27" t="str">
        <v>NJ</v>
      </c>
      <c r="C26" s="22">
        <v>868</v>
      </c>
      <c r="D26" s="11">
        <v>899</v>
      </c>
      <c r="E26" s="11">
        <f t="shared" si="0"/>
        <v>-31</v>
      </c>
      <c r="F26" s="12">
        <f t="shared" si="3"/>
        <v>-3.4482758620689655E-2</v>
      </c>
      <c r="G26" s="13">
        <v>758</v>
      </c>
      <c r="H26" s="13">
        <f t="shared" si="1"/>
        <v>110</v>
      </c>
      <c r="I26" s="14">
        <f t="shared" si="2"/>
        <v>0.14511873350923482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2271</v>
      </c>
      <c r="D27" s="16">
        <v>2117</v>
      </c>
      <c r="E27" s="16">
        <f t="shared" si="0"/>
        <v>154</v>
      </c>
      <c r="F27" s="17">
        <f t="shared" si="3"/>
        <v>7.2744449692961732E-2</v>
      </c>
      <c r="G27" s="18">
        <v>1975</v>
      </c>
      <c r="H27" s="18">
        <f t="shared" si="1"/>
        <v>296</v>
      </c>
      <c r="I27" s="17">
        <f t="shared" si="2"/>
        <v>0.14987341772151899</v>
      </c>
      <c r="J27" s="40"/>
      <c r="K27" s="40"/>
    </row>
    <row r="28" spans="1:11" ht="15.75">
      <c r="A28" s="26" t="str">
        <v>Bayonne</v>
      </c>
      <c r="B28" s="27" t="str">
        <v>NJ</v>
      </c>
      <c r="C28" s="22">
        <v>2808</v>
      </c>
      <c r="D28" s="11">
        <v>2774</v>
      </c>
      <c r="E28" s="11">
        <f t="shared" si="0"/>
        <v>34</v>
      </c>
      <c r="F28" s="12">
        <f t="shared" si="3"/>
        <v>1.2256669069935111E-2</v>
      </c>
      <c r="G28" s="13">
        <v>3084</v>
      </c>
      <c r="H28" s="13">
        <f t="shared" si="1"/>
        <v>-276</v>
      </c>
      <c r="I28" s="14">
        <f t="shared" si="2"/>
        <v>-8.9494163424124515E-2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3452</v>
      </c>
      <c r="D29" s="16">
        <v>3504</v>
      </c>
      <c r="E29" s="16">
        <f t="shared" si="0"/>
        <v>-52</v>
      </c>
      <c r="F29" s="17">
        <f t="shared" si="3"/>
        <v>-1.4840182648401826E-2</v>
      </c>
      <c r="G29" s="18">
        <v>3881</v>
      </c>
      <c r="H29" s="18">
        <f t="shared" si="1"/>
        <v>-429</v>
      </c>
      <c r="I29" s="17">
        <f t="shared" si="2"/>
        <v>-0.11053852099974233</v>
      </c>
      <c r="J29" s="40"/>
      <c r="K29" s="40"/>
    </row>
    <row r="30" spans="1:11" ht="15.75">
      <c r="A30" s="26" t="str">
        <v>North Elizabeth</v>
      </c>
      <c r="B30" s="27" t="str">
        <v>NJ</v>
      </c>
      <c r="C30" s="22">
        <v>2955</v>
      </c>
      <c r="D30" s="11">
        <v>2135</v>
      </c>
      <c r="E30" s="11">
        <f t="shared" si="0"/>
        <v>820</v>
      </c>
      <c r="F30" s="12">
        <f t="shared" si="3"/>
        <v>0.38407494145199061</v>
      </c>
      <c r="G30" s="13">
        <v>2680</v>
      </c>
      <c r="H30" s="13">
        <f t="shared" si="1"/>
        <v>275</v>
      </c>
      <c r="I30" s="14">
        <f t="shared" si="2"/>
        <v>0.10261194029850747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2120</v>
      </c>
      <c r="D31" s="16">
        <v>2028</v>
      </c>
      <c r="E31" s="16">
        <f t="shared" si="0"/>
        <v>92</v>
      </c>
      <c r="F31" s="17">
        <f t="shared" si="3"/>
        <v>4.5364891518737675E-2</v>
      </c>
      <c r="G31" s="18">
        <v>1901</v>
      </c>
      <c r="H31" s="18">
        <f t="shared" si="1"/>
        <v>219</v>
      </c>
      <c r="I31" s="17">
        <f t="shared" si="2"/>
        <v>0.11520252498684903</v>
      </c>
      <c r="J31" s="40"/>
      <c r="K31" s="40"/>
    </row>
    <row r="32" spans="1:11" ht="15.75">
      <c r="A32" s="26" t="str">
        <v>Parsippany</v>
      </c>
      <c r="B32" s="27" t="str">
        <v>NJ</v>
      </c>
      <c r="C32" s="22">
        <v>2545</v>
      </c>
      <c r="D32" s="11">
        <v>2776</v>
      </c>
      <c r="E32" s="11">
        <f t="shared" si="0"/>
        <v>-231</v>
      </c>
      <c r="F32" s="12">
        <f t="shared" si="3"/>
        <v>-8.3213256484149858E-2</v>
      </c>
      <c r="G32" s="13">
        <v>2545</v>
      </c>
      <c r="H32" s="13">
        <f t="shared" si="1"/>
        <v>0</v>
      </c>
      <c r="I32" s="14">
        <f t="shared" si="2"/>
        <v>0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2177</v>
      </c>
      <c r="D33" s="16">
        <v>1988</v>
      </c>
      <c r="E33" s="16">
        <f t="shared" si="0"/>
        <v>189</v>
      </c>
      <c r="F33" s="17">
        <f t="shared" si="3"/>
        <v>9.5070422535211266E-2</v>
      </c>
      <c r="G33" s="18">
        <v>1843</v>
      </c>
      <c r="H33" s="18">
        <f t="shared" si="1"/>
        <v>334</v>
      </c>
      <c r="I33" s="17">
        <f t="shared" si="2"/>
        <v>0.18122626153011395</v>
      </c>
      <c r="J33" s="40"/>
      <c r="K33" s="40"/>
    </row>
    <row r="34" spans="1:11" ht="15.75">
      <c r="A34" s="26" t="str">
        <v>Closter</v>
      </c>
      <c r="B34" s="27" t="str">
        <v>NJ</v>
      </c>
      <c r="C34" s="22">
        <v>817</v>
      </c>
      <c r="D34" s="11">
        <v>763</v>
      </c>
      <c r="E34" s="11">
        <f t="shared" si="0"/>
        <v>54</v>
      </c>
      <c r="F34" s="12">
        <f t="shared" si="3"/>
        <v>7.0773263433813891E-2</v>
      </c>
      <c r="G34" s="13">
        <v>1041</v>
      </c>
      <c r="H34" s="13">
        <f t="shared" si="1"/>
        <v>-224</v>
      </c>
      <c r="I34" s="14">
        <f t="shared" si="2"/>
        <v>-0.21517771373679154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1858</v>
      </c>
      <c r="D35" s="16">
        <v>1620</v>
      </c>
      <c r="E35" s="16">
        <f t="shared" si="0"/>
        <v>238</v>
      </c>
      <c r="F35" s="17">
        <f t="shared" si="3"/>
        <v>0.14691358024691359</v>
      </c>
      <c r="G35" s="18">
        <v>1596</v>
      </c>
      <c r="H35" s="18">
        <f t="shared" si="1"/>
        <v>262</v>
      </c>
      <c r="I35" s="17">
        <f t="shared" si="2"/>
        <v>0.16416040100250626</v>
      </c>
      <c r="J35" s="40"/>
      <c r="K35" s="40"/>
    </row>
    <row r="36" spans="1:11" ht="15.75">
      <c r="A36" s="26" t="str">
        <v>Ellisburg Circle Center</v>
      </c>
      <c r="B36" s="27" t="str">
        <v>NJ</v>
      </c>
      <c r="C36" s="22">
        <v>940</v>
      </c>
      <c r="D36" s="11">
        <v>929</v>
      </c>
      <c r="E36" s="11">
        <f t="shared" si="0"/>
        <v>11</v>
      </c>
      <c r="F36" s="12">
        <f t="shared" si="3"/>
        <v>1.1840688912809472E-2</v>
      </c>
      <c r="G36" s="13">
        <v>874</v>
      </c>
      <c r="H36" s="13">
        <f t="shared" si="1"/>
        <v>66</v>
      </c>
      <c r="I36" s="14">
        <f t="shared" si="2"/>
        <v>7.5514874141876437E-2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2974</v>
      </c>
      <c r="D37" s="16">
        <v>2777</v>
      </c>
      <c r="E37" s="16">
        <f t="shared" si="0"/>
        <v>197</v>
      </c>
      <c r="F37" s="17">
        <f t="shared" si="3"/>
        <v>7.0939863161685268E-2</v>
      </c>
      <c r="G37" s="18">
        <v>3135</v>
      </c>
      <c r="H37" s="18">
        <f t="shared" si="1"/>
        <v>-161</v>
      </c>
      <c r="I37" s="17">
        <f t="shared" si="2"/>
        <v>-5.1355661881977668E-2</v>
      </c>
      <c r="J37" s="40"/>
      <c r="K37" s="40"/>
    </row>
    <row r="38" spans="1:11" ht="15.75">
      <c r="A38" s="26" t="str">
        <v>Marlton</v>
      </c>
      <c r="B38" s="27" t="str">
        <v>NJ</v>
      </c>
      <c r="C38" s="22">
        <v>3496</v>
      </c>
      <c r="D38" s="11">
        <v>2962</v>
      </c>
      <c r="E38" s="11">
        <f t="shared" si="0"/>
        <v>534</v>
      </c>
      <c r="F38" s="12">
        <f t="shared" si="3"/>
        <v>0.18028359216745443</v>
      </c>
      <c r="G38" s="13">
        <v>3142</v>
      </c>
      <c r="H38" s="13">
        <f t="shared" si="1"/>
        <v>354</v>
      </c>
      <c r="I38" s="14">
        <f t="shared" si="2"/>
        <v>0.11266709102482496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2867</v>
      </c>
      <c r="D39" s="16">
        <v>2409</v>
      </c>
      <c r="E39" s="16">
        <f t="shared" si="0"/>
        <v>458</v>
      </c>
      <c r="F39" s="17">
        <f t="shared" si="3"/>
        <v>0.19012038190120381</v>
      </c>
      <c r="G39" s="18">
        <v>2632</v>
      </c>
      <c r="H39" s="18">
        <f t="shared" si="1"/>
        <v>235</v>
      </c>
      <c r="I39" s="17">
        <f t="shared" si="2"/>
        <v>8.9285714285714288E-2</v>
      </c>
      <c r="J39" s="40"/>
      <c r="K39" s="40"/>
    </row>
    <row r="40" spans="1:11" ht="15.75">
      <c r="A40" s="26" t="str">
        <v>Whiting Crestwood</v>
      </c>
      <c r="B40" s="27" t="str">
        <v>NJ</v>
      </c>
      <c r="C40" s="22">
        <v>3856</v>
      </c>
      <c r="D40" s="11">
        <v>3757</v>
      </c>
      <c r="E40" s="11">
        <f t="shared" si="0"/>
        <v>99</v>
      </c>
      <c r="F40" s="12">
        <f t="shared" si="3"/>
        <v>2.6350811817939846E-2</v>
      </c>
      <c r="G40" s="13">
        <v>3766</v>
      </c>
      <c r="H40" s="13">
        <f t="shared" si="1"/>
        <v>90</v>
      </c>
      <c r="I40" s="14">
        <f t="shared" si="2"/>
        <v>2.3898035050451408E-2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4807</v>
      </c>
      <c r="D41" s="16">
        <v>4116</v>
      </c>
      <c r="E41" s="16">
        <f t="shared" si="0"/>
        <v>691</v>
      </c>
      <c r="F41" s="17">
        <f t="shared" si="3"/>
        <v>0.16788143828960156</v>
      </c>
      <c r="G41" s="18">
        <v>4404</v>
      </c>
      <c r="H41" s="18">
        <f t="shared" si="1"/>
        <v>403</v>
      </c>
      <c r="I41" s="17">
        <f t="shared" si="2"/>
        <v>9.1507720254314265E-2</v>
      </c>
      <c r="J41" s="40"/>
      <c r="K41" s="40"/>
    </row>
    <row r="42" spans="1:11" ht="15.75">
      <c r="A42" s="26" t="str">
        <v>Manchester</v>
      </c>
      <c r="B42" s="27" t="str">
        <v>NJ</v>
      </c>
      <c r="C42" s="22">
        <v>2722</v>
      </c>
      <c r="D42" s="11">
        <v>2531</v>
      </c>
      <c r="E42" s="11">
        <f t="shared" si="0"/>
        <v>191</v>
      </c>
      <c r="F42" s="12">
        <f t="shared" si="3"/>
        <v>7.5464243382062424E-2</v>
      </c>
      <c r="G42" s="13">
        <v>3173</v>
      </c>
      <c r="H42" s="13">
        <f t="shared" si="1"/>
        <v>-451</v>
      </c>
      <c r="I42" s="14">
        <f t="shared" si="2"/>
        <v>-0.14213677907343208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3319</v>
      </c>
      <c r="D43" s="16">
        <v>3314</v>
      </c>
      <c r="E43" s="16">
        <f t="shared" si="0"/>
        <v>5</v>
      </c>
      <c r="F43" s="17">
        <f t="shared" si="3"/>
        <v>1.5087507543753772E-3</v>
      </c>
      <c r="G43" s="18">
        <v>2972</v>
      </c>
      <c r="H43" s="18">
        <f t="shared" si="1"/>
        <v>347</v>
      </c>
      <c r="I43" s="17">
        <f t="shared" si="2"/>
        <v>0.1167563930013459</v>
      </c>
      <c r="J43" s="40"/>
      <c r="K43" s="40"/>
    </row>
    <row r="44" spans="1:11" ht="15.75">
      <c r="A44" s="26" t="str">
        <v>Edison</v>
      </c>
      <c r="B44" s="27" t="str">
        <v>NJ</v>
      </c>
      <c r="C44" s="22">
        <v>2928</v>
      </c>
      <c r="D44" s="11">
        <v>2567</v>
      </c>
      <c r="E44" s="11">
        <f t="shared" si="0"/>
        <v>361</v>
      </c>
      <c r="F44" s="12">
        <f t="shared" si="3"/>
        <v>0.14063108687183482</v>
      </c>
      <c r="G44" s="13">
        <v>2499</v>
      </c>
      <c r="H44" s="13">
        <f t="shared" si="1"/>
        <v>429</v>
      </c>
      <c r="I44" s="14">
        <f t="shared" si="2"/>
        <v>0.17166866746698681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2630</v>
      </c>
      <c r="D45" s="16">
        <v>2285</v>
      </c>
      <c r="E45" s="16">
        <f t="shared" si="0"/>
        <v>345</v>
      </c>
      <c r="F45" s="17">
        <f t="shared" si="3"/>
        <v>0.15098468271334792</v>
      </c>
      <c r="G45" s="18">
        <v>2337</v>
      </c>
      <c r="H45" s="18">
        <f t="shared" si="1"/>
        <v>293</v>
      </c>
      <c r="I45" s="17">
        <f t="shared" si="2"/>
        <v>0.12537441163885324</v>
      </c>
      <c r="J45" s="40"/>
      <c r="K45" s="40"/>
    </row>
    <row r="46" spans="1:11" ht="15.75">
      <c r="A46" s="26" t="str">
        <v>Route 22</v>
      </c>
      <c r="B46" s="27" t="str">
        <v>NJ</v>
      </c>
      <c r="C46" s="22">
        <v>2658</v>
      </c>
      <c r="D46" s="11">
        <v>2719</v>
      </c>
      <c r="E46" s="11">
        <f t="shared" si="0"/>
        <v>-61</v>
      </c>
      <c r="F46" s="12">
        <f t="shared" si="3"/>
        <v>-2.2434718646561234E-2</v>
      </c>
      <c r="G46" s="13">
        <v>2240</v>
      </c>
      <c r="H46" s="13">
        <f t="shared" si="1"/>
        <v>418</v>
      </c>
      <c r="I46" s="14">
        <f t="shared" si="2"/>
        <v>0.18660714285714286</v>
      </c>
      <c r="J46" s="39"/>
      <c r="K46" s="39"/>
    </row>
    <row r="47" spans="1:11" ht="15.75">
      <c r="A47" s="28" t="str">
        <v>Laurelton</v>
      </c>
      <c r="B47" s="29" t="str">
        <v>NJ</v>
      </c>
      <c r="C47" s="10">
        <v>2040</v>
      </c>
      <c r="D47" s="16">
        <v>2082</v>
      </c>
      <c r="E47" s="16">
        <f t="shared" si="0"/>
        <v>-42</v>
      </c>
      <c r="F47" s="17">
        <f t="shared" si="3"/>
        <v>-2.0172910662824207E-2</v>
      </c>
      <c r="G47" s="18">
        <v>2166</v>
      </c>
      <c r="H47" s="18">
        <f t="shared" si="1"/>
        <v>-126</v>
      </c>
      <c r="I47" s="17">
        <f t="shared" si="2"/>
        <v>-5.817174515235457E-2</v>
      </c>
      <c r="J47" s="40"/>
      <c r="K47" s="40"/>
    </row>
    <row r="48" spans="1:11" ht="15.75">
      <c r="A48" s="26" t="str">
        <v>Mahwah</v>
      </c>
      <c r="B48" s="27" t="str">
        <v>NJ</v>
      </c>
      <c r="C48" s="22">
        <v>2064</v>
      </c>
      <c r="D48" s="11">
        <v>2044</v>
      </c>
      <c r="E48" s="11">
        <f t="shared" si="0"/>
        <v>20</v>
      </c>
      <c r="F48" s="12">
        <f t="shared" si="3"/>
        <v>9.7847358121330719E-3</v>
      </c>
      <c r="G48" s="13">
        <v>1905</v>
      </c>
      <c r="H48" s="13">
        <f t="shared" si="1"/>
        <v>159</v>
      </c>
      <c r="I48" s="14">
        <f t="shared" si="2"/>
        <v>8.3464566929133857E-2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2433</v>
      </c>
      <c r="D49" s="16">
        <v>2215</v>
      </c>
      <c r="E49" s="16">
        <f t="shared" si="0"/>
        <v>218</v>
      </c>
      <c r="F49" s="17">
        <f t="shared" si="3"/>
        <v>9.8419864559819409E-2</v>
      </c>
      <c r="G49" s="18">
        <v>2742</v>
      </c>
      <c r="H49" s="18">
        <f t="shared" si="1"/>
        <v>-309</v>
      </c>
      <c r="I49" s="17">
        <f t="shared" si="2"/>
        <v>-0.11269146608315099</v>
      </c>
      <c r="J49" s="40"/>
      <c r="K49" s="40"/>
    </row>
    <row r="50" spans="1:11" ht="15.75">
      <c r="A50" s="26" t="str">
        <v>Bordentown</v>
      </c>
      <c r="B50" s="27" t="str">
        <v>NJ</v>
      </c>
      <c r="C50" s="22">
        <v>1983</v>
      </c>
      <c r="D50" s="11">
        <v>1664</v>
      </c>
      <c r="E50" s="11">
        <f t="shared" si="0"/>
        <v>319</v>
      </c>
      <c r="F50" s="12">
        <f t="shared" si="3"/>
        <v>0.19170673076923078</v>
      </c>
      <c r="G50" s="13">
        <v>1717</v>
      </c>
      <c r="H50" s="13">
        <f t="shared" si="1"/>
        <v>266</v>
      </c>
      <c r="I50" s="14">
        <f t="shared" si="2"/>
        <v>0.15492137449039023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1416</v>
      </c>
      <c r="D51" s="16">
        <v>1280</v>
      </c>
      <c r="E51" s="16">
        <f t="shared" si="0"/>
        <v>136</v>
      </c>
      <c r="F51" s="17">
        <f t="shared" si="3"/>
        <v>0.10625</v>
      </c>
      <c r="G51" s="18">
        <v>1227</v>
      </c>
      <c r="H51" s="18">
        <f t="shared" si="1"/>
        <v>189</v>
      </c>
      <c r="I51" s="17">
        <f t="shared" si="2"/>
        <v>0.15403422982885084</v>
      </c>
      <c r="J51" s="40"/>
      <c r="K51" s="40"/>
    </row>
    <row r="52" spans="1:11" ht="15.75">
      <c r="A52" s="26" t="str">
        <v>Somerset</v>
      </c>
      <c r="B52" s="27" t="str">
        <v>NJ</v>
      </c>
      <c r="C52" s="22">
        <v>2146</v>
      </c>
      <c r="D52" s="11">
        <v>2895</v>
      </c>
      <c r="E52" s="11">
        <f t="shared" si="0"/>
        <v>-749</v>
      </c>
      <c r="F52" s="12">
        <f t="shared" si="3"/>
        <v>-0.25872193436960278</v>
      </c>
      <c r="G52" s="13">
        <v>1893</v>
      </c>
      <c r="H52" s="13">
        <f t="shared" si="1"/>
        <v>253</v>
      </c>
      <c r="I52" s="14">
        <f t="shared" si="2"/>
        <v>0.13365029054410987</v>
      </c>
      <c r="J52" s="39"/>
      <c r="K52" s="39"/>
    </row>
    <row r="53" spans="1:11" ht="15.75">
      <c r="A53" s="28" t="str">
        <v>Clinton Main Relo</v>
      </c>
      <c r="B53" s="29" t="str">
        <v>NJ</v>
      </c>
      <c r="C53" s="10">
        <v>2481</v>
      </c>
      <c r="D53" s="16">
        <v>2488</v>
      </c>
      <c r="E53" s="16">
        <f t="shared" si="0"/>
        <v>-7</v>
      </c>
      <c r="F53" s="17">
        <f t="shared" si="3"/>
        <v>-2.8135048231511255E-3</v>
      </c>
      <c r="G53" s="18">
        <v>2163</v>
      </c>
      <c r="H53" s="18">
        <f t="shared" si="1"/>
        <v>318</v>
      </c>
      <c r="I53" s="17">
        <f t="shared" si="2"/>
        <v>0.14701803051317613</v>
      </c>
      <c r="J53" s="40"/>
      <c r="K53" s="40"/>
    </row>
    <row r="54" spans="1:11" ht="15.75">
      <c r="A54" s="26" t="str">
        <v>North Brunswick</v>
      </c>
      <c r="B54" s="27" t="str">
        <v>NJ</v>
      </c>
      <c r="C54" s="22">
        <v>2516</v>
      </c>
      <c r="D54" s="11">
        <v>2256</v>
      </c>
      <c r="E54" s="11">
        <f t="shared" si="0"/>
        <v>260</v>
      </c>
      <c r="F54" s="12">
        <f t="shared" si="3"/>
        <v>0.11524822695035461</v>
      </c>
      <c r="G54" s="13">
        <v>2428</v>
      </c>
      <c r="H54" s="13">
        <f t="shared" si="1"/>
        <v>88</v>
      </c>
      <c r="I54" s="14">
        <f t="shared" si="2"/>
        <v>3.6243822075782535E-2</v>
      </c>
      <c r="J54" s="39"/>
      <c r="K54" s="39"/>
    </row>
    <row r="55" spans="1:11" ht="15.75">
      <c r="A55" s="28" t="str">
        <v>Cherry Hill</v>
      </c>
      <c r="B55" s="29" t="str">
        <v>NJ</v>
      </c>
      <c r="C55" s="10">
        <v>1739</v>
      </c>
      <c r="D55" s="16">
        <v>1729</v>
      </c>
      <c r="E55" s="16">
        <f t="shared" si="0"/>
        <v>10</v>
      </c>
      <c r="F55" s="17">
        <f t="shared" si="3"/>
        <v>5.7836899942163098E-3</v>
      </c>
      <c r="G55" s="18">
        <v>1658</v>
      </c>
      <c r="H55" s="18">
        <f t="shared" si="1"/>
        <v>81</v>
      </c>
      <c r="I55" s="17">
        <f t="shared" si="2"/>
        <v>4.8854041013268998E-2</v>
      </c>
      <c r="J55" s="40"/>
      <c r="K55" s="40"/>
    </row>
    <row r="56" spans="1:11" ht="15.75">
      <c r="A56" s="26" t="str">
        <v>Hainesport</v>
      </c>
      <c r="B56" s="27" t="str">
        <v>NJ</v>
      </c>
      <c r="C56" s="22">
        <v>1929</v>
      </c>
      <c r="D56" s="11">
        <v>2006</v>
      </c>
      <c r="E56" s="11">
        <f t="shared" si="0"/>
        <v>-77</v>
      </c>
      <c r="F56" s="12">
        <f t="shared" si="3"/>
        <v>-3.8384845463609173E-2</v>
      </c>
      <c r="G56" s="13">
        <v>1613</v>
      </c>
      <c r="H56" s="13">
        <f t="shared" si="1"/>
        <v>316</v>
      </c>
      <c r="I56" s="14">
        <f t="shared" si="2"/>
        <v>0.1959082455052697</v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>
        <v>39844</v>
      </c>
      <c r="D57" s="16">
        <v>24128</v>
      </c>
      <c r="E57" s="16">
        <f t="shared" si="0"/>
        <v>15716</v>
      </c>
      <c r="F57" s="17">
        <f t="shared" si="3"/>
        <v>0.65135941644562334</v>
      </c>
      <c r="G57" s="18">
        <v>50913</v>
      </c>
      <c r="H57" s="18">
        <f t="shared" si="1"/>
        <v>-11069</v>
      </c>
      <c r="I57" s="17">
        <f t="shared" si="2"/>
        <v>-0.21741009172509967</v>
      </c>
      <c r="J57" s="40"/>
      <c r="K57" s="40"/>
    </row>
    <row r="58" spans="1:11" ht="15.75">
      <c r="A58" s="26" t="str">
        <v>San Antonio - Ops Ctr GM</v>
      </c>
      <c r="B58" s="27" t="str">
        <v>TX</v>
      </c>
      <c r="C58" s="22">
        <v>298274</v>
      </c>
      <c r="D58" s="11">
        <v>337304</v>
      </c>
      <c r="E58" s="11">
        <f t="shared" si="0"/>
        <v>-39030</v>
      </c>
      <c r="F58" s="12">
        <f t="shared" si="3"/>
        <v>-0.11571164290966013</v>
      </c>
      <c r="G58" s="13">
        <v>366154</v>
      </c>
      <c r="H58" s="13">
        <f t="shared" si="1"/>
        <v>-67880</v>
      </c>
      <c r="I58" s="14">
        <f t="shared" si="2"/>
        <v>-0.18538647672837114</v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>
        <v>31737</v>
      </c>
      <c r="D59" s="16">
        <v>23935</v>
      </c>
      <c r="E59" s="16">
        <f t="shared" si="0"/>
        <v>7802</v>
      </c>
      <c r="F59" s="17">
        <f t="shared" si="3"/>
        <v>0.32596615834551912</v>
      </c>
      <c r="G59" s="18">
        <v>50950</v>
      </c>
      <c r="H59" s="18">
        <f t="shared" si="1"/>
        <v>-19213</v>
      </c>
      <c r="I59" s="17">
        <f t="shared" si="2"/>
        <v>-0.37709519136408243</v>
      </c>
      <c r="J59" s="40" t="s">
        <v>67</v>
      </c>
      <c r="K59" s="40" t="s">
        <v>38</v>
      </c>
    </row>
    <row r="60" spans="1:11" ht="15.75">
      <c r="A60" s="26" t="str">
        <v>San Antonio - Ops Ctr (Bldg 203)</v>
      </c>
      <c r="B60" s="27" t="str">
        <v>TX</v>
      </c>
      <c r="C60" s="22">
        <v>23760</v>
      </c>
      <c r="D60" s="11">
        <v>24509</v>
      </c>
      <c r="E60" s="11">
        <f t="shared" si="0"/>
        <v>-749</v>
      </c>
      <c r="F60" s="12">
        <f t="shared" si="3"/>
        <v>-3.0560202374637888E-2</v>
      </c>
      <c r="G60" s="13">
        <v>51537</v>
      </c>
      <c r="H60" s="13">
        <f t="shared" si="1"/>
        <v>-27777</v>
      </c>
      <c r="I60" s="14">
        <f t="shared" si="2"/>
        <v>-0.53897200069852724</v>
      </c>
      <c r="J60" s="39" t="s">
        <v>68</v>
      </c>
      <c r="K60" s="39" t="s">
        <v>39</v>
      </c>
    </row>
    <row r="61" spans="1:11" ht="15.75">
      <c r="A61" s="28" t="str">
        <v>San Antonio - Ops Ctr (Bldg 205)</v>
      </c>
      <c r="B61" s="29" t="str">
        <v>TX</v>
      </c>
      <c r="C61" s="10">
        <v>0</v>
      </c>
      <c r="D61" s="16">
        <v>21809</v>
      </c>
      <c r="E61" s="16">
        <f t="shared" si="0"/>
        <v>-21809</v>
      </c>
      <c r="F61" s="17">
        <f t="shared" si="3"/>
        <v>-1</v>
      </c>
      <c r="G61" s="18">
        <v>48185</v>
      </c>
      <c r="H61" s="18">
        <f t="shared" si="1"/>
        <v>-48185</v>
      </c>
      <c r="I61" s="17">
        <f t="shared" si="2"/>
        <v>-1</v>
      </c>
      <c r="J61" s="40" t="s">
        <v>69</v>
      </c>
      <c r="K61" s="40" t="s">
        <v>40</v>
      </c>
    </row>
    <row r="62" spans="1:11" ht="15.75">
      <c r="A62" s="26" t="str">
        <v>San Antonio - Ops Ctr (Bldg 307)</v>
      </c>
      <c r="B62" s="27" t="str">
        <v>TX</v>
      </c>
      <c r="C62" s="22">
        <v>0</v>
      </c>
      <c r="D62" s="11">
        <v>23708</v>
      </c>
      <c r="E62" s="11">
        <f t="shared" si="0"/>
        <v>-23708</v>
      </c>
      <c r="F62" s="12">
        <f t="shared" si="3"/>
        <v>-1</v>
      </c>
      <c r="G62" s="13">
        <v>49346</v>
      </c>
      <c r="H62" s="13">
        <f t="shared" si="1"/>
        <v>-49346</v>
      </c>
      <c r="I62" s="14">
        <f t="shared" si="2"/>
        <v>-1</v>
      </c>
      <c r="J62" s="39" t="s">
        <v>69</v>
      </c>
      <c r="K62" s="39" t="s">
        <v>41</v>
      </c>
    </row>
    <row r="63" spans="1:11" ht="15.75">
      <c r="A63" s="28" t="str">
        <v>San Antonio - Ctr (Bldg 308)</v>
      </c>
      <c r="B63" s="29" t="str">
        <v>TX</v>
      </c>
      <c r="C63" s="10">
        <v>0</v>
      </c>
      <c r="D63" s="16">
        <v>23168</v>
      </c>
      <c r="E63" s="16">
        <f t="shared" si="0"/>
        <v>-23168</v>
      </c>
      <c r="F63" s="17">
        <f t="shared" si="3"/>
        <v>-1</v>
      </c>
      <c r="G63" s="18">
        <v>47944</v>
      </c>
      <c r="H63" s="18">
        <f t="shared" si="1"/>
        <v>-47944</v>
      </c>
      <c r="I63" s="17">
        <f t="shared" si="2"/>
        <v>-1</v>
      </c>
      <c r="J63" s="40" t="s">
        <v>69</v>
      </c>
      <c r="K63" s="40" t="s">
        <v>42</v>
      </c>
    </row>
    <row r="64" spans="1:11" ht="15.75">
      <c r="A64" s="26" t="str">
        <v>San Antonio - Ops Ctr (Bldg 104)</v>
      </c>
      <c r="B64" s="27" t="str">
        <v>TX</v>
      </c>
      <c r="C64" s="22">
        <v>10721</v>
      </c>
      <c r="D64" s="11">
        <v>7259</v>
      </c>
      <c r="E64" s="11">
        <f t="shared" si="0"/>
        <v>3462</v>
      </c>
      <c r="F64" s="12">
        <f t="shared" si="3"/>
        <v>0.47692519630803143</v>
      </c>
      <c r="G64" s="13">
        <v>14772</v>
      </c>
      <c r="H64" s="13">
        <f t="shared" si="1"/>
        <v>-4051</v>
      </c>
      <c r="I64" s="14">
        <f t="shared" si="2"/>
        <v>-0.27423503926347143</v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>
        <v>38265</v>
      </c>
      <c r="D65" s="16">
        <v>22454</v>
      </c>
      <c r="E65" s="16">
        <f t="shared" si="0"/>
        <v>15811</v>
      </c>
      <c r="F65" s="17">
        <f t="shared" si="3"/>
        <v>0.7041507081143672</v>
      </c>
      <c r="G65" s="18">
        <v>53647</v>
      </c>
      <c r="H65" s="18">
        <f t="shared" si="1"/>
        <v>-15382</v>
      </c>
      <c r="I65" s="17">
        <f t="shared" si="2"/>
        <v>-0.28672619158573637</v>
      </c>
      <c r="J65" s="40" t="s">
        <v>70</v>
      </c>
      <c r="K65" s="40" t="s">
        <v>44</v>
      </c>
    </row>
    <row r="66" spans="1:11" ht="15.75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39"/>
      <c r="K66" s="39"/>
    </row>
    <row r="67" spans="1:11" ht="15.75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40"/>
      <c r="K67" s="40"/>
    </row>
    <row r="68" spans="1:11" ht="15.75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39"/>
      <c r="K68" s="39"/>
    </row>
    <row r="69" spans="1:11" ht="15.75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40"/>
      <c r="K69" s="40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3.9">
      <c r="C329" s="19"/>
      <c r="D329" s="19"/>
      <c r="E329" s="19"/>
      <c r="F329" s="20"/>
      <c r="G329" s="19"/>
      <c r="H329" s="19"/>
      <c r="I329" s="20"/>
      <c r="J329" s="19"/>
      <c r="K329" s="19"/>
    </row>
  </sheetData>
  <mergeCells count="4">
    <mergeCell ref="G1:I1"/>
    <mergeCell ref="A1:C1"/>
    <mergeCell ref="D1:F1"/>
    <mergeCell ref="A2:B2"/>
  </mergeCells>
  <conditionalFormatting sqref="F2 I2">
    <cfRule type="cellIs" dxfId="28" priority="11" stopIfTrue="1" operator="lessThanOrEqual">
      <formula>-0.1</formula>
    </cfRule>
    <cfRule type="expression" dxfId="27" priority="12">
      <formula>AND(ISNUMBER(F2), F2&gt;=0.1)</formula>
    </cfRule>
  </conditionalFormatting>
  <conditionalFormatting sqref="F4:F87 I4:I87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61" activePane="bottomRight" state="frozen"/>
      <selection pane="bottomRight" activeCell="A66" sqref="A66:K69"/>
      <selection pane="bottomLeft"/>
      <selection pane="topRight"/>
    </sheetView>
  </sheetViews>
  <sheetFormatPr defaultRowHeight="13.5"/>
  <cols>
    <col min="1" max="1" width="29.7109375" customWidth="1"/>
    <col min="2" max="2" width="8.42578125" style="32" customWidth="1"/>
    <col min="3" max="3" width="13.85546875" bestFit="1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2" t="str" cm="1">
        <f t="array" ref="A1">portfolio</f>
        <v>Wells Fargo</v>
      </c>
      <c r="B1" s="72"/>
      <c r="C1" s="72"/>
      <c r="D1" s="73" t="s">
        <v>71</v>
      </c>
      <c r="E1" s="73"/>
      <c r="F1" s="73"/>
      <c r="G1" s="71" t="s">
        <v>72</v>
      </c>
      <c r="H1" s="71"/>
      <c r="I1" s="71"/>
      <c r="J1" s="3"/>
      <c r="K1" s="3"/>
    </row>
    <row r="2" spans="1:11" ht="19.5" customHeight="1">
      <c r="A2" s="82" t="s">
        <v>2</v>
      </c>
      <c r="B2" s="82"/>
      <c r="C2" s="4">
        <f>SUM(C4:C100)</f>
        <v>967630.93699389999</v>
      </c>
      <c r="D2" s="4">
        <f>SUM(D4:D100)</f>
        <v>1046571.4263000001</v>
      </c>
      <c r="E2" s="4">
        <f>C2-D2</f>
        <v>-78940.489306100062</v>
      </c>
      <c r="F2" s="5">
        <f>IFERROR(E2/D2, 0)</f>
        <v>-7.5427713123396273E-2</v>
      </c>
      <c r="G2" s="4">
        <f>SUM(G4:G100)</f>
        <v>1235173.4840000002</v>
      </c>
      <c r="H2" s="6">
        <f>C2-G2</f>
        <v>-267542.54700610018</v>
      </c>
      <c r="I2" s="5">
        <f>IFERROR(H2/G2, 0)</f>
        <v>-0.21660321442433114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1295.8</v>
      </c>
      <c r="D4" s="11">
        <v>0</v>
      </c>
      <c r="E4" s="11">
        <f>IF(AND(ISNUMBER(C4),ISNUMBER(D4)), C4-D4, "")</f>
        <v>1295.8</v>
      </c>
      <c r="F4" s="12" t="str">
        <f>IFERROR(E4/D4, "")</f>
        <v/>
      </c>
      <c r="G4" s="13">
        <v>1189</v>
      </c>
      <c r="H4" s="13">
        <f>IF(AND(ISNUMBER(C4),ISNUMBER(G4)), C4-G4, "")</f>
        <v>106.79999999999995</v>
      </c>
      <c r="I4" s="14">
        <f>IFERROR(H4/G4, "")</f>
        <v>8.9823380992430576E-2</v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>
        <v>0</v>
      </c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>
        <v>52633.125</v>
      </c>
      <c r="D6" s="11">
        <v>47100.36</v>
      </c>
      <c r="E6" s="11">
        <f t="shared" si="0"/>
        <v>5532.7649999999994</v>
      </c>
      <c r="F6" s="12">
        <f t="shared" ref="F6:F69" si="3">IFERROR(E6/D6, "")</f>
        <v>0.11746757349625352</v>
      </c>
      <c r="G6" s="13">
        <v>44943.77</v>
      </c>
      <c r="H6" s="13">
        <f t="shared" si="1"/>
        <v>7689.3550000000032</v>
      </c>
      <c r="I6" s="14">
        <f t="shared" si="2"/>
        <v>0.17108833994121997</v>
      </c>
      <c r="J6" s="39"/>
      <c r="K6" s="39"/>
    </row>
    <row r="7" spans="1:11" ht="15.75">
      <c r="A7" s="28" t="str">
        <v>Van Nuys</v>
      </c>
      <c r="B7" s="29" t="str">
        <v>CA</v>
      </c>
      <c r="C7" s="10">
        <v>2145.5</v>
      </c>
      <c r="D7" s="16">
        <v>0</v>
      </c>
      <c r="E7" s="16">
        <f t="shared" si="0"/>
        <v>2145.5</v>
      </c>
      <c r="F7" s="17" t="str">
        <f t="shared" si="3"/>
        <v/>
      </c>
      <c r="G7" s="18">
        <v>2383.0320000000002</v>
      </c>
      <c r="H7" s="18">
        <f t="shared" si="1"/>
        <v>-237.53200000000015</v>
      </c>
      <c r="I7" s="17">
        <f t="shared" si="2"/>
        <v>-9.9676378663819926E-2</v>
      </c>
      <c r="J7" s="40"/>
      <c r="K7" s="41"/>
    </row>
    <row r="8" spans="1:11" ht="15.75">
      <c r="A8" s="26" t="str">
        <v>98th &amp; Grant</v>
      </c>
      <c r="B8" s="27" t="str">
        <v>CO</v>
      </c>
      <c r="C8" s="22">
        <v>1577.4</v>
      </c>
      <c r="D8" s="11">
        <v>0</v>
      </c>
      <c r="E8" s="11">
        <f t="shared" si="0"/>
        <v>1577.4</v>
      </c>
      <c r="F8" s="12" t="str">
        <f t="shared" si="3"/>
        <v/>
      </c>
      <c r="G8" s="13">
        <v>2136</v>
      </c>
      <c r="H8" s="13">
        <f t="shared" si="1"/>
        <v>-558.59999999999991</v>
      </c>
      <c r="I8" s="14">
        <f t="shared" si="2"/>
        <v>-0.26151685393258423</v>
      </c>
      <c r="J8" s="39"/>
      <c r="K8" s="39"/>
    </row>
    <row r="9" spans="1:11" ht="15.75">
      <c r="A9" s="28" t="str">
        <v>Arapahoe Crossings</v>
      </c>
      <c r="B9" s="29" t="str">
        <v>CO</v>
      </c>
      <c r="C9" s="10">
        <v>4133.5045280000004</v>
      </c>
      <c r="D9" s="16">
        <v>0</v>
      </c>
      <c r="E9" s="16">
        <f t="shared" si="0"/>
        <v>4133.5045280000004</v>
      </c>
      <c r="F9" s="17" t="str">
        <f t="shared" si="3"/>
        <v/>
      </c>
      <c r="G9" s="18">
        <v>3918.4670000000001</v>
      </c>
      <c r="H9" s="18">
        <f t="shared" si="1"/>
        <v>215.03752800000029</v>
      </c>
      <c r="I9" s="17">
        <f t="shared" si="2"/>
        <v>5.4877973452373156E-2</v>
      </c>
      <c r="J9" s="40"/>
      <c r="K9" s="41"/>
    </row>
    <row r="10" spans="1:11" ht="15.75">
      <c r="A10" s="26" t="str">
        <v>Aurora City Center</v>
      </c>
      <c r="B10" s="27" t="str">
        <v>CO</v>
      </c>
      <c r="C10" s="22">
        <v>1935.5</v>
      </c>
      <c r="D10" s="11">
        <v>0</v>
      </c>
      <c r="E10" s="11">
        <f t="shared" si="0"/>
        <v>1935.5</v>
      </c>
      <c r="F10" s="12" t="str">
        <f t="shared" si="3"/>
        <v/>
      </c>
      <c r="G10" s="13">
        <v>1830</v>
      </c>
      <c r="H10" s="13">
        <f t="shared" si="1"/>
        <v>105.5</v>
      </c>
      <c r="I10" s="14">
        <f t="shared" si="2"/>
        <v>5.7650273224043716E-2</v>
      </c>
      <c r="J10" s="39"/>
      <c r="K10" s="39"/>
    </row>
    <row r="11" spans="1:11" ht="15.75">
      <c r="A11" s="28" t="str">
        <v>Dry Creek</v>
      </c>
      <c r="B11" s="29" t="str">
        <v>CO</v>
      </c>
      <c r="C11" s="10">
        <v>256.10000000000002</v>
      </c>
      <c r="D11" s="16">
        <v>0</v>
      </c>
      <c r="E11" s="16">
        <f t="shared" si="0"/>
        <v>256.10000000000002</v>
      </c>
      <c r="F11" s="17" t="str">
        <f t="shared" si="3"/>
        <v/>
      </c>
      <c r="G11" s="18">
        <v>2326</v>
      </c>
      <c r="H11" s="18">
        <f t="shared" si="1"/>
        <v>-2069.9</v>
      </c>
      <c r="I11" s="17">
        <f t="shared" si="2"/>
        <v>-0.88989681857265701</v>
      </c>
      <c r="J11" s="40" t="s">
        <v>73</v>
      </c>
      <c r="K11" s="41" t="s">
        <v>25</v>
      </c>
    </row>
    <row r="12" spans="1:11" ht="15.75">
      <c r="A12" s="26" t="str">
        <v>Highlands Ranch S.</v>
      </c>
      <c r="B12" s="27" t="str">
        <v>CO</v>
      </c>
      <c r="C12" s="22">
        <v>2045.9</v>
      </c>
      <c r="D12" s="11">
        <v>0</v>
      </c>
      <c r="E12" s="11">
        <f t="shared" si="0"/>
        <v>2045.9</v>
      </c>
      <c r="F12" s="12" t="str">
        <f t="shared" si="3"/>
        <v/>
      </c>
      <c r="G12" s="13">
        <v>2208</v>
      </c>
      <c r="H12" s="13">
        <f t="shared" si="1"/>
        <v>-162.09999999999991</v>
      </c>
      <c r="I12" s="14">
        <f t="shared" si="2"/>
        <v>-7.3414855072463731E-2</v>
      </c>
      <c r="J12" s="39"/>
      <c r="K12" s="39"/>
    </row>
    <row r="13" spans="1:11" ht="15.75">
      <c r="A13" s="28" t="str">
        <v>Lone Tree</v>
      </c>
      <c r="B13" s="29" t="str">
        <v>CO</v>
      </c>
      <c r="C13" s="10">
        <v>3089.5</v>
      </c>
      <c r="D13" s="16">
        <v>0</v>
      </c>
      <c r="E13" s="16">
        <f t="shared" si="0"/>
        <v>3089.5</v>
      </c>
      <c r="F13" s="17" t="str">
        <f t="shared" si="3"/>
        <v/>
      </c>
      <c r="G13" s="18">
        <v>5022</v>
      </c>
      <c r="H13" s="18">
        <f t="shared" si="1"/>
        <v>-1932.5</v>
      </c>
      <c r="I13" s="17">
        <f t="shared" si="2"/>
        <v>-0.38480684986061331</v>
      </c>
      <c r="J13" s="40"/>
      <c r="K13" s="41"/>
    </row>
    <row r="14" spans="1:11" ht="15.75">
      <c r="A14" s="26" t="str">
        <v>Meridian</v>
      </c>
      <c r="B14" s="27" t="str">
        <v>CO</v>
      </c>
      <c r="C14" s="22">
        <v>3105.7</v>
      </c>
      <c r="D14" s="11">
        <v>0</v>
      </c>
      <c r="E14" s="11">
        <f t="shared" si="0"/>
        <v>3105.7</v>
      </c>
      <c r="F14" s="12" t="str">
        <f t="shared" si="3"/>
        <v/>
      </c>
      <c r="G14" s="13">
        <v>2914</v>
      </c>
      <c r="H14" s="13">
        <f t="shared" si="1"/>
        <v>191.69999999999982</v>
      </c>
      <c r="I14" s="14">
        <f t="shared" si="2"/>
        <v>6.5785861358956699E-2</v>
      </c>
      <c r="J14" s="39"/>
      <c r="K14" s="39"/>
    </row>
    <row r="15" spans="1:11" ht="15.75">
      <c r="A15" s="28" t="str">
        <v>Southglenn</v>
      </c>
      <c r="B15" s="29" t="str">
        <v>CO</v>
      </c>
      <c r="C15" s="10">
        <v>3252.2</v>
      </c>
      <c r="D15" s="16">
        <v>0</v>
      </c>
      <c r="E15" s="16">
        <f t="shared" si="0"/>
        <v>3252.2</v>
      </c>
      <c r="F15" s="17" t="str">
        <f t="shared" si="3"/>
        <v/>
      </c>
      <c r="G15" s="18">
        <v>2987</v>
      </c>
      <c r="H15" s="18">
        <f t="shared" si="1"/>
        <v>265.19999999999982</v>
      </c>
      <c r="I15" s="17">
        <f t="shared" si="2"/>
        <v>8.8784733846668837E-2</v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 t="s">
        <v>74</v>
      </c>
      <c r="K16" s="39" t="s">
        <v>75</v>
      </c>
    </row>
    <row r="17" spans="1:11" ht="15.75">
      <c r="A17" s="28" t="str">
        <v>Havana Gardens</v>
      </c>
      <c r="B17" s="29" t="str">
        <v>CO</v>
      </c>
      <c r="C17" s="10">
        <v>3662.8</v>
      </c>
      <c r="D17" s="16"/>
      <c r="E17" s="16" t="str">
        <f t="shared" si="0"/>
        <v/>
      </c>
      <c r="F17" s="17" t="str">
        <f t="shared" si="3"/>
        <v/>
      </c>
      <c r="G17" s="18">
        <v>1550</v>
      </c>
      <c r="H17" s="18">
        <f t="shared" si="1"/>
        <v>2112.8000000000002</v>
      </c>
      <c r="I17" s="17">
        <f t="shared" si="2"/>
        <v>1.3630967741935485</v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>
        <v>684.8</v>
      </c>
      <c r="D18" s="11">
        <v>607.37369999999999</v>
      </c>
      <c r="E18" s="11">
        <f t="shared" si="0"/>
        <v>77.426299999999969</v>
      </c>
      <c r="F18" s="12">
        <f t="shared" si="3"/>
        <v>0.12747720225620565</v>
      </c>
      <c r="G18" s="13">
        <v>800.53700000000003</v>
      </c>
      <c r="H18" s="13">
        <f t="shared" si="1"/>
        <v>-115.73700000000008</v>
      </c>
      <c r="I18" s="14">
        <f t="shared" si="2"/>
        <v>-0.14457420456518572</v>
      </c>
      <c r="J18" s="39"/>
      <c r="K18" s="39"/>
    </row>
    <row r="19" spans="1:11" ht="15.75">
      <c r="A19" s="28" t="str">
        <v>Norwalk</v>
      </c>
      <c r="B19" s="29" t="str">
        <v>CT</v>
      </c>
      <c r="C19" s="10">
        <v>807.5727369</v>
      </c>
      <c r="D19" s="16">
        <v>875.31089999999995</v>
      </c>
      <c r="E19" s="16">
        <f t="shared" si="0"/>
        <v>-67.738163099999952</v>
      </c>
      <c r="F19" s="17">
        <f t="shared" si="3"/>
        <v>-7.7387546641998803E-2</v>
      </c>
      <c r="G19" s="18">
        <v>993.77</v>
      </c>
      <c r="H19" s="18">
        <f t="shared" si="1"/>
        <v>-186.19726309999999</v>
      </c>
      <c r="I19" s="17">
        <f t="shared" si="2"/>
        <v>-0.18736454421043097</v>
      </c>
      <c r="J19" s="40"/>
      <c r="K19" s="41"/>
    </row>
    <row r="20" spans="1:11" ht="15.75">
      <c r="A20" s="26" t="str">
        <v>Hialeah Gardens</v>
      </c>
      <c r="B20" s="27" t="str">
        <v>FL</v>
      </c>
      <c r="C20" s="22">
        <v>869.93799999999999</v>
      </c>
      <c r="D20" s="11">
        <v>4597.8069999999998</v>
      </c>
      <c r="E20" s="11">
        <f t="shared" si="0"/>
        <v>-3727.8689999999997</v>
      </c>
      <c r="F20" s="12">
        <f t="shared" si="3"/>
        <v>-0.81079284102181759</v>
      </c>
      <c r="G20" s="13">
        <v>5532</v>
      </c>
      <c r="H20" s="13">
        <f t="shared" si="1"/>
        <v>-4662.0619999999999</v>
      </c>
      <c r="I20" s="14">
        <f t="shared" si="2"/>
        <v>-0.84274439624005781</v>
      </c>
      <c r="J20" s="39" t="s">
        <v>76</v>
      </c>
      <c r="K20" s="39" t="s">
        <v>77</v>
      </c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>
        <v>180086.75</v>
      </c>
      <c r="D22" s="11">
        <v>177234.7</v>
      </c>
      <c r="E22" s="11">
        <f t="shared" si="0"/>
        <v>2852.0499999999884</v>
      </c>
      <c r="F22" s="12">
        <f t="shared" si="3"/>
        <v>1.6091939106732418E-2</v>
      </c>
      <c r="G22" s="13">
        <v>177300</v>
      </c>
      <c r="H22" s="13">
        <f t="shared" si="1"/>
        <v>2786.75</v>
      </c>
      <c r="I22" s="14">
        <f t="shared" si="2"/>
        <v>1.5717710095882683E-2</v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>
        <v>85747.5</v>
      </c>
      <c r="D23" s="16">
        <v>89118.94</v>
      </c>
      <c r="E23" s="16">
        <f t="shared" si="0"/>
        <v>-3371.4400000000023</v>
      </c>
      <c r="F23" s="17">
        <f t="shared" si="3"/>
        <v>-3.7830791075387595E-2</v>
      </c>
      <c r="G23" s="18">
        <v>88010.12</v>
      </c>
      <c r="H23" s="18">
        <f t="shared" si="1"/>
        <v>-2262.6199999999953</v>
      </c>
      <c r="I23" s="17">
        <f t="shared" si="2"/>
        <v>-2.5708634416133001E-2</v>
      </c>
      <c r="J23" s="40"/>
      <c r="K23" s="41"/>
    </row>
    <row r="24" spans="1:11" ht="15.75">
      <c r="A24" s="26" t="str">
        <v>WF - CIC</v>
      </c>
      <c r="B24" s="27" t="str">
        <v>NC</v>
      </c>
      <c r="C24" s="59">
        <v>178890</v>
      </c>
      <c r="D24" s="11">
        <v>129343.5</v>
      </c>
      <c r="E24" s="11">
        <f t="shared" si="0"/>
        <v>49546.5</v>
      </c>
      <c r="F24" s="12">
        <f t="shared" si="3"/>
        <v>0.38306138306138304</v>
      </c>
      <c r="G24" s="13">
        <v>194273</v>
      </c>
      <c r="H24" s="13">
        <f t="shared" si="1"/>
        <v>-15383</v>
      </c>
      <c r="I24" s="14">
        <f t="shared" si="2"/>
        <v>-7.9182387670957879E-2</v>
      </c>
      <c r="J24" s="39"/>
      <c r="K24" s="39"/>
    </row>
    <row r="25" spans="1:11" ht="28.5">
      <c r="A25" s="28" t="str">
        <v>Charlotte - Wells Fargo - DUC</v>
      </c>
      <c r="B25" s="29" t="str">
        <v>NC</v>
      </c>
      <c r="C25" s="10">
        <v>73190</v>
      </c>
      <c r="D25" s="16">
        <v>171337.2</v>
      </c>
      <c r="E25" s="16">
        <f t="shared" si="0"/>
        <v>-98147.200000000012</v>
      </c>
      <c r="F25" s="17">
        <f t="shared" si="3"/>
        <v>-0.57283065207088713</v>
      </c>
      <c r="G25" s="18">
        <v>173188</v>
      </c>
      <c r="H25" s="18">
        <f t="shared" si="1"/>
        <v>-99998</v>
      </c>
      <c r="I25" s="17">
        <f t="shared" si="2"/>
        <v>-0.57739566251703356</v>
      </c>
      <c r="J25" s="40" t="s">
        <v>78</v>
      </c>
      <c r="K25" s="57" t="s">
        <v>79</v>
      </c>
    </row>
    <row r="26" spans="1:11" ht="15.75">
      <c r="A26" s="26" t="str">
        <v>East Windsor</v>
      </c>
      <c r="B26" s="27" t="str">
        <v>NJ</v>
      </c>
      <c r="C26" s="22">
        <v>952.4</v>
      </c>
      <c r="D26" s="11">
        <v>959.24630000000002</v>
      </c>
      <c r="E26" s="11">
        <f t="shared" si="0"/>
        <v>-6.846300000000042</v>
      </c>
      <c r="F26" s="12">
        <f t="shared" si="3"/>
        <v>-7.1371659187010068E-3</v>
      </c>
      <c r="G26" s="13">
        <v>1088.3140000000001</v>
      </c>
      <c r="H26" s="13">
        <f t="shared" si="1"/>
        <v>-135.9140000000001</v>
      </c>
      <c r="I26" s="14">
        <f t="shared" si="2"/>
        <v>-0.12488491372894228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2447.5</v>
      </c>
      <c r="D27" s="16">
        <v>2421.4090000000001</v>
      </c>
      <c r="E27" s="16">
        <f t="shared" si="0"/>
        <v>26.090999999999894</v>
      </c>
      <c r="F27" s="17">
        <f t="shared" si="3"/>
        <v>1.0775131338819627E-2</v>
      </c>
      <c r="G27" s="18">
        <v>2751.473</v>
      </c>
      <c r="H27" s="18">
        <f t="shared" si="1"/>
        <v>-303.97299999999996</v>
      </c>
      <c r="I27" s="17">
        <f t="shared" si="2"/>
        <v>-0.11047646115371657</v>
      </c>
      <c r="J27" s="40"/>
      <c r="K27" s="41"/>
    </row>
    <row r="28" spans="1:11" ht="15.75">
      <c r="A28" s="26" t="str">
        <v>Bayonne</v>
      </c>
      <c r="B28" s="27" t="str">
        <v>NJ</v>
      </c>
      <c r="C28" s="22">
        <v>3186.9</v>
      </c>
      <c r="D28" s="11">
        <v>3081.7429999999999</v>
      </c>
      <c r="E28" s="11">
        <f t="shared" si="0"/>
        <v>105.15700000000015</v>
      </c>
      <c r="F28" s="12">
        <f t="shared" si="3"/>
        <v>3.412257284270627E-2</v>
      </c>
      <c r="G28" s="13">
        <v>3318.21</v>
      </c>
      <c r="H28" s="13">
        <f t="shared" si="1"/>
        <v>-131.30999999999995</v>
      </c>
      <c r="I28" s="14">
        <f t="shared" si="2"/>
        <v>-3.9572540616778305E-2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3670.453125</v>
      </c>
      <c r="D29" s="16">
        <v>3807.6219999999998</v>
      </c>
      <c r="E29" s="16">
        <f t="shared" si="0"/>
        <v>-137.16887499999984</v>
      </c>
      <c r="F29" s="17">
        <f t="shared" si="3"/>
        <v>-3.6024814175356655E-2</v>
      </c>
      <c r="G29" s="18">
        <v>4401.7650000000003</v>
      </c>
      <c r="H29" s="18">
        <f t="shared" si="1"/>
        <v>-731.31187500000033</v>
      </c>
      <c r="I29" s="17">
        <f t="shared" si="2"/>
        <v>-0.16614059928233341</v>
      </c>
      <c r="J29" s="40"/>
      <c r="K29" s="41"/>
    </row>
    <row r="30" spans="1:11" ht="15.75">
      <c r="A30" s="26" t="str">
        <v>North Elizabeth</v>
      </c>
      <c r="B30" s="27" t="str">
        <v>NJ</v>
      </c>
      <c r="C30" s="22">
        <v>3363.6</v>
      </c>
      <c r="D30" s="11">
        <v>2506.8910000000001</v>
      </c>
      <c r="E30" s="11">
        <f t="shared" si="0"/>
        <v>856.70899999999983</v>
      </c>
      <c r="F30" s="12">
        <f t="shared" si="3"/>
        <v>0.34174162338928971</v>
      </c>
      <c r="G30" s="13">
        <v>3662.3290000000002</v>
      </c>
      <c r="H30" s="13">
        <f t="shared" si="1"/>
        <v>-298.72900000000027</v>
      </c>
      <c r="I30" s="14">
        <f t="shared" si="2"/>
        <v>-8.1568040446393611E-2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2326.4</v>
      </c>
      <c r="D31" s="16">
        <v>2294.1509999999998</v>
      </c>
      <c r="E31" s="16">
        <f t="shared" si="0"/>
        <v>32.249000000000251</v>
      </c>
      <c r="F31" s="17">
        <f t="shared" si="3"/>
        <v>1.4057052042346059E-2</v>
      </c>
      <c r="G31" s="18">
        <v>2665.607</v>
      </c>
      <c r="H31" s="18">
        <f t="shared" si="1"/>
        <v>-339.20699999999988</v>
      </c>
      <c r="I31" s="17">
        <f t="shared" si="2"/>
        <v>-0.12725319223726525</v>
      </c>
      <c r="J31" s="40"/>
      <c r="K31" s="41"/>
    </row>
    <row r="32" spans="1:11" ht="15.75">
      <c r="A32" s="26" t="str">
        <v>Parsippany</v>
      </c>
      <c r="B32" s="27" t="str">
        <v>NJ</v>
      </c>
      <c r="C32" s="22">
        <v>2697.5</v>
      </c>
      <c r="D32" s="11">
        <v>2760.886</v>
      </c>
      <c r="E32" s="11">
        <f t="shared" si="0"/>
        <v>-63.385999999999967</v>
      </c>
      <c r="F32" s="12">
        <f t="shared" si="3"/>
        <v>-2.2958571994642289E-2</v>
      </c>
      <c r="G32" s="13">
        <v>3034.2069999999999</v>
      </c>
      <c r="H32" s="13">
        <f t="shared" si="1"/>
        <v>-336.70699999999988</v>
      </c>
      <c r="I32" s="14">
        <f t="shared" si="2"/>
        <v>-0.11097034579381033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2421.6</v>
      </c>
      <c r="D33" s="16">
        <v>2316.5619999999999</v>
      </c>
      <c r="E33" s="16">
        <f t="shared" si="0"/>
        <v>105.03800000000001</v>
      </c>
      <c r="F33" s="17">
        <f t="shared" si="3"/>
        <v>4.5342192438622413E-2</v>
      </c>
      <c r="G33" s="18">
        <v>2537.3760000000002</v>
      </c>
      <c r="H33" s="18">
        <f t="shared" si="1"/>
        <v>-115.77600000000029</v>
      </c>
      <c r="I33" s="17">
        <f t="shared" si="2"/>
        <v>-4.5628239567175023E-2</v>
      </c>
      <c r="J33" s="40"/>
      <c r="K33" s="41"/>
    </row>
    <row r="34" spans="1:11" ht="15.75">
      <c r="A34" s="26" t="str">
        <v>Closter</v>
      </c>
      <c r="B34" s="27" t="str">
        <v>NJ</v>
      </c>
      <c r="C34" s="22">
        <v>1220.5</v>
      </c>
      <c r="D34" s="11">
        <v>959.81240000000003</v>
      </c>
      <c r="E34" s="11">
        <f t="shared" si="0"/>
        <v>260.68759999999997</v>
      </c>
      <c r="F34" s="12">
        <f t="shared" si="3"/>
        <v>0.27160265901961672</v>
      </c>
      <c r="G34" s="13">
        <v>1509.8969999999999</v>
      </c>
      <c r="H34" s="13">
        <f t="shared" si="1"/>
        <v>-289.39699999999993</v>
      </c>
      <c r="I34" s="14">
        <f t="shared" si="2"/>
        <v>-0.19166671633892904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2017.6</v>
      </c>
      <c r="D35" s="16">
        <v>1842.106</v>
      </c>
      <c r="E35" s="16">
        <f t="shared" si="0"/>
        <v>175.49399999999991</v>
      </c>
      <c r="F35" s="17">
        <f t="shared" si="3"/>
        <v>9.526813332131806E-2</v>
      </c>
      <c r="G35" s="18">
        <v>2190.279</v>
      </c>
      <c r="H35" s="18">
        <f t="shared" si="1"/>
        <v>-172.67900000000009</v>
      </c>
      <c r="I35" s="17">
        <f t="shared" si="2"/>
        <v>-7.883881459850553E-2</v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>
        <v>1052.5</v>
      </c>
      <c r="D36" s="11">
        <v>1031.0039999999999</v>
      </c>
      <c r="E36" s="11">
        <f t="shared" si="0"/>
        <v>21.496000000000095</v>
      </c>
      <c r="F36" s="12">
        <f t="shared" si="3"/>
        <v>2.0849579633056805E-2</v>
      </c>
      <c r="G36" s="13">
        <v>1221.8</v>
      </c>
      <c r="H36" s="13">
        <f t="shared" si="1"/>
        <v>-169.29999999999995</v>
      </c>
      <c r="I36" s="14">
        <f t="shared" si="2"/>
        <v>-0.13856605009003106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3239.2</v>
      </c>
      <c r="D37" s="16">
        <v>3139.5210000000002</v>
      </c>
      <c r="E37" s="16">
        <f t="shared" si="0"/>
        <v>99.678999999999633</v>
      </c>
      <c r="F37" s="17">
        <f t="shared" si="3"/>
        <v>3.1749747811847612E-2</v>
      </c>
      <c r="G37" s="18">
        <v>4284.4949999999999</v>
      </c>
      <c r="H37" s="18">
        <f t="shared" si="1"/>
        <v>-1045.2950000000001</v>
      </c>
      <c r="I37" s="17">
        <f t="shared" si="2"/>
        <v>-0.24397157658020377</v>
      </c>
      <c r="J37" s="40"/>
      <c r="K37" s="41"/>
    </row>
    <row r="38" spans="1:11" ht="15.75">
      <c r="A38" s="26" t="str">
        <v>Marlton</v>
      </c>
      <c r="B38" s="27" t="str">
        <v>NJ</v>
      </c>
      <c r="C38" s="22">
        <v>3663.8</v>
      </c>
      <c r="D38" s="11">
        <v>3352.9209999999998</v>
      </c>
      <c r="E38" s="11">
        <f t="shared" si="0"/>
        <v>310.87900000000036</v>
      </c>
      <c r="F38" s="12">
        <f t="shared" si="3"/>
        <v>9.2718856185397866E-2</v>
      </c>
      <c r="G38" s="13">
        <v>4197.6030000000001</v>
      </c>
      <c r="H38" s="13">
        <f t="shared" si="1"/>
        <v>-533.80299999999988</v>
      </c>
      <c r="I38" s="14">
        <f t="shared" si="2"/>
        <v>-0.12716852927730418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2967.5</v>
      </c>
      <c r="D39" s="16">
        <v>2619.1689999999999</v>
      </c>
      <c r="E39" s="16">
        <f t="shared" si="0"/>
        <v>348.33100000000013</v>
      </c>
      <c r="F39" s="17">
        <f t="shared" si="3"/>
        <v>0.1329929454723999</v>
      </c>
      <c r="G39" s="18">
        <v>3501.3</v>
      </c>
      <c r="H39" s="18">
        <f t="shared" si="1"/>
        <v>-533.80000000000018</v>
      </c>
      <c r="I39" s="17">
        <f t="shared" si="2"/>
        <v>-0.15245765858395458</v>
      </c>
      <c r="J39" s="40"/>
      <c r="K39" s="41"/>
    </row>
    <row r="40" spans="1:11" ht="15.75">
      <c r="A40" s="26" t="str">
        <v>Whiting Crestwood</v>
      </c>
      <c r="B40" s="27" t="str">
        <v>NJ</v>
      </c>
      <c r="C40" s="22">
        <v>3911.8</v>
      </c>
      <c r="D40" s="11">
        <v>3669.9870000000001</v>
      </c>
      <c r="E40" s="11">
        <f t="shared" si="0"/>
        <v>241.8130000000001</v>
      </c>
      <c r="F40" s="12">
        <f t="shared" si="3"/>
        <v>6.5889334212900511E-2</v>
      </c>
      <c r="G40" s="13">
        <v>4703.7700000000004</v>
      </c>
      <c r="H40" s="13">
        <f t="shared" si="1"/>
        <v>-791.97000000000025</v>
      </c>
      <c r="I40" s="14">
        <f t="shared" si="2"/>
        <v>-0.16836920172542455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5506.8169310000003</v>
      </c>
      <c r="D41" s="16">
        <v>4964.3109999999997</v>
      </c>
      <c r="E41" s="16">
        <f t="shared" si="0"/>
        <v>542.5059310000006</v>
      </c>
      <c r="F41" s="17">
        <f t="shared" si="3"/>
        <v>0.10928121364676803</v>
      </c>
      <c r="G41" s="18">
        <v>6090.8590000000004</v>
      </c>
      <c r="H41" s="18">
        <f t="shared" si="1"/>
        <v>-584.04206900000008</v>
      </c>
      <c r="I41" s="17">
        <f t="shared" si="2"/>
        <v>-9.5888292439539322E-2</v>
      </c>
      <c r="J41" s="40"/>
      <c r="K41" s="41"/>
    </row>
    <row r="42" spans="1:11" ht="15.75">
      <c r="A42" s="26" t="str">
        <v>Manchester</v>
      </c>
      <c r="B42" s="27" t="str">
        <v>NJ</v>
      </c>
      <c r="C42" s="22">
        <v>2850.7</v>
      </c>
      <c r="D42" s="11">
        <v>2600.038</v>
      </c>
      <c r="E42" s="11">
        <f t="shared" si="0"/>
        <v>250.66199999999981</v>
      </c>
      <c r="F42" s="12">
        <f t="shared" si="3"/>
        <v>9.6407052512309355E-2</v>
      </c>
      <c r="G42" s="13">
        <v>3965.7950000000001</v>
      </c>
      <c r="H42" s="13">
        <f t="shared" si="1"/>
        <v>-1115.0950000000003</v>
      </c>
      <c r="I42" s="14">
        <f t="shared" si="2"/>
        <v>-0.28117817486783864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3342.7</v>
      </c>
      <c r="D43" s="16">
        <v>3514.0230000000001</v>
      </c>
      <c r="E43" s="16">
        <f t="shared" si="0"/>
        <v>-171.32300000000032</v>
      </c>
      <c r="F43" s="17">
        <f t="shared" si="3"/>
        <v>-4.8754091820116238E-2</v>
      </c>
      <c r="G43" s="18">
        <v>3793.855</v>
      </c>
      <c r="H43" s="18">
        <f t="shared" si="1"/>
        <v>-451.1550000000002</v>
      </c>
      <c r="I43" s="17">
        <f t="shared" si="2"/>
        <v>-0.11891730179461266</v>
      </c>
      <c r="J43" s="51"/>
      <c r="K43" s="51"/>
    </row>
    <row r="44" spans="1:11" ht="15.75">
      <c r="A44" s="26" t="str">
        <v>Edison</v>
      </c>
      <c r="B44" s="27" t="str">
        <v>NJ</v>
      </c>
      <c r="C44" s="22">
        <v>3057.9</v>
      </c>
      <c r="D44" s="11">
        <v>2972.998</v>
      </c>
      <c r="E44" s="11">
        <f t="shared" si="0"/>
        <v>84.902000000000044</v>
      </c>
      <c r="F44" s="12">
        <f t="shared" si="3"/>
        <v>2.8557705050592044E-2</v>
      </c>
      <c r="G44" s="13">
        <v>3326.0639999999999</v>
      </c>
      <c r="H44" s="13">
        <f t="shared" si="1"/>
        <v>-268.16399999999976</v>
      </c>
      <c r="I44" s="14">
        <f t="shared" si="2"/>
        <v>-8.0625027059010215E-2</v>
      </c>
      <c r="J44" s="63"/>
      <c r="K44" s="63"/>
    </row>
    <row r="45" spans="1:11" ht="15.75">
      <c r="A45" s="28" t="str">
        <v>Flemington</v>
      </c>
      <c r="B45" s="29" t="str">
        <v>NJ</v>
      </c>
      <c r="C45" s="10">
        <v>2860.7</v>
      </c>
      <c r="D45" s="16">
        <v>2705.1</v>
      </c>
      <c r="E45" s="16">
        <f t="shared" si="0"/>
        <v>155.59999999999991</v>
      </c>
      <c r="F45" s="17">
        <f t="shared" si="3"/>
        <v>5.7520978891723008E-2</v>
      </c>
      <c r="G45" s="18">
        <v>3300.3969999999999</v>
      </c>
      <c r="H45" s="18">
        <f t="shared" si="1"/>
        <v>-439.69700000000012</v>
      </c>
      <c r="I45" s="17">
        <f t="shared" si="2"/>
        <v>-0.13322548772162868</v>
      </c>
      <c r="J45" s="51"/>
      <c r="K45" s="51"/>
    </row>
    <row r="46" spans="1:11" ht="15.75">
      <c r="A46" s="26" t="str">
        <v>Route 22</v>
      </c>
      <c r="B46" s="27" t="str">
        <v>NJ</v>
      </c>
      <c r="C46" s="22">
        <v>2803.4</v>
      </c>
      <c r="D46" s="11">
        <v>2968.078</v>
      </c>
      <c r="E46" s="11">
        <f t="shared" si="0"/>
        <v>-164.67799999999988</v>
      </c>
      <c r="F46" s="12">
        <f t="shared" si="3"/>
        <v>-5.548304323538663E-2</v>
      </c>
      <c r="G46" s="13">
        <v>3059.2820000000002</v>
      </c>
      <c r="H46" s="13">
        <f t="shared" si="1"/>
        <v>-255.88200000000006</v>
      </c>
      <c r="I46" s="14">
        <f t="shared" si="2"/>
        <v>-8.3641194241001665E-2</v>
      </c>
      <c r="J46" s="63"/>
      <c r="K46" s="63"/>
    </row>
    <row r="47" spans="1:11" ht="28.5">
      <c r="A47" s="28" t="str">
        <v>Laurelton</v>
      </c>
      <c r="B47" s="29" t="str">
        <v>NJ</v>
      </c>
      <c r="C47" s="10">
        <v>2089</v>
      </c>
      <c r="D47" s="16">
        <v>2447.6170000000002</v>
      </c>
      <c r="E47" s="16">
        <f t="shared" si="0"/>
        <v>-358.61700000000019</v>
      </c>
      <c r="F47" s="17">
        <f t="shared" si="3"/>
        <v>-0.1465167957241677</v>
      </c>
      <c r="G47" s="18">
        <v>2858.875</v>
      </c>
      <c r="H47" s="18">
        <f t="shared" si="1"/>
        <v>-769.875</v>
      </c>
      <c r="I47" s="17">
        <f t="shared" si="2"/>
        <v>-0.26929299112413102</v>
      </c>
      <c r="J47" s="51" t="s">
        <v>80</v>
      </c>
      <c r="K47" s="51" t="s">
        <v>81</v>
      </c>
    </row>
    <row r="48" spans="1:11" ht="15.75">
      <c r="A48" s="26" t="str">
        <v>Mahwah</v>
      </c>
      <c r="B48" s="27" t="str">
        <v>NJ</v>
      </c>
      <c r="C48" s="22">
        <v>2236.3000000000002</v>
      </c>
      <c r="D48" s="11">
        <v>2020.069</v>
      </c>
      <c r="E48" s="11">
        <f t="shared" si="0"/>
        <v>216.23100000000022</v>
      </c>
      <c r="F48" s="12">
        <f t="shared" si="3"/>
        <v>0.10704139314053145</v>
      </c>
      <c r="G48" s="13">
        <v>2605.2159999999999</v>
      </c>
      <c r="H48" s="13">
        <f t="shared" si="1"/>
        <v>-368.91599999999971</v>
      </c>
      <c r="I48" s="14">
        <f t="shared" si="2"/>
        <v>-0.14160668443614646</v>
      </c>
      <c r="J48" s="64"/>
      <c r="K48" s="63"/>
    </row>
    <row r="49" spans="1:11" ht="15.75">
      <c r="A49" s="28" t="str">
        <v>Franklin Township WF</v>
      </c>
      <c r="B49" s="29" t="str">
        <v>NJ</v>
      </c>
      <c r="C49" s="10">
        <v>2627.4</v>
      </c>
      <c r="D49" s="16">
        <v>2556.7950000000001</v>
      </c>
      <c r="E49" s="16">
        <f t="shared" si="0"/>
        <v>70.605000000000018</v>
      </c>
      <c r="F49" s="17">
        <f t="shared" si="3"/>
        <v>2.7614650372830053E-2</v>
      </c>
      <c r="G49" s="18">
        <v>3147.511</v>
      </c>
      <c r="H49" s="18">
        <f t="shared" si="1"/>
        <v>-520.11099999999988</v>
      </c>
      <c r="I49" s="17">
        <f t="shared" si="2"/>
        <v>-0.16524517309073739</v>
      </c>
      <c r="J49" s="51"/>
      <c r="K49" s="51"/>
    </row>
    <row r="50" spans="1:11" ht="15.75">
      <c r="A50" s="26" t="str">
        <v>Bordentown</v>
      </c>
      <c r="B50" s="27" t="str">
        <v>NJ</v>
      </c>
      <c r="C50" s="22">
        <v>2017.5</v>
      </c>
      <c r="D50" s="11">
        <v>1816.2249999999999</v>
      </c>
      <c r="E50" s="11">
        <f t="shared" si="0"/>
        <v>201.27500000000009</v>
      </c>
      <c r="F50" s="12">
        <f t="shared" si="3"/>
        <v>0.11082052058527997</v>
      </c>
      <c r="G50" s="13">
        <v>2256.1489999999999</v>
      </c>
      <c r="H50" s="13">
        <f t="shared" si="1"/>
        <v>-238.64899999999989</v>
      </c>
      <c r="I50" s="14">
        <f t="shared" si="2"/>
        <v>-0.10577714503784985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1495.1</v>
      </c>
      <c r="D51" s="16">
        <v>1454.835</v>
      </c>
      <c r="E51" s="16">
        <f t="shared" si="0"/>
        <v>40.264999999999873</v>
      </c>
      <c r="F51" s="17">
        <f t="shared" si="3"/>
        <v>2.7676678111263387E-2</v>
      </c>
      <c r="G51" s="18">
        <v>1595.567</v>
      </c>
      <c r="H51" s="18">
        <f t="shared" si="1"/>
        <v>-100.4670000000001</v>
      </c>
      <c r="I51" s="17">
        <f t="shared" si="2"/>
        <v>-6.2966331091079283E-2</v>
      </c>
      <c r="J51" s="40"/>
      <c r="K51" s="41"/>
    </row>
    <row r="52" spans="1:11" ht="15.75">
      <c r="A52" s="26" t="str">
        <v>Somerset</v>
      </c>
      <c r="B52" s="27" t="str">
        <v>NJ</v>
      </c>
      <c r="C52" s="22">
        <v>1716.5</v>
      </c>
      <c r="D52" s="11">
        <v>2166.3539999999998</v>
      </c>
      <c r="E52" s="11">
        <f t="shared" si="0"/>
        <v>-449.85399999999981</v>
      </c>
      <c r="F52" s="12">
        <f t="shared" si="3"/>
        <v>-0.20765488927479067</v>
      </c>
      <c r="G52" s="13">
        <v>1719.0930000000001</v>
      </c>
      <c r="H52" s="13">
        <f t="shared" si="1"/>
        <v>-2.5930000000000746</v>
      </c>
      <c r="I52" s="14">
        <f t="shared" si="2"/>
        <v>-1.5083535329386336E-3</v>
      </c>
      <c r="J52" s="39"/>
      <c r="K52" s="39"/>
    </row>
    <row r="53" spans="1:11" ht="15.75">
      <c r="A53" s="28" t="str">
        <v>Clinton Main Relo</v>
      </c>
      <c r="B53" s="29" t="str">
        <v>NJ</v>
      </c>
      <c r="C53" s="10">
        <v>2811.1759999999999</v>
      </c>
      <c r="D53" s="16">
        <v>2787.123</v>
      </c>
      <c r="E53" s="16">
        <f t="shared" si="0"/>
        <v>24.052999999999884</v>
      </c>
      <c r="F53" s="17">
        <f t="shared" si="3"/>
        <v>8.6300461084781264E-3</v>
      </c>
      <c r="G53" s="18">
        <v>3006.942</v>
      </c>
      <c r="H53" s="18">
        <f t="shared" si="1"/>
        <v>-195.76600000000008</v>
      </c>
      <c r="I53" s="17">
        <f t="shared" si="2"/>
        <v>-6.5104681101265036E-2</v>
      </c>
      <c r="J53" s="40"/>
      <c r="K53" s="41"/>
    </row>
    <row r="54" spans="1:11" ht="15.75">
      <c r="A54" s="26" t="str">
        <v>North Brunswick</v>
      </c>
      <c r="B54" s="27" t="str">
        <v>NJ</v>
      </c>
      <c r="C54" s="22">
        <v>2769.7</v>
      </c>
      <c r="D54" s="11">
        <v>2582.6469999999999</v>
      </c>
      <c r="E54" s="11">
        <f t="shared" si="0"/>
        <v>187.05299999999988</v>
      </c>
      <c r="F54" s="12">
        <f t="shared" si="3"/>
        <v>7.2426855083176242E-2</v>
      </c>
      <c r="G54" s="13">
        <v>3330.864</v>
      </c>
      <c r="H54" s="13">
        <f t="shared" si="1"/>
        <v>-561.16400000000021</v>
      </c>
      <c r="I54" s="14">
        <f t="shared" si="2"/>
        <v>-0.16847400554330655</v>
      </c>
      <c r="J54" s="39"/>
      <c r="K54" s="39"/>
    </row>
    <row r="55" spans="1:11" ht="15.75">
      <c r="A55" s="28" t="str">
        <v>Cherry Hill</v>
      </c>
      <c r="B55" s="29" t="str">
        <v>NJ</v>
      </c>
      <c r="C55" s="10">
        <v>1831.4453129999999</v>
      </c>
      <c r="D55" s="16">
        <v>1826.9870000000001</v>
      </c>
      <c r="E55" s="16">
        <f t="shared" si="0"/>
        <v>4.4583129999998619</v>
      </c>
      <c r="F55" s="17">
        <f t="shared" si="3"/>
        <v>2.4402543641524879E-3</v>
      </c>
      <c r="G55" s="18">
        <v>2170.223</v>
      </c>
      <c r="H55" s="18">
        <f t="shared" si="1"/>
        <v>-338.77768700000001</v>
      </c>
      <c r="I55" s="17">
        <f t="shared" si="2"/>
        <v>-0.15610270787840697</v>
      </c>
      <c r="J55" s="40"/>
      <c r="K55" s="41"/>
    </row>
    <row r="56" spans="1:11" ht="15.75">
      <c r="A56" s="26" t="str">
        <v>Hainesport</v>
      </c>
      <c r="B56" s="27" t="str">
        <v>NJ</v>
      </c>
      <c r="C56" s="22">
        <v>1967.5</v>
      </c>
      <c r="D56" s="11">
        <v>2178.0039999999999</v>
      </c>
      <c r="E56" s="11">
        <f t="shared" si="0"/>
        <v>-210.50399999999991</v>
      </c>
      <c r="F56" s="12">
        <f t="shared" si="3"/>
        <v>-9.6649960238824134E-2</v>
      </c>
      <c r="G56" s="13">
        <v>2189.5410000000002</v>
      </c>
      <c r="H56" s="13">
        <f t="shared" si="1"/>
        <v>-222.04100000000017</v>
      </c>
      <c r="I56" s="14">
        <f t="shared" si="2"/>
        <v>-0.10140983886577148</v>
      </c>
      <c r="J56" s="39"/>
      <c r="K56" s="39"/>
    </row>
    <row r="57" spans="1:11" ht="28.5">
      <c r="A57" s="28" t="str">
        <v>San Antonio - Ops Ctr (Bldg 106)</v>
      </c>
      <c r="B57" s="29" t="str">
        <v>TX</v>
      </c>
      <c r="C57" s="10">
        <v>40699.3125</v>
      </c>
      <c r="D57" s="16">
        <v>42002.400000000001</v>
      </c>
      <c r="E57" s="16">
        <f t="shared" si="0"/>
        <v>-1303.0875000000015</v>
      </c>
      <c r="F57" s="17">
        <f t="shared" si="3"/>
        <v>-3.1024120050282874E-2</v>
      </c>
      <c r="G57" s="18">
        <v>54117.97</v>
      </c>
      <c r="H57" s="18">
        <f t="shared" si="1"/>
        <v>-13418.657500000001</v>
      </c>
      <c r="I57" s="17">
        <f t="shared" si="2"/>
        <v>-0.24795197417789325</v>
      </c>
      <c r="J57" s="40" t="s">
        <v>82</v>
      </c>
      <c r="K57" s="57" t="s">
        <v>83</v>
      </c>
    </row>
    <row r="58" spans="1:11" ht="15.75">
      <c r="A58" s="26" t="str">
        <v>San Antonio - Ops Ctr GM</v>
      </c>
      <c r="B58" s="27" t="str">
        <v>TX</v>
      </c>
      <c r="C58" s="22">
        <v>52633.125</v>
      </c>
      <c r="D58" s="11">
        <v>47100.36</v>
      </c>
      <c r="E58" s="11">
        <f t="shared" si="0"/>
        <v>5532.7649999999994</v>
      </c>
      <c r="F58" s="12">
        <f t="shared" si="3"/>
        <v>0.11746757349625352</v>
      </c>
      <c r="G58" s="13">
        <v>44943.77</v>
      </c>
      <c r="H58" s="13">
        <f t="shared" si="1"/>
        <v>7689.3550000000032</v>
      </c>
      <c r="I58" s="14">
        <f t="shared" si="2"/>
        <v>0.17108833994121997</v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>
        <v>42554.875</v>
      </c>
      <c r="D59" s="16">
        <v>41679.99</v>
      </c>
      <c r="E59" s="16">
        <f t="shared" si="0"/>
        <v>874.88500000000204</v>
      </c>
      <c r="F59" s="17">
        <f t="shared" si="3"/>
        <v>2.0990528068744789E-2</v>
      </c>
      <c r="G59" s="18">
        <v>52156.83</v>
      </c>
      <c r="H59" s="18">
        <f t="shared" si="1"/>
        <v>-9601.9550000000017</v>
      </c>
      <c r="I59" s="17">
        <f t="shared" si="2"/>
        <v>-0.1840977490388124</v>
      </c>
      <c r="J59" s="40" t="s">
        <v>84</v>
      </c>
      <c r="K59" s="41" t="s">
        <v>38</v>
      </c>
    </row>
    <row r="60" spans="1:11" ht="15.75">
      <c r="A60" s="26" t="str">
        <v>San Antonio - Ops Ctr (Bldg 203)</v>
      </c>
      <c r="B60" s="27" t="str">
        <v>TX</v>
      </c>
      <c r="C60" s="22">
        <v>44657.033349999998</v>
      </c>
      <c r="D60" s="11">
        <v>45221.17</v>
      </c>
      <c r="E60" s="11">
        <f t="shared" si="0"/>
        <v>-564.13665000000037</v>
      </c>
      <c r="F60" s="12">
        <f t="shared" si="3"/>
        <v>-1.2475056483500989E-2</v>
      </c>
      <c r="G60" s="13">
        <v>53254.52</v>
      </c>
      <c r="H60" s="13">
        <f t="shared" si="1"/>
        <v>-8597.4866499999989</v>
      </c>
      <c r="I60" s="14">
        <f t="shared" si="2"/>
        <v>-0.16144144478252737</v>
      </c>
      <c r="J60" s="39"/>
      <c r="K60" s="39"/>
    </row>
    <row r="61" spans="1:11" ht="28.5">
      <c r="A61" s="28" t="str">
        <v>San Antonio - Ops Ctr (Bldg 205)</v>
      </c>
      <c r="B61" s="29" t="str">
        <v>TX</v>
      </c>
      <c r="C61" s="10">
        <v>8224.34375</v>
      </c>
      <c r="D61" s="16">
        <v>37986.76</v>
      </c>
      <c r="E61" s="16">
        <f t="shared" si="0"/>
        <v>-29762.416250000002</v>
      </c>
      <c r="F61" s="17">
        <f t="shared" si="3"/>
        <v>-0.78349446622981267</v>
      </c>
      <c r="G61" s="18">
        <v>51076.02</v>
      </c>
      <c r="H61" s="18">
        <f t="shared" si="1"/>
        <v>-42851.676249999997</v>
      </c>
      <c r="I61" s="17">
        <f t="shared" si="2"/>
        <v>-0.83897837478331316</v>
      </c>
      <c r="J61" s="58" t="s">
        <v>85</v>
      </c>
      <c r="K61" s="57" t="s">
        <v>40</v>
      </c>
    </row>
    <row r="62" spans="1:11" ht="28.5">
      <c r="A62" s="26" t="str">
        <v>San Antonio - Ops Ctr (Bldg 307)</v>
      </c>
      <c r="B62" s="27" t="str">
        <v>TX</v>
      </c>
      <c r="C62" s="22">
        <v>34702.46875</v>
      </c>
      <c r="D62" s="11">
        <v>41309.93</v>
      </c>
      <c r="E62" s="11">
        <f t="shared" si="0"/>
        <v>-6607.4612500000003</v>
      </c>
      <c r="F62" s="12">
        <f t="shared" si="3"/>
        <v>-0.1599484978551162</v>
      </c>
      <c r="G62" s="13">
        <v>51882.91</v>
      </c>
      <c r="H62" s="13">
        <f t="shared" si="1"/>
        <v>-17180.441250000003</v>
      </c>
      <c r="I62" s="14">
        <f t="shared" si="2"/>
        <v>-0.33113873624282064</v>
      </c>
      <c r="J62" s="39" t="s">
        <v>86</v>
      </c>
      <c r="K62" s="39" t="s">
        <v>41</v>
      </c>
    </row>
    <row r="63" spans="1:11" ht="42.75">
      <c r="A63" s="28" t="str">
        <v>San Antonio - Ctr (Bldg 308)</v>
      </c>
      <c r="B63" s="29" t="str">
        <v>TX</v>
      </c>
      <c r="C63" s="10">
        <v>14864.125309999999</v>
      </c>
      <c r="D63" s="16">
        <v>40358.800000000003</v>
      </c>
      <c r="E63" s="16">
        <f t="shared" si="0"/>
        <v>-25494.674690000003</v>
      </c>
      <c r="F63" s="17">
        <f t="shared" si="3"/>
        <v>-0.63170051364262569</v>
      </c>
      <c r="G63" s="18">
        <v>49286.58</v>
      </c>
      <c r="H63" s="18">
        <f t="shared" si="1"/>
        <v>-34422.454689999999</v>
      </c>
      <c r="I63" s="17">
        <f t="shared" si="2"/>
        <v>-0.6984143490986795</v>
      </c>
      <c r="J63" s="40" t="s">
        <v>87</v>
      </c>
      <c r="K63" s="57" t="s">
        <v>88</v>
      </c>
    </row>
    <row r="64" spans="1:11" ht="15.75">
      <c r="A64" s="26" t="str">
        <v>San Antonio - Ops Ctr (Bldg 104)</v>
      </c>
      <c r="B64" s="27" t="str">
        <v>TX</v>
      </c>
      <c r="C64" s="22">
        <v>10116.266390000001</v>
      </c>
      <c r="D64" s="11">
        <v>12644.16</v>
      </c>
      <c r="E64" s="11">
        <f t="shared" si="0"/>
        <v>-2527.8936099999992</v>
      </c>
      <c r="F64" s="12">
        <f t="shared" si="3"/>
        <v>-0.19992578471009534</v>
      </c>
      <c r="G64" s="13">
        <v>15675.24</v>
      </c>
      <c r="H64" s="13">
        <f t="shared" si="1"/>
        <v>-5558.9736099999991</v>
      </c>
      <c r="I64" s="14">
        <f t="shared" si="2"/>
        <v>-0.35463403494938511</v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>
        <v>38646.705309999998</v>
      </c>
      <c r="D65" s="16">
        <v>39728.43</v>
      </c>
      <c r="E65" s="16">
        <f t="shared" si="0"/>
        <v>-1081.7246900000027</v>
      </c>
      <c r="F65" s="17">
        <f t="shared" si="3"/>
        <v>-2.7227974777759976E-2</v>
      </c>
      <c r="G65" s="18">
        <v>55790.29</v>
      </c>
      <c r="H65" s="18">
        <f t="shared" si="1"/>
        <v>-17143.584690000003</v>
      </c>
      <c r="I65" s="17">
        <f t="shared" si="2"/>
        <v>-0.30728617273722725</v>
      </c>
      <c r="J65" s="40" t="s">
        <v>89</v>
      </c>
      <c r="K65" s="40" t="s">
        <v>44</v>
      </c>
    </row>
    <row r="66" spans="1:11" ht="15.75">
      <c r="A66" s="26" t="str">
        <v>Lodi - Lodi Vineyard</v>
      </c>
      <c r="B66" s="27" t="str">
        <v>CA</v>
      </c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 t="str">
        <v>Arden Fair Mall</v>
      </c>
      <c r="B67" s="29" t="str">
        <v>CA</v>
      </c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0"/>
    </row>
    <row r="68" spans="1:11" ht="15.75">
      <c r="A68" s="26" t="str">
        <v>Modesto - Modesto Main</v>
      </c>
      <c r="B68" s="27" t="str">
        <v>CA</v>
      </c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 t="str">
        <v>Stevens Creek</v>
      </c>
      <c r="B69" s="29" t="str">
        <v>CA</v>
      </c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0"/>
    </row>
    <row r="70" spans="1:11" ht="13.15">
      <c r="A70" s="19"/>
      <c r="B70" s="19"/>
      <c r="C70" s="19"/>
      <c r="D70" s="19"/>
      <c r="E70" s="19" t="str">
        <f t="shared" si="4"/>
        <v/>
      </c>
      <c r="F70" s="19" t="str">
        <f t="shared" ref="F70:F78" si="7">IFERROR(E70/D70, "")</f>
        <v/>
      </c>
      <c r="G70" s="19"/>
      <c r="H70" s="19" t="str">
        <f t="shared" si="5"/>
        <v/>
      </c>
      <c r="I70" s="19" t="str">
        <f t="shared" si="6"/>
        <v/>
      </c>
      <c r="J70" s="19"/>
      <c r="K70" s="19"/>
    </row>
    <row r="71" spans="1:11" ht="13.15">
      <c r="A71" s="19"/>
      <c r="B71" s="19"/>
      <c r="C71" s="19"/>
      <c r="D71" s="19"/>
      <c r="E71" s="19" t="str">
        <f t="shared" si="4"/>
        <v/>
      </c>
      <c r="F71" s="19" t="str">
        <f t="shared" si="7"/>
        <v/>
      </c>
      <c r="G71" s="19"/>
      <c r="H71" s="19" t="str">
        <f t="shared" si="5"/>
        <v/>
      </c>
      <c r="I71" s="19" t="str">
        <f t="shared" si="6"/>
        <v/>
      </c>
      <c r="J71" s="19"/>
      <c r="K71" s="19"/>
    </row>
    <row r="72" spans="1:11" ht="13.15">
      <c r="A72" s="19"/>
      <c r="B72" s="19"/>
      <c r="C72" s="19"/>
      <c r="D72" s="19"/>
      <c r="E72" s="19" t="str">
        <f t="shared" si="4"/>
        <v/>
      </c>
      <c r="F72" s="19" t="str">
        <f t="shared" si="7"/>
        <v/>
      </c>
      <c r="G72" s="19"/>
      <c r="H72" s="19" t="str">
        <f t="shared" si="5"/>
        <v/>
      </c>
      <c r="I72" s="19" t="str">
        <f t="shared" si="6"/>
        <v/>
      </c>
      <c r="J72" s="19"/>
      <c r="K72" s="19"/>
    </row>
    <row r="73" spans="1:11" ht="13.15">
      <c r="A73" s="19"/>
      <c r="B73" s="19"/>
      <c r="C73" s="19"/>
      <c r="D73" s="19"/>
      <c r="E73" s="19" t="str">
        <f t="shared" si="4"/>
        <v/>
      </c>
      <c r="F73" s="19" t="str">
        <f t="shared" si="7"/>
        <v/>
      </c>
      <c r="G73" s="19"/>
      <c r="H73" s="19" t="str">
        <f t="shared" si="5"/>
        <v/>
      </c>
      <c r="I73" s="19" t="str">
        <f t="shared" si="6"/>
        <v/>
      </c>
      <c r="J73" s="19"/>
      <c r="K73" s="19"/>
    </row>
    <row r="74" spans="1:11" ht="13.15">
      <c r="A74" s="19"/>
      <c r="B74" s="19"/>
      <c r="C74" s="19"/>
      <c r="D74" s="19"/>
      <c r="E74" s="19" t="str">
        <f t="shared" si="4"/>
        <v/>
      </c>
      <c r="F74" s="19" t="str">
        <f t="shared" si="7"/>
        <v/>
      </c>
      <c r="G74" s="19"/>
      <c r="H74" s="19" t="str">
        <f t="shared" si="5"/>
        <v/>
      </c>
      <c r="I74" s="19" t="str">
        <f t="shared" si="6"/>
        <v/>
      </c>
      <c r="J74" s="19"/>
      <c r="K74" s="19"/>
    </row>
    <row r="75" spans="1:11" ht="13.15">
      <c r="A75" s="19"/>
      <c r="B75" s="19"/>
      <c r="C75" s="19"/>
      <c r="D75" s="19"/>
      <c r="E75" s="19" t="str">
        <f t="shared" si="4"/>
        <v/>
      </c>
      <c r="F75" s="19" t="str">
        <f t="shared" si="7"/>
        <v/>
      </c>
      <c r="G75" s="19"/>
      <c r="H75" s="19" t="str">
        <f t="shared" si="5"/>
        <v/>
      </c>
      <c r="I75" s="19" t="str">
        <f t="shared" si="6"/>
        <v/>
      </c>
      <c r="J75" s="19"/>
      <c r="K75" s="19"/>
    </row>
    <row r="76" spans="1:11" ht="13.15">
      <c r="A76" s="19"/>
      <c r="B76" s="19"/>
      <c r="C76" s="19"/>
      <c r="D76" s="19"/>
      <c r="E76" s="19" t="str">
        <f t="shared" si="4"/>
        <v/>
      </c>
      <c r="F76" s="19" t="str">
        <f t="shared" si="7"/>
        <v/>
      </c>
      <c r="G76" s="19"/>
      <c r="H76" s="19" t="str">
        <f t="shared" si="5"/>
        <v/>
      </c>
      <c r="I76" s="19" t="str">
        <f t="shared" si="6"/>
        <v/>
      </c>
      <c r="J76" s="19"/>
      <c r="K76" s="19"/>
    </row>
    <row r="77" spans="1:11" ht="13.15">
      <c r="A77" s="19"/>
      <c r="B77" s="19"/>
      <c r="C77" s="19"/>
      <c r="D77" s="19"/>
      <c r="E77" s="19" t="str">
        <f t="shared" si="4"/>
        <v/>
      </c>
      <c r="F77" s="19" t="str">
        <f t="shared" si="7"/>
        <v/>
      </c>
      <c r="G77" s="19"/>
      <c r="H77" s="19" t="str">
        <f t="shared" si="5"/>
        <v/>
      </c>
      <c r="I77" s="19" t="str">
        <f t="shared" si="6"/>
        <v/>
      </c>
      <c r="J77" s="19"/>
      <c r="K77" s="19"/>
    </row>
    <row r="78" spans="1:11" ht="13.15">
      <c r="A78" s="19"/>
      <c r="B78" s="19"/>
      <c r="C78" s="19"/>
      <c r="D78" s="19"/>
      <c r="E78" s="19" t="str">
        <f t="shared" si="4"/>
        <v/>
      </c>
      <c r="F78" s="19" t="str">
        <f t="shared" si="7"/>
        <v/>
      </c>
      <c r="G78" s="19"/>
      <c r="H78" s="19" t="str">
        <f t="shared" si="5"/>
        <v/>
      </c>
      <c r="I78" s="19" t="str">
        <f t="shared" si="6"/>
        <v/>
      </c>
      <c r="J78" s="19"/>
      <c r="K78" s="19"/>
    </row>
    <row r="79" spans="1:11" ht="13.1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2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4.2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4.2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4.2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4.2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4.2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4.2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4.2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4.2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 ht="13.9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24" priority="11" stopIfTrue="1" operator="lessThanOrEqual">
      <formula>-0.1</formula>
    </cfRule>
    <cfRule type="expression" dxfId="23" priority="12">
      <formula>AND(ISNUMBER(F2), F2&gt;=0.1)</formula>
    </cfRule>
  </conditionalFormatting>
  <conditionalFormatting sqref="F4:F69 I4:I69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conditionalFormatting sqref="F80:F100 I80:I100">
    <cfRule type="cellIs" dxfId="20" priority="3" stopIfTrue="1" operator="lessThanOrEqual">
      <formula>-0.1</formula>
    </cfRule>
    <cfRule type="expression" dxfId="19" priority="4">
      <formula>AND(ISNUMBER(F80), F80&gt;=0.1)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workbookViewId="0">
      <pane xSplit="2" ySplit="3" topLeftCell="F47" activePane="bottomRight" state="frozen"/>
      <selection pane="bottomRight" activeCell="A66" sqref="A66:K69"/>
      <selection pane="bottomLeft"/>
      <selection pane="topRight"/>
    </sheetView>
  </sheetViews>
  <sheetFormatPr defaultRowHeight="13.5"/>
  <cols>
    <col min="1" max="1" width="35.85546875" bestFit="1" customWidth="1"/>
    <col min="2" max="2" width="11.5703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2" t="str" cm="1">
        <f t="array" ref="A1">portfolio</f>
        <v>Wells Fargo</v>
      </c>
      <c r="B1" s="72"/>
      <c r="C1" s="72"/>
      <c r="D1" s="73" t="s">
        <v>90</v>
      </c>
      <c r="E1" s="73"/>
      <c r="F1" s="73"/>
      <c r="G1" s="71" t="s">
        <v>91</v>
      </c>
      <c r="H1" s="71"/>
      <c r="I1" s="71"/>
      <c r="J1" s="3"/>
      <c r="K1" s="3"/>
    </row>
    <row r="2" spans="1:11" ht="19.5" customHeight="1">
      <c r="A2" s="82" t="s">
        <v>2</v>
      </c>
      <c r="B2" s="82"/>
      <c r="C2" s="4">
        <f>SUM(C4:C87)</f>
        <v>1446903.5275289998</v>
      </c>
      <c r="D2" s="4">
        <f>SUM(D4:D87)</f>
        <v>1318940.0186000001</v>
      </c>
      <c r="E2" s="4">
        <f>C2-D2</f>
        <v>127963.50892899977</v>
      </c>
      <c r="F2" s="5">
        <f>IFERROR(E2/D2, 0)</f>
        <v>9.7019960820377338E-2</v>
      </c>
      <c r="G2" s="4">
        <f>SUM(G4:G87)</f>
        <v>1703692.7450000001</v>
      </c>
      <c r="H2" s="6">
        <f>C2-G2</f>
        <v>-256789.21747100027</v>
      </c>
      <c r="I2" s="5">
        <f>IFERROR(H2/G2, 0)</f>
        <v>-0.15072507541317273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1168.0999999999999</v>
      </c>
      <c r="D4" s="11">
        <v>0</v>
      </c>
      <c r="E4" s="11">
        <f>IF(AND(ISNUMBER(C4),ISNUMBER(D4)), C4-D4, "")</f>
        <v>1168.0999999999999</v>
      </c>
      <c r="F4" s="12" t="str">
        <f>IFERROR(E4/D4, "")</f>
        <v/>
      </c>
      <c r="G4" s="13">
        <v>1376</v>
      </c>
      <c r="H4" s="13">
        <f>IF(AND(ISNUMBER(C4),ISNUMBER(G4)), C4-G4, "")</f>
        <v>-207.90000000000009</v>
      </c>
      <c r="I4" s="14">
        <f>IFERROR(H4/G4, "")</f>
        <v>-0.15109011627906985</v>
      </c>
      <c r="J4" s="63"/>
      <c r="K4" s="63"/>
    </row>
    <row r="5" spans="1:11" ht="15.75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8"/>
      <c r="K5" s="58"/>
    </row>
    <row r="6" spans="1:11" ht="28.5">
      <c r="A6" s="26" t="str">
        <v>San Leandro</v>
      </c>
      <c r="B6" s="27" t="str">
        <v>CA</v>
      </c>
      <c r="C6" s="22">
        <v>60879.625</v>
      </c>
      <c r="D6" s="11">
        <v>52276.36</v>
      </c>
      <c r="E6" s="11">
        <f t="shared" si="0"/>
        <v>8603.2649999999994</v>
      </c>
      <c r="F6" s="12">
        <f t="shared" ref="F6:F65" si="3">IFERROR(E6/D6, "")</f>
        <v>0.16457276290851161</v>
      </c>
      <c r="G6" s="13">
        <v>49505.85</v>
      </c>
      <c r="H6" s="13">
        <f t="shared" si="1"/>
        <v>11373.775000000001</v>
      </c>
      <c r="I6" s="14">
        <f t="shared" si="2"/>
        <v>0.22974608051371709</v>
      </c>
      <c r="J6" s="63" t="s">
        <v>92</v>
      </c>
      <c r="K6" s="63" t="s">
        <v>93</v>
      </c>
    </row>
    <row r="7" spans="1:11" ht="15.75">
      <c r="A7" s="28" t="str">
        <v>Van Nuys</v>
      </c>
      <c r="B7" s="29" t="str">
        <v>CA</v>
      </c>
      <c r="C7" s="10">
        <v>2108.1</v>
      </c>
      <c r="D7" s="16">
        <v>0</v>
      </c>
      <c r="E7" s="16">
        <f t="shared" si="0"/>
        <v>2108.1</v>
      </c>
      <c r="F7" s="61" t="str">
        <f>IFERROR(E7/D7, "")</f>
        <v/>
      </c>
      <c r="G7" s="18">
        <v>2808.835</v>
      </c>
      <c r="H7" s="18">
        <f t="shared" si="1"/>
        <v>-700.73500000000013</v>
      </c>
      <c r="I7" s="17">
        <f t="shared" si="2"/>
        <v>-0.24947531627881314</v>
      </c>
      <c r="J7" s="58"/>
      <c r="K7" s="58"/>
    </row>
    <row r="8" spans="1:11" ht="15.75">
      <c r="A8" s="26" t="str">
        <v>98th &amp; Grant</v>
      </c>
      <c r="B8" s="27" t="str">
        <v>CO</v>
      </c>
      <c r="C8" s="22">
        <v>1849.3</v>
      </c>
      <c r="D8" s="11">
        <v>0</v>
      </c>
      <c r="E8" s="11">
        <f t="shared" si="0"/>
        <v>1849.3</v>
      </c>
      <c r="F8" s="12" t="str">
        <f t="shared" si="3"/>
        <v/>
      </c>
      <c r="G8" s="13">
        <v>2339</v>
      </c>
      <c r="H8" s="13">
        <f t="shared" si="1"/>
        <v>-489.70000000000005</v>
      </c>
      <c r="I8" s="14">
        <f t="shared" si="2"/>
        <v>-0.2093629756306114</v>
      </c>
      <c r="J8" s="63"/>
      <c r="K8" s="63"/>
    </row>
    <row r="9" spans="1:11" ht="15.75">
      <c r="A9" s="28" t="str">
        <v>Arapahoe Crossings</v>
      </c>
      <c r="B9" s="29" t="str">
        <v>CO</v>
      </c>
      <c r="C9" s="10">
        <v>4776.0047569999997</v>
      </c>
      <c r="D9" s="16">
        <v>0</v>
      </c>
      <c r="E9" s="16">
        <f t="shared" si="0"/>
        <v>4776.0047569999997</v>
      </c>
      <c r="F9" s="17" t="str">
        <f t="shared" si="3"/>
        <v/>
      </c>
      <c r="G9" s="18">
        <v>4285.1769999999997</v>
      </c>
      <c r="H9" s="18">
        <f t="shared" si="1"/>
        <v>490.82775700000002</v>
      </c>
      <c r="I9" s="17">
        <f t="shared" si="2"/>
        <v>0.11454083623616949</v>
      </c>
      <c r="J9" s="58"/>
      <c r="K9" s="58"/>
    </row>
    <row r="10" spans="1:11" ht="15.75">
      <c r="A10" s="26" t="str">
        <v>Aurora City Center</v>
      </c>
      <c r="B10" s="27" t="str">
        <v>CO</v>
      </c>
      <c r="C10" s="22">
        <v>2316.4</v>
      </c>
      <c r="D10" s="11">
        <v>0</v>
      </c>
      <c r="E10" s="11">
        <f t="shared" si="0"/>
        <v>2316.4</v>
      </c>
      <c r="F10" s="12" t="str">
        <f t="shared" si="3"/>
        <v/>
      </c>
      <c r="G10" s="13">
        <v>1972</v>
      </c>
      <c r="H10" s="13">
        <f t="shared" si="1"/>
        <v>344.40000000000009</v>
      </c>
      <c r="I10" s="14">
        <f t="shared" si="2"/>
        <v>0.17464503042596352</v>
      </c>
      <c r="J10" s="63"/>
      <c r="K10" s="63"/>
    </row>
    <row r="11" spans="1:11" ht="15.75">
      <c r="A11" s="28" t="str">
        <v>Dry Creek</v>
      </c>
      <c r="B11" s="29" t="str">
        <v>CO</v>
      </c>
      <c r="C11" s="10">
        <v>2142.5</v>
      </c>
      <c r="D11" s="16">
        <v>0</v>
      </c>
      <c r="E11" s="16">
        <f t="shared" si="0"/>
        <v>2142.5</v>
      </c>
      <c r="F11" s="17" t="str">
        <f t="shared" si="3"/>
        <v/>
      </c>
      <c r="G11" s="18">
        <v>2551</v>
      </c>
      <c r="H11" s="18">
        <f t="shared" si="1"/>
        <v>-408.5</v>
      </c>
      <c r="I11" s="17">
        <f t="shared" si="2"/>
        <v>-0.16013328106624852</v>
      </c>
      <c r="J11" s="58"/>
      <c r="K11" s="58"/>
    </row>
    <row r="12" spans="1:11" ht="15.75">
      <c r="A12" s="26" t="str">
        <v>Highlands Ranch S.</v>
      </c>
      <c r="B12" s="27" t="str">
        <v>CO</v>
      </c>
      <c r="C12" s="22">
        <v>2464.9</v>
      </c>
      <c r="D12" s="11">
        <v>0</v>
      </c>
      <c r="E12" s="11">
        <f t="shared" si="0"/>
        <v>2464.9</v>
      </c>
      <c r="F12" s="12" t="str">
        <f t="shared" si="3"/>
        <v/>
      </c>
      <c r="G12" s="13">
        <v>2417</v>
      </c>
      <c r="H12" s="13">
        <f t="shared" si="1"/>
        <v>47.900000000000091</v>
      </c>
      <c r="I12" s="14">
        <f t="shared" si="2"/>
        <v>1.981795614398018E-2</v>
      </c>
      <c r="J12" s="63"/>
      <c r="K12" s="63"/>
    </row>
    <row r="13" spans="1:11" ht="15.75">
      <c r="A13" s="28" t="str">
        <v>Lone Tree</v>
      </c>
      <c r="B13" s="29" t="str">
        <v>CO</v>
      </c>
      <c r="C13" s="10">
        <v>3854</v>
      </c>
      <c r="D13" s="16">
        <v>0</v>
      </c>
      <c r="E13" s="16">
        <f t="shared" si="0"/>
        <v>3854</v>
      </c>
      <c r="F13" s="17" t="str">
        <f t="shared" si="3"/>
        <v/>
      </c>
      <c r="G13" s="18">
        <v>5500</v>
      </c>
      <c r="H13" s="18">
        <f t="shared" si="1"/>
        <v>-1646</v>
      </c>
      <c r="I13" s="17">
        <f t="shared" si="2"/>
        <v>-0.29927272727272725</v>
      </c>
      <c r="J13" s="58"/>
      <c r="K13" s="58"/>
    </row>
    <row r="14" spans="1:11" ht="15.75">
      <c r="A14" s="26" t="str">
        <v>Meridian</v>
      </c>
      <c r="B14" s="27" t="str">
        <v>CO</v>
      </c>
      <c r="C14" s="22">
        <v>3791.4</v>
      </c>
      <c r="D14" s="11">
        <v>0</v>
      </c>
      <c r="E14" s="11">
        <f t="shared" si="0"/>
        <v>3791.4</v>
      </c>
      <c r="F14" s="12" t="str">
        <f t="shared" si="3"/>
        <v/>
      </c>
      <c r="G14" s="13">
        <v>3150</v>
      </c>
      <c r="H14" s="13">
        <f t="shared" si="1"/>
        <v>641.40000000000009</v>
      </c>
      <c r="I14" s="14">
        <f t="shared" si="2"/>
        <v>0.20361904761904764</v>
      </c>
      <c r="J14" s="63"/>
      <c r="K14" s="63"/>
    </row>
    <row r="15" spans="1:11" ht="15.75">
      <c r="A15" s="28" t="str">
        <v>Southglenn</v>
      </c>
      <c r="B15" s="29" t="str">
        <v>CO</v>
      </c>
      <c r="C15" s="10">
        <v>3690.8999999999901</v>
      </c>
      <c r="D15" s="16">
        <v>0</v>
      </c>
      <c r="E15" s="16">
        <f t="shared" si="0"/>
        <v>3690.8999999999901</v>
      </c>
      <c r="F15" s="17" t="str">
        <f t="shared" si="3"/>
        <v/>
      </c>
      <c r="G15" s="18">
        <v>3267</v>
      </c>
      <c r="H15" s="18">
        <f t="shared" si="1"/>
        <v>423.89999999999009</v>
      </c>
      <c r="I15" s="17">
        <f t="shared" si="2"/>
        <v>0.12975206611569945</v>
      </c>
      <c r="J15" s="58"/>
      <c r="K15" s="58"/>
    </row>
    <row r="16" spans="1:11" ht="15.75">
      <c r="A16" s="26" t="str">
        <v>Standley Lake</v>
      </c>
      <c r="B16" s="27" t="str">
        <v>CO</v>
      </c>
      <c r="C16" s="22">
        <v>5029.7</v>
      </c>
      <c r="D16" s="11">
        <v>0</v>
      </c>
      <c r="E16" s="11">
        <f t="shared" si="0"/>
        <v>5029.7</v>
      </c>
      <c r="F16" s="12" t="str">
        <f t="shared" si="3"/>
        <v/>
      </c>
      <c r="G16" s="13">
        <v>4357</v>
      </c>
      <c r="H16" s="13">
        <f t="shared" si="1"/>
        <v>672.69999999999982</v>
      </c>
      <c r="I16" s="14">
        <f t="shared" si="2"/>
        <v>0.15439522607298595</v>
      </c>
      <c r="J16" s="62"/>
      <c r="K16" s="39"/>
    </row>
    <row r="17" spans="1:11" ht="15.75">
      <c r="A17" s="28" t="str">
        <v>Havana Gardens</v>
      </c>
      <c r="B17" s="29" t="str">
        <v>CO</v>
      </c>
      <c r="C17" s="10">
        <v>4375.3</v>
      </c>
      <c r="D17" s="16">
        <v>0</v>
      </c>
      <c r="E17" s="16">
        <f t="shared" si="0"/>
        <v>4375.3</v>
      </c>
      <c r="F17" s="17" t="str">
        <f t="shared" si="3"/>
        <v/>
      </c>
      <c r="G17" s="18">
        <v>1695</v>
      </c>
      <c r="H17" s="18">
        <f t="shared" si="1"/>
        <v>2680.3</v>
      </c>
      <c r="I17" s="17">
        <f t="shared" si="2"/>
        <v>1.581297935103245</v>
      </c>
      <c r="J17" s="56"/>
      <c r="K17" s="56"/>
    </row>
    <row r="18" spans="1:11" ht="12.75" customHeight="1">
      <c r="A18" s="26" t="str">
        <v>East Hartford</v>
      </c>
      <c r="B18" s="27" t="str">
        <v>CT</v>
      </c>
      <c r="C18" s="22">
        <v>845</v>
      </c>
      <c r="D18" s="11">
        <v>680.50509999999997</v>
      </c>
      <c r="E18" s="11">
        <f t="shared" si="0"/>
        <v>164.49490000000003</v>
      </c>
      <c r="F18" s="12">
        <f t="shared" si="3"/>
        <v>0.24172471301096793</v>
      </c>
      <c r="G18" s="13">
        <v>1052.49</v>
      </c>
      <c r="H18" s="13">
        <f t="shared" si="1"/>
        <v>-207.49</v>
      </c>
      <c r="I18" s="14">
        <f t="shared" si="2"/>
        <v>-0.19714201560109834</v>
      </c>
      <c r="J18" s="39"/>
      <c r="K18" s="39"/>
    </row>
    <row r="19" spans="1:11" ht="28.5">
      <c r="A19" s="28" t="str">
        <v>Norwalk</v>
      </c>
      <c r="B19" s="29" t="str">
        <v>CT</v>
      </c>
      <c r="C19" s="10">
        <v>844.88990339999998</v>
      </c>
      <c r="D19" s="16">
        <v>991.61509999999998</v>
      </c>
      <c r="E19" s="16">
        <f t="shared" si="0"/>
        <v>-146.7251966</v>
      </c>
      <c r="F19" s="17">
        <f t="shared" si="3"/>
        <v>-0.14796587567091304</v>
      </c>
      <c r="G19" s="18">
        <v>1241.701</v>
      </c>
      <c r="H19" s="18">
        <f t="shared" si="1"/>
        <v>-396.81109660000004</v>
      </c>
      <c r="I19" s="17">
        <f t="shared" si="2"/>
        <v>-0.3195705702097365</v>
      </c>
      <c r="J19" s="56" t="s">
        <v>94</v>
      </c>
      <c r="K19" s="56" t="s">
        <v>95</v>
      </c>
    </row>
    <row r="20" spans="1:11" ht="16.5" customHeight="1">
      <c r="A20" s="26" t="str">
        <v>Hialeah Gardens</v>
      </c>
      <c r="B20" s="27" t="str">
        <v>FL</v>
      </c>
      <c r="C20" s="22">
        <v>771.39819560000001</v>
      </c>
      <c r="D20" s="11">
        <v>4721.5879999999997</v>
      </c>
      <c r="E20" s="11">
        <f t="shared" si="0"/>
        <v>-3950.1898044</v>
      </c>
      <c r="F20" s="12">
        <f t="shared" si="3"/>
        <v>-0.836623145517991</v>
      </c>
      <c r="G20" s="13">
        <v>5552</v>
      </c>
      <c r="H20" s="13">
        <f t="shared" si="1"/>
        <v>-4780.6018044000002</v>
      </c>
      <c r="I20" s="14">
        <f t="shared" si="2"/>
        <v>-0.86105940280979831</v>
      </c>
      <c r="J20" s="39" t="s">
        <v>96</v>
      </c>
      <c r="K20" s="39" t="s">
        <v>51</v>
      </c>
    </row>
    <row r="21" spans="1:11" ht="15.75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6"/>
      <c r="K21" s="56"/>
    </row>
    <row r="22" spans="1:11" ht="15.75">
      <c r="A22" s="26" t="str">
        <v>W. Des Moines Campus EAST</v>
      </c>
      <c r="B22" s="27" t="str">
        <v>IA</v>
      </c>
      <c r="C22" s="22">
        <v>195594.75</v>
      </c>
      <c r="D22" s="11">
        <v>188012.9</v>
      </c>
      <c r="E22" s="11">
        <f t="shared" si="0"/>
        <v>7581.8500000000058</v>
      </c>
      <c r="F22" s="12">
        <f t="shared" si="3"/>
        <v>4.032622229644884E-2</v>
      </c>
      <c r="G22" s="13">
        <v>192800</v>
      </c>
      <c r="H22" s="13">
        <f t="shared" si="1"/>
        <v>2794.75</v>
      </c>
      <c r="I22" s="14">
        <f t="shared" si="2"/>
        <v>1.4495591286307053E-2</v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>
        <v>92136</v>
      </c>
      <c r="D23" s="16">
        <v>92247.49</v>
      </c>
      <c r="E23" s="16">
        <f t="shared" si="0"/>
        <v>-111.49000000000524</v>
      </c>
      <c r="F23" s="17">
        <f t="shared" si="3"/>
        <v>-1.20859656994467E-3</v>
      </c>
      <c r="G23" s="18">
        <v>95417.42</v>
      </c>
      <c r="H23" s="18">
        <f t="shared" si="1"/>
        <v>-3281.4199999999983</v>
      </c>
      <c r="I23" s="17">
        <f t="shared" si="2"/>
        <v>-3.4390156430555326E-2</v>
      </c>
      <c r="J23" s="56"/>
      <c r="K23" s="56"/>
    </row>
    <row r="24" spans="1:11" ht="15.75">
      <c r="A24" s="26" t="str">
        <v>WF - CIC</v>
      </c>
      <c r="B24" s="27" t="str">
        <v>NC</v>
      </c>
      <c r="C24" s="22">
        <v>187961</v>
      </c>
      <c r="D24" s="11">
        <v>137400.20000000001</v>
      </c>
      <c r="E24" s="11">
        <f t="shared" si="0"/>
        <v>50560.799999999988</v>
      </c>
      <c r="F24" s="12">
        <f t="shared" si="3"/>
        <v>0.36798199711499679</v>
      </c>
      <c r="G24" s="13">
        <v>205438</v>
      </c>
      <c r="H24" s="13">
        <f t="shared" si="1"/>
        <v>-17477</v>
      </c>
      <c r="I24" s="14">
        <f t="shared" si="2"/>
        <v>-8.5071895170319031E-2</v>
      </c>
      <c r="J24" s="63"/>
      <c r="K24" s="63"/>
    </row>
    <row r="25" spans="1:11" ht="28.5">
      <c r="A25" s="28" t="str">
        <v>Charlotte - Wells Fargo - DUC</v>
      </c>
      <c r="B25" s="29" t="str">
        <v>NC</v>
      </c>
      <c r="C25" s="10">
        <v>180424</v>
      </c>
      <c r="D25" s="16">
        <v>134257.70000000001</v>
      </c>
      <c r="E25" s="16">
        <f t="shared" si="0"/>
        <v>46166.299999999988</v>
      </c>
      <c r="F25" s="17">
        <f t="shared" si="3"/>
        <v>0.34386333148862214</v>
      </c>
      <c r="G25" s="18">
        <v>186177.1</v>
      </c>
      <c r="H25" s="18">
        <f t="shared" si="1"/>
        <v>-5753.1000000000058</v>
      </c>
      <c r="I25" s="17">
        <f t="shared" si="2"/>
        <v>-3.0901222545629971E-2</v>
      </c>
      <c r="J25" s="58" t="s">
        <v>97</v>
      </c>
      <c r="K25" s="58" t="s">
        <v>33</v>
      </c>
    </row>
    <row r="26" spans="1:11" ht="15.75">
      <c r="A26" s="26" t="str">
        <v>East Windsor</v>
      </c>
      <c r="B26" s="27" t="str">
        <v>NJ</v>
      </c>
      <c r="C26" s="22">
        <v>1017</v>
      </c>
      <c r="D26" s="11">
        <v>997.25940000000003</v>
      </c>
      <c r="E26" s="11">
        <f t="shared" si="0"/>
        <v>19.740599999999972</v>
      </c>
      <c r="F26" s="12">
        <f t="shared" si="3"/>
        <v>1.9794849765266662E-2</v>
      </c>
      <c r="G26" s="13">
        <v>1301.6769999999999</v>
      </c>
      <c r="H26" s="13">
        <f t="shared" si="1"/>
        <v>-284.67699999999991</v>
      </c>
      <c r="I26" s="14">
        <f t="shared" si="2"/>
        <v>-0.21870018445436151</v>
      </c>
      <c r="J26" s="63"/>
      <c r="K26" s="63"/>
    </row>
    <row r="27" spans="1:11" ht="15.75">
      <c r="A27" s="28" t="str">
        <v>Burlington</v>
      </c>
      <c r="B27" s="29" t="str">
        <v>NJ</v>
      </c>
      <c r="C27" s="10">
        <v>2570</v>
      </c>
      <c r="D27" s="16">
        <v>2598.0160000000001</v>
      </c>
      <c r="E27" s="16">
        <f t="shared" si="0"/>
        <v>-28.016000000000076</v>
      </c>
      <c r="F27" s="17">
        <f t="shared" si="3"/>
        <v>-1.0783613341873213E-2</v>
      </c>
      <c r="G27" s="18">
        <v>3348.4549999999999</v>
      </c>
      <c r="H27" s="18">
        <f t="shared" si="1"/>
        <v>-778.45499999999993</v>
      </c>
      <c r="I27" s="17">
        <f t="shared" si="2"/>
        <v>-0.232481846105144</v>
      </c>
      <c r="J27" s="58"/>
      <c r="K27" s="58"/>
    </row>
    <row r="28" spans="1:11" ht="15.75">
      <c r="A28" s="26" t="str">
        <v>Bayonne</v>
      </c>
      <c r="B28" s="27" t="str">
        <v>NJ</v>
      </c>
      <c r="C28" s="22">
        <v>3563.8</v>
      </c>
      <c r="D28" s="11">
        <v>3409.6039999999998</v>
      </c>
      <c r="E28" s="11">
        <f t="shared" si="0"/>
        <v>154.19600000000037</v>
      </c>
      <c r="F28" s="12">
        <f t="shared" si="3"/>
        <v>4.5224020150140716E-2</v>
      </c>
      <c r="G28" s="13">
        <v>3794.636</v>
      </c>
      <c r="H28" s="13">
        <f t="shared" si="1"/>
        <v>-230.83599999999979</v>
      </c>
      <c r="I28" s="14">
        <f t="shared" si="2"/>
        <v>-6.083218522145465E-2</v>
      </c>
      <c r="J28" s="63"/>
      <c r="K28" s="63"/>
    </row>
    <row r="29" spans="1:11" ht="15.75">
      <c r="A29" s="28" t="str">
        <v>Clifton</v>
      </c>
      <c r="B29" s="29" t="str">
        <v>NJ</v>
      </c>
      <c r="C29" s="10">
        <v>4377.5078130000002</v>
      </c>
      <c r="D29" s="16">
        <v>4537.442</v>
      </c>
      <c r="E29" s="16">
        <f t="shared" si="0"/>
        <v>-159.93418699999984</v>
      </c>
      <c r="F29" s="17">
        <f t="shared" si="3"/>
        <v>-3.5247654295085168E-2</v>
      </c>
      <c r="G29" s="18">
        <v>4475.1490000000003</v>
      </c>
      <c r="H29" s="18">
        <f t="shared" si="1"/>
        <v>-97.641187000000173</v>
      </c>
      <c r="I29" s="17">
        <f t="shared" si="2"/>
        <v>-2.1818533192973052E-2</v>
      </c>
      <c r="J29" s="58"/>
      <c r="K29" s="58"/>
    </row>
    <row r="30" spans="1:11" ht="15.75">
      <c r="A30" s="26" t="str">
        <v>North Elizabeth</v>
      </c>
      <c r="B30" s="27" t="str">
        <v>NJ</v>
      </c>
      <c r="C30" s="22">
        <v>3763.2</v>
      </c>
      <c r="D30" s="11">
        <v>3321.67</v>
      </c>
      <c r="E30" s="11">
        <f t="shared" si="0"/>
        <v>441.52999999999975</v>
      </c>
      <c r="F30" s="12">
        <f t="shared" si="3"/>
        <v>0.13292410143090666</v>
      </c>
      <c r="G30" s="13">
        <v>4156.6499999999996</v>
      </c>
      <c r="H30" s="13">
        <f t="shared" si="1"/>
        <v>-393.44999999999982</v>
      </c>
      <c r="I30" s="14">
        <f t="shared" si="2"/>
        <v>-9.4655551946880259E-2</v>
      </c>
      <c r="J30" s="63"/>
      <c r="K30" s="63"/>
    </row>
    <row r="31" spans="1:11" ht="15.75">
      <c r="A31" s="28" t="str">
        <v>Haddon Westmont Plaza</v>
      </c>
      <c r="B31" s="29" t="str">
        <v>NJ</v>
      </c>
      <c r="C31" s="10">
        <v>2500.8999999999901</v>
      </c>
      <c r="D31" s="16">
        <v>2470.4259999999999</v>
      </c>
      <c r="E31" s="16">
        <f t="shared" si="0"/>
        <v>30.473999999990156</v>
      </c>
      <c r="F31" s="17">
        <f t="shared" si="3"/>
        <v>1.2335524318473881E-2</v>
      </c>
      <c r="G31" s="18">
        <v>3078.087</v>
      </c>
      <c r="H31" s="18">
        <f t="shared" si="1"/>
        <v>-577.1870000000099</v>
      </c>
      <c r="I31" s="17">
        <f t="shared" si="2"/>
        <v>-0.1875148428228344</v>
      </c>
      <c r="J31" s="58"/>
      <c r="K31" s="58"/>
    </row>
    <row r="32" spans="1:11" ht="15.75">
      <c r="A32" s="26" t="str">
        <v>Parsippany</v>
      </c>
      <c r="B32" s="27" t="str">
        <v>NJ</v>
      </c>
      <c r="C32" s="22">
        <v>3162.7</v>
      </c>
      <c r="D32" s="11">
        <v>3126.6</v>
      </c>
      <c r="E32" s="11">
        <f t="shared" si="0"/>
        <v>36.099999999999909</v>
      </c>
      <c r="F32" s="12">
        <f t="shared" si="3"/>
        <v>1.154608840273777E-2</v>
      </c>
      <c r="G32" s="13">
        <v>3553.6289999999999</v>
      </c>
      <c r="H32" s="13">
        <f t="shared" si="1"/>
        <v>-390.92900000000009</v>
      </c>
      <c r="I32" s="14">
        <f t="shared" si="2"/>
        <v>-0.11000838860781474</v>
      </c>
      <c r="J32" s="63"/>
      <c r="K32" s="63"/>
    </row>
    <row r="33" spans="1:11" ht="15.75">
      <c r="A33" s="28" t="str">
        <v>Clark</v>
      </c>
      <c r="B33" s="29" t="str">
        <v>NJ</v>
      </c>
      <c r="C33" s="10">
        <v>2667.4</v>
      </c>
      <c r="D33" s="16">
        <v>2624.0830000000001</v>
      </c>
      <c r="E33" s="16">
        <f t="shared" si="0"/>
        <v>43.317000000000007</v>
      </c>
      <c r="F33" s="17">
        <f t="shared" si="3"/>
        <v>1.6507480899041686E-2</v>
      </c>
      <c r="G33" s="18">
        <v>2892.308</v>
      </c>
      <c r="H33" s="18">
        <f t="shared" si="1"/>
        <v>-224.9079999999999</v>
      </c>
      <c r="I33" s="17">
        <f t="shared" si="2"/>
        <v>-7.7760736408432257E-2</v>
      </c>
      <c r="J33" s="58"/>
      <c r="K33" s="58"/>
    </row>
    <row r="34" spans="1:11" ht="15.75">
      <c r="A34" s="26" t="str">
        <v>Closter</v>
      </c>
      <c r="B34" s="27" t="str">
        <v>NJ</v>
      </c>
      <c r="C34" s="22">
        <v>1489.1</v>
      </c>
      <c r="D34" s="11">
        <v>1192.2239999999999</v>
      </c>
      <c r="E34" s="11">
        <f t="shared" si="0"/>
        <v>296.87599999999998</v>
      </c>
      <c r="F34" s="12">
        <f t="shared" si="3"/>
        <v>0.24901025310679872</v>
      </c>
      <c r="G34" s="13">
        <v>1810.933</v>
      </c>
      <c r="H34" s="13">
        <f t="shared" si="1"/>
        <v>-321.83300000000008</v>
      </c>
      <c r="I34" s="14">
        <f t="shared" si="2"/>
        <v>-0.17771667974463998</v>
      </c>
      <c r="J34" s="63"/>
      <c r="K34" s="63"/>
    </row>
    <row r="35" spans="1:11" ht="15.75">
      <c r="A35" s="28" t="str">
        <v>Holmdel</v>
      </c>
      <c r="B35" s="29" t="str">
        <v>NJ</v>
      </c>
      <c r="C35" s="10">
        <v>2282.9</v>
      </c>
      <c r="D35" s="16">
        <v>2123.9760000000001</v>
      </c>
      <c r="E35" s="16">
        <f t="shared" si="0"/>
        <v>158.92399999999998</v>
      </c>
      <c r="F35" s="17">
        <f t="shared" si="3"/>
        <v>7.4823820984794537E-2</v>
      </c>
      <c r="G35" s="18">
        <v>2552.46</v>
      </c>
      <c r="H35" s="18">
        <f t="shared" si="1"/>
        <v>-269.55999999999995</v>
      </c>
      <c r="I35" s="17">
        <f t="shared" si="2"/>
        <v>-0.1056079233367026</v>
      </c>
      <c r="J35" s="58"/>
      <c r="K35" s="58"/>
    </row>
    <row r="36" spans="1:11" ht="15.75">
      <c r="A36" s="26" t="str">
        <v>Ellisburg Circle Center</v>
      </c>
      <c r="B36" s="27" t="str">
        <v>NJ</v>
      </c>
      <c r="C36" s="22">
        <v>1111.0999999999999</v>
      </c>
      <c r="D36" s="11">
        <v>1130.588</v>
      </c>
      <c r="E36" s="11">
        <f t="shared" si="0"/>
        <v>-19.488000000000056</v>
      </c>
      <c r="F36" s="12">
        <f t="shared" si="3"/>
        <v>-1.7237048332372232E-2</v>
      </c>
      <c r="G36" s="13">
        <v>1424.1869999999999</v>
      </c>
      <c r="H36" s="13">
        <f t="shared" si="1"/>
        <v>-313.08699999999999</v>
      </c>
      <c r="I36" s="14">
        <f t="shared" si="2"/>
        <v>-0.21983559743207881</v>
      </c>
      <c r="J36" s="63"/>
      <c r="K36" s="63"/>
    </row>
    <row r="37" spans="1:11" ht="15.75">
      <c r="A37" s="28" t="str">
        <v>Nutley</v>
      </c>
      <c r="B37" s="29" t="str">
        <v>NJ</v>
      </c>
      <c r="C37" s="10">
        <v>3783.2</v>
      </c>
      <c r="D37" s="16">
        <v>3705.6489999999999</v>
      </c>
      <c r="E37" s="16">
        <f t="shared" si="0"/>
        <v>77.550999999999931</v>
      </c>
      <c r="F37" s="17">
        <f t="shared" si="3"/>
        <v>2.0927778103106889E-2</v>
      </c>
      <c r="G37" s="18">
        <v>4989.1000000000004</v>
      </c>
      <c r="H37" s="18">
        <f t="shared" si="1"/>
        <v>-1205.9000000000005</v>
      </c>
      <c r="I37" s="17">
        <f t="shared" si="2"/>
        <v>-0.24170692108797187</v>
      </c>
      <c r="J37" s="58"/>
      <c r="K37" s="58"/>
    </row>
    <row r="38" spans="1:11" ht="15.75">
      <c r="A38" s="26" t="str">
        <v>Marlton</v>
      </c>
      <c r="B38" s="27" t="str">
        <v>NJ</v>
      </c>
      <c r="C38" s="22">
        <v>3893.5</v>
      </c>
      <c r="D38" s="11">
        <v>3640.529</v>
      </c>
      <c r="E38" s="11">
        <f t="shared" si="0"/>
        <v>252.971</v>
      </c>
      <c r="F38" s="12">
        <f t="shared" si="3"/>
        <v>6.9487428887395217E-2</v>
      </c>
      <c r="G38" s="13">
        <v>4973.951</v>
      </c>
      <c r="H38" s="13">
        <f t="shared" si="1"/>
        <v>-1080.451</v>
      </c>
      <c r="I38" s="14">
        <f t="shared" si="2"/>
        <v>-0.21722188256378078</v>
      </c>
      <c r="J38" s="63"/>
      <c r="K38" s="63"/>
    </row>
    <row r="39" spans="1:11" ht="15.75">
      <c r="A39" s="28" t="str">
        <v>Middletown</v>
      </c>
      <c r="B39" s="29" t="str">
        <v>NJ</v>
      </c>
      <c r="C39" s="10">
        <v>3290.1000000000099</v>
      </c>
      <c r="D39" s="16">
        <v>3124.739</v>
      </c>
      <c r="E39" s="16">
        <f t="shared" si="0"/>
        <v>165.36100000000988</v>
      </c>
      <c r="F39" s="17">
        <f t="shared" si="3"/>
        <v>5.2919939873381387E-2</v>
      </c>
      <c r="G39" s="18">
        <v>4046.587</v>
      </c>
      <c r="H39" s="18">
        <f t="shared" si="1"/>
        <v>-756.48699999999008</v>
      </c>
      <c r="I39" s="17">
        <f t="shared" si="2"/>
        <v>-0.18694445467254012</v>
      </c>
      <c r="J39" s="58"/>
      <c r="K39" s="58"/>
    </row>
    <row r="40" spans="1:11" ht="15.75">
      <c r="A40" s="26" t="str">
        <v>Whiting Crestwood</v>
      </c>
      <c r="B40" s="27" t="str">
        <v>NJ</v>
      </c>
      <c r="C40" s="22">
        <v>3860.8000000000202</v>
      </c>
      <c r="D40" s="11">
        <v>3742.7629999999999</v>
      </c>
      <c r="E40" s="11">
        <f t="shared" si="0"/>
        <v>118.03700000002027</v>
      </c>
      <c r="F40" s="12">
        <f t="shared" si="3"/>
        <v>3.153739630321778E-2</v>
      </c>
      <c r="G40" s="13">
        <v>5333.2309999999998</v>
      </c>
      <c r="H40" s="13">
        <f t="shared" si="1"/>
        <v>-1472.4309999999796</v>
      </c>
      <c r="I40" s="14">
        <f t="shared" si="2"/>
        <v>-0.27608610990222993</v>
      </c>
      <c r="J40" s="63"/>
      <c r="K40" s="63"/>
    </row>
    <row r="41" spans="1:11" ht="15.75">
      <c r="A41" s="28" t="str">
        <v>Barnegat</v>
      </c>
      <c r="B41" s="29" t="str">
        <v>NJ</v>
      </c>
      <c r="C41" s="10">
        <v>5918.28125</v>
      </c>
      <c r="D41" s="16">
        <v>5428.35</v>
      </c>
      <c r="E41" s="16">
        <f t="shared" si="0"/>
        <v>489.93124999999964</v>
      </c>
      <c r="F41" s="17">
        <f t="shared" si="3"/>
        <v>9.0254174841342141E-2</v>
      </c>
      <c r="G41" s="18">
        <v>7703.1450000000004</v>
      </c>
      <c r="H41" s="18">
        <f t="shared" si="1"/>
        <v>-1784.8637500000004</v>
      </c>
      <c r="I41" s="17">
        <f t="shared" si="2"/>
        <v>-0.23170584871503785</v>
      </c>
      <c r="J41" s="58"/>
      <c r="K41" s="58"/>
    </row>
    <row r="42" spans="1:11" ht="15.75">
      <c r="A42" s="26" t="str">
        <v>Manchester</v>
      </c>
      <c r="B42" s="27" t="str">
        <v>NJ</v>
      </c>
      <c r="C42" s="22">
        <v>2815.7</v>
      </c>
      <c r="D42" s="11">
        <v>2545.5639999999999</v>
      </c>
      <c r="E42" s="11">
        <f t="shared" si="0"/>
        <v>270.13599999999997</v>
      </c>
      <c r="F42" s="12">
        <f t="shared" si="3"/>
        <v>0.10612029397021641</v>
      </c>
      <c r="G42" s="13">
        <v>4420.348</v>
      </c>
      <c r="H42" s="13">
        <f t="shared" si="1"/>
        <v>-1604.6480000000001</v>
      </c>
      <c r="I42" s="14">
        <f t="shared" si="2"/>
        <v>-0.36301395274761178</v>
      </c>
      <c r="J42" s="63"/>
      <c r="K42" s="63"/>
    </row>
    <row r="43" spans="1:11" ht="15.75">
      <c r="A43" s="28" t="str">
        <v>West Deptford - Woodbury</v>
      </c>
      <c r="B43" s="29" t="str">
        <v>NJ</v>
      </c>
      <c r="C43" s="10">
        <v>3435.5</v>
      </c>
      <c r="D43" s="16">
        <v>3699.739</v>
      </c>
      <c r="E43" s="16">
        <f t="shared" si="0"/>
        <v>-264.23900000000003</v>
      </c>
      <c r="F43" s="17">
        <f t="shared" si="3"/>
        <v>-7.1420984020764716E-2</v>
      </c>
      <c r="G43" s="18">
        <v>4225.1890000000003</v>
      </c>
      <c r="H43" s="18">
        <f t="shared" si="1"/>
        <v>-789.68900000000031</v>
      </c>
      <c r="I43" s="17">
        <f t="shared" si="2"/>
        <v>-0.18690027830707698</v>
      </c>
      <c r="J43" s="58"/>
      <c r="K43" s="58"/>
    </row>
    <row r="44" spans="1:11" ht="15.75">
      <c r="A44" s="26" t="str">
        <v>Edison</v>
      </c>
      <c r="B44" s="27" t="str">
        <v>NJ</v>
      </c>
      <c r="C44" s="22">
        <v>3262.9</v>
      </c>
      <c r="D44" s="11">
        <v>3317.6660000000002</v>
      </c>
      <c r="E44" s="11">
        <f t="shared" si="0"/>
        <v>-54.766000000000076</v>
      </c>
      <c r="F44" s="12">
        <f t="shared" si="3"/>
        <v>-1.6507388025196048E-2</v>
      </c>
      <c r="G44" s="13">
        <v>3805.732</v>
      </c>
      <c r="H44" s="13">
        <f t="shared" si="1"/>
        <v>-542.83199999999988</v>
      </c>
      <c r="I44" s="14">
        <f t="shared" si="2"/>
        <v>-0.14263537211763727</v>
      </c>
      <c r="J44" s="63"/>
      <c r="K44" s="63"/>
    </row>
    <row r="45" spans="1:11" ht="15.75">
      <c r="A45" s="28" t="str">
        <v>Flemington</v>
      </c>
      <c r="B45" s="29" t="str">
        <v>NJ</v>
      </c>
      <c r="C45" s="10">
        <v>3109</v>
      </c>
      <c r="D45" s="16">
        <v>3288.5160000000001</v>
      </c>
      <c r="E45" s="16">
        <f t="shared" si="0"/>
        <v>-179.51600000000008</v>
      </c>
      <c r="F45" s="17">
        <f t="shared" si="3"/>
        <v>-5.4588756752285854E-2</v>
      </c>
      <c r="G45" s="18">
        <v>3804.5279999999998</v>
      </c>
      <c r="H45" s="18">
        <f t="shared" si="1"/>
        <v>-695.52799999999979</v>
      </c>
      <c r="I45" s="17">
        <f t="shared" si="2"/>
        <v>-0.18281584469873788</v>
      </c>
      <c r="J45" s="51"/>
      <c r="K45" s="51"/>
    </row>
    <row r="46" spans="1:11" ht="15.75">
      <c r="A46" s="26" t="str">
        <v>Route 22</v>
      </c>
      <c r="B46" s="27" t="str">
        <v>NJ</v>
      </c>
      <c r="C46" s="22">
        <v>3052.9</v>
      </c>
      <c r="D46" s="11">
        <v>3180.3580000000002</v>
      </c>
      <c r="E46" s="11">
        <f t="shared" si="0"/>
        <v>-127.45800000000008</v>
      </c>
      <c r="F46" s="12">
        <f t="shared" si="3"/>
        <v>-4.0076620305009712E-2</v>
      </c>
      <c r="G46" s="13">
        <v>3412.3180000000002</v>
      </c>
      <c r="H46" s="13">
        <f t="shared" si="1"/>
        <v>-359.41800000000012</v>
      </c>
      <c r="I46" s="14">
        <f t="shared" si="2"/>
        <v>-0.10532957362121587</v>
      </c>
      <c r="J46" s="63"/>
      <c r="K46" s="63"/>
    </row>
    <row r="47" spans="1:11" ht="28.5">
      <c r="A47" s="28" t="str">
        <v>Laurelton</v>
      </c>
      <c r="B47" s="29" t="str">
        <v>NJ</v>
      </c>
      <c r="C47" s="10">
        <v>1861.2</v>
      </c>
      <c r="D47" s="16">
        <v>2660.09</v>
      </c>
      <c r="E47" s="16">
        <f t="shared" si="0"/>
        <v>-798.8900000000001</v>
      </c>
      <c r="F47" s="17">
        <f t="shared" si="3"/>
        <v>-0.30032442511343604</v>
      </c>
      <c r="G47" s="18">
        <v>3345.3330000000001</v>
      </c>
      <c r="H47" s="18">
        <f t="shared" si="1"/>
        <v>-1484.133</v>
      </c>
      <c r="I47" s="17">
        <f t="shared" si="2"/>
        <v>-0.44364283017565065</v>
      </c>
      <c r="J47" s="51" t="s">
        <v>98</v>
      </c>
      <c r="K47" s="51" t="s">
        <v>81</v>
      </c>
    </row>
    <row r="48" spans="1:11" ht="15.75">
      <c r="A48" s="26" t="str">
        <v>Mahwah</v>
      </c>
      <c r="B48" s="27" t="str">
        <v>NJ</v>
      </c>
      <c r="C48" s="22">
        <v>2674.8</v>
      </c>
      <c r="D48" s="11">
        <v>2324.2429999999999</v>
      </c>
      <c r="E48" s="11">
        <f t="shared" si="0"/>
        <v>350.55700000000024</v>
      </c>
      <c r="F48" s="12">
        <f t="shared" si="3"/>
        <v>0.15082631205084848</v>
      </c>
      <c r="G48" s="13">
        <v>3214.3820000000001</v>
      </c>
      <c r="H48" s="13">
        <f t="shared" si="1"/>
        <v>-539.58199999999988</v>
      </c>
      <c r="I48" s="14">
        <f t="shared" si="2"/>
        <v>-0.16786492706840689</v>
      </c>
      <c r="J48" s="63"/>
      <c r="K48" s="63"/>
    </row>
    <row r="49" spans="1:11" ht="15.75">
      <c r="A49" s="28" t="str">
        <v>Franklin Township WF</v>
      </c>
      <c r="B49" s="29" t="str">
        <v>NJ</v>
      </c>
      <c r="C49" s="10">
        <v>2824.6</v>
      </c>
      <c r="D49" s="16">
        <v>2835.99</v>
      </c>
      <c r="E49" s="16">
        <f t="shared" si="0"/>
        <v>-11.389999999999873</v>
      </c>
      <c r="F49" s="17">
        <f t="shared" si="3"/>
        <v>-4.0162341898243199E-3</v>
      </c>
      <c r="G49" s="18">
        <v>3311.2849999999999</v>
      </c>
      <c r="H49" s="18">
        <f t="shared" si="1"/>
        <v>-486.68499999999995</v>
      </c>
      <c r="I49" s="17">
        <f t="shared" si="2"/>
        <v>-0.146977683890091</v>
      </c>
      <c r="J49" s="51"/>
      <c r="K49" s="51"/>
    </row>
    <row r="50" spans="1:11" ht="15.75">
      <c r="A50" s="26" t="str">
        <v>Bordentown</v>
      </c>
      <c r="B50" s="27" t="str">
        <v>NJ</v>
      </c>
      <c r="C50" s="22">
        <v>2062.6</v>
      </c>
      <c r="D50" s="11">
        <v>1936.258</v>
      </c>
      <c r="E50" s="11">
        <f t="shared" si="0"/>
        <v>126.34199999999987</v>
      </c>
      <c r="F50" s="12">
        <f t="shared" si="3"/>
        <v>6.5250601934246297E-2</v>
      </c>
      <c r="G50" s="13">
        <v>2575.1379999999999</v>
      </c>
      <c r="H50" s="13">
        <f t="shared" si="1"/>
        <v>-512.53800000000001</v>
      </c>
      <c r="I50" s="14">
        <f t="shared" si="2"/>
        <v>-0.19903321686061098</v>
      </c>
      <c r="J50" s="63"/>
      <c r="K50" s="63"/>
    </row>
    <row r="51" spans="1:11" ht="15.75">
      <c r="A51" s="28" t="str">
        <v>South Plainfield</v>
      </c>
      <c r="B51" s="29" t="str">
        <v>NJ</v>
      </c>
      <c r="C51" s="10">
        <v>1623.1</v>
      </c>
      <c r="D51" s="16">
        <v>1653.0809999999999</v>
      </c>
      <c r="E51" s="16">
        <f t="shared" si="0"/>
        <v>-29.980999999999995</v>
      </c>
      <c r="F51" s="17">
        <f t="shared" si="3"/>
        <v>-1.8136437355459289E-2</v>
      </c>
      <c r="G51" s="18">
        <v>1813.296</v>
      </c>
      <c r="H51" s="18">
        <f t="shared" si="1"/>
        <v>-190.19600000000014</v>
      </c>
      <c r="I51" s="17">
        <f t="shared" si="2"/>
        <v>-0.10488965949298963</v>
      </c>
      <c r="J51" s="58"/>
      <c r="K51" s="58"/>
    </row>
    <row r="52" spans="1:11" ht="15.75">
      <c r="A52" s="26" t="str">
        <v>Somerset</v>
      </c>
      <c r="B52" s="27" t="str">
        <v>NJ</v>
      </c>
      <c r="C52" s="22">
        <v>2620.3000000000002</v>
      </c>
      <c r="D52" s="11">
        <v>3245.0990000000002</v>
      </c>
      <c r="E52" s="11">
        <f t="shared" si="0"/>
        <v>-624.79899999999998</v>
      </c>
      <c r="F52" s="12">
        <f t="shared" si="3"/>
        <v>-0.19253619072946618</v>
      </c>
      <c r="G52" s="13">
        <v>3057.9360000000001</v>
      </c>
      <c r="H52" s="13">
        <f t="shared" si="1"/>
        <v>-437.63599999999997</v>
      </c>
      <c r="I52" s="14">
        <f t="shared" si="2"/>
        <v>-0.14311483301154765</v>
      </c>
      <c r="J52" s="63"/>
      <c r="K52" s="63"/>
    </row>
    <row r="53" spans="1:11" ht="15.75">
      <c r="A53" s="28" t="str">
        <v>Clinton Main Relo</v>
      </c>
      <c r="B53" s="29" t="str">
        <v>NJ</v>
      </c>
      <c r="C53" s="10">
        <v>3059.1757809999999</v>
      </c>
      <c r="D53" s="16">
        <v>3061.2269999999999</v>
      </c>
      <c r="E53" s="16">
        <f t="shared" si="0"/>
        <v>-2.0512189999999464</v>
      </c>
      <c r="F53" s="17">
        <f t="shared" si="3"/>
        <v>-6.7006432388057031E-4</v>
      </c>
      <c r="G53" s="18">
        <v>3516.1819999999998</v>
      </c>
      <c r="H53" s="18">
        <f t="shared" si="1"/>
        <v>-457.00621899999987</v>
      </c>
      <c r="I53" s="17">
        <f t="shared" si="2"/>
        <v>-0.12997228783948042</v>
      </c>
      <c r="J53" s="58"/>
      <c r="K53" s="58"/>
    </row>
    <row r="54" spans="1:11" ht="15.75">
      <c r="A54" s="26" t="str">
        <v>North Brunswick</v>
      </c>
      <c r="B54" s="27" t="str">
        <v>NJ</v>
      </c>
      <c r="C54" s="22">
        <v>3053.3</v>
      </c>
      <c r="D54" s="11">
        <v>2935.1129999999998</v>
      </c>
      <c r="E54" s="11">
        <f t="shared" si="0"/>
        <v>118.18700000000035</v>
      </c>
      <c r="F54" s="12">
        <f t="shared" si="3"/>
        <v>4.0266592802389672E-2</v>
      </c>
      <c r="G54" s="13">
        <v>3929.6509999999998</v>
      </c>
      <c r="H54" s="13">
        <f t="shared" si="1"/>
        <v>-876.35099999999966</v>
      </c>
      <c r="I54" s="14">
        <f t="shared" si="2"/>
        <v>-0.22300988052119633</v>
      </c>
      <c r="J54" s="63"/>
      <c r="K54" s="63"/>
    </row>
    <row r="55" spans="1:11" ht="15.75">
      <c r="A55" s="28" t="str">
        <v>Cherry Hill</v>
      </c>
      <c r="B55" s="29" t="str">
        <v>NJ</v>
      </c>
      <c r="C55" s="10">
        <v>1960.7304690000001</v>
      </c>
      <c r="D55" s="16">
        <v>1948.25</v>
      </c>
      <c r="E55" s="16">
        <f t="shared" si="0"/>
        <v>12.480469000000085</v>
      </c>
      <c r="F55" s="17">
        <f t="shared" si="3"/>
        <v>6.4059894777364736E-3</v>
      </c>
      <c r="G55" s="18">
        <v>2574.7190000000001</v>
      </c>
      <c r="H55" s="18">
        <f t="shared" si="1"/>
        <v>-613.98853099999997</v>
      </c>
      <c r="I55" s="17">
        <f t="shared" si="2"/>
        <v>-0.23846817108973831</v>
      </c>
      <c r="J55" s="58"/>
      <c r="K55" s="58"/>
    </row>
    <row r="56" spans="1:11" ht="15.75">
      <c r="A56" s="26" t="str">
        <v>Hainesport</v>
      </c>
      <c r="B56" s="27" t="str">
        <v>NJ</v>
      </c>
      <c r="C56" s="22">
        <v>2028.9</v>
      </c>
      <c r="D56" s="11">
        <v>2349.998</v>
      </c>
      <c r="E56" s="11">
        <f t="shared" si="0"/>
        <v>-321.09799999999996</v>
      </c>
      <c r="F56" s="12">
        <f t="shared" si="3"/>
        <v>-0.13663756309579836</v>
      </c>
      <c r="G56" s="13">
        <v>2603.08</v>
      </c>
      <c r="H56" s="13">
        <f t="shared" si="1"/>
        <v>-574.17999999999984</v>
      </c>
      <c r="I56" s="14">
        <f t="shared" si="2"/>
        <v>-0.22057716243834222</v>
      </c>
      <c r="J56" s="63"/>
      <c r="K56" s="63"/>
    </row>
    <row r="57" spans="1:11" ht="15.75">
      <c r="A57" s="28" t="str">
        <v>San Antonio - Ops Ctr (Bldg 106)</v>
      </c>
      <c r="B57" s="29" t="str">
        <v>TX</v>
      </c>
      <c r="C57" s="10">
        <v>43079.125</v>
      </c>
      <c r="D57" s="16">
        <v>39823.29</v>
      </c>
      <c r="E57" s="16">
        <f t="shared" si="0"/>
        <v>3255.8349999999991</v>
      </c>
      <c r="F57" s="17">
        <f t="shared" si="3"/>
        <v>8.1757057239620304E-2</v>
      </c>
      <c r="G57" s="18">
        <v>57607.63</v>
      </c>
      <c r="H57" s="18">
        <f t="shared" si="1"/>
        <v>-14528.504999999997</v>
      </c>
      <c r="I57" s="17">
        <f t="shared" si="2"/>
        <v>-0.25219758216055754</v>
      </c>
      <c r="J57" s="58"/>
      <c r="K57" s="58"/>
    </row>
    <row r="58" spans="1:11" ht="49.35" customHeight="1">
      <c r="A58" s="26" t="str">
        <v>San Antonio - Ops Ctr GM</v>
      </c>
      <c r="B58" s="27" t="str">
        <v>TX</v>
      </c>
      <c r="C58" s="22">
        <v>293021.375</v>
      </c>
      <c r="D58" s="11">
        <v>332845.59999999998</v>
      </c>
      <c r="E58" s="11">
        <f t="shared" si="0"/>
        <v>-39824.224999999977</v>
      </c>
      <c r="F58" s="12">
        <f t="shared" si="3"/>
        <v>-0.11964774357840385</v>
      </c>
      <c r="G58" s="13">
        <v>414100</v>
      </c>
      <c r="H58" s="13">
        <f t="shared" si="1"/>
        <v>-121078.625</v>
      </c>
      <c r="I58" s="14">
        <f t="shared" si="2"/>
        <v>-0.2923898212992031</v>
      </c>
      <c r="J58" s="63" t="s">
        <v>99</v>
      </c>
      <c r="K58" s="63" t="s">
        <v>100</v>
      </c>
    </row>
    <row r="59" spans="1:11" ht="15.75">
      <c r="A59" s="28" t="str">
        <v>San Antonio - Ctr (Bldg 201)</v>
      </c>
      <c r="B59" s="29" t="str">
        <v>TX</v>
      </c>
      <c r="C59" s="10">
        <v>45121.96875</v>
      </c>
      <c r="D59" s="16">
        <v>39532.5</v>
      </c>
      <c r="E59" s="16">
        <f t="shared" si="0"/>
        <v>5589.46875</v>
      </c>
      <c r="F59" s="17">
        <f t="shared" si="3"/>
        <v>0.14138920508442421</v>
      </c>
      <c r="G59" s="18">
        <v>55911.19</v>
      </c>
      <c r="H59" s="18">
        <f t="shared" si="1"/>
        <v>-10789.221250000002</v>
      </c>
      <c r="I59" s="17">
        <f t="shared" si="2"/>
        <v>-0.19297069602703862</v>
      </c>
      <c r="J59" s="58"/>
      <c r="K59" s="58"/>
    </row>
    <row r="60" spans="1:11" ht="15.75">
      <c r="A60" s="26" t="str">
        <v>San Antonio - Ops Ctr (Bldg 203)</v>
      </c>
      <c r="B60" s="27" t="str">
        <v>TX</v>
      </c>
      <c r="C60" s="22">
        <v>45701.293440000001</v>
      </c>
      <c r="D60" s="11">
        <v>44197.59</v>
      </c>
      <c r="E60" s="11">
        <f t="shared" si="0"/>
        <v>1503.7034400000048</v>
      </c>
      <c r="F60" s="12">
        <f t="shared" si="3"/>
        <v>3.4022294880784336E-2</v>
      </c>
      <c r="G60" s="13">
        <v>56492.54</v>
      </c>
      <c r="H60" s="13">
        <f t="shared" si="1"/>
        <v>-10791.24656</v>
      </c>
      <c r="I60" s="14">
        <f t="shared" si="2"/>
        <v>-0.19102073583520937</v>
      </c>
      <c r="J60" s="63"/>
      <c r="K60" s="63"/>
    </row>
    <row r="61" spans="1:11" ht="15.75">
      <c r="A61" s="28" t="str">
        <v>San Antonio - Ops Ctr (Bldg 205)</v>
      </c>
      <c r="B61" s="29" t="str">
        <v>TX</v>
      </c>
      <c r="C61" s="10">
        <v>32914.4375</v>
      </c>
      <c r="D61" s="16">
        <v>36023.379999999997</v>
      </c>
      <c r="E61" s="16">
        <f t="shared" si="0"/>
        <v>-3108.9424999999974</v>
      </c>
      <c r="F61" s="17">
        <f t="shared" si="3"/>
        <v>-8.6303464583278908E-2</v>
      </c>
      <c r="G61" s="18">
        <v>54301.05</v>
      </c>
      <c r="H61" s="18">
        <f t="shared" si="1"/>
        <v>-21386.612500000003</v>
      </c>
      <c r="I61" s="17">
        <f t="shared" si="2"/>
        <v>-0.39385265109974854</v>
      </c>
      <c r="J61" s="58" t="s">
        <v>101</v>
      </c>
      <c r="K61" s="58" t="s">
        <v>40</v>
      </c>
    </row>
    <row r="62" spans="1:11" ht="15.75">
      <c r="A62" s="26" t="str">
        <v>San Antonio - Ops Ctr (Bldg 307)</v>
      </c>
      <c r="B62" s="27" t="str">
        <v>TX</v>
      </c>
      <c r="C62" s="22">
        <v>45272.592669999998</v>
      </c>
      <c r="D62" s="11">
        <v>39178.58</v>
      </c>
      <c r="E62" s="11">
        <f t="shared" si="0"/>
        <v>6094.0126699999964</v>
      </c>
      <c r="F62" s="12">
        <f t="shared" si="3"/>
        <v>0.15554450084714649</v>
      </c>
      <c r="G62" s="13">
        <v>55047.09</v>
      </c>
      <c r="H62" s="13">
        <f t="shared" si="1"/>
        <v>-9774.4973299999983</v>
      </c>
      <c r="I62" s="14">
        <f t="shared" si="2"/>
        <v>-0.17756610440261236</v>
      </c>
      <c r="J62" s="63" t="s">
        <v>102</v>
      </c>
      <c r="K62" s="63"/>
    </row>
    <row r="63" spans="1:11" ht="15.75">
      <c r="A63" s="28" t="str">
        <v>San Antonio - Ctr (Bldg 308)</v>
      </c>
      <c r="B63" s="29" t="str">
        <v>TX</v>
      </c>
      <c r="C63" s="10">
        <v>37331.468439999997</v>
      </c>
      <c r="D63" s="16">
        <v>38282.519999999997</v>
      </c>
      <c r="E63" s="16">
        <f t="shared" si="0"/>
        <v>-951.05155999999988</v>
      </c>
      <c r="F63" s="17">
        <f t="shared" si="3"/>
        <v>-2.4842971674800925E-2</v>
      </c>
      <c r="G63" s="18">
        <v>52423.06</v>
      </c>
      <c r="H63" s="18">
        <f t="shared" si="1"/>
        <v>-15091.591560000001</v>
      </c>
      <c r="I63" s="17">
        <f t="shared" si="2"/>
        <v>-0.28788078299893216</v>
      </c>
      <c r="J63" s="58" t="s">
        <v>103</v>
      </c>
      <c r="K63" s="58" t="s">
        <v>42</v>
      </c>
    </row>
    <row r="64" spans="1:11" ht="15.75">
      <c r="A64" s="26" t="str">
        <v>San Antonio - Ops Ctr (Bldg 104)</v>
      </c>
      <c r="B64" s="27" t="str">
        <v>TX</v>
      </c>
      <c r="C64" s="22">
        <v>12444.60262</v>
      </c>
      <c r="D64" s="11">
        <v>11998.25</v>
      </c>
      <c r="E64" s="11">
        <f t="shared" si="0"/>
        <v>446.35261999999966</v>
      </c>
      <c r="F64" s="12">
        <f t="shared" si="3"/>
        <v>3.7201476882045267E-2</v>
      </c>
      <c r="G64" s="13">
        <v>16668.79</v>
      </c>
      <c r="H64" s="13">
        <f t="shared" si="1"/>
        <v>-4224.1873800000012</v>
      </c>
      <c r="I64" s="14">
        <f t="shared" si="2"/>
        <v>-0.25341895722484964</v>
      </c>
      <c r="J64" s="63"/>
      <c r="K64" s="63"/>
    </row>
    <row r="65" spans="1:11" ht="15.75">
      <c r="A65" s="28" t="str">
        <v>San Antonio - Ops Ctr (Bldg 102)</v>
      </c>
      <c r="B65" s="29" t="str">
        <v>TX</v>
      </c>
      <c r="C65" s="10">
        <v>46297.200940000002</v>
      </c>
      <c r="D65" s="16">
        <v>38314.839999999997</v>
      </c>
      <c r="E65" s="16">
        <f t="shared" si="0"/>
        <v>7982.3609400000059</v>
      </c>
      <c r="F65" s="17">
        <f t="shared" si="3"/>
        <v>0.20833601132094004</v>
      </c>
      <c r="G65" s="18">
        <v>59195.519999999997</v>
      </c>
      <c r="H65" s="18">
        <f t="shared" si="1"/>
        <v>-12898.319059999994</v>
      </c>
      <c r="I65" s="17">
        <f t="shared" si="2"/>
        <v>-0.21789350038651564</v>
      </c>
      <c r="J65" s="58"/>
      <c r="K65" s="58"/>
    </row>
    <row r="66" spans="1:11" ht="15.75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39"/>
      <c r="K66" s="39"/>
    </row>
    <row r="67" spans="1:11" ht="15.75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40"/>
      <c r="K67" s="40"/>
    </row>
    <row r="68" spans="1:11" ht="15.75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39"/>
      <c r="K68" s="39"/>
    </row>
    <row r="69" spans="1:11" ht="15.75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40"/>
      <c r="K69" s="40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3.9">
      <c r="C329" s="19"/>
      <c r="D329" s="19"/>
      <c r="E329" s="19"/>
      <c r="F329" s="20"/>
      <c r="G329" s="19"/>
      <c r="H329" s="19"/>
      <c r="I329" s="20"/>
      <c r="J329" s="19"/>
      <c r="K329" s="19"/>
    </row>
  </sheetData>
  <mergeCells count="4">
    <mergeCell ref="G1:I1"/>
    <mergeCell ref="A1:C1"/>
    <mergeCell ref="D1:F1"/>
    <mergeCell ref="A2:B2"/>
  </mergeCells>
  <conditionalFormatting sqref="F2 I2">
    <cfRule type="cellIs" dxfId="18" priority="17" stopIfTrue="1" operator="lessThanOrEqual">
      <formula>-0.1</formula>
    </cfRule>
    <cfRule type="expression" dxfId="17" priority="18">
      <formula>AND(ISNUMBER(F2), F2&gt;=0.1)</formula>
    </cfRule>
  </conditionalFormatting>
  <conditionalFormatting sqref="F4:F87 I4:I87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9"/>
  <sheetViews>
    <sheetView workbookViewId="0">
      <pane xSplit="2" ySplit="3" topLeftCell="C58" activePane="bottomRight" state="frozen"/>
      <selection pane="bottomRight" activeCell="A66" sqref="A66:K69"/>
      <selection pane="bottomLeft"/>
      <selection pane="topRight"/>
    </sheetView>
  </sheetViews>
  <sheetFormatPr defaultRowHeight="13.5"/>
  <cols>
    <col min="1" max="1" width="35.85546875" style="2" bestFit="1" customWidth="1"/>
    <col min="2" max="2" width="8.42578125" style="68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6" customWidth="1"/>
    <col min="11" max="11" width="20.5703125" style="66" bestFit="1" customWidth="1"/>
  </cols>
  <sheetData>
    <row r="1" spans="1:11" ht="19.5" customHeight="1">
      <c r="A1" s="72" t="str" cm="1">
        <f t="array" ref="A1">portfolio</f>
        <v>Wells Fargo</v>
      </c>
      <c r="B1" s="72"/>
      <c r="C1" s="72"/>
      <c r="D1" s="73" t="s">
        <v>104</v>
      </c>
      <c r="E1" s="73"/>
      <c r="F1" s="73"/>
      <c r="G1" s="71" t="s">
        <v>105</v>
      </c>
      <c r="H1" s="71"/>
      <c r="I1" s="71"/>
      <c r="J1" s="3"/>
      <c r="K1" s="3"/>
    </row>
    <row r="2" spans="1:11" ht="19.5" customHeight="1">
      <c r="A2" s="82" t="s">
        <v>2</v>
      </c>
      <c r="B2" s="82"/>
      <c r="C2" s="4">
        <f>SUM(C4:C87)</f>
        <v>1647441.7458207805</v>
      </c>
      <c r="D2" s="4">
        <f>SUM(D4:D87)</f>
        <v>1476847.6835999996</v>
      </c>
      <c r="E2" s="4">
        <f>C2-D2</f>
        <v>170594.06222078088</v>
      </c>
      <c r="F2" s="5">
        <f>IFERROR(E2/D2, 0)</f>
        <v>0.11551229291631258</v>
      </c>
      <c r="G2" s="4">
        <f>SUM(G4:G87)</f>
        <v>1783190.2568000001</v>
      </c>
      <c r="H2" s="6">
        <f>C2-G2</f>
        <v>-135748.51097921957</v>
      </c>
      <c r="I2" s="5">
        <f>IFERROR(H2/G2, 0)</f>
        <v>-7.6126767999969466E-2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1302.5</v>
      </c>
      <c r="D4" s="11">
        <v>0</v>
      </c>
      <c r="E4" s="11">
        <f>IF(AND(ISNUMBER(C4),ISNUMBER(D4)), C4-D4, "")</f>
        <v>1302.5</v>
      </c>
      <c r="F4" s="12" t="str">
        <f>IFERROR(E4/D4, "")</f>
        <v/>
      </c>
      <c r="G4" s="13">
        <v>1338</v>
      </c>
      <c r="H4" s="13">
        <f>IF(AND(ISNUMBER(C4),ISNUMBER(G4)), C4-G4, "")</f>
        <v>-35.5</v>
      </c>
      <c r="I4" s="14">
        <f>IFERROR(H4/G4, "")</f>
        <v>-2.6532137518684603E-2</v>
      </c>
      <c r="J4" s="63"/>
      <c r="K4" s="63"/>
    </row>
    <row r="5" spans="1:11" ht="15.75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1"/>
      <c r="K5" s="51"/>
    </row>
    <row r="6" spans="1:11" ht="42.75">
      <c r="A6" s="26" t="str">
        <v>San Leandro</v>
      </c>
      <c r="B6" s="27" t="str">
        <v>CA</v>
      </c>
      <c r="C6" s="22">
        <v>55493.5</v>
      </c>
      <c r="D6" s="11">
        <v>48496.34</v>
      </c>
      <c r="E6" s="11">
        <f t="shared" si="0"/>
        <v>6997.1600000000035</v>
      </c>
      <c r="F6" s="12">
        <f t="shared" ref="F6:F65" si="3">IFERROR(E6/D6, "")</f>
        <v>0.14428222830836315</v>
      </c>
      <c r="G6" s="13">
        <v>51502.16</v>
      </c>
      <c r="H6" s="13">
        <f t="shared" si="1"/>
        <v>3991.3399999999965</v>
      </c>
      <c r="I6" s="14">
        <f t="shared" si="2"/>
        <v>7.7498497150410711E-2</v>
      </c>
      <c r="J6" s="63" t="s">
        <v>106</v>
      </c>
      <c r="K6" s="63" t="s">
        <v>107</v>
      </c>
    </row>
    <row r="7" spans="1:11" ht="15.75">
      <c r="A7" s="28" t="str">
        <v>Van Nuys</v>
      </c>
      <c r="B7" s="29" t="str">
        <v>CA</v>
      </c>
      <c r="C7" s="10">
        <v>2143.49999999999</v>
      </c>
      <c r="D7" s="16">
        <v>0</v>
      </c>
      <c r="E7" s="16">
        <f t="shared" si="0"/>
        <v>2143.49999999999</v>
      </c>
      <c r="F7" s="17" t="str">
        <f t="shared" si="3"/>
        <v/>
      </c>
      <c r="G7" s="18">
        <v>2745.1379999999999</v>
      </c>
      <c r="H7" s="18">
        <f t="shared" si="1"/>
        <v>-601.63800000000992</v>
      </c>
      <c r="I7" s="17">
        <f t="shared" si="2"/>
        <v>-0.21916493815611818</v>
      </c>
      <c r="J7" s="51"/>
      <c r="K7" s="51"/>
    </row>
    <row r="8" spans="1:11" ht="15.75">
      <c r="A8" s="26" t="str">
        <v>98th &amp; Grant</v>
      </c>
      <c r="B8" s="27" t="str">
        <v>CO</v>
      </c>
      <c r="C8" s="22">
        <v>1802.6</v>
      </c>
      <c r="D8" s="11">
        <v>0</v>
      </c>
      <c r="E8" s="11">
        <f t="shared" si="0"/>
        <v>1802.6</v>
      </c>
      <c r="F8" s="12" t="str">
        <f t="shared" si="3"/>
        <v/>
      </c>
      <c r="G8" s="13">
        <v>2315</v>
      </c>
      <c r="H8" s="13">
        <f t="shared" si="1"/>
        <v>-512.40000000000009</v>
      </c>
      <c r="I8" s="14">
        <f t="shared" si="2"/>
        <v>-0.22133909287257023</v>
      </c>
      <c r="J8" s="63"/>
      <c r="K8" s="63"/>
    </row>
    <row r="9" spans="1:11" ht="15.75">
      <c r="A9" s="28" t="str">
        <v>Arapahoe Crossings</v>
      </c>
      <c r="B9" s="29" t="str">
        <v>CO</v>
      </c>
      <c r="C9" s="10">
        <v>4794.0936090579198</v>
      </c>
      <c r="D9" s="16">
        <v>0</v>
      </c>
      <c r="E9" s="16">
        <f t="shared" si="0"/>
        <v>4794.0936090579198</v>
      </c>
      <c r="F9" s="17" t="str">
        <f t="shared" si="3"/>
        <v/>
      </c>
      <c r="G9" s="18">
        <v>4259.6729999999998</v>
      </c>
      <c r="H9" s="18">
        <f t="shared" si="1"/>
        <v>534.42060905792005</v>
      </c>
      <c r="I9" s="17">
        <f t="shared" si="2"/>
        <v>0.12546047761363843</v>
      </c>
      <c r="J9" s="51"/>
      <c r="K9" s="51"/>
    </row>
    <row r="10" spans="1:11" ht="15.75">
      <c r="A10" s="26" t="str">
        <v>Aurora City Center</v>
      </c>
      <c r="B10" s="27" t="str">
        <v>CO</v>
      </c>
      <c r="C10" s="22">
        <v>2301.8000000000002</v>
      </c>
      <c r="D10" s="11">
        <v>0</v>
      </c>
      <c r="E10" s="11">
        <f t="shared" si="0"/>
        <v>2301.8000000000002</v>
      </c>
      <c r="F10" s="12" t="str">
        <f t="shared" si="3"/>
        <v/>
      </c>
      <c r="G10" s="13">
        <v>1950</v>
      </c>
      <c r="H10" s="13">
        <f t="shared" si="1"/>
        <v>351.80000000000018</v>
      </c>
      <c r="I10" s="14">
        <f t="shared" si="2"/>
        <v>0.18041025641025651</v>
      </c>
      <c r="J10" s="63"/>
      <c r="K10" s="63"/>
    </row>
    <row r="11" spans="1:11" ht="15.75">
      <c r="A11" s="28" t="str">
        <v>Dry Creek</v>
      </c>
      <c r="B11" s="29" t="str">
        <v>CO</v>
      </c>
      <c r="C11" s="10">
        <v>2299.4000000000101</v>
      </c>
      <c r="D11" s="16">
        <v>0</v>
      </c>
      <c r="E11" s="16">
        <f t="shared" si="0"/>
        <v>2299.4000000000101</v>
      </c>
      <c r="F11" s="17" t="str">
        <f t="shared" si="3"/>
        <v/>
      </c>
      <c r="G11" s="18">
        <v>2528</v>
      </c>
      <c r="H11" s="18">
        <f t="shared" si="1"/>
        <v>-228.5999999999899</v>
      </c>
      <c r="I11" s="17">
        <f t="shared" si="2"/>
        <v>-9.0427215189869431E-2</v>
      </c>
      <c r="J11" s="51"/>
      <c r="K11" s="51"/>
    </row>
    <row r="12" spans="1:11" ht="15.75">
      <c r="A12" s="26" t="str">
        <v>Highlands Ranch S.</v>
      </c>
      <c r="B12" s="27" t="str">
        <v>CO</v>
      </c>
      <c r="C12" s="22">
        <v>2328.4</v>
      </c>
      <c r="D12" s="11">
        <v>0</v>
      </c>
      <c r="E12" s="11">
        <f t="shared" si="0"/>
        <v>2328.4</v>
      </c>
      <c r="F12" s="12" t="str">
        <f t="shared" si="3"/>
        <v/>
      </c>
      <c r="G12" s="13">
        <v>2420</v>
      </c>
      <c r="H12" s="13">
        <f t="shared" si="1"/>
        <v>-91.599999999999909</v>
      </c>
      <c r="I12" s="14">
        <f t="shared" si="2"/>
        <v>-3.7851239669421451E-2</v>
      </c>
      <c r="J12" s="63"/>
      <c r="K12" s="63"/>
    </row>
    <row r="13" spans="1:11" ht="15.75">
      <c r="A13" s="28" t="str">
        <v>Lone Tree</v>
      </c>
      <c r="B13" s="29" t="str">
        <v>CO</v>
      </c>
      <c r="C13" s="10">
        <v>4014.2999999999702</v>
      </c>
      <c r="D13" s="16">
        <v>0</v>
      </c>
      <c r="E13" s="16">
        <f t="shared" si="0"/>
        <v>4014.2999999999702</v>
      </c>
      <c r="F13" s="17" t="str">
        <f t="shared" si="3"/>
        <v/>
      </c>
      <c r="G13" s="18">
        <v>5490</v>
      </c>
      <c r="H13" s="18">
        <f t="shared" si="1"/>
        <v>-1475.7000000000298</v>
      </c>
      <c r="I13" s="17">
        <f t="shared" si="2"/>
        <v>-0.26879781420765569</v>
      </c>
      <c r="J13" s="51"/>
      <c r="K13" s="51"/>
    </row>
    <row r="14" spans="1:11" ht="15.75">
      <c r="A14" s="26" t="str">
        <v>Meridian</v>
      </c>
      <c r="B14" s="27" t="str">
        <v>CO</v>
      </c>
      <c r="C14" s="22">
        <v>3774.1000000000099</v>
      </c>
      <c r="D14" s="11">
        <v>0</v>
      </c>
      <c r="E14" s="11">
        <f t="shared" si="0"/>
        <v>3774.1000000000099</v>
      </c>
      <c r="F14" s="12" t="str">
        <f t="shared" si="3"/>
        <v/>
      </c>
      <c r="G14" s="13">
        <v>3132</v>
      </c>
      <c r="H14" s="13">
        <f t="shared" si="1"/>
        <v>642.10000000000991</v>
      </c>
      <c r="I14" s="14">
        <f t="shared" si="2"/>
        <v>0.2050127713920849</v>
      </c>
      <c r="J14" s="63"/>
      <c r="K14" s="63"/>
    </row>
    <row r="15" spans="1:11" ht="15.75">
      <c r="A15" s="28" t="str">
        <v>Southglenn</v>
      </c>
      <c r="B15" s="29" t="str">
        <v>CO</v>
      </c>
      <c r="C15" s="10">
        <v>3726.1</v>
      </c>
      <c r="D15" s="16">
        <v>0</v>
      </c>
      <c r="E15" s="16">
        <f t="shared" si="0"/>
        <v>3726.1</v>
      </c>
      <c r="F15" s="17" t="str">
        <f t="shared" si="3"/>
        <v/>
      </c>
      <c r="G15" s="18">
        <v>3205.5</v>
      </c>
      <c r="H15" s="18">
        <f t="shared" si="1"/>
        <v>520.59999999999991</v>
      </c>
      <c r="I15" s="17">
        <f t="shared" si="2"/>
        <v>0.16240836063016686</v>
      </c>
      <c r="J15" s="51"/>
      <c r="K15" s="51"/>
    </row>
    <row r="16" spans="1:11" ht="15.75">
      <c r="A16" s="26" t="str">
        <v>Standley Lake</v>
      </c>
      <c r="B16" s="27" t="str">
        <v>CO</v>
      </c>
      <c r="C16" s="22">
        <v>4128</v>
      </c>
      <c r="D16" s="11">
        <v>0</v>
      </c>
      <c r="E16" s="11">
        <f t="shared" si="0"/>
        <v>4128</v>
      </c>
      <c r="F16" s="12" t="str">
        <f t="shared" si="3"/>
        <v/>
      </c>
      <c r="G16" s="13">
        <v>4331</v>
      </c>
      <c r="H16" s="13">
        <f t="shared" si="1"/>
        <v>-203</v>
      </c>
      <c r="I16" s="14">
        <f t="shared" si="2"/>
        <v>-4.6871392288155157E-2</v>
      </c>
      <c r="J16" s="63"/>
      <c r="K16" s="63"/>
    </row>
    <row r="17" spans="1:11" ht="15.75">
      <c r="A17" s="28" t="str">
        <v>Havana Gardens</v>
      </c>
      <c r="B17" s="29" t="str">
        <v>CO</v>
      </c>
      <c r="C17" s="10">
        <v>4434.2</v>
      </c>
      <c r="D17" s="16">
        <v>0</v>
      </c>
      <c r="E17" s="16">
        <f t="shared" si="0"/>
        <v>4434.2</v>
      </c>
      <c r="F17" s="17" t="str">
        <f t="shared" si="3"/>
        <v/>
      </c>
      <c r="G17" s="18">
        <v>1684</v>
      </c>
      <c r="H17" s="18">
        <f t="shared" si="1"/>
        <v>2750.2</v>
      </c>
      <c r="I17" s="17">
        <f t="shared" si="2"/>
        <v>1.6331353919239904</v>
      </c>
      <c r="J17" s="51"/>
      <c r="K17" s="51"/>
    </row>
    <row r="18" spans="1:11" ht="12.75" customHeight="1">
      <c r="A18" s="26" t="str">
        <v>East Hartford</v>
      </c>
      <c r="B18" s="27" t="str">
        <v>CT</v>
      </c>
      <c r="C18" s="22">
        <v>951.1</v>
      </c>
      <c r="D18" s="11">
        <v>773.50459999999998</v>
      </c>
      <c r="E18" s="11">
        <f t="shared" si="0"/>
        <v>177.59540000000004</v>
      </c>
      <c r="F18" s="12">
        <f t="shared" si="3"/>
        <v>0.22959837601482919</v>
      </c>
      <c r="G18" s="13">
        <v>896.40279999999996</v>
      </c>
      <c r="H18" s="13">
        <f t="shared" si="1"/>
        <v>54.697200000000066</v>
      </c>
      <c r="I18" s="14">
        <f t="shared" si="2"/>
        <v>6.10185510353159E-2</v>
      </c>
      <c r="J18" s="63"/>
      <c r="K18" s="63"/>
    </row>
    <row r="19" spans="1:11" ht="28.5">
      <c r="A19" s="28" t="str">
        <v>Norwalk</v>
      </c>
      <c r="B19" s="29" t="str">
        <v>CT</v>
      </c>
      <c r="C19" s="10">
        <v>908.61009656986596</v>
      </c>
      <c r="D19" s="16">
        <v>1108.7470000000001</v>
      </c>
      <c r="E19" s="16">
        <f t="shared" si="0"/>
        <v>-200.13690343013411</v>
      </c>
      <c r="F19" s="17">
        <f t="shared" si="3"/>
        <v>-0.18050727842342221</v>
      </c>
      <c r="G19" s="18">
        <v>1048.1020000000001</v>
      </c>
      <c r="H19" s="18">
        <f t="shared" si="1"/>
        <v>-139.49190343013413</v>
      </c>
      <c r="I19" s="17">
        <f t="shared" si="2"/>
        <v>-0.13309000787149927</v>
      </c>
      <c r="J19" s="51" t="s">
        <v>94</v>
      </c>
      <c r="K19" s="51" t="s">
        <v>95</v>
      </c>
    </row>
    <row r="20" spans="1:11" ht="15.75">
      <c r="A20" s="26" t="str">
        <v>Hialeah Gardens</v>
      </c>
      <c r="B20" s="27" t="str">
        <v>FL</v>
      </c>
      <c r="C20" s="22">
        <v>734.20107609033596</v>
      </c>
      <c r="D20" s="11">
        <v>3579.21</v>
      </c>
      <c r="E20" s="11">
        <f t="shared" si="0"/>
        <v>-2845.0089239096642</v>
      </c>
      <c r="F20" s="12">
        <f t="shared" si="3"/>
        <v>-0.79487063455613505</v>
      </c>
      <c r="G20" s="13">
        <v>5101</v>
      </c>
      <c r="H20" s="13">
        <f t="shared" si="1"/>
        <v>-4366.7989239096642</v>
      </c>
      <c r="I20" s="14">
        <f t="shared" si="2"/>
        <v>-0.85606722680056146</v>
      </c>
      <c r="J20" s="63" t="s">
        <v>96</v>
      </c>
      <c r="K20" s="63" t="s">
        <v>51</v>
      </c>
    </row>
    <row r="21" spans="1:11" ht="15.75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1"/>
      <c r="K21" s="51"/>
    </row>
    <row r="22" spans="1:11" ht="15.75">
      <c r="A22" s="26" t="str">
        <v>W. Des Moines Campus EAST</v>
      </c>
      <c r="B22" s="27" t="str">
        <v>IA</v>
      </c>
      <c r="C22" s="22">
        <v>194184.5</v>
      </c>
      <c r="D22" s="11">
        <v>182837.9</v>
      </c>
      <c r="E22" s="11">
        <f t="shared" si="0"/>
        <v>11346.600000000006</v>
      </c>
      <c r="F22" s="12">
        <f t="shared" si="3"/>
        <v>6.2058249411090401E-2</v>
      </c>
      <c r="G22" s="13">
        <v>203700</v>
      </c>
      <c r="H22" s="13">
        <f t="shared" si="1"/>
        <v>-9515.5</v>
      </c>
      <c r="I22" s="14">
        <f t="shared" si="2"/>
        <v>-4.671330387825233E-2</v>
      </c>
      <c r="J22" s="63"/>
      <c r="K22" s="63"/>
    </row>
    <row r="23" spans="1:11" ht="15.75">
      <c r="A23" s="28" t="str">
        <v>W. Des Moines Campus SW</v>
      </c>
      <c r="B23" s="29" t="str">
        <v>IA</v>
      </c>
      <c r="C23" s="10">
        <v>92267.582500000004</v>
      </c>
      <c r="D23" s="16">
        <v>88720.85</v>
      </c>
      <c r="E23" s="16">
        <f t="shared" si="0"/>
        <v>3546.7324999999983</v>
      </c>
      <c r="F23" s="17">
        <f t="shared" si="3"/>
        <v>3.9976313346862635E-2</v>
      </c>
      <c r="G23" s="18">
        <v>100620.1</v>
      </c>
      <c r="H23" s="18">
        <f t="shared" si="1"/>
        <v>-8352.5175000000017</v>
      </c>
      <c r="I23" s="17">
        <f t="shared" si="2"/>
        <v>-8.301042734006428E-2</v>
      </c>
      <c r="J23" s="51"/>
      <c r="K23" s="51"/>
    </row>
    <row r="24" spans="1:11" ht="15.75">
      <c r="A24" s="26" t="str">
        <v>WF - CIC</v>
      </c>
      <c r="B24" s="27" t="str">
        <v>NC</v>
      </c>
      <c r="C24" s="22">
        <v>197870</v>
      </c>
      <c r="D24" s="11">
        <v>143619.364</v>
      </c>
      <c r="E24" s="11">
        <f t="shared" si="0"/>
        <v>54250.635999999999</v>
      </c>
      <c r="F24" s="12">
        <f t="shared" si="3"/>
        <v>0.37773900739457389</v>
      </c>
      <c r="G24" s="13">
        <v>209637</v>
      </c>
      <c r="H24" s="13">
        <f t="shared" si="1"/>
        <v>-11767</v>
      </c>
      <c r="I24" s="14">
        <f t="shared" si="2"/>
        <v>-5.6130358667601618E-2</v>
      </c>
      <c r="J24" s="63"/>
      <c r="K24" s="63"/>
    </row>
    <row r="25" spans="1:11" ht="42.75">
      <c r="A25" s="28" t="str">
        <v>Charlotte - Wells Fargo - DUC</v>
      </c>
      <c r="B25" s="29" t="str">
        <v>NC</v>
      </c>
      <c r="C25" s="10">
        <v>197870</v>
      </c>
      <c r="D25" s="16">
        <v>143619.4</v>
      </c>
      <c r="E25" s="16">
        <f t="shared" si="0"/>
        <v>54250.600000000006</v>
      </c>
      <c r="F25" s="17">
        <f t="shared" si="3"/>
        <v>0.37773866204704942</v>
      </c>
      <c r="G25" s="18">
        <v>212196</v>
      </c>
      <c r="H25" s="18">
        <f t="shared" si="1"/>
        <v>-14326</v>
      </c>
      <c r="I25" s="17">
        <f t="shared" si="2"/>
        <v>-6.7513053968972087E-2</v>
      </c>
      <c r="J25" s="51" t="s">
        <v>108</v>
      </c>
      <c r="K25" s="51" t="s">
        <v>109</v>
      </c>
    </row>
    <row r="26" spans="1:11" ht="15.75">
      <c r="A26" s="26" t="str">
        <v>East Windsor</v>
      </c>
      <c r="B26" s="27" t="str">
        <v>NJ</v>
      </c>
      <c r="C26" s="22">
        <v>1294.2</v>
      </c>
      <c r="D26" s="11">
        <v>1231.6010000000001</v>
      </c>
      <c r="E26" s="11">
        <f t="shared" si="0"/>
        <v>62.598999999999933</v>
      </c>
      <c r="F26" s="12">
        <f t="shared" si="3"/>
        <v>5.0827337749806897E-2</v>
      </c>
      <c r="G26" s="13">
        <v>1076.519</v>
      </c>
      <c r="H26" s="13">
        <f t="shared" si="1"/>
        <v>217.68100000000004</v>
      </c>
      <c r="I26" s="14">
        <f t="shared" si="2"/>
        <v>0.20220822855890147</v>
      </c>
      <c r="J26" s="63"/>
      <c r="K26" s="63"/>
    </row>
    <row r="27" spans="1:11" ht="15.75">
      <c r="A27" s="28" t="str">
        <v>Burlington</v>
      </c>
      <c r="B27" s="29" t="str">
        <v>NJ</v>
      </c>
      <c r="C27" s="10">
        <v>3286.8999999999901</v>
      </c>
      <c r="D27" s="16">
        <v>3285.2840000000001</v>
      </c>
      <c r="E27" s="16">
        <f t="shared" si="0"/>
        <v>1.615999999989981</v>
      </c>
      <c r="F27" s="17">
        <f t="shared" si="3"/>
        <v>4.9189050322285101E-4</v>
      </c>
      <c r="G27" s="18">
        <v>2804.51</v>
      </c>
      <c r="H27" s="18">
        <f t="shared" si="1"/>
        <v>482.38999999998987</v>
      </c>
      <c r="I27" s="17">
        <f t="shared" si="2"/>
        <v>0.17200509179856369</v>
      </c>
      <c r="J27" s="51"/>
      <c r="K27" s="51"/>
    </row>
    <row r="28" spans="1:11" ht="15.75">
      <c r="A28" s="26" t="str">
        <v>Bayonne</v>
      </c>
      <c r="B28" s="27" t="str">
        <v>NJ</v>
      </c>
      <c r="C28" s="22">
        <v>4088.4000000000101</v>
      </c>
      <c r="D28" s="11">
        <v>3857.13</v>
      </c>
      <c r="E28" s="11">
        <f t="shared" si="0"/>
        <v>231.27000000000999</v>
      </c>
      <c r="F28" s="12">
        <f t="shared" si="3"/>
        <v>5.9959088752520651E-2</v>
      </c>
      <c r="G28" s="13">
        <v>3847.4059999999999</v>
      </c>
      <c r="H28" s="13">
        <f t="shared" si="1"/>
        <v>240.99400000001015</v>
      </c>
      <c r="I28" s="14">
        <f t="shared" si="2"/>
        <v>6.2638047557239909E-2</v>
      </c>
      <c r="J28" s="63"/>
      <c r="K28" s="63"/>
    </row>
    <row r="29" spans="1:11" ht="15.75">
      <c r="A29" s="28" t="str">
        <v>Clifton</v>
      </c>
      <c r="B29" s="29" t="str">
        <v>NJ</v>
      </c>
      <c r="C29" s="10">
        <v>4932.4070703124999</v>
      </c>
      <c r="D29" s="16">
        <v>5090.9309999999996</v>
      </c>
      <c r="E29" s="16">
        <f t="shared" si="0"/>
        <v>-158.52392968749973</v>
      </c>
      <c r="F29" s="17">
        <f t="shared" si="3"/>
        <v>-3.1138495039021299E-2</v>
      </c>
      <c r="G29" s="18">
        <v>4897.527</v>
      </c>
      <c r="H29" s="18">
        <f t="shared" si="1"/>
        <v>34.880070312499811</v>
      </c>
      <c r="I29" s="17">
        <f t="shared" si="2"/>
        <v>7.1219761141694191E-3</v>
      </c>
      <c r="J29" s="51"/>
      <c r="K29" s="51"/>
    </row>
    <row r="30" spans="1:11" ht="15.75">
      <c r="A30" s="26" t="str">
        <v>North Elizabeth</v>
      </c>
      <c r="B30" s="27" t="str">
        <v>NJ</v>
      </c>
      <c r="C30" s="22">
        <v>4334.1000000000004</v>
      </c>
      <c r="D30" s="11">
        <v>4034.5830000000001</v>
      </c>
      <c r="E30" s="11">
        <f t="shared" si="0"/>
        <v>299.51700000000028</v>
      </c>
      <c r="F30" s="12">
        <f t="shared" si="3"/>
        <v>7.4237411896099365E-2</v>
      </c>
      <c r="G30" s="13">
        <v>3606.8330000000001</v>
      </c>
      <c r="H30" s="13">
        <f t="shared" si="1"/>
        <v>727.26700000000028</v>
      </c>
      <c r="I30" s="14">
        <f t="shared" si="2"/>
        <v>0.20163589498044412</v>
      </c>
      <c r="J30" s="63"/>
      <c r="K30" s="63"/>
    </row>
    <row r="31" spans="1:11" ht="15.75">
      <c r="A31" s="28" t="str">
        <v>Haddon Westmont Plaza</v>
      </c>
      <c r="B31" s="29" t="str">
        <v>NJ</v>
      </c>
      <c r="C31" s="10">
        <v>3187.2</v>
      </c>
      <c r="D31" s="16">
        <v>3169.6680000000001</v>
      </c>
      <c r="E31" s="16">
        <f t="shared" si="0"/>
        <v>17.531999999999698</v>
      </c>
      <c r="F31" s="17">
        <f t="shared" si="3"/>
        <v>5.5311786597207332E-3</v>
      </c>
      <c r="G31" s="18">
        <v>2654.4749999999999</v>
      </c>
      <c r="H31" s="18">
        <f t="shared" si="1"/>
        <v>532.72499999999991</v>
      </c>
      <c r="I31" s="17">
        <f t="shared" si="2"/>
        <v>0.20068940185912465</v>
      </c>
      <c r="J31" s="51"/>
      <c r="K31" s="51"/>
    </row>
    <row r="32" spans="1:11" ht="15.75">
      <c r="A32" s="26" t="str">
        <v>Parsippany</v>
      </c>
      <c r="B32" s="27" t="str">
        <v>NJ</v>
      </c>
      <c r="C32" s="22">
        <v>3725.6</v>
      </c>
      <c r="D32" s="11">
        <v>3610.2570000000001</v>
      </c>
      <c r="E32" s="11">
        <f t="shared" si="0"/>
        <v>115.34299999999985</v>
      </c>
      <c r="F32" s="12">
        <f t="shared" si="3"/>
        <v>3.1948695065198915E-2</v>
      </c>
      <c r="G32" s="13">
        <v>2929.7550000000001</v>
      </c>
      <c r="H32" s="13">
        <f t="shared" si="1"/>
        <v>795.8449999999998</v>
      </c>
      <c r="I32" s="14">
        <f t="shared" si="2"/>
        <v>0.27164216803111513</v>
      </c>
      <c r="J32" s="63"/>
      <c r="K32" s="63"/>
    </row>
    <row r="33" spans="1:11" ht="15.75">
      <c r="A33" s="28" t="str">
        <v>Clark</v>
      </c>
      <c r="B33" s="29" t="str">
        <v>NJ</v>
      </c>
      <c r="C33" s="10">
        <v>3139.00000000001</v>
      </c>
      <c r="D33" s="16">
        <v>3101.7240000000002</v>
      </c>
      <c r="E33" s="16">
        <f t="shared" si="0"/>
        <v>37.276000000009844</v>
      </c>
      <c r="F33" s="17">
        <f t="shared" si="3"/>
        <v>1.2017832663386505E-2</v>
      </c>
      <c r="G33" s="18">
        <v>2505.6010000000001</v>
      </c>
      <c r="H33" s="18">
        <f t="shared" si="1"/>
        <v>633.39900000000989</v>
      </c>
      <c r="I33" s="17">
        <f t="shared" si="2"/>
        <v>0.25279324202058101</v>
      </c>
      <c r="J33" s="51"/>
      <c r="K33" s="51"/>
    </row>
    <row r="34" spans="1:11" ht="15.75">
      <c r="A34" s="26" t="str">
        <v>Closter</v>
      </c>
      <c r="B34" s="27" t="str">
        <v>NJ</v>
      </c>
      <c r="C34" s="22">
        <v>1760.8</v>
      </c>
      <c r="D34" s="11">
        <v>1378.2449999999999</v>
      </c>
      <c r="E34" s="11">
        <f t="shared" si="0"/>
        <v>382.55500000000006</v>
      </c>
      <c r="F34" s="12">
        <f t="shared" si="3"/>
        <v>0.27756676062673913</v>
      </c>
      <c r="G34" s="13">
        <v>1551.144</v>
      </c>
      <c r="H34" s="13">
        <f t="shared" si="1"/>
        <v>209.65599999999995</v>
      </c>
      <c r="I34" s="14">
        <f t="shared" si="2"/>
        <v>0.13516217707704761</v>
      </c>
      <c r="J34" s="63"/>
      <c r="K34" s="63"/>
    </row>
    <row r="35" spans="1:11" ht="15.75">
      <c r="A35" s="28" t="str">
        <v>Holmdel</v>
      </c>
      <c r="B35" s="29" t="str">
        <v>NJ</v>
      </c>
      <c r="C35" s="10">
        <v>2733.1</v>
      </c>
      <c r="D35" s="16">
        <v>2546.924</v>
      </c>
      <c r="E35" s="16">
        <f t="shared" si="0"/>
        <v>186.17599999999993</v>
      </c>
      <c r="F35" s="17">
        <f t="shared" si="3"/>
        <v>7.3098372782226695E-2</v>
      </c>
      <c r="G35" s="18">
        <v>2188.4459999999999</v>
      </c>
      <c r="H35" s="18">
        <f t="shared" si="1"/>
        <v>544.654</v>
      </c>
      <c r="I35" s="17">
        <f t="shared" si="2"/>
        <v>0.24887705705326976</v>
      </c>
      <c r="J35" s="51"/>
      <c r="K35" s="51"/>
    </row>
    <row r="36" spans="1:11" ht="15.75">
      <c r="A36" s="26" t="str">
        <v>Ellisburg Circle Center</v>
      </c>
      <c r="B36" s="27" t="str">
        <v>NJ</v>
      </c>
      <c r="C36" s="22">
        <v>1398.9</v>
      </c>
      <c r="D36" s="11">
        <v>1433.8910000000001</v>
      </c>
      <c r="E36" s="11">
        <f t="shared" si="0"/>
        <v>-34.990999999999985</v>
      </c>
      <c r="F36" s="12">
        <f t="shared" si="3"/>
        <v>-2.4402831177544167E-2</v>
      </c>
      <c r="G36" s="13">
        <v>1220.777</v>
      </c>
      <c r="H36" s="13">
        <f t="shared" si="1"/>
        <v>178.12300000000005</v>
      </c>
      <c r="I36" s="14">
        <f t="shared" si="2"/>
        <v>0.14590953138861565</v>
      </c>
      <c r="J36" s="63"/>
      <c r="K36" s="63"/>
    </row>
    <row r="37" spans="1:11" ht="15.75">
      <c r="A37" s="28" t="str">
        <v>Nutley</v>
      </c>
      <c r="B37" s="29" t="str">
        <v>NJ</v>
      </c>
      <c r="C37" s="10">
        <v>4337.6000000000104</v>
      </c>
      <c r="D37" s="16">
        <v>4256.4889999999996</v>
      </c>
      <c r="E37" s="16">
        <f t="shared" si="0"/>
        <v>81.11100000001079</v>
      </c>
      <c r="F37" s="17">
        <f t="shared" si="3"/>
        <v>1.9055846262027411E-2</v>
      </c>
      <c r="G37" s="18">
        <v>4351.1210000000001</v>
      </c>
      <c r="H37" s="18">
        <f t="shared" si="1"/>
        <v>-13.520999999989726</v>
      </c>
      <c r="I37" s="17">
        <f t="shared" si="2"/>
        <v>-3.1074750621712718E-3</v>
      </c>
      <c r="J37" s="51"/>
      <c r="K37" s="51"/>
    </row>
    <row r="38" spans="1:11" ht="15.75">
      <c r="A38" s="26" t="str">
        <v>Marlton</v>
      </c>
      <c r="B38" s="27" t="str">
        <v>NJ</v>
      </c>
      <c r="C38" s="22">
        <v>4968.1000000000104</v>
      </c>
      <c r="D38" s="11">
        <v>4743.0540000000001</v>
      </c>
      <c r="E38" s="11">
        <f t="shared" si="0"/>
        <v>225.04600000001028</v>
      </c>
      <c r="F38" s="12">
        <f t="shared" si="3"/>
        <v>4.7447488474727524E-2</v>
      </c>
      <c r="G38" s="13">
        <v>4288.9610000000002</v>
      </c>
      <c r="H38" s="13">
        <f t="shared" si="1"/>
        <v>679.13900000001013</v>
      </c>
      <c r="I38" s="14">
        <f t="shared" si="2"/>
        <v>0.15834580915984317</v>
      </c>
      <c r="J38" s="63"/>
      <c r="K38" s="63"/>
    </row>
    <row r="39" spans="1:11" ht="15.75">
      <c r="A39" s="28" t="str">
        <v>Middletown</v>
      </c>
      <c r="B39" s="29" t="str">
        <v>NJ</v>
      </c>
      <c r="C39" s="10">
        <v>3857.2</v>
      </c>
      <c r="D39" s="16">
        <v>3735.6959999999999</v>
      </c>
      <c r="E39" s="16">
        <f t="shared" si="0"/>
        <v>121.50399999999991</v>
      </c>
      <c r="F39" s="17">
        <f t="shared" si="3"/>
        <v>3.2525130524539446E-2</v>
      </c>
      <c r="G39" s="18">
        <v>3432.1570000000002</v>
      </c>
      <c r="H39" s="18">
        <f t="shared" si="1"/>
        <v>425.04299999999967</v>
      </c>
      <c r="I39" s="17">
        <f t="shared" si="2"/>
        <v>0.12384136273486314</v>
      </c>
      <c r="J39" s="51"/>
      <c r="K39" s="51"/>
    </row>
    <row r="40" spans="1:11" ht="15.75">
      <c r="A40" s="26" t="str">
        <v>Whiting Crestwood</v>
      </c>
      <c r="B40" s="27" t="str">
        <v>NJ</v>
      </c>
      <c r="C40" s="22">
        <v>4889.1999999999798</v>
      </c>
      <c r="D40" s="11">
        <v>4682.134</v>
      </c>
      <c r="E40" s="11">
        <f t="shared" si="0"/>
        <v>207.06599999997979</v>
      </c>
      <c r="F40" s="12">
        <f t="shared" si="3"/>
        <v>4.4224706084870655E-2</v>
      </c>
      <c r="G40" s="13">
        <v>4595.9650000000001</v>
      </c>
      <c r="H40" s="13">
        <f t="shared" si="1"/>
        <v>293.23499999997966</v>
      </c>
      <c r="I40" s="14">
        <f t="shared" si="2"/>
        <v>6.3802705199012544E-2</v>
      </c>
      <c r="J40" s="63"/>
      <c r="K40" s="63"/>
    </row>
    <row r="41" spans="1:11" ht="15.75">
      <c r="A41" s="28" t="str">
        <v>Barnegat</v>
      </c>
      <c r="B41" s="29" t="str">
        <v>NJ</v>
      </c>
      <c r="C41" s="10">
        <v>7614.8125</v>
      </c>
      <c r="D41" s="16">
        <v>6775.4129999999996</v>
      </c>
      <c r="E41" s="16">
        <f t="shared" si="0"/>
        <v>839.39950000000044</v>
      </c>
      <c r="F41" s="17">
        <f t="shared" si="3"/>
        <v>0.12388905296252797</v>
      </c>
      <c r="G41" s="18">
        <v>6492.9960000000001</v>
      </c>
      <c r="H41" s="18">
        <f t="shared" si="1"/>
        <v>1121.8164999999999</v>
      </c>
      <c r="I41" s="17">
        <f t="shared" si="2"/>
        <v>0.17277332374761972</v>
      </c>
      <c r="J41" s="51"/>
      <c r="K41" s="51"/>
    </row>
    <row r="42" spans="1:11" ht="15.75">
      <c r="A42" s="26" t="str">
        <v>Manchester</v>
      </c>
      <c r="B42" s="27" t="str">
        <v>NJ</v>
      </c>
      <c r="C42" s="22">
        <v>3599.3999999999901</v>
      </c>
      <c r="D42" s="11">
        <v>3201.31</v>
      </c>
      <c r="E42" s="11">
        <f t="shared" si="0"/>
        <v>398.08999999999014</v>
      </c>
      <c r="F42" s="12">
        <f t="shared" si="3"/>
        <v>0.12435221831062601</v>
      </c>
      <c r="G42" s="13">
        <v>3846.748</v>
      </c>
      <c r="H42" s="13">
        <f t="shared" si="1"/>
        <v>-247.34800000000996</v>
      </c>
      <c r="I42" s="14">
        <f t="shared" si="2"/>
        <v>-6.4300546851524962E-2</v>
      </c>
      <c r="J42" s="63"/>
      <c r="K42" s="63"/>
    </row>
    <row r="43" spans="1:11" ht="15.75">
      <c r="A43" s="28" t="str">
        <v>West Deptford - Woodbury</v>
      </c>
      <c r="B43" s="29" t="str">
        <v>NJ</v>
      </c>
      <c r="C43" s="10">
        <v>4323.6000000000104</v>
      </c>
      <c r="D43" s="16">
        <v>4638.1970000000001</v>
      </c>
      <c r="E43" s="16">
        <f t="shared" si="0"/>
        <v>-314.59699999998975</v>
      </c>
      <c r="F43" s="17">
        <f t="shared" si="3"/>
        <v>-6.7827433806711912E-2</v>
      </c>
      <c r="G43" s="18">
        <v>3641.5030000000002</v>
      </c>
      <c r="H43" s="18">
        <f t="shared" si="1"/>
        <v>682.09700000001021</v>
      </c>
      <c r="I43" s="17">
        <f t="shared" si="2"/>
        <v>0.18731194234908227</v>
      </c>
      <c r="J43" s="51"/>
      <c r="K43" s="51"/>
    </row>
    <row r="44" spans="1:11" ht="15.75">
      <c r="A44" s="26" t="str">
        <v>Edison</v>
      </c>
      <c r="B44" s="27" t="str">
        <v>NJ</v>
      </c>
      <c r="C44" s="22">
        <v>3855.2</v>
      </c>
      <c r="D44" s="11">
        <v>3981.41</v>
      </c>
      <c r="E44" s="11">
        <f t="shared" si="0"/>
        <v>-126.21000000000004</v>
      </c>
      <c r="F44" s="12">
        <f t="shared" si="3"/>
        <v>-3.1699824936391889E-2</v>
      </c>
      <c r="G44" s="13">
        <v>3168.94</v>
      </c>
      <c r="H44" s="13">
        <f t="shared" si="1"/>
        <v>686.25999999999976</v>
      </c>
      <c r="I44" s="14">
        <f t="shared" si="2"/>
        <v>0.21655821820545665</v>
      </c>
      <c r="J44" s="63"/>
      <c r="K44" s="63"/>
    </row>
    <row r="45" spans="1:11" ht="15.75">
      <c r="A45" s="28" t="str">
        <v>Flemington</v>
      </c>
      <c r="B45" s="29" t="str">
        <v>NJ</v>
      </c>
      <c r="C45" s="10">
        <v>3795.7000000000098</v>
      </c>
      <c r="D45" s="16">
        <v>4159.7939999999999</v>
      </c>
      <c r="E45" s="16">
        <f t="shared" si="0"/>
        <v>-364.09399999999005</v>
      </c>
      <c r="F45" s="17">
        <f t="shared" si="3"/>
        <v>-8.7526930420109755E-2</v>
      </c>
      <c r="G45" s="18">
        <v>3308.5120000000002</v>
      </c>
      <c r="H45" s="18">
        <f t="shared" si="1"/>
        <v>487.18800000000965</v>
      </c>
      <c r="I45" s="17">
        <f t="shared" si="2"/>
        <v>0.14725290402453114</v>
      </c>
      <c r="J45" s="51"/>
      <c r="K45" s="51"/>
    </row>
    <row r="46" spans="1:11" ht="15.75">
      <c r="A46" s="26" t="str">
        <v>Route 22</v>
      </c>
      <c r="B46" s="27" t="str">
        <v>NJ</v>
      </c>
      <c r="C46" s="22">
        <v>3628.9</v>
      </c>
      <c r="D46" s="11">
        <v>4007.8150000000001</v>
      </c>
      <c r="E46" s="11">
        <f t="shared" si="0"/>
        <v>-378.91499999999996</v>
      </c>
      <c r="F46" s="12">
        <f t="shared" si="3"/>
        <v>-9.454403459241506E-2</v>
      </c>
      <c r="G46" s="13">
        <v>2937.0250000000001</v>
      </c>
      <c r="H46" s="13">
        <f t="shared" si="1"/>
        <v>691.875</v>
      </c>
      <c r="I46" s="14">
        <f t="shared" si="2"/>
        <v>0.23557000706497219</v>
      </c>
      <c r="J46" s="63"/>
      <c r="K46" s="63"/>
    </row>
    <row r="47" spans="1:11" ht="28.5">
      <c r="A47" s="28" t="str">
        <v>Laurelton</v>
      </c>
      <c r="B47" s="29" t="str">
        <v>NJ</v>
      </c>
      <c r="C47" s="10">
        <v>2283.8999999999901</v>
      </c>
      <c r="D47" s="16">
        <v>3274.799</v>
      </c>
      <c r="E47" s="16">
        <f t="shared" si="0"/>
        <v>-990.89900000000989</v>
      </c>
      <c r="F47" s="17">
        <f t="shared" si="3"/>
        <v>-0.30258315090483717</v>
      </c>
      <c r="G47" s="18">
        <v>2916.6709999999998</v>
      </c>
      <c r="H47" s="18">
        <f t="shared" si="1"/>
        <v>-632.77100000000974</v>
      </c>
      <c r="I47" s="17">
        <f t="shared" si="2"/>
        <v>-0.21694973481754021</v>
      </c>
      <c r="J47" s="51" t="s">
        <v>98</v>
      </c>
      <c r="K47" s="51" t="s">
        <v>81</v>
      </c>
    </row>
    <row r="48" spans="1:11" ht="15.75">
      <c r="A48" s="26" t="str">
        <v>Mahwah</v>
      </c>
      <c r="B48" s="27" t="str">
        <v>NJ</v>
      </c>
      <c r="C48" s="22">
        <v>3024.6</v>
      </c>
      <c r="D48" s="11">
        <v>2587.5709999999999</v>
      </c>
      <c r="E48" s="11">
        <f t="shared" si="0"/>
        <v>437.029</v>
      </c>
      <c r="F48" s="12">
        <f t="shared" si="3"/>
        <v>0.16889546219214854</v>
      </c>
      <c r="G48" s="13">
        <v>2702.886</v>
      </c>
      <c r="H48" s="13">
        <f t="shared" si="1"/>
        <v>321.71399999999994</v>
      </c>
      <c r="I48" s="14">
        <f t="shared" si="2"/>
        <v>0.1190261076493792</v>
      </c>
      <c r="J48" s="63"/>
      <c r="K48" s="63"/>
    </row>
    <row r="49" spans="1:11" ht="15.75">
      <c r="A49" s="28" t="str">
        <v>Franklin Township WF</v>
      </c>
      <c r="B49" s="29" t="str">
        <v>NJ</v>
      </c>
      <c r="C49" s="10">
        <v>3408.3</v>
      </c>
      <c r="D49" s="16">
        <v>3488.0549999999998</v>
      </c>
      <c r="E49" s="16">
        <f t="shared" si="0"/>
        <v>-79.754999999999654</v>
      </c>
      <c r="F49" s="17">
        <f t="shared" si="3"/>
        <v>-2.2865178444720528E-2</v>
      </c>
      <c r="G49" s="18">
        <v>3345.4459999999999</v>
      </c>
      <c r="H49" s="18">
        <f t="shared" si="1"/>
        <v>62.854000000000269</v>
      </c>
      <c r="I49" s="17">
        <f t="shared" si="2"/>
        <v>1.8787928425686821E-2</v>
      </c>
      <c r="J49" s="51"/>
      <c r="K49" s="51"/>
    </row>
    <row r="50" spans="1:11" ht="15.75">
      <c r="A50" s="26" t="str">
        <v>Bordentown</v>
      </c>
      <c r="B50" s="27" t="str">
        <v>NJ</v>
      </c>
      <c r="C50" s="22">
        <v>2535.4000000000101</v>
      </c>
      <c r="D50" s="11">
        <v>2418.319</v>
      </c>
      <c r="E50" s="11">
        <f t="shared" si="0"/>
        <v>117.08100000001014</v>
      </c>
      <c r="F50" s="12">
        <f t="shared" si="3"/>
        <v>4.8414208381942221E-2</v>
      </c>
      <c r="G50" s="13">
        <v>2080.5529999999999</v>
      </c>
      <c r="H50" s="13">
        <f t="shared" si="1"/>
        <v>454.84700000001021</v>
      </c>
      <c r="I50" s="14">
        <f t="shared" si="2"/>
        <v>0.21861831926416209</v>
      </c>
      <c r="J50" s="63"/>
      <c r="K50" s="63"/>
    </row>
    <row r="51" spans="1:11" ht="15.75">
      <c r="A51" s="28" t="str">
        <v>South Plainfield</v>
      </c>
      <c r="B51" s="29" t="str">
        <v>NJ</v>
      </c>
      <c r="C51" s="10">
        <v>1893.4</v>
      </c>
      <c r="D51" s="16">
        <v>1943.4849999999999</v>
      </c>
      <c r="E51" s="16">
        <f t="shared" si="0"/>
        <v>-50.084999999999809</v>
      </c>
      <c r="F51" s="17">
        <f t="shared" si="3"/>
        <v>-2.5770716007584217E-2</v>
      </c>
      <c r="G51" s="18">
        <v>1536.942</v>
      </c>
      <c r="H51" s="18">
        <f t="shared" si="1"/>
        <v>356.45800000000008</v>
      </c>
      <c r="I51" s="17">
        <f t="shared" si="2"/>
        <v>0.23192677407475368</v>
      </c>
      <c r="J51" s="51"/>
      <c r="K51" s="51"/>
    </row>
    <row r="52" spans="1:11" ht="15.75">
      <c r="A52" s="26" t="str">
        <v>Somerset</v>
      </c>
      <c r="B52" s="27" t="str">
        <v>NJ</v>
      </c>
      <c r="C52" s="22">
        <v>3129.00000000001</v>
      </c>
      <c r="D52" s="11">
        <v>3804.6410000000001</v>
      </c>
      <c r="E52" s="11">
        <f t="shared" si="0"/>
        <v>-675.64099999999007</v>
      </c>
      <c r="F52" s="12">
        <f t="shared" si="3"/>
        <v>-0.17758337777466784</v>
      </c>
      <c r="G52" s="13">
        <v>2561.1509999999998</v>
      </c>
      <c r="H52" s="13">
        <f t="shared" si="1"/>
        <v>567.84900000001016</v>
      </c>
      <c r="I52" s="14">
        <f t="shared" si="2"/>
        <v>0.22171632988449733</v>
      </c>
      <c r="J52" s="63"/>
      <c r="K52" s="63"/>
    </row>
    <row r="53" spans="1:11" ht="15.75">
      <c r="A53" s="28" t="str">
        <v>Clinton Main Relo</v>
      </c>
      <c r="B53" s="29" t="str">
        <v>NJ</v>
      </c>
      <c r="C53" s="10">
        <v>3663.078</v>
      </c>
      <c r="D53" s="16">
        <v>3656.9949999999999</v>
      </c>
      <c r="E53" s="16">
        <f t="shared" si="0"/>
        <v>6.0830000000000837</v>
      </c>
      <c r="F53" s="17">
        <f t="shared" si="3"/>
        <v>1.6633875627393758E-3</v>
      </c>
      <c r="G53" s="18">
        <v>3087.5419999999999</v>
      </c>
      <c r="H53" s="18">
        <f t="shared" si="1"/>
        <v>575.53600000000006</v>
      </c>
      <c r="I53" s="17">
        <f t="shared" si="2"/>
        <v>0.18640588532884736</v>
      </c>
      <c r="J53" s="51"/>
      <c r="K53" s="51"/>
    </row>
    <row r="54" spans="1:11" ht="15.75">
      <c r="A54" s="26" t="str">
        <v>North Brunswick</v>
      </c>
      <c r="B54" s="27" t="str">
        <v>NJ</v>
      </c>
      <c r="C54" s="22">
        <v>3776.8000000000202</v>
      </c>
      <c r="D54" s="11">
        <v>3598.6010000000001</v>
      </c>
      <c r="E54" s="11">
        <f t="shared" si="0"/>
        <v>178.19900000002008</v>
      </c>
      <c r="F54" s="12">
        <f t="shared" si="3"/>
        <v>4.9518965842564953E-2</v>
      </c>
      <c r="G54" s="13">
        <v>3328.0770000000002</v>
      </c>
      <c r="H54" s="13">
        <f t="shared" si="1"/>
        <v>448.72300000001997</v>
      </c>
      <c r="I54" s="14">
        <f t="shared" si="2"/>
        <v>0.1348295126585172</v>
      </c>
      <c r="J54" s="63"/>
      <c r="K54" s="63"/>
    </row>
    <row r="55" spans="1:11" ht="15.75">
      <c r="A55" s="28" t="str">
        <v>Cherry Hill</v>
      </c>
      <c r="B55" s="29" t="str">
        <v>NJ</v>
      </c>
      <c r="C55" s="10">
        <v>2581.29296875</v>
      </c>
      <c r="D55" s="16">
        <v>2467.991</v>
      </c>
      <c r="E55" s="16">
        <f t="shared" si="0"/>
        <v>113.30196875000001</v>
      </c>
      <c r="F55" s="17">
        <f t="shared" si="3"/>
        <v>4.5908582628542818E-2</v>
      </c>
      <c r="G55" s="18">
        <v>2200.0329999999999</v>
      </c>
      <c r="H55" s="18">
        <f t="shared" si="1"/>
        <v>381.2599687500001</v>
      </c>
      <c r="I55" s="17">
        <f t="shared" si="2"/>
        <v>0.17329738633465958</v>
      </c>
      <c r="J55" s="51"/>
      <c r="K55" s="51"/>
    </row>
    <row r="56" spans="1:11" ht="15.75">
      <c r="A56" s="26" t="str">
        <v>Hainesport</v>
      </c>
      <c r="B56" s="27" t="str">
        <v>NJ</v>
      </c>
      <c r="C56" s="22">
        <v>2600.3000000000102</v>
      </c>
      <c r="D56" s="11">
        <v>3075.163</v>
      </c>
      <c r="E56" s="11">
        <f t="shared" si="0"/>
        <v>-474.86299999998982</v>
      </c>
      <c r="F56" s="12">
        <f t="shared" si="3"/>
        <v>-0.15441880641773781</v>
      </c>
      <c r="G56" s="13">
        <v>2141.3510000000001</v>
      </c>
      <c r="H56" s="13">
        <f t="shared" si="1"/>
        <v>458.94900000001007</v>
      </c>
      <c r="I56" s="14">
        <f t="shared" si="2"/>
        <v>0.21432684319385756</v>
      </c>
      <c r="J56" s="63"/>
      <c r="K56" s="63"/>
    </row>
    <row r="57" spans="1:11" ht="28.5">
      <c r="A57" s="28" t="str">
        <v>San Antonio - Ops Ctr (Bldg 106)</v>
      </c>
      <c r="B57" s="29" t="str">
        <v>TX</v>
      </c>
      <c r="C57" s="10">
        <v>52290.485999999997</v>
      </c>
      <c r="D57" s="16">
        <v>47834.572999999997</v>
      </c>
      <c r="E57" s="16">
        <f t="shared" si="0"/>
        <v>4455.9130000000005</v>
      </c>
      <c r="F57" s="17">
        <f t="shared" si="3"/>
        <v>9.3152561432920097E-2</v>
      </c>
      <c r="G57" s="18">
        <v>60655.493999999999</v>
      </c>
      <c r="H57" s="18">
        <f t="shared" si="1"/>
        <v>-8365.0080000000016</v>
      </c>
      <c r="I57" s="17">
        <f t="shared" si="2"/>
        <v>-0.13791014545195199</v>
      </c>
      <c r="J57" s="51" t="s">
        <v>110</v>
      </c>
      <c r="K57" s="51" t="s">
        <v>111</v>
      </c>
    </row>
    <row r="58" spans="1:11" ht="42.75">
      <c r="A58" s="26" t="str">
        <v>San Antonio - Ops Ctr GM</v>
      </c>
      <c r="B58" s="27" t="str">
        <v>TX</v>
      </c>
      <c r="C58" s="22">
        <v>355521.5</v>
      </c>
      <c r="D58" s="11">
        <v>409610.43099999998</v>
      </c>
      <c r="E58" s="11">
        <f t="shared" si="0"/>
        <v>-54088.930999999982</v>
      </c>
      <c r="F58" s="12">
        <f t="shared" si="3"/>
        <v>-0.13204969138102829</v>
      </c>
      <c r="G58" s="13">
        <v>435826</v>
      </c>
      <c r="H58" s="13">
        <f t="shared" si="1"/>
        <v>-80304.5</v>
      </c>
      <c r="I58" s="14">
        <f t="shared" si="2"/>
        <v>-0.18425816725023289</v>
      </c>
      <c r="J58" s="63" t="s">
        <v>99</v>
      </c>
      <c r="K58" s="63" t="s">
        <v>100</v>
      </c>
    </row>
    <row r="59" spans="1:11" ht="15.75">
      <c r="A59" s="28" t="str">
        <v>San Antonio - Ctr (Bldg 201)</v>
      </c>
      <c r="B59" s="29" t="str">
        <v>TX</v>
      </c>
      <c r="C59" s="10">
        <v>56524.156000000003</v>
      </c>
      <c r="D59" s="16">
        <v>47478.758000000002</v>
      </c>
      <c r="E59" s="16">
        <f t="shared" si="0"/>
        <v>9045.398000000001</v>
      </c>
      <c r="F59" s="17">
        <f t="shared" si="3"/>
        <v>0.19051462972135877</v>
      </c>
      <c r="G59" s="18">
        <v>59706.661999999997</v>
      </c>
      <c r="H59" s="18">
        <f t="shared" si="1"/>
        <v>-3182.5059999999939</v>
      </c>
      <c r="I59" s="17">
        <f t="shared" si="2"/>
        <v>-5.330236012858991E-2</v>
      </c>
      <c r="J59" s="51"/>
      <c r="K59" s="51"/>
    </row>
    <row r="60" spans="1:11" ht="15.75">
      <c r="A60" s="26" t="str">
        <v>San Antonio - Ops Ctr (Bldg 203)</v>
      </c>
      <c r="B60" s="27" t="str">
        <v>TX</v>
      </c>
      <c r="C60" s="22">
        <v>57061.374000000003</v>
      </c>
      <c r="D60" s="11">
        <v>54811.428999999996</v>
      </c>
      <c r="E60" s="11">
        <f t="shared" si="0"/>
        <v>2249.945000000007</v>
      </c>
      <c r="F60" s="12">
        <f t="shared" si="3"/>
        <v>4.1048829433000318E-2</v>
      </c>
      <c r="G60" s="13">
        <v>60005.59</v>
      </c>
      <c r="H60" s="13">
        <f t="shared" si="1"/>
        <v>-2944.2159999999931</v>
      </c>
      <c r="I60" s="14">
        <f t="shared" si="2"/>
        <v>-4.9065695379380374E-2</v>
      </c>
      <c r="J60" s="63"/>
      <c r="K60" s="63"/>
    </row>
    <row r="61" spans="1:11" ht="15.75">
      <c r="A61" s="28" t="str">
        <v>San Antonio - Ops Ctr (Bldg 205)</v>
      </c>
      <c r="B61" s="29" t="str">
        <v>TX</v>
      </c>
      <c r="C61" s="10">
        <v>55028.281000000003</v>
      </c>
      <c r="D61" s="16">
        <v>43263.521999999997</v>
      </c>
      <c r="E61" s="16">
        <f t="shared" si="0"/>
        <v>11764.759000000005</v>
      </c>
      <c r="F61" s="17">
        <f t="shared" si="3"/>
        <v>0.27193253013474045</v>
      </c>
      <c r="G61" s="18">
        <v>57390.642999999996</v>
      </c>
      <c r="H61" s="18">
        <f t="shared" si="1"/>
        <v>-2362.3619999999937</v>
      </c>
      <c r="I61" s="17">
        <f t="shared" si="2"/>
        <v>-4.1162842521210191E-2</v>
      </c>
      <c r="J61" s="51"/>
      <c r="K61" s="51"/>
    </row>
    <row r="62" spans="1:11" ht="15.75">
      <c r="A62" s="26" t="str">
        <v>San Antonio - Ops Ctr (Bldg 307)</v>
      </c>
      <c r="B62" s="27" t="str">
        <v>TX</v>
      </c>
      <c r="C62" s="22">
        <v>56682.750999999997</v>
      </c>
      <c r="D62" s="11">
        <v>47055.499000000003</v>
      </c>
      <c r="E62" s="11">
        <f t="shared" si="0"/>
        <v>9627.2519999999931</v>
      </c>
      <c r="F62" s="12">
        <f t="shared" si="3"/>
        <v>0.20459355876770094</v>
      </c>
      <c r="G62" s="13">
        <v>58213.548000000003</v>
      </c>
      <c r="H62" s="13">
        <f t="shared" si="1"/>
        <v>-1530.7970000000059</v>
      </c>
      <c r="I62" s="14">
        <f t="shared" si="2"/>
        <v>-2.6296232622687866E-2</v>
      </c>
      <c r="J62" s="63"/>
      <c r="K62" s="63"/>
    </row>
    <row r="63" spans="1:11" ht="15.75">
      <c r="A63" s="28" t="str">
        <v>San Antonio - Ctr (Bldg 308)</v>
      </c>
      <c r="B63" s="29" t="str">
        <v>TX</v>
      </c>
      <c r="C63" s="10">
        <v>53308.843999999997</v>
      </c>
      <c r="D63" s="16">
        <v>45977.633000000002</v>
      </c>
      <c r="E63" s="16">
        <f t="shared" si="0"/>
        <v>7331.2109999999957</v>
      </c>
      <c r="F63" s="17">
        <f t="shared" si="3"/>
        <v>0.15945168382200092</v>
      </c>
      <c r="G63" s="18">
        <v>55434.508000000002</v>
      </c>
      <c r="H63" s="18">
        <f t="shared" si="1"/>
        <v>-2125.6640000000043</v>
      </c>
      <c r="I63" s="17">
        <f t="shared" si="2"/>
        <v>-3.8345501325636445E-2</v>
      </c>
      <c r="J63" s="51"/>
      <c r="K63" s="51"/>
    </row>
    <row r="64" spans="1:11" ht="15.75">
      <c r="A64" s="26" t="str">
        <v>San Antonio - Ops Ctr (Bldg 104)</v>
      </c>
      <c r="B64" s="27" t="str">
        <v>TX</v>
      </c>
      <c r="C64" s="22">
        <v>16120.163</v>
      </c>
      <c r="D64" s="11">
        <v>14406.903</v>
      </c>
      <c r="E64" s="11">
        <f t="shared" si="0"/>
        <v>1713.2600000000002</v>
      </c>
      <c r="F64" s="12">
        <f t="shared" si="3"/>
        <v>0.11891938191018571</v>
      </c>
      <c r="G64" s="13">
        <v>17588.343000000001</v>
      </c>
      <c r="H64" s="13">
        <f t="shared" si="1"/>
        <v>-1468.1800000000003</v>
      </c>
      <c r="I64" s="14">
        <f t="shared" si="2"/>
        <v>-8.3474605879587424E-2</v>
      </c>
      <c r="J64" s="63"/>
      <c r="K64" s="63"/>
    </row>
    <row r="65" spans="1:11" ht="15.75">
      <c r="A65" s="28" t="str">
        <v>San Antonio - Ops Ctr (Bldg 102)</v>
      </c>
      <c r="B65" s="29" t="str">
        <v>TX</v>
      </c>
      <c r="C65" s="10">
        <v>59929.313000000002</v>
      </c>
      <c r="D65" s="16">
        <v>46416.45</v>
      </c>
      <c r="E65" s="16">
        <f t="shared" si="0"/>
        <v>13512.863000000005</v>
      </c>
      <c r="F65" s="17">
        <f t="shared" si="3"/>
        <v>0.29112228531048812</v>
      </c>
      <c r="G65" s="18">
        <v>63022.82</v>
      </c>
      <c r="H65" s="18">
        <f t="shared" si="1"/>
        <v>-3093.5069999999978</v>
      </c>
      <c r="I65" s="17">
        <f t="shared" si="2"/>
        <v>-4.9085505853276604E-2</v>
      </c>
      <c r="J65" s="51"/>
      <c r="K65" s="51"/>
    </row>
    <row r="66" spans="1:11" ht="15.75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63"/>
      <c r="K66" s="63"/>
    </row>
    <row r="67" spans="1:11" ht="15.75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51"/>
      <c r="K67" s="51"/>
    </row>
    <row r="68" spans="1:11" ht="15.75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63"/>
      <c r="K68" s="63"/>
    </row>
    <row r="69" spans="1:11" ht="15.75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51"/>
      <c r="K69" s="51"/>
    </row>
    <row r="70" spans="1:11" ht="14.25">
      <c r="A70" s="69"/>
      <c r="B70" s="67"/>
      <c r="C70" s="19"/>
      <c r="D70" s="19"/>
      <c r="E70" s="19"/>
      <c r="F70" s="20"/>
      <c r="G70" s="19"/>
      <c r="H70" s="19"/>
      <c r="I70" s="20"/>
      <c r="J70" s="65"/>
      <c r="K70" s="65"/>
    </row>
    <row r="71" spans="1:11" ht="14.25">
      <c r="A71" s="69"/>
      <c r="B71" s="67"/>
      <c r="C71" s="19"/>
      <c r="D71" s="19"/>
      <c r="E71" s="19"/>
      <c r="F71" s="20"/>
      <c r="G71" s="19"/>
      <c r="H71" s="19"/>
      <c r="I71" s="20"/>
      <c r="J71" s="65"/>
      <c r="K71" s="65"/>
    </row>
    <row r="72" spans="1:11" ht="14.25">
      <c r="A72" s="69"/>
      <c r="B72" s="67"/>
      <c r="C72" s="19"/>
      <c r="D72" s="19"/>
      <c r="E72" s="19"/>
      <c r="F72" s="20"/>
      <c r="G72" s="19"/>
      <c r="H72" s="19"/>
      <c r="I72" s="20"/>
      <c r="J72" s="65"/>
      <c r="K72" s="65"/>
    </row>
    <row r="73" spans="1:11" ht="14.25">
      <c r="A73" s="69"/>
      <c r="B73" s="67"/>
      <c r="C73" s="19"/>
      <c r="D73" s="19"/>
      <c r="E73" s="19"/>
      <c r="F73" s="20"/>
      <c r="G73" s="19"/>
      <c r="H73" s="19"/>
      <c r="I73" s="20"/>
      <c r="J73" s="65"/>
      <c r="K73" s="65"/>
    </row>
    <row r="74" spans="1:11" ht="14.25">
      <c r="A74" s="69"/>
      <c r="B74" s="67"/>
      <c r="C74" s="19"/>
      <c r="D74" s="19"/>
      <c r="E74" s="19"/>
      <c r="F74" s="20"/>
      <c r="G74" s="19"/>
      <c r="H74" s="19"/>
      <c r="I74" s="20"/>
      <c r="J74" s="65"/>
      <c r="K74" s="65"/>
    </row>
    <row r="75" spans="1:11" ht="14.25">
      <c r="A75" s="69"/>
      <c r="B75" s="67"/>
      <c r="C75" s="19"/>
      <c r="D75" s="19"/>
      <c r="E75" s="19"/>
      <c r="F75" s="20"/>
      <c r="G75" s="19"/>
      <c r="H75" s="19"/>
      <c r="I75" s="20"/>
      <c r="J75" s="65"/>
      <c r="K75" s="65"/>
    </row>
    <row r="76" spans="1:11" ht="14.25">
      <c r="A76" s="69"/>
      <c r="B76" s="67"/>
      <c r="C76" s="19"/>
      <c r="D76" s="19"/>
      <c r="E76" s="19"/>
      <c r="F76" s="20"/>
      <c r="G76" s="19"/>
      <c r="H76" s="19"/>
      <c r="I76" s="20"/>
      <c r="J76" s="65"/>
      <c r="K76" s="65"/>
    </row>
    <row r="77" spans="1:11" ht="14.25">
      <c r="A77" s="69"/>
      <c r="B77" s="67"/>
      <c r="C77" s="19"/>
      <c r="D77" s="19"/>
      <c r="E77" s="19"/>
      <c r="F77" s="20"/>
      <c r="G77" s="19"/>
      <c r="H77" s="19"/>
      <c r="I77" s="20"/>
      <c r="J77" s="65"/>
      <c r="K77" s="65"/>
    </row>
    <row r="78" spans="1:11" ht="14.25">
      <c r="A78" s="69"/>
      <c r="B78" s="67"/>
      <c r="C78" s="19"/>
      <c r="D78" s="19"/>
      <c r="E78" s="19"/>
      <c r="F78" s="20"/>
      <c r="G78" s="19"/>
      <c r="H78" s="19"/>
      <c r="I78" s="20"/>
      <c r="J78" s="65"/>
      <c r="K78" s="65"/>
    </row>
    <row r="79" spans="1:11" ht="14.25">
      <c r="A79" s="69"/>
      <c r="B79" s="67"/>
      <c r="C79" s="19"/>
      <c r="D79" s="19"/>
      <c r="E79" s="19"/>
      <c r="F79" s="20"/>
      <c r="G79" s="19"/>
      <c r="H79" s="19"/>
      <c r="I79" s="20"/>
      <c r="J79" s="65"/>
      <c r="K79" s="65"/>
    </row>
    <row r="80" spans="1:11" ht="14.25">
      <c r="A80" s="69"/>
      <c r="B80" s="67"/>
      <c r="C80" s="19"/>
      <c r="D80" s="19"/>
      <c r="E80" s="19"/>
      <c r="F80" s="20"/>
      <c r="G80" s="19"/>
      <c r="H80" s="19"/>
      <c r="I80" s="20"/>
      <c r="J80" s="65"/>
      <c r="K80" s="65"/>
    </row>
    <row r="81" spans="1:11" ht="14.25">
      <c r="A81" s="69"/>
      <c r="B81" s="67"/>
      <c r="C81" s="19"/>
      <c r="D81" s="19"/>
      <c r="E81" s="19"/>
      <c r="F81" s="20"/>
      <c r="G81" s="19"/>
      <c r="H81" s="19"/>
      <c r="I81" s="20"/>
      <c r="J81" s="65"/>
      <c r="K81" s="65"/>
    </row>
    <row r="82" spans="1:11" ht="14.25">
      <c r="A82" s="69"/>
      <c r="B82" s="67"/>
      <c r="C82" s="19"/>
      <c r="D82" s="19"/>
      <c r="E82" s="19"/>
      <c r="F82" s="20"/>
      <c r="G82" s="19"/>
      <c r="H82" s="19"/>
      <c r="I82" s="20"/>
      <c r="J82" s="65"/>
      <c r="K82" s="65"/>
    </row>
    <row r="83" spans="1:11" ht="14.25">
      <c r="A83" s="69"/>
      <c r="B83" s="67"/>
      <c r="C83" s="19"/>
      <c r="D83" s="19"/>
      <c r="E83" s="19"/>
      <c r="F83" s="20"/>
      <c r="G83" s="19"/>
      <c r="H83" s="19"/>
      <c r="I83" s="20"/>
      <c r="J83" s="65"/>
      <c r="K83" s="65"/>
    </row>
    <row r="84" spans="1:11" ht="14.25">
      <c r="A84" s="69"/>
      <c r="B84" s="67"/>
      <c r="C84" s="19"/>
      <c r="D84" s="19"/>
      <c r="E84" s="19"/>
      <c r="F84" s="20"/>
      <c r="G84" s="19"/>
      <c r="H84" s="19"/>
      <c r="I84" s="20"/>
      <c r="J84" s="65"/>
      <c r="K84" s="65"/>
    </row>
    <row r="85" spans="1:11" ht="14.25">
      <c r="A85" s="69"/>
      <c r="B85" s="67"/>
      <c r="C85" s="19"/>
      <c r="D85" s="19"/>
      <c r="E85" s="19"/>
      <c r="F85" s="20"/>
      <c r="G85" s="19"/>
      <c r="H85" s="19"/>
      <c r="I85" s="20"/>
      <c r="J85" s="65"/>
      <c r="K85" s="65"/>
    </row>
    <row r="86" spans="1:11" ht="14.25">
      <c r="A86" s="69"/>
      <c r="B86" s="67"/>
      <c r="C86" s="19"/>
      <c r="D86" s="19"/>
      <c r="E86" s="19"/>
      <c r="F86" s="20"/>
      <c r="G86" s="19"/>
      <c r="H86" s="19"/>
      <c r="I86" s="20"/>
      <c r="J86" s="65"/>
      <c r="K86" s="65"/>
    </row>
    <row r="87" spans="1:11" ht="14.25">
      <c r="A87" s="69"/>
      <c r="B87" s="67"/>
      <c r="C87" s="19"/>
      <c r="D87" s="19"/>
      <c r="E87" s="19"/>
      <c r="F87" s="20"/>
      <c r="G87" s="19"/>
      <c r="H87" s="19"/>
      <c r="I87" s="20"/>
      <c r="J87" s="65"/>
      <c r="K87" s="65"/>
    </row>
    <row r="88" spans="1:11" ht="14.25">
      <c r="A88" s="69"/>
      <c r="B88" s="67"/>
      <c r="C88" s="19"/>
      <c r="D88" s="19"/>
      <c r="E88" s="19"/>
      <c r="F88" s="20"/>
      <c r="G88" s="19"/>
      <c r="H88" s="19"/>
      <c r="I88" s="20"/>
      <c r="J88" s="65"/>
      <c r="K88" s="65"/>
    </row>
    <row r="89" spans="1:11" ht="14.25">
      <c r="A89" s="69"/>
      <c r="B89" s="67"/>
      <c r="C89" s="19"/>
      <c r="D89" s="19"/>
      <c r="E89" s="19"/>
      <c r="F89" s="20"/>
      <c r="G89" s="19"/>
      <c r="H89" s="19"/>
      <c r="I89" s="20"/>
      <c r="J89" s="65"/>
      <c r="K89" s="65"/>
    </row>
    <row r="90" spans="1:11" ht="14.25">
      <c r="A90" s="69"/>
      <c r="B90" s="67"/>
      <c r="C90" s="19"/>
      <c r="D90" s="19"/>
      <c r="E90" s="19"/>
      <c r="F90" s="20"/>
      <c r="G90" s="19"/>
      <c r="H90" s="19"/>
      <c r="I90" s="20"/>
      <c r="J90" s="65"/>
      <c r="K90" s="65"/>
    </row>
    <row r="91" spans="1:11" ht="14.25">
      <c r="A91" s="69"/>
      <c r="B91" s="67"/>
      <c r="C91" s="19"/>
      <c r="D91" s="19"/>
      <c r="E91" s="19"/>
      <c r="F91" s="20"/>
      <c r="G91" s="19"/>
      <c r="H91" s="19"/>
      <c r="I91" s="20"/>
      <c r="J91" s="65"/>
      <c r="K91" s="65"/>
    </row>
    <row r="92" spans="1:11" ht="14.25">
      <c r="A92" s="69"/>
      <c r="B92" s="67"/>
      <c r="C92" s="19"/>
      <c r="D92" s="19"/>
      <c r="E92" s="19"/>
      <c r="F92" s="20"/>
      <c r="G92" s="19"/>
      <c r="H92" s="19"/>
      <c r="I92" s="20"/>
      <c r="J92" s="65"/>
      <c r="K92" s="65"/>
    </row>
    <row r="93" spans="1:11" ht="14.25">
      <c r="A93" s="69"/>
      <c r="B93" s="67"/>
      <c r="C93" s="19"/>
      <c r="D93" s="19"/>
      <c r="E93" s="19"/>
      <c r="F93" s="20"/>
      <c r="G93" s="19"/>
      <c r="H93" s="19"/>
      <c r="I93" s="20"/>
      <c r="J93" s="65"/>
      <c r="K93" s="65"/>
    </row>
    <row r="94" spans="1:11" ht="14.25">
      <c r="A94" s="69"/>
      <c r="B94" s="67"/>
      <c r="C94" s="19"/>
      <c r="D94" s="19"/>
      <c r="E94" s="19"/>
      <c r="F94" s="20"/>
      <c r="G94" s="19"/>
      <c r="H94" s="19"/>
      <c r="I94" s="20"/>
      <c r="J94" s="65"/>
      <c r="K94" s="65"/>
    </row>
    <row r="95" spans="1:11" ht="14.25">
      <c r="A95" s="69"/>
      <c r="B95" s="67"/>
      <c r="C95" s="19"/>
      <c r="D95" s="19"/>
      <c r="E95" s="19"/>
      <c r="F95" s="20"/>
      <c r="G95" s="19"/>
      <c r="H95" s="19"/>
      <c r="I95" s="20"/>
      <c r="J95" s="65"/>
      <c r="K95" s="65"/>
    </row>
    <row r="96" spans="1:11" ht="14.25">
      <c r="A96" s="69"/>
      <c r="B96" s="67"/>
      <c r="C96" s="19"/>
      <c r="D96" s="19"/>
      <c r="E96" s="19"/>
      <c r="F96" s="20"/>
      <c r="G96" s="19"/>
      <c r="H96" s="19"/>
      <c r="I96" s="20"/>
      <c r="J96" s="65"/>
      <c r="K96" s="65"/>
    </row>
    <row r="97" spans="1:11" ht="14.25">
      <c r="A97" s="69"/>
      <c r="B97" s="67"/>
      <c r="C97" s="19"/>
      <c r="D97" s="19"/>
      <c r="E97" s="19"/>
      <c r="F97" s="20"/>
      <c r="G97" s="19"/>
      <c r="H97" s="19"/>
      <c r="I97" s="20"/>
      <c r="J97" s="65"/>
      <c r="K97" s="65"/>
    </row>
    <row r="98" spans="1:11" ht="14.25">
      <c r="A98" s="69"/>
      <c r="B98" s="67"/>
      <c r="C98" s="19"/>
      <c r="D98" s="19"/>
      <c r="E98" s="19"/>
      <c r="F98" s="20"/>
      <c r="G98" s="19"/>
      <c r="H98" s="19"/>
      <c r="I98" s="20"/>
      <c r="J98" s="65"/>
      <c r="K98" s="65"/>
    </row>
    <row r="99" spans="1:11" ht="14.25">
      <c r="A99" s="69"/>
      <c r="B99" s="67"/>
      <c r="C99" s="19"/>
      <c r="D99" s="19"/>
      <c r="E99" s="19"/>
      <c r="F99" s="20"/>
      <c r="G99" s="19"/>
      <c r="H99" s="19"/>
      <c r="I99" s="20"/>
      <c r="J99" s="65"/>
      <c r="K99" s="65"/>
    </row>
    <row r="100" spans="1:11" ht="14.25">
      <c r="A100" s="69"/>
      <c r="B100" s="67"/>
      <c r="C100" s="19"/>
      <c r="D100" s="19"/>
      <c r="E100" s="19"/>
      <c r="F100" s="20"/>
      <c r="G100" s="19"/>
      <c r="H100" s="19"/>
      <c r="I100" s="20"/>
      <c r="J100" s="65"/>
      <c r="K100" s="65"/>
    </row>
    <row r="101" spans="1:11" ht="14.25">
      <c r="A101" s="69"/>
      <c r="B101" s="67"/>
      <c r="C101" s="19"/>
      <c r="D101" s="19"/>
      <c r="E101" s="19"/>
      <c r="F101" s="20"/>
      <c r="G101" s="19"/>
      <c r="H101" s="19"/>
      <c r="I101" s="20"/>
      <c r="J101" s="65"/>
      <c r="K101" s="65"/>
    </row>
    <row r="102" spans="1:11" ht="14.25">
      <c r="A102" s="69"/>
      <c r="B102" s="67"/>
      <c r="C102" s="19"/>
      <c r="D102" s="19"/>
      <c r="E102" s="19"/>
      <c r="F102" s="20"/>
      <c r="G102" s="19"/>
      <c r="H102" s="19"/>
      <c r="I102" s="20"/>
      <c r="J102" s="65"/>
      <c r="K102" s="65"/>
    </row>
    <row r="103" spans="1:11" ht="14.25">
      <c r="A103" s="69"/>
      <c r="B103" s="67"/>
      <c r="C103" s="19"/>
      <c r="D103" s="19"/>
      <c r="E103" s="19"/>
      <c r="F103" s="20"/>
      <c r="G103" s="19"/>
      <c r="H103" s="19"/>
      <c r="I103" s="20"/>
      <c r="J103" s="65"/>
      <c r="K103" s="65"/>
    </row>
    <row r="104" spans="1:11" ht="14.25">
      <c r="A104" s="69"/>
      <c r="B104" s="67"/>
      <c r="C104" s="19"/>
      <c r="D104" s="19"/>
      <c r="E104" s="19"/>
      <c r="F104" s="20"/>
      <c r="G104" s="19"/>
      <c r="H104" s="19"/>
      <c r="I104" s="20"/>
      <c r="J104" s="65"/>
      <c r="K104" s="65"/>
    </row>
    <row r="105" spans="1:11" ht="14.25">
      <c r="A105" s="69"/>
      <c r="B105" s="67"/>
      <c r="C105" s="19"/>
      <c r="D105" s="19"/>
      <c r="E105" s="19"/>
      <c r="F105" s="20"/>
      <c r="G105" s="19"/>
      <c r="H105" s="19"/>
      <c r="I105" s="20"/>
      <c r="J105" s="65"/>
      <c r="K105" s="65"/>
    </row>
    <row r="106" spans="1:11" ht="14.25">
      <c r="A106" s="69"/>
      <c r="B106" s="67"/>
      <c r="C106" s="19"/>
      <c r="D106" s="19"/>
      <c r="E106" s="19"/>
      <c r="F106" s="20"/>
      <c r="G106" s="19"/>
      <c r="H106" s="19"/>
      <c r="I106" s="20"/>
      <c r="J106" s="65"/>
      <c r="K106" s="65"/>
    </row>
    <row r="107" spans="1:11" ht="14.25">
      <c r="A107" s="69"/>
      <c r="B107" s="67"/>
      <c r="C107" s="19"/>
      <c r="D107" s="19"/>
      <c r="E107" s="19"/>
      <c r="F107" s="20"/>
      <c r="G107" s="19"/>
      <c r="H107" s="19"/>
      <c r="I107" s="20"/>
      <c r="J107" s="65"/>
      <c r="K107" s="65"/>
    </row>
    <row r="108" spans="1:11" ht="14.25">
      <c r="A108" s="69"/>
      <c r="B108" s="67"/>
      <c r="C108" s="19"/>
      <c r="D108" s="19"/>
      <c r="E108" s="19"/>
      <c r="F108" s="20"/>
      <c r="G108" s="19"/>
      <c r="H108" s="19"/>
      <c r="I108" s="20"/>
      <c r="J108" s="65"/>
      <c r="K108" s="65"/>
    </row>
    <row r="109" spans="1:11" ht="14.25">
      <c r="A109" s="69"/>
      <c r="B109" s="67"/>
      <c r="C109" s="19"/>
      <c r="D109" s="19"/>
      <c r="E109" s="19"/>
      <c r="F109" s="20"/>
      <c r="G109" s="19"/>
      <c r="H109" s="19"/>
      <c r="I109" s="20"/>
      <c r="J109" s="65"/>
      <c r="K109" s="65"/>
    </row>
    <row r="110" spans="1:11" ht="14.25">
      <c r="A110" s="69"/>
      <c r="B110" s="67"/>
      <c r="C110" s="19"/>
      <c r="D110" s="19"/>
      <c r="E110" s="19"/>
      <c r="F110" s="20"/>
      <c r="G110" s="19"/>
      <c r="H110" s="19"/>
      <c r="I110" s="20"/>
      <c r="J110" s="65"/>
      <c r="K110" s="65"/>
    </row>
    <row r="111" spans="1:11" ht="14.25">
      <c r="A111" s="69"/>
      <c r="B111" s="67"/>
      <c r="C111" s="19"/>
      <c r="D111" s="19"/>
      <c r="E111" s="19"/>
      <c r="F111" s="20"/>
      <c r="G111" s="19"/>
      <c r="H111" s="19"/>
      <c r="I111" s="20"/>
      <c r="J111" s="65"/>
      <c r="K111" s="65"/>
    </row>
    <row r="112" spans="1:11" ht="14.25">
      <c r="A112" s="69"/>
      <c r="B112" s="67"/>
      <c r="C112" s="19"/>
      <c r="D112" s="19"/>
      <c r="E112" s="19"/>
      <c r="F112" s="20"/>
      <c r="G112" s="19"/>
      <c r="H112" s="19"/>
      <c r="I112" s="20"/>
      <c r="J112" s="65"/>
      <c r="K112" s="65"/>
    </row>
    <row r="113" spans="1:11" ht="14.25">
      <c r="A113" s="69"/>
      <c r="B113" s="67"/>
      <c r="C113" s="19"/>
      <c r="D113" s="19"/>
      <c r="E113" s="19"/>
      <c r="F113" s="20"/>
      <c r="G113" s="19"/>
      <c r="H113" s="19"/>
      <c r="I113" s="20"/>
      <c r="J113" s="65"/>
      <c r="K113" s="65"/>
    </row>
    <row r="114" spans="1:11" ht="14.25">
      <c r="A114" s="69"/>
      <c r="B114" s="67"/>
      <c r="C114" s="19"/>
      <c r="D114" s="19"/>
      <c r="E114" s="19"/>
      <c r="F114" s="20"/>
      <c r="G114" s="19"/>
      <c r="H114" s="19"/>
      <c r="I114" s="20"/>
      <c r="J114" s="65"/>
      <c r="K114" s="65"/>
    </row>
    <row r="115" spans="1:11" ht="14.25">
      <c r="A115" s="69"/>
      <c r="B115" s="67"/>
      <c r="C115" s="19"/>
      <c r="D115" s="19"/>
      <c r="E115" s="19"/>
      <c r="F115" s="20"/>
      <c r="G115" s="19"/>
      <c r="H115" s="19"/>
      <c r="I115" s="20"/>
      <c r="J115" s="65"/>
      <c r="K115" s="65"/>
    </row>
    <row r="116" spans="1:11" ht="14.25">
      <c r="A116" s="69"/>
      <c r="B116" s="67"/>
      <c r="C116" s="19"/>
      <c r="D116" s="19"/>
      <c r="E116" s="19"/>
      <c r="F116" s="20"/>
      <c r="G116" s="19"/>
      <c r="H116" s="19"/>
      <c r="I116" s="20"/>
      <c r="J116" s="65"/>
      <c r="K116" s="65"/>
    </row>
    <row r="117" spans="1:11" ht="14.25">
      <c r="A117" s="69"/>
      <c r="B117" s="67"/>
      <c r="C117" s="19"/>
      <c r="D117" s="19"/>
      <c r="E117" s="19"/>
      <c r="F117" s="20"/>
      <c r="G117" s="19"/>
      <c r="H117" s="19"/>
      <c r="I117" s="20"/>
      <c r="J117" s="65"/>
      <c r="K117" s="65"/>
    </row>
    <row r="118" spans="1:11" ht="14.25">
      <c r="A118" s="69"/>
      <c r="B118" s="67"/>
      <c r="C118" s="19"/>
      <c r="D118" s="19"/>
      <c r="E118" s="19"/>
      <c r="F118" s="20"/>
      <c r="G118" s="19"/>
      <c r="H118" s="19"/>
      <c r="I118" s="20"/>
      <c r="J118" s="65"/>
      <c r="K118" s="65"/>
    </row>
    <row r="119" spans="1:11" ht="14.25">
      <c r="A119" s="69"/>
      <c r="B119" s="67"/>
      <c r="C119" s="19"/>
      <c r="D119" s="19"/>
      <c r="E119" s="19"/>
      <c r="F119" s="20"/>
      <c r="G119" s="19"/>
      <c r="H119" s="19"/>
      <c r="I119" s="20"/>
      <c r="J119" s="65"/>
      <c r="K119" s="65"/>
    </row>
    <row r="120" spans="1:11" ht="14.25">
      <c r="A120" s="69"/>
      <c r="B120" s="67"/>
      <c r="C120" s="19"/>
      <c r="D120" s="19"/>
      <c r="E120" s="19"/>
      <c r="F120" s="20"/>
      <c r="G120" s="19"/>
      <c r="H120" s="19"/>
      <c r="I120" s="20"/>
      <c r="J120" s="65"/>
      <c r="K120" s="65"/>
    </row>
    <row r="121" spans="1:11" ht="14.25">
      <c r="A121" s="69"/>
      <c r="B121" s="67"/>
      <c r="C121" s="19"/>
      <c r="D121" s="19"/>
      <c r="E121" s="19"/>
      <c r="F121" s="20"/>
      <c r="G121" s="19"/>
      <c r="H121" s="19"/>
      <c r="I121" s="20"/>
      <c r="J121" s="65"/>
      <c r="K121" s="65"/>
    </row>
    <row r="122" spans="1:11" ht="14.25">
      <c r="A122" s="69"/>
      <c r="B122" s="67"/>
      <c r="C122" s="19"/>
      <c r="D122" s="19"/>
      <c r="E122" s="19"/>
      <c r="F122" s="20"/>
      <c r="G122" s="19"/>
      <c r="H122" s="19"/>
      <c r="I122" s="20"/>
      <c r="J122" s="65"/>
      <c r="K122" s="65"/>
    </row>
    <row r="123" spans="1:11" ht="14.25">
      <c r="A123" s="69"/>
      <c r="B123" s="67"/>
      <c r="C123" s="19"/>
      <c r="D123" s="19"/>
      <c r="E123" s="19"/>
      <c r="F123" s="20"/>
      <c r="G123" s="19"/>
      <c r="H123" s="19"/>
      <c r="I123" s="20"/>
      <c r="J123" s="65"/>
      <c r="K123" s="65"/>
    </row>
    <row r="124" spans="1:11" ht="14.25">
      <c r="A124" s="69"/>
      <c r="B124" s="67"/>
      <c r="C124" s="19"/>
      <c r="D124" s="19"/>
      <c r="E124" s="19"/>
      <c r="F124" s="20"/>
      <c r="G124" s="19"/>
      <c r="H124" s="19"/>
      <c r="I124" s="20"/>
      <c r="J124" s="65"/>
      <c r="K124" s="65"/>
    </row>
    <row r="125" spans="1:11" ht="14.25">
      <c r="A125" s="69"/>
      <c r="B125" s="67"/>
      <c r="C125" s="19"/>
      <c r="D125" s="19"/>
      <c r="E125" s="19"/>
      <c r="F125" s="20"/>
      <c r="G125" s="19"/>
      <c r="H125" s="19"/>
      <c r="I125" s="20"/>
      <c r="J125" s="65"/>
      <c r="K125" s="65"/>
    </row>
    <row r="126" spans="1:11" ht="14.25">
      <c r="A126" s="69"/>
      <c r="B126" s="67"/>
      <c r="C126" s="19"/>
      <c r="D126" s="19"/>
      <c r="E126" s="19"/>
      <c r="F126" s="20"/>
      <c r="G126" s="19"/>
      <c r="H126" s="19"/>
      <c r="I126" s="20"/>
      <c r="J126" s="65"/>
      <c r="K126" s="65"/>
    </row>
    <row r="127" spans="1:11" ht="14.25">
      <c r="A127" s="69"/>
      <c r="B127" s="67"/>
      <c r="C127" s="19"/>
      <c r="D127" s="19"/>
      <c r="E127" s="19"/>
      <c r="F127" s="20"/>
      <c r="G127" s="19"/>
      <c r="H127" s="19"/>
      <c r="I127" s="20"/>
      <c r="J127" s="65"/>
      <c r="K127" s="65"/>
    </row>
    <row r="128" spans="1:11" ht="14.25">
      <c r="A128" s="69"/>
      <c r="B128" s="67"/>
      <c r="C128" s="19"/>
      <c r="D128" s="19"/>
      <c r="E128" s="19"/>
      <c r="F128" s="20"/>
      <c r="G128" s="19"/>
      <c r="H128" s="19"/>
      <c r="I128" s="20"/>
      <c r="J128" s="65"/>
      <c r="K128" s="65"/>
    </row>
    <row r="129" spans="1:11" ht="14.25">
      <c r="A129" s="69"/>
      <c r="B129" s="67"/>
      <c r="C129" s="19"/>
      <c r="D129" s="19"/>
      <c r="E129" s="19"/>
      <c r="F129" s="20"/>
      <c r="G129" s="19"/>
      <c r="H129" s="19"/>
      <c r="I129" s="20"/>
      <c r="J129" s="65"/>
      <c r="K129" s="65"/>
    </row>
    <row r="130" spans="1:11" ht="14.25">
      <c r="A130" s="69"/>
      <c r="B130" s="67"/>
      <c r="C130" s="19"/>
      <c r="D130" s="19"/>
      <c r="E130" s="19"/>
      <c r="F130" s="20"/>
      <c r="G130" s="19"/>
      <c r="H130" s="19"/>
      <c r="I130" s="20"/>
      <c r="J130" s="65"/>
      <c r="K130" s="65"/>
    </row>
    <row r="131" spans="1:11" ht="14.25">
      <c r="A131" s="69"/>
      <c r="B131" s="67"/>
      <c r="C131" s="19"/>
      <c r="D131" s="19"/>
      <c r="E131" s="19"/>
      <c r="F131" s="20"/>
      <c r="G131" s="19"/>
      <c r="H131" s="19"/>
      <c r="I131" s="20"/>
      <c r="J131" s="65"/>
      <c r="K131" s="65"/>
    </row>
    <row r="132" spans="1:11" ht="14.25">
      <c r="A132" s="69"/>
      <c r="B132" s="67"/>
      <c r="C132" s="19"/>
      <c r="D132" s="19"/>
      <c r="E132" s="19"/>
      <c r="F132" s="20"/>
      <c r="G132" s="19"/>
      <c r="H132" s="19"/>
      <c r="I132" s="20"/>
      <c r="J132" s="65"/>
      <c r="K132" s="65"/>
    </row>
    <row r="133" spans="1:11" ht="14.25">
      <c r="A133" s="69"/>
      <c r="B133" s="67"/>
      <c r="C133" s="19"/>
      <c r="D133" s="19"/>
      <c r="E133" s="19"/>
      <c r="F133" s="20"/>
      <c r="G133" s="19"/>
      <c r="H133" s="19"/>
      <c r="I133" s="20"/>
      <c r="J133" s="65"/>
      <c r="K133" s="65"/>
    </row>
    <row r="134" spans="1:11" ht="14.25">
      <c r="A134" s="69"/>
      <c r="B134" s="67"/>
      <c r="C134" s="19"/>
      <c r="D134" s="19"/>
      <c r="E134" s="19"/>
      <c r="F134" s="20"/>
      <c r="G134" s="19"/>
      <c r="H134" s="19"/>
      <c r="I134" s="20"/>
      <c r="J134" s="65"/>
      <c r="K134" s="65"/>
    </row>
    <row r="135" spans="1:11" ht="14.25">
      <c r="A135" s="69"/>
      <c r="B135" s="67"/>
      <c r="C135" s="19"/>
      <c r="D135" s="19"/>
      <c r="E135" s="19"/>
      <c r="F135" s="20"/>
      <c r="G135" s="19"/>
      <c r="H135" s="19"/>
      <c r="I135" s="20"/>
      <c r="J135" s="65"/>
      <c r="K135" s="65"/>
    </row>
    <row r="136" spans="1:11" ht="14.25">
      <c r="A136" s="69"/>
      <c r="B136" s="67"/>
      <c r="C136" s="19"/>
      <c r="D136" s="19"/>
      <c r="E136" s="19"/>
      <c r="F136" s="20"/>
      <c r="G136" s="19"/>
      <c r="H136" s="19"/>
      <c r="I136" s="20"/>
      <c r="J136" s="65"/>
      <c r="K136" s="65"/>
    </row>
    <row r="137" spans="1:11" ht="14.25">
      <c r="A137" s="69"/>
      <c r="B137" s="67"/>
      <c r="C137" s="19"/>
      <c r="D137" s="19"/>
      <c r="E137" s="19"/>
      <c r="F137" s="20"/>
      <c r="G137" s="19"/>
      <c r="H137" s="19"/>
      <c r="I137" s="20"/>
      <c r="J137" s="65"/>
      <c r="K137" s="65"/>
    </row>
    <row r="138" spans="1:11" ht="14.25">
      <c r="A138" s="69"/>
      <c r="B138" s="67"/>
      <c r="C138" s="19"/>
      <c r="D138" s="19"/>
      <c r="E138" s="19"/>
      <c r="F138" s="20"/>
      <c r="G138" s="19"/>
      <c r="H138" s="19"/>
      <c r="I138" s="20"/>
      <c r="J138" s="65"/>
      <c r="K138" s="65"/>
    </row>
    <row r="139" spans="1:11" ht="14.25">
      <c r="A139" s="69"/>
      <c r="B139" s="67"/>
      <c r="C139" s="19"/>
      <c r="D139" s="19"/>
      <c r="E139" s="19"/>
      <c r="F139" s="20"/>
      <c r="G139" s="19"/>
      <c r="H139" s="19"/>
      <c r="I139" s="20"/>
      <c r="J139" s="65"/>
      <c r="K139" s="65"/>
    </row>
    <row r="140" spans="1:11" ht="14.25">
      <c r="A140" s="69"/>
      <c r="B140" s="67"/>
      <c r="C140" s="19"/>
      <c r="D140" s="19"/>
      <c r="E140" s="19"/>
      <c r="F140" s="20"/>
      <c r="G140" s="19"/>
      <c r="H140" s="19"/>
      <c r="I140" s="20"/>
      <c r="J140" s="65"/>
      <c r="K140" s="65"/>
    </row>
    <row r="141" spans="1:11" ht="14.25">
      <c r="A141" s="69"/>
      <c r="B141" s="67"/>
      <c r="C141" s="19"/>
      <c r="D141" s="19"/>
      <c r="E141" s="19"/>
      <c r="F141" s="20"/>
      <c r="G141" s="19"/>
      <c r="H141" s="19"/>
      <c r="I141" s="20"/>
      <c r="J141" s="65"/>
      <c r="K141" s="65"/>
    </row>
    <row r="142" spans="1:11" ht="14.25">
      <c r="A142" s="69"/>
      <c r="B142" s="67"/>
      <c r="C142" s="19"/>
      <c r="D142" s="19"/>
      <c r="E142" s="19"/>
      <c r="F142" s="20"/>
      <c r="G142" s="19"/>
      <c r="H142" s="19"/>
      <c r="I142" s="20"/>
      <c r="J142" s="65"/>
      <c r="K142" s="65"/>
    </row>
    <row r="143" spans="1:11" ht="14.25">
      <c r="A143" s="69"/>
      <c r="B143" s="67"/>
      <c r="C143" s="19"/>
      <c r="D143" s="19"/>
      <c r="E143" s="19"/>
      <c r="F143" s="20"/>
      <c r="G143" s="19"/>
      <c r="H143" s="19"/>
      <c r="I143" s="20"/>
      <c r="J143" s="65"/>
      <c r="K143" s="65"/>
    </row>
    <row r="144" spans="1:11" ht="14.25">
      <c r="A144" s="69"/>
      <c r="B144" s="67"/>
      <c r="C144" s="19"/>
      <c r="D144" s="19"/>
      <c r="E144" s="19"/>
      <c r="F144" s="20"/>
      <c r="G144" s="19"/>
      <c r="H144" s="19"/>
      <c r="I144" s="20"/>
      <c r="J144" s="65"/>
      <c r="K144" s="65"/>
    </row>
    <row r="145" spans="1:11" ht="14.25">
      <c r="A145" s="69"/>
      <c r="B145" s="67"/>
      <c r="C145" s="19"/>
      <c r="D145" s="19"/>
      <c r="E145" s="19"/>
      <c r="F145" s="20"/>
      <c r="G145" s="19"/>
      <c r="H145" s="19"/>
      <c r="I145" s="20"/>
      <c r="J145" s="65"/>
      <c r="K145" s="65"/>
    </row>
    <row r="146" spans="1:11" ht="14.25">
      <c r="A146" s="69"/>
      <c r="B146" s="67"/>
      <c r="C146" s="19"/>
      <c r="D146" s="19"/>
      <c r="E146" s="19"/>
      <c r="F146" s="20"/>
      <c r="G146" s="19"/>
      <c r="H146" s="19"/>
      <c r="I146" s="20"/>
      <c r="J146" s="65"/>
      <c r="K146" s="65"/>
    </row>
    <row r="147" spans="1:11" ht="14.25">
      <c r="A147" s="69"/>
      <c r="B147" s="67"/>
      <c r="C147" s="19"/>
      <c r="D147" s="19"/>
      <c r="E147" s="19"/>
      <c r="F147" s="20"/>
      <c r="G147" s="19"/>
      <c r="H147" s="19"/>
      <c r="I147" s="20"/>
      <c r="J147" s="65"/>
      <c r="K147" s="65"/>
    </row>
    <row r="148" spans="1:11" ht="14.25">
      <c r="A148" s="69"/>
      <c r="B148" s="67"/>
      <c r="C148" s="19"/>
      <c r="D148" s="19"/>
      <c r="E148" s="19"/>
      <c r="F148" s="20"/>
      <c r="G148" s="19"/>
      <c r="H148" s="19"/>
      <c r="I148" s="20"/>
      <c r="J148" s="65"/>
      <c r="K148" s="65"/>
    </row>
    <row r="149" spans="1:11" ht="14.25">
      <c r="A149" s="69"/>
      <c r="B149" s="67"/>
      <c r="C149" s="19"/>
      <c r="D149" s="19"/>
      <c r="E149" s="19"/>
      <c r="F149" s="20"/>
      <c r="G149" s="19"/>
      <c r="H149" s="19"/>
      <c r="I149" s="20"/>
      <c r="J149" s="65"/>
      <c r="K149" s="65"/>
    </row>
    <row r="150" spans="1:11" ht="14.25">
      <c r="A150" s="69"/>
      <c r="B150" s="67"/>
      <c r="C150" s="19"/>
      <c r="D150" s="19"/>
      <c r="E150" s="19"/>
      <c r="F150" s="20"/>
      <c r="G150" s="19"/>
      <c r="H150" s="19"/>
      <c r="I150" s="20"/>
      <c r="J150" s="65"/>
      <c r="K150" s="65"/>
    </row>
    <row r="151" spans="1:11" ht="14.25">
      <c r="A151" s="69"/>
      <c r="B151" s="67"/>
      <c r="C151" s="19"/>
      <c r="D151" s="19"/>
      <c r="E151" s="19"/>
      <c r="F151" s="20"/>
      <c r="G151" s="19"/>
      <c r="H151" s="19"/>
      <c r="I151" s="20"/>
      <c r="J151" s="65"/>
      <c r="K151" s="65"/>
    </row>
    <row r="152" spans="1:11" ht="14.25">
      <c r="A152" s="69"/>
      <c r="B152" s="67"/>
      <c r="C152" s="19"/>
      <c r="D152" s="19"/>
      <c r="E152" s="19"/>
      <c r="F152" s="20"/>
      <c r="G152" s="19"/>
      <c r="H152" s="19"/>
      <c r="I152" s="20"/>
      <c r="J152" s="65"/>
      <c r="K152" s="65"/>
    </row>
    <row r="153" spans="1:11" ht="14.25">
      <c r="A153" s="69"/>
      <c r="B153" s="67"/>
      <c r="C153" s="19"/>
      <c r="D153" s="19"/>
      <c r="E153" s="19"/>
      <c r="F153" s="20"/>
      <c r="G153" s="19"/>
      <c r="H153" s="19"/>
      <c r="I153" s="20"/>
      <c r="J153" s="65"/>
      <c r="K153" s="65"/>
    </row>
    <row r="154" spans="1:11" ht="14.25">
      <c r="A154" s="69"/>
      <c r="B154" s="67"/>
      <c r="C154" s="19"/>
      <c r="D154" s="19"/>
      <c r="E154" s="19"/>
      <c r="F154" s="20"/>
      <c r="G154" s="19"/>
      <c r="H154" s="19"/>
      <c r="I154" s="20"/>
      <c r="J154" s="65"/>
      <c r="K154" s="65"/>
    </row>
    <row r="155" spans="1:11" ht="14.25">
      <c r="A155" s="69"/>
      <c r="B155" s="67"/>
      <c r="C155" s="19"/>
      <c r="D155" s="19"/>
      <c r="E155" s="19"/>
      <c r="F155" s="20"/>
      <c r="G155" s="19"/>
      <c r="H155" s="19"/>
      <c r="I155" s="20"/>
      <c r="J155" s="65"/>
      <c r="K155" s="65"/>
    </row>
    <row r="156" spans="1:11" ht="14.25">
      <c r="A156" s="69"/>
      <c r="B156" s="67"/>
      <c r="C156" s="19"/>
      <c r="D156" s="19"/>
      <c r="E156" s="19"/>
      <c r="F156" s="20"/>
      <c r="G156" s="19"/>
      <c r="H156" s="19"/>
      <c r="I156" s="20"/>
      <c r="J156" s="65"/>
      <c r="K156" s="65"/>
    </row>
    <row r="157" spans="1:11" ht="14.25">
      <c r="A157" s="69"/>
      <c r="B157" s="67"/>
      <c r="C157" s="19"/>
      <c r="D157" s="19"/>
      <c r="E157" s="19"/>
      <c r="F157" s="20"/>
      <c r="G157" s="19"/>
      <c r="H157" s="19"/>
      <c r="I157" s="20"/>
      <c r="J157" s="65"/>
      <c r="K157" s="65"/>
    </row>
    <row r="158" spans="1:11" ht="14.25">
      <c r="A158" s="69"/>
      <c r="B158" s="67"/>
      <c r="C158" s="19"/>
      <c r="D158" s="19"/>
      <c r="E158" s="19"/>
      <c r="F158" s="20"/>
      <c r="G158" s="19"/>
      <c r="H158" s="19"/>
      <c r="I158" s="20"/>
      <c r="J158" s="65"/>
      <c r="K158" s="65"/>
    </row>
    <row r="159" spans="1:11" ht="14.25">
      <c r="A159" s="69"/>
      <c r="B159" s="67"/>
      <c r="C159" s="19"/>
      <c r="D159" s="19"/>
      <c r="E159" s="19"/>
      <c r="F159" s="20"/>
      <c r="G159" s="19"/>
      <c r="H159" s="19"/>
      <c r="I159" s="20"/>
      <c r="J159" s="65"/>
      <c r="K159" s="65"/>
    </row>
    <row r="160" spans="1:11" ht="14.25">
      <c r="A160" s="69"/>
      <c r="B160" s="67"/>
      <c r="C160" s="19"/>
      <c r="D160" s="19"/>
      <c r="E160" s="19"/>
      <c r="F160" s="20"/>
      <c r="G160" s="19"/>
      <c r="H160" s="19"/>
      <c r="I160" s="20"/>
      <c r="J160" s="65"/>
      <c r="K160" s="65"/>
    </row>
    <row r="161" spans="1:11" ht="14.25">
      <c r="A161" s="69"/>
      <c r="B161" s="67"/>
      <c r="C161" s="19"/>
      <c r="D161" s="19"/>
      <c r="E161" s="19"/>
      <c r="F161" s="20"/>
      <c r="G161" s="19"/>
      <c r="H161" s="19"/>
      <c r="I161" s="20"/>
      <c r="J161" s="65"/>
      <c r="K161" s="65"/>
    </row>
    <row r="162" spans="1:11" ht="14.25">
      <c r="A162" s="69"/>
      <c r="B162" s="67"/>
      <c r="C162" s="19"/>
      <c r="D162" s="19"/>
      <c r="E162" s="19"/>
      <c r="F162" s="20"/>
      <c r="G162" s="19"/>
      <c r="H162" s="19"/>
      <c r="I162" s="20"/>
      <c r="J162" s="65"/>
      <c r="K162" s="65"/>
    </row>
    <row r="163" spans="1:11" ht="14.25">
      <c r="A163" s="69"/>
      <c r="B163" s="67"/>
      <c r="C163" s="19"/>
      <c r="D163" s="19"/>
      <c r="E163" s="19"/>
      <c r="F163" s="20"/>
      <c r="G163" s="19"/>
      <c r="H163" s="19"/>
      <c r="I163" s="20"/>
      <c r="J163" s="65"/>
      <c r="K163" s="65"/>
    </row>
    <row r="164" spans="1:11" ht="14.25">
      <c r="A164" s="69"/>
      <c r="B164" s="67"/>
      <c r="C164" s="19"/>
      <c r="D164" s="19"/>
      <c r="E164" s="19"/>
      <c r="F164" s="20"/>
      <c r="G164" s="19"/>
      <c r="H164" s="19"/>
      <c r="I164" s="20"/>
      <c r="J164" s="65"/>
      <c r="K164" s="65"/>
    </row>
    <row r="165" spans="1:11" ht="14.25">
      <c r="A165" s="69"/>
      <c r="B165" s="67"/>
      <c r="C165" s="19"/>
      <c r="D165" s="19"/>
      <c r="E165" s="19"/>
      <c r="F165" s="20"/>
      <c r="G165" s="19"/>
      <c r="H165" s="19"/>
      <c r="I165" s="20"/>
      <c r="J165" s="65"/>
      <c r="K165" s="65"/>
    </row>
    <row r="166" spans="1:11" ht="14.25">
      <c r="A166" s="69"/>
      <c r="B166" s="67"/>
      <c r="C166" s="19"/>
      <c r="D166" s="19"/>
      <c r="E166" s="19"/>
      <c r="F166" s="20"/>
      <c r="G166" s="19"/>
      <c r="H166" s="19"/>
      <c r="I166" s="20"/>
      <c r="J166" s="65"/>
      <c r="K166" s="65"/>
    </row>
    <row r="167" spans="1:11" ht="14.25">
      <c r="A167" s="69"/>
      <c r="B167" s="67"/>
      <c r="C167" s="19"/>
      <c r="D167" s="19"/>
      <c r="E167" s="19"/>
      <c r="F167" s="20"/>
      <c r="G167" s="19"/>
      <c r="H167" s="19"/>
      <c r="I167" s="20"/>
      <c r="J167" s="65"/>
      <c r="K167" s="65"/>
    </row>
    <row r="168" spans="1:11" ht="14.25">
      <c r="A168" s="69"/>
      <c r="B168" s="67"/>
      <c r="C168" s="19"/>
      <c r="D168" s="19"/>
      <c r="E168" s="19"/>
      <c r="F168" s="20"/>
      <c r="G168" s="19"/>
      <c r="H168" s="19"/>
      <c r="I168" s="20"/>
      <c r="J168" s="65"/>
      <c r="K168" s="65"/>
    </row>
    <row r="169" spans="1:11" ht="14.25">
      <c r="A169" s="69"/>
      <c r="B169" s="67"/>
      <c r="C169" s="19"/>
      <c r="D169" s="19"/>
      <c r="E169" s="19"/>
      <c r="F169" s="20"/>
      <c r="G169" s="19"/>
      <c r="H169" s="19"/>
      <c r="I169" s="20"/>
      <c r="J169" s="65"/>
      <c r="K169" s="65"/>
    </row>
    <row r="170" spans="1:11" ht="14.25">
      <c r="A170" s="69"/>
      <c r="B170" s="67"/>
      <c r="C170" s="19"/>
      <c r="D170" s="19"/>
      <c r="E170" s="19"/>
      <c r="F170" s="20"/>
      <c r="G170" s="19"/>
      <c r="H170" s="19"/>
      <c r="I170" s="20"/>
      <c r="J170" s="65"/>
      <c r="K170" s="65"/>
    </row>
    <row r="171" spans="1:11" ht="14.25">
      <c r="A171" s="69"/>
      <c r="B171" s="67"/>
      <c r="C171" s="19"/>
      <c r="D171" s="19"/>
      <c r="E171" s="19"/>
      <c r="F171" s="20"/>
      <c r="G171" s="19"/>
      <c r="H171" s="19"/>
      <c r="I171" s="20"/>
      <c r="J171" s="65"/>
      <c r="K171" s="65"/>
    </row>
    <row r="172" spans="1:11" ht="14.25">
      <c r="A172" s="69"/>
      <c r="B172" s="67"/>
      <c r="C172" s="19"/>
      <c r="D172" s="19"/>
      <c r="E172" s="19"/>
      <c r="F172" s="20"/>
      <c r="G172" s="19"/>
      <c r="H172" s="19"/>
      <c r="I172" s="20"/>
      <c r="J172" s="65"/>
      <c r="K172" s="65"/>
    </row>
    <row r="173" spans="1:11" ht="14.25">
      <c r="A173" s="69"/>
      <c r="B173" s="67"/>
      <c r="C173" s="19"/>
      <c r="D173" s="19"/>
      <c r="E173" s="19"/>
      <c r="F173" s="20"/>
      <c r="G173" s="19"/>
      <c r="H173" s="19"/>
      <c r="I173" s="20"/>
      <c r="J173" s="65"/>
      <c r="K173" s="65"/>
    </row>
    <row r="174" spans="1:11" ht="14.25">
      <c r="A174" s="69"/>
      <c r="B174" s="67"/>
      <c r="C174" s="19"/>
      <c r="D174" s="19"/>
      <c r="E174" s="19"/>
      <c r="F174" s="20"/>
      <c r="G174" s="19"/>
      <c r="H174" s="19"/>
      <c r="I174" s="20"/>
      <c r="J174" s="65"/>
      <c r="K174" s="65"/>
    </row>
    <row r="175" spans="1:11" ht="14.25">
      <c r="A175" s="69"/>
      <c r="B175" s="67"/>
      <c r="C175" s="19"/>
      <c r="D175" s="19"/>
      <c r="E175" s="19"/>
      <c r="F175" s="20"/>
      <c r="G175" s="19"/>
      <c r="H175" s="19"/>
      <c r="I175" s="20"/>
      <c r="J175" s="65"/>
      <c r="K175" s="65"/>
    </row>
    <row r="176" spans="1:11" ht="14.25">
      <c r="A176" s="69"/>
      <c r="B176" s="67"/>
      <c r="C176" s="19"/>
      <c r="D176" s="19"/>
      <c r="E176" s="19"/>
      <c r="F176" s="20"/>
      <c r="G176" s="19"/>
      <c r="H176" s="19"/>
      <c r="I176" s="20"/>
      <c r="J176" s="65"/>
      <c r="K176" s="65"/>
    </row>
    <row r="177" spans="1:11" ht="14.25">
      <c r="A177" s="69"/>
      <c r="B177" s="67"/>
      <c r="C177" s="19"/>
      <c r="D177" s="19"/>
      <c r="E177" s="19"/>
      <c r="F177" s="20"/>
      <c r="G177" s="19"/>
      <c r="H177" s="19"/>
      <c r="I177" s="20"/>
      <c r="J177" s="65"/>
      <c r="K177" s="65"/>
    </row>
    <row r="178" spans="1:11" ht="14.25">
      <c r="A178" s="69"/>
      <c r="B178" s="67"/>
      <c r="C178" s="19"/>
      <c r="D178" s="19"/>
      <c r="E178" s="19"/>
      <c r="F178" s="20"/>
      <c r="G178" s="19"/>
      <c r="H178" s="19"/>
      <c r="I178" s="20"/>
      <c r="J178" s="65"/>
      <c r="K178" s="65"/>
    </row>
    <row r="179" spans="1:11" ht="14.25">
      <c r="A179" s="69"/>
      <c r="B179" s="67"/>
      <c r="C179" s="19"/>
      <c r="D179" s="19"/>
      <c r="E179" s="19"/>
      <c r="F179" s="20"/>
      <c r="G179" s="19"/>
      <c r="H179" s="19"/>
      <c r="I179" s="20"/>
      <c r="J179" s="65"/>
      <c r="K179" s="65"/>
    </row>
    <row r="180" spans="1:11" ht="14.25">
      <c r="A180" s="69"/>
      <c r="B180" s="67"/>
      <c r="C180" s="19"/>
      <c r="D180" s="19"/>
      <c r="E180" s="19"/>
      <c r="F180" s="20"/>
      <c r="G180" s="19"/>
      <c r="H180" s="19"/>
      <c r="I180" s="20"/>
      <c r="J180" s="65"/>
      <c r="K180" s="65"/>
    </row>
    <row r="181" spans="1:11" ht="14.25">
      <c r="A181" s="69"/>
      <c r="B181" s="67"/>
      <c r="C181" s="19"/>
      <c r="D181" s="19"/>
      <c r="E181" s="19"/>
      <c r="F181" s="20"/>
      <c r="G181" s="19"/>
      <c r="H181" s="19"/>
      <c r="I181" s="20"/>
      <c r="J181" s="65"/>
      <c r="K181" s="65"/>
    </row>
    <row r="182" spans="1:11" ht="14.25">
      <c r="A182" s="69"/>
      <c r="B182" s="67"/>
      <c r="C182" s="19"/>
      <c r="D182" s="19"/>
      <c r="E182" s="19"/>
      <c r="F182" s="20"/>
      <c r="G182" s="19"/>
      <c r="H182" s="19"/>
      <c r="I182" s="20"/>
      <c r="J182" s="65"/>
      <c r="K182" s="65"/>
    </row>
    <row r="183" spans="1:11" ht="14.25">
      <c r="A183" s="69"/>
      <c r="B183" s="67"/>
      <c r="C183" s="19"/>
      <c r="D183" s="19"/>
      <c r="E183" s="19"/>
      <c r="F183" s="20"/>
      <c r="G183" s="19"/>
      <c r="H183" s="19"/>
      <c r="I183" s="20"/>
      <c r="J183" s="65"/>
      <c r="K183" s="65"/>
    </row>
    <row r="184" spans="1:11" ht="14.25">
      <c r="A184" s="69"/>
      <c r="B184" s="67"/>
      <c r="C184" s="19"/>
      <c r="D184" s="19"/>
      <c r="E184" s="19"/>
      <c r="F184" s="20"/>
      <c r="G184" s="19"/>
      <c r="H184" s="19"/>
      <c r="I184" s="20"/>
      <c r="J184" s="65"/>
      <c r="K184" s="65"/>
    </row>
    <row r="185" spans="1:11" ht="14.25">
      <c r="A185" s="69"/>
      <c r="B185" s="67"/>
      <c r="C185" s="19"/>
      <c r="D185" s="19"/>
      <c r="E185" s="19"/>
      <c r="F185" s="20"/>
      <c r="G185" s="19"/>
      <c r="H185" s="19"/>
      <c r="I185" s="20"/>
      <c r="J185" s="65"/>
      <c r="K185" s="65"/>
    </row>
    <row r="186" spans="1:11" ht="14.25">
      <c r="A186" s="69"/>
      <c r="B186" s="67"/>
      <c r="C186" s="19"/>
      <c r="D186" s="19"/>
      <c r="E186" s="19"/>
      <c r="F186" s="20"/>
      <c r="G186" s="19"/>
      <c r="H186" s="19"/>
      <c r="I186" s="20"/>
      <c r="J186" s="65"/>
      <c r="K186" s="65"/>
    </row>
    <row r="187" spans="1:11" ht="14.25">
      <c r="A187" s="69"/>
      <c r="B187" s="67"/>
      <c r="C187" s="19"/>
      <c r="D187" s="19"/>
      <c r="E187" s="19"/>
      <c r="F187" s="20"/>
      <c r="G187" s="19"/>
      <c r="H187" s="19"/>
      <c r="I187" s="20"/>
      <c r="J187" s="65"/>
      <c r="K187" s="65"/>
    </row>
    <row r="188" spans="1:11" ht="14.25">
      <c r="A188" s="69"/>
      <c r="B188" s="67"/>
      <c r="C188" s="19"/>
      <c r="D188" s="19"/>
      <c r="E188" s="19"/>
      <c r="F188" s="20"/>
      <c r="G188" s="19"/>
      <c r="H188" s="19"/>
      <c r="I188" s="20"/>
      <c r="J188" s="65"/>
      <c r="K188" s="65"/>
    </row>
    <row r="189" spans="1:11" ht="14.25">
      <c r="A189" s="69"/>
      <c r="B189" s="67"/>
      <c r="C189" s="19"/>
      <c r="D189" s="19"/>
      <c r="E189" s="19"/>
      <c r="F189" s="20"/>
      <c r="G189" s="19"/>
      <c r="H189" s="19"/>
      <c r="I189" s="20"/>
      <c r="J189" s="65"/>
      <c r="K189" s="65"/>
    </row>
    <row r="190" spans="1:11" ht="14.25">
      <c r="A190" s="69"/>
      <c r="B190" s="67"/>
      <c r="C190" s="19"/>
      <c r="D190" s="19"/>
      <c r="E190" s="19"/>
      <c r="F190" s="20"/>
      <c r="G190" s="19"/>
      <c r="H190" s="19"/>
      <c r="I190" s="20"/>
      <c r="J190" s="65"/>
      <c r="K190" s="65"/>
    </row>
    <row r="191" spans="1:11" ht="14.25">
      <c r="A191" s="69"/>
      <c r="B191" s="67"/>
      <c r="C191" s="19"/>
      <c r="D191" s="19"/>
      <c r="E191" s="19"/>
      <c r="F191" s="20"/>
      <c r="G191" s="19"/>
      <c r="H191" s="19"/>
      <c r="I191" s="20"/>
      <c r="J191" s="65"/>
      <c r="K191" s="65"/>
    </row>
    <row r="192" spans="1:11" ht="14.25">
      <c r="A192" s="69"/>
      <c r="B192" s="67"/>
      <c r="C192" s="19"/>
      <c r="D192" s="19"/>
      <c r="E192" s="19"/>
      <c r="F192" s="20"/>
      <c r="G192" s="19"/>
      <c r="H192" s="19"/>
      <c r="I192" s="20"/>
      <c r="J192" s="65"/>
      <c r="K192" s="65"/>
    </row>
    <row r="193" spans="1:11" ht="14.25">
      <c r="A193" s="69"/>
      <c r="B193" s="67"/>
      <c r="C193" s="19"/>
      <c r="D193" s="19"/>
      <c r="E193" s="19"/>
      <c r="F193" s="20"/>
      <c r="G193" s="19"/>
      <c r="H193" s="19"/>
      <c r="I193" s="20"/>
      <c r="J193" s="65"/>
      <c r="K193" s="65"/>
    </row>
    <row r="194" spans="1:11" ht="14.25">
      <c r="A194" s="69"/>
      <c r="B194" s="67"/>
      <c r="C194" s="19"/>
      <c r="D194" s="19"/>
      <c r="E194" s="19"/>
      <c r="F194" s="20"/>
      <c r="G194" s="19"/>
      <c r="H194" s="19"/>
      <c r="I194" s="20"/>
      <c r="J194" s="65"/>
      <c r="K194" s="65"/>
    </row>
    <row r="195" spans="1:11" ht="14.25">
      <c r="A195" s="69"/>
      <c r="B195" s="67"/>
      <c r="C195" s="19"/>
      <c r="D195" s="19"/>
      <c r="E195" s="19"/>
      <c r="F195" s="20"/>
      <c r="G195" s="19"/>
      <c r="H195" s="19"/>
      <c r="I195" s="20"/>
      <c r="J195" s="65"/>
      <c r="K195" s="65"/>
    </row>
    <row r="196" spans="1:11" ht="14.25">
      <c r="A196" s="69"/>
      <c r="B196" s="67"/>
      <c r="C196" s="19"/>
      <c r="D196" s="19"/>
      <c r="E196" s="19"/>
      <c r="F196" s="20"/>
      <c r="G196" s="19"/>
      <c r="H196" s="19"/>
      <c r="I196" s="20"/>
      <c r="J196" s="65"/>
      <c r="K196" s="65"/>
    </row>
    <row r="197" spans="1:11" ht="14.25">
      <c r="A197" s="69"/>
      <c r="B197" s="67"/>
      <c r="C197" s="19"/>
      <c r="D197" s="19"/>
      <c r="E197" s="19"/>
      <c r="F197" s="20"/>
      <c r="G197" s="19"/>
      <c r="H197" s="19"/>
      <c r="I197" s="20"/>
      <c r="J197" s="65"/>
      <c r="K197" s="65"/>
    </row>
    <row r="198" spans="1:11" ht="14.25">
      <c r="A198" s="69"/>
      <c r="B198" s="67"/>
      <c r="C198" s="19"/>
      <c r="D198" s="19"/>
      <c r="E198" s="19"/>
      <c r="F198" s="20"/>
      <c r="G198" s="19"/>
      <c r="H198" s="19"/>
      <c r="I198" s="20"/>
      <c r="J198" s="65"/>
      <c r="K198" s="65"/>
    </row>
    <row r="199" spans="1:11" ht="14.25">
      <c r="A199" s="69"/>
      <c r="B199" s="67"/>
      <c r="C199" s="19"/>
      <c r="D199" s="19"/>
      <c r="E199" s="19"/>
      <c r="F199" s="20"/>
      <c r="G199" s="19"/>
      <c r="H199" s="19"/>
      <c r="I199" s="20"/>
      <c r="J199" s="65"/>
      <c r="K199" s="65"/>
    </row>
    <row r="200" spans="1:11" ht="14.25">
      <c r="A200" s="69"/>
      <c r="B200" s="67"/>
      <c r="C200" s="19"/>
      <c r="D200" s="19"/>
      <c r="E200" s="19"/>
      <c r="F200" s="20"/>
      <c r="G200" s="19"/>
      <c r="H200" s="19"/>
      <c r="I200" s="20"/>
      <c r="J200" s="65"/>
      <c r="K200" s="65"/>
    </row>
    <row r="201" spans="1:11" ht="14.25">
      <c r="A201" s="69"/>
      <c r="B201" s="67"/>
      <c r="C201" s="19"/>
      <c r="D201" s="19"/>
      <c r="E201" s="19"/>
      <c r="F201" s="20"/>
      <c r="G201" s="19"/>
      <c r="H201" s="19"/>
      <c r="I201" s="20"/>
      <c r="J201" s="65"/>
      <c r="K201" s="65"/>
    </row>
    <row r="202" spans="1:11" ht="14.25">
      <c r="A202" s="69"/>
      <c r="B202" s="67"/>
      <c r="C202" s="19"/>
      <c r="D202" s="19"/>
      <c r="E202" s="19"/>
      <c r="F202" s="20"/>
      <c r="G202" s="19"/>
      <c r="H202" s="19"/>
      <c r="I202" s="20"/>
      <c r="J202" s="65"/>
      <c r="K202" s="65"/>
    </row>
    <row r="203" spans="1:11" ht="14.25">
      <c r="A203" s="69"/>
      <c r="B203" s="67"/>
      <c r="C203" s="19"/>
      <c r="D203" s="19"/>
      <c r="E203" s="19"/>
      <c r="F203" s="20"/>
      <c r="G203" s="19"/>
      <c r="H203" s="19"/>
      <c r="I203" s="20"/>
      <c r="J203" s="65"/>
      <c r="K203" s="65"/>
    </row>
    <row r="204" spans="1:11" ht="14.25">
      <c r="A204" s="69"/>
      <c r="B204" s="67"/>
      <c r="C204" s="19"/>
      <c r="D204" s="19"/>
      <c r="E204" s="19"/>
      <c r="F204" s="20"/>
      <c r="G204" s="19"/>
      <c r="H204" s="19"/>
      <c r="I204" s="20"/>
      <c r="J204" s="65"/>
      <c r="K204" s="65"/>
    </row>
    <row r="205" spans="1:11" ht="14.25">
      <c r="A205" s="69"/>
      <c r="B205" s="67"/>
      <c r="C205" s="19"/>
      <c r="D205" s="19"/>
      <c r="E205" s="19"/>
      <c r="F205" s="20"/>
      <c r="G205" s="19"/>
      <c r="H205" s="19"/>
      <c r="I205" s="20"/>
      <c r="J205" s="65"/>
      <c r="K205" s="65"/>
    </row>
    <row r="206" spans="1:11" ht="14.25">
      <c r="A206" s="69"/>
      <c r="B206" s="67"/>
      <c r="C206" s="19"/>
      <c r="D206" s="19"/>
      <c r="E206" s="19"/>
      <c r="F206" s="20"/>
      <c r="G206" s="19"/>
      <c r="H206" s="19"/>
      <c r="I206" s="20"/>
      <c r="J206" s="65"/>
      <c r="K206" s="65"/>
    </row>
    <row r="207" spans="1:11" ht="14.25">
      <c r="A207" s="69"/>
      <c r="B207" s="67"/>
      <c r="C207" s="19"/>
      <c r="D207" s="19"/>
      <c r="E207" s="19"/>
      <c r="F207" s="20"/>
      <c r="G207" s="19"/>
      <c r="H207" s="19"/>
      <c r="I207" s="20"/>
      <c r="J207" s="65"/>
      <c r="K207" s="65"/>
    </row>
    <row r="208" spans="1:11" ht="14.25">
      <c r="A208" s="69"/>
      <c r="B208" s="67"/>
      <c r="C208" s="19"/>
      <c r="D208" s="19"/>
      <c r="E208" s="19"/>
      <c r="F208" s="20"/>
      <c r="G208" s="19"/>
      <c r="H208" s="19"/>
      <c r="I208" s="20"/>
      <c r="J208" s="65"/>
      <c r="K208" s="65"/>
    </row>
    <row r="209" spans="1:11" ht="14.25">
      <c r="A209" s="69"/>
      <c r="B209" s="67"/>
      <c r="C209" s="19"/>
      <c r="D209" s="19"/>
      <c r="E209" s="19"/>
      <c r="F209" s="20"/>
      <c r="G209" s="19"/>
      <c r="H209" s="19"/>
      <c r="I209" s="20"/>
      <c r="J209" s="65"/>
      <c r="K209" s="65"/>
    </row>
    <row r="210" spans="1:11" ht="14.25">
      <c r="A210" s="69"/>
      <c r="B210" s="67"/>
      <c r="C210" s="19"/>
      <c r="D210" s="19"/>
      <c r="E210" s="19"/>
      <c r="F210" s="20"/>
      <c r="G210" s="19"/>
      <c r="H210" s="19"/>
      <c r="I210" s="20"/>
      <c r="J210" s="65"/>
      <c r="K210" s="65"/>
    </row>
    <row r="211" spans="1:11" ht="14.25">
      <c r="A211" s="69"/>
      <c r="B211" s="67"/>
      <c r="C211" s="19"/>
      <c r="D211" s="19"/>
      <c r="E211" s="19"/>
      <c r="F211" s="20"/>
      <c r="G211" s="19"/>
      <c r="H211" s="19"/>
      <c r="I211" s="20"/>
      <c r="J211" s="65"/>
      <c r="K211" s="65"/>
    </row>
    <row r="212" spans="1:11" ht="14.25">
      <c r="A212" s="69"/>
      <c r="B212" s="67"/>
      <c r="C212" s="19"/>
      <c r="D212" s="19"/>
      <c r="E212" s="19"/>
      <c r="F212" s="20"/>
      <c r="G212" s="19"/>
      <c r="H212" s="19"/>
      <c r="I212" s="20"/>
      <c r="J212" s="65"/>
      <c r="K212" s="65"/>
    </row>
    <row r="213" spans="1:11" ht="14.25">
      <c r="A213" s="69"/>
      <c r="B213" s="67"/>
      <c r="C213" s="19"/>
      <c r="D213" s="19"/>
      <c r="E213" s="19"/>
      <c r="F213" s="20"/>
      <c r="G213" s="19"/>
      <c r="H213" s="19"/>
      <c r="I213" s="20"/>
      <c r="J213" s="65"/>
      <c r="K213" s="65"/>
    </row>
    <row r="214" spans="1:11" ht="14.25">
      <c r="A214" s="69"/>
      <c r="B214" s="67"/>
      <c r="C214" s="19"/>
      <c r="D214" s="19"/>
      <c r="E214" s="19"/>
      <c r="F214" s="20"/>
      <c r="G214" s="19"/>
      <c r="H214" s="19"/>
      <c r="I214" s="20"/>
      <c r="J214" s="65"/>
      <c r="K214" s="65"/>
    </row>
    <row r="215" spans="1:11" ht="14.25">
      <c r="A215" s="69"/>
      <c r="B215" s="67"/>
      <c r="C215" s="19"/>
      <c r="D215" s="19"/>
      <c r="E215" s="19"/>
      <c r="F215" s="20"/>
      <c r="G215" s="19"/>
      <c r="H215" s="19"/>
      <c r="I215" s="20"/>
      <c r="J215" s="65"/>
      <c r="K215" s="65"/>
    </row>
    <row r="216" spans="1:11" ht="14.25">
      <c r="A216" s="69"/>
      <c r="B216" s="67"/>
      <c r="C216" s="19"/>
      <c r="D216" s="19"/>
      <c r="E216" s="19"/>
      <c r="F216" s="20"/>
      <c r="G216" s="19"/>
      <c r="H216" s="19"/>
      <c r="I216" s="20"/>
      <c r="J216" s="65"/>
      <c r="K216" s="65"/>
    </row>
    <row r="217" spans="1:11" ht="14.25">
      <c r="A217" s="69"/>
      <c r="B217" s="67"/>
      <c r="C217" s="19"/>
      <c r="D217" s="19"/>
      <c r="E217" s="19"/>
      <c r="F217" s="20"/>
      <c r="G217" s="19"/>
      <c r="H217" s="19"/>
      <c r="I217" s="20"/>
      <c r="J217" s="65"/>
      <c r="K217" s="65"/>
    </row>
    <row r="218" spans="1:11" ht="14.25">
      <c r="A218" s="69"/>
      <c r="B218" s="67"/>
      <c r="C218" s="19"/>
      <c r="D218" s="19"/>
      <c r="E218" s="19"/>
      <c r="F218" s="20"/>
      <c r="G218" s="19"/>
      <c r="H218" s="19"/>
      <c r="I218" s="20"/>
      <c r="J218" s="65"/>
      <c r="K218" s="65"/>
    </row>
    <row r="219" spans="1:11" ht="14.25">
      <c r="A219" s="69"/>
      <c r="B219" s="67"/>
      <c r="C219" s="19"/>
      <c r="D219" s="19"/>
      <c r="E219" s="19"/>
      <c r="F219" s="20"/>
      <c r="G219" s="19"/>
      <c r="H219" s="19"/>
      <c r="I219" s="20"/>
      <c r="J219" s="65"/>
      <c r="K219" s="65"/>
    </row>
    <row r="220" spans="1:11" ht="14.25">
      <c r="A220" s="69"/>
      <c r="B220" s="67"/>
      <c r="C220" s="19"/>
      <c r="D220" s="19"/>
      <c r="E220" s="19"/>
      <c r="F220" s="20"/>
      <c r="G220" s="19"/>
      <c r="H220" s="19"/>
      <c r="I220" s="20"/>
      <c r="J220" s="65"/>
      <c r="K220" s="65"/>
    </row>
    <row r="221" spans="1:11" ht="14.25">
      <c r="A221" s="69"/>
      <c r="B221" s="67"/>
      <c r="C221" s="19"/>
      <c r="D221" s="19"/>
      <c r="E221" s="19"/>
      <c r="F221" s="20"/>
      <c r="G221" s="19"/>
      <c r="H221" s="19"/>
      <c r="I221" s="20"/>
      <c r="J221" s="65"/>
      <c r="K221" s="65"/>
    </row>
    <row r="222" spans="1:11" ht="14.25">
      <c r="A222" s="69"/>
      <c r="B222" s="67"/>
      <c r="C222" s="19"/>
      <c r="D222" s="19"/>
      <c r="E222" s="19"/>
      <c r="F222" s="20"/>
      <c r="G222" s="19"/>
      <c r="H222" s="19"/>
      <c r="I222" s="20"/>
      <c r="J222" s="65"/>
      <c r="K222" s="65"/>
    </row>
    <row r="223" spans="1:11" ht="14.25">
      <c r="A223" s="69"/>
      <c r="B223" s="67"/>
      <c r="C223" s="19"/>
      <c r="D223" s="19"/>
      <c r="E223" s="19"/>
      <c r="F223" s="20"/>
      <c r="G223" s="19"/>
      <c r="H223" s="19"/>
      <c r="I223" s="20"/>
      <c r="J223" s="65"/>
      <c r="K223" s="65"/>
    </row>
    <row r="224" spans="1:11" ht="14.25">
      <c r="A224" s="69"/>
      <c r="B224" s="67"/>
      <c r="C224" s="19"/>
      <c r="D224" s="19"/>
      <c r="E224" s="19"/>
      <c r="F224" s="20"/>
      <c r="G224" s="19"/>
      <c r="H224" s="19"/>
      <c r="I224" s="20"/>
      <c r="J224" s="65"/>
      <c r="K224" s="65"/>
    </row>
    <row r="225" spans="1:11" ht="14.25">
      <c r="A225" s="69"/>
      <c r="B225" s="67"/>
      <c r="C225" s="19"/>
      <c r="D225" s="19"/>
      <c r="E225" s="19"/>
      <c r="F225" s="20"/>
      <c r="G225" s="19"/>
      <c r="H225" s="19"/>
      <c r="I225" s="20"/>
      <c r="J225" s="65"/>
      <c r="K225" s="65"/>
    </row>
    <row r="226" spans="1:11" ht="14.25">
      <c r="A226" s="69"/>
      <c r="B226" s="67"/>
      <c r="C226" s="19"/>
      <c r="D226" s="19"/>
      <c r="E226" s="19"/>
      <c r="F226" s="20"/>
      <c r="G226" s="19"/>
      <c r="H226" s="19"/>
      <c r="I226" s="20"/>
      <c r="J226" s="65"/>
      <c r="K226" s="65"/>
    </row>
    <row r="227" spans="1:11" ht="14.25">
      <c r="A227" s="69"/>
      <c r="B227" s="67"/>
      <c r="C227" s="19"/>
      <c r="D227" s="19"/>
      <c r="E227" s="19"/>
      <c r="F227" s="20"/>
      <c r="G227" s="19"/>
      <c r="H227" s="19"/>
      <c r="I227" s="20"/>
      <c r="J227" s="65"/>
      <c r="K227" s="65"/>
    </row>
    <row r="228" spans="1:11" ht="14.25">
      <c r="A228" s="69"/>
      <c r="B228" s="67"/>
      <c r="C228" s="19"/>
      <c r="D228" s="19"/>
      <c r="E228" s="19"/>
      <c r="F228" s="20"/>
      <c r="G228" s="19"/>
      <c r="H228" s="19"/>
      <c r="I228" s="20"/>
      <c r="J228" s="65"/>
      <c r="K228" s="65"/>
    </row>
    <row r="229" spans="1:11" ht="14.25">
      <c r="A229" s="69"/>
      <c r="B229" s="67"/>
      <c r="C229" s="19"/>
      <c r="D229" s="19"/>
      <c r="E229" s="19"/>
      <c r="F229" s="20"/>
      <c r="G229" s="19"/>
      <c r="H229" s="19"/>
      <c r="I229" s="20"/>
      <c r="J229" s="65"/>
      <c r="K229" s="65"/>
    </row>
    <row r="230" spans="1:11" ht="14.25">
      <c r="A230" s="69"/>
      <c r="B230" s="67"/>
      <c r="C230" s="19"/>
      <c r="D230" s="19"/>
      <c r="E230" s="19"/>
      <c r="F230" s="20"/>
      <c r="G230" s="19"/>
      <c r="H230" s="19"/>
      <c r="I230" s="20"/>
      <c r="J230" s="65"/>
      <c r="K230" s="65"/>
    </row>
    <row r="231" spans="1:11" ht="14.25">
      <c r="A231" s="69"/>
      <c r="B231" s="67"/>
      <c r="C231" s="19"/>
      <c r="D231" s="19"/>
      <c r="E231" s="19"/>
      <c r="F231" s="20"/>
      <c r="G231" s="19"/>
      <c r="H231" s="19"/>
      <c r="I231" s="20"/>
      <c r="J231" s="65"/>
      <c r="K231" s="65"/>
    </row>
    <row r="232" spans="1:11" ht="14.25">
      <c r="A232" s="69"/>
      <c r="B232" s="67"/>
      <c r="C232" s="19"/>
      <c r="D232" s="19"/>
      <c r="E232" s="19"/>
      <c r="F232" s="20"/>
      <c r="G232" s="19"/>
      <c r="H232" s="19"/>
      <c r="I232" s="20"/>
      <c r="J232" s="65"/>
      <c r="K232" s="65"/>
    </row>
    <row r="233" spans="1:11" ht="14.25">
      <c r="A233" s="69"/>
      <c r="B233" s="67"/>
      <c r="C233" s="19"/>
      <c r="D233" s="19"/>
      <c r="E233" s="19"/>
      <c r="F233" s="20"/>
      <c r="G233" s="19"/>
      <c r="H233" s="19"/>
      <c r="I233" s="20"/>
      <c r="J233" s="65"/>
      <c r="K233" s="65"/>
    </row>
    <row r="234" spans="1:11" ht="14.25">
      <c r="A234" s="69"/>
      <c r="B234" s="67"/>
      <c r="C234" s="19"/>
      <c r="D234" s="19"/>
      <c r="E234" s="19"/>
      <c r="F234" s="20"/>
      <c r="G234" s="19"/>
      <c r="H234" s="19"/>
      <c r="I234" s="20"/>
      <c r="J234" s="65"/>
      <c r="K234" s="65"/>
    </row>
    <row r="235" spans="1:11" ht="14.25">
      <c r="A235" s="69"/>
      <c r="B235" s="67"/>
      <c r="C235" s="19"/>
      <c r="D235" s="19"/>
      <c r="E235" s="19"/>
      <c r="F235" s="20"/>
      <c r="G235" s="19"/>
      <c r="H235" s="19"/>
      <c r="I235" s="20"/>
      <c r="J235" s="65"/>
      <c r="K235" s="65"/>
    </row>
    <row r="236" spans="1:11" ht="14.25">
      <c r="A236" s="69"/>
      <c r="B236" s="67"/>
      <c r="C236" s="19"/>
      <c r="D236" s="19"/>
      <c r="E236" s="19"/>
      <c r="F236" s="20"/>
      <c r="G236" s="19"/>
      <c r="H236" s="19"/>
      <c r="I236" s="20"/>
      <c r="J236" s="65"/>
      <c r="K236" s="65"/>
    </row>
    <row r="237" spans="1:11" ht="14.25">
      <c r="A237" s="69"/>
      <c r="B237" s="67"/>
      <c r="C237" s="19"/>
      <c r="D237" s="19"/>
      <c r="E237" s="19"/>
      <c r="F237" s="20"/>
      <c r="G237" s="19"/>
      <c r="H237" s="19"/>
      <c r="I237" s="20"/>
      <c r="J237" s="65"/>
      <c r="K237" s="65"/>
    </row>
    <row r="238" spans="1:11" ht="14.25">
      <c r="A238" s="69"/>
      <c r="B238" s="67"/>
      <c r="C238" s="19"/>
      <c r="D238" s="19"/>
      <c r="E238" s="19"/>
      <c r="F238" s="20"/>
      <c r="G238" s="19"/>
      <c r="H238" s="19"/>
      <c r="I238" s="20"/>
      <c r="J238" s="65"/>
      <c r="K238" s="65"/>
    </row>
    <row r="239" spans="1:11" ht="14.25">
      <c r="A239" s="69"/>
      <c r="B239" s="67"/>
      <c r="C239" s="19"/>
      <c r="D239" s="19"/>
      <c r="E239" s="19"/>
      <c r="F239" s="20"/>
      <c r="G239" s="19"/>
      <c r="H239" s="19"/>
      <c r="I239" s="20"/>
      <c r="J239" s="65"/>
      <c r="K239" s="65"/>
    </row>
    <row r="240" spans="1:11" ht="14.25">
      <c r="A240" s="69"/>
      <c r="B240" s="67"/>
      <c r="C240" s="19"/>
      <c r="D240" s="19"/>
      <c r="E240" s="19"/>
      <c r="F240" s="20"/>
      <c r="G240" s="19"/>
      <c r="H240" s="19"/>
      <c r="I240" s="20"/>
      <c r="J240" s="65"/>
      <c r="K240" s="65"/>
    </row>
    <row r="241" spans="1:11" ht="14.25">
      <c r="A241" s="69"/>
      <c r="B241" s="67"/>
      <c r="C241" s="19"/>
      <c r="D241" s="19"/>
      <c r="E241" s="19"/>
      <c r="F241" s="20"/>
      <c r="G241" s="19"/>
      <c r="H241" s="19"/>
      <c r="I241" s="20"/>
      <c r="J241" s="65"/>
      <c r="K241" s="65"/>
    </row>
    <row r="242" spans="1:11" ht="14.25">
      <c r="A242" s="69"/>
      <c r="B242" s="67"/>
      <c r="C242" s="19"/>
      <c r="D242" s="19"/>
      <c r="E242" s="19"/>
      <c r="F242" s="20"/>
      <c r="G242" s="19"/>
      <c r="H242" s="19"/>
      <c r="I242" s="20"/>
      <c r="J242" s="65"/>
      <c r="K242" s="65"/>
    </row>
    <row r="243" spans="1:11" ht="14.25">
      <c r="A243" s="69"/>
      <c r="B243" s="67"/>
      <c r="C243" s="19"/>
      <c r="D243" s="19"/>
      <c r="E243" s="19"/>
      <c r="F243" s="20"/>
      <c r="G243" s="19"/>
      <c r="H243" s="19"/>
      <c r="I243" s="20"/>
      <c r="J243" s="65"/>
      <c r="K243" s="65"/>
    </row>
    <row r="244" spans="1:11" ht="14.25">
      <c r="A244" s="69"/>
      <c r="B244" s="67"/>
      <c r="C244" s="19"/>
      <c r="D244" s="19"/>
      <c r="E244" s="19"/>
      <c r="F244" s="20"/>
      <c r="G244" s="19"/>
      <c r="H244" s="19"/>
      <c r="I244" s="20"/>
      <c r="J244" s="65"/>
      <c r="K244" s="65"/>
    </row>
    <row r="245" spans="1:11" ht="14.25">
      <c r="A245" s="69"/>
      <c r="B245" s="67"/>
      <c r="C245" s="19"/>
      <c r="D245" s="19"/>
      <c r="E245" s="19"/>
      <c r="F245" s="20"/>
      <c r="G245" s="19"/>
      <c r="H245" s="19"/>
      <c r="I245" s="20"/>
      <c r="J245" s="65"/>
      <c r="K245" s="65"/>
    </row>
    <row r="246" spans="1:11" ht="14.25">
      <c r="A246" s="69"/>
      <c r="B246" s="67"/>
      <c r="C246" s="19"/>
      <c r="D246" s="19"/>
      <c r="E246" s="19"/>
      <c r="F246" s="20"/>
      <c r="G246" s="19"/>
      <c r="H246" s="19"/>
      <c r="I246" s="20"/>
      <c r="J246" s="65"/>
      <c r="K246" s="65"/>
    </row>
    <row r="247" spans="1:11" ht="14.25">
      <c r="A247" s="69"/>
      <c r="B247" s="67"/>
      <c r="C247" s="19"/>
      <c r="D247" s="19"/>
      <c r="E247" s="19"/>
      <c r="F247" s="20"/>
      <c r="G247" s="19"/>
      <c r="H247" s="19"/>
      <c r="I247" s="20"/>
      <c r="J247" s="65"/>
      <c r="K247" s="65"/>
    </row>
    <row r="248" spans="1:11" ht="14.25">
      <c r="A248" s="69"/>
      <c r="B248" s="67"/>
      <c r="C248" s="19"/>
      <c r="D248" s="19"/>
      <c r="E248" s="19"/>
      <c r="F248" s="20"/>
      <c r="G248" s="19"/>
      <c r="H248" s="19"/>
      <c r="I248" s="20"/>
      <c r="J248" s="65"/>
      <c r="K248" s="65"/>
    </row>
    <row r="249" spans="1:11" ht="14.25">
      <c r="A249" s="69"/>
      <c r="B249" s="67"/>
      <c r="C249" s="19"/>
      <c r="D249" s="19"/>
      <c r="E249" s="19"/>
      <c r="F249" s="20"/>
      <c r="G249" s="19"/>
      <c r="H249" s="19"/>
      <c r="I249" s="20"/>
      <c r="J249" s="65"/>
      <c r="K249" s="65"/>
    </row>
    <row r="250" spans="1:11" ht="14.25">
      <c r="A250" s="69"/>
      <c r="B250" s="67"/>
      <c r="C250" s="19"/>
      <c r="D250" s="19"/>
      <c r="E250" s="19"/>
      <c r="F250" s="20"/>
      <c r="G250" s="19"/>
      <c r="H250" s="19"/>
      <c r="I250" s="20"/>
      <c r="J250" s="65"/>
      <c r="K250" s="65"/>
    </row>
    <row r="251" spans="1:11" ht="14.25">
      <c r="A251" s="69"/>
      <c r="B251" s="67"/>
      <c r="C251" s="19"/>
      <c r="D251" s="19"/>
      <c r="E251" s="19"/>
      <c r="F251" s="20"/>
      <c r="G251" s="19"/>
      <c r="H251" s="19"/>
      <c r="I251" s="20"/>
      <c r="J251" s="65"/>
      <c r="K251" s="65"/>
    </row>
    <row r="252" spans="1:11" ht="14.25">
      <c r="A252" s="69"/>
      <c r="B252" s="67"/>
      <c r="C252" s="19"/>
      <c r="D252" s="19"/>
      <c r="E252" s="19"/>
      <c r="F252" s="20"/>
      <c r="G252" s="19"/>
      <c r="H252" s="19"/>
      <c r="I252" s="20"/>
      <c r="J252" s="65"/>
      <c r="K252" s="65"/>
    </row>
    <row r="253" spans="1:11" ht="14.25">
      <c r="A253" s="69"/>
      <c r="B253" s="67"/>
      <c r="C253" s="19"/>
      <c r="D253" s="19"/>
      <c r="E253" s="19"/>
      <c r="F253" s="20"/>
      <c r="G253" s="19"/>
      <c r="H253" s="19"/>
      <c r="I253" s="20"/>
      <c r="J253" s="65"/>
      <c r="K253" s="65"/>
    </row>
    <row r="254" spans="1:11" ht="14.25">
      <c r="A254" s="69"/>
      <c r="B254" s="67"/>
      <c r="C254" s="19"/>
      <c r="D254" s="19"/>
      <c r="E254" s="19"/>
      <c r="F254" s="20"/>
      <c r="G254" s="19"/>
      <c r="H254" s="19"/>
      <c r="I254" s="20"/>
      <c r="J254" s="65"/>
      <c r="K254" s="65"/>
    </row>
    <row r="255" spans="1:11" ht="14.25">
      <c r="A255" s="69"/>
      <c r="B255" s="67"/>
      <c r="C255" s="19"/>
      <c r="D255" s="19"/>
      <c r="E255" s="19"/>
      <c r="F255" s="20"/>
      <c r="G255" s="19"/>
      <c r="H255" s="19"/>
      <c r="I255" s="20"/>
      <c r="J255" s="65"/>
      <c r="K255" s="65"/>
    </row>
    <row r="256" spans="1:11" ht="14.25">
      <c r="A256" s="69"/>
      <c r="B256" s="67"/>
      <c r="C256" s="19"/>
      <c r="D256" s="19"/>
      <c r="E256" s="19"/>
      <c r="F256" s="20"/>
      <c r="G256" s="19"/>
      <c r="H256" s="19"/>
      <c r="I256" s="20"/>
      <c r="J256" s="65"/>
      <c r="K256" s="65"/>
    </row>
    <row r="257" spans="1:11" ht="14.25">
      <c r="A257" s="69"/>
      <c r="B257" s="67"/>
      <c r="C257" s="19"/>
      <c r="D257" s="19"/>
      <c r="E257" s="19"/>
      <c r="F257" s="20"/>
      <c r="G257" s="19"/>
      <c r="H257" s="19"/>
      <c r="I257" s="20"/>
      <c r="J257" s="65"/>
      <c r="K257" s="65"/>
    </row>
    <row r="258" spans="1:11" ht="14.25">
      <c r="A258" s="69"/>
      <c r="B258" s="67"/>
      <c r="C258" s="19"/>
      <c r="D258" s="19"/>
      <c r="E258" s="19"/>
      <c r="F258" s="20"/>
      <c r="G258" s="19"/>
      <c r="H258" s="19"/>
      <c r="I258" s="20"/>
      <c r="J258" s="65"/>
      <c r="K258" s="65"/>
    </row>
    <row r="259" spans="1:11" ht="14.25">
      <c r="A259" s="69"/>
      <c r="B259" s="67"/>
      <c r="C259" s="19"/>
      <c r="D259" s="19"/>
      <c r="E259" s="19"/>
      <c r="F259" s="20"/>
      <c r="G259" s="19"/>
      <c r="H259" s="19"/>
      <c r="I259" s="20"/>
      <c r="J259" s="65"/>
      <c r="K259" s="65"/>
    </row>
    <row r="260" spans="1:11" ht="14.25">
      <c r="A260" s="69"/>
      <c r="B260" s="67"/>
      <c r="C260" s="19"/>
      <c r="D260" s="19"/>
      <c r="E260" s="19"/>
      <c r="F260" s="20"/>
      <c r="G260" s="19"/>
      <c r="H260" s="19"/>
      <c r="I260" s="20"/>
      <c r="J260" s="65"/>
      <c r="K260" s="65"/>
    </row>
    <row r="261" spans="1:11" ht="14.25">
      <c r="A261" s="69"/>
      <c r="B261" s="67"/>
      <c r="C261" s="19"/>
      <c r="D261" s="19"/>
      <c r="E261" s="19"/>
      <c r="F261" s="20"/>
      <c r="G261" s="19"/>
      <c r="H261" s="19"/>
      <c r="I261" s="20"/>
      <c r="J261" s="65"/>
      <c r="K261" s="65"/>
    </row>
    <row r="262" spans="1:11" ht="14.25">
      <c r="A262" s="69"/>
      <c r="B262" s="67"/>
      <c r="C262" s="19"/>
      <c r="D262" s="19"/>
      <c r="E262" s="19"/>
      <c r="F262" s="20"/>
      <c r="G262" s="19"/>
      <c r="H262" s="19"/>
      <c r="I262" s="20"/>
      <c r="J262" s="65"/>
      <c r="K262" s="65"/>
    </row>
    <row r="263" spans="1:11" ht="14.25">
      <c r="A263" s="69"/>
      <c r="B263" s="67"/>
      <c r="C263" s="19"/>
      <c r="D263" s="19"/>
      <c r="E263" s="19"/>
      <c r="F263" s="20"/>
      <c r="G263" s="19"/>
      <c r="H263" s="19"/>
      <c r="I263" s="20"/>
      <c r="J263" s="65"/>
      <c r="K263" s="65"/>
    </row>
    <row r="264" spans="1:11" ht="14.25">
      <c r="A264" s="69"/>
      <c r="B264" s="67"/>
      <c r="C264" s="19"/>
      <c r="D264" s="19"/>
      <c r="E264" s="19"/>
      <c r="F264" s="20"/>
      <c r="G264" s="19"/>
      <c r="H264" s="19"/>
      <c r="I264" s="20"/>
      <c r="J264" s="65"/>
      <c r="K264" s="65"/>
    </row>
    <row r="265" spans="1:11" ht="14.25">
      <c r="A265" s="69"/>
      <c r="B265" s="67"/>
      <c r="C265" s="19"/>
      <c r="D265" s="19"/>
      <c r="E265" s="19"/>
      <c r="F265" s="20"/>
      <c r="G265" s="19"/>
      <c r="H265" s="19"/>
      <c r="I265" s="20"/>
      <c r="J265" s="65"/>
      <c r="K265" s="65"/>
    </row>
    <row r="266" spans="1:11" ht="14.25">
      <c r="A266" s="69"/>
      <c r="B266" s="67"/>
      <c r="C266" s="19"/>
      <c r="D266" s="19"/>
      <c r="E266" s="19"/>
      <c r="F266" s="20"/>
      <c r="G266" s="19"/>
      <c r="H266" s="19"/>
      <c r="I266" s="20"/>
      <c r="J266" s="65"/>
      <c r="K266" s="65"/>
    </row>
    <row r="267" spans="1:11" ht="14.25">
      <c r="A267" s="69"/>
      <c r="B267" s="67"/>
      <c r="C267" s="19"/>
      <c r="D267" s="19"/>
      <c r="E267" s="19"/>
      <c r="F267" s="20"/>
      <c r="G267" s="19"/>
      <c r="H267" s="19"/>
      <c r="I267" s="20"/>
      <c r="J267" s="65"/>
      <c r="K267" s="65"/>
    </row>
    <row r="268" spans="1:11" ht="14.25">
      <c r="A268" s="69"/>
      <c r="B268" s="67"/>
      <c r="C268" s="19"/>
      <c r="D268" s="19"/>
      <c r="E268" s="19"/>
      <c r="F268" s="20"/>
      <c r="G268" s="19"/>
      <c r="H268" s="19"/>
      <c r="I268" s="20"/>
      <c r="J268" s="65"/>
      <c r="K268" s="65"/>
    </row>
    <row r="269" spans="1:11" ht="14.25">
      <c r="A269" s="69"/>
      <c r="B269" s="67"/>
      <c r="C269" s="19"/>
      <c r="D269" s="19"/>
      <c r="E269" s="19"/>
      <c r="F269" s="20"/>
      <c r="G269" s="19"/>
      <c r="H269" s="19"/>
      <c r="I269" s="20"/>
      <c r="J269" s="65"/>
      <c r="K269" s="65"/>
    </row>
    <row r="270" spans="1:11" ht="14.25">
      <c r="A270" s="69"/>
      <c r="B270" s="67"/>
      <c r="C270" s="19"/>
      <c r="D270" s="19"/>
      <c r="E270" s="19"/>
      <c r="F270" s="20"/>
      <c r="G270" s="19"/>
      <c r="H270" s="19"/>
      <c r="I270" s="20"/>
      <c r="J270" s="65"/>
      <c r="K270" s="65"/>
    </row>
    <row r="271" spans="1:11" ht="14.25">
      <c r="A271" s="69"/>
      <c r="B271" s="67"/>
      <c r="C271" s="19"/>
      <c r="D271" s="19"/>
      <c r="E271" s="19"/>
      <c r="F271" s="20"/>
      <c r="G271" s="19"/>
      <c r="H271" s="19"/>
      <c r="I271" s="20"/>
      <c r="J271" s="65"/>
      <c r="K271" s="65"/>
    </row>
    <row r="272" spans="1:11" ht="14.25">
      <c r="A272" s="69"/>
      <c r="B272" s="67"/>
      <c r="C272" s="19"/>
      <c r="D272" s="19"/>
      <c r="E272" s="19"/>
      <c r="F272" s="20"/>
      <c r="G272" s="19"/>
      <c r="H272" s="19"/>
      <c r="I272" s="20"/>
      <c r="J272" s="65"/>
      <c r="K272" s="65"/>
    </row>
    <row r="273" spans="1:11" ht="14.25">
      <c r="A273" s="69"/>
      <c r="B273" s="67"/>
      <c r="C273" s="19"/>
      <c r="D273" s="19"/>
      <c r="E273" s="19"/>
      <c r="F273" s="20"/>
      <c r="G273" s="19"/>
      <c r="H273" s="19"/>
      <c r="I273" s="20"/>
      <c r="J273" s="65"/>
      <c r="K273" s="65"/>
    </row>
    <row r="274" spans="1:11" ht="14.25">
      <c r="A274" s="69"/>
      <c r="B274" s="67"/>
      <c r="C274" s="19"/>
      <c r="D274" s="19"/>
      <c r="E274" s="19"/>
      <c r="F274" s="20"/>
      <c r="G274" s="19"/>
      <c r="H274" s="19"/>
      <c r="I274" s="20"/>
      <c r="J274" s="65"/>
      <c r="K274" s="65"/>
    </row>
    <row r="275" spans="1:11" ht="14.25">
      <c r="A275" s="69"/>
      <c r="B275" s="67"/>
      <c r="C275" s="19"/>
      <c r="D275" s="19"/>
      <c r="E275" s="19"/>
      <c r="F275" s="20"/>
      <c r="G275" s="19"/>
      <c r="H275" s="19"/>
      <c r="I275" s="20"/>
      <c r="J275" s="65"/>
      <c r="K275" s="65"/>
    </row>
    <row r="276" spans="1:11" ht="14.25">
      <c r="A276" s="69"/>
      <c r="B276" s="67"/>
      <c r="C276" s="19"/>
      <c r="D276" s="19"/>
      <c r="E276" s="19"/>
      <c r="F276" s="20"/>
      <c r="G276" s="19"/>
      <c r="H276" s="19"/>
      <c r="I276" s="20"/>
      <c r="J276" s="65"/>
      <c r="K276" s="65"/>
    </row>
    <row r="277" spans="1:11" ht="14.25">
      <c r="A277" s="69"/>
      <c r="B277" s="67"/>
      <c r="C277" s="19"/>
      <c r="D277" s="19"/>
      <c r="E277" s="19"/>
      <c r="F277" s="20"/>
      <c r="G277" s="19"/>
      <c r="H277" s="19"/>
      <c r="I277" s="20"/>
      <c r="J277" s="65"/>
      <c r="K277" s="65"/>
    </row>
    <row r="278" spans="1:11" ht="14.25">
      <c r="A278" s="69"/>
      <c r="B278" s="67"/>
      <c r="C278" s="19"/>
      <c r="D278" s="19"/>
      <c r="E278" s="19"/>
      <c r="F278" s="20"/>
      <c r="G278" s="19"/>
      <c r="H278" s="19"/>
      <c r="I278" s="20"/>
      <c r="J278" s="65"/>
      <c r="K278" s="65"/>
    </row>
    <row r="279" spans="1:11" ht="14.25">
      <c r="A279" s="69"/>
      <c r="B279" s="67"/>
      <c r="C279" s="19"/>
      <c r="D279" s="19"/>
      <c r="E279" s="19"/>
      <c r="F279" s="20"/>
      <c r="G279" s="19"/>
      <c r="H279" s="19"/>
      <c r="I279" s="20"/>
      <c r="J279" s="65"/>
      <c r="K279" s="65"/>
    </row>
    <row r="280" spans="1:11" ht="14.25">
      <c r="A280" s="69"/>
      <c r="B280" s="67"/>
      <c r="C280" s="19"/>
      <c r="D280" s="19"/>
      <c r="E280" s="19"/>
      <c r="F280" s="20"/>
      <c r="G280" s="19"/>
      <c r="H280" s="19"/>
      <c r="I280" s="20"/>
      <c r="J280" s="65"/>
      <c r="K280" s="65"/>
    </row>
    <row r="281" spans="1:11" ht="14.25">
      <c r="A281" s="69"/>
      <c r="B281" s="67"/>
      <c r="C281" s="19"/>
      <c r="D281" s="19"/>
      <c r="E281" s="19"/>
      <c r="F281" s="20"/>
      <c r="G281" s="19"/>
      <c r="H281" s="19"/>
      <c r="I281" s="20"/>
      <c r="J281" s="65"/>
      <c r="K281" s="65"/>
    </row>
    <row r="282" spans="1:11" ht="14.25">
      <c r="A282" s="69"/>
      <c r="B282" s="67"/>
      <c r="C282" s="19"/>
      <c r="D282" s="19"/>
      <c r="E282" s="19"/>
      <c r="F282" s="20"/>
      <c r="G282" s="19"/>
      <c r="H282" s="19"/>
      <c r="I282" s="20"/>
      <c r="J282" s="65"/>
      <c r="K282" s="65"/>
    </row>
    <row r="283" spans="1:11" ht="14.25">
      <c r="A283" s="69"/>
      <c r="B283" s="67"/>
      <c r="C283" s="19"/>
      <c r="D283" s="19"/>
      <c r="E283" s="19"/>
      <c r="F283" s="20"/>
      <c r="G283" s="19"/>
      <c r="H283" s="19"/>
      <c r="I283" s="20"/>
      <c r="J283" s="65"/>
      <c r="K283" s="65"/>
    </row>
    <row r="284" spans="1:11" ht="14.25">
      <c r="A284" s="69"/>
      <c r="B284" s="67"/>
      <c r="C284" s="19"/>
      <c r="D284" s="19"/>
      <c r="E284" s="19"/>
      <c r="F284" s="20"/>
      <c r="G284" s="19"/>
      <c r="H284" s="19"/>
      <c r="I284" s="20"/>
      <c r="J284" s="65"/>
      <c r="K284" s="65"/>
    </row>
    <row r="285" spans="1:11" ht="14.25">
      <c r="A285" s="69"/>
      <c r="B285" s="67"/>
      <c r="C285" s="19"/>
      <c r="D285" s="19"/>
      <c r="E285" s="19"/>
      <c r="F285" s="20"/>
      <c r="G285" s="19"/>
      <c r="H285" s="19"/>
      <c r="I285" s="20"/>
      <c r="J285" s="65"/>
      <c r="K285" s="65"/>
    </row>
    <row r="286" spans="1:11" ht="14.25">
      <c r="A286" s="69"/>
      <c r="B286" s="67"/>
      <c r="C286" s="19"/>
      <c r="D286" s="19"/>
      <c r="E286" s="19"/>
      <c r="F286" s="20"/>
      <c r="G286" s="19"/>
      <c r="H286" s="19"/>
      <c r="I286" s="20"/>
      <c r="J286" s="65"/>
      <c r="K286" s="65"/>
    </row>
    <row r="287" spans="1:11" ht="14.25">
      <c r="A287" s="69"/>
      <c r="B287" s="67"/>
      <c r="C287" s="19"/>
      <c r="D287" s="19"/>
      <c r="E287" s="19"/>
      <c r="F287" s="20"/>
      <c r="G287" s="19"/>
      <c r="H287" s="19"/>
      <c r="I287" s="20"/>
      <c r="J287" s="65"/>
      <c r="K287" s="65"/>
    </row>
    <row r="288" spans="1:11" ht="14.25">
      <c r="A288" s="69"/>
      <c r="B288" s="67"/>
      <c r="C288" s="19"/>
      <c r="D288" s="19"/>
      <c r="E288" s="19"/>
      <c r="F288" s="20"/>
      <c r="G288" s="19"/>
      <c r="H288" s="19"/>
      <c r="I288" s="20"/>
      <c r="J288" s="65"/>
      <c r="K288" s="65"/>
    </row>
    <row r="289" spans="1:11" ht="14.25">
      <c r="A289" s="69"/>
      <c r="B289" s="67"/>
      <c r="C289" s="19"/>
      <c r="D289" s="19"/>
      <c r="E289" s="19"/>
      <c r="F289" s="20"/>
      <c r="G289" s="19"/>
      <c r="H289" s="19"/>
      <c r="I289" s="20"/>
      <c r="J289" s="65"/>
      <c r="K289" s="65"/>
    </row>
    <row r="290" spans="1:11" ht="14.25">
      <c r="A290" s="69"/>
      <c r="B290" s="67"/>
      <c r="C290" s="19"/>
      <c r="D290" s="19"/>
      <c r="E290" s="19"/>
      <c r="F290" s="20"/>
      <c r="G290" s="19"/>
      <c r="H290" s="19"/>
      <c r="I290" s="20"/>
      <c r="J290" s="65"/>
      <c r="K290" s="65"/>
    </row>
    <row r="291" spans="1:11" ht="14.25">
      <c r="A291" s="69"/>
      <c r="B291" s="67"/>
      <c r="C291" s="19"/>
      <c r="D291" s="19"/>
      <c r="E291" s="19"/>
      <c r="F291" s="20"/>
      <c r="G291" s="19"/>
      <c r="H291" s="19"/>
      <c r="I291" s="20"/>
      <c r="J291" s="65"/>
      <c r="K291" s="65"/>
    </row>
    <row r="292" spans="1:11" ht="14.25">
      <c r="A292" s="69"/>
      <c r="B292" s="67"/>
      <c r="C292" s="19"/>
      <c r="D292" s="19"/>
      <c r="E292" s="19"/>
      <c r="F292" s="20"/>
      <c r="G292" s="19"/>
      <c r="H292" s="19"/>
      <c r="I292" s="20"/>
      <c r="J292" s="65"/>
      <c r="K292" s="65"/>
    </row>
    <row r="293" spans="1:11" ht="14.25">
      <c r="A293" s="69"/>
      <c r="B293" s="67"/>
      <c r="C293" s="19"/>
      <c r="D293" s="19"/>
      <c r="E293" s="19"/>
      <c r="F293" s="20"/>
      <c r="G293" s="19"/>
      <c r="H293" s="19"/>
      <c r="I293" s="20"/>
      <c r="J293" s="65"/>
      <c r="K293" s="65"/>
    </row>
    <row r="294" spans="1:11" ht="14.25">
      <c r="A294" s="69"/>
      <c r="B294" s="67"/>
      <c r="C294" s="19"/>
      <c r="D294" s="19"/>
      <c r="E294" s="19"/>
      <c r="F294" s="20"/>
      <c r="G294" s="19"/>
      <c r="H294" s="19"/>
      <c r="I294" s="20"/>
      <c r="J294" s="65"/>
      <c r="K294" s="65"/>
    </row>
    <row r="295" spans="1:11" ht="14.25">
      <c r="A295" s="69"/>
      <c r="B295" s="67"/>
      <c r="C295" s="19"/>
      <c r="D295" s="19"/>
      <c r="E295" s="19"/>
      <c r="F295" s="20"/>
      <c r="G295" s="19"/>
      <c r="H295" s="19"/>
      <c r="I295" s="20"/>
      <c r="J295" s="65"/>
      <c r="K295" s="65"/>
    </row>
    <row r="296" spans="1:11" ht="14.25">
      <c r="A296" s="69"/>
      <c r="B296" s="67"/>
      <c r="C296" s="19"/>
      <c r="D296" s="19"/>
      <c r="E296" s="19"/>
      <c r="F296" s="20"/>
      <c r="G296" s="19"/>
      <c r="H296" s="19"/>
      <c r="I296" s="20"/>
      <c r="J296" s="65"/>
      <c r="K296" s="65"/>
    </row>
    <row r="297" spans="1:11" ht="14.25">
      <c r="A297" s="69"/>
      <c r="B297" s="67"/>
      <c r="C297" s="19"/>
      <c r="D297" s="19"/>
      <c r="E297" s="19"/>
      <c r="F297" s="20"/>
      <c r="G297" s="19"/>
      <c r="H297" s="19"/>
      <c r="I297" s="20"/>
      <c r="J297" s="65"/>
      <c r="K297" s="65"/>
    </row>
    <row r="298" spans="1:11" ht="14.25">
      <c r="A298" s="69"/>
      <c r="B298" s="67"/>
      <c r="C298" s="19"/>
      <c r="D298" s="19"/>
      <c r="E298" s="19"/>
      <c r="F298" s="20"/>
      <c r="G298" s="19"/>
      <c r="H298" s="19"/>
      <c r="I298" s="20"/>
      <c r="J298" s="65"/>
      <c r="K298" s="65"/>
    </row>
    <row r="299" spans="1:11" ht="14.25">
      <c r="A299" s="69"/>
      <c r="B299" s="67"/>
      <c r="C299" s="19"/>
      <c r="D299" s="19"/>
      <c r="E299" s="19"/>
      <c r="F299" s="20"/>
      <c r="G299" s="19"/>
      <c r="H299" s="19"/>
      <c r="I299" s="20"/>
      <c r="J299" s="65"/>
      <c r="K299" s="65"/>
    </row>
    <row r="300" spans="1:11" ht="14.25">
      <c r="A300" s="69"/>
      <c r="B300" s="67"/>
      <c r="C300" s="19"/>
      <c r="D300" s="19"/>
      <c r="E300" s="19"/>
      <c r="F300" s="20"/>
      <c r="G300" s="19"/>
      <c r="H300" s="19"/>
      <c r="I300" s="20"/>
      <c r="J300" s="65"/>
      <c r="K300" s="65"/>
    </row>
    <row r="301" spans="1:11" ht="14.25">
      <c r="A301" s="69"/>
      <c r="B301" s="67"/>
      <c r="C301" s="19"/>
      <c r="D301" s="19"/>
      <c r="E301" s="19"/>
      <c r="F301" s="20"/>
      <c r="G301" s="19"/>
      <c r="H301" s="19"/>
      <c r="I301" s="20"/>
      <c r="J301" s="65"/>
      <c r="K301" s="65"/>
    </row>
    <row r="302" spans="1:11" ht="14.25">
      <c r="A302" s="69"/>
      <c r="B302" s="67"/>
      <c r="C302" s="19"/>
      <c r="D302" s="19"/>
      <c r="E302" s="19"/>
      <c r="F302" s="20"/>
      <c r="G302" s="19"/>
      <c r="H302" s="19"/>
      <c r="I302" s="20"/>
      <c r="J302" s="65"/>
      <c r="K302" s="65"/>
    </row>
    <row r="303" spans="1:11" ht="14.25">
      <c r="A303" s="69"/>
      <c r="B303" s="67"/>
      <c r="C303" s="19"/>
      <c r="D303" s="19"/>
      <c r="E303" s="19"/>
      <c r="F303" s="20"/>
      <c r="G303" s="19"/>
      <c r="H303" s="19"/>
      <c r="I303" s="20"/>
      <c r="J303" s="65"/>
      <c r="K303" s="65"/>
    </row>
    <row r="304" spans="1:11" ht="14.25">
      <c r="A304" s="69"/>
      <c r="B304" s="67"/>
      <c r="C304" s="19"/>
      <c r="D304" s="19"/>
      <c r="E304" s="19"/>
      <c r="F304" s="20"/>
      <c r="G304" s="19"/>
      <c r="H304" s="19"/>
      <c r="I304" s="20"/>
      <c r="J304" s="65"/>
      <c r="K304" s="65"/>
    </row>
    <row r="305" spans="1:11" ht="14.25">
      <c r="A305" s="69"/>
      <c r="B305" s="67"/>
      <c r="C305" s="19"/>
      <c r="D305" s="19"/>
      <c r="E305" s="19"/>
      <c r="F305" s="20"/>
      <c r="G305" s="19"/>
      <c r="H305" s="19"/>
      <c r="I305" s="20"/>
      <c r="J305" s="65"/>
      <c r="K305" s="65"/>
    </row>
    <row r="306" spans="1:11" ht="14.25">
      <c r="A306" s="69"/>
      <c r="B306" s="67"/>
      <c r="C306" s="19"/>
      <c r="D306" s="19"/>
      <c r="E306" s="19"/>
      <c r="F306" s="20"/>
      <c r="G306" s="19"/>
      <c r="H306" s="19"/>
      <c r="I306" s="20"/>
      <c r="J306" s="65"/>
      <c r="K306" s="65"/>
    </row>
    <row r="307" spans="1:11" ht="14.25">
      <c r="A307" s="69"/>
      <c r="B307" s="67"/>
      <c r="C307" s="19"/>
      <c r="D307" s="19"/>
      <c r="E307" s="19"/>
      <c r="F307" s="20"/>
      <c r="G307" s="19"/>
      <c r="H307" s="19"/>
      <c r="I307" s="20"/>
      <c r="J307" s="65"/>
      <c r="K307" s="65"/>
    </row>
    <row r="308" spans="1:11" ht="14.25">
      <c r="A308" s="69"/>
      <c r="B308" s="67"/>
      <c r="C308" s="19"/>
      <c r="D308" s="19"/>
      <c r="E308" s="19"/>
      <c r="F308" s="20"/>
      <c r="G308" s="19"/>
      <c r="H308" s="19"/>
      <c r="I308" s="20"/>
      <c r="J308" s="65"/>
      <c r="K308" s="65"/>
    </row>
    <row r="309" spans="1:11" ht="14.25">
      <c r="A309" s="69"/>
      <c r="B309" s="67"/>
      <c r="C309" s="19"/>
      <c r="D309" s="19"/>
      <c r="E309" s="19"/>
      <c r="F309" s="20"/>
      <c r="G309" s="19"/>
      <c r="H309" s="19"/>
      <c r="I309" s="20"/>
      <c r="J309" s="65"/>
      <c r="K309" s="65"/>
    </row>
    <row r="310" spans="1:11" ht="14.25">
      <c r="A310" s="69"/>
      <c r="B310" s="67"/>
      <c r="C310" s="19"/>
      <c r="D310" s="19"/>
      <c r="E310" s="19"/>
      <c r="F310" s="20"/>
      <c r="G310" s="19"/>
      <c r="H310" s="19"/>
      <c r="I310" s="20"/>
      <c r="J310" s="65"/>
      <c r="K310" s="65"/>
    </row>
    <row r="311" spans="1:11" ht="14.25">
      <c r="A311" s="69"/>
      <c r="B311" s="67"/>
      <c r="C311" s="19"/>
      <c r="D311" s="19"/>
      <c r="E311" s="19"/>
      <c r="F311" s="20"/>
      <c r="G311" s="19"/>
      <c r="H311" s="19"/>
      <c r="I311" s="20"/>
      <c r="J311" s="65"/>
      <c r="K311" s="65"/>
    </row>
    <row r="312" spans="1:11" ht="14.25">
      <c r="A312" s="69"/>
      <c r="B312" s="67"/>
      <c r="C312" s="19"/>
      <c r="D312" s="19"/>
      <c r="E312" s="19"/>
      <c r="F312" s="20"/>
      <c r="G312" s="19"/>
      <c r="H312" s="19"/>
      <c r="I312" s="20"/>
      <c r="J312" s="65"/>
      <c r="K312" s="65"/>
    </row>
    <row r="313" spans="1:11" ht="14.25">
      <c r="A313" s="69"/>
      <c r="B313" s="67"/>
      <c r="C313" s="19"/>
      <c r="D313" s="19"/>
      <c r="E313" s="19"/>
      <c r="F313" s="20"/>
      <c r="G313" s="19"/>
      <c r="H313" s="19"/>
      <c r="I313" s="20"/>
      <c r="J313" s="65"/>
      <c r="K313" s="65"/>
    </row>
    <row r="314" spans="1:11" ht="14.25">
      <c r="A314" s="69"/>
      <c r="B314" s="67"/>
      <c r="C314" s="19"/>
      <c r="D314" s="19"/>
      <c r="E314" s="19"/>
      <c r="F314" s="20"/>
      <c r="G314" s="19"/>
      <c r="H314" s="19"/>
      <c r="I314" s="20"/>
      <c r="J314" s="65"/>
      <c r="K314" s="65"/>
    </row>
    <row r="315" spans="1:11" ht="14.25">
      <c r="A315" s="69"/>
      <c r="B315" s="67"/>
      <c r="C315" s="19"/>
      <c r="D315" s="19"/>
      <c r="E315" s="19"/>
      <c r="F315" s="20"/>
      <c r="G315" s="19"/>
      <c r="H315" s="19"/>
      <c r="I315" s="20"/>
      <c r="J315" s="65"/>
      <c r="K315" s="65"/>
    </row>
    <row r="316" spans="1:11" ht="14.25">
      <c r="A316" s="69"/>
      <c r="B316" s="67"/>
      <c r="C316" s="19"/>
      <c r="D316" s="19"/>
      <c r="E316" s="19"/>
      <c r="F316" s="20"/>
      <c r="G316" s="19"/>
      <c r="H316" s="19"/>
      <c r="I316" s="20"/>
      <c r="J316" s="65"/>
      <c r="K316" s="65"/>
    </row>
    <row r="317" spans="1:11" ht="14.25">
      <c r="A317" s="69"/>
      <c r="B317" s="67"/>
      <c r="C317" s="19"/>
      <c r="D317" s="19"/>
      <c r="E317" s="19"/>
      <c r="F317" s="20"/>
      <c r="G317" s="19"/>
      <c r="H317" s="19"/>
      <c r="I317" s="20"/>
      <c r="J317" s="65"/>
      <c r="K317" s="65"/>
    </row>
    <row r="318" spans="1:11" ht="14.25">
      <c r="A318" s="69"/>
      <c r="B318" s="67"/>
      <c r="C318" s="19"/>
      <c r="D318" s="19"/>
      <c r="E318" s="19"/>
      <c r="F318" s="20"/>
      <c r="G318" s="19"/>
      <c r="H318" s="19"/>
      <c r="I318" s="20"/>
      <c r="J318" s="65"/>
      <c r="K318" s="65"/>
    </row>
    <row r="319" spans="1:11" ht="14.25">
      <c r="A319" s="69"/>
      <c r="B319" s="67"/>
      <c r="C319" s="19"/>
      <c r="D319" s="19"/>
      <c r="E319" s="19"/>
      <c r="F319" s="20"/>
      <c r="G319" s="19"/>
      <c r="H319" s="19"/>
      <c r="I319" s="20"/>
      <c r="J319" s="65"/>
      <c r="K319" s="65"/>
    </row>
    <row r="320" spans="1:11" ht="14.25">
      <c r="A320" s="69"/>
      <c r="B320" s="67"/>
      <c r="C320" s="19"/>
      <c r="D320" s="19"/>
      <c r="E320" s="19"/>
      <c r="F320" s="20"/>
      <c r="G320" s="19"/>
      <c r="H320" s="19"/>
      <c r="I320" s="20"/>
      <c r="J320" s="65"/>
      <c r="K320" s="65"/>
    </row>
    <row r="321" spans="1:11" ht="14.25">
      <c r="A321" s="69"/>
      <c r="B321" s="67"/>
      <c r="C321" s="19"/>
      <c r="D321" s="19"/>
      <c r="E321" s="19"/>
      <c r="F321" s="20"/>
      <c r="G321" s="19"/>
      <c r="H321" s="19"/>
      <c r="I321" s="20"/>
      <c r="J321" s="65"/>
      <c r="K321" s="65"/>
    </row>
    <row r="322" spans="1:11" ht="14.25">
      <c r="A322" s="69"/>
      <c r="B322" s="67"/>
      <c r="C322" s="19"/>
      <c r="D322" s="19"/>
      <c r="E322" s="19"/>
      <c r="F322" s="20"/>
      <c r="G322" s="19"/>
      <c r="H322" s="19"/>
      <c r="I322" s="20"/>
      <c r="J322" s="65"/>
      <c r="K322" s="65"/>
    </row>
    <row r="323" spans="1:11" ht="14.25">
      <c r="A323" s="69"/>
      <c r="B323" s="67"/>
      <c r="C323" s="19"/>
      <c r="D323" s="19"/>
      <c r="E323" s="19"/>
      <c r="F323" s="20"/>
      <c r="G323" s="19"/>
      <c r="H323" s="19"/>
      <c r="I323" s="20"/>
      <c r="J323" s="65"/>
      <c r="K323" s="65"/>
    </row>
    <row r="324" spans="1:11" ht="14.25">
      <c r="A324" s="69"/>
      <c r="B324" s="67"/>
      <c r="C324" s="19"/>
      <c r="D324" s="19"/>
      <c r="E324" s="19"/>
      <c r="F324" s="20"/>
      <c r="G324" s="19"/>
      <c r="H324" s="19"/>
      <c r="I324" s="20"/>
      <c r="J324" s="65"/>
      <c r="K324" s="65"/>
    </row>
    <row r="325" spans="1:11" ht="14.25">
      <c r="A325" s="69"/>
      <c r="B325" s="67"/>
      <c r="C325" s="19"/>
      <c r="D325" s="19"/>
      <c r="E325" s="19"/>
      <c r="F325" s="20"/>
      <c r="G325" s="19"/>
      <c r="H325" s="19"/>
      <c r="I325" s="20"/>
      <c r="J325" s="65"/>
      <c r="K325" s="65"/>
    </row>
    <row r="326" spans="1:11" ht="14.25">
      <c r="A326" s="69"/>
      <c r="B326" s="67"/>
      <c r="C326" s="19"/>
      <c r="D326" s="19"/>
      <c r="E326" s="19"/>
      <c r="F326" s="20"/>
      <c r="G326" s="19"/>
      <c r="H326" s="19"/>
      <c r="I326" s="20"/>
      <c r="J326" s="65"/>
      <c r="K326" s="65"/>
    </row>
    <row r="327" spans="1:11" ht="14.25">
      <c r="A327" s="69"/>
      <c r="B327" s="67"/>
      <c r="C327" s="19"/>
      <c r="D327" s="19"/>
      <c r="E327" s="19"/>
      <c r="F327" s="20"/>
      <c r="G327" s="19"/>
      <c r="H327" s="19"/>
      <c r="I327" s="20"/>
      <c r="J327" s="65"/>
      <c r="K327" s="65"/>
    </row>
    <row r="328" spans="1:11" ht="14.25">
      <c r="A328" s="69"/>
      <c r="B328" s="67"/>
      <c r="C328" s="19"/>
      <c r="D328" s="19"/>
      <c r="E328" s="19"/>
      <c r="F328" s="20"/>
      <c r="G328" s="19"/>
      <c r="H328" s="19"/>
      <c r="I328" s="20"/>
      <c r="J328" s="65"/>
      <c r="K328" s="65"/>
    </row>
    <row r="329" spans="1:11" ht="13.9">
      <c r="C329" s="19"/>
      <c r="D329" s="19"/>
      <c r="E329" s="19"/>
      <c r="F329" s="20"/>
      <c r="G329" s="19"/>
      <c r="H329" s="19"/>
      <c r="I329" s="20"/>
      <c r="J329" s="65"/>
      <c r="K329" s="65"/>
    </row>
  </sheetData>
  <mergeCells count="4">
    <mergeCell ref="G1:I1"/>
    <mergeCell ref="A1:C1"/>
    <mergeCell ref="D1:F1"/>
    <mergeCell ref="A2:B2"/>
  </mergeCells>
  <conditionalFormatting sqref="F2 I2 F4:F87 I4:I87">
    <cfRule type="cellIs" dxfId="14" priority="11" stopIfTrue="1" operator="lessThanOrEqual">
      <formula>-0.1</formula>
    </cfRule>
    <cfRule type="expression" dxfId="13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8"/>
  <sheetViews>
    <sheetView workbookViewId="0">
      <pane xSplit="2" ySplit="3" topLeftCell="C4" activePane="bottomRight" state="frozen"/>
      <selection pane="bottomRight" activeCell="A3" sqref="A3"/>
      <selection pane="bottomLeft"/>
      <selection pane="topRight"/>
    </sheetView>
  </sheetViews>
  <sheetFormatPr defaultRowHeight="13.5"/>
  <cols>
    <col min="1" max="1" width="35.85546875" style="2" bestFit="1" customWidth="1"/>
    <col min="2" max="2" width="8.42578125" style="68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2" t="str" cm="1">
        <f t="array" ref="A1">portfolio</f>
        <v>Wells Fargo</v>
      </c>
      <c r="B1" s="72"/>
      <c r="C1" s="72"/>
      <c r="D1" s="73" t="s">
        <v>112</v>
      </c>
      <c r="E1" s="73"/>
      <c r="F1" s="73"/>
      <c r="G1" s="71" t="s">
        <v>113</v>
      </c>
      <c r="H1" s="71"/>
      <c r="I1" s="71"/>
      <c r="J1" s="3"/>
      <c r="K1" s="3"/>
    </row>
    <row r="2" spans="1:11" ht="19.5" customHeight="1">
      <c r="A2" s="82" t="s">
        <v>2</v>
      </c>
      <c r="B2" s="82"/>
      <c r="C2" s="4">
        <f>SUM(C4:C86)</f>
        <v>1488980.0486555989</v>
      </c>
      <c r="D2" s="4">
        <f>SUM(D4:D86)</f>
        <v>1268527.9116</v>
      </c>
      <c r="E2" s="4">
        <f>C2-D2</f>
        <v>220452.1370555989</v>
      </c>
      <c r="F2" s="5">
        <f>IFERROR(E2/D2, 0)</f>
        <v>0.17378579930302174</v>
      </c>
      <c r="G2" s="4">
        <f>SUM(G4:G86)</f>
        <v>1757021.1965999999</v>
      </c>
      <c r="H2" s="6">
        <f>C2-G2</f>
        <v>-268041.14794440102</v>
      </c>
      <c r="I2" s="5">
        <f>IFERROR(H2/G2, 0)</f>
        <v>-0.15255430524292232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1411.6</v>
      </c>
      <c r="D4" s="11">
        <v>0</v>
      </c>
      <c r="E4" s="11">
        <f>IF(AND(ISNUMBER(C4),ISNUMBER(D4)), C4-D4, "")</f>
        <v>1411.6</v>
      </c>
      <c r="F4" s="12" t="str">
        <f>IFERROR(E4/D4, "")</f>
        <v/>
      </c>
      <c r="G4" s="13">
        <v>1364</v>
      </c>
      <c r="H4" s="13">
        <f>IF(AND(ISNUMBER(C4),ISNUMBER(G4)), C4-G4, "")</f>
        <v>47.599999999999909</v>
      </c>
      <c r="I4" s="14">
        <f>IFERROR(H4/G4, "")</f>
        <v>3.4897360703812247E-2</v>
      </c>
      <c r="J4" s="63"/>
      <c r="K4" s="63"/>
    </row>
    <row r="5" spans="1:11" ht="15.75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1"/>
      <c r="K5" s="51"/>
    </row>
    <row r="6" spans="1:11" ht="28.35" customHeight="1">
      <c r="A6" s="26" t="str">
        <v>San Leandro</v>
      </c>
      <c r="B6" s="27" t="str">
        <v>CA</v>
      </c>
      <c r="C6" s="22">
        <v>0</v>
      </c>
      <c r="D6" s="11">
        <v>0</v>
      </c>
      <c r="E6" s="11">
        <f t="shared" si="0"/>
        <v>0</v>
      </c>
      <c r="F6" s="12" t="str">
        <f t="shared" ref="F6:F65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3" t="s">
        <v>114</v>
      </c>
      <c r="K6" s="63" t="s">
        <v>115</v>
      </c>
    </row>
    <row r="7" spans="1:11" ht="15.75">
      <c r="A7" s="28" t="str">
        <v>Van Nuys</v>
      </c>
      <c r="B7" s="29" t="str">
        <v>CA</v>
      </c>
      <c r="C7" s="10">
        <v>2214.9</v>
      </c>
      <c r="D7" s="16">
        <v>0</v>
      </c>
      <c r="E7" s="16">
        <f t="shared" si="0"/>
        <v>2214.9</v>
      </c>
      <c r="F7" s="17" t="str">
        <f t="shared" si="3"/>
        <v/>
      </c>
      <c r="G7" s="18">
        <v>2748.9670000000001</v>
      </c>
      <c r="H7" s="18">
        <f t="shared" si="1"/>
        <v>-534.06700000000001</v>
      </c>
      <c r="I7" s="17">
        <f t="shared" si="2"/>
        <v>-0.1942791601354254</v>
      </c>
      <c r="J7" s="51"/>
      <c r="K7" s="57"/>
    </row>
    <row r="8" spans="1:11" ht="15.75">
      <c r="A8" s="26" t="str">
        <v>98th &amp; Grant</v>
      </c>
      <c r="B8" s="27" t="str">
        <v>CO</v>
      </c>
      <c r="C8" s="22">
        <v>1669.2</v>
      </c>
      <c r="D8" s="11">
        <v>0</v>
      </c>
      <c r="E8" s="11">
        <f t="shared" si="0"/>
        <v>1669.2</v>
      </c>
      <c r="F8" s="12" t="str">
        <f t="shared" si="3"/>
        <v/>
      </c>
      <c r="G8" s="13">
        <v>2218</v>
      </c>
      <c r="H8" s="13">
        <f t="shared" si="1"/>
        <v>-548.79999999999995</v>
      </c>
      <c r="I8" s="14">
        <f t="shared" si="2"/>
        <v>-0.24743011722272315</v>
      </c>
      <c r="J8" s="63"/>
      <c r="K8" s="63"/>
    </row>
    <row r="9" spans="1:11" ht="15.75">
      <c r="A9" s="28" t="str">
        <v>Arapahoe Crossings</v>
      </c>
      <c r="B9" s="29" t="str">
        <v>CO</v>
      </c>
      <c r="C9" s="10">
        <v>4848.41113841682</v>
      </c>
      <c r="D9" s="16">
        <v>0</v>
      </c>
      <c r="E9" s="16">
        <f t="shared" si="0"/>
        <v>4848.41113841682</v>
      </c>
      <c r="F9" s="17" t="str">
        <f t="shared" si="3"/>
        <v/>
      </c>
      <c r="G9" s="18">
        <v>4164.2460000000001</v>
      </c>
      <c r="H9" s="18">
        <f t="shared" si="1"/>
        <v>684.1651384168199</v>
      </c>
      <c r="I9" s="17">
        <f t="shared" si="2"/>
        <v>0.16429508209092833</v>
      </c>
      <c r="J9" s="51"/>
      <c r="K9" s="57"/>
    </row>
    <row r="10" spans="1:11" ht="15.75">
      <c r="A10" s="26" t="str">
        <v>Aurora City Center</v>
      </c>
      <c r="B10" s="27" t="str">
        <v>CO</v>
      </c>
      <c r="C10" s="22">
        <v>2353.4</v>
      </c>
      <c r="D10" s="11">
        <v>0</v>
      </c>
      <c r="E10" s="11">
        <f t="shared" si="0"/>
        <v>2353.4</v>
      </c>
      <c r="F10" s="12" t="str">
        <f t="shared" si="3"/>
        <v/>
      </c>
      <c r="G10" s="13">
        <v>1923</v>
      </c>
      <c r="H10" s="13">
        <f t="shared" si="1"/>
        <v>430.40000000000009</v>
      </c>
      <c r="I10" s="14">
        <f t="shared" si="2"/>
        <v>0.22381695267810717</v>
      </c>
      <c r="J10" s="63"/>
      <c r="K10" s="63"/>
    </row>
    <row r="11" spans="1:11" ht="15.75">
      <c r="A11" s="28" t="str">
        <v>Dry Creek</v>
      </c>
      <c r="B11" s="29" t="str">
        <v>CO</v>
      </c>
      <c r="C11" s="10">
        <v>2784.7</v>
      </c>
      <c r="D11" s="16">
        <v>0</v>
      </c>
      <c r="E11" s="16">
        <f t="shared" si="0"/>
        <v>2784.7</v>
      </c>
      <c r="F11" s="17" t="str">
        <f t="shared" si="3"/>
        <v/>
      </c>
      <c r="G11" s="18">
        <v>2426</v>
      </c>
      <c r="H11" s="18">
        <f t="shared" si="1"/>
        <v>358.69999999999982</v>
      </c>
      <c r="I11" s="17">
        <f t="shared" si="2"/>
        <v>0.14785655399835113</v>
      </c>
      <c r="J11" s="51"/>
      <c r="K11" s="57"/>
    </row>
    <row r="12" spans="1:11" ht="15.75">
      <c r="A12" s="26" t="str">
        <v>Highlands Ranch S.</v>
      </c>
      <c r="B12" s="27" t="str">
        <v>CO</v>
      </c>
      <c r="C12" s="22">
        <v>2403.1</v>
      </c>
      <c r="D12" s="11">
        <v>0</v>
      </c>
      <c r="E12" s="11">
        <f t="shared" si="0"/>
        <v>2403.1</v>
      </c>
      <c r="F12" s="12" t="str">
        <f t="shared" si="3"/>
        <v/>
      </c>
      <c r="G12" s="13">
        <v>2380</v>
      </c>
      <c r="H12" s="13">
        <f t="shared" si="1"/>
        <v>23.099999999999909</v>
      </c>
      <c r="I12" s="14">
        <f t="shared" si="2"/>
        <v>9.7058823529411389E-3</v>
      </c>
      <c r="J12" s="63"/>
      <c r="K12" s="63"/>
    </row>
    <row r="13" spans="1:11" ht="15.75">
      <c r="A13" s="28" t="str">
        <v>Lone Tree</v>
      </c>
      <c r="B13" s="29" t="str">
        <v>CO</v>
      </c>
      <c r="C13" s="10">
        <v>3800.6000000000099</v>
      </c>
      <c r="D13" s="16">
        <v>0</v>
      </c>
      <c r="E13" s="16">
        <f t="shared" si="0"/>
        <v>3800.6000000000099</v>
      </c>
      <c r="F13" s="17" t="str">
        <f t="shared" si="3"/>
        <v/>
      </c>
      <c r="G13" s="18">
        <v>5432</v>
      </c>
      <c r="H13" s="18">
        <f t="shared" si="1"/>
        <v>-1631.3999999999901</v>
      </c>
      <c r="I13" s="17">
        <f t="shared" si="2"/>
        <v>-0.30033136966126472</v>
      </c>
      <c r="J13" s="51"/>
      <c r="K13" s="57"/>
    </row>
    <row r="14" spans="1:11" ht="15.75">
      <c r="A14" s="26" t="str">
        <v>Meridian</v>
      </c>
      <c r="B14" s="27" t="str">
        <v>CO</v>
      </c>
      <c r="C14" s="22">
        <v>3794.9000000000101</v>
      </c>
      <c r="D14" s="11">
        <v>0</v>
      </c>
      <c r="E14" s="11">
        <f t="shared" si="0"/>
        <v>3794.9000000000101</v>
      </c>
      <c r="F14" s="12" t="str">
        <f t="shared" si="3"/>
        <v/>
      </c>
      <c r="G14" s="13">
        <v>3145</v>
      </c>
      <c r="H14" s="13">
        <f t="shared" si="1"/>
        <v>649.9000000000101</v>
      </c>
      <c r="I14" s="14">
        <f t="shared" si="2"/>
        <v>0.20664546899841338</v>
      </c>
      <c r="J14" s="63"/>
      <c r="K14" s="63"/>
    </row>
    <row r="15" spans="1:11" ht="15.75">
      <c r="A15" s="28" t="str">
        <v>Southglenn</v>
      </c>
      <c r="B15" s="29" t="str">
        <v>CO</v>
      </c>
      <c r="C15" s="10">
        <v>3845.4</v>
      </c>
      <c r="D15" s="16">
        <v>0</v>
      </c>
      <c r="E15" s="16">
        <f t="shared" si="0"/>
        <v>3845.4</v>
      </c>
      <c r="F15" s="17" t="str">
        <f t="shared" si="3"/>
        <v/>
      </c>
      <c r="G15" s="18">
        <v>3163.1289999999999</v>
      </c>
      <c r="H15" s="18">
        <f t="shared" si="1"/>
        <v>682.27100000000019</v>
      </c>
      <c r="I15" s="17">
        <f t="shared" si="2"/>
        <v>0.21569496533337723</v>
      </c>
      <c r="J15" s="51"/>
      <c r="K15" s="57"/>
    </row>
    <row r="16" spans="1:11" ht="15.75">
      <c r="A16" s="26" t="str">
        <v>Standley Lake</v>
      </c>
      <c r="B16" s="27" t="str">
        <v>CO</v>
      </c>
      <c r="C16" s="22">
        <v>3929.5999999999899</v>
      </c>
      <c r="D16" s="11">
        <v>0</v>
      </c>
      <c r="E16" s="11">
        <f t="shared" si="0"/>
        <v>3929.5999999999899</v>
      </c>
      <c r="F16" s="12" t="str">
        <f t="shared" si="3"/>
        <v/>
      </c>
      <c r="G16" s="13">
        <v>4231</v>
      </c>
      <c r="H16" s="13">
        <f t="shared" si="1"/>
        <v>-301.4000000000101</v>
      </c>
      <c r="I16" s="14">
        <f t="shared" si="2"/>
        <v>-7.123611439376272E-2</v>
      </c>
      <c r="J16" s="63"/>
      <c r="K16" s="63"/>
    </row>
    <row r="17" spans="1:11" ht="15.75">
      <c r="A17" s="28" t="str">
        <v>Havana Gardens</v>
      </c>
      <c r="B17" s="29" t="str">
        <v>CO</v>
      </c>
      <c r="C17" s="10">
        <v>4528.7000000000098</v>
      </c>
      <c r="D17" s="16">
        <v>0</v>
      </c>
      <c r="E17" s="16">
        <f t="shared" si="0"/>
        <v>4528.7000000000098</v>
      </c>
      <c r="F17" s="17" t="str">
        <f t="shared" si="3"/>
        <v/>
      </c>
      <c r="G17" s="18">
        <v>1646</v>
      </c>
      <c r="H17" s="18">
        <f t="shared" si="1"/>
        <v>2882.7000000000098</v>
      </c>
      <c r="I17" s="17">
        <f t="shared" si="2"/>
        <v>1.7513365735115491</v>
      </c>
      <c r="J17" s="51"/>
      <c r="K17" s="51"/>
    </row>
    <row r="18" spans="1:11" ht="12.75" customHeight="1">
      <c r="A18" s="26" t="str">
        <v>East Hartford</v>
      </c>
      <c r="B18" s="27" t="str">
        <v>CT</v>
      </c>
      <c r="C18" s="22">
        <v>888.1</v>
      </c>
      <c r="D18" s="11">
        <v>734.29719999999998</v>
      </c>
      <c r="E18" s="11">
        <f t="shared" si="0"/>
        <v>153.80280000000005</v>
      </c>
      <c r="F18" s="12">
        <f t="shared" si="3"/>
        <v>0.20945578983550536</v>
      </c>
      <c r="G18" s="13">
        <v>933.45060000000001</v>
      </c>
      <c r="H18" s="13">
        <f t="shared" si="1"/>
        <v>-45.350599999999986</v>
      </c>
      <c r="I18" s="14">
        <f t="shared" si="2"/>
        <v>-4.858382436092492E-2</v>
      </c>
      <c r="J18" s="63"/>
      <c r="K18" s="63"/>
    </row>
    <row r="19" spans="1:11" ht="57">
      <c r="A19" s="28" t="str">
        <v>Norwalk</v>
      </c>
      <c r="B19" s="29" t="str">
        <v>CT</v>
      </c>
      <c r="C19" s="10">
        <v>990.29999999999905</v>
      </c>
      <c r="D19" s="16">
        <v>257.48140000000001</v>
      </c>
      <c r="E19" s="16">
        <f t="shared" si="0"/>
        <v>732.81859999999904</v>
      </c>
      <c r="F19" s="17">
        <f t="shared" si="3"/>
        <v>2.8461030583179951</v>
      </c>
      <c r="G19" s="18">
        <v>1148.105</v>
      </c>
      <c r="H19" s="18">
        <f t="shared" si="1"/>
        <v>-157.80500000000097</v>
      </c>
      <c r="I19" s="17">
        <f t="shared" si="2"/>
        <v>-0.13744822990928615</v>
      </c>
      <c r="J19" s="51" t="s">
        <v>116</v>
      </c>
      <c r="K19" s="51" t="s">
        <v>117</v>
      </c>
    </row>
    <row r="20" spans="1:11" ht="15.75">
      <c r="A20" s="26" t="str">
        <v>Hialeah Gardens</v>
      </c>
      <c r="B20" s="27" t="str">
        <v>FL</v>
      </c>
      <c r="C20" s="22">
        <v>729.70347332954395</v>
      </c>
      <c r="D20" s="11">
        <v>4075.1840000000002</v>
      </c>
      <c r="E20" s="11">
        <f t="shared" si="0"/>
        <v>-3345.4805266704561</v>
      </c>
      <c r="F20" s="12">
        <f t="shared" si="3"/>
        <v>-0.82093974816117654</v>
      </c>
      <c r="G20" s="13">
        <v>5675</v>
      </c>
      <c r="H20" s="13">
        <f t="shared" si="1"/>
        <v>-4945.2965266704559</v>
      </c>
      <c r="I20" s="14">
        <f t="shared" si="2"/>
        <v>-0.87141789016219484</v>
      </c>
      <c r="J20" s="63" t="s">
        <v>96</v>
      </c>
      <c r="K20" s="63" t="s">
        <v>51</v>
      </c>
    </row>
    <row r="21" spans="1:11" ht="15.75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1"/>
      <c r="K21" s="51"/>
    </row>
    <row r="22" spans="1:11" ht="15.75">
      <c r="A22" s="26" t="str">
        <v>W. Des Moines Campus EAST</v>
      </c>
      <c r="B22" s="27" t="str">
        <v>IA</v>
      </c>
      <c r="C22" s="22">
        <v>192946.5</v>
      </c>
      <c r="D22" s="11">
        <v>186007</v>
      </c>
      <c r="E22" s="11">
        <f t="shared" si="0"/>
        <v>6939.5</v>
      </c>
      <c r="F22" s="12">
        <f t="shared" si="3"/>
        <v>3.7307735730375741E-2</v>
      </c>
      <c r="G22" s="13">
        <v>204900</v>
      </c>
      <c r="H22" s="13">
        <f t="shared" si="1"/>
        <v>-11953.5</v>
      </c>
      <c r="I22" s="14">
        <f t="shared" si="2"/>
        <v>-5.8338213762811127E-2</v>
      </c>
      <c r="J22" s="63"/>
      <c r="K22" s="63"/>
    </row>
    <row r="23" spans="1:11" ht="15.75">
      <c r="A23" s="28" t="str">
        <v>W. Des Moines Campus SW</v>
      </c>
      <c r="B23" s="29" t="str">
        <v>IA</v>
      </c>
      <c r="C23" s="10">
        <v>91996.667499999996</v>
      </c>
      <c r="D23" s="16">
        <v>90625.73</v>
      </c>
      <c r="E23" s="16">
        <f t="shared" si="0"/>
        <v>1370.9375</v>
      </c>
      <c r="F23" s="17">
        <f t="shared" si="3"/>
        <v>1.5127464352563008E-2</v>
      </c>
      <c r="G23" s="18">
        <v>101023.9</v>
      </c>
      <c r="H23" s="18">
        <f t="shared" si="1"/>
        <v>-9027.2324999999983</v>
      </c>
      <c r="I23" s="17">
        <f t="shared" si="2"/>
        <v>-8.9357394636318727E-2</v>
      </c>
      <c r="J23" s="51"/>
      <c r="K23" s="51"/>
    </row>
    <row r="24" spans="1:11" ht="28.5">
      <c r="A24" s="26" t="str">
        <v>WF - CIC</v>
      </c>
      <c r="B24" s="27" t="str">
        <v>NC</v>
      </c>
      <c r="C24" s="22">
        <v>175064</v>
      </c>
      <c r="D24" s="11">
        <v>145225.44099999999</v>
      </c>
      <c r="E24" s="11">
        <f t="shared" si="0"/>
        <v>29838.559000000008</v>
      </c>
      <c r="F24" s="12">
        <f t="shared" si="3"/>
        <v>0.20546371761405091</v>
      </c>
      <c r="G24" s="13">
        <v>210055.38699999999</v>
      </c>
      <c r="H24" s="13">
        <f t="shared" si="1"/>
        <v>-34991.386999999988</v>
      </c>
      <c r="I24" s="14">
        <f t="shared" si="2"/>
        <v>-0.16658171684975634</v>
      </c>
      <c r="J24" s="63" t="s">
        <v>118</v>
      </c>
      <c r="K24" s="63" t="s">
        <v>119</v>
      </c>
    </row>
    <row r="25" spans="1:11" ht="71.25">
      <c r="A25" s="28" t="str">
        <v>Charlotte - Wells Fargo - DUC</v>
      </c>
      <c r="B25" s="29" t="str">
        <v>NC</v>
      </c>
      <c r="C25" s="10">
        <v>150418.75</v>
      </c>
      <c r="D25" s="16">
        <v>0</v>
      </c>
      <c r="E25" s="16">
        <f t="shared" si="0"/>
        <v>150418.75</v>
      </c>
      <c r="F25" s="16" t="str">
        <f t="shared" si="3"/>
        <v/>
      </c>
      <c r="G25" s="18">
        <v>180448.38800000001</v>
      </c>
      <c r="H25" s="18">
        <f t="shared" si="1"/>
        <v>-30029.638000000006</v>
      </c>
      <c r="I25" s="17">
        <f t="shared" si="2"/>
        <v>-0.16641677065023161</v>
      </c>
      <c r="J25" s="51" t="s">
        <v>120</v>
      </c>
      <c r="K25" s="51" t="s">
        <v>121</v>
      </c>
    </row>
    <row r="26" spans="1:11" ht="15.75">
      <c r="A26" s="26" t="str">
        <v>East Windsor</v>
      </c>
      <c r="B26" s="27" t="str">
        <v>NJ</v>
      </c>
      <c r="C26" s="22">
        <v>1155.3</v>
      </c>
      <c r="D26" s="11">
        <v>1095.4690000000001</v>
      </c>
      <c r="E26" s="11">
        <f t="shared" si="0"/>
        <v>59.830999999999904</v>
      </c>
      <c r="F26" s="12">
        <f t="shared" si="3"/>
        <v>5.4616789703770624E-2</v>
      </c>
      <c r="G26" s="13">
        <v>1208.607</v>
      </c>
      <c r="H26" s="13">
        <f t="shared" si="1"/>
        <v>-53.307000000000016</v>
      </c>
      <c r="I26" s="14">
        <f t="shared" si="2"/>
        <v>-4.410614864881638E-2</v>
      </c>
      <c r="J26" s="63"/>
      <c r="K26" s="63"/>
    </row>
    <row r="27" spans="1:11" ht="15.75">
      <c r="A27" s="28" t="str">
        <v>Burlington</v>
      </c>
      <c r="B27" s="29" t="str">
        <v>NJ</v>
      </c>
      <c r="C27" s="10">
        <v>2993.8000000000102</v>
      </c>
      <c r="D27" s="16">
        <v>2912.8180000000002</v>
      </c>
      <c r="E27" s="16">
        <f t="shared" si="0"/>
        <v>80.982000000009975</v>
      </c>
      <c r="F27" s="17">
        <f t="shared" si="3"/>
        <v>2.7801942998158472E-2</v>
      </c>
      <c r="G27" s="18">
        <v>3087.8389999999999</v>
      </c>
      <c r="H27" s="18">
        <f t="shared" si="1"/>
        <v>-94.038999999989755</v>
      </c>
      <c r="I27" s="17">
        <f t="shared" si="2"/>
        <v>-3.0454631863898914E-2</v>
      </c>
      <c r="J27" s="51"/>
      <c r="K27" s="51"/>
    </row>
    <row r="28" spans="1:11" ht="15.75">
      <c r="A28" s="26" t="str">
        <v>Bayonne</v>
      </c>
      <c r="B28" s="27" t="str">
        <v>NJ</v>
      </c>
      <c r="C28" s="22">
        <v>3964.0999999999899</v>
      </c>
      <c r="D28" s="11">
        <v>3750.5169999999998</v>
      </c>
      <c r="E28" s="11">
        <f t="shared" si="0"/>
        <v>213.58299999999008</v>
      </c>
      <c r="F28" s="12">
        <f t="shared" si="3"/>
        <v>5.6947615488741977E-2</v>
      </c>
      <c r="G28" s="13">
        <v>3894.2530000000002</v>
      </c>
      <c r="H28" s="13">
        <f t="shared" si="1"/>
        <v>69.846999999989748</v>
      </c>
      <c r="I28" s="14">
        <f t="shared" si="2"/>
        <v>1.7935917363353062E-2</v>
      </c>
      <c r="J28" s="63"/>
      <c r="K28" s="63"/>
    </row>
    <row r="29" spans="1:11" ht="15.75">
      <c r="A29" s="28" t="str">
        <v>Clifton</v>
      </c>
      <c r="B29" s="29" t="str">
        <v>NJ</v>
      </c>
      <c r="C29" s="10">
        <v>4677.3351171875001</v>
      </c>
      <c r="D29" s="16">
        <v>4815.8890000000001</v>
      </c>
      <c r="E29" s="16">
        <f t="shared" si="0"/>
        <v>-138.55388281249998</v>
      </c>
      <c r="F29" s="17">
        <f t="shared" si="3"/>
        <v>-2.877015703902228E-2</v>
      </c>
      <c r="G29" s="18">
        <v>5116.9560000000001</v>
      </c>
      <c r="H29" s="18">
        <f t="shared" si="1"/>
        <v>-439.62088281249999</v>
      </c>
      <c r="I29" s="17">
        <f t="shared" si="2"/>
        <v>-8.5914532548745773E-2</v>
      </c>
      <c r="J29" s="51"/>
      <c r="K29" s="51"/>
    </row>
    <row r="30" spans="1:11" ht="15.75">
      <c r="A30" s="26" t="str">
        <v>North Elizabeth</v>
      </c>
      <c r="B30" s="27" t="str">
        <v>NJ</v>
      </c>
      <c r="C30" s="22">
        <v>4082.5</v>
      </c>
      <c r="D30" s="11">
        <v>3901.6680000000001</v>
      </c>
      <c r="E30" s="11">
        <f t="shared" si="0"/>
        <v>180.83199999999988</v>
      </c>
      <c r="F30" s="12">
        <f t="shared" si="3"/>
        <v>4.6347357079074863E-2</v>
      </c>
      <c r="G30" s="13">
        <v>3922.77</v>
      </c>
      <c r="H30" s="13">
        <f t="shared" si="1"/>
        <v>159.73000000000002</v>
      </c>
      <c r="I30" s="14">
        <f t="shared" si="2"/>
        <v>4.071867583365836E-2</v>
      </c>
      <c r="J30" s="63"/>
      <c r="K30" s="63"/>
    </row>
    <row r="31" spans="1:11" ht="15.75">
      <c r="A31" s="28" t="str">
        <v>Haddon Westmont Plaza</v>
      </c>
      <c r="B31" s="29" t="str">
        <v>NJ</v>
      </c>
      <c r="C31" s="10">
        <v>2917.7</v>
      </c>
      <c r="D31" s="16">
        <v>2873.3229999999999</v>
      </c>
      <c r="E31" s="16">
        <f t="shared" si="0"/>
        <v>44.376999999999953</v>
      </c>
      <c r="F31" s="17">
        <f t="shared" si="3"/>
        <v>1.5444487097343374E-2</v>
      </c>
      <c r="G31" s="18">
        <v>2890.645</v>
      </c>
      <c r="H31" s="18">
        <f t="shared" si="1"/>
        <v>27.054999999999836</v>
      </c>
      <c r="I31" s="17">
        <f t="shared" si="2"/>
        <v>9.3595028099264475E-3</v>
      </c>
      <c r="J31" s="51"/>
      <c r="K31" s="51"/>
    </row>
    <row r="32" spans="1:11" ht="15.75">
      <c r="A32" s="26" t="str">
        <v>Parsippany</v>
      </c>
      <c r="B32" s="27" t="str">
        <v>NJ</v>
      </c>
      <c r="C32" s="22">
        <v>3537</v>
      </c>
      <c r="D32" s="11">
        <v>3474.8389999999999</v>
      </c>
      <c r="E32" s="11">
        <f t="shared" si="0"/>
        <v>62.161000000000058</v>
      </c>
      <c r="F32" s="12">
        <f t="shared" si="3"/>
        <v>1.7888886362792653E-2</v>
      </c>
      <c r="G32" s="13">
        <v>3456.6959999999999</v>
      </c>
      <c r="H32" s="13">
        <f t="shared" si="1"/>
        <v>80.304000000000087</v>
      </c>
      <c r="I32" s="14">
        <f t="shared" si="2"/>
        <v>2.323143255872084E-2</v>
      </c>
      <c r="J32" s="63"/>
      <c r="K32" s="63"/>
    </row>
    <row r="33" spans="1:11" ht="15.75">
      <c r="A33" s="28" t="str">
        <v>Clark</v>
      </c>
      <c r="B33" s="29" t="str">
        <v>NJ</v>
      </c>
      <c r="C33" s="10">
        <v>2908.6999999999898</v>
      </c>
      <c r="D33" s="16">
        <v>2884.7069999999999</v>
      </c>
      <c r="E33" s="16">
        <f t="shared" si="0"/>
        <v>23.992999999989934</v>
      </c>
      <c r="F33" s="17">
        <f t="shared" si="3"/>
        <v>8.3173091755904278E-3</v>
      </c>
      <c r="G33" s="18">
        <v>2822.7040000000002</v>
      </c>
      <c r="H33" s="18">
        <f t="shared" si="1"/>
        <v>85.995999999989635</v>
      </c>
      <c r="I33" s="17">
        <f t="shared" si="2"/>
        <v>3.04658228422072E-2</v>
      </c>
      <c r="J33" s="51"/>
      <c r="K33" s="51"/>
    </row>
    <row r="34" spans="1:11" ht="15.75">
      <c r="A34" s="26" t="str">
        <v>Closter</v>
      </c>
      <c r="B34" s="27" t="str">
        <v>NJ</v>
      </c>
      <c r="C34" s="22">
        <v>1612.4</v>
      </c>
      <c r="D34" s="11">
        <v>1281.922</v>
      </c>
      <c r="E34" s="11">
        <f t="shared" si="0"/>
        <v>330.47800000000007</v>
      </c>
      <c r="F34" s="12">
        <f t="shared" si="3"/>
        <v>0.25779883643466611</v>
      </c>
      <c r="G34" s="13">
        <v>1748.1489999999999</v>
      </c>
      <c r="H34" s="13">
        <f t="shared" si="1"/>
        <v>-135.7489999999998</v>
      </c>
      <c r="I34" s="14">
        <f t="shared" si="2"/>
        <v>-7.7652991821635223E-2</v>
      </c>
      <c r="J34" s="63"/>
      <c r="K34" s="63"/>
    </row>
    <row r="35" spans="1:11" ht="15.75">
      <c r="A35" s="28" t="str">
        <v>Holmdel</v>
      </c>
      <c r="B35" s="29" t="str">
        <v>NJ</v>
      </c>
      <c r="C35" s="10">
        <v>2535.6</v>
      </c>
      <c r="D35" s="16">
        <v>2345.395</v>
      </c>
      <c r="E35" s="16">
        <f t="shared" si="0"/>
        <v>190.20499999999993</v>
      </c>
      <c r="F35" s="17">
        <f t="shared" si="3"/>
        <v>8.1097213902135853E-2</v>
      </c>
      <c r="G35" s="18">
        <v>2343.7280000000001</v>
      </c>
      <c r="H35" s="18">
        <f t="shared" si="1"/>
        <v>191.87199999999984</v>
      </c>
      <c r="I35" s="17">
        <f t="shared" si="2"/>
        <v>8.1866155116975967E-2</v>
      </c>
      <c r="J35" s="51"/>
      <c r="K35" s="51"/>
    </row>
    <row r="36" spans="1:11" ht="15.75">
      <c r="A36" s="26" t="str">
        <v>Ellisburg Circle Center</v>
      </c>
      <c r="B36" s="27" t="str">
        <v>NJ</v>
      </c>
      <c r="C36" s="22">
        <v>1296</v>
      </c>
      <c r="D36" s="11">
        <v>1296.3140000000001</v>
      </c>
      <c r="E36" s="11">
        <f t="shared" si="0"/>
        <v>-0.31400000000007822</v>
      </c>
      <c r="F36" s="12">
        <f t="shared" si="3"/>
        <v>-2.4222526332360694E-4</v>
      </c>
      <c r="G36" s="13">
        <v>1338.94</v>
      </c>
      <c r="H36" s="13">
        <f t="shared" si="1"/>
        <v>-42.940000000000055</v>
      </c>
      <c r="I36" s="14">
        <f t="shared" si="2"/>
        <v>-3.2070145040106392E-2</v>
      </c>
      <c r="J36" s="63"/>
      <c r="K36" s="63"/>
    </row>
    <row r="37" spans="1:11" ht="15.75">
      <c r="A37" s="28" t="str">
        <v>Nutley</v>
      </c>
      <c r="B37" s="29" t="str">
        <v>NJ</v>
      </c>
      <c r="C37" s="10">
        <v>4083.8</v>
      </c>
      <c r="D37" s="16">
        <v>3909.39</v>
      </c>
      <c r="E37" s="16">
        <f t="shared" si="0"/>
        <v>174.41000000000031</v>
      </c>
      <c r="F37" s="17">
        <f t="shared" si="3"/>
        <v>4.4613098207137256E-2</v>
      </c>
      <c r="G37" s="18">
        <v>4942.42</v>
      </c>
      <c r="H37" s="18">
        <f t="shared" si="1"/>
        <v>-858.61999999999989</v>
      </c>
      <c r="I37" s="17">
        <f t="shared" si="2"/>
        <v>-0.17372461263915245</v>
      </c>
      <c r="J37" s="51"/>
      <c r="K37" s="51"/>
    </row>
    <row r="38" spans="1:11" ht="15.75">
      <c r="A38" s="26" t="str">
        <v>Marlton</v>
      </c>
      <c r="B38" s="27" t="str">
        <v>NJ</v>
      </c>
      <c r="C38" s="22">
        <v>4588.3</v>
      </c>
      <c r="D38" s="11">
        <v>4254.4480000000003</v>
      </c>
      <c r="E38" s="11">
        <f t="shared" si="0"/>
        <v>333.85199999999986</v>
      </c>
      <c r="F38" s="12">
        <f t="shared" si="3"/>
        <v>7.8471284641391748E-2</v>
      </c>
      <c r="G38" s="13">
        <v>4606.2659999999996</v>
      </c>
      <c r="H38" s="13">
        <f t="shared" si="1"/>
        <v>-17.96599999999944</v>
      </c>
      <c r="I38" s="14">
        <f t="shared" si="2"/>
        <v>-3.9003392335569508E-3</v>
      </c>
      <c r="J38" s="63"/>
      <c r="K38" s="63"/>
    </row>
    <row r="39" spans="1:11" ht="15.75">
      <c r="A39" s="28" t="str">
        <v>Middletown</v>
      </c>
      <c r="B39" s="29" t="str">
        <v>NJ</v>
      </c>
      <c r="C39" s="10">
        <v>3657.5</v>
      </c>
      <c r="D39" s="16">
        <v>3447.1959999999999</v>
      </c>
      <c r="E39" s="16">
        <f t="shared" si="0"/>
        <v>210.30400000000009</v>
      </c>
      <c r="F39" s="17">
        <f t="shared" si="3"/>
        <v>6.1007265035118427E-2</v>
      </c>
      <c r="G39" s="18">
        <v>3697.4589999999998</v>
      </c>
      <c r="H39" s="18">
        <f t="shared" si="1"/>
        <v>-39.958999999999833</v>
      </c>
      <c r="I39" s="17">
        <f t="shared" si="2"/>
        <v>-1.0807151614121978E-2</v>
      </c>
      <c r="J39" s="51"/>
      <c r="K39" s="51"/>
    </row>
    <row r="40" spans="1:11" ht="15.75">
      <c r="A40" s="26" t="str">
        <v>Whiting Crestwood</v>
      </c>
      <c r="B40" s="27" t="str">
        <v>NJ</v>
      </c>
      <c r="C40" s="22">
        <v>4539.1000000000104</v>
      </c>
      <c r="D40" s="11">
        <v>4486.6989999999996</v>
      </c>
      <c r="E40" s="11">
        <f t="shared" si="0"/>
        <v>52.401000000010754</v>
      </c>
      <c r="F40" s="12">
        <f t="shared" si="3"/>
        <v>1.1679187750283841E-2</v>
      </c>
      <c r="G40" s="13">
        <v>4998.5020000000004</v>
      </c>
      <c r="H40" s="13">
        <f t="shared" si="1"/>
        <v>-459.40199999999004</v>
      </c>
      <c r="I40" s="14">
        <f t="shared" si="2"/>
        <v>-9.1907935617509012E-2</v>
      </c>
      <c r="J40" s="63"/>
      <c r="K40" s="63"/>
    </row>
    <row r="41" spans="1:11" ht="15.75">
      <c r="A41" s="28" t="str">
        <v>Barnegat</v>
      </c>
      <c r="B41" s="29" t="str">
        <v>NJ</v>
      </c>
      <c r="C41" s="10">
        <v>7034.7853329145901</v>
      </c>
      <c r="D41" s="16">
        <v>6283.3190000000004</v>
      </c>
      <c r="E41" s="16">
        <f t="shared" si="0"/>
        <v>751.46633291458966</v>
      </c>
      <c r="F41" s="17">
        <f t="shared" si="3"/>
        <v>0.11959703667991226</v>
      </c>
      <c r="G41" s="18">
        <v>6906.2809999999999</v>
      </c>
      <c r="H41" s="18">
        <f t="shared" si="1"/>
        <v>128.50433291459012</v>
      </c>
      <c r="I41" s="17">
        <f t="shared" si="2"/>
        <v>1.86068787115077E-2</v>
      </c>
      <c r="J41" s="51"/>
      <c r="K41" s="51"/>
    </row>
    <row r="42" spans="1:11" ht="15.75">
      <c r="A42" s="26" t="str">
        <v>Manchester</v>
      </c>
      <c r="B42" s="27" t="str">
        <v>NJ</v>
      </c>
      <c r="C42" s="22">
        <v>2843.9000000000101</v>
      </c>
      <c r="D42" s="11">
        <v>2905.58</v>
      </c>
      <c r="E42" s="11">
        <f t="shared" si="0"/>
        <v>-61.679999999989832</v>
      </c>
      <c r="F42" s="12">
        <f t="shared" si="3"/>
        <v>-2.1228119686943686E-2</v>
      </c>
      <c r="G42" s="13">
        <v>4215.9380000000001</v>
      </c>
      <c r="H42" s="13">
        <f t="shared" si="1"/>
        <v>-1372.03799999999</v>
      </c>
      <c r="I42" s="14">
        <f t="shared" si="2"/>
        <v>-0.32544074414756335</v>
      </c>
      <c r="J42" s="63"/>
      <c r="K42" s="63"/>
    </row>
    <row r="43" spans="1:11" ht="15.75">
      <c r="A43" s="28" t="str">
        <v>West Deptford - Woodbury</v>
      </c>
      <c r="B43" s="29" t="str">
        <v>NJ</v>
      </c>
      <c r="C43" s="10">
        <v>4039.2999999999902</v>
      </c>
      <c r="D43" s="16">
        <v>4290.5770000000002</v>
      </c>
      <c r="E43" s="16">
        <f t="shared" si="0"/>
        <v>-251.27700000001005</v>
      </c>
      <c r="F43" s="17">
        <f t="shared" si="3"/>
        <v>-5.8564850368612434E-2</v>
      </c>
      <c r="G43" s="18">
        <v>3903.672</v>
      </c>
      <c r="H43" s="18">
        <f t="shared" si="1"/>
        <v>135.62799999999015</v>
      </c>
      <c r="I43" s="17">
        <f t="shared" si="2"/>
        <v>3.474369772870009E-2</v>
      </c>
      <c r="J43" s="51"/>
      <c r="K43" s="51"/>
    </row>
    <row r="44" spans="1:11" ht="15.75">
      <c r="A44" s="26" t="str">
        <v>Edison</v>
      </c>
      <c r="B44" s="27" t="str">
        <v>NJ</v>
      </c>
      <c r="C44" s="22">
        <v>3549.5</v>
      </c>
      <c r="D44" s="11">
        <v>3615.6350000000002</v>
      </c>
      <c r="E44" s="11">
        <f t="shared" si="0"/>
        <v>-66.135000000000218</v>
      </c>
      <c r="F44" s="12">
        <f t="shared" si="3"/>
        <v>-1.8291392798222224E-2</v>
      </c>
      <c r="G44" s="13">
        <v>3626.5129999999999</v>
      </c>
      <c r="H44" s="13">
        <f t="shared" si="1"/>
        <v>-77.01299999999992</v>
      </c>
      <c r="I44" s="14">
        <f t="shared" si="2"/>
        <v>-2.1236102007631E-2</v>
      </c>
      <c r="J44" s="63"/>
      <c r="K44" s="63"/>
    </row>
    <row r="45" spans="1:11" ht="15.75">
      <c r="A45" s="28" t="str">
        <v>Flemington</v>
      </c>
      <c r="B45" s="29" t="str">
        <v>NJ</v>
      </c>
      <c r="C45" s="10">
        <v>3569.1999999999798</v>
      </c>
      <c r="D45" s="16">
        <v>3789.8939999999998</v>
      </c>
      <c r="E45" s="16">
        <f t="shared" si="0"/>
        <v>-220.69400000001997</v>
      </c>
      <c r="F45" s="17">
        <f t="shared" si="3"/>
        <v>-5.8232235518993404E-2</v>
      </c>
      <c r="G45" s="18">
        <v>3749.9479999999999</v>
      </c>
      <c r="H45" s="18">
        <f t="shared" si="1"/>
        <v>-180.74800000002006</v>
      </c>
      <c r="I45" s="17">
        <f t="shared" si="2"/>
        <v>-4.820013504187793E-2</v>
      </c>
      <c r="J45" s="51"/>
      <c r="K45" s="51"/>
    </row>
    <row r="46" spans="1:11" ht="15.75">
      <c r="A46" s="26" t="str">
        <v>Route 22</v>
      </c>
      <c r="B46" s="27" t="str">
        <v>NJ</v>
      </c>
      <c r="C46" s="22">
        <v>3348.3</v>
      </c>
      <c r="D46" s="11">
        <v>3747.6179999999999</v>
      </c>
      <c r="E46" s="11">
        <f t="shared" si="0"/>
        <v>-399.31799999999976</v>
      </c>
      <c r="F46" s="12">
        <f t="shared" si="3"/>
        <v>-0.10655248213665314</v>
      </c>
      <c r="G46" s="13">
        <v>3341.2339999999999</v>
      </c>
      <c r="H46" s="13">
        <f t="shared" si="1"/>
        <v>7.0660000000002583</v>
      </c>
      <c r="I46" s="14">
        <f t="shared" si="2"/>
        <v>2.1147875305950613E-3</v>
      </c>
      <c r="J46" s="63"/>
      <c r="K46" s="63"/>
    </row>
    <row r="47" spans="1:11" ht="42.75">
      <c r="A47" s="28" t="str">
        <v>Laurelton</v>
      </c>
      <c r="B47" s="29" t="str">
        <v>NJ</v>
      </c>
      <c r="C47" s="10">
        <v>2101.8999999999901</v>
      </c>
      <c r="D47" s="16">
        <v>3004.4349999999999</v>
      </c>
      <c r="E47" s="16">
        <f t="shared" si="0"/>
        <v>-902.53500000000986</v>
      </c>
      <c r="F47" s="17">
        <f t="shared" si="3"/>
        <v>-0.30040090732534064</v>
      </c>
      <c r="G47" s="18">
        <v>3118.6460000000002</v>
      </c>
      <c r="H47" s="18">
        <f t="shared" si="1"/>
        <v>-1016.7460000000101</v>
      </c>
      <c r="I47" s="17">
        <f t="shared" si="2"/>
        <v>-0.32602161322574286</v>
      </c>
      <c r="J47" s="51" t="s">
        <v>122</v>
      </c>
      <c r="K47" s="51" t="s">
        <v>123</v>
      </c>
    </row>
    <row r="48" spans="1:11" ht="15.75">
      <c r="A48" s="26" t="str">
        <v>Mahwah</v>
      </c>
      <c r="B48" s="27" t="str">
        <v>NJ</v>
      </c>
      <c r="C48" s="22">
        <v>2844.2</v>
      </c>
      <c r="D48" s="11">
        <v>2158.7170000000001</v>
      </c>
      <c r="E48" s="11">
        <f t="shared" si="0"/>
        <v>685.48299999999972</v>
      </c>
      <c r="F48" s="12">
        <f t="shared" si="3"/>
        <v>0.31754185472204077</v>
      </c>
      <c r="G48" s="13">
        <v>3098.047</v>
      </c>
      <c r="H48" s="13">
        <f t="shared" si="1"/>
        <v>-253.84700000000021</v>
      </c>
      <c r="I48" s="14">
        <f t="shared" si="2"/>
        <v>-8.1937749814641359E-2</v>
      </c>
      <c r="J48" s="63"/>
      <c r="K48" s="63"/>
    </row>
    <row r="49" spans="1:11" ht="15.75">
      <c r="A49" s="28" t="str">
        <v>Franklin Township WF</v>
      </c>
      <c r="B49" s="29" t="str">
        <v>NJ</v>
      </c>
      <c r="C49" s="10">
        <v>3176.8</v>
      </c>
      <c r="D49" s="16">
        <v>3187.578</v>
      </c>
      <c r="E49" s="16">
        <f t="shared" si="0"/>
        <v>-10.777999999999793</v>
      </c>
      <c r="F49" s="17">
        <f t="shared" si="3"/>
        <v>-3.3812505921423076E-3</v>
      </c>
      <c r="G49" s="18">
        <v>3470.4839999999999</v>
      </c>
      <c r="H49" s="18">
        <f t="shared" si="1"/>
        <v>-293.68399999999974</v>
      </c>
      <c r="I49" s="17">
        <f t="shared" si="2"/>
        <v>-8.4623355128564129E-2</v>
      </c>
      <c r="J49" s="51"/>
      <c r="K49" s="51"/>
    </row>
    <row r="50" spans="1:11" ht="15.75">
      <c r="A50" s="26" t="str">
        <v>Bordentown</v>
      </c>
      <c r="B50" s="27" t="str">
        <v>NJ</v>
      </c>
      <c r="C50" s="22">
        <v>2378.2999999999902</v>
      </c>
      <c r="D50" s="11">
        <v>2222.15</v>
      </c>
      <c r="E50" s="11">
        <f t="shared" si="0"/>
        <v>156.14999999999009</v>
      </c>
      <c r="F50" s="12">
        <f t="shared" si="3"/>
        <v>7.0269783767967997E-2</v>
      </c>
      <c r="G50" s="13">
        <v>2351.9899999999998</v>
      </c>
      <c r="H50" s="13">
        <f t="shared" si="1"/>
        <v>26.309999999990396</v>
      </c>
      <c r="I50" s="14">
        <f t="shared" si="2"/>
        <v>1.1186272050472323E-2</v>
      </c>
      <c r="J50" s="63"/>
      <c r="K50" s="63"/>
    </row>
    <row r="51" spans="1:11" ht="15.75">
      <c r="A51" s="28" t="str">
        <v>South Plainfield</v>
      </c>
      <c r="B51" s="29" t="str">
        <v>NJ</v>
      </c>
      <c r="C51" s="10">
        <v>1806.2</v>
      </c>
      <c r="D51" s="16">
        <v>1844.1130000000001</v>
      </c>
      <c r="E51" s="16">
        <f t="shared" si="0"/>
        <v>-37.913000000000011</v>
      </c>
      <c r="F51" s="17">
        <f t="shared" si="3"/>
        <v>-2.0558935379773369E-2</v>
      </c>
      <c r="G51" s="18">
        <v>1706.133</v>
      </c>
      <c r="H51" s="18">
        <f t="shared" si="1"/>
        <v>100.06700000000001</v>
      </c>
      <c r="I51" s="17">
        <f t="shared" si="2"/>
        <v>5.8651347814033257E-2</v>
      </c>
      <c r="J51" s="51"/>
      <c r="K51" s="51"/>
    </row>
    <row r="52" spans="1:11" ht="15.75">
      <c r="A52" s="26" t="str">
        <v>Somerset</v>
      </c>
      <c r="B52" s="27" t="str">
        <v>NJ</v>
      </c>
      <c r="C52" s="22">
        <v>2921.2</v>
      </c>
      <c r="D52" s="11">
        <v>3517.6320000000001</v>
      </c>
      <c r="E52" s="11">
        <f t="shared" si="0"/>
        <v>-596.43200000000024</v>
      </c>
      <c r="F52" s="12">
        <f t="shared" si="3"/>
        <v>-0.16955497334570535</v>
      </c>
      <c r="G52" s="13">
        <v>2922.4490000000001</v>
      </c>
      <c r="H52" s="13">
        <f t="shared" si="1"/>
        <v>-1.249000000000251</v>
      </c>
      <c r="I52" s="14">
        <f t="shared" si="2"/>
        <v>-4.2738128193178082E-4</v>
      </c>
      <c r="J52" s="63"/>
      <c r="K52" s="63"/>
    </row>
    <row r="53" spans="1:11" ht="15.75">
      <c r="A53" s="28" t="str">
        <v>Clinton Main Relo</v>
      </c>
      <c r="B53" s="29" t="str">
        <v>NJ</v>
      </c>
      <c r="C53" s="10">
        <v>3539.4609999999998</v>
      </c>
      <c r="D53" s="16">
        <v>3562.1419999999998</v>
      </c>
      <c r="E53" s="16">
        <f t="shared" si="0"/>
        <v>-22.68100000000004</v>
      </c>
      <c r="F53" s="17">
        <f t="shared" si="3"/>
        <v>-6.3672363426275653E-3</v>
      </c>
      <c r="G53" s="18">
        <v>3451.4119999999998</v>
      </c>
      <c r="H53" s="18">
        <f t="shared" si="1"/>
        <v>88.048999999999978</v>
      </c>
      <c r="I53" s="17">
        <f t="shared" si="2"/>
        <v>2.5511008248218406E-2</v>
      </c>
      <c r="J53" s="51"/>
      <c r="K53" s="51"/>
    </row>
    <row r="54" spans="1:11" ht="15.75">
      <c r="A54" s="26" t="str">
        <v>North Brunswick</v>
      </c>
      <c r="B54" s="27" t="str">
        <v>NJ</v>
      </c>
      <c r="C54" s="22">
        <v>3458.8999999999801</v>
      </c>
      <c r="D54" s="11">
        <v>3265.3580000000002</v>
      </c>
      <c r="E54" s="11">
        <f t="shared" si="0"/>
        <v>193.54199999997991</v>
      </c>
      <c r="F54" s="12">
        <f t="shared" si="3"/>
        <v>5.9271295827281391E-2</v>
      </c>
      <c r="G54" s="13">
        <v>3756.723</v>
      </c>
      <c r="H54" s="13">
        <f t="shared" si="1"/>
        <v>-297.82300000001987</v>
      </c>
      <c r="I54" s="14">
        <f t="shared" si="2"/>
        <v>-7.9277338254649027E-2</v>
      </c>
      <c r="J54" s="63"/>
      <c r="K54" s="63"/>
    </row>
    <row r="55" spans="1:11" ht="15.75">
      <c r="A55" s="28" t="str">
        <v>Cherry Hill</v>
      </c>
      <c r="B55" s="29" t="str">
        <v>NJ</v>
      </c>
      <c r="C55" s="10">
        <v>2163.12109375</v>
      </c>
      <c r="D55" s="16">
        <v>2296.7710000000002</v>
      </c>
      <c r="E55" s="16">
        <f t="shared" si="0"/>
        <v>-133.64990625000019</v>
      </c>
      <c r="F55" s="17">
        <f t="shared" si="3"/>
        <v>-5.8190349081384332E-2</v>
      </c>
      <c r="G55" s="18">
        <v>2361.1480000000001</v>
      </c>
      <c r="H55" s="18">
        <f t="shared" si="1"/>
        <v>-198.02690625000014</v>
      </c>
      <c r="I55" s="17">
        <f t="shared" si="2"/>
        <v>-8.3868908789283908E-2</v>
      </c>
      <c r="J55" s="51"/>
      <c r="K55" s="51"/>
    </row>
    <row r="56" spans="1:11" ht="15.75">
      <c r="A56" s="26" t="str">
        <v>Hainesport</v>
      </c>
      <c r="B56" s="27" t="str">
        <v>NJ</v>
      </c>
      <c r="C56" s="22">
        <v>2353</v>
      </c>
      <c r="D56" s="11">
        <v>2793.0450000000001</v>
      </c>
      <c r="E56" s="11">
        <f t="shared" si="0"/>
        <v>-440.04500000000007</v>
      </c>
      <c r="F56" s="12">
        <f t="shared" si="3"/>
        <v>-0.15755027219396753</v>
      </c>
      <c r="G56" s="13">
        <v>2320.8960000000002</v>
      </c>
      <c r="H56" s="13">
        <f t="shared" si="1"/>
        <v>32.103999999999814</v>
      </c>
      <c r="I56" s="14">
        <f t="shared" si="2"/>
        <v>1.3832588793293544E-2</v>
      </c>
      <c r="J56" s="63"/>
      <c r="K56" s="63"/>
    </row>
    <row r="57" spans="1:11" ht="28.5">
      <c r="A57" s="28" t="str">
        <v>San Antonio - Ops Ctr (Bldg 106)</v>
      </c>
      <c r="B57" s="29" t="str">
        <v>TX</v>
      </c>
      <c r="C57" s="10">
        <v>49661.139000000003</v>
      </c>
      <c r="D57" s="16">
        <v>46930.805999999997</v>
      </c>
      <c r="E57" s="16">
        <f t="shared" si="0"/>
        <v>2730.333000000006</v>
      </c>
      <c r="F57" s="17">
        <f t="shared" si="3"/>
        <v>5.8177841650535606E-2</v>
      </c>
      <c r="G57" s="18">
        <v>63389.421000000002</v>
      </c>
      <c r="H57" s="18">
        <f t="shared" si="1"/>
        <v>-13728.281999999999</v>
      </c>
      <c r="I57" s="17">
        <f t="shared" si="2"/>
        <v>-0.21657055362597488</v>
      </c>
      <c r="J57" s="51" t="s">
        <v>110</v>
      </c>
      <c r="K57" s="51" t="s">
        <v>111</v>
      </c>
    </row>
    <row r="58" spans="1:11" ht="42.75">
      <c r="A58" s="26" t="str">
        <v>San Antonio - Ops Ctr GM</v>
      </c>
      <c r="B58" s="27" t="str">
        <v>TX</v>
      </c>
      <c r="C58" s="22">
        <v>350704.5</v>
      </c>
      <c r="D58" s="11">
        <v>402783.83299999998</v>
      </c>
      <c r="E58" s="11">
        <f t="shared" si="0"/>
        <v>-52079.332999999984</v>
      </c>
      <c r="F58" s="12">
        <f t="shared" si="3"/>
        <v>-0.12929846913691789</v>
      </c>
      <c r="G58" s="13">
        <v>461978.1</v>
      </c>
      <c r="H58" s="13">
        <f t="shared" si="1"/>
        <v>-111273.59999999998</v>
      </c>
      <c r="I58" s="14">
        <f t="shared" si="2"/>
        <v>-0.24086336560109664</v>
      </c>
      <c r="J58" s="63" t="s">
        <v>99</v>
      </c>
      <c r="K58" s="63" t="s">
        <v>100</v>
      </c>
    </row>
    <row r="59" spans="1:11" ht="15.75">
      <c r="A59" s="28" t="str">
        <v>San Antonio - Ctr (Bldg 201)</v>
      </c>
      <c r="B59" s="29" t="str">
        <v>TX</v>
      </c>
      <c r="C59" s="10">
        <v>54489.281000000003</v>
      </c>
      <c r="D59" s="16">
        <v>46578.779000000002</v>
      </c>
      <c r="E59" s="16">
        <f t="shared" si="0"/>
        <v>7910.5020000000004</v>
      </c>
      <c r="F59" s="17">
        <f t="shared" si="3"/>
        <v>0.16983060032552591</v>
      </c>
      <c r="G59" s="18">
        <v>62615.616000000002</v>
      </c>
      <c r="H59" s="18">
        <f t="shared" si="1"/>
        <v>-8126.3349999999991</v>
      </c>
      <c r="I59" s="17">
        <f t="shared" si="2"/>
        <v>-0.12978128331437319</v>
      </c>
      <c r="J59" s="51"/>
      <c r="K59" s="51"/>
    </row>
    <row r="60" spans="1:11" ht="15.75">
      <c r="A60" s="26" t="str">
        <v>San Antonio - Ops Ctr (Bldg 203)</v>
      </c>
      <c r="B60" s="27" t="str">
        <v>TX</v>
      </c>
      <c r="C60" s="22">
        <v>54418.938000000002</v>
      </c>
      <c r="D60" s="11">
        <v>52813.016000000003</v>
      </c>
      <c r="E60" s="11">
        <f t="shared" si="0"/>
        <v>1605.9219999999987</v>
      </c>
      <c r="F60" s="12">
        <f t="shared" si="3"/>
        <v>3.040769343678457E-2</v>
      </c>
      <c r="G60" s="13">
        <v>62892.112999999998</v>
      </c>
      <c r="H60" s="13">
        <f t="shared" si="1"/>
        <v>-8473.1749999999956</v>
      </c>
      <c r="I60" s="14">
        <f t="shared" si="2"/>
        <v>-0.13472555771818315</v>
      </c>
      <c r="J60" s="63"/>
      <c r="K60" s="63"/>
    </row>
    <row r="61" spans="1:11" ht="15.75">
      <c r="A61" s="28" t="str">
        <v>San Antonio - Ops Ctr (Bldg 205)</v>
      </c>
      <c r="B61" s="29" t="str">
        <v>TX</v>
      </c>
      <c r="C61" s="10">
        <v>52114.25</v>
      </c>
      <c r="D61" s="16">
        <v>42443.103999999999</v>
      </c>
      <c r="E61" s="16">
        <f t="shared" si="0"/>
        <v>9671.1460000000006</v>
      </c>
      <c r="F61" s="17">
        <f t="shared" si="3"/>
        <v>0.22786142125703154</v>
      </c>
      <c r="G61" s="18">
        <v>60005.89</v>
      </c>
      <c r="H61" s="18">
        <f t="shared" si="1"/>
        <v>-7891.6399999999994</v>
      </c>
      <c r="I61" s="17">
        <f t="shared" si="2"/>
        <v>-0.13151442300080873</v>
      </c>
      <c r="J61" s="51"/>
      <c r="K61" s="51"/>
    </row>
    <row r="62" spans="1:11" ht="15.75">
      <c r="A62" s="26" t="str">
        <v>San Antonio - Ops Ctr (Bldg 307)</v>
      </c>
      <c r="B62" s="27" t="str">
        <v>TX</v>
      </c>
      <c r="C62" s="22">
        <v>53559.438000000002</v>
      </c>
      <c r="D62" s="11">
        <v>46159.535000000003</v>
      </c>
      <c r="E62" s="11">
        <f t="shared" si="0"/>
        <v>7399.9029999999984</v>
      </c>
      <c r="F62" s="12">
        <f t="shared" si="3"/>
        <v>0.16031147194182085</v>
      </c>
      <c r="G62" s="13">
        <v>60930.061000000002</v>
      </c>
      <c r="H62" s="13">
        <f t="shared" si="1"/>
        <v>-7370.6229999999996</v>
      </c>
      <c r="I62" s="14">
        <f t="shared" si="2"/>
        <v>-0.12096858068138155</v>
      </c>
      <c r="J62" s="63"/>
      <c r="K62" s="63"/>
    </row>
    <row r="63" spans="1:11" ht="15.75">
      <c r="A63" s="28" t="str">
        <v>San Antonio - Ctr (Bldg 308)</v>
      </c>
      <c r="B63" s="29" t="str">
        <v>TX</v>
      </c>
      <c r="C63" s="10">
        <v>51207.063000000002</v>
      </c>
      <c r="D63" s="16">
        <v>45123.934999999998</v>
      </c>
      <c r="E63" s="16">
        <f t="shared" si="0"/>
        <v>6083.1280000000042</v>
      </c>
      <c r="F63" s="17">
        <f t="shared" si="3"/>
        <v>0.1348093423146719</v>
      </c>
      <c r="G63" s="18">
        <v>58141.925999999999</v>
      </c>
      <c r="H63" s="18">
        <f t="shared" si="1"/>
        <v>-6934.8629999999976</v>
      </c>
      <c r="I63" s="17">
        <f t="shared" si="2"/>
        <v>-0.11927473816398854</v>
      </c>
      <c r="J63" s="51"/>
      <c r="K63" s="51"/>
    </row>
    <row r="64" spans="1:11" ht="15.75">
      <c r="A64" s="26" t="str">
        <v>San Antonio - Ops Ctr (Bldg 104)</v>
      </c>
      <c r="B64" s="27" t="str">
        <v>TX</v>
      </c>
      <c r="C64" s="22">
        <v>15240.455</v>
      </c>
      <c r="D64" s="11">
        <v>14136.152</v>
      </c>
      <c r="E64" s="11">
        <f t="shared" si="0"/>
        <v>1104.3029999999999</v>
      </c>
      <c r="F64" s="12">
        <f t="shared" si="3"/>
        <v>7.8119066631428397E-2</v>
      </c>
      <c r="G64" s="13">
        <v>18393.830000000002</v>
      </c>
      <c r="H64" s="13">
        <f t="shared" si="1"/>
        <v>-3153.3750000000018</v>
      </c>
      <c r="I64" s="14">
        <f t="shared" si="2"/>
        <v>-0.17143656323886877</v>
      </c>
      <c r="J64" s="63"/>
      <c r="K64" s="63"/>
    </row>
    <row r="65" spans="1:11" ht="15.75">
      <c r="A65" s="28" t="str">
        <v>San Antonio - Ops Ctr (Bldg 102)</v>
      </c>
      <c r="B65" s="29" t="str">
        <v>TX</v>
      </c>
      <c r="C65" s="10">
        <v>57289.25</v>
      </c>
      <c r="D65" s="16">
        <v>45418.46</v>
      </c>
      <c r="E65" s="16">
        <f t="shared" si="0"/>
        <v>11870.79</v>
      </c>
      <c r="F65" s="17">
        <f t="shared" si="3"/>
        <v>0.26136487234485717</v>
      </c>
      <c r="G65" s="18">
        <v>65271.218999999997</v>
      </c>
      <c r="H65" s="18">
        <f t="shared" si="1"/>
        <v>-7981.9689999999973</v>
      </c>
      <c r="I65" s="17">
        <f t="shared" si="2"/>
        <v>-0.12228925891517359</v>
      </c>
      <c r="J65" s="51"/>
      <c r="K65" s="51"/>
    </row>
    <row r="66" spans="1:11" ht="15.75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63"/>
      <c r="K66" s="63"/>
    </row>
    <row r="67" spans="1:11" ht="15.75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51"/>
      <c r="K67" s="51"/>
    </row>
    <row r="68" spans="1:11" ht="15.75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63"/>
      <c r="K68" s="63"/>
    </row>
    <row r="69" spans="1:11" ht="15.75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51"/>
      <c r="K69" s="51"/>
    </row>
    <row r="70" spans="1:11" ht="14.25">
      <c r="A70" s="69"/>
      <c r="B70" s="67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69"/>
      <c r="B71" s="67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69"/>
      <c r="B72" s="67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69"/>
      <c r="B73" s="67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69"/>
      <c r="B74" s="67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69"/>
      <c r="B75" s="67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69"/>
      <c r="B76" s="67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69"/>
      <c r="B77" s="67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69"/>
      <c r="B78" s="67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69"/>
      <c r="B79" s="67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69"/>
      <c r="B80" s="67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69"/>
      <c r="B81" s="67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69"/>
      <c r="B82" s="67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69"/>
      <c r="B83" s="67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69"/>
      <c r="B84" s="67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69"/>
      <c r="B85" s="67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69"/>
      <c r="B86" s="67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69"/>
      <c r="B87" s="67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69"/>
      <c r="B88" s="67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69"/>
      <c r="B89" s="67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69"/>
      <c r="B90" s="67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69"/>
      <c r="B91" s="67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69"/>
      <c r="B92" s="67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69"/>
      <c r="B93" s="67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69"/>
      <c r="B94" s="67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69"/>
      <c r="B95" s="67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69"/>
      <c r="B96" s="67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69"/>
      <c r="B97" s="67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69"/>
      <c r="B98" s="67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69"/>
      <c r="B99" s="67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69"/>
      <c r="B100" s="67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69"/>
      <c r="B101" s="67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69"/>
      <c r="B102" s="67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69"/>
      <c r="B103" s="67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69"/>
      <c r="B104" s="67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69"/>
      <c r="B105" s="67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69"/>
      <c r="B106" s="67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69"/>
      <c r="B107" s="67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69"/>
      <c r="B108" s="67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69"/>
      <c r="B109" s="67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69"/>
      <c r="B110" s="67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69"/>
      <c r="B111" s="67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69"/>
      <c r="B112" s="67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69"/>
      <c r="B113" s="67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69"/>
      <c r="B114" s="67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69"/>
      <c r="B115" s="67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69"/>
      <c r="B116" s="67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69"/>
      <c r="B117" s="67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69"/>
      <c r="B118" s="67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69"/>
      <c r="B119" s="67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69"/>
      <c r="B120" s="67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69"/>
      <c r="B121" s="67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69"/>
      <c r="B122" s="67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69"/>
      <c r="B123" s="67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69"/>
      <c r="B124" s="67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69"/>
      <c r="B125" s="67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69"/>
      <c r="B126" s="67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69"/>
      <c r="B127" s="67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69"/>
      <c r="B128" s="67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69"/>
      <c r="B129" s="67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69"/>
      <c r="B130" s="67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69"/>
      <c r="B131" s="67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69"/>
      <c r="B132" s="67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69"/>
      <c r="B133" s="67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69"/>
      <c r="B134" s="67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69"/>
      <c r="B135" s="67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69"/>
      <c r="B136" s="67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69"/>
      <c r="B137" s="67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69"/>
      <c r="B138" s="67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69"/>
      <c r="B139" s="67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69"/>
      <c r="B140" s="67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69"/>
      <c r="B141" s="67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69"/>
      <c r="B142" s="67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69"/>
      <c r="B143" s="67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69"/>
      <c r="B144" s="67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69"/>
      <c r="B145" s="67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69"/>
      <c r="B146" s="67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69"/>
      <c r="B147" s="67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69"/>
      <c r="B148" s="67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69"/>
      <c r="B149" s="67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69"/>
      <c r="B150" s="67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69"/>
      <c r="B151" s="67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69"/>
      <c r="B152" s="67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69"/>
      <c r="B153" s="67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69"/>
      <c r="B154" s="67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69"/>
      <c r="B155" s="67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69"/>
      <c r="B156" s="67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69"/>
      <c r="B157" s="67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69"/>
      <c r="B158" s="67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69"/>
      <c r="B159" s="67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69"/>
      <c r="B160" s="67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69"/>
      <c r="B161" s="67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69"/>
      <c r="B162" s="67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69"/>
      <c r="B163" s="67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69"/>
      <c r="B164" s="67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69"/>
      <c r="B165" s="67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69"/>
      <c r="B166" s="67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69"/>
      <c r="B167" s="67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69"/>
      <c r="B168" s="67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69"/>
      <c r="B169" s="67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69"/>
      <c r="B170" s="67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69"/>
      <c r="B171" s="67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69"/>
      <c r="B172" s="67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69"/>
      <c r="B173" s="67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69"/>
      <c r="B174" s="67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69"/>
      <c r="B175" s="67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69"/>
      <c r="B176" s="67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69"/>
      <c r="B177" s="67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69"/>
      <c r="B178" s="67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69"/>
      <c r="B179" s="67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69"/>
      <c r="B180" s="67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69"/>
      <c r="B181" s="67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69"/>
      <c r="B182" s="67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69"/>
      <c r="B183" s="67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69"/>
      <c r="B184" s="67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69"/>
      <c r="B185" s="67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69"/>
      <c r="B186" s="67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69"/>
      <c r="B187" s="67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69"/>
      <c r="B188" s="67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69"/>
      <c r="B189" s="67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69"/>
      <c r="B190" s="67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69"/>
      <c r="B191" s="67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69"/>
      <c r="B192" s="67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69"/>
      <c r="B193" s="67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69"/>
      <c r="B194" s="67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69"/>
      <c r="B195" s="67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69"/>
      <c r="B196" s="67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69"/>
      <c r="B197" s="67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69"/>
      <c r="B198" s="67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69"/>
      <c r="B199" s="67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69"/>
      <c r="B200" s="67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69"/>
      <c r="B201" s="67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69"/>
      <c r="B202" s="67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69"/>
      <c r="B203" s="67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69"/>
      <c r="B204" s="67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69"/>
      <c r="B205" s="67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69"/>
      <c r="B206" s="67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69"/>
      <c r="B207" s="67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69"/>
      <c r="B208" s="67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69"/>
      <c r="B209" s="67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69"/>
      <c r="B210" s="67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69"/>
      <c r="B211" s="67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69"/>
      <c r="B212" s="67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69"/>
      <c r="B213" s="67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69"/>
      <c r="B214" s="67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69"/>
      <c r="B215" s="67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69"/>
      <c r="B216" s="67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69"/>
      <c r="B217" s="67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69"/>
      <c r="B218" s="67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69"/>
      <c r="B219" s="67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69"/>
      <c r="B220" s="67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69"/>
      <c r="B221" s="67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69"/>
      <c r="B222" s="67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69"/>
      <c r="B223" s="67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69"/>
      <c r="B224" s="67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69"/>
      <c r="B225" s="67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69"/>
      <c r="B226" s="67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69"/>
      <c r="B227" s="67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69"/>
      <c r="B228" s="67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69"/>
      <c r="B229" s="67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69"/>
      <c r="B230" s="67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69"/>
      <c r="B231" s="67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69"/>
      <c r="B232" s="67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69"/>
      <c r="B233" s="67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69"/>
      <c r="B234" s="67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69"/>
      <c r="B235" s="67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69"/>
      <c r="B236" s="67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69"/>
      <c r="B237" s="67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69"/>
      <c r="B238" s="67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69"/>
      <c r="B239" s="67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69"/>
      <c r="B240" s="67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69"/>
      <c r="B241" s="67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69"/>
      <c r="B242" s="67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69"/>
      <c r="B243" s="67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69"/>
      <c r="B244" s="67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69"/>
      <c r="B245" s="67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69"/>
      <c r="B246" s="67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69"/>
      <c r="B247" s="67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69"/>
      <c r="B248" s="67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69"/>
      <c r="B249" s="67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69"/>
      <c r="B250" s="67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69"/>
      <c r="B251" s="67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69"/>
      <c r="B252" s="67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69"/>
      <c r="B253" s="67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69"/>
      <c r="B254" s="67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69"/>
      <c r="B255" s="67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69"/>
      <c r="B256" s="67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69"/>
      <c r="B257" s="67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69"/>
      <c r="B258" s="67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69"/>
      <c r="B259" s="67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69"/>
      <c r="B260" s="67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69"/>
      <c r="B261" s="67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69"/>
      <c r="B262" s="67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69"/>
      <c r="B263" s="67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69"/>
      <c r="B264" s="67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69"/>
      <c r="B265" s="67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69"/>
      <c r="B266" s="67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69"/>
      <c r="B267" s="67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69"/>
      <c r="B268" s="67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69"/>
      <c r="B269" s="67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69"/>
      <c r="B270" s="67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69"/>
      <c r="B271" s="67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69"/>
      <c r="B272" s="67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69"/>
      <c r="B273" s="67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69"/>
      <c r="B274" s="67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69"/>
      <c r="B275" s="67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69"/>
      <c r="B276" s="67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69"/>
      <c r="B277" s="67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69"/>
      <c r="B278" s="67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69"/>
      <c r="B279" s="67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69"/>
      <c r="B280" s="67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69"/>
      <c r="B281" s="67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69"/>
      <c r="B282" s="67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69"/>
      <c r="B283" s="67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69"/>
      <c r="B284" s="67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69"/>
      <c r="B285" s="67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69"/>
      <c r="B286" s="67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69"/>
      <c r="B287" s="67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69"/>
      <c r="B288" s="67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69"/>
      <c r="B289" s="67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69"/>
      <c r="B290" s="67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69"/>
      <c r="B291" s="67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69"/>
      <c r="B292" s="67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69"/>
      <c r="B293" s="67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69"/>
      <c r="B294" s="67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69"/>
      <c r="B295" s="67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69"/>
      <c r="B296" s="67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69"/>
      <c r="B297" s="67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69"/>
      <c r="B298" s="67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69"/>
      <c r="B299" s="67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69"/>
      <c r="B300" s="67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69"/>
      <c r="B301" s="67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69"/>
      <c r="B302" s="67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69"/>
      <c r="B303" s="67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69"/>
      <c r="B304" s="67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69"/>
      <c r="B305" s="67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69"/>
      <c r="B306" s="67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69"/>
      <c r="B307" s="67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69"/>
      <c r="B308" s="67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69"/>
      <c r="B309" s="67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69"/>
      <c r="B310" s="67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69"/>
      <c r="B311" s="67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69"/>
      <c r="B312" s="67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69"/>
      <c r="B313" s="67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69"/>
      <c r="B314" s="67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69"/>
      <c r="B315" s="67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69"/>
      <c r="B316" s="67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69"/>
      <c r="B317" s="67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69"/>
      <c r="B318" s="67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69"/>
      <c r="B319" s="67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69"/>
      <c r="B320" s="67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69"/>
      <c r="B321" s="67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69"/>
      <c r="B322" s="67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69"/>
      <c r="B323" s="67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69"/>
      <c r="B324" s="67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69"/>
      <c r="B325" s="67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69"/>
      <c r="B326" s="67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69"/>
      <c r="B327" s="67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3.9">
      <c r="C328" s="19"/>
      <c r="D328" s="19"/>
      <c r="E328" s="19"/>
      <c r="F328" s="20"/>
      <c r="G328" s="19"/>
      <c r="H328" s="19"/>
      <c r="I328" s="20"/>
      <c r="J328" s="19"/>
      <c r="K328" s="19"/>
    </row>
  </sheetData>
  <autoFilter ref="A3:K3" xr:uid="{957CD936-B73F-469A-B0B5-B8EA155C9C51}"/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24 I4:I86 F26:F86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zoomScale="90" zoomScaleNormal="90" workbookViewId="0">
      <pane xSplit="2" ySplit="3" topLeftCell="C4" activePane="bottomRight" state="frozen"/>
      <selection pane="bottomRight" activeCell="F54" sqref="F5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5.85546875" customWidth="1"/>
    <col min="11" max="11" width="20.5703125" bestFit="1" customWidth="1"/>
  </cols>
  <sheetData>
    <row r="1" spans="1:11" ht="19.5" customHeight="1">
      <c r="A1" s="72" t="str" cm="1">
        <f t="array" ref="A1">portfolio</f>
        <v>Wells Fargo</v>
      </c>
      <c r="B1" s="72"/>
      <c r="C1" s="72"/>
      <c r="D1" s="73" t="s">
        <v>124</v>
      </c>
      <c r="E1" s="73"/>
      <c r="F1" s="73"/>
      <c r="G1" s="71" t="s">
        <v>125</v>
      </c>
      <c r="H1" s="71"/>
      <c r="I1" s="71"/>
      <c r="J1" s="3"/>
      <c r="K1" s="3"/>
    </row>
    <row r="2" spans="1:11" ht="19.5" customHeight="1">
      <c r="A2" s="82" t="s">
        <v>2</v>
      </c>
      <c r="B2" s="82"/>
      <c r="C2" s="4">
        <f>SUM(C4:C91)</f>
        <v>1566587.9435480384</v>
      </c>
      <c r="D2" s="4">
        <f>SUM(D4:D91)</f>
        <v>1547343.9768199997</v>
      </c>
      <c r="E2" s="4">
        <f>C2-D2</f>
        <v>19243.96672803862</v>
      </c>
      <c r="F2" s="5">
        <f>IFERROR(E2/D2, 0)</f>
        <v>1.2436773604526876E-2</v>
      </c>
      <c r="G2" s="4">
        <f>SUM(G4:G91)</f>
        <v>1863295.1633000004</v>
      </c>
      <c r="H2" s="6">
        <f>C2-G2</f>
        <v>-296707.21975196199</v>
      </c>
      <c r="I2" s="5">
        <f>IFERROR(H2/G2, 0)</f>
        <v>-0.15923790583263087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1267.5999999999999</v>
      </c>
      <c r="D4" s="11">
        <v>0</v>
      </c>
      <c r="E4" s="11">
        <f>IF(AND(ISNUMBER(C4),ISNUMBER(D4)), C4-D4, "")</f>
        <v>1267.5999999999999</v>
      </c>
      <c r="F4" s="12" t="str">
        <f>IFERROR(E4/D4, "")</f>
        <v/>
      </c>
      <c r="G4" s="13">
        <v>1312</v>
      </c>
      <c r="H4" s="13">
        <f>IF(AND(ISNUMBER(C4),ISNUMBER(G4)), C4-G4, "")</f>
        <v>-44.400000000000091</v>
      </c>
      <c r="I4" s="14">
        <f>IFERROR(H4/G4, "")</f>
        <v>-3.3841463414634218E-2</v>
      </c>
      <c r="J4" s="39"/>
      <c r="K4" s="39"/>
    </row>
    <row r="5" spans="1:11" ht="15.75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8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8" si="1">IF(AND(ISNUMBER(C5),ISNUMBER(G5)), C5-G5, "")</f>
        <v>0</v>
      </c>
      <c r="I5" s="17" t="str">
        <f t="shared" ref="I5:I68" si="2">IFERROR(H5/G5, "")</f>
        <v/>
      </c>
      <c r="J5" s="56"/>
      <c r="K5" s="56"/>
    </row>
    <row r="6" spans="1:11" ht="46.35" customHeight="1">
      <c r="A6" s="26" t="str">
        <v>San Leandro</v>
      </c>
      <c r="B6" s="27" t="str">
        <v>CA</v>
      </c>
      <c r="C6" s="22">
        <v>34819.25</v>
      </c>
      <c r="D6" s="11">
        <v>37068.39</v>
      </c>
      <c r="E6" s="11">
        <f t="shared" si="0"/>
        <v>-2249.1399999999994</v>
      </c>
      <c r="F6" s="12">
        <f t="shared" ref="F6:F69" si="3">IFERROR(E6/D6, "")</f>
        <v>-6.0675416439721269E-2</v>
      </c>
      <c r="G6" s="13">
        <v>48909.82</v>
      </c>
      <c r="H6" s="13">
        <f t="shared" si="1"/>
        <v>-14090.57</v>
      </c>
      <c r="I6" s="14">
        <f t="shared" si="2"/>
        <v>-0.28809286151533575</v>
      </c>
      <c r="J6" s="39" t="s">
        <v>126</v>
      </c>
      <c r="K6" s="39" t="s">
        <v>127</v>
      </c>
    </row>
    <row r="7" spans="1:11" ht="15.75">
      <c r="A7" s="28" t="str">
        <v>Van Nuys</v>
      </c>
      <c r="B7" s="29" t="str">
        <v>CA</v>
      </c>
      <c r="C7" s="10">
        <v>1969.5</v>
      </c>
      <c r="D7" s="16">
        <v>0</v>
      </c>
      <c r="E7" s="16">
        <f t="shared" si="0"/>
        <v>1969.5</v>
      </c>
      <c r="F7" s="17" t="str">
        <f t="shared" si="3"/>
        <v/>
      </c>
      <c r="G7" s="18">
        <v>2608.029</v>
      </c>
      <c r="H7" s="18">
        <f t="shared" si="1"/>
        <v>-638.529</v>
      </c>
      <c r="I7" s="17">
        <f t="shared" si="2"/>
        <v>-0.24483201682189884</v>
      </c>
      <c r="J7" s="56"/>
      <c r="K7" s="56"/>
    </row>
    <row r="8" spans="1:11" ht="15.75">
      <c r="A8" s="26" t="str">
        <v>98th &amp; Grant</v>
      </c>
      <c r="B8" s="27" t="str">
        <v>CO</v>
      </c>
      <c r="C8" s="22">
        <v>1183.8</v>
      </c>
      <c r="D8" s="11">
        <v>0</v>
      </c>
      <c r="E8" s="11">
        <f t="shared" si="0"/>
        <v>1183.8</v>
      </c>
      <c r="F8" s="12" t="str">
        <f t="shared" si="3"/>
        <v/>
      </c>
      <c r="G8" s="13">
        <v>2124</v>
      </c>
      <c r="H8" s="13">
        <f t="shared" si="1"/>
        <v>-940.2</v>
      </c>
      <c r="I8" s="14">
        <f t="shared" si="2"/>
        <v>-0.44265536723163845</v>
      </c>
      <c r="J8" s="39"/>
      <c r="K8" s="39"/>
    </row>
    <row r="9" spans="1:11" ht="15.75">
      <c r="A9" s="28" t="str">
        <v>Arapahoe Crossings</v>
      </c>
      <c r="B9" s="29" t="str">
        <v>CO</v>
      </c>
      <c r="C9" s="10">
        <v>2004.2070441988899</v>
      </c>
      <c r="D9" s="16">
        <v>0</v>
      </c>
      <c r="E9" s="16">
        <f t="shared" si="0"/>
        <v>2004.2070441988899</v>
      </c>
      <c r="F9" s="17" t="str">
        <f t="shared" si="3"/>
        <v/>
      </c>
      <c r="G9" s="18">
        <v>3962.4679999999998</v>
      </c>
      <c r="H9" s="18">
        <f t="shared" si="1"/>
        <v>-1958.26095580111</v>
      </c>
      <c r="I9" s="17">
        <f t="shared" si="2"/>
        <v>-0.49420233950182313</v>
      </c>
      <c r="J9" s="56" t="s">
        <v>128</v>
      </c>
      <c r="K9" s="56" t="s">
        <v>129</v>
      </c>
    </row>
    <row r="10" spans="1:11" ht="15.75">
      <c r="A10" s="26" t="str">
        <v>Aurora City Center</v>
      </c>
      <c r="B10" s="27" t="str">
        <v>CO</v>
      </c>
      <c r="C10" s="22">
        <v>2077.1999999999998</v>
      </c>
      <c r="D10" s="11">
        <v>0</v>
      </c>
      <c r="E10" s="11">
        <f t="shared" si="0"/>
        <v>2077.1999999999998</v>
      </c>
      <c r="F10" s="12" t="str">
        <f t="shared" si="3"/>
        <v/>
      </c>
      <c r="G10" s="13">
        <v>1840</v>
      </c>
      <c r="H10" s="13">
        <f t="shared" si="1"/>
        <v>237.19999999999982</v>
      </c>
      <c r="I10" s="14">
        <f t="shared" si="2"/>
        <v>0.12891304347826077</v>
      </c>
      <c r="J10" s="39"/>
      <c r="K10" s="39"/>
    </row>
    <row r="11" spans="1:11" ht="15.75">
      <c r="A11" s="28" t="str">
        <v>Dry Creek</v>
      </c>
      <c r="B11" s="29" t="str">
        <v>CO</v>
      </c>
      <c r="C11" s="10">
        <v>2326.8999999999901</v>
      </c>
      <c r="D11" s="16">
        <v>0</v>
      </c>
      <c r="E11" s="16">
        <f t="shared" si="0"/>
        <v>2326.8999999999901</v>
      </c>
      <c r="F11" s="17" t="str">
        <f t="shared" si="3"/>
        <v/>
      </c>
      <c r="G11" s="18">
        <v>2319</v>
      </c>
      <c r="H11" s="18">
        <f t="shared" si="1"/>
        <v>7.8999999999900865</v>
      </c>
      <c r="I11" s="17">
        <f t="shared" si="2"/>
        <v>3.4066407934411759E-3</v>
      </c>
      <c r="J11" s="56"/>
      <c r="K11" s="56"/>
    </row>
    <row r="12" spans="1:11" ht="15.75">
      <c r="A12" s="26" t="str">
        <v>Highlands Ranch S.</v>
      </c>
      <c r="B12" s="27" t="str">
        <v>CO</v>
      </c>
      <c r="C12" s="22">
        <v>2007.8</v>
      </c>
      <c r="D12" s="11">
        <v>0</v>
      </c>
      <c r="E12" s="11">
        <f t="shared" si="0"/>
        <v>2007.8</v>
      </c>
      <c r="F12" s="12" t="str">
        <f t="shared" si="3"/>
        <v/>
      </c>
      <c r="G12" s="13">
        <v>2235</v>
      </c>
      <c r="H12" s="13">
        <f t="shared" si="1"/>
        <v>-227.20000000000005</v>
      </c>
      <c r="I12" s="14">
        <f t="shared" si="2"/>
        <v>-0.10165548098434006</v>
      </c>
      <c r="J12" s="39"/>
      <c r="K12" s="39"/>
    </row>
    <row r="13" spans="1:11" ht="28.5">
      <c r="A13" s="28" t="str">
        <v>Lone Tree</v>
      </c>
      <c r="B13" s="29" t="str">
        <v>CO</v>
      </c>
      <c r="C13" s="10">
        <v>3157</v>
      </c>
      <c r="D13" s="16">
        <v>0</v>
      </c>
      <c r="E13" s="16">
        <f t="shared" si="0"/>
        <v>3157</v>
      </c>
      <c r="F13" s="17" t="str">
        <f t="shared" si="3"/>
        <v/>
      </c>
      <c r="G13" s="18">
        <v>5091</v>
      </c>
      <c r="H13" s="18">
        <f t="shared" si="1"/>
        <v>-1934</v>
      </c>
      <c r="I13" s="17">
        <f t="shared" si="2"/>
        <v>-0.37988607346297387</v>
      </c>
      <c r="J13" s="56" t="s">
        <v>130</v>
      </c>
      <c r="K13" s="56" t="s">
        <v>131</v>
      </c>
    </row>
    <row r="14" spans="1:11" ht="15.75">
      <c r="A14" s="26" t="str">
        <v>Meridian</v>
      </c>
      <c r="B14" s="27" t="str">
        <v>CO</v>
      </c>
      <c r="C14" s="22">
        <v>3324.3999999999901</v>
      </c>
      <c r="D14" s="11">
        <v>0</v>
      </c>
      <c r="E14" s="11">
        <f t="shared" si="0"/>
        <v>3324.3999999999901</v>
      </c>
      <c r="F14" s="12" t="str">
        <f t="shared" si="3"/>
        <v/>
      </c>
      <c r="G14" s="13">
        <v>2948</v>
      </c>
      <c r="H14" s="13">
        <f t="shared" si="1"/>
        <v>376.39999999999009</v>
      </c>
      <c r="I14" s="14">
        <f t="shared" si="2"/>
        <v>0.12767978290366014</v>
      </c>
      <c r="J14" s="39"/>
      <c r="K14" s="39"/>
    </row>
    <row r="15" spans="1:11" ht="15.75">
      <c r="A15" s="28" t="str">
        <v>Southglenn</v>
      </c>
      <c r="B15" s="29" t="str">
        <v>CO</v>
      </c>
      <c r="C15" s="10">
        <v>3334</v>
      </c>
      <c r="D15" s="16">
        <v>0</v>
      </c>
      <c r="E15" s="16">
        <f t="shared" si="0"/>
        <v>3334</v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56"/>
      <c r="K15" s="56"/>
    </row>
    <row r="16" spans="1:11" ht="15.75">
      <c r="A16" s="26" t="str">
        <v>Standley Lake</v>
      </c>
      <c r="B16" s="27" t="str">
        <v>CO</v>
      </c>
      <c r="C16" s="22">
        <v>3309.0999999999899</v>
      </c>
      <c r="D16" s="11">
        <v>0</v>
      </c>
      <c r="E16" s="11">
        <f t="shared" si="0"/>
        <v>3309.0999999999899</v>
      </c>
      <c r="F16" s="12" t="str">
        <f t="shared" si="3"/>
        <v/>
      </c>
      <c r="G16" s="13">
        <v>4022</v>
      </c>
      <c r="H16" s="13">
        <f t="shared" si="1"/>
        <v>-712.9000000000101</v>
      </c>
      <c r="I16" s="14">
        <f t="shared" si="2"/>
        <v>-0.17725012431626308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3935.8999999999901</v>
      </c>
      <c r="D17" s="16">
        <v>0</v>
      </c>
      <c r="E17" s="16">
        <f t="shared" si="0"/>
        <v>3935.8999999999901</v>
      </c>
      <c r="F17" s="17" t="str">
        <f t="shared" si="3"/>
        <v/>
      </c>
      <c r="G17" s="18">
        <v>1565</v>
      </c>
      <c r="H17" s="18">
        <f t="shared" si="1"/>
        <v>2370.8999999999901</v>
      </c>
      <c r="I17" s="17">
        <f t="shared" si="2"/>
        <v>1.5149520766773099</v>
      </c>
      <c r="J17" s="56"/>
      <c r="K17" s="56"/>
    </row>
    <row r="18" spans="1:11" ht="12.75" customHeight="1">
      <c r="A18" s="26" t="str">
        <v>East Hartford</v>
      </c>
      <c r="B18" s="27" t="str">
        <v>CT</v>
      </c>
      <c r="C18" s="22">
        <v>734.79999999999905</v>
      </c>
      <c r="D18" s="11">
        <v>640.90219999999999</v>
      </c>
      <c r="E18" s="11">
        <f t="shared" si="0"/>
        <v>93.897799999999052</v>
      </c>
      <c r="F18" s="12">
        <f t="shared" si="3"/>
        <v>0.14650878090291944</v>
      </c>
      <c r="G18" s="13">
        <v>961.59630000000004</v>
      </c>
      <c r="H18" s="13">
        <f t="shared" si="1"/>
        <v>-226.796300000001</v>
      </c>
      <c r="I18" s="14">
        <f t="shared" si="2"/>
        <v>-0.23585396491230362</v>
      </c>
      <c r="J18" s="39"/>
      <c r="K18" s="39"/>
    </row>
    <row r="19" spans="1:11" ht="57">
      <c r="A19" s="28" t="str">
        <v>Norwalk</v>
      </c>
      <c r="B19" s="29" t="str">
        <v>CT</v>
      </c>
      <c r="C19" s="10">
        <v>870.29999999999905</v>
      </c>
      <c r="D19" s="16">
        <v>16.008520000000001</v>
      </c>
      <c r="E19" s="16">
        <f t="shared" si="0"/>
        <v>854.29147999999907</v>
      </c>
      <c r="F19" s="17">
        <f t="shared" si="3"/>
        <v>53.364800743603972</v>
      </c>
      <c r="G19" s="18">
        <v>1230.2919999999999</v>
      </c>
      <c r="H19" s="18">
        <f t="shared" si="1"/>
        <v>-359.99200000000087</v>
      </c>
      <c r="I19" s="17">
        <f t="shared" si="2"/>
        <v>-0.29260695834810019</v>
      </c>
      <c r="J19" s="56" t="s">
        <v>132</v>
      </c>
      <c r="K19" s="56" t="s">
        <v>133</v>
      </c>
    </row>
    <row r="20" spans="1:11" ht="15.75">
      <c r="A20" s="26" t="str">
        <v>Hialeah Gardens</v>
      </c>
      <c r="B20" s="27" t="str">
        <v>FL</v>
      </c>
      <c r="C20" s="22">
        <v>743.30474174022697</v>
      </c>
      <c r="D20" s="11">
        <v>3420.6080000000002</v>
      </c>
      <c r="E20" s="11">
        <f t="shared" si="0"/>
        <v>-2677.3032582597734</v>
      </c>
      <c r="F20" s="12">
        <f t="shared" si="3"/>
        <v>-0.78269806369504291</v>
      </c>
      <c r="G20" s="13">
        <v>5217</v>
      </c>
      <c r="H20" s="13">
        <f t="shared" si="1"/>
        <v>-4473.6952582597733</v>
      </c>
      <c r="I20" s="14">
        <f t="shared" si="2"/>
        <v>-0.85752257202602511</v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56"/>
      <c r="K21" s="56"/>
    </row>
    <row r="22" spans="1:11" ht="28.5">
      <c r="A22" s="26" t="str">
        <v>W. Des Moines Campus EAST</v>
      </c>
      <c r="B22" s="27" t="str">
        <v>IA</v>
      </c>
      <c r="C22" s="22">
        <v>186173.5</v>
      </c>
      <c r="D22" s="11">
        <v>193027.8</v>
      </c>
      <c r="E22" s="11">
        <f t="shared" si="0"/>
        <v>-6854.2999999999884</v>
      </c>
      <c r="F22" s="12">
        <f t="shared" si="3"/>
        <v>-3.5509392947544287E-2</v>
      </c>
      <c r="G22" s="13">
        <v>197900</v>
      </c>
      <c r="H22" s="13">
        <f t="shared" si="1"/>
        <v>-11726.5</v>
      </c>
      <c r="I22" s="14">
        <f t="shared" si="2"/>
        <v>-5.9254674077817079E-2</v>
      </c>
      <c r="J22" s="39" t="s">
        <v>134</v>
      </c>
      <c r="K22" s="39" t="s">
        <v>135</v>
      </c>
    </row>
    <row r="23" spans="1:11" ht="15.75">
      <c r="A23" s="28" t="str">
        <v>W. Des Moines Campus SW</v>
      </c>
      <c r="B23" s="29" t="str">
        <v>IA</v>
      </c>
      <c r="C23" s="10">
        <v>96373.25</v>
      </c>
      <c r="D23" s="16">
        <v>96472.78</v>
      </c>
      <c r="E23" s="16">
        <f t="shared" si="0"/>
        <v>-99.529999999998836</v>
      </c>
      <c r="F23" s="17">
        <f t="shared" si="3"/>
        <v>-1.0316899751411624E-3</v>
      </c>
      <c r="G23" s="18">
        <v>97637.28</v>
      </c>
      <c r="H23" s="18">
        <f t="shared" si="1"/>
        <v>-1264.0299999999988</v>
      </c>
      <c r="I23" s="17">
        <f t="shared" si="2"/>
        <v>-1.2946182032109035E-2</v>
      </c>
      <c r="J23" s="56"/>
      <c r="K23" s="56"/>
    </row>
    <row r="24" spans="1:11" ht="15.75">
      <c r="A24" s="26" t="str">
        <v>WF - CIC</v>
      </c>
      <c r="B24" s="27" t="str">
        <v>NC</v>
      </c>
      <c r="C24" s="22">
        <v>176476</v>
      </c>
      <c r="D24" s="11">
        <v>186483</v>
      </c>
      <c r="E24" s="11">
        <f>IF(AND(ISNUMBER(C24),ISNUMBER(D24)), C24-D24, "")</f>
        <v>-10007</v>
      </c>
      <c r="F24" s="12">
        <f t="shared" si="3"/>
        <v>-5.3661727878680628E-2</v>
      </c>
      <c r="G24" s="13">
        <v>192546</v>
      </c>
      <c r="H24" s="13">
        <f t="shared" si="1"/>
        <v>-16070</v>
      </c>
      <c r="I24" s="14">
        <f t="shared" si="2"/>
        <v>-8.3460575654648761E-2</v>
      </c>
      <c r="J24" s="39" t="s">
        <v>136</v>
      </c>
      <c r="K24" s="39" t="s">
        <v>119</v>
      </c>
    </row>
    <row r="25" spans="1:11" ht="45.6" customHeight="1">
      <c r="A25" s="28" t="str">
        <v>Charlotte - Wells Fargo - DUC</v>
      </c>
      <c r="B25" s="29" t="str">
        <v>NC</v>
      </c>
      <c r="C25" s="10">
        <v>5889</v>
      </c>
      <c r="D25" s="16">
        <v>0</v>
      </c>
      <c r="E25" s="16">
        <f>IF(AND(ISNUMBER(C25),ISNUMBER(D25)), C25-D25, "")</f>
        <v>5889</v>
      </c>
      <c r="F25" s="17" t="str">
        <f t="shared" si="3"/>
        <v/>
      </c>
      <c r="G25" s="18">
        <v>174009</v>
      </c>
      <c r="H25" s="18">
        <f t="shared" si="1"/>
        <v>-168120</v>
      </c>
      <c r="I25" s="17">
        <f t="shared" si="2"/>
        <v>-0.9661569229177801</v>
      </c>
      <c r="J25" s="51" t="s">
        <v>137</v>
      </c>
      <c r="K25" s="51" t="s">
        <v>138</v>
      </c>
    </row>
    <row r="26" spans="1:11" ht="15.75">
      <c r="A26" s="26" t="str">
        <v>East Windsor</v>
      </c>
      <c r="B26" s="27" t="str">
        <v>NJ</v>
      </c>
      <c r="C26" s="22">
        <v>1061.5999999999999</v>
      </c>
      <c r="D26" s="11">
        <v>1022.3339999999999</v>
      </c>
      <c r="E26" s="11">
        <f t="shared" si="0"/>
        <v>39.265999999999963</v>
      </c>
      <c r="F26" s="12">
        <f t="shared" si="3"/>
        <v>3.8408191452108574E-2</v>
      </c>
      <c r="G26" s="13">
        <v>1257.5239999999999</v>
      </c>
      <c r="H26" s="13">
        <f t="shared" si="1"/>
        <v>-195.92399999999998</v>
      </c>
      <c r="I26" s="14">
        <f t="shared" si="2"/>
        <v>-0.15580140021184485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2730.7</v>
      </c>
      <c r="D27" s="16">
        <v>2582.5079999999998</v>
      </c>
      <c r="E27" s="16">
        <f t="shared" si="0"/>
        <v>148.19200000000001</v>
      </c>
      <c r="F27" s="17">
        <f t="shared" si="3"/>
        <v>5.7382978097260499E-2</v>
      </c>
      <c r="G27" s="18">
        <v>3210.9349999999999</v>
      </c>
      <c r="H27" s="18">
        <f t="shared" si="1"/>
        <v>-480.23500000000013</v>
      </c>
      <c r="I27" s="17">
        <f t="shared" si="2"/>
        <v>-0.14956235489039801</v>
      </c>
      <c r="J27" s="56"/>
      <c r="K27" s="56"/>
    </row>
    <row r="28" spans="1:11" ht="15.75">
      <c r="A28" s="26" t="str">
        <v>Bayonne</v>
      </c>
      <c r="B28" s="27" t="str">
        <v>NJ</v>
      </c>
      <c r="C28" s="22">
        <v>3307.6000000000099</v>
      </c>
      <c r="D28" s="11">
        <v>3109.33</v>
      </c>
      <c r="E28" s="11">
        <f t="shared" si="0"/>
        <v>198.27000000000999</v>
      </c>
      <c r="F28" s="12">
        <f t="shared" si="3"/>
        <v>6.3766148977435655E-2</v>
      </c>
      <c r="G28" s="13">
        <v>3672.28</v>
      </c>
      <c r="H28" s="13">
        <f t="shared" si="1"/>
        <v>-364.67999999999029</v>
      </c>
      <c r="I28" s="14">
        <f t="shared" si="2"/>
        <v>-9.9306153125576016E-2</v>
      </c>
      <c r="J28" s="39" t="s">
        <v>139</v>
      </c>
      <c r="K28" s="39" t="s">
        <v>140</v>
      </c>
    </row>
    <row r="29" spans="1:11" ht="15.75">
      <c r="A29" s="28" t="str">
        <v>Clifton</v>
      </c>
      <c r="B29" s="29" t="str">
        <v>NJ</v>
      </c>
      <c r="C29" s="10">
        <v>4106.7890625</v>
      </c>
      <c r="D29" s="16">
        <v>4202.4620000000004</v>
      </c>
      <c r="E29" s="16">
        <f t="shared" si="0"/>
        <v>-95.672937500000444</v>
      </c>
      <c r="F29" s="17">
        <f t="shared" si="3"/>
        <v>-2.2765925664527231E-2</v>
      </c>
      <c r="G29" s="18">
        <v>4561.4030000000002</v>
      </c>
      <c r="H29" s="18">
        <f t="shared" si="1"/>
        <v>-454.61393750000025</v>
      </c>
      <c r="I29" s="17">
        <f t="shared" si="2"/>
        <v>-9.9665374337676416E-2</v>
      </c>
      <c r="J29" s="56"/>
      <c r="K29" s="56"/>
    </row>
    <row r="30" spans="1:11" ht="15.75">
      <c r="A30" s="26" t="str">
        <v>North Elizabeth</v>
      </c>
      <c r="B30" s="27" t="str">
        <v>NJ</v>
      </c>
      <c r="C30" s="22">
        <v>3467</v>
      </c>
      <c r="D30" s="11">
        <v>3220.9659999999999</v>
      </c>
      <c r="E30" s="11">
        <f t="shared" si="0"/>
        <v>246.03400000000011</v>
      </c>
      <c r="F30" s="12">
        <f t="shared" si="3"/>
        <v>7.6385158986465584E-2</v>
      </c>
      <c r="G30" s="13">
        <v>4183.0349999999999</v>
      </c>
      <c r="H30" s="13">
        <f t="shared" si="1"/>
        <v>-716.03499999999985</v>
      </c>
      <c r="I30" s="14">
        <f t="shared" si="2"/>
        <v>-0.17117595238863645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2619.4</v>
      </c>
      <c r="D31" s="16">
        <v>2534.8389999999999</v>
      </c>
      <c r="E31" s="16">
        <f t="shared" si="0"/>
        <v>84.561000000000149</v>
      </c>
      <c r="F31" s="17">
        <f t="shared" si="3"/>
        <v>3.3359515140803875E-2</v>
      </c>
      <c r="G31" s="18">
        <v>3013.9250000000002</v>
      </c>
      <c r="H31" s="18">
        <f t="shared" si="1"/>
        <v>-394.52500000000009</v>
      </c>
      <c r="I31" s="17">
        <f t="shared" si="2"/>
        <v>-0.13090073575155323</v>
      </c>
      <c r="J31" s="56"/>
      <c r="K31" s="56"/>
    </row>
    <row r="32" spans="1:11" ht="15.75">
      <c r="A32" s="26" t="str">
        <v>Parsippany</v>
      </c>
      <c r="B32" s="27" t="str">
        <v>NJ</v>
      </c>
      <c r="C32" s="22">
        <v>3032.1000000000099</v>
      </c>
      <c r="D32" s="11">
        <v>3073.8829999999998</v>
      </c>
      <c r="E32" s="11">
        <f t="shared" si="0"/>
        <v>-41.782999999989897</v>
      </c>
      <c r="F32" s="12">
        <f t="shared" si="3"/>
        <v>-1.3592905130087873E-2</v>
      </c>
      <c r="G32" s="13">
        <v>3492.7939999999999</v>
      </c>
      <c r="H32" s="13">
        <f t="shared" si="1"/>
        <v>-460.69399999998996</v>
      </c>
      <c r="I32" s="14">
        <f t="shared" si="2"/>
        <v>-0.13189841714111683</v>
      </c>
      <c r="J32" s="39"/>
      <c r="K32" s="39"/>
    </row>
    <row r="33" spans="1:11" ht="28.5">
      <c r="A33" s="28" t="str">
        <v>Clark</v>
      </c>
      <c r="B33" s="29" t="str">
        <v>NJ</v>
      </c>
      <c r="C33" s="10">
        <v>2547.2999999999902</v>
      </c>
      <c r="D33" s="16">
        <v>2460.1849999999999</v>
      </c>
      <c r="E33" s="16">
        <f t="shared" si="0"/>
        <v>87.114999999990232</v>
      </c>
      <c r="F33" s="17">
        <f t="shared" si="3"/>
        <v>3.5409938683469019E-2</v>
      </c>
      <c r="G33" s="18">
        <v>2913.348</v>
      </c>
      <c r="H33" s="18">
        <f t="shared" si="1"/>
        <v>-366.04800000000978</v>
      </c>
      <c r="I33" s="17">
        <f t="shared" si="2"/>
        <v>-0.12564513405196007</v>
      </c>
      <c r="J33" s="56" t="s">
        <v>141</v>
      </c>
      <c r="K33" s="56" t="s">
        <v>142</v>
      </c>
    </row>
    <row r="34" spans="1:11" ht="15.75">
      <c r="A34" s="26" t="str">
        <v>Closter</v>
      </c>
      <c r="B34" s="27" t="str">
        <v>NJ</v>
      </c>
      <c r="C34" s="22">
        <v>1144.8</v>
      </c>
      <c r="D34" s="11">
        <v>1032.165</v>
      </c>
      <c r="E34" s="11">
        <f t="shared" si="0"/>
        <v>112.63499999999999</v>
      </c>
      <c r="F34" s="12">
        <f t="shared" si="3"/>
        <v>0.10912499455028991</v>
      </c>
      <c r="G34" s="13">
        <v>1827.4159999999999</v>
      </c>
      <c r="H34" s="13">
        <f t="shared" si="1"/>
        <v>-682.61599999999999</v>
      </c>
      <c r="I34" s="14">
        <f t="shared" si="2"/>
        <v>-0.37354165663428579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2176</v>
      </c>
      <c r="D35" s="16">
        <v>1984.02</v>
      </c>
      <c r="E35" s="16">
        <f t="shared" si="0"/>
        <v>191.98000000000002</v>
      </c>
      <c r="F35" s="17">
        <f t="shared" si="3"/>
        <v>9.6763137468372298E-2</v>
      </c>
      <c r="G35" s="18">
        <v>2536.3939999999998</v>
      </c>
      <c r="H35" s="18">
        <f t="shared" si="1"/>
        <v>-360.39399999999978</v>
      </c>
      <c r="I35" s="17">
        <f t="shared" si="2"/>
        <v>-0.14208912337751936</v>
      </c>
      <c r="J35" s="56"/>
      <c r="K35" s="56"/>
    </row>
    <row r="36" spans="1:11" ht="15.75">
      <c r="A36" s="26" t="str">
        <v>Ellisburg Circle Center</v>
      </c>
      <c r="B36" s="27" t="str">
        <v>NJ</v>
      </c>
      <c r="C36" s="22">
        <v>1131</v>
      </c>
      <c r="D36" s="11">
        <v>1143.6869999999999</v>
      </c>
      <c r="E36" s="11">
        <f t="shared" si="0"/>
        <v>-12.686999999999898</v>
      </c>
      <c r="F36" s="12">
        <f t="shared" si="3"/>
        <v>-1.1093070044513839E-2</v>
      </c>
      <c r="G36" s="13">
        <v>1374.944</v>
      </c>
      <c r="H36" s="13">
        <f t="shared" si="1"/>
        <v>-243.94399999999996</v>
      </c>
      <c r="I36" s="14">
        <f t="shared" si="2"/>
        <v>-0.17742104405706702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3533</v>
      </c>
      <c r="D37" s="16">
        <v>3341.5160000000001</v>
      </c>
      <c r="E37" s="16">
        <f t="shared" si="0"/>
        <v>191.48399999999992</v>
      </c>
      <c r="F37" s="17">
        <f t="shared" si="3"/>
        <v>5.7304528842597166E-2</v>
      </c>
      <c r="G37" s="18">
        <v>5093.4679999999998</v>
      </c>
      <c r="H37" s="18">
        <f t="shared" si="1"/>
        <v>-1560.4679999999998</v>
      </c>
      <c r="I37" s="17">
        <f t="shared" si="2"/>
        <v>-0.30636650706355667</v>
      </c>
      <c r="J37" s="56"/>
      <c r="K37" s="56"/>
    </row>
    <row r="38" spans="1:11" ht="15.75">
      <c r="A38" s="26" t="str">
        <v>Marlton</v>
      </c>
      <c r="B38" s="27" t="str">
        <v>NJ</v>
      </c>
      <c r="C38" s="22">
        <v>4137.0999999999904</v>
      </c>
      <c r="D38" s="11">
        <v>3717.9380000000001</v>
      </c>
      <c r="E38" s="11">
        <f t="shared" si="0"/>
        <v>419.16199999999026</v>
      </c>
      <c r="F38" s="12">
        <f t="shared" si="3"/>
        <v>0.11274044914143007</v>
      </c>
      <c r="G38" s="13">
        <v>4774.1419999999998</v>
      </c>
      <c r="H38" s="13">
        <f t="shared" si="1"/>
        <v>-637.04200000000947</v>
      </c>
      <c r="I38" s="14">
        <f t="shared" si="2"/>
        <v>-0.13343591372020552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3217.9000000000101</v>
      </c>
      <c r="D39" s="16">
        <v>2838.038</v>
      </c>
      <c r="E39" s="16">
        <f t="shared" si="0"/>
        <v>379.86200000001008</v>
      </c>
      <c r="F39" s="17">
        <f t="shared" si="3"/>
        <v>0.13384669267994653</v>
      </c>
      <c r="G39" s="18">
        <v>3968.413</v>
      </c>
      <c r="H39" s="18">
        <f t="shared" si="1"/>
        <v>-750.51299999998992</v>
      </c>
      <c r="I39" s="17">
        <f t="shared" si="2"/>
        <v>-0.18912169675887816</v>
      </c>
      <c r="J39" s="56"/>
      <c r="K39" s="56"/>
    </row>
    <row r="40" spans="1:11" ht="15.75">
      <c r="A40" s="26" t="str">
        <v>Whiting Crestwood</v>
      </c>
      <c r="B40" s="27" t="str">
        <v>NJ</v>
      </c>
      <c r="C40" s="22">
        <v>4380.5999999999904</v>
      </c>
      <c r="D40" s="11">
        <v>4353.6499999999996</v>
      </c>
      <c r="E40" s="11">
        <f t="shared" si="0"/>
        <v>26.949999999990723</v>
      </c>
      <c r="F40" s="12">
        <f t="shared" si="3"/>
        <v>6.1902082160924113E-3</v>
      </c>
      <c r="G40" s="13">
        <v>5518.2520000000004</v>
      </c>
      <c r="H40" s="13">
        <f t="shared" si="1"/>
        <v>-1137.65200000001</v>
      </c>
      <c r="I40" s="14">
        <f t="shared" si="2"/>
        <v>-0.20616166133768626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6434.9802920854099</v>
      </c>
      <c r="D41" s="16">
        <v>5715.1459999999997</v>
      </c>
      <c r="E41" s="16">
        <f t="shared" si="0"/>
        <v>719.8342920854102</v>
      </c>
      <c r="F41" s="17">
        <f t="shared" si="3"/>
        <v>0.12595203903547</v>
      </c>
      <c r="G41" s="18">
        <v>6874.7030000000004</v>
      </c>
      <c r="H41" s="18">
        <f t="shared" si="1"/>
        <v>-439.7227079145905</v>
      </c>
      <c r="I41" s="17">
        <f t="shared" si="2"/>
        <v>-6.3962429782725233E-2</v>
      </c>
      <c r="J41" s="56"/>
      <c r="K41" s="56"/>
    </row>
    <row r="42" spans="1:11" ht="15.75">
      <c r="A42" s="26" t="str">
        <v>Manchester</v>
      </c>
      <c r="B42" s="27" t="str">
        <v>NJ</v>
      </c>
      <c r="C42" s="22">
        <v>2518.0999999999799</v>
      </c>
      <c r="D42" s="11">
        <v>2750.8809999999999</v>
      </c>
      <c r="E42" s="11">
        <f t="shared" si="0"/>
        <v>-232.78100000001996</v>
      </c>
      <c r="F42" s="12">
        <f t="shared" si="3"/>
        <v>-8.4620527023895248E-2</v>
      </c>
      <c r="G42" s="13">
        <v>4727.076</v>
      </c>
      <c r="H42" s="13">
        <f t="shared" si="1"/>
        <v>-2208.9760000000201</v>
      </c>
      <c r="I42" s="14">
        <f t="shared" si="2"/>
        <v>-0.46730283160245789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3770.7000000000098</v>
      </c>
      <c r="D43" s="16">
        <v>3885.0419999999999</v>
      </c>
      <c r="E43" s="16">
        <f t="shared" si="0"/>
        <v>-114.34199999999009</v>
      </c>
      <c r="F43" s="17">
        <f t="shared" si="3"/>
        <v>-2.9431342054986816E-2</v>
      </c>
      <c r="G43" s="18">
        <v>4121.1480000000001</v>
      </c>
      <c r="H43" s="18">
        <f t="shared" si="1"/>
        <v>-350.44799999999032</v>
      </c>
      <c r="I43" s="17">
        <f t="shared" si="2"/>
        <v>-8.5036499538475765E-2</v>
      </c>
      <c r="J43" s="56"/>
      <c r="K43" s="56"/>
    </row>
    <row r="44" spans="1:11" ht="15.75">
      <c r="A44" s="26" t="str">
        <v>Edison</v>
      </c>
      <c r="B44" s="27" t="str">
        <v>NJ</v>
      </c>
      <c r="C44" s="22">
        <v>3201.3</v>
      </c>
      <c r="D44" s="11">
        <v>3106.009</v>
      </c>
      <c r="E44" s="11">
        <f t="shared" si="0"/>
        <v>95.291000000000167</v>
      </c>
      <c r="F44" s="12">
        <f t="shared" si="3"/>
        <v>3.0679563388258106E-2</v>
      </c>
      <c r="G44" s="13">
        <v>3837.5059999999999</v>
      </c>
      <c r="H44" s="13">
        <f t="shared" si="1"/>
        <v>-636.20599999999968</v>
      </c>
      <c r="I44" s="14">
        <f t="shared" si="2"/>
        <v>-0.16578632059467782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3040.7000000000098</v>
      </c>
      <c r="D45" s="16">
        <v>2887.549</v>
      </c>
      <c r="E45" s="16">
        <f t="shared" si="0"/>
        <v>153.15100000000984</v>
      </c>
      <c r="F45" s="17">
        <f t="shared" si="3"/>
        <v>5.3038407313610904E-2</v>
      </c>
      <c r="G45" s="18">
        <v>3931.1280000000002</v>
      </c>
      <c r="H45" s="18">
        <f t="shared" si="1"/>
        <v>-890.42799999999033</v>
      </c>
      <c r="I45" s="17">
        <f t="shared" si="2"/>
        <v>-0.2265069974826539</v>
      </c>
      <c r="J45" s="56"/>
      <c r="K45" s="56"/>
    </row>
    <row r="46" spans="1:11" ht="15.75">
      <c r="A46" s="26" t="str">
        <v>Route 22</v>
      </c>
      <c r="B46" s="27" t="str">
        <v>NJ</v>
      </c>
      <c r="C46" s="22">
        <v>3055.8999999999901</v>
      </c>
      <c r="D46" s="11">
        <v>3276.239</v>
      </c>
      <c r="E46" s="11">
        <f t="shared" si="0"/>
        <v>-220.33900000000995</v>
      </c>
      <c r="F46" s="12">
        <f t="shared" si="3"/>
        <v>-6.7253640531112033E-2</v>
      </c>
      <c r="G46" s="13">
        <v>3522.6669999999999</v>
      </c>
      <c r="H46" s="13">
        <f t="shared" si="1"/>
        <v>-466.76700000000983</v>
      </c>
      <c r="I46" s="14">
        <f t="shared" si="2"/>
        <v>-0.13250386709842565</v>
      </c>
      <c r="J46" s="39"/>
      <c r="K46" s="39"/>
    </row>
    <row r="47" spans="1:11" ht="28.5">
      <c r="A47" s="28" t="str">
        <v>Laurelton</v>
      </c>
      <c r="B47" s="29" t="str">
        <v>NJ</v>
      </c>
      <c r="C47" s="10">
        <v>1908.70000000001</v>
      </c>
      <c r="D47" s="16">
        <v>2640.4740000000002</v>
      </c>
      <c r="E47" s="16">
        <f t="shared" si="0"/>
        <v>-731.77399999999011</v>
      </c>
      <c r="F47" s="17">
        <f t="shared" si="3"/>
        <v>-0.27713736245840331</v>
      </c>
      <c r="G47" s="18">
        <v>3325.3380000000002</v>
      </c>
      <c r="H47" s="18">
        <f t="shared" si="1"/>
        <v>-1416.6379999999901</v>
      </c>
      <c r="I47" s="17">
        <f t="shared" si="2"/>
        <v>-0.42601323534629865</v>
      </c>
      <c r="J47" s="56" t="s">
        <v>98</v>
      </c>
      <c r="K47" s="56" t="s">
        <v>143</v>
      </c>
    </row>
    <row r="48" spans="1:11" ht="15.75">
      <c r="A48" s="26" t="str">
        <v>Mahwah</v>
      </c>
      <c r="B48" s="27" t="str">
        <v>NJ</v>
      </c>
      <c r="C48" s="22">
        <v>2399.3000000000102</v>
      </c>
      <c r="D48" s="11">
        <v>505.13010000000003</v>
      </c>
      <c r="E48" s="11">
        <f t="shared" si="0"/>
        <v>1894.1699000000101</v>
      </c>
      <c r="F48" s="12">
        <f t="shared" si="3"/>
        <v>3.7498654307078709</v>
      </c>
      <c r="G48" s="13">
        <v>3147.107</v>
      </c>
      <c r="H48" s="13">
        <f t="shared" si="1"/>
        <v>-747.80699999998978</v>
      </c>
      <c r="I48" s="14">
        <f t="shared" si="2"/>
        <v>-0.23761727834483853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2768.8000000000202</v>
      </c>
      <c r="D49" s="16">
        <v>2721.0680000000002</v>
      </c>
      <c r="E49" s="16">
        <f t="shared" si="0"/>
        <v>47.73200000001998</v>
      </c>
      <c r="F49" s="17">
        <f t="shared" si="3"/>
        <v>1.7541641737736792E-2</v>
      </c>
      <c r="G49" s="18">
        <v>3211.3490000000002</v>
      </c>
      <c r="H49" s="18">
        <f t="shared" si="1"/>
        <v>-442.54899999997997</v>
      </c>
      <c r="I49" s="17">
        <f t="shared" si="2"/>
        <v>-0.1378078184588408</v>
      </c>
      <c r="J49" s="56"/>
      <c r="K49" s="56"/>
    </row>
    <row r="50" spans="1:11" ht="15.75">
      <c r="A50" s="26" t="str">
        <v>Bordentown</v>
      </c>
      <c r="B50" s="27" t="str">
        <v>NJ</v>
      </c>
      <c r="C50" s="22">
        <v>2181.3000000000002</v>
      </c>
      <c r="D50" s="11">
        <v>1946.5920000000001</v>
      </c>
      <c r="E50" s="11">
        <f t="shared" si="0"/>
        <v>234.70800000000008</v>
      </c>
      <c r="F50" s="12">
        <f t="shared" si="3"/>
        <v>0.12057380283079355</v>
      </c>
      <c r="G50" s="13">
        <v>2540.3319999999999</v>
      </c>
      <c r="H50" s="13">
        <f t="shared" si="1"/>
        <v>-359.0319999999997</v>
      </c>
      <c r="I50" s="14">
        <f t="shared" si="2"/>
        <v>-0.14133270769332501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1573.8</v>
      </c>
      <c r="D51" s="16">
        <v>1529.8130000000001</v>
      </c>
      <c r="E51" s="16">
        <f t="shared" si="0"/>
        <v>43.986999999999853</v>
      </c>
      <c r="F51" s="17">
        <f t="shared" si="3"/>
        <v>2.8753187481084193E-2</v>
      </c>
      <c r="G51" s="18">
        <v>1799.165</v>
      </c>
      <c r="H51" s="18">
        <f t="shared" si="1"/>
        <v>-225.36500000000001</v>
      </c>
      <c r="I51" s="17">
        <f t="shared" si="2"/>
        <v>-0.12526088491050016</v>
      </c>
      <c r="J51" s="56"/>
      <c r="K51" s="56"/>
    </row>
    <row r="52" spans="1:11" ht="15.75">
      <c r="A52" s="26" t="str">
        <v>Somerset</v>
      </c>
      <c r="B52" s="27" t="str">
        <v>NJ</v>
      </c>
      <c r="C52" s="22">
        <v>2549.6</v>
      </c>
      <c r="D52" s="11">
        <v>3202.76</v>
      </c>
      <c r="E52" s="11">
        <f t="shared" si="0"/>
        <v>-653.16000000000031</v>
      </c>
      <c r="F52" s="12">
        <f t="shared" si="3"/>
        <v>-0.20393660467846492</v>
      </c>
      <c r="G52" s="13">
        <v>3004.8649999999998</v>
      </c>
      <c r="H52" s="13">
        <f t="shared" si="1"/>
        <v>-455.26499999999987</v>
      </c>
      <c r="I52" s="14">
        <f t="shared" si="2"/>
        <v>-0.15150930241458432</v>
      </c>
      <c r="J52" s="39"/>
      <c r="K52" s="39"/>
    </row>
    <row r="53" spans="1:11" ht="15.75">
      <c r="A53" s="28" t="str">
        <v>Clinton Main Relo</v>
      </c>
      <c r="B53" s="29" t="str">
        <v>NJ</v>
      </c>
      <c r="C53" s="10">
        <v>2980</v>
      </c>
      <c r="D53" s="16">
        <v>3021</v>
      </c>
      <c r="E53" s="16">
        <f t="shared" si="0"/>
        <v>-41</v>
      </c>
      <c r="F53" s="17">
        <f t="shared" si="3"/>
        <v>-1.3571665011585568E-2</v>
      </c>
      <c r="G53" s="18">
        <v>3368</v>
      </c>
      <c r="H53" s="18">
        <f t="shared" si="1"/>
        <v>-388</v>
      </c>
      <c r="I53" s="17">
        <f t="shared" si="2"/>
        <v>-0.11520190023752969</v>
      </c>
      <c r="J53" s="56"/>
      <c r="K53" s="56"/>
    </row>
    <row r="54" spans="1:11" ht="15.75">
      <c r="A54" s="26" t="str">
        <v>North Brunswick</v>
      </c>
      <c r="B54" s="27" t="str">
        <v>NJ</v>
      </c>
      <c r="C54" s="22">
        <v>2988.4000000000101</v>
      </c>
      <c r="D54" s="11">
        <v>2780.64</v>
      </c>
      <c r="E54" s="11">
        <f t="shared" si="0"/>
        <v>207.76000000001022</v>
      </c>
      <c r="F54" s="12">
        <f t="shared" si="3"/>
        <v>7.47166120029958E-2</v>
      </c>
      <c r="G54" s="13">
        <v>3875.3989999999999</v>
      </c>
      <c r="H54" s="13">
        <f t="shared" si="1"/>
        <v>-886.99899999998979</v>
      </c>
      <c r="I54" s="14">
        <f t="shared" si="2"/>
        <v>-0.22887940054688299</v>
      </c>
      <c r="J54" s="39"/>
      <c r="K54" s="39"/>
    </row>
    <row r="55" spans="1:11" ht="15.75">
      <c r="A55" s="28" t="str">
        <v>Cherry Hill</v>
      </c>
      <c r="B55" s="29" t="str">
        <v>NJ</v>
      </c>
      <c r="C55" s="10">
        <v>1970.42578125</v>
      </c>
      <c r="D55" s="16">
        <v>2061.0140000000001</v>
      </c>
      <c r="E55" s="16">
        <f t="shared" si="0"/>
        <v>-90.588218750000124</v>
      </c>
      <c r="F55" s="17">
        <f t="shared" si="3"/>
        <v>-4.3953228241050336E-2</v>
      </c>
      <c r="G55" s="18">
        <v>2446.0569999999998</v>
      </c>
      <c r="H55" s="18">
        <f t="shared" si="1"/>
        <v>-475.63121874999979</v>
      </c>
      <c r="I55" s="17">
        <f t="shared" si="2"/>
        <v>-0.19444813377202569</v>
      </c>
      <c r="J55" s="56"/>
      <c r="K55" s="56"/>
    </row>
    <row r="56" spans="1:11" ht="15.75">
      <c r="A56" s="26" t="str">
        <v>Hainesport</v>
      </c>
      <c r="B56" s="27" t="str">
        <v>NJ</v>
      </c>
      <c r="C56" s="22">
        <v>2161.6999999999998</v>
      </c>
      <c r="D56" s="11">
        <v>2539.8530000000001</v>
      </c>
      <c r="E56" s="11">
        <f t="shared" si="0"/>
        <v>-378.15300000000025</v>
      </c>
      <c r="F56" s="12">
        <f t="shared" si="3"/>
        <v>-0.14888775059029016</v>
      </c>
      <c r="G56" s="13">
        <v>2483.5050000000001</v>
      </c>
      <c r="H56" s="13">
        <f t="shared" si="1"/>
        <v>-321.80500000000029</v>
      </c>
      <c r="I56" s="14">
        <f t="shared" si="2"/>
        <v>-0.12957694870757266</v>
      </c>
      <c r="J56" s="39"/>
      <c r="K56" s="39"/>
    </row>
    <row r="57" spans="1:11" ht="43.35" customHeight="1">
      <c r="A57" s="28" t="str">
        <v>San Antonio - Ops Ctr (Bldg 106)</v>
      </c>
      <c r="B57" s="29" t="str">
        <v>TX</v>
      </c>
      <c r="C57" s="10">
        <v>54566</v>
      </c>
      <c r="D57" s="16">
        <v>52913</v>
      </c>
      <c r="E57" s="16">
        <f t="shared" si="0"/>
        <v>1653</v>
      </c>
      <c r="F57" s="17">
        <f t="shared" si="3"/>
        <v>3.1239959934231662E-2</v>
      </c>
      <c r="G57" s="18">
        <v>63500</v>
      </c>
      <c r="H57" s="18">
        <f t="shared" si="1"/>
        <v>-8934</v>
      </c>
      <c r="I57" s="17">
        <f t="shared" si="2"/>
        <v>-0.14069291338582676</v>
      </c>
      <c r="J57" s="56" t="s">
        <v>144</v>
      </c>
      <c r="K57" s="56" t="s">
        <v>111</v>
      </c>
    </row>
    <row r="58" spans="1:11" ht="15.75">
      <c r="A58" s="26" t="str">
        <v>San Antonio - Ops Ctr GM</v>
      </c>
      <c r="B58" s="27" t="str">
        <v>TX</v>
      </c>
      <c r="C58" s="22">
        <v>421456</v>
      </c>
      <c r="D58" s="11">
        <v>465519</v>
      </c>
      <c r="E58" s="11">
        <f t="shared" si="0"/>
        <v>-44063</v>
      </c>
      <c r="F58" s="12">
        <f t="shared" si="3"/>
        <v>-9.4653494271984606E-2</v>
      </c>
      <c r="G58" s="13">
        <v>451447</v>
      </c>
      <c r="H58" s="13">
        <f t="shared" si="1"/>
        <v>-29991</v>
      </c>
      <c r="I58" s="14">
        <f t="shared" si="2"/>
        <v>-6.6433047511668036E-2</v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>
        <v>61297</v>
      </c>
      <c r="D59" s="16">
        <v>52526</v>
      </c>
      <c r="E59" s="16">
        <f t="shared" si="0"/>
        <v>8771</v>
      </c>
      <c r="F59" s="17">
        <f t="shared" si="3"/>
        <v>0.16698396984350608</v>
      </c>
      <c r="G59" s="18">
        <v>63191</v>
      </c>
      <c r="H59" s="18">
        <f t="shared" si="1"/>
        <v>-1894</v>
      </c>
      <c r="I59" s="17">
        <f t="shared" si="2"/>
        <v>-2.9972622683610006E-2</v>
      </c>
      <c r="J59" s="56"/>
      <c r="K59" s="56"/>
    </row>
    <row r="60" spans="1:11" ht="15.75">
      <c r="A60" s="26" t="str">
        <v>San Antonio - Ops Ctr (Bldg 203)</v>
      </c>
      <c r="B60" s="27" t="str">
        <v>TX</v>
      </c>
      <c r="C60" s="22">
        <v>61274</v>
      </c>
      <c r="D60" s="11">
        <v>58279</v>
      </c>
      <c r="E60" s="11">
        <f t="shared" si="0"/>
        <v>2995</v>
      </c>
      <c r="F60" s="12">
        <f t="shared" si="3"/>
        <v>5.1390723931433277E-2</v>
      </c>
      <c r="G60" s="13">
        <v>63558</v>
      </c>
      <c r="H60" s="13">
        <f t="shared" si="1"/>
        <v>-2284</v>
      </c>
      <c r="I60" s="14">
        <f t="shared" si="2"/>
        <v>-3.5935680795493877E-2</v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>
        <v>57335</v>
      </c>
      <c r="D61" s="16">
        <v>47863</v>
      </c>
      <c r="E61" s="16">
        <f t="shared" si="0"/>
        <v>9472</v>
      </c>
      <c r="F61" s="17">
        <f t="shared" si="3"/>
        <v>0.1978981676869398</v>
      </c>
      <c r="G61" s="18">
        <v>60140</v>
      </c>
      <c r="H61" s="18">
        <f t="shared" si="1"/>
        <v>-2805</v>
      </c>
      <c r="I61" s="17">
        <f t="shared" si="2"/>
        <v>-4.6641170601928836E-2</v>
      </c>
      <c r="J61" s="56"/>
      <c r="K61" s="56"/>
    </row>
    <row r="62" spans="1:11" ht="15.75">
      <c r="A62" s="26" t="str">
        <v>San Antonio - Ops Ctr (Bldg 307)</v>
      </c>
      <c r="B62" s="27" t="str">
        <v>TX</v>
      </c>
      <c r="C62" s="22">
        <v>59578</v>
      </c>
      <c r="D62" s="11">
        <v>52055</v>
      </c>
      <c r="E62" s="11">
        <f t="shared" si="0"/>
        <v>7523</v>
      </c>
      <c r="F62" s="12">
        <f t="shared" si="3"/>
        <v>0.14452021899913553</v>
      </c>
      <c r="G62" s="13">
        <v>61282</v>
      </c>
      <c r="H62" s="13">
        <f t="shared" si="1"/>
        <v>-1704</v>
      </c>
      <c r="I62" s="14">
        <f t="shared" si="2"/>
        <v>-2.7805881009105447E-2</v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>
        <v>57583</v>
      </c>
      <c r="D63" s="16">
        <v>50863</v>
      </c>
      <c r="E63" s="16">
        <f t="shared" si="0"/>
        <v>6720</v>
      </c>
      <c r="F63" s="17">
        <f t="shared" si="3"/>
        <v>0.13211961543754791</v>
      </c>
      <c r="G63" s="18">
        <v>58480</v>
      </c>
      <c r="H63" s="18">
        <f t="shared" si="1"/>
        <v>-897</v>
      </c>
      <c r="I63" s="17">
        <f t="shared" si="2"/>
        <v>-1.533857729138167E-2</v>
      </c>
      <c r="J63" s="56"/>
      <c r="K63" s="56"/>
    </row>
    <row r="64" spans="1:11" ht="15.75">
      <c r="A64" s="26" t="str">
        <v>San Antonio - Ops Ctr (Bldg 104)</v>
      </c>
      <c r="B64" s="27" t="str">
        <v>TX</v>
      </c>
      <c r="C64" s="22">
        <v>16467</v>
      </c>
      <c r="D64" s="11">
        <v>15938</v>
      </c>
      <c r="E64" s="11">
        <f t="shared" si="0"/>
        <v>529</v>
      </c>
      <c r="F64" s="12">
        <f t="shared" si="3"/>
        <v>3.3191115572844772E-2</v>
      </c>
      <c r="G64" s="13">
        <v>18417</v>
      </c>
      <c r="H64" s="13">
        <f t="shared" si="1"/>
        <v>-1950</v>
      </c>
      <c r="I64" s="14">
        <f t="shared" si="2"/>
        <v>-0.10588043655318456</v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>
        <v>63523.392999999996</v>
      </c>
      <c r="D65" s="16">
        <v>50685.49</v>
      </c>
      <c r="E65" s="16">
        <f t="shared" si="0"/>
        <v>12837.902999999998</v>
      </c>
      <c r="F65" s="17">
        <f t="shared" si="3"/>
        <v>0.25328556555337628</v>
      </c>
      <c r="G65" s="18">
        <v>65934.240000000005</v>
      </c>
      <c r="H65" s="18">
        <f t="shared" si="1"/>
        <v>-2410.8470000000088</v>
      </c>
      <c r="I65" s="17">
        <f t="shared" si="2"/>
        <v>-3.6564416303274422E-2</v>
      </c>
      <c r="J65" s="56"/>
      <c r="K65" s="56"/>
    </row>
    <row r="66" spans="1:11" ht="15.75">
      <c r="A66" s="26" t="str">
        <v>Lodi - Lodi Vineyard</v>
      </c>
      <c r="B66" s="27" t="str">
        <v>CA</v>
      </c>
      <c r="C66" s="22">
        <v>47549.841406250001</v>
      </c>
      <c r="D66" s="11">
        <v>51076.54</v>
      </c>
      <c r="E66" s="11">
        <f t="shared" si="0"/>
        <v>-3526.6985937499994</v>
      </c>
      <c r="F66" s="12">
        <f t="shared" si="3"/>
        <v>-6.904732767235211E-2</v>
      </c>
      <c r="G66" s="13">
        <v>42061</v>
      </c>
      <c r="H66" s="13">
        <f t="shared" si="1"/>
        <v>5488.8414062500015</v>
      </c>
      <c r="I66" s="14">
        <f t="shared" si="2"/>
        <v>0.13049716854687243</v>
      </c>
      <c r="J66" s="63"/>
      <c r="K66" s="63"/>
    </row>
    <row r="67" spans="1:11" ht="15.75">
      <c r="A67" s="28" t="str">
        <v>Arden Fair Mall</v>
      </c>
      <c r="B67" s="29" t="str">
        <v>CA</v>
      </c>
      <c r="C67" s="10">
        <v>22460.96875</v>
      </c>
      <c r="D67" s="16">
        <v>23630.99</v>
      </c>
      <c r="E67" s="16">
        <f t="shared" si="0"/>
        <v>-1170.0212500000016</v>
      </c>
      <c r="F67" s="17">
        <f t="shared" si="3"/>
        <v>-4.9512155436568742E-2</v>
      </c>
      <c r="G67" s="18">
        <v>27363</v>
      </c>
      <c r="H67" s="18">
        <f t="shared" si="1"/>
        <v>-4902.03125</v>
      </c>
      <c r="I67" s="17">
        <f t="shared" si="2"/>
        <v>-0.17914816540584</v>
      </c>
      <c r="J67" s="40"/>
      <c r="K67" s="41"/>
    </row>
    <row r="68" spans="1:11" ht="15.75">
      <c r="A68" s="26" t="str">
        <v>Modesto - Modesto Main</v>
      </c>
      <c r="B68" s="27" t="str">
        <v>CA</v>
      </c>
      <c r="C68" s="22">
        <v>17417.928329930899</v>
      </c>
      <c r="D68" s="11">
        <v>17500.46</v>
      </c>
      <c r="E68" s="11">
        <f t="shared" si="0"/>
        <v>-82.531670069100073</v>
      </c>
      <c r="F68" s="12">
        <f t="shared" si="3"/>
        <v>-4.7159714698413683E-3</v>
      </c>
      <c r="G68" s="13">
        <v>24836.82</v>
      </c>
      <c r="H68" s="13">
        <f t="shared" si="1"/>
        <v>-7418.8916700691007</v>
      </c>
      <c r="I68" s="14">
        <f t="shared" si="2"/>
        <v>-0.29870537653649304</v>
      </c>
      <c r="J68" s="39" t="s">
        <v>145</v>
      </c>
      <c r="K68" s="39" t="s">
        <v>146</v>
      </c>
    </row>
    <row r="69" spans="1:11" ht="15.75">
      <c r="A69" s="28" t="str">
        <v>Stevens Creek</v>
      </c>
      <c r="B69" s="29" t="str">
        <v>CA</v>
      </c>
      <c r="C69" s="10">
        <v>6006.4051400830904</v>
      </c>
      <c r="D69" s="16">
        <v>6178.277</v>
      </c>
      <c r="E69" s="16">
        <f t="shared" ref="E69" si="4">IF(AND(ISNUMBER(C69),ISNUMBER(D69)), C69-D69, "")</f>
        <v>-171.87185991690967</v>
      </c>
      <c r="F69" s="17">
        <f t="shared" si="3"/>
        <v>-2.7818736504839403E-2</v>
      </c>
      <c r="G69" s="18">
        <v>7034</v>
      </c>
      <c r="H69" s="18">
        <f t="shared" ref="H69" si="5">IF(AND(ISNUMBER(C69),ISNUMBER(G69)), C69-G69, "")</f>
        <v>-1027.5948599169096</v>
      </c>
      <c r="I69" s="17">
        <f t="shared" ref="I69" si="6">IFERROR(H69/G69, "")</f>
        <v>-0.14608968722162491</v>
      </c>
      <c r="J69" s="40"/>
      <c r="K69" s="41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autoFilter ref="A3:K3" xr:uid="{48D80AE8-42BF-4DAC-863F-113F77A3E00F}"/>
  <mergeCells count="4">
    <mergeCell ref="G1:I1"/>
    <mergeCell ref="A1:C1"/>
    <mergeCell ref="D1:F1"/>
    <mergeCell ref="A2:B2"/>
  </mergeCells>
  <conditionalFormatting sqref="F2 I2 F4:F91 I4:I91">
    <cfRule type="cellIs" dxfId="10" priority="11" stopIfTrue="1" operator="lessThanOrEqual">
      <formula>-0.1</formula>
    </cfRule>
    <cfRule type="expression" dxfId="9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zoomScale="70" zoomScaleNormal="70" workbookViewId="0">
      <pane xSplit="2" ySplit="3" topLeftCell="C4" activePane="bottomRight" state="frozen"/>
      <selection pane="bottomRight" activeCell="C15" sqref="C15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2" t="str" cm="1">
        <f t="array" ref="A1">portfolio</f>
        <v>Wells Fargo</v>
      </c>
      <c r="B1" s="72"/>
      <c r="C1" s="72"/>
      <c r="D1" s="73" t="s">
        <v>147</v>
      </c>
      <c r="E1" s="73"/>
      <c r="F1" s="73"/>
      <c r="G1" s="71" t="s">
        <v>148</v>
      </c>
      <c r="H1" s="71"/>
      <c r="I1" s="71"/>
      <c r="J1" s="3"/>
      <c r="K1" s="3"/>
    </row>
    <row r="2" spans="1:11" ht="19.5" customHeight="1">
      <c r="A2" s="82" t="s">
        <v>2</v>
      </c>
      <c r="B2" s="82"/>
      <c r="C2" s="4">
        <f>SUM(C4:C91)</f>
        <v>1416736.0228149157</v>
      </c>
      <c r="D2" s="4">
        <f>SUM(D4:D91)</f>
        <v>1382754.7649299998</v>
      </c>
      <c r="E2" s="4">
        <f>C2-D2</f>
        <v>33981.257884915918</v>
      </c>
      <c r="F2" s="5">
        <f>IFERROR(E2/D2, 0)</f>
        <v>2.4575043056630635E-2</v>
      </c>
      <c r="G2" s="4">
        <f>SUM(G4:G91)</f>
        <v>1619330.3391999993</v>
      </c>
      <c r="H2" s="6">
        <f>C2-G2</f>
        <v>-202594.3163850836</v>
      </c>
      <c r="I2" s="5">
        <f>IFERROR(H2/G2, 0)</f>
        <v>-0.12510993679348442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900.00000000000398</v>
      </c>
      <c r="D4" s="11">
        <v>0</v>
      </c>
      <c r="E4" s="11">
        <f>IF(AND(ISNUMBER(C4),ISNUMBER(D4)), C4-D4, "")</f>
        <v>900.00000000000398</v>
      </c>
      <c r="F4" s="12" t="str">
        <f>IFERROR(E4/D4, "")</f>
        <v/>
      </c>
      <c r="G4" s="13">
        <v>1067</v>
      </c>
      <c r="H4" s="13">
        <f>IF(AND(ISNUMBER(C4),ISNUMBER(G4)), C4-G4, "")</f>
        <v>-166.99999999999602</v>
      </c>
      <c r="I4" s="14">
        <f>IFERROR(H4/G4, "")</f>
        <v>-0.15651358950327648</v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28.5">
      <c r="A6" s="26" t="str">
        <v>San Leandro</v>
      </c>
      <c r="B6" s="27" t="str">
        <v>CA</v>
      </c>
      <c r="C6" s="22">
        <v>37285.375</v>
      </c>
      <c r="D6" s="11">
        <v>42375.51</v>
      </c>
      <c r="E6" s="11">
        <f t="shared" si="0"/>
        <v>-5090.135000000002</v>
      </c>
      <c r="F6" s="12">
        <f t="shared" ref="F6:F69" si="3">IFERROR(E6/D6, "")</f>
        <v>-0.12011973425216597</v>
      </c>
      <c r="G6" s="13">
        <v>41155.660000000003</v>
      </c>
      <c r="H6" s="13">
        <f t="shared" si="1"/>
        <v>-3870.2850000000035</v>
      </c>
      <c r="I6" s="14">
        <f t="shared" si="2"/>
        <v>-9.4040163612975791E-2</v>
      </c>
      <c r="J6" s="39" t="s">
        <v>149</v>
      </c>
      <c r="K6" s="39" t="s">
        <v>150</v>
      </c>
    </row>
    <row r="7" spans="1:11" ht="15.75">
      <c r="A7" s="28" t="str">
        <v>Van Nuys</v>
      </c>
      <c r="B7" s="29" t="str">
        <v>CA</v>
      </c>
      <c r="C7" s="10">
        <v>1536.5999999999899</v>
      </c>
      <c r="D7" s="16">
        <v>0</v>
      </c>
      <c r="E7" s="16">
        <f t="shared" si="0"/>
        <v>1536.5999999999899</v>
      </c>
      <c r="F7" s="17" t="str">
        <f t="shared" si="3"/>
        <v/>
      </c>
      <c r="G7" s="18">
        <v>2147.1660000000002</v>
      </c>
      <c r="H7" s="18">
        <f t="shared" si="1"/>
        <v>-610.56600000001026</v>
      </c>
      <c r="I7" s="17">
        <f t="shared" si="2"/>
        <v>-0.28435901090088528</v>
      </c>
      <c r="J7" s="40"/>
      <c r="K7" s="41"/>
    </row>
    <row r="8" spans="1:11" ht="15.75">
      <c r="A8" s="26" t="str">
        <v>98th &amp; Grant</v>
      </c>
      <c r="B8" s="27" t="str">
        <v>CO</v>
      </c>
      <c r="C8" s="22">
        <v>1154.3</v>
      </c>
      <c r="D8" s="11">
        <v>0</v>
      </c>
      <c r="E8" s="11">
        <f t="shared" si="0"/>
        <v>1154.3</v>
      </c>
      <c r="F8" s="12" t="str">
        <f t="shared" si="3"/>
        <v/>
      </c>
      <c r="G8" s="13">
        <v>1914</v>
      </c>
      <c r="H8" s="13">
        <f t="shared" si="1"/>
        <v>-759.7</v>
      </c>
      <c r="I8" s="14">
        <f t="shared" si="2"/>
        <v>-0.39691745036572623</v>
      </c>
      <c r="J8" s="39"/>
      <c r="K8" s="39"/>
    </row>
    <row r="9" spans="1:11" ht="15.75">
      <c r="A9" s="28" t="str">
        <v>Arapahoe Crossings</v>
      </c>
      <c r="B9" s="29" t="str">
        <v>CO</v>
      </c>
      <c r="C9" s="10">
        <v>0</v>
      </c>
      <c r="D9" s="16">
        <v>0</v>
      </c>
      <c r="E9" s="16">
        <f t="shared" si="0"/>
        <v>0</v>
      </c>
      <c r="F9" s="17" t="str">
        <f t="shared" si="3"/>
        <v/>
      </c>
      <c r="G9" s="18">
        <v>0</v>
      </c>
      <c r="H9" s="18">
        <f t="shared" si="1"/>
        <v>0</v>
      </c>
      <c r="I9" s="17" t="str">
        <f t="shared" si="2"/>
        <v/>
      </c>
      <c r="J9" s="40" t="s">
        <v>128</v>
      </c>
      <c r="K9" s="51" t="s">
        <v>129</v>
      </c>
    </row>
    <row r="10" spans="1:11" ht="15.75">
      <c r="A10" s="26" t="str">
        <v>Aurora City Center</v>
      </c>
      <c r="B10" s="27" t="str">
        <v>CO</v>
      </c>
      <c r="C10" s="22">
        <v>2026.3999999999901</v>
      </c>
      <c r="D10" s="11">
        <v>0</v>
      </c>
      <c r="E10" s="11">
        <f t="shared" si="0"/>
        <v>2026.3999999999901</v>
      </c>
      <c r="F10" s="12" t="str">
        <f t="shared" si="3"/>
        <v/>
      </c>
      <c r="G10" s="13">
        <v>1642</v>
      </c>
      <c r="H10" s="13">
        <f t="shared" si="1"/>
        <v>384.39999999999009</v>
      </c>
      <c r="I10" s="14">
        <f t="shared" si="2"/>
        <v>0.23410475030450068</v>
      </c>
      <c r="J10" s="39"/>
      <c r="K10" s="39"/>
    </row>
    <row r="11" spans="1:11" ht="15.75">
      <c r="A11" s="28" t="str">
        <v>Dry Creek</v>
      </c>
      <c r="B11" s="29" t="str">
        <v>CO</v>
      </c>
      <c r="C11" s="10">
        <v>2364.1000000000099</v>
      </c>
      <c r="D11" s="16">
        <v>0</v>
      </c>
      <c r="E11" s="16">
        <f t="shared" si="0"/>
        <v>2364.1000000000099</v>
      </c>
      <c r="F11" s="17" t="str">
        <f t="shared" si="3"/>
        <v/>
      </c>
      <c r="G11" s="18">
        <v>2079</v>
      </c>
      <c r="H11" s="18">
        <f t="shared" si="1"/>
        <v>285.10000000000991</v>
      </c>
      <c r="I11" s="17">
        <f t="shared" si="2"/>
        <v>0.13713323713324191</v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>
        <v>1974.19999999999</v>
      </c>
      <c r="D12" s="11">
        <v>0</v>
      </c>
      <c r="E12" s="11">
        <f t="shared" si="0"/>
        <v>1974.19999999999</v>
      </c>
      <c r="F12" s="12" t="str">
        <f t="shared" si="3"/>
        <v/>
      </c>
      <c r="G12" s="13">
        <v>1934</v>
      </c>
      <c r="H12" s="13">
        <f t="shared" si="1"/>
        <v>40.199999999990041</v>
      </c>
      <c r="I12" s="14">
        <f t="shared" si="2"/>
        <v>2.078593588417272E-2</v>
      </c>
      <c r="J12" s="39"/>
      <c r="K12" s="39"/>
    </row>
    <row r="13" spans="1:11" ht="15.75">
      <c r="A13" s="28" t="str">
        <v>Lone Tree</v>
      </c>
      <c r="B13" s="29" t="str">
        <v>CO</v>
      </c>
      <c r="C13" s="10">
        <v>3086.8</v>
      </c>
      <c r="D13" s="16">
        <v>0</v>
      </c>
      <c r="E13" s="16">
        <f t="shared" si="0"/>
        <v>3086.8</v>
      </c>
      <c r="F13" s="17" t="str">
        <f t="shared" si="3"/>
        <v/>
      </c>
      <c r="G13" s="18">
        <v>4395</v>
      </c>
      <c r="H13" s="18">
        <f t="shared" si="1"/>
        <v>-1308.1999999999998</v>
      </c>
      <c r="I13" s="17">
        <f t="shared" si="2"/>
        <v>-0.29765642775881679</v>
      </c>
      <c r="J13" s="40"/>
      <c r="K13" s="41"/>
    </row>
    <row r="14" spans="1:11" ht="15.75">
      <c r="A14" s="26" t="str">
        <v>Meridian</v>
      </c>
      <c r="B14" s="27" t="str">
        <v>CO</v>
      </c>
      <c r="C14" s="22">
        <v>3139.2</v>
      </c>
      <c r="D14" s="11">
        <v>0</v>
      </c>
      <c r="E14" s="11">
        <f t="shared" si="0"/>
        <v>3139.2</v>
      </c>
      <c r="F14" s="12" t="str">
        <f t="shared" si="3"/>
        <v/>
      </c>
      <c r="G14" s="13">
        <v>2534</v>
      </c>
      <c r="H14" s="13">
        <f t="shared" si="1"/>
        <v>605.19999999999982</v>
      </c>
      <c r="I14" s="14">
        <f t="shared" si="2"/>
        <v>0.23883188634569844</v>
      </c>
      <c r="J14" s="39"/>
      <c r="K14" s="39"/>
    </row>
    <row r="15" spans="1:11" ht="15.75">
      <c r="A15" s="28" t="str">
        <v>Southglenn</v>
      </c>
      <c r="B15" s="29" t="str">
        <v>CO</v>
      </c>
      <c r="C15" s="10">
        <v>3233.5</v>
      </c>
      <c r="D15" s="16">
        <v>0</v>
      </c>
      <c r="E15" s="16">
        <f t="shared" si="0"/>
        <v>3233.5</v>
      </c>
      <c r="F15" s="17" t="str">
        <f t="shared" si="3"/>
        <v/>
      </c>
      <c r="G15" s="18">
        <v>2652</v>
      </c>
      <c r="H15" s="18">
        <f t="shared" si="1"/>
        <v>581.5</v>
      </c>
      <c r="I15" s="17">
        <f t="shared" si="2"/>
        <v>0.2192684766214178</v>
      </c>
      <c r="J15" s="40"/>
      <c r="K15" s="41"/>
    </row>
    <row r="16" spans="1:11" ht="15.75">
      <c r="A16" s="26" t="str">
        <v>Standley Lake</v>
      </c>
      <c r="B16" s="27" t="str">
        <v>CO</v>
      </c>
      <c r="C16" s="22">
        <v>3244.8</v>
      </c>
      <c r="D16" s="11">
        <v>0</v>
      </c>
      <c r="E16" s="11">
        <f t="shared" si="0"/>
        <v>3244.8</v>
      </c>
      <c r="F16" s="12" t="str">
        <f t="shared" si="3"/>
        <v/>
      </c>
      <c r="G16" s="13">
        <v>3536</v>
      </c>
      <c r="H16" s="13">
        <f t="shared" si="1"/>
        <v>-291.19999999999982</v>
      </c>
      <c r="I16" s="14">
        <f t="shared" si="2"/>
        <v>-8.2352941176470532E-2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3718.2</v>
      </c>
      <c r="D17" s="16">
        <v>0</v>
      </c>
      <c r="E17" s="16">
        <f t="shared" si="0"/>
        <v>3718.2</v>
      </c>
      <c r="F17" s="17" t="str">
        <f t="shared" si="3"/>
        <v/>
      </c>
      <c r="G17" s="18">
        <v>1378</v>
      </c>
      <c r="H17" s="18">
        <f t="shared" si="1"/>
        <v>2340.1999999999998</v>
      </c>
      <c r="I17" s="17">
        <f t="shared" si="2"/>
        <v>1.6982583454281566</v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>
        <v>643.599999999999</v>
      </c>
      <c r="D18" s="11">
        <v>585.90530000000001</v>
      </c>
      <c r="E18" s="11">
        <f t="shared" si="0"/>
        <v>57.694699999998988</v>
      </c>
      <c r="F18" s="12">
        <f t="shared" si="3"/>
        <v>9.8471032776114145E-2</v>
      </c>
      <c r="G18" s="13">
        <v>786.06820000000005</v>
      </c>
      <c r="H18" s="13">
        <f t="shared" si="1"/>
        <v>-142.46820000000105</v>
      </c>
      <c r="I18" s="14">
        <f t="shared" si="2"/>
        <v>-0.18124152586251555</v>
      </c>
      <c r="J18" s="39"/>
      <c r="K18" s="39"/>
    </row>
    <row r="19" spans="1:11" ht="15.75">
      <c r="A19" s="28" t="str">
        <v>Norwalk</v>
      </c>
      <c r="B19" s="29" t="str">
        <v>CT</v>
      </c>
      <c r="C19" s="10">
        <v>780.07034412669202</v>
      </c>
      <c r="D19" s="16">
        <v>13.800330000000001</v>
      </c>
      <c r="E19" s="16">
        <f t="shared" si="0"/>
        <v>766.27001412669199</v>
      </c>
      <c r="F19" s="17">
        <f t="shared" si="3"/>
        <v>55.525484834543228</v>
      </c>
      <c r="G19" s="18">
        <v>933.64049999999997</v>
      </c>
      <c r="H19" s="18">
        <f t="shared" si="1"/>
        <v>-153.57015587330795</v>
      </c>
      <c r="I19" s="17">
        <f t="shared" si="2"/>
        <v>-0.16448531942788253</v>
      </c>
      <c r="J19" s="40"/>
      <c r="K19" s="41"/>
    </row>
    <row r="20" spans="1:11" ht="57">
      <c r="A20" s="26" t="str">
        <v>Hialeah Gardens</v>
      </c>
      <c r="B20" s="27" t="str">
        <v>FL</v>
      </c>
      <c r="C20" s="22">
        <v>1436.4996955394699</v>
      </c>
      <c r="D20" s="11">
        <v>3501.0720000000001</v>
      </c>
      <c r="E20" s="11">
        <f t="shared" si="0"/>
        <v>-2064.5723044605302</v>
      </c>
      <c r="F20" s="12">
        <f t="shared" si="3"/>
        <v>-0.58969718545077909</v>
      </c>
      <c r="G20" s="13">
        <v>4497</v>
      </c>
      <c r="H20" s="13">
        <f t="shared" si="1"/>
        <v>-3060.5003044605301</v>
      </c>
      <c r="I20" s="14">
        <f t="shared" si="2"/>
        <v>-0.68056488869480325</v>
      </c>
      <c r="J20" s="39" t="s">
        <v>151</v>
      </c>
      <c r="K20" s="39" t="s">
        <v>152</v>
      </c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>
        <v>178456.99999999901</v>
      </c>
      <c r="D22" s="11">
        <v>189582.3</v>
      </c>
      <c r="E22" s="11">
        <f t="shared" si="0"/>
        <v>-11125.300000000978</v>
      </c>
      <c r="F22" s="12">
        <f t="shared" si="3"/>
        <v>-5.8683220954703991E-2</v>
      </c>
      <c r="G22" s="13">
        <v>182300</v>
      </c>
      <c r="H22" s="13">
        <f t="shared" si="1"/>
        <v>-3843.0000000009895</v>
      </c>
      <c r="I22" s="14">
        <f t="shared" si="2"/>
        <v>-2.1080636313773941E-2</v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>
        <v>92416.5</v>
      </c>
      <c r="D23" s="16">
        <v>98140.95</v>
      </c>
      <c r="E23" s="16">
        <f t="shared" si="0"/>
        <v>-5724.4499999999971</v>
      </c>
      <c r="F23" s="17">
        <f t="shared" si="3"/>
        <v>-5.8328862722441518E-2</v>
      </c>
      <c r="G23" s="18">
        <v>89997.119999999995</v>
      </c>
      <c r="H23" s="18">
        <f t="shared" si="1"/>
        <v>2419.3800000000047</v>
      </c>
      <c r="I23" s="17">
        <f t="shared" si="2"/>
        <v>2.6882860251528102E-2</v>
      </c>
      <c r="J23" s="40"/>
      <c r="K23" s="41"/>
    </row>
    <row r="24" spans="1:11" ht="57">
      <c r="A24" s="26" t="str">
        <v>WF - CIC</v>
      </c>
      <c r="B24" s="27" t="str">
        <v>NC</v>
      </c>
      <c r="C24" s="22">
        <v>116190</v>
      </c>
      <c r="D24" s="11">
        <v>135991.9</v>
      </c>
      <c r="E24" s="11">
        <f t="shared" si="0"/>
        <v>-19801.899999999994</v>
      </c>
      <c r="F24" s="12">
        <f t="shared" si="3"/>
        <v>-0.14561087829495722</v>
      </c>
      <c r="G24" s="13">
        <v>165450</v>
      </c>
      <c r="H24" s="13">
        <f t="shared" si="1"/>
        <v>-49260</v>
      </c>
      <c r="I24" s="14">
        <f t="shared" si="2"/>
        <v>-0.29773345421577518</v>
      </c>
      <c r="J24" s="39" t="s">
        <v>153</v>
      </c>
      <c r="K24" s="39" t="s">
        <v>154</v>
      </c>
    </row>
    <row r="25" spans="1:11" ht="15.75">
      <c r="A25" s="28" t="str">
        <v>Charlotte - Wells Fargo - DUC</v>
      </c>
      <c r="B25" s="29" t="str">
        <v>NC</v>
      </c>
      <c r="C25" s="10">
        <v>83886</v>
      </c>
      <c r="D25" s="16">
        <v>0</v>
      </c>
      <c r="E25" s="16">
        <f t="shared" si="0"/>
        <v>83886</v>
      </c>
      <c r="F25" s="17" t="str">
        <f t="shared" si="3"/>
        <v/>
      </c>
      <c r="G25" s="18">
        <v>157620.29999999999</v>
      </c>
      <c r="H25" s="18">
        <f t="shared" si="1"/>
        <v>-73734.299999999988</v>
      </c>
      <c r="I25" s="17">
        <f t="shared" si="2"/>
        <v>-0.46779697792733549</v>
      </c>
      <c r="J25" s="40"/>
      <c r="K25" s="41"/>
    </row>
    <row r="26" spans="1:11" ht="15.75">
      <c r="A26" s="26" t="str">
        <v>East Windsor</v>
      </c>
      <c r="B26" s="27" t="str">
        <v>NJ</v>
      </c>
      <c r="C26" s="22">
        <v>818.10000000000196</v>
      </c>
      <c r="D26" s="11">
        <v>825.90290000000005</v>
      </c>
      <c r="E26" s="11">
        <f t="shared" si="0"/>
        <v>-7.8028999999980897</v>
      </c>
      <c r="F26" s="12">
        <f t="shared" si="3"/>
        <v>-9.4477207913885395E-3</v>
      </c>
      <c r="G26" s="13">
        <v>924.95450000000005</v>
      </c>
      <c r="H26" s="13">
        <f t="shared" si="1"/>
        <v>-106.8544999999981</v>
      </c>
      <c r="I26" s="14">
        <f t="shared" si="2"/>
        <v>-0.11552406091326448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2146.6000000000099</v>
      </c>
      <c r="D27" s="16">
        <v>2008.808</v>
      </c>
      <c r="E27" s="16">
        <f t="shared" si="0"/>
        <v>137.79200000000992</v>
      </c>
      <c r="F27" s="17">
        <f t="shared" si="3"/>
        <v>6.8593912409752406E-2</v>
      </c>
      <c r="G27" s="18">
        <v>2402.2420000000002</v>
      </c>
      <c r="H27" s="18">
        <f t="shared" si="1"/>
        <v>-255.64199999999028</v>
      </c>
      <c r="I27" s="17">
        <f t="shared" si="2"/>
        <v>-0.1064180877696711</v>
      </c>
      <c r="J27" s="40"/>
      <c r="K27" s="41"/>
    </row>
    <row r="28" spans="1:11" ht="15.75">
      <c r="A28" s="26" t="str">
        <v>Bayonne</v>
      </c>
      <c r="B28" s="27" t="str">
        <v>NJ</v>
      </c>
      <c r="C28" s="22">
        <v>1858.70000000001</v>
      </c>
      <c r="D28" s="11">
        <v>1768.404</v>
      </c>
      <c r="E28" s="11">
        <f t="shared" si="0"/>
        <v>90.296000000010054</v>
      </c>
      <c r="F28" s="12">
        <f t="shared" si="3"/>
        <v>5.1060730466573279E-2</v>
      </c>
      <c r="G28" s="13">
        <v>3042.6370000000002</v>
      </c>
      <c r="H28" s="13">
        <f t="shared" si="1"/>
        <v>-1183.9369999999901</v>
      </c>
      <c r="I28" s="14">
        <f t="shared" si="2"/>
        <v>-0.38911542849179515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3442.515625</v>
      </c>
      <c r="D29" s="16">
        <v>3481.0419999999999</v>
      </c>
      <c r="E29" s="16">
        <f t="shared" si="0"/>
        <v>-38.526374999999916</v>
      </c>
      <c r="F29" s="17">
        <f t="shared" si="3"/>
        <v>-1.106748352935699E-2</v>
      </c>
      <c r="G29" s="18">
        <v>3951.9949999999999</v>
      </c>
      <c r="H29" s="18">
        <f t="shared" si="1"/>
        <v>-509.47937499999989</v>
      </c>
      <c r="I29" s="17">
        <f t="shared" si="2"/>
        <v>-0.12891700900431299</v>
      </c>
      <c r="J29" s="40"/>
      <c r="K29" s="41"/>
    </row>
    <row r="30" spans="1:11" ht="15.75">
      <c r="A30" s="26" t="str">
        <v>North Elizabeth</v>
      </c>
      <c r="B30" s="27" t="str">
        <v>NJ</v>
      </c>
      <c r="C30" s="22">
        <v>2962.1000000000099</v>
      </c>
      <c r="D30" s="11">
        <v>2436.0909999999999</v>
      </c>
      <c r="E30" s="11">
        <f t="shared" si="0"/>
        <v>526.00900000001002</v>
      </c>
      <c r="F30" s="12">
        <f t="shared" si="3"/>
        <v>0.21592337888855959</v>
      </c>
      <c r="G30" s="13">
        <v>3201.1509999999998</v>
      </c>
      <c r="H30" s="13">
        <f t="shared" si="1"/>
        <v>-239.05099999998993</v>
      </c>
      <c r="I30" s="14">
        <f t="shared" si="2"/>
        <v>-7.4676577268610558E-2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2025.7</v>
      </c>
      <c r="D31" s="16">
        <v>1971.989</v>
      </c>
      <c r="E31" s="16">
        <f t="shared" si="0"/>
        <v>53.711000000000013</v>
      </c>
      <c r="F31" s="17">
        <f t="shared" si="3"/>
        <v>2.7236967346166745E-2</v>
      </c>
      <c r="G31" s="18">
        <v>2263.9270000000001</v>
      </c>
      <c r="H31" s="18">
        <f t="shared" si="1"/>
        <v>-238.22700000000009</v>
      </c>
      <c r="I31" s="17">
        <f t="shared" si="2"/>
        <v>-0.10522733286011433</v>
      </c>
      <c r="J31" s="40"/>
      <c r="K31" s="41"/>
    </row>
    <row r="32" spans="1:11" ht="15.75">
      <c r="A32" s="26" t="str">
        <v>Parsippany</v>
      </c>
      <c r="B32" s="27" t="str">
        <v>NJ</v>
      </c>
      <c r="C32" s="22">
        <v>2610.8999999999901</v>
      </c>
      <c r="D32" s="11">
        <v>2709.6930000000002</v>
      </c>
      <c r="E32" s="11">
        <f t="shared" si="0"/>
        <v>-98.793000000010124</v>
      </c>
      <c r="F32" s="12">
        <f t="shared" si="3"/>
        <v>-3.6459111788682379E-2</v>
      </c>
      <c r="G32" s="13">
        <v>2853.9189999999999</v>
      </c>
      <c r="H32" s="13">
        <f t="shared" si="1"/>
        <v>-243.01900000000978</v>
      </c>
      <c r="I32" s="14">
        <f t="shared" si="2"/>
        <v>-8.5152732085251828E-2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2076.4000000000101</v>
      </c>
      <c r="D33" s="16">
        <v>1978.4449999999999</v>
      </c>
      <c r="E33" s="16">
        <f t="shared" si="0"/>
        <v>97.955000000010159</v>
      </c>
      <c r="F33" s="17">
        <f t="shared" si="3"/>
        <v>4.951110594431999E-2</v>
      </c>
      <c r="G33" s="18">
        <v>2230.9720000000002</v>
      </c>
      <c r="H33" s="18">
        <f t="shared" si="1"/>
        <v>-154.57199999999011</v>
      </c>
      <c r="I33" s="17">
        <f t="shared" si="2"/>
        <v>-6.9284598820599314E-2</v>
      </c>
      <c r="J33" s="40"/>
      <c r="K33" s="41"/>
    </row>
    <row r="34" spans="1:11" ht="15.75">
      <c r="A34" s="26" t="str">
        <v>Closter</v>
      </c>
      <c r="B34" s="27" t="str">
        <v>NJ</v>
      </c>
      <c r="C34" s="22">
        <v>479.099999999999</v>
      </c>
      <c r="D34" s="11">
        <v>842.4615</v>
      </c>
      <c r="E34" s="11">
        <f t="shared" si="0"/>
        <v>-363.361500000001</v>
      </c>
      <c r="F34" s="12">
        <f t="shared" si="3"/>
        <v>-0.43130932392756344</v>
      </c>
      <c r="G34" s="13">
        <v>1441.5640000000001</v>
      </c>
      <c r="H34" s="13">
        <f t="shared" si="1"/>
        <v>-962.46400000000108</v>
      </c>
      <c r="I34" s="14">
        <f t="shared" si="2"/>
        <v>-0.66765263283489396</v>
      </c>
      <c r="J34" s="39" t="s">
        <v>155</v>
      </c>
      <c r="K34" s="39" t="s">
        <v>156</v>
      </c>
    </row>
    <row r="35" spans="1:11" ht="15.75">
      <c r="A35" s="28" t="str">
        <v>Holmdel</v>
      </c>
      <c r="B35" s="29" t="str">
        <v>NJ</v>
      </c>
      <c r="C35" s="10">
        <v>1789.6</v>
      </c>
      <c r="D35" s="16">
        <v>1617.319</v>
      </c>
      <c r="E35" s="16">
        <f t="shared" si="0"/>
        <v>172.28099999999995</v>
      </c>
      <c r="F35" s="17">
        <f t="shared" si="3"/>
        <v>0.10652258459833833</v>
      </c>
      <c r="G35" s="18">
        <v>1952.598</v>
      </c>
      <c r="H35" s="18">
        <f t="shared" si="1"/>
        <v>-162.99800000000005</v>
      </c>
      <c r="I35" s="17">
        <f t="shared" si="2"/>
        <v>-8.3477500233022903E-2</v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>
        <v>909.60000000000196</v>
      </c>
      <c r="D36" s="11">
        <v>895.62950000000001</v>
      </c>
      <c r="E36" s="11">
        <f t="shared" si="0"/>
        <v>13.970500000001948</v>
      </c>
      <c r="F36" s="12">
        <f t="shared" si="3"/>
        <v>1.5598525952977149E-2</v>
      </c>
      <c r="G36" s="13">
        <v>1045.3430000000001</v>
      </c>
      <c r="H36" s="13">
        <f t="shared" si="1"/>
        <v>-135.74299999999812</v>
      </c>
      <c r="I36" s="14">
        <f t="shared" si="2"/>
        <v>-0.12985498539713577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3011.0999999999899</v>
      </c>
      <c r="D37" s="16">
        <v>2804.8249999999998</v>
      </c>
      <c r="E37" s="16">
        <f t="shared" si="0"/>
        <v>206.27499999999009</v>
      </c>
      <c r="F37" s="17">
        <f t="shared" si="3"/>
        <v>7.3542912659431553E-2</v>
      </c>
      <c r="G37" s="18">
        <v>4042.4250000000002</v>
      </c>
      <c r="H37" s="18">
        <f t="shared" si="1"/>
        <v>-1031.3250000000103</v>
      </c>
      <c r="I37" s="17">
        <f t="shared" si="2"/>
        <v>-0.25512532700050344</v>
      </c>
      <c r="J37" s="40"/>
      <c r="K37" s="41"/>
    </row>
    <row r="38" spans="1:11" ht="15.75">
      <c r="A38" s="26" t="str">
        <v>Marlton</v>
      </c>
      <c r="B38" s="27" t="str">
        <v>NJ</v>
      </c>
      <c r="C38" s="22">
        <v>3271.2999999999902</v>
      </c>
      <c r="D38" s="11">
        <v>2842.605</v>
      </c>
      <c r="E38" s="11">
        <f t="shared" si="0"/>
        <v>428.69499999999016</v>
      </c>
      <c r="F38" s="12">
        <f t="shared" si="3"/>
        <v>0.15081061209699911</v>
      </c>
      <c r="G38" s="13">
        <v>3619.3029999999999</v>
      </c>
      <c r="H38" s="13">
        <f t="shared" si="1"/>
        <v>-348.00300000000971</v>
      </c>
      <c r="I38" s="14">
        <f t="shared" si="2"/>
        <v>-9.6151938646753171E-2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2769.2</v>
      </c>
      <c r="D39" s="16">
        <v>1957.095</v>
      </c>
      <c r="E39" s="16">
        <f t="shared" si="0"/>
        <v>812.10499999999979</v>
      </c>
      <c r="F39" s="17">
        <f t="shared" si="3"/>
        <v>0.41495430727685667</v>
      </c>
      <c r="G39" s="18">
        <v>3146.5340000000001</v>
      </c>
      <c r="H39" s="18">
        <f t="shared" si="1"/>
        <v>-377.33400000000029</v>
      </c>
      <c r="I39" s="17">
        <f t="shared" si="2"/>
        <v>-0.11992052207285867</v>
      </c>
      <c r="J39" s="40"/>
      <c r="K39" s="41"/>
    </row>
    <row r="40" spans="1:11" ht="15.75">
      <c r="A40" s="26" t="str">
        <v>Whiting Crestwood</v>
      </c>
      <c r="B40" s="27" t="str">
        <v>NJ</v>
      </c>
      <c r="C40" s="22">
        <v>3470</v>
      </c>
      <c r="D40" s="11">
        <v>3465.2739999999999</v>
      </c>
      <c r="E40" s="11">
        <f t="shared" si="0"/>
        <v>4.7260000000001128</v>
      </c>
      <c r="F40" s="12">
        <f t="shared" si="3"/>
        <v>1.3638171180691953E-3</v>
      </c>
      <c r="G40" s="13">
        <v>4196.9489999999996</v>
      </c>
      <c r="H40" s="13">
        <f t="shared" si="1"/>
        <v>-726.94899999999961</v>
      </c>
      <c r="I40" s="14">
        <f t="shared" si="2"/>
        <v>-0.17320891914578893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4588.31249999997</v>
      </c>
      <c r="D41" s="16">
        <v>4168.4399999999996</v>
      </c>
      <c r="E41" s="16">
        <f t="shared" si="0"/>
        <v>419.87249999997039</v>
      </c>
      <c r="F41" s="17">
        <f t="shared" si="3"/>
        <v>0.10072653078848932</v>
      </c>
      <c r="G41" s="18">
        <v>5027.7209999999995</v>
      </c>
      <c r="H41" s="18">
        <f t="shared" si="1"/>
        <v>-439.40850000002956</v>
      </c>
      <c r="I41" s="17">
        <f t="shared" si="2"/>
        <v>-8.7397152705973466E-2</v>
      </c>
      <c r="J41" s="40"/>
      <c r="K41" s="41"/>
    </row>
    <row r="42" spans="1:11" ht="15.75">
      <c r="A42" s="26" t="str">
        <v>Manchester</v>
      </c>
      <c r="B42" s="27" t="str">
        <v>NJ</v>
      </c>
      <c r="C42" s="22">
        <v>1990.9000000000101</v>
      </c>
      <c r="D42" s="11">
        <v>2216.1999999999998</v>
      </c>
      <c r="E42" s="11">
        <f t="shared" si="0"/>
        <v>-225.29999999998972</v>
      </c>
      <c r="F42" s="12">
        <f t="shared" si="3"/>
        <v>-0.10166049995487308</v>
      </c>
      <c r="G42" s="13">
        <v>3620.607</v>
      </c>
      <c r="H42" s="13">
        <f t="shared" si="1"/>
        <v>-1629.7069999999899</v>
      </c>
      <c r="I42" s="14">
        <f t="shared" si="2"/>
        <v>-0.4501198279735939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3064.5999999999899</v>
      </c>
      <c r="D43" s="16">
        <v>3070.614</v>
      </c>
      <c r="E43" s="16">
        <f t="shared" si="0"/>
        <v>-6.0140000000101281</v>
      </c>
      <c r="F43" s="17">
        <f t="shared" si="3"/>
        <v>-1.9585659415381185E-3</v>
      </c>
      <c r="G43" s="18">
        <v>3363.5970000000002</v>
      </c>
      <c r="H43" s="18">
        <f t="shared" si="1"/>
        <v>-298.9970000000103</v>
      </c>
      <c r="I43" s="17">
        <f t="shared" si="2"/>
        <v>-8.8892040277123052E-2</v>
      </c>
      <c r="J43" s="40"/>
      <c r="K43" s="41"/>
    </row>
    <row r="44" spans="1:11" ht="15.75">
      <c r="A44" s="26" t="str">
        <v>Edison</v>
      </c>
      <c r="B44" s="27" t="str">
        <v>NJ</v>
      </c>
      <c r="C44" s="22">
        <v>2802.7</v>
      </c>
      <c r="D44" s="11">
        <v>2509.3020000000001</v>
      </c>
      <c r="E44" s="11">
        <f t="shared" si="0"/>
        <v>293.39799999999968</v>
      </c>
      <c r="F44" s="12">
        <f t="shared" si="3"/>
        <v>0.11692414862778561</v>
      </c>
      <c r="G44" s="13">
        <v>3087.8679999999999</v>
      </c>
      <c r="H44" s="13">
        <f t="shared" si="1"/>
        <v>-285.16800000000012</v>
      </c>
      <c r="I44" s="14">
        <f t="shared" si="2"/>
        <v>-9.2351097909625715E-2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2501.2999999999902</v>
      </c>
      <c r="D45" s="16">
        <v>2221.212</v>
      </c>
      <c r="E45" s="16">
        <f t="shared" si="0"/>
        <v>280.08799999999019</v>
      </c>
      <c r="F45" s="17">
        <f t="shared" si="3"/>
        <v>0.12609692366149211</v>
      </c>
      <c r="G45" s="18">
        <v>2959.683</v>
      </c>
      <c r="H45" s="18">
        <f t="shared" si="1"/>
        <v>-458.38300000000982</v>
      </c>
      <c r="I45" s="17">
        <f t="shared" si="2"/>
        <v>-0.15487570797278283</v>
      </c>
      <c r="J45" s="40"/>
      <c r="K45" s="41"/>
    </row>
    <row r="46" spans="1:11" ht="15.75">
      <c r="A46" s="26" t="str">
        <v>Route 22</v>
      </c>
      <c r="B46" s="27" t="str">
        <v>NJ</v>
      </c>
      <c r="C46" s="22">
        <v>2492.3000000000002</v>
      </c>
      <c r="D46" s="11">
        <v>3050.3040000000001</v>
      </c>
      <c r="E46" s="11">
        <f t="shared" si="0"/>
        <v>-558.00399999999991</v>
      </c>
      <c r="F46" s="12">
        <f t="shared" si="3"/>
        <v>-0.18293389773609448</v>
      </c>
      <c r="G46" s="13">
        <v>2711.0230000000001</v>
      </c>
      <c r="H46" s="13">
        <f t="shared" si="1"/>
        <v>-218.72299999999996</v>
      </c>
      <c r="I46" s="14">
        <f t="shared" si="2"/>
        <v>-8.0679138465442723E-2</v>
      </c>
      <c r="J46" s="39"/>
      <c r="K46" s="39"/>
    </row>
    <row r="47" spans="1:11" ht="31.5">
      <c r="A47" s="28" t="str">
        <v>Laurelton</v>
      </c>
      <c r="B47" s="29" t="str">
        <v>NJ</v>
      </c>
      <c r="C47" s="10">
        <v>1477</v>
      </c>
      <c r="D47" s="16">
        <v>1986.796</v>
      </c>
      <c r="E47" s="16">
        <f t="shared" si="0"/>
        <v>-509.79600000000005</v>
      </c>
      <c r="F47" s="17">
        <f t="shared" si="3"/>
        <v>-0.25659202051946955</v>
      </c>
      <c r="G47" s="18">
        <v>2471.509</v>
      </c>
      <c r="H47" s="18">
        <f t="shared" si="1"/>
        <v>-994.50900000000001</v>
      </c>
      <c r="I47" s="17">
        <f t="shared" si="2"/>
        <v>-0.4023893904493166</v>
      </c>
      <c r="J47" s="40" t="s">
        <v>98</v>
      </c>
      <c r="K47" s="41" t="s">
        <v>143</v>
      </c>
    </row>
    <row r="48" spans="1:11" ht="15.75">
      <c r="A48" s="26" t="str">
        <v>Mahwah</v>
      </c>
      <c r="B48" s="27" t="str">
        <v>NJ</v>
      </c>
      <c r="C48" s="22">
        <v>2033.2</v>
      </c>
      <c r="D48" s="11">
        <v>551.53639999999996</v>
      </c>
      <c r="E48" s="11">
        <f t="shared" si="0"/>
        <v>1481.6636000000001</v>
      </c>
      <c r="F48" s="12">
        <f t="shared" si="3"/>
        <v>2.686429399764005</v>
      </c>
      <c r="G48" s="13">
        <v>2409.1880000000001</v>
      </c>
      <c r="H48" s="13">
        <f t="shared" si="1"/>
        <v>-375.98800000000006</v>
      </c>
      <c r="I48" s="14">
        <f t="shared" si="2"/>
        <v>-0.15606420088428136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2316.6999999999998</v>
      </c>
      <c r="D49" s="16">
        <v>2163.0700000000002</v>
      </c>
      <c r="E49" s="16">
        <f t="shared" si="0"/>
        <v>153.62999999999965</v>
      </c>
      <c r="F49" s="17">
        <f t="shared" si="3"/>
        <v>7.1024053775420884E-2</v>
      </c>
      <c r="G49" s="18">
        <v>2815.2730000000001</v>
      </c>
      <c r="H49" s="18">
        <f t="shared" si="1"/>
        <v>-498.57300000000032</v>
      </c>
      <c r="I49" s="17">
        <f t="shared" si="2"/>
        <v>-0.17709579142058346</v>
      </c>
      <c r="J49" s="40"/>
      <c r="K49" s="41"/>
    </row>
    <row r="50" spans="1:11" ht="15.75">
      <c r="A50" s="26" t="str">
        <v>Bordentown</v>
      </c>
      <c r="B50" s="27" t="str">
        <v>NJ</v>
      </c>
      <c r="C50" s="22">
        <v>1810.7</v>
      </c>
      <c r="D50" s="11">
        <v>1551.2349999999999</v>
      </c>
      <c r="E50" s="11">
        <f t="shared" si="0"/>
        <v>259.46500000000015</v>
      </c>
      <c r="F50" s="12">
        <f t="shared" si="3"/>
        <v>0.16726350295087472</v>
      </c>
      <c r="G50" s="13">
        <v>2049.3409999999999</v>
      </c>
      <c r="H50" s="13">
        <f t="shared" si="1"/>
        <v>-238.64099999999985</v>
      </c>
      <c r="I50" s="14">
        <f t="shared" si="2"/>
        <v>-0.11644767757049698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1354.8</v>
      </c>
      <c r="D51" s="16">
        <v>1217.9380000000001</v>
      </c>
      <c r="E51" s="16">
        <f t="shared" si="0"/>
        <v>136.86199999999985</v>
      </c>
      <c r="F51" s="17">
        <f t="shared" si="3"/>
        <v>0.11237189413582616</v>
      </c>
      <c r="G51" s="18">
        <v>1472.8530000000001</v>
      </c>
      <c r="H51" s="18">
        <f t="shared" si="1"/>
        <v>-118.05300000000011</v>
      </c>
      <c r="I51" s="17">
        <f t="shared" si="2"/>
        <v>-8.0152601787143798E-2</v>
      </c>
      <c r="J51" s="40"/>
      <c r="K51" s="41"/>
    </row>
    <row r="52" spans="1:11" ht="15.75">
      <c r="A52" s="26" t="str">
        <v>Somerset</v>
      </c>
      <c r="B52" s="27" t="str">
        <v>NJ</v>
      </c>
      <c r="C52" s="22">
        <v>2090.99999999999</v>
      </c>
      <c r="D52" s="11">
        <v>2689.127</v>
      </c>
      <c r="E52" s="11">
        <f t="shared" si="0"/>
        <v>-598.12700000000996</v>
      </c>
      <c r="F52" s="12">
        <f t="shared" si="3"/>
        <v>-0.22242422912715165</v>
      </c>
      <c r="G52" s="13">
        <v>2386.7350000000001</v>
      </c>
      <c r="H52" s="13">
        <f t="shared" si="1"/>
        <v>-295.73500000001013</v>
      </c>
      <c r="I52" s="14">
        <f t="shared" si="2"/>
        <v>-0.12390776521063718</v>
      </c>
      <c r="J52" s="39"/>
      <c r="K52" s="39"/>
    </row>
    <row r="53" spans="1:11" ht="15.75">
      <c r="A53" s="28" t="str">
        <v>Clinton Main Relo</v>
      </c>
      <c r="B53" s="29" t="str">
        <v>NJ</v>
      </c>
      <c r="C53" s="10">
        <v>2455.2421880000002</v>
      </c>
      <c r="D53" s="16">
        <v>2492.9290000000001</v>
      </c>
      <c r="E53" s="16">
        <f t="shared" si="0"/>
        <v>-37.686811999999918</v>
      </c>
      <c r="F53" s="17">
        <f t="shared" si="3"/>
        <v>-1.5117483089169373E-2</v>
      </c>
      <c r="G53" s="18">
        <v>2742.8760000000002</v>
      </c>
      <c r="H53" s="18">
        <f t="shared" si="1"/>
        <v>-287.63381200000003</v>
      </c>
      <c r="I53" s="17">
        <f t="shared" si="2"/>
        <v>-0.10486577300614391</v>
      </c>
      <c r="J53" s="40"/>
      <c r="K53" s="41"/>
    </row>
    <row r="54" spans="1:11" ht="15.75">
      <c r="A54" s="26" t="str">
        <v>North Brunswick</v>
      </c>
      <c r="B54" s="27" t="str">
        <v>NJ</v>
      </c>
      <c r="C54" s="22">
        <v>1036.6000000000099</v>
      </c>
      <c r="D54" s="11">
        <v>2172.2379999999998</v>
      </c>
      <c r="E54" s="11">
        <f t="shared" si="0"/>
        <v>-1135.6379999999899</v>
      </c>
      <c r="F54" s="12">
        <f t="shared" si="3"/>
        <v>-0.52279630500893093</v>
      </c>
      <c r="G54" s="13">
        <v>3003.6109999999999</v>
      </c>
      <c r="H54" s="13">
        <f t="shared" si="1"/>
        <v>-1967.01099999999</v>
      </c>
      <c r="I54" s="14">
        <f t="shared" si="2"/>
        <v>-0.65488207361072726</v>
      </c>
      <c r="J54" s="39" t="s">
        <v>157</v>
      </c>
      <c r="K54" s="39" t="s">
        <v>158</v>
      </c>
    </row>
    <row r="55" spans="1:11" ht="15.75">
      <c r="A55" s="28" t="str">
        <v>Cherry Hill</v>
      </c>
      <c r="B55" s="29" t="str">
        <v>NJ</v>
      </c>
      <c r="C55" s="10">
        <v>1582.8359375</v>
      </c>
      <c r="D55" s="16">
        <v>1686.58</v>
      </c>
      <c r="E55" s="16">
        <f t="shared" si="0"/>
        <v>-103.74406249999993</v>
      </c>
      <c r="F55" s="17">
        <f t="shared" si="3"/>
        <v>-6.151149812045674E-2</v>
      </c>
      <c r="G55" s="18">
        <v>1879.415</v>
      </c>
      <c r="H55" s="18">
        <f t="shared" si="1"/>
        <v>-296.57906249999996</v>
      </c>
      <c r="I55" s="17">
        <f t="shared" si="2"/>
        <v>-0.15780392435944163</v>
      </c>
      <c r="J55" s="40"/>
      <c r="K55" s="41"/>
    </row>
    <row r="56" spans="1:11" ht="15.75">
      <c r="A56" s="26" t="str">
        <v>Hainesport</v>
      </c>
      <c r="B56" s="27" t="str">
        <v>NJ</v>
      </c>
      <c r="C56" s="22">
        <v>1707.5</v>
      </c>
      <c r="D56" s="11">
        <v>1891.4169999999999</v>
      </c>
      <c r="E56" s="11">
        <f t="shared" si="0"/>
        <v>-183.91699999999992</v>
      </c>
      <c r="F56" s="12">
        <f t="shared" si="3"/>
        <v>-9.7237679475229377E-2</v>
      </c>
      <c r="G56" s="13">
        <v>1913.0609999999999</v>
      </c>
      <c r="H56" s="13">
        <f t="shared" si="1"/>
        <v>-205.56099999999992</v>
      </c>
      <c r="I56" s="14">
        <f t="shared" si="2"/>
        <v>-0.10745135675234607</v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>
        <v>49778.8125</v>
      </c>
      <c r="D57" s="16">
        <v>49279.45</v>
      </c>
      <c r="E57" s="16">
        <f t="shared" si="0"/>
        <v>499.36250000000291</v>
      </c>
      <c r="F57" s="17">
        <f t="shared" si="3"/>
        <v>1.0133280708287186E-2</v>
      </c>
      <c r="G57" s="18">
        <v>56349.73</v>
      </c>
      <c r="H57" s="18">
        <f t="shared" si="1"/>
        <v>-6570.9175000000032</v>
      </c>
      <c r="I57" s="17">
        <f t="shared" si="2"/>
        <v>-0.11660956494378949</v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>
        <v>367458</v>
      </c>
      <c r="D58" s="11">
        <v>411610.8</v>
      </c>
      <c r="E58" s="11">
        <f t="shared" si="0"/>
        <v>-44152.799999999988</v>
      </c>
      <c r="F58" s="12">
        <f t="shared" si="3"/>
        <v>-0.10726832240553452</v>
      </c>
      <c r="G58" s="13">
        <v>376464</v>
      </c>
      <c r="H58" s="13">
        <f t="shared" si="1"/>
        <v>-9006</v>
      </c>
      <c r="I58" s="14">
        <f t="shared" si="2"/>
        <v>-2.3922606145607549E-2</v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>
        <v>51428.0625</v>
      </c>
      <c r="D59" s="16">
        <v>48918</v>
      </c>
      <c r="E59" s="16">
        <f t="shared" si="0"/>
        <v>2510.0625</v>
      </c>
      <c r="F59" s="17">
        <f t="shared" si="3"/>
        <v>5.1311633754446216E-2</v>
      </c>
      <c r="G59" s="18">
        <v>55838.68</v>
      </c>
      <c r="H59" s="18">
        <f t="shared" si="1"/>
        <v>-4410.6175000000003</v>
      </c>
      <c r="I59" s="17">
        <f t="shared" si="2"/>
        <v>-7.8988570288552676E-2</v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>
        <v>52725.125</v>
      </c>
      <c r="D60" s="11">
        <v>50731.519999999997</v>
      </c>
      <c r="E60" s="11">
        <f t="shared" si="0"/>
        <v>1993.6050000000032</v>
      </c>
      <c r="F60" s="12">
        <f t="shared" si="3"/>
        <v>3.929716673184646E-2</v>
      </c>
      <c r="G60" s="13">
        <v>56750.84</v>
      </c>
      <c r="H60" s="13">
        <f t="shared" si="1"/>
        <v>-4025.7149999999965</v>
      </c>
      <c r="I60" s="14">
        <f t="shared" si="2"/>
        <v>-7.0936659263545643E-2</v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>
        <v>48459.0625</v>
      </c>
      <c r="D61" s="16">
        <v>44575.95</v>
      </c>
      <c r="E61" s="16">
        <f t="shared" si="0"/>
        <v>3883.1125000000029</v>
      </c>
      <c r="F61" s="17">
        <f t="shared" si="3"/>
        <v>8.7112276911653103E-2</v>
      </c>
      <c r="G61" s="18">
        <v>53363.67</v>
      </c>
      <c r="H61" s="18">
        <f t="shared" si="1"/>
        <v>-4904.6074999999983</v>
      </c>
      <c r="I61" s="17">
        <f t="shared" si="2"/>
        <v>-9.190911157347309E-2</v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>
        <v>50566.625</v>
      </c>
      <c r="D62" s="11">
        <v>48478.5</v>
      </c>
      <c r="E62" s="11">
        <f t="shared" si="0"/>
        <v>2088.125</v>
      </c>
      <c r="F62" s="12">
        <f t="shared" si="3"/>
        <v>4.3073218024485084E-2</v>
      </c>
      <c r="G62" s="13">
        <v>54554.13</v>
      </c>
      <c r="H62" s="13">
        <f t="shared" si="1"/>
        <v>-3987.5049999999974</v>
      </c>
      <c r="I62" s="14">
        <f t="shared" si="2"/>
        <v>-7.3092632950062575E-2</v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>
        <v>49535.264060000001</v>
      </c>
      <c r="D63" s="16">
        <v>47372.51</v>
      </c>
      <c r="E63" s="16">
        <f t="shared" si="0"/>
        <v>2162.7540599999993</v>
      </c>
      <c r="F63" s="17">
        <f t="shared" si="3"/>
        <v>4.5654200294643441E-2</v>
      </c>
      <c r="G63" s="18">
        <v>52593.14</v>
      </c>
      <c r="H63" s="18">
        <f t="shared" si="1"/>
        <v>-3057.8759399999981</v>
      </c>
      <c r="I63" s="17">
        <f t="shared" si="2"/>
        <v>-5.8142106365963279E-2</v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>
        <v>13377.217189999999</v>
      </c>
      <c r="D64" s="11">
        <v>14845.64</v>
      </c>
      <c r="E64" s="11">
        <f t="shared" si="0"/>
        <v>-1468.42281</v>
      </c>
      <c r="F64" s="12">
        <f t="shared" si="3"/>
        <v>-9.89127319536241E-2</v>
      </c>
      <c r="G64" s="13">
        <v>16348.51</v>
      </c>
      <c r="H64" s="13">
        <f t="shared" si="1"/>
        <v>-2971.2928100000008</v>
      </c>
      <c r="I64" s="14">
        <f t="shared" si="2"/>
        <v>-0.18174700997216264</v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>
        <v>54853.5625</v>
      </c>
      <c r="D65" s="16">
        <v>46132.79</v>
      </c>
      <c r="E65" s="16">
        <f t="shared" si="0"/>
        <v>8720.7724999999991</v>
      </c>
      <c r="F65" s="17">
        <f t="shared" si="3"/>
        <v>0.18903631234963242</v>
      </c>
      <c r="G65" s="18">
        <v>59006.68</v>
      </c>
      <c r="H65" s="18">
        <f t="shared" si="1"/>
        <v>-4153.1175000000003</v>
      </c>
      <c r="I65" s="17">
        <f t="shared" si="2"/>
        <v>-7.0383853150185707E-2</v>
      </c>
      <c r="J65" s="40"/>
      <c r="K65" s="41"/>
    </row>
    <row r="66" spans="1:11" ht="15.75">
      <c r="A66" s="26" t="str">
        <v>Lodi - Lodi Vineyard</v>
      </c>
      <c r="B66" s="27" t="str">
        <v>CA</v>
      </c>
      <c r="C66" s="22">
        <v>36046.03125</v>
      </c>
      <c r="D66" s="11">
        <v>42688.77</v>
      </c>
      <c r="E66" s="11">
        <f t="shared" si="0"/>
        <v>-6642.7387499999968</v>
      </c>
      <c r="F66" s="12">
        <f t="shared" si="3"/>
        <v>-0.15560857691613034</v>
      </c>
      <c r="G66" s="13">
        <v>36116</v>
      </c>
      <c r="H66" s="13">
        <f t="shared" si="1"/>
        <v>-69.96875</v>
      </c>
      <c r="I66" s="14">
        <f t="shared" si="2"/>
        <v>-1.9373338686454757E-3</v>
      </c>
      <c r="J66" s="39"/>
      <c r="K66" s="39"/>
    </row>
    <row r="67" spans="1:11" ht="15.75">
      <c r="A67" s="28" t="str">
        <v>Arden Fair Mall</v>
      </c>
      <c r="B67" s="29" t="str">
        <v>CA</v>
      </c>
      <c r="C67" s="10">
        <v>17602.203125</v>
      </c>
      <c r="D67" s="16">
        <v>20817.29</v>
      </c>
      <c r="E67" s="16">
        <f t="shared" si="0"/>
        <v>-3215.0868750000009</v>
      </c>
      <c r="F67" s="17">
        <f t="shared" si="3"/>
        <v>-0.1544431035451781</v>
      </c>
      <c r="G67" s="18">
        <v>22974</v>
      </c>
      <c r="H67" s="18">
        <f t="shared" si="1"/>
        <v>-5371.796875</v>
      </c>
      <c r="I67" s="17">
        <f t="shared" si="2"/>
        <v>-0.23382070492730914</v>
      </c>
      <c r="J67" s="40"/>
      <c r="K67" s="41"/>
    </row>
    <row r="68" spans="1:11" ht="15.75">
      <c r="A68" s="26" t="str">
        <v>Modesto - Modesto Main</v>
      </c>
      <c r="B68" s="27" t="str">
        <v>CA</v>
      </c>
      <c r="C68" s="22">
        <v>13587.315781249999</v>
      </c>
      <c r="D68" s="11">
        <v>14947.89</v>
      </c>
      <c r="E68" s="11">
        <f t="shared" si="0"/>
        <v>-1360.57421875</v>
      </c>
      <c r="F68" s="12">
        <f t="shared" si="3"/>
        <v>-9.1021155410562965E-2</v>
      </c>
      <c r="G68" s="13">
        <v>21215.13</v>
      </c>
      <c r="H68" s="13">
        <f t="shared" si="1"/>
        <v>-7627.8142187500016</v>
      </c>
      <c r="I68" s="14">
        <f t="shared" si="2"/>
        <v>-0.35954595700097058</v>
      </c>
      <c r="J68" s="39"/>
      <c r="K68" s="39"/>
    </row>
    <row r="69" spans="1:11" ht="15.75">
      <c r="A69" s="28" t="str">
        <v>Stevens Creek</v>
      </c>
      <c r="B69" s="29" t="str">
        <v>CA</v>
      </c>
      <c r="C69" s="10">
        <v>4898.9901185011004</v>
      </c>
      <c r="D69" s="16">
        <v>4919.6949999999997</v>
      </c>
      <c r="E69" s="16">
        <f t="shared" ref="E69" si="4">IF(AND(ISNUMBER(C69),ISNUMBER(D69)), C69-D69, "")</f>
        <v>-20.70488149889934</v>
      </c>
      <c r="F69" s="17">
        <f t="shared" si="3"/>
        <v>-4.208570144876733E-3</v>
      </c>
      <c r="G69" s="18">
        <v>5507</v>
      </c>
      <c r="H69" s="18">
        <f t="shared" ref="H69" si="5">IF(AND(ISNUMBER(C69),ISNUMBER(G69)), C69-G69, "")</f>
        <v>-608.00988149889963</v>
      </c>
      <c r="I69" s="17">
        <f t="shared" ref="I69" si="6">IFERROR(H69/G69, "")</f>
        <v>-0.1104067335207735</v>
      </c>
      <c r="J69" s="40" t="s">
        <v>159</v>
      </c>
      <c r="K69" s="40" t="s">
        <v>160</v>
      </c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2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3.9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abSelected="1" zoomScale="60" zoomScaleNormal="60" workbookViewId="0">
      <pane xSplit="2" ySplit="3" topLeftCell="C4" activePane="bottomRight" state="frozen"/>
      <selection pane="bottomRight" activeCell="K9" sqref="K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2" t="str" cm="1">
        <f t="array" ref="A1">portfolio</f>
        <v>Wells Fargo</v>
      </c>
      <c r="B1" s="72"/>
      <c r="C1" s="72"/>
      <c r="D1" s="73" t="s">
        <v>161</v>
      </c>
      <c r="E1" s="73"/>
      <c r="F1" s="73"/>
      <c r="G1" s="71" t="s">
        <v>162</v>
      </c>
      <c r="H1" s="71"/>
      <c r="I1" s="71"/>
      <c r="J1" s="3"/>
      <c r="K1" s="3"/>
    </row>
    <row r="2" spans="1:11" ht="19.5" customHeight="1">
      <c r="A2" s="82" t="s">
        <v>2</v>
      </c>
      <c r="B2" s="82"/>
      <c r="C2" s="4">
        <f>SUM(C4:C90)</f>
        <v>1476085.2978533336</v>
      </c>
      <c r="D2" s="4">
        <f>SUM(D4:D90)</f>
        <v>1553629.4536700004</v>
      </c>
      <c r="E2" s="4">
        <f>C2-D2</f>
        <v>-77544.155816666782</v>
      </c>
      <c r="F2" s="5">
        <f>IFERROR(E2/D2, 0)</f>
        <v>-4.9911615432811945E-2</v>
      </c>
      <c r="G2" s="4">
        <f>SUM(G4:G90)</f>
        <v>1477232.1341999997</v>
      </c>
      <c r="H2" s="6">
        <f>C2-G2</f>
        <v>-1146.8363466660958</v>
      </c>
      <c r="I2" s="5">
        <f>IFERROR(H2/G2, 0)</f>
        <v>-7.7634132112023755E-4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680.400000000001</v>
      </c>
      <c r="D4" s="11"/>
      <c r="E4" s="11" t="str">
        <f>IF(AND(ISNUMBER(C4),ISNUMBER(D4)), C4-D4, "")</f>
        <v/>
      </c>
      <c r="F4" s="12" t="str">
        <f>IFERROR(E4/D4, "")</f>
        <v/>
      </c>
      <c r="G4" s="13">
        <v>864</v>
      </c>
      <c r="H4" s="13">
        <f>IF(AND(ISNUMBER(C4),ISNUMBER(G4)), C4-G4, "")</f>
        <v>-183.599999999999</v>
      </c>
      <c r="I4" s="14">
        <f>IFERROR(H4/G4, "")</f>
        <v>-0.21249999999999883</v>
      </c>
      <c r="J4" s="39"/>
      <c r="K4" s="39"/>
    </row>
    <row r="5" spans="1:11" ht="15.75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8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8" si="1">IF(AND(ISNUMBER(C5),ISNUMBER(G5)), C5-G5, "")</f>
        <v>0</v>
      </c>
      <c r="I5" s="17" t="str">
        <f t="shared" ref="I5:I68" si="2">IFERROR(H5/G5, "")</f>
        <v/>
      </c>
      <c r="J5" s="40" t="s">
        <v>163</v>
      </c>
      <c r="K5" s="40" t="s">
        <v>164</v>
      </c>
    </row>
    <row r="6" spans="1:11" ht="60.75">
      <c r="A6" s="26" t="str">
        <v>San Leandro</v>
      </c>
      <c r="B6" s="27" t="str">
        <v>CA</v>
      </c>
      <c r="C6" s="22">
        <v>34820.75</v>
      </c>
      <c r="D6" s="11">
        <v>41793.449999999997</v>
      </c>
      <c r="E6" s="11">
        <f t="shared" si="0"/>
        <v>-6972.6999999999971</v>
      </c>
      <c r="F6" s="12">
        <f t="shared" ref="F6:F69" si="3">IFERROR(E6/D6, "")</f>
        <v>-0.16683714792628981</v>
      </c>
      <c r="G6" s="13">
        <v>34800.58</v>
      </c>
      <c r="H6" s="13">
        <f t="shared" si="1"/>
        <v>20.169999999998254</v>
      </c>
      <c r="I6" s="14">
        <f t="shared" si="2"/>
        <v>5.7958804134868589E-4</v>
      </c>
      <c r="J6" s="39" t="s">
        <v>165</v>
      </c>
      <c r="K6" s="39" t="s">
        <v>166</v>
      </c>
    </row>
    <row r="7" spans="1:11" ht="15.75">
      <c r="A7" s="28" t="str">
        <v>Van Nuys</v>
      </c>
      <c r="B7" s="29" t="str">
        <v>CA</v>
      </c>
      <c r="C7" s="10">
        <v>1193.7</v>
      </c>
      <c r="D7" s="16">
        <v>0</v>
      </c>
      <c r="E7" s="16">
        <f t="shared" si="0"/>
        <v>1193.7</v>
      </c>
      <c r="F7" s="17" t="str">
        <f t="shared" si="3"/>
        <v/>
      </c>
      <c r="G7" s="18">
        <v>1746.145</v>
      </c>
      <c r="H7" s="18">
        <f t="shared" si="1"/>
        <v>-552.44499999999994</v>
      </c>
      <c r="I7" s="17">
        <f t="shared" si="2"/>
        <v>-0.31637979663773624</v>
      </c>
      <c r="J7" s="40"/>
      <c r="K7" s="41"/>
    </row>
    <row r="8" spans="1:11" ht="15.75">
      <c r="A8" s="26" t="str">
        <v>98th &amp; Grant</v>
      </c>
      <c r="B8" s="27" t="str">
        <v>CO</v>
      </c>
      <c r="C8" s="22">
        <v>971.30000000000302</v>
      </c>
      <c r="D8" s="11">
        <v>0</v>
      </c>
      <c r="E8" s="11">
        <f t="shared" si="0"/>
        <v>971.30000000000302</v>
      </c>
      <c r="F8" s="12" t="str">
        <f t="shared" si="3"/>
        <v/>
      </c>
      <c r="G8" s="13">
        <v>1610</v>
      </c>
      <c r="H8" s="13">
        <f t="shared" si="1"/>
        <v>-638.69999999999698</v>
      </c>
      <c r="I8" s="14">
        <f t="shared" si="2"/>
        <v>-0.39670807453415963</v>
      </c>
      <c r="J8" s="39"/>
      <c r="K8" s="39"/>
    </row>
    <row r="9" spans="1:11" ht="16.5">
      <c r="A9" s="28" t="str">
        <v>Arapahoe Crossings</v>
      </c>
      <c r="B9" s="29" t="str">
        <v>CO</v>
      </c>
      <c r="C9" s="10">
        <v>2718.0946164021302</v>
      </c>
      <c r="D9" s="16">
        <v>0</v>
      </c>
      <c r="E9" s="16">
        <f t="shared" si="0"/>
        <v>2718.0946164021302</v>
      </c>
      <c r="F9" s="17" t="str">
        <f t="shared" si="3"/>
        <v/>
      </c>
      <c r="G9" s="18">
        <v>2954.3110000000001</v>
      </c>
      <c r="H9" s="18">
        <f t="shared" si="1"/>
        <v>-236.21638359786994</v>
      </c>
      <c r="I9" s="17">
        <f t="shared" si="2"/>
        <v>-7.9956505458589136E-2</v>
      </c>
      <c r="J9" s="40" t="s">
        <v>167</v>
      </c>
      <c r="K9" s="41" t="s">
        <v>168</v>
      </c>
    </row>
    <row r="10" spans="1:11" ht="15.75">
      <c r="A10" s="26" t="str">
        <v>Aurora City Center</v>
      </c>
      <c r="B10" s="27" t="str">
        <v>CO</v>
      </c>
      <c r="C10" s="22">
        <v>1708.80000000001</v>
      </c>
      <c r="D10" s="11">
        <v>0</v>
      </c>
      <c r="E10" s="11">
        <f t="shared" si="0"/>
        <v>1708.80000000001</v>
      </c>
      <c r="F10" s="12" t="str">
        <f t="shared" si="3"/>
        <v/>
      </c>
      <c r="G10" s="13">
        <v>1424</v>
      </c>
      <c r="H10" s="13">
        <f t="shared" si="1"/>
        <v>284.80000000000996</v>
      </c>
      <c r="I10" s="14">
        <f t="shared" si="2"/>
        <v>0.20000000000000701</v>
      </c>
      <c r="J10" s="39"/>
      <c r="K10" s="39"/>
    </row>
    <row r="11" spans="1:11" ht="15.75">
      <c r="A11" s="28" t="str">
        <v>Dry Creek</v>
      </c>
      <c r="B11" s="29" t="str">
        <v>CO</v>
      </c>
      <c r="C11" s="10">
        <v>2041.8999999999901</v>
      </c>
      <c r="D11" s="16">
        <v>0</v>
      </c>
      <c r="E11" s="16">
        <f t="shared" si="0"/>
        <v>2041.8999999999901</v>
      </c>
      <c r="F11" s="17" t="str">
        <f t="shared" si="3"/>
        <v/>
      </c>
      <c r="G11" s="18">
        <v>1742</v>
      </c>
      <c r="H11" s="18">
        <f t="shared" si="1"/>
        <v>299.89999999999009</v>
      </c>
      <c r="I11" s="17">
        <f t="shared" si="2"/>
        <v>0.17215843857634333</v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>
        <v>1621.7</v>
      </c>
      <c r="D12" s="11">
        <v>0</v>
      </c>
      <c r="E12" s="11">
        <f t="shared" si="0"/>
        <v>1621.7</v>
      </c>
      <c r="F12" s="12" t="str">
        <f t="shared" si="3"/>
        <v/>
      </c>
      <c r="G12" s="13">
        <v>1605</v>
      </c>
      <c r="H12" s="13">
        <f t="shared" si="1"/>
        <v>16.700000000000045</v>
      </c>
      <c r="I12" s="14">
        <f t="shared" si="2"/>
        <v>1.0404984423676041E-2</v>
      </c>
      <c r="J12" s="39"/>
      <c r="K12" s="39"/>
    </row>
    <row r="13" spans="1:11" ht="15.75">
      <c r="A13" s="28" t="str">
        <v>Lone Tree</v>
      </c>
      <c r="B13" s="29" t="str">
        <v>CO</v>
      </c>
      <c r="C13" s="10">
        <v>2526.0999999999899</v>
      </c>
      <c r="D13" s="16">
        <v>0</v>
      </c>
      <c r="E13" s="16">
        <f t="shared" si="0"/>
        <v>2526.0999999999899</v>
      </c>
      <c r="F13" s="17" t="str">
        <f t="shared" si="3"/>
        <v/>
      </c>
      <c r="G13" s="18">
        <v>3663</v>
      </c>
      <c r="H13" s="18">
        <f t="shared" si="1"/>
        <v>-1136.9000000000101</v>
      </c>
      <c r="I13" s="17">
        <f t="shared" si="2"/>
        <v>-0.31037401037401313</v>
      </c>
      <c r="J13" s="40"/>
      <c r="K13" s="41"/>
    </row>
    <row r="14" spans="1:11" ht="15.75">
      <c r="A14" s="26" t="str">
        <v>Meridian</v>
      </c>
      <c r="B14" s="27" t="str">
        <v>CO</v>
      </c>
      <c r="C14" s="22">
        <v>2562.6999999999998</v>
      </c>
      <c r="D14" s="11">
        <v>0</v>
      </c>
      <c r="E14" s="11">
        <f t="shared" si="0"/>
        <v>2562.6999999999998</v>
      </c>
      <c r="F14" s="12" t="str">
        <f t="shared" si="3"/>
        <v/>
      </c>
      <c r="G14" s="13">
        <v>2150</v>
      </c>
      <c r="H14" s="13">
        <f t="shared" si="1"/>
        <v>412.69999999999982</v>
      </c>
      <c r="I14" s="14">
        <f t="shared" si="2"/>
        <v>0.19195348837209295</v>
      </c>
      <c r="J14" s="39"/>
      <c r="K14" s="39"/>
    </row>
    <row r="15" spans="1:11" ht="15.75">
      <c r="A15" s="28" t="str">
        <v>Southglenn</v>
      </c>
      <c r="B15" s="29" t="str">
        <v>CO</v>
      </c>
      <c r="C15" s="10">
        <v>2662.8</v>
      </c>
      <c r="D15" s="16">
        <v>0</v>
      </c>
      <c r="E15" s="16">
        <f t="shared" si="0"/>
        <v>2662.8</v>
      </c>
      <c r="F15" s="17" t="str">
        <f t="shared" si="3"/>
        <v/>
      </c>
      <c r="G15" s="18">
        <v>2239</v>
      </c>
      <c r="H15" s="18">
        <f t="shared" si="1"/>
        <v>423.80000000000018</v>
      </c>
      <c r="I15" s="17">
        <f t="shared" si="2"/>
        <v>0.18928092898615462</v>
      </c>
      <c r="J15" s="40"/>
      <c r="K15" s="41"/>
    </row>
    <row r="16" spans="1:11" ht="15.75">
      <c r="A16" s="26" t="str">
        <v>Standley Lake</v>
      </c>
      <c r="B16" s="27" t="str">
        <v>CO</v>
      </c>
      <c r="C16" s="22">
        <v>2588.3999999999901</v>
      </c>
      <c r="D16" s="11">
        <v>0</v>
      </c>
      <c r="E16" s="11">
        <f t="shared" si="0"/>
        <v>2588.3999999999901</v>
      </c>
      <c r="F16" s="12" t="str">
        <f t="shared" si="3"/>
        <v/>
      </c>
      <c r="G16" s="13">
        <v>2986</v>
      </c>
      <c r="H16" s="13">
        <f t="shared" si="1"/>
        <v>-397.60000000000991</v>
      </c>
      <c r="I16" s="14">
        <f t="shared" si="2"/>
        <v>-0.1331547220361721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3045.6000000000099</v>
      </c>
      <c r="D17" s="16">
        <v>0</v>
      </c>
      <c r="E17" s="16">
        <f t="shared" si="0"/>
        <v>3045.6000000000099</v>
      </c>
      <c r="F17" s="17" t="str">
        <f t="shared" si="3"/>
        <v/>
      </c>
      <c r="G17" s="18">
        <v>1166</v>
      </c>
      <c r="H17" s="18">
        <f t="shared" si="1"/>
        <v>1879.6000000000099</v>
      </c>
      <c r="I17" s="17">
        <f t="shared" si="2"/>
        <v>1.6120068610634732</v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>
        <v>545.70000000000095</v>
      </c>
      <c r="D18" s="11">
        <v>569.96870000000001</v>
      </c>
      <c r="E18" s="11">
        <f t="shared" si="0"/>
        <v>-24.268699999999058</v>
      </c>
      <c r="F18" s="12">
        <f t="shared" si="3"/>
        <v>-4.2579004776927325E-2</v>
      </c>
      <c r="G18" s="13">
        <v>603.81380000000001</v>
      </c>
      <c r="H18" s="13">
        <f t="shared" si="1"/>
        <v>-58.11379999999906</v>
      </c>
      <c r="I18" s="14">
        <f t="shared" si="2"/>
        <v>-9.6244570760057255E-2</v>
      </c>
      <c r="J18" s="39"/>
      <c r="K18" s="39"/>
    </row>
    <row r="19" spans="1:11" ht="16.5">
      <c r="A19" s="28" t="str">
        <v>Norwalk</v>
      </c>
      <c r="B19" s="29" t="str">
        <v>CT</v>
      </c>
      <c r="C19" s="10">
        <v>675.62062420816801</v>
      </c>
      <c r="D19" s="16">
        <v>52.523769999999999</v>
      </c>
      <c r="E19" s="16">
        <f t="shared" si="0"/>
        <v>623.096854208168</v>
      </c>
      <c r="F19" s="17">
        <f t="shared" si="3"/>
        <v>11.863140330714417</v>
      </c>
      <c r="G19" s="18">
        <v>717.88930000000005</v>
      </c>
      <c r="H19" s="18">
        <f t="shared" si="1"/>
        <v>-42.268675791832038</v>
      </c>
      <c r="I19" s="17">
        <f t="shared" si="2"/>
        <v>-5.8879099872127964E-2</v>
      </c>
      <c r="J19" s="40" t="s">
        <v>169</v>
      </c>
      <c r="K19" s="41" t="s">
        <v>170</v>
      </c>
    </row>
    <row r="20" spans="1:11" ht="15.75">
      <c r="A20" s="26" t="str">
        <v>Hialeah Gardens</v>
      </c>
      <c r="B20" s="27" t="str">
        <v>FL</v>
      </c>
      <c r="C20" s="22">
        <v>2492.90023893118</v>
      </c>
      <c r="D20" s="11">
        <v>2776.3939999999998</v>
      </c>
      <c r="E20" s="11">
        <f t="shared" si="0"/>
        <v>-283.49376106881982</v>
      </c>
      <c r="F20" s="12">
        <f t="shared" si="3"/>
        <v>-0.10210862041512114</v>
      </c>
      <c r="G20" s="13">
        <v>4137</v>
      </c>
      <c r="H20" s="13">
        <f t="shared" si="1"/>
        <v>-1644.09976106882</v>
      </c>
      <c r="I20" s="14">
        <f t="shared" si="2"/>
        <v>-0.39741352696853277</v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>
        <v>190907.00000000099</v>
      </c>
      <c r="D22" s="11">
        <v>191854.4</v>
      </c>
      <c r="E22" s="11">
        <f t="shared" si="0"/>
        <v>-947.39999999900465</v>
      </c>
      <c r="F22" s="12">
        <f t="shared" si="3"/>
        <v>-4.9381197407982547E-3</v>
      </c>
      <c r="G22" s="13">
        <v>154900</v>
      </c>
      <c r="H22" s="13">
        <f t="shared" si="1"/>
        <v>36007.00000000099</v>
      </c>
      <c r="I22" s="14">
        <f t="shared" si="2"/>
        <v>0.23245319561007741</v>
      </c>
      <c r="J22" s="39"/>
      <c r="K22" s="39"/>
    </row>
    <row r="23" spans="1:11" ht="45.75">
      <c r="A23" s="28" t="str">
        <v>W. Des Moines Campus SW</v>
      </c>
      <c r="B23" s="29" t="str">
        <v>IA</v>
      </c>
      <c r="C23" s="10">
        <v>91053</v>
      </c>
      <c r="D23" s="16">
        <v>103986.3</v>
      </c>
      <c r="E23" s="16">
        <f t="shared" si="0"/>
        <v>-12933.300000000003</v>
      </c>
      <c r="F23" s="17">
        <f t="shared" si="3"/>
        <v>-0.124375037865565</v>
      </c>
      <c r="G23" s="18">
        <v>77012.73</v>
      </c>
      <c r="H23" s="18">
        <f t="shared" si="1"/>
        <v>14040.270000000004</v>
      </c>
      <c r="I23" s="17">
        <f t="shared" si="2"/>
        <v>0.18231102831960386</v>
      </c>
      <c r="J23" s="40" t="s">
        <v>171</v>
      </c>
      <c r="K23" s="70" t="s">
        <v>172</v>
      </c>
    </row>
    <row r="24" spans="1:11" ht="15.75">
      <c r="A24" s="26" t="str">
        <v>WF - CIC</v>
      </c>
      <c r="B24" s="27" t="str">
        <v>NC</v>
      </c>
      <c r="C24" s="22">
        <v>162259</v>
      </c>
      <c r="D24" s="11">
        <v>165846.761</v>
      </c>
      <c r="E24" s="11">
        <f t="shared" si="0"/>
        <v>-3587.7609999999986</v>
      </c>
      <c r="F24" s="12">
        <f t="shared" si="3"/>
        <v>-2.1632988056969039E-2</v>
      </c>
      <c r="G24" s="13">
        <v>163366.99</v>
      </c>
      <c r="H24" s="13">
        <f t="shared" si="1"/>
        <v>-1107.9899999999907</v>
      </c>
      <c r="I24" s="14">
        <f t="shared" si="2"/>
        <v>-6.7822146934334209E-3</v>
      </c>
      <c r="J24" s="62"/>
      <c r="K24" s="39"/>
    </row>
    <row r="25" spans="1:11" ht="15.75">
      <c r="A25" s="28" t="str">
        <v>Charlotte - Wells Fargo - DUC</v>
      </c>
      <c r="B25" s="29" t="str">
        <v>NC</v>
      </c>
      <c r="C25" s="10">
        <v>161956.5</v>
      </c>
      <c r="D25" s="16">
        <v>165938.6</v>
      </c>
      <c r="E25" s="16">
        <f t="shared" si="0"/>
        <v>-3982.1000000000058</v>
      </c>
      <c r="F25" s="17">
        <f t="shared" si="3"/>
        <v>-2.3997430374849527E-2</v>
      </c>
      <c r="G25" s="18">
        <v>151539.16</v>
      </c>
      <c r="H25" s="18">
        <f t="shared" si="1"/>
        <v>10417.339999999997</v>
      </c>
      <c r="I25" s="17">
        <f t="shared" si="2"/>
        <v>6.8743551171855488E-2</v>
      </c>
      <c r="K25" s="41"/>
    </row>
    <row r="26" spans="1:11" ht="15.75">
      <c r="A26" s="26" t="str">
        <v>East Windsor</v>
      </c>
      <c r="B26" s="27" t="str">
        <v>NJ</v>
      </c>
      <c r="C26" s="22">
        <v>880.400000000001</v>
      </c>
      <c r="D26" s="11">
        <v>924.72349999999994</v>
      </c>
      <c r="E26" s="11">
        <f t="shared" si="0"/>
        <v>-44.323499999998944</v>
      </c>
      <c r="F26" s="12">
        <f t="shared" si="3"/>
        <v>-4.7931624966813267E-2</v>
      </c>
      <c r="G26" s="13">
        <v>769.49040000000002</v>
      </c>
      <c r="H26" s="13">
        <f t="shared" si="1"/>
        <v>110.90960000000098</v>
      </c>
      <c r="I26" s="14">
        <f t="shared" si="2"/>
        <v>0.14413383194904184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2435.7999999999902</v>
      </c>
      <c r="D27" s="16">
        <v>2039.797</v>
      </c>
      <c r="E27" s="16">
        <f t="shared" si="0"/>
        <v>396.00299999999015</v>
      </c>
      <c r="F27" s="17">
        <f t="shared" si="3"/>
        <v>0.19413843632478631</v>
      </c>
      <c r="G27" s="18">
        <v>1948.4290000000001</v>
      </c>
      <c r="H27" s="18">
        <f t="shared" si="1"/>
        <v>487.37099999999009</v>
      </c>
      <c r="I27" s="17">
        <f t="shared" si="2"/>
        <v>0.25013536546622434</v>
      </c>
      <c r="J27" s="40"/>
      <c r="K27" s="41"/>
    </row>
    <row r="28" spans="1:11" ht="15.75">
      <c r="A28" s="26" t="str">
        <v>Bayonne</v>
      </c>
      <c r="B28" s="27" t="str">
        <v>NJ</v>
      </c>
      <c r="C28" s="22">
        <v>2844.6999999999798</v>
      </c>
      <c r="D28" s="11">
        <v>2823.0369999999998</v>
      </c>
      <c r="E28" s="11">
        <f t="shared" si="0"/>
        <v>21.662999999980002</v>
      </c>
      <c r="F28" s="12">
        <f t="shared" si="3"/>
        <v>7.6736507527106462E-3</v>
      </c>
      <c r="G28" s="13">
        <v>2509.3150000000001</v>
      </c>
      <c r="H28" s="13">
        <f t="shared" si="1"/>
        <v>335.38499999997975</v>
      </c>
      <c r="I28" s="14">
        <f t="shared" si="2"/>
        <v>0.13365599775236658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3484.328125</v>
      </c>
      <c r="D29" s="16">
        <v>3491.0859999999998</v>
      </c>
      <c r="E29" s="16">
        <f t="shared" si="0"/>
        <v>-6.7578749999997854</v>
      </c>
      <c r="F29" s="17">
        <f t="shared" si="3"/>
        <v>-1.9357515111342962E-3</v>
      </c>
      <c r="G29" s="18">
        <v>3276.9989999999998</v>
      </c>
      <c r="H29" s="18">
        <f t="shared" si="1"/>
        <v>207.3291250000002</v>
      </c>
      <c r="I29" s="17">
        <f t="shared" si="2"/>
        <v>6.3267985434234258E-2</v>
      </c>
      <c r="J29" s="40"/>
      <c r="K29" s="41"/>
    </row>
    <row r="30" spans="1:11" ht="15.75">
      <c r="A30" s="26" t="str">
        <v>North Elizabeth</v>
      </c>
      <c r="B30" s="27" t="str">
        <v>NJ</v>
      </c>
      <c r="C30" s="22">
        <v>2628.8999999999901</v>
      </c>
      <c r="D30" s="11">
        <v>2340.0160000000001</v>
      </c>
      <c r="E30" s="11">
        <f t="shared" si="0"/>
        <v>288.88399999999001</v>
      </c>
      <c r="F30" s="12">
        <f t="shared" si="3"/>
        <v>0.1234538567257617</v>
      </c>
      <c r="G30" s="13">
        <v>2680.3539999999998</v>
      </c>
      <c r="H30" s="13">
        <f t="shared" si="1"/>
        <v>-51.454000000009728</v>
      </c>
      <c r="I30" s="14">
        <f t="shared" si="2"/>
        <v>-1.9196718045455835E-2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2056.9000000000101</v>
      </c>
      <c r="D31" s="16">
        <v>1952.444</v>
      </c>
      <c r="E31" s="16">
        <f t="shared" si="0"/>
        <v>104.45600000001014</v>
      </c>
      <c r="F31" s="17">
        <f t="shared" si="3"/>
        <v>5.3500125995936447E-2</v>
      </c>
      <c r="G31" s="18">
        <v>1870.0319999999999</v>
      </c>
      <c r="H31" s="18">
        <f t="shared" si="1"/>
        <v>186.86800000001017</v>
      </c>
      <c r="I31" s="17">
        <f t="shared" si="2"/>
        <v>9.9927701771953731E-2</v>
      </c>
      <c r="J31" s="40"/>
      <c r="K31" s="41"/>
    </row>
    <row r="32" spans="1:11" ht="15.75">
      <c r="A32" s="26" t="str">
        <v>Parsippany</v>
      </c>
      <c r="B32" s="27" t="str">
        <v>NJ</v>
      </c>
      <c r="C32" s="22">
        <v>2715.8999999999901</v>
      </c>
      <c r="D32" s="11">
        <v>3143.2370000000001</v>
      </c>
      <c r="E32" s="11">
        <f t="shared" si="0"/>
        <v>-427.33700000000999</v>
      </c>
      <c r="F32" s="12">
        <f t="shared" si="3"/>
        <v>-0.13595443168937307</v>
      </c>
      <c r="G32" s="13">
        <v>2232.4110000000001</v>
      </c>
      <c r="H32" s="13">
        <f t="shared" si="1"/>
        <v>483.48899999999003</v>
      </c>
      <c r="I32" s="14">
        <f t="shared" si="2"/>
        <v>0.21657705503152869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2129.1999999999998</v>
      </c>
      <c r="D33" s="16">
        <v>1934.1690000000001</v>
      </c>
      <c r="E33" s="16">
        <f t="shared" si="0"/>
        <v>195.03099999999972</v>
      </c>
      <c r="F33" s="17">
        <f t="shared" si="3"/>
        <v>0.10083451859687531</v>
      </c>
      <c r="G33" s="18">
        <v>1818.579</v>
      </c>
      <c r="H33" s="18">
        <f t="shared" si="1"/>
        <v>310.62099999999987</v>
      </c>
      <c r="I33" s="17">
        <f t="shared" si="2"/>
        <v>0.17080423781424942</v>
      </c>
      <c r="J33" s="40"/>
      <c r="K33" s="41"/>
    </row>
    <row r="34" spans="1:11" ht="15.75">
      <c r="A34" s="26" t="str">
        <v>Closter</v>
      </c>
      <c r="B34" s="27" t="str">
        <v>NJ</v>
      </c>
      <c r="C34" s="22">
        <v>319.900000000001</v>
      </c>
      <c r="D34" s="11">
        <v>535.63189999999997</v>
      </c>
      <c r="E34" s="11">
        <f t="shared" si="0"/>
        <v>-215.73189999999897</v>
      </c>
      <c r="F34" s="12">
        <f t="shared" si="3"/>
        <v>-0.40276148601306044</v>
      </c>
      <c r="G34" s="13">
        <v>1050.1320000000001</v>
      </c>
      <c r="H34" s="13">
        <f t="shared" si="1"/>
        <v>-730.23199999999906</v>
      </c>
      <c r="I34" s="14">
        <f t="shared" si="2"/>
        <v>-0.69537162947134168</v>
      </c>
      <c r="J34" s="39" t="s">
        <v>173</v>
      </c>
      <c r="K34" s="39" t="s">
        <v>174</v>
      </c>
    </row>
    <row r="35" spans="1:11" ht="15.75">
      <c r="A35" s="28" t="str">
        <v>Holmdel</v>
      </c>
      <c r="B35" s="29" t="str">
        <v>NJ</v>
      </c>
      <c r="C35" s="10">
        <v>1878.20000000001</v>
      </c>
      <c r="D35" s="16">
        <v>1593.788</v>
      </c>
      <c r="E35" s="16">
        <f t="shared" si="0"/>
        <v>284.41200000001004</v>
      </c>
      <c r="F35" s="17">
        <f t="shared" si="3"/>
        <v>0.1784503334195075</v>
      </c>
      <c r="G35" s="18">
        <v>1540.1110000000001</v>
      </c>
      <c r="H35" s="18">
        <f t="shared" si="1"/>
        <v>338.08900000000995</v>
      </c>
      <c r="I35" s="17">
        <f t="shared" si="2"/>
        <v>0.21952248896346427</v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>
        <v>911.79999999999905</v>
      </c>
      <c r="D36" s="11">
        <v>920.36879999999996</v>
      </c>
      <c r="E36" s="11">
        <f t="shared" si="0"/>
        <v>-8.5688000000009197</v>
      </c>
      <c r="F36" s="12">
        <f t="shared" si="3"/>
        <v>-9.3101808753196756E-3</v>
      </c>
      <c r="G36" s="13">
        <v>857.2627</v>
      </c>
      <c r="H36" s="13">
        <f t="shared" si="1"/>
        <v>54.53729999999905</v>
      </c>
      <c r="I36" s="14">
        <f t="shared" si="2"/>
        <v>6.3617955149569735E-2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2875.9000000000101</v>
      </c>
      <c r="D37" s="16">
        <v>2676.3829999999998</v>
      </c>
      <c r="E37" s="16">
        <f t="shared" si="0"/>
        <v>199.51700000001028</v>
      </c>
      <c r="F37" s="17">
        <f t="shared" si="3"/>
        <v>7.4547252766143823E-2</v>
      </c>
      <c r="G37" s="18">
        <v>3242.0859999999998</v>
      </c>
      <c r="H37" s="18">
        <f t="shared" si="1"/>
        <v>-366.18599999998969</v>
      </c>
      <c r="I37" s="17">
        <f t="shared" si="2"/>
        <v>-0.1129476516045502</v>
      </c>
      <c r="J37" s="40"/>
      <c r="K37" s="41"/>
    </row>
    <row r="38" spans="1:11" ht="15.75">
      <c r="A38" s="26" t="str">
        <v>Marlton</v>
      </c>
      <c r="B38" s="27" t="str">
        <v>NJ</v>
      </c>
      <c r="C38" s="22">
        <v>3564.6999999999798</v>
      </c>
      <c r="D38" s="11">
        <v>2591.8220000000001</v>
      </c>
      <c r="E38" s="11">
        <f t="shared" si="0"/>
        <v>972.87799999997969</v>
      </c>
      <c r="F38" s="12">
        <f t="shared" si="3"/>
        <v>0.37536451191477643</v>
      </c>
      <c r="G38" s="13">
        <v>3019.942</v>
      </c>
      <c r="H38" s="13">
        <f t="shared" si="1"/>
        <v>544.7579999999798</v>
      </c>
      <c r="I38" s="14">
        <f t="shared" si="2"/>
        <v>0.1803869080929302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3115.8</v>
      </c>
      <c r="D39" s="16">
        <v>2260.2750000000001</v>
      </c>
      <c r="E39" s="16">
        <f t="shared" si="0"/>
        <v>855.52500000000009</v>
      </c>
      <c r="F39" s="17">
        <f t="shared" si="3"/>
        <v>0.37850482795235096</v>
      </c>
      <c r="G39" s="18">
        <v>2632.2130000000002</v>
      </c>
      <c r="H39" s="18">
        <f t="shared" si="1"/>
        <v>483.58699999999999</v>
      </c>
      <c r="I39" s="17">
        <f t="shared" si="2"/>
        <v>0.18371879479358241</v>
      </c>
      <c r="J39" s="40"/>
      <c r="K39" s="41"/>
    </row>
    <row r="40" spans="1:11" ht="15.75">
      <c r="A40" s="26" t="str">
        <v>Whiting Crestwood</v>
      </c>
      <c r="B40" s="27" t="str">
        <v>NJ</v>
      </c>
      <c r="C40" s="22">
        <v>4363.2</v>
      </c>
      <c r="D40" s="11">
        <v>4624.7920000000004</v>
      </c>
      <c r="E40" s="11">
        <f t="shared" si="0"/>
        <v>-261.59200000000055</v>
      </c>
      <c r="F40" s="12">
        <f t="shared" si="3"/>
        <v>-5.6562976237634156E-2</v>
      </c>
      <c r="G40" s="13">
        <v>3778.4639999999999</v>
      </c>
      <c r="H40" s="13">
        <f t="shared" si="1"/>
        <v>584.73599999999988</v>
      </c>
      <c r="I40" s="14">
        <f t="shared" si="2"/>
        <v>0.1547549480423791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4731.20312500003</v>
      </c>
      <c r="D41" s="16">
        <v>3816.9090000000001</v>
      </c>
      <c r="E41" s="16">
        <f t="shared" si="0"/>
        <v>914.29412500002991</v>
      </c>
      <c r="F41" s="17">
        <f t="shared" si="3"/>
        <v>0.23953783676792659</v>
      </c>
      <c r="G41" s="18">
        <v>3906.6469999999999</v>
      </c>
      <c r="H41" s="18">
        <f t="shared" si="1"/>
        <v>824.55612500003008</v>
      </c>
      <c r="I41" s="17">
        <f t="shared" si="2"/>
        <v>0.21106491705035804</v>
      </c>
      <c r="J41" s="40"/>
      <c r="K41" s="41"/>
    </row>
    <row r="42" spans="1:11" ht="15.75">
      <c r="A42" s="26" t="str">
        <v>Manchester</v>
      </c>
      <c r="B42" s="27" t="str">
        <v>NJ</v>
      </c>
      <c r="C42" s="22">
        <v>2425.3000000000002</v>
      </c>
      <c r="D42" s="11">
        <v>2729.6210000000001</v>
      </c>
      <c r="E42" s="11">
        <f t="shared" si="0"/>
        <v>-304.32099999999991</v>
      </c>
      <c r="F42" s="12">
        <f t="shared" si="3"/>
        <v>-0.11148837146255831</v>
      </c>
      <c r="G42" s="13">
        <v>3368.297</v>
      </c>
      <c r="H42" s="13">
        <f t="shared" si="1"/>
        <v>-942.99699999999984</v>
      </c>
      <c r="I42" s="14">
        <f t="shared" si="2"/>
        <v>-0.27996254487059774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3865.6000000000099</v>
      </c>
      <c r="D43" s="16">
        <v>3431.4740000000002</v>
      </c>
      <c r="E43" s="16">
        <f t="shared" si="0"/>
        <v>434.12600000000975</v>
      </c>
      <c r="F43" s="17">
        <f t="shared" si="3"/>
        <v>0.12651297955339594</v>
      </c>
      <c r="G43" s="18">
        <v>3102.8229999999999</v>
      </c>
      <c r="H43" s="18">
        <f t="shared" si="1"/>
        <v>762.77700000001005</v>
      </c>
      <c r="I43" s="17">
        <f t="shared" si="2"/>
        <v>0.24583322993287407</v>
      </c>
      <c r="J43" s="40"/>
      <c r="K43" s="41"/>
    </row>
    <row r="44" spans="1:11" ht="15.75">
      <c r="A44" s="26" t="str">
        <v>Edison</v>
      </c>
      <c r="B44" s="27" t="str">
        <v>NJ</v>
      </c>
      <c r="C44" s="22">
        <v>3228.2999999999902</v>
      </c>
      <c r="D44" s="11">
        <v>2499.3330000000001</v>
      </c>
      <c r="E44" s="11">
        <f t="shared" si="0"/>
        <v>728.96699999999009</v>
      </c>
      <c r="F44" s="12">
        <f t="shared" si="3"/>
        <v>0.29166461611957673</v>
      </c>
      <c r="G44" s="13">
        <v>2716.2060000000001</v>
      </c>
      <c r="H44" s="13">
        <f t="shared" si="1"/>
        <v>512.09399999999005</v>
      </c>
      <c r="I44" s="14">
        <f t="shared" si="2"/>
        <v>0.18853282851153044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2715.9000000000101</v>
      </c>
      <c r="D45" s="16">
        <v>2287.201</v>
      </c>
      <c r="E45" s="16">
        <f t="shared" si="0"/>
        <v>428.69900000001007</v>
      </c>
      <c r="F45" s="17">
        <f t="shared" si="3"/>
        <v>0.18743389846367245</v>
      </c>
      <c r="G45" s="18">
        <v>2449.0990000000002</v>
      </c>
      <c r="H45" s="18">
        <f t="shared" si="1"/>
        <v>266.80100000000994</v>
      </c>
      <c r="I45" s="17">
        <f t="shared" si="2"/>
        <v>0.10893843001038746</v>
      </c>
      <c r="J45" s="40"/>
      <c r="K45" s="41"/>
    </row>
    <row r="46" spans="1:11" ht="15.75">
      <c r="A46" s="26" t="str">
        <v>Route 22</v>
      </c>
      <c r="B46" s="27" t="str">
        <v>NJ</v>
      </c>
      <c r="C46" s="22">
        <v>2834.7</v>
      </c>
      <c r="D46" s="11">
        <v>3324.2779999999998</v>
      </c>
      <c r="E46" s="11">
        <f t="shared" si="0"/>
        <v>-489.57799999999997</v>
      </c>
      <c r="F46" s="12">
        <f t="shared" si="3"/>
        <v>-0.14727348314430982</v>
      </c>
      <c r="G46" s="13">
        <v>2313.89</v>
      </c>
      <c r="H46" s="13">
        <f t="shared" si="1"/>
        <v>520.80999999999995</v>
      </c>
      <c r="I46" s="14">
        <f t="shared" si="2"/>
        <v>0.22507984389923461</v>
      </c>
      <c r="J46" s="39"/>
      <c r="K46" s="39"/>
    </row>
    <row r="47" spans="1:11" ht="30.75">
      <c r="A47" s="28" t="str">
        <v>Laurelton</v>
      </c>
      <c r="B47" s="29" t="str">
        <v>NJ</v>
      </c>
      <c r="C47" s="10">
        <v>1580.3999999999901</v>
      </c>
      <c r="D47" s="16">
        <v>1955.6510000000001</v>
      </c>
      <c r="E47" s="16">
        <f t="shared" si="0"/>
        <v>-375.25100000000998</v>
      </c>
      <c r="F47" s="17">
        <f t="shared" si="3"/>
        <v>-0.1918803508396999</v>
      </c>
      <c r="G47" s="18">
        <v>2074.5039999999999</v>
      </c>
      <c r="H47" s="18">
        <f t="shared" si="1"/>
        <v>-494.10400000000982</v>
      </c>
      <c r="I47" s="17">
        <f t="shared" si="2"/>
        <v>-0.23817934311045427</v>
      </c>
      <c r="J47" s="40" t="s">
        <v>98</v>
      </c>
      <c r="K47" s="56" t="s">
        <v>175</v>
      </c>
    </row>
    <row r="48" spans="1:11" ht="15.75">
      <c r="A48" s="26" t="str">
        <v>Mahwah</v>
      </c>
      <c r="B48" s="27" t="str">
        <v>NJ</v>
      </c>
      <c r="C48" s="22">
        <v>2013.4000000000101</v>
      </c>
      <c r="D48" s="11">
        <v>1332.7929999999999</v>
      </c>
      <c r="E48" s="11">
        <f t="shared" si="0"/>
        <v>680.6070000000102</v>
      </c>
      <c r="F48" s="12">
        <f t="shared" si="3"/>
        <v>0.51066219585487793</v>
      </c>
      <c r="G48" s="13">
        <v>1915.701</v>
      </c>
      <c r="H48" s="13">
        <f t="shared" si="1"/>
        <v>97.699000000010074</v>
      </c>
      <c r="I48" s="14">
        <f t="shared" si="2"/>
        <v>5.0999085974277859E-2</v>
      </c>
      <c r="J48" s="39"/>
      <c r="K48" s="39"/>
    </row>
    <row r="49" spans="1:11" ht="16.5" customHeight="1">
      <c r="A49" s="28" t="str">
        <v>Franklin Township WF</v>
      </c>
      <c r="B49" s="29" t="str">
        <v>NJ</v>
      </c>
      <c r="C49" s="10">
        <v>1892.8</v>
      </c>
      <c r="D49" s="16">
        <v>1659.107</v>
      </c>
      <c r="E49" s="16">
        <f t="shared" si="0"/>
        <v>233.69299999999998</v>
      </c>
      <c r="F49" s="17">
        <f t="shared" si="3"/>
        <v>0.1408546886969918</v>
      </c>
      <c r="G49" s="18">
        <v>2197.6329999999998</v>
      </c>
      <c r="H49" s="18">
        <f t="shared" si="1"/>
        <v>-304.83299999999986</v>
      </c>
      <c r="I49" s="17">
        <f t="shared" si="2"/>
        <v>-0.1387096935657591</v>
      </c>
      <c r="J49" s="40" t="s">
        <v>176</v>
      </c>
      <c r="K49" s="40" t="s">
        <v>177</v>
      </c>
    </row>
    <row r="50" spans="1:11" ht="15.75">
      <c r="A50" s="26" t="str">
        <v>Bordentown</v>
      </c>
      <c r="B50" s="27" t="str">
        <v>NJ</v>
      </c>
      <c r="C50" s="22">
        <v>2269.1999999999998</v>
      </c>
      <c r="D50" s="11">
        <v>1707.3240000000001</v>
      </c>
      <c r="E50" s="11">
        <f t="shared" si="0"/>
        <v>561.87599999999975</v>
      </c>
      <c r="F50" s="12">
        <f t="shared" si="3"/>
        <v>0.32909746480457119</v>
      </c>
      <c r="G50" s="13">
        <v>1813.99</v>
      </c>
      <c r="H50" s="13">
        <f t="shared" si="1"/>
        <v>455.20999999999981</v>
      </c>
      <c r="I50" s="14">
        <f t="shared" si="2"/>
        <v>0.25094405151075794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1526.1</v>
      </c>
      <c r="D51" s="16">
        <v>1227.3620000000001</v>
      </c>
      <c r="E51" s="16">
        <f t="shared" si="0"/>
        <v>298.73799999999983</v>
      </c>
      <c r="F51" s="17">
        <f t="shared" si="3"/>
        <v>0.24339844316509701</v>
      </c>
      <c r="G51" s="18">
        <v>1246.43</v>
      </c>
      <c r="H51" s="18">
        <f t="shared" si="1"/>
        <v>279.66999999999985</v>
      </c>
      <c r="I51" s="17">
        <f t="shared" si="2"/>
        <v>0.22437682019848673</v>
      </c>
      <c r="J51" s="40"/>
      <c r="K51" s="41"/>
    </row>
    <row r="52" spans="1:11" ht="15.75">
      <c r="A52" s="26" t="str">
        <v>Somerset</v>
      </c>
      <c r="B52" s="27" t="str">
        <v>NJ</v>
      </c>
      <c r="C52" s="22">
        <v>2296.2000000000098</v>
      </c>
      <c r="D52" s="11">
        <v>3063.2539999999999</v>
      </c>
      <c r="E52" s="11">
        <f t="shared" si="0"/>
        <v>-767.05399999999008</v>
      </c>
      <c r="F52" s="12">
        <f t="shared" si="3"/>
        <v>-0.25040496152130709</v>
      </c>
      <c r="G52" s="13">
        <v>2006.1569999999999</v>
      </c>
      <c r="H52" s="13">
        <f t="shared" si="1"/>
        <v>290.0430000000099</v>
      </c>
      <c r="I52" s="14">
        <f t="shared" si="2"/>
        <v>0.14457642148645888</v>
      </c>
      <c r="J52" s="39"/>
      <c r="K52" s="39"/>
    </row>
    <row r="53" spans="1:11" ht="15.75">
      <c r="A53" s="28" t="str">
        <v>Clinton Main Relo</v>
      </c>
      <c r="B53" s="29" t="str">
        <v>NJ</v>
      </c>
      <c r="C53" s="10">
        <v>2540.6640630000002</v>
      </c>
      <c r="D53" s="16">
        <v>2675.4580000000001</v>
      </c>
      <c r="E53" s="16">
        <f t="shared" si="0"/>
        <v>-134.79393699999991</v>
      </c>
      <c r="F53" s="17">
        <f t="shared" si="3"/>
        <v>-5.0381630733878052E-2</v>
      </c>
      <c r="G53" s="18">
        <v>2215.433</v>
      </c>
      <c r="H53" s="18">
        <f t="shared" si="1"/>
        <v>325.23106300000018</v>
      </c>
      <c r="I53" s="17">
        <f t="shared" si="2"/>
        <v>0.14680248195273798</v>
      </c>
      <c r="J53" s="40"/>
      <c r="K53" s="41"/>
    </row>
    <row r="54" spans="1:11" ht="15.75">
      <c r="A54" s="26" t="str">
        <v>North Brunswick</v>
      </c>
      <c r="B54" s="27" t="str">
        <v>NJ</v>
      </c>
      <c r="C54" s="22">
        <v>1687.7</v>
      </c>
      <c r="D54" s="11">
        <v>2197.3389999999999</v>
      </c>
      <c r="E54" s="11">
        <f t="shared" si="0"/>
        <v>-509.6389999999999</v>
      </c>
      <c r="F54" s="12">
        <f t="shared" si="3"/>
        <v>-0.23193462638218312</v>
      </c>
      <c r="G54" s="13">
        <v>2472.4279999999999</v>
      </c>
      <c r="H54" s="13">
        <f t="shared" si="1"/>
        <v>-784.72799999999984</v>
      </c>
      <c r="I54" s="14">
        <f t="shared" si="2"/>
        <v>-0.31739164901869737</v>
      </c>
      <c r="J54" s="39"/>
      <c r="K54" s="39"/>
    </row>
    <row r="55" spans="1:11" ht="30.75">
      <c r="A55" s="28" t="str">
        <v>Cherry Hill</v>
      </c>
      <c r="B55" s="29" t="str">
        <v>NJ</v>
      </c>
      <c r="C55" s="10">
        <v>1762.8828125</v>
      </c>
      <c r="D55" s="16">
        <v>1911.442</v>
      </c>
      <c r="E55" s="16">
        <f t="shared" si="0"/>
        <v>-148.55918750000001</v>
      </c>
      <c r="F55" s="17">
        <f t="shared" si="3"/>
        <v>-7.7721001997444861E-2</v>
      </c>
      <c r="G55" s="18">
        <v>1595.4639999999999</v>
      </c>
      <c r="H55" s="18">
        <f t="shared" si="1"/>
        <v>167.41881250000006</v>
      </c>
      <c r="I55" s="17">
        <f t="shared" si="2"/>
        <v>0.10493424640104701</v>
      </c>
      <c r="J55" s="40" t="s">
        <v>178</v>
      </c>
      <c r="K55" s="56" t="s">
        <v>179</v>
      </c>
    </row>
    <row r="56" spans="1:11" ht="15.75">
      <c r="A56" s="26" t="str">
        <v>Hainesport</v>
      </c>
      <c r="B56" s="27" t="str">
        <v>NJ</v>
      </c>
      <c r="C56" s="22">
        <v>2096.3000000000002</v>
      </c>
      <c r="D56" s="11">
        <v>2076.6709999999998</v>
      </c>
      <c r="E56" s="11">
        <f t="shared" si="0"/>
        <v>19.62900000000036</v>
      </c>
      <c r="F56" s="12">
        <f t="shared" si="3"/>
        <v>9.452147210607921E-3</v>
      </c>
      <c r="G56" s="13">
        <v>1701.55</v>
      </c>
      <c r="H56" s="13">
        <f t="shared" si="1"/>
        <v>394.75000000000023</v>
      </c>
      <c r="I56" s="14">
        <f t="shared" si="2"/>
        <v>0.23199435808527533</v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>
        <v>44778</v>
      </c>
      <c r="D57" s="16">
        <v>49183.65</v>
      </c>
      <c r="E57" s="16">
        <f t="shared" si="0"/>
        <v>-4405.6500000000015</v>
      </c>
      <c r="F57" s="17">
        <f t="shared" si="3"/>
        <v>-8.9575499175030757E-2</v>
      </c>
      <c r="G57" s="18">
        <v>48995.34</v>
      </c>
      <c r="H57" s="18">
        <f t="shared" si="1"/>
        <v>-4217.3399999999965</v>
      </c>
      <c r="I57" s="17">
        <f t="shared" si="2"/>
        <v>-8.6076349301790672E-2</v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>
        <v>354578.5</v>
      </c>
      <c r="D58" s="11">
        <v>402379.48100000003</v>
      </c>
      <c r="E58" s="11">
        <f t="shared" si="0"/>
        <v>-47800.981000000029</v>
      </c>
      <c r="F58" s="12">
        <f t="shared" si="3"/>
        <v>-0.11879577179533174</v>
      </c>
      <c r="G58" s="13">
        <v>368569.85</v>
      </c>
      <c r="H58" s="13">
        <f t="shared" si="1"/>
        <v>-13991.349999999977</v>
      </c>
      <c r="I58" s="14">
        <f t="shared" si="2"/>
        <v>-3.7961189717498532E-2</v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>
        <v>45527.563000000002</v>
      </c>
      <c r="D59" s="16">
        <v>48827.54</v>
      </c>
      <c r="E59" s="16">
        <f t="shared" si="0"/>
        <v>-3299.976999999999</v>
      </c>
      <c r="F59" s="17">
        <f t="shared" si="3"/>
        <v>-6.7584338674444772E-2</v>
      </c>
      <c r="G59" s="18">
        <v>49001.29</v>
      </c>
      <c r="H59" s="18">
        <f t="shared" si="1"/>
        <v>-3473.726999999999</v>
      </c>
      <c r="I59" s="17">
        <f t="shared" si="2"/>
        <v>-7.0890521453618849E-2</v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>
        <v>47804.93</v>
      </c>
      <c r="D60" s="11">
        <v>46856.28</v>
      </c>
      <c r="E60" s="11">
        <f t="shared" si="0"/>
        <v>948.65000000000146</v>
      </c>
      <c r="F60" s="12">
        <f t="shared" si="3"/>
        <v>2.0245952090093399E-2</v>
      </c>
      <c r="G60" s="13">
        <v>50374.44</v>
      </c>
      <c r="H60" s="13">
        <f t="shared" si="1"/>
        <v>-2569.510000000002</v>
      </c>
      <c r="I60" s="14">
        <f t="shared" si="2"/>
        <v>-5.1008209719055973E-2</v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>
        <v>42735.673999999999</v>
      </c>
      <c r="D61" s="16">
        <v>44483.807999999997</v>
      </c>
      <c r="E61" s="16">
        <f t="shared" si="0"/>
        <v>-1748.1339999999982</v>
      </c>
      <c r="F61" s="17">
        <f t="shared" si="3"/>
        <v>-3.9298209361932283E-2</v>
      </c>
      <c r="G61" s="18">
        <v>46547.027000000002</v>
      </c>
      <c r="H61" s="18">
        <f t="shared" si="1"/>
        <v>-3811.3530000000028</v>
      </c>
      <c r="I61" s="17">
        <f t="shared" si="2"/>
        <v>-8.1881770880877155E-2</v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>
        <v>45090.3</v>
      </c>
      <c r="D62" s="11">
        <v>48395.116999999998</v>
      </c>
      <c r="E62" s="11">
        <f t="shared" si="0"/>
        <v>-3304.8169999999955</v>
      </c>
      <c r="F62" s="12">
        <f t="shared" si="3"/>
        <v>-6.8288232467750731E-2</v>
      </c>
      <c r="G62" s="13">
        <v>47885.514999999999</v>
      </c>
      <c r="H62" s="13">
        <f t="shared" si="1"/>
        <v>-2795.2149999999965</v>
      </c>
      <c r="I62" s="14">
        <f t="shared" si="2"/>
        <v>-5.8372871211680534E-2</v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>
        <v>43583.360999999997</v>
      </c>
      <c r="D63" s="16">
        <v>47290.87</v>
      </c>
      <c r="E63" s="16">
        <f t="shared" si="0"/>
        <v>-3707.5090000000055</v>
      </c>
      <c r="F63" s="17">
        <f t="shared" si="3"/>
        <v>-7.8397986757274829E-2</v>
      </c>
      <c r="G63" s="18">
        <v>46551.9</v>
      </c>
      <c r="H63" s="18">
        <f t="shared" si="1"/>
        <v>-2968.5390000000043</v>
      </c>
      <c r="I63" s="17">
        <f t="shared" si="2"/>
        <v>-6.3768374652806964E-2</v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>
        <v>9548.7000000000007</v>
      </c>
      <c r="D64" s="11">
        <v>14818.6</v>
      </c>
      <c r="E64" s="11">
        <f t="shared" si="0"/>
        <v>-5269.9</v>
      </c>
      <c r="F64" s="12">
        <f t="shared" si="3"/>
        <v>-0.3556273872025697</v>
      </c>
      <c r="G64" s="13">
        <v>14249.4</v>
      </c>
      <c r="H64" s="13">
        <f t="shared" si="1"/>
        <v>-4700.6999999999989</v>
      </c>
      <c r="I64" s="14">
        <f t="shared" si="2"/>
        <v>-0.32988757421365106</v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>
        <v>48809.125</v>
      </c>
      <c r="D65" s="16">
        <v>44825.09</v>
      </c>
      <c r="E65" s="16">
        <f t="shared" si="0"/>
        <v>3984.0350000000035</v>
      </c>
      <c r="F65" s="17">
        <f t="shared" si="3"/>
        <v>8.8879576148090361E-2</v>
      </c>
      <c r="G65" s="18">
        <v>52102.040999999997</v>
      </c>
      <c r="H65" s="18">
        <f t="shared" si="1"/>
        <v>-3292.9159999999974</v>
      </c>
      <c r="I65" s="17">
        <f t="shared" si="2"/>
        <v>-6.3201286107006774E-2</v>
      </c>
      <c r="J65" s="40"/>
      <c r="K65" s="41"/>
    </row>
    <row r="66" spans="1:11" ht="15.75">
      <c r="A66" s="26" t="str">
        <v>Lodi - Lodi Vineyard</v>
      </c>
      <c r="B66" s="27" t="str">
        <v>CA</v>
      </c>
      <c r="C66" s="22">
        <v>24356.21875</v>
      </c>
      <c r="D66" s="11">
        <v>30860.61</v>
      </c>
      <c r="E66" s="11">
        <f t="shared" si="0"/>
        <v>-6504.3912500000006</v>
      </c>
      <c r="F66" s="12">
        <f t="shared" si="3"/>
        <v>-0.21076677518688064</v>
      </c>
      <c r="G66" s="13">
        <v>30761</v>
      </c>
      <c r="H66" s="13">
        <f t="shared" si="1"/>
        <v>-6404.78125</v>
      </c>
      <c r="I66" s="14">
        <f t="shared" si="2"/>
        <v>-0.20821108709079678</v>
      </c>
      <c r="J66" s="39"/>
      <c r="K66" s="39"/>
    </row>
    <row r="67" spans="1:11" ht="15.75">
      <c r="A67" s="28" t="str">
        <v>Arden Fair Mall</v>
      </c>
      <c r="B67" s="29" t="str">
        <v>CA</v>
      </c>
      <c r="C67" s="10">
        <v>12260.71875</v>
      </c>
      <c r="D67" s="16">
        <v>16384.46</v>
      </c>
      <c r="E67" s="16">
        <f t="shared" si="0"/>
        <v>-4123.7412499999991</v>
      </c>
      <c r="F67" s="17">
        <f t="shared" si="3"/>
        <v>-0.25168612514541211</v>
      </c>
      <c r="G67" s="18">
        <v>18570</v>
      </c>
      <c r="H67" s="18">
        <f t="shared" si="1"/>
        <v>-6309.28125</v>
      </c>
      <c r="I67" s="17">
        <f t="shared" si="2"/>
        <v>-0.33975666397415188</v>
      </c>
      <c r="J67" s="40"/>
      <c r="K67" s="41"/>
    </row>
    <row r="68" spans="1:11" ht="15.75">
      <c r="A68" s="26" t="str">
        <v>Modesto - Modesto Main</v>
      </c>
      <c r="B68" s="27" t="str">
        <v>CA</v>
      </c>
      <c r="C68" s="22">
        <v>8507.75</v>
      </c>
      <c r="D68" s="11">
        <v>10998.11</v>
      </c>
      <c r="E68" s="11">
        <f t="shared" si="0"/>
        <v>-2490.3600000000006</v>
      </c>
      <c r="F68" s="12">
        <f t="shared" si="3"/>
        <v>-0.22643526933263991</v>
      </c>
      <c r="G68" s="13">
        <v>18012.64</v>
      </c>
      <c r="H68" s="13">
        <f t="shared" si="1"/>
        <v>-9504.89</v>
      </c>
      <c r="I68" s="14">
        <f t="shared" si="2"/>
        <v>-0.52767889659705625</v>
      </c>
      <c r="J68" s="39" t="s">
        <v>180</v>
      </c>
      <c r="K68" s="39" t="s">
        <v>181</v>
      </c>
    </row>
    <row r="69" spans="1:11" ht="15.75">
      <c r="A69" s="28" t="str">
        <v>Stevens Creek</v>
      </c>
      <c r="B69" s="29" t="str">
        <v>CA</v>
      </c>
      <c r="C69" s="10">
        <v>3800.2137482909502</v>
      </c>
      <c r="D69" s="16">
        <v>3760.6529999999998</v>
      </c>
      <c r="E69" s="16">
        <f t="shared" ref="E69" si="4">IF(AND(ISNUMBER(C69),ISNUMBER(D69)), C69-D69, "")</f>
        <v>39.560748290950414</v>
      </c>
      <c r="F69" s="17">
        <f t="shared" si="3"/>
        <v>1.0519648659674375E-2</v>
      </c>
      <c r="G69" s="18">
        <v>4062</v>
      </c>
      <c r="H69" s="18">
        <f t="shared" ref="H69" si="5">IF(AND(ISNUMBER(C69),ISNUMBER(G69)), C69-G69, "")</f>
        <v>-261.78625170904979</v>
      </c>
      <c r="I69" s="17">
        <f t="shared" ref="I69" si="6">IFERROR(H69/G69, "")</f>
        <v>-6.4447624743734569E-2</v>
      </c>
      <c r="J69" s="40"/>
      <c r="K69" s="41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 t="s">
        <v>182</v>
      </c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3.9"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1" stopIfTrue="1" operator="lessThanOrEqual">
      <formula>-0.1</formula>
    </cfRule>
    <cfRule type="expression" dxfId="5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xSplit="2" ySplit="3" topLeftCell="C63" activePane="bottomRight" state="frozen"/>
      <selection pane="bottomRight" activeCell="A70" sqref="A70:XFD7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2" t="str" cm="1">
        <f t="array" ref="A1">portfolio</f>
        <v>Wells Fargo</v>
      </c>
      <c r="B1" s="72"/>
      <c r="C1" s="72"/>
      <c r="D1" s="73" t="s">
        <v>183</v>
      </c>
      <c r="E1" s="73"/>
      <c r="F1" s="73"/>
      <c r="G1" s="71" t="s">
        <v>184</v>
      </c>
      <c r="H1" s="71"/>
      <c r="I1" s="71"/>
      <c r="J1" s="3"/>
      <c r="K1" s="3"/>
    </row>
    <row r="2" spans="1:11" ht="19.5" customHeight="1">
      <c r="A2" s="82" t="s">
        <v>2</v>
      </c>
      <c r="B2" s="82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 t="str">
        <v>Lodi - Lodi Vineyard</v>
      </c>
      <c r="B66" s="27" t="str">
        <v>CA</v>
      </c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 t="str">
        <v>Arden Fair Mall</v>
      </c>
      <c r="B67" s="29" t="str">
        <v>CA</v>
      </c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 t="str">
        <v>Modesto - Modesto Main</v>
      </c>
      <c r="B68" s="27" t="str">
        <v>CA</v>
      </c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 t="str">
        <v>Stevens Creek</v>
      </c>
      <c r="B69" s="29" t="str">
        <v>CA</v>
      </c>
      <c r="C69" s="10"/>
      <c r="D69" s="16"/>
      <c r="E69" s="16" t="str">
        <f t="shared" ref="E69" si="4">IF(AND(ISNUMBER(C69),ISNUMBER(D69)), C69-D69, "")</f>
        <v/>
      </c>
      <c r="F69" s="17" t="str">
        <f t="shared" si="3"/>
        <v/>
      </c>
      <c r="G69" s="18"/>
      <c r="H69" s="18" t="str">
        <f t="shared" ref="H69" si="5">IF(AND(ISNUMBER(C69),ISNUMBER(G69)), C69-G69, "")</f>
        <v/>
      </c>
      <c r="I69" s="17" t="str">
        <f t="shared" ref="I69" si="6">IFERROR(H69/G69, "")</f>
        <v/>
      </c>
      <c r="J69" s="40"/>
      <c r="K69" s="41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3.9"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xSplit="2" ySplit="3" topLeftCell="C68" activePane="bottomRight" state="frozen"/>
      <selection pane="bottomRight" activeCell="A70" sqref="A70:XFD7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2" t="str" cm="1">
        <f t="array" ref="A1">portfolio</f>
        <v>Wells Fargo</v>
      </c>
      <c r="B1" s="72"/>
      <c r="C1" s="72"/>
      <c r="D1" s="73" t="s">
        <v>185</v>
      </c>
      <c r="E1" s="73"/>
      <c r="F1" s="73"/>
      <c r="G1" s="71" t="s">
        <v>186</v>
      </c>
      <c r="H1" s="71"/>
      <c r="I1" s="71"/>
      <c r="J1" s="3"/>
      <c r="K1" s="3"/>
    </row>
    <row r="2" spans="1:11" ht="19.5" customHeight="1">
      <c r="A2" s="82" t="s">
        <v>2</v>
      </c>
      <c r="B2" s="82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 t="str">
        <v>Lodi - Lodi Vineyard</v>
      </c>
      <c r="B66" s="27" t="str">
        <v>CA</v>
      </c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 t="str">
        <v>Arden Fair Mall</v>
      </c>
      <c r="B67" s="29" t="str">
        <v>CA</v>
      </c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 t="str">
        <v>Modesto - Modesto Main</v>
      </c>
      <c r="B68" s="27" t="str">
        <v>CA</v>
      </c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 t="str">
        <v>Stevens Creek</v>
      </c>
      <c r="B69" s="29" t="str">
        <v>CA</v>
      </c>
      <c r="C69" s="10"/>
      <c r="D69" s="16"/>
      <c r="E69" s="16" t="str">
        <f t="shared" ref="E69" si="4">IF(AND(ISNUMBER(C69),ISNUMBER(D69)), C69-D69, "")</f>
        <v/>
      </c>
      <c r="F69" s="17" t="str">
        <f t="shared" si="3"/>
        <v/>
      </c>
      <c r="G69" s="18"/>
      <c r="H69" s="18" t="str">
        <f t="shared" ref="H69" si="5">IF(AND(ISNUMBER(C69),ISNUMBER(G69)), C69-G69, "")</f>
        <v/>
      </c>
      <c r="I69" s="17" t="str">
        <f t="shared" ref="I69" si="6">IFERROR(H69/G69, "")</f>
        <v/>
      </c>
      <c r="J69" s="40"/>
      <c r="K69" s="41"/>
    </row>
    <row r="70" spans="1:11" ht="14.2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2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2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2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2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2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2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2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2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2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2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2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2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2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2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2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2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2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2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2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2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2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2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2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2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2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2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2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2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2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2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2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2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2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2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2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2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2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2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2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2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2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2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2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2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2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2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2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2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2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2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2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2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2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2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2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2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2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2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2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2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2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2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2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2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2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2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2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2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2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2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2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2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2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2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2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2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2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2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2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2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2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2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2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2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2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2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2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2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2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2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2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2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2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2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2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2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2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2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2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2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2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2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2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2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2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2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2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2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2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2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2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2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2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2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2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2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2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2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2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2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2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2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2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2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2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2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2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2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2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2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2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2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2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2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2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2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2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2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2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2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2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2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2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2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2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2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2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2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2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2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2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2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2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2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2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2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2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2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2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2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2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2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2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2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2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2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2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2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2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2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2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2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2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2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2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2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2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2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2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2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2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2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2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2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2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2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2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2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2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2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2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2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2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2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2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2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2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2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2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2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2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2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2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2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2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2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2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2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2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2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2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2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2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2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2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2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2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2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2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2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2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2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2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2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2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2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2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2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2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2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2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2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2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2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2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2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2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2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2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2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2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2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2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2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2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2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2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2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2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2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2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2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2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2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2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2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2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2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2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2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2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3.9"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G1:I1"/>
    <mergeCell ref="A1:C1"/>
    <mergeCell ref="D1:F1"/>
    <mergeCell ref="A2:B2"/>
  </mergeCells>
  <conditionalFormatting sqref="F2 I2 F4:F90 I4:I90">
    <cfRule type="cellIs" dxfId="2" priority="11" stopIfTrue="1" operator="lessThanOrEqual">
      <formula>-0.1</formula>
    </cfRule>
    <cfRule type="expression" dxfId="1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69"/>
  <sheetViews>
    <sheetView zoomScale="110" zoomScaleNormal="110" workbookViewId="0">
      <pane ySplit="3" topLeftCell="A49" activePane="bottomLeft" state="frozen"/>
      <selection pane="bottomLeft" activeCell="A72" sqref="A7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5" ht="12.75" customHeight="1">
      <c r="A1" t="s">
        <v>187</v>
      </c>
      <c r="B1" t="s">
        <v>188</v>
      </c>
    </row>
    <row r="3" spans="1:5">
      <c r="A3" t="s">
        <v>189</v>
      </c>
      <c r="B3" t="s">
        <v>3</v>
      </c>
      <c r="C3" t="s">
        <v>11</v>
      </c>
      <c r="D3" t="s">
        <v>190</v>
      </c>
      <c r="E3" s="2" t="s">
        <v>191</v>
      </c>
    </row>
    <row r="4" spans="1:5">
      <c r="A4" s="45" t="s">
        <v>192</v>
      </c>
      <c r="B4" s="47" t="s">
        <v>193</v>
      </c>
      <c r="C4" s="47" t="s">
        <v>194</v>
      </c>
      <c r="D4" t="s">
        <v>195</v>
      </c>
      <c r="E4" s="43" t="s">
        <v>196</v>
      </c>
    </row>
    <row r="5" spans="1:5">
      <c r="A5" s="46" t="s">
        <v>197</v>
      </c>
      <c r="B5" s="46" t="s">
        <v>198</v>
      </c>
      <c r="C5" s="46" t="s">
        <v>194</v>
      </c>
      <c r="E5" s="43" t="s">
        <v>196</v>
      </c>
    </row>
    <row r="6" spans="1:5">
      <c r="A6" s="47" t="s">
        <v>199</v>
      </c>
      <c r="B6" s="47" t="s">
        <v>200</v>
      </c>
      <c r="C6" s="47" t="s">
        <v>194</v>
      </c>
      <c r="D6" t="s">
        <v>201</v>
      </c>
      <c r="E6" s="43" t="s">
        <v>196</v>
      </c>
    </row>
    <row r="7" spans="1:5" ht="12.75" customHeight="1">
      <c r="A7" s="46" t="s">
        <v>202</v>
      </c>
      <c r="B7" s="46" t="s">
        <v>203</v>
      </c>
      <c r="C7" s="46" t="s">
        <v>194</v>
      </c>
      <c r="D7" t="s">
        <v>195</v>
      </c>
      <c r="E7" s="43" t="s">
        <v>196</v>
      </c>
    </row>
    <row r="8" spans="1:5" ht="12.75" customHeight="1">
      <c r="A8" s="47" t="s">
        <v>204</v>
      </c>
      <c r="B8" s="47" t="s">
        <v>205</v>
      </c>
      <c r="C8" s="47" t="s">
        <v>206</v>
      </c>
      <c r="D8" t="s">
        <v>195</v>
      </c>
      <c r="E8" s="43" t="s">
        <v>196</v>
      </c>
    </row>
    <row r="9" spans="1:5" ht="12.75" customHeight="1">
      <c r="A9" s="46" t="s">
        <v>207</v>
      </c>
      <c r="B9" s="46" t="s">
        <v>208</v>
      </c>
      <c r="C9" s="46" t="s">
        <v>206</v>
      </c>
      <c r="D9" t="s">
        <v>195</v>
      </c>
      <c r="E9" s="43" t="s">
        <v>196</v>
      </c>
    </row>
    <row r="10" spans="1:5" ht="12.75" customHeight="1">
      <c r="A10" s="47" t="s">
        <v>209</v>
      </c>
      <c r="B10" s="47" t="s">
        <v>210</v>
      </c>
      <c r="C10" s="47" t="s">
        <v>206</v>
      </c>
      <c r="D10" t="s">
        <v>195</v>
      </c>
      <c r="E10" s="43" t="s">
        <v>196</v>
      </c>
    </row>
    <row r="11" spans="1:5" ht="12.75" customHeight="1">
      <c r="A11" s="46" t="s">
        <v>211</v>
      </c>
      <c r="B11" s="46" t="s">
        <v>212</v>
      </c>
      <c r="C11" s="46" t="s">
        <v>206</v>
      </c>
      <c r="D11" t="s">
        <v>201</v>
      </c>
      <c r="E11" s="43" t="s">
        <v>196</v>
      </c>
    </row>
    <row r="12" spans="1:5" ht="12.75" customHeight="1">
      <c r="A12" s="47" t="s">
        <v>213</v>
      </c>
      <c r="B12" s="47" t="s">
        <v>214</v>
      </c>
      <c r="C12" s="47" t="s">
        <v>206</v>
      </c>
      <c r="D12" t="s">
        <v>195</v>
      </c>
      <c r="E12" s="43" t="s">
        <v>196</v>
      </c>
    </row>
    <row r="13" spans="1:5" ht="12.75" customHeight="1">
      <c r="A13" s="46" t="s">
        <v>215</v>
      </c>
      <c r="B13" s="46" t="s">
        <v>216</v>
      </c>
      <c r="C13" s="46" t="s">
        <v>206</v>
      </c>
      <c r="D13" t="s">
        <v>195</v>
      </c>
      <c r="E13" s="43" t="s">
        <v>196</v>
      </c>
    </row>
    <row r="14" spans="1:5" ht="12.75" customHeight="1">
      <c r="A14" s="47" t="s">
        <v>217</v>
      </c>
      <c r="B14" s="47" t="s">
        <v>218</v>
      </c>
      <c r="C14" s="47" t="s">
        <v>206</v>
      </c>
      <c r="D14" t="s">
        <v>195</v>
      </c>
      <c r="E14" s="43" t="s">
        <v>196</v>
      </c>
    </row>
    <row r="15" spans="1:5" ht="12.75" customHeight="1">
      <c r="A15" s="46" t="s">
        <v>219</v>
      </c>
      <c r="B15" s="46" t="s">
        <v>220</v>
      </c>
      <c r="C15" s="46" t="s">
        <v>206</v>
      </c>
      <c r="E15" s="43" t="s">
        <v>196</v>
      </c>
    </row>
    <row r="16" spans="1:5" ht="12.75" customHeight="1">
      <c r="A16" s="47" t="s">
        <v>221</v>
      </c>
      <c r="B16" s="47" t="s">
        <v>222</v>
      </c>
      <c r="C16" s="47" t="s">
        <v>206</v>
      </c>
      <c r="D16" t="s">
        <v>195</v>
      </c>
      <c r="E16" s="43" t="s">
        <v>196</v>
      </c>
    </row>
    <row r="17" spans="1:5" ht="12.75" customHeight="1">
      <c r="A17" s="46" t="s">
        <v>223</v>
      </c>
      <c r="B17" s="46" t="s">
        <v>224</v>
      </c>
      <c r="C17" s="46" t="s">
        <v>206</v>
      </c>
      <c r="D17" t="s">
        <v>195</v>
      </c>
      <c r="E17" s="43" t="s">
        <v>196</v>
      </c>
    </row>
    <row r="18" spans="1:5" ht="12.75" customHeight="1">
      <c r="A18" s="47" t="s">
        <v>225</v>
      </c>
      <c r="B18" s="47" t="s">
        <v>226</v>
      </c>
      <c r="C18" s="47" t="s">
        <v>227</v>
      </c>
      <c r="D18" t="s">
        <v>201</v>
      </c>
      <c r="E18" s="43" t="s">
        <v>196</v>
      </c>
    </row>
    <row r="19" spans="1:5" ht="12.75" customHeight="1">
      <c r="A19" s="46" t="s">
        <v>228</v>
      </c>
      <c r="B19" s="46" t="s">
        <v>229</v>
      </c>
      <c r="C19" s="46" t="s">
        <v>227</v>
      </c>
      <c r="D19" t="s">
        <v>201</v>
      </c>
      <c r="E19" s="43" t="s">
        <v>196</v>
      </c>
    </row>
    <row r="20" spans="1:5" ht="12.75" customHeight="1">
      <c r="A20" s="47" t="s">
        <v>230</v>
      </c>
      <c r="B20" s="47" t="s">
        <v>231</v>
      </c>
      <c r="C20" s="47" t="s">
        <v>232</v>
      </c>
      <c r="D20" t="s">
        <v>201</v>
      </c>
      <c r="E20" s="43" t="s">
        <v>196</v>
      </c>
    </row>
    <row r="21" spans="1:5" ht="12.75" customHeight="1">
      <c r="A21" s="46" t="s">
        <v>233</v>
      </c>
      <c r="B21" s="46" t="s">
        <v>234</v>
      </c>
      <c r="C21" s="46" t="s">
        <v>235</v>
      </c>
      <c r="E21" s="43" t="s">
        <v>196</v>
      </c>
    </row>
    <row r="22" spans="1:5" ht="12.75" customHeight="1">
      <c r="A22" s="47" t="s">
        <v>236</v>
      </c>
      <c r="B22" s="47" t="s">
        <v>237</v>
      </c>
      <c r="C22" s="47" t="s">
        <v>235</v>
      </c>
      <c r="D22" t="s">
        <v>201</v>
      </c>
      <c r="E22" s="43" t="s">
        <v>196</v>
      </c>
    </row>
    <row r="23" spans="1:5" ht="12.75" customHeight="1">
      <c r="A23" s="46" t="s">
        <v>238</v>
      </c>
      <c r="B23" s="46" t="s">
        <v>239</v>
      </c>
      <c r="C23" s="46" t="s">
        <v>235</v>
      </c>
      <c r="D23" t="s">
        <v>201</v>
      </c>
      <c r="E23" s="43" t="s">
        <v>196</v>
      </c>
    </row>
    <row r="24" spans="1:5" ht="12.75" customHeight="1">
      <c r="A24" s="49" t="s">
        <v>240</v>
      </c>
      <c r="B24" s="47" t="s">
        <v>241</v>
      </c>
      <c r="C24" s="47" t="s">
        <v>242</v>
      </c>
      <c r="E24" s="43" t="s">
        <v>196</v>
      </c>
    </row>
    <row r="25" spans="1:5" ht="12.75" customHeight="1">
      <c r="A25" s="48" t="s">
        <v>243</v>
      </c>
      <c r="B25" s="46" t="s">
        <v>244</v>
      </c>
      <c r="C25" s="46" t="s">
        <v>242</v>
      </c>
      <c r="E25" s="43" t="s">
        <v>196</v>
      </c>
    </row>
    <row r="26" spans="1:5" ht="12.75" customHeight="1">
      <c r="A26" s="49" t="s">
        <v>245</v>
      </c>
      <c r="B26" s="47" t="s">
        <v>246</v>
      </c>
      <c r="C26" s="47" t="s">
        <v>247</v>
      </c>
      <c r="D26" t="s">
        <v>201</v>
      </c>
      <c r="E26" s="43" t="s">
        <v>196</v>
      </c>
    </row>
    <row r="27" spans="1:5" ht="12.75" customHeight="1">
      <c r="A27" s="48" t="s">
        <v>248</v>
      </c>
      <c r="B27" s="46" t="s">
        <v>249</v>
      </c>
      <c r="C27" s="46" t="s">
        <v>247</v>
      </c>
      <c r="D27" t="s">
        <v>201</v>
      </c>
      <c r="E27" s="43" t="s">
        <v>196</v>
      </c>
    </row>
    <row r="28" spans="1:5" ht="12.75" customHeight="1">
      <c r="A28" s="49" t="s">
        <v>250</v>
      </c>
      <c r="B28" s="47" t="s">
        <v>251</v>
      </c>
      <c r="C28" s="47" t="s">
        <v>247</v>
      </c>
      <c r="D28" t="s">
        <v>201</v>
      </c>
      <c r="E28" s="43" t="s">
        <v>196</v>
      </c>
    </row>
    <row r="29" spans="1:5" ht="12.75" customHeight="1">
      <c r="A29" s="48" t="s">
        <v>252</v>
      </c>
      <c r="B29" s="46" t="s">
        <v>253</v>
      </c>
      <c r="C29" s="46" t="s">
        <v>247</v>
      </c>
      <c r="D29" t="s">
        <v>201</v>
      </c>
      <c r="E29" s="43" t="s">
        <v>196</v>
      </c>
    </row>
    <row r="30" spans="1:5" ht="12.75" customHeight="1">
      <c r="A30" s="49" t="s">
        <v>254</v>
      </c>
      <c r="B30" s="47" t="s">
        <v>255</v>
      </c>
      <c r="C30" s="47" t="s">
        <v>247</v>
      </c>
      <c r="D30" t="s">
        <v>201</v>
      </c>
      <c r="E30" s="43" t="s">
        <v>196</v>
      </c>
    </row>
    <row r="31" spans="1:5" ht="12.75" customHeight="1">
      <c r="A31" s="48" t="s">
        <v>256</v>
      </c>
      <c r="B31" s="46" t="s">
        <v>257</v>
      </c>
      <c r="C31" s="46" t="s">
        <v>247</v>
      </c>
      <c r="D31" t="s">
        <v>201</v>
      </c>
      <c r="E31" s="43" t="s">
        <v>196</v>
      </c>
    </row>
    <row r="32" spans="1:5" ht="12.75" customHeight="1">
      <c r="A32" s="49" t="s">
        <v>258</v>
      </c>
      <c r="B32" s="47" t="s">
        <v>259</v>
      </c>
      <c r="C32" s="47" t="s">
        <v>247</v>
      </c>
      <c r="D32" t="s">
        <v>201</v>
      </c>
      <c r="E32" s="43" t="s">
        <v>196</v>
      </c>
    </row>
    <row r="33" spans="1:5" ht="12.75" customHeight="1">
      <c r="A33" s="48" t="s">
        <v>260</v>
      </c>
      <c r="B33" s="46" t="s">
        <v>261</v>
      </c>
      <c r="C33" s="46" t="s">
        <v>247</v>
      </c>
      <c r="D33" t="s">
        <v>201</v>
      </c>
      <c r="E33" s="43" t="s">
        <v>196</v>
      </c>
    </row>
    <row r="34" spans="1:5" ht="12.75" customHeight="1">
      <c r="A34" s="49" t="s">
        <v>262</v>
      </c>
      <c r="B34" s="47" t="s">
        <v>263</v>
      </c>
      <c r="C34" s="47" t="s">
        <v>247</v>
      </c>
      <c r="D34" t="s">
        <v>201</v>
      </c>
      <c r="E34" s="43" t="s">
        <v>196</v>
      </c>
    </row>
    <row r="35" spans="1:5" ht="12.75" customHeight="1">
      <c r="A35" s="48" t="s">
        <v>264</v>
      </c>
      <c r="B35" s="46" t="s">
        <v>265</v>
      </c>
      <c r="C35" s="46" t="s">
        <v>247</v>
      </c>
      <c r="D35" t="s">
        <v>201</v>
      </c>
      <c r="E35" s="43" t="s">
        <v>196</v>
      </c>
    </row>
    <row r="36" spans="1:5" ht="12.75" customHeight="1">
      <c r="A36" s="49" t="s">
        <v>266</v>
      </c>
      <c r="B36" s="47" t="s">
        <v>267</v>
      </c>
      <c r="C36" s="47" t="s">
        <v>247</v>
      </c>
      <c r="D36" t="s">
        <v>201</v>
      </c>
      <c r="E36" s="43" t="s">
        <v>196</v>
      </c>
    </row>
    <row r="37" spans="1:5" ht="12.75" customHeight="1">
      <c r="A37" s="48" t="s">
        <v>268</v>
      </c>
      <c r="B37" s="46" t="s">
        <v>269</v>
      </c>
      <c r="C37" s="46" t="s">
        <v>247</v>
      </c>
      <c r="D37" t="s">
        <v>201</v>
      </c>
      <c r="E37" s="43" t="s">
        <v>196</v>
      </c>
    </row>
    <row r="38" spans="1:5" ht="12.75" customHeight="1">
      <c r="A38" s="49" t="s">
        <v>270</v>
      </c>
      <c r="B38" s="47" t="s">
        <v>271</v>
      </c>
      <c r="C38" s="47" t="s">
        <v>247</v>
      </c>
      <c r="D38" t="s">
        <v>201</v>
      </c>
      <c r="E38" s="43" t="s">
        <v>196</v>
      </c>
    </row>
    <row r="39" spans="1:5" ht="12.75" customHeight="1">
      <c r="A39" s="50" t="s">
        <v>272</v>
      </c>
      <c r="B39" s="46" t="s">
        <v>273</v>
      </c>
      <c r="C39" s="46" t="s">
        <v>247</v>
      </c>
      <c r="D39" t="s">
        <v>201</v>
      </c>
      <c r="E39" s="43" t="s">
        <v>196</v>
      </c>
    </row>
    <row r="40" spans="1:5" ht="12.75" customHeight="1">
      <c r="A40" s="49" t="s">
        <v>274</v>
      </c>
      <c r="B40" s="47" t="s">
        <v>275</v>
      </c>
      <c r="C40" s="47" t="s">
        <v>247</v>
      </c>
      <c r="D40" t="s">
        <v>201</v>
      </c>
      <c r="E40" s="43" t="s">
        <v>196</v>
      </c>
    </row>
    <row r="41" spans="1:5" ht="12.75" customHeight="1">
      <c r="A41" s="48" t="s">
        <v>276</v>
      </c>
      <c r="B41" s="46" t="s">
        <v>277</v>
      </c>
      <c r="C41" s="46" t="s">
        <v>247</v>
      </c>
      <c r="D41" t="s">
        <v>201</v>
      </c>
      <c r="E41" s="43" t="s">
        <v>196</v>
      </c>
    </row>
    <row r="42" spans="1:5" ht="12.75" customHeight="1">
      <c r="A42" s="49" t="s">
        <v>278</v>
      </c>
      <c r="B42" s="47" t="s">
        <v>279</v>
      </c>
      <c r="C42" s="47" t="s">
        <v>247</v>
      </c>
      <c r="D42" t="s">
        <v>201</v>
      </c>
      <c r="E42" s="43" t="s">
        <v>196</v>
      </c>
    </row>
    <row r="43" spans="1:5" ht="12.75" customHeight="1">
      <c r="A43" s="48" t="s">
        <v>280</v>
      </c>
      <c r="B43" s="46" t="s">
        <v>281</v>
      </c>
      <c r="C43" s="46" t="s">
        <v>247</v>
      </c>
      <c r="D43" t="s">
        <v>201</v>
      </c>
      <c r="E43" s="43" t="s">
        <v>196</v>
      </c>
    </row>
    <row r="44" spans="1:5" ht="12.75" customHeight="1">
      <c r="A44" s="49" t="s">
        <v>282</v>
      </c>
      <c r="B44" s="47" t="s">
        <v>283</v>
      </c>
      <c r="C44" s="47" t="s">
        <v>247</v>
      </c>
      <c r="D44" t="s">
        <v>201</v>
      </c>
      <c r="E44" s="43" t="s">
        <v>196</v>
      </c>
    </row>
    <row r="45" spans="1:5" ht="12.75" customHeight="1">
      <c r="A45" s="48" t="s">
        <v>284</v>
      </c>
      <c r="B45" s="46" t="s">
        <v>285</v>
      </c>
      <c r="C45" s="46" t="s">
        <v>247</v>
      </c>
      <c r="D45" t="s">
        <v>201</v>
      </c>
      <c r="E45" s="43" t="s">
        <v>196</v>
      </c>
    </row>
    <row r="46" spans="1:5" ht="12.75" customHeight="1">
      <c r="A46" s="49" t="s">
        <v>286</v>
      </c>
      <c r="B46" s="47" t="s">
        <v>287</v>
      </c>
      <c r="C46" s="47" t="s">
        <v>247</v>
      </c>
      <c r="D46" t="s">
        <v>201</v>
      </c>
      <c r="E46" s="43" t="s">
        <v>196</v>
      </c>
    </row>
    <row r="47" spans="1:5" ht="12.75" customHeight="1">
      <c r="A47" s="46" t="s">
        <v>288</v>
      </c>
      <c r="B47" s="46" t="s">
        <v>289</v>
      </c>
      <c r="C47" s="46" t="s">
        <v>247</v>
      </c>
      <c r="D47" t="s">
        <v>201</v>
      </c>
      <c r="E47" s="43" t="s">
        <v>196</v>
      </c>
    </row>
    <row r="48" spans="1:5" ht="12.75" customHeight="1">
      <c r="A48" s="49" t="s">
        <v>290</v>
      </c>
      <c r="B48" s="47" t="s">
        <v>291</v>
      </c>
      <c r="C48" s="47" t="s">
        <v>247</v>
      </c>
      <c r="D48" t="s">
        <v>201</v>
      </c>
      <c r="E48" s="43" t="s">
        <v>196</v>
      </c>
    </row>
    <row r="49" spans="1:5" ht="12.75" customHeight="1">
      <c r="A49" s="48" t="s">
        <v>292</v>
      </c>
      <c r="B49" s="46" t="s">
        <v>293</v>
      </c>
      <c r="C49" s="46" t="s">
        <v>247</v>
      </c>
      <c r="D49" t="s">
        <v>201</v>
      </c>
      <c r="E49" s="43" t="s">
        <v>196</v>
      </c>
    </row>
    <row r="50" spans="1:5" ht="12.75" customHeight="1">
      <c r="A50" s="49" t="s">
        <v>294</v>
      </c>
      <c r="B50" s="47" t="s">
        <v>295</v>
      </c>
      <c r="C50" s="47" t="s">
        <v>247</v>
      </c>
      <c r="D50" t="s">
        <v>201</v>
      </c>
      <c r="E50" s="43" t="s">
        <v>196</v>
      </c>
    </row>
    <row r="51" spans="1:5" ht="12.75" customHeight="1">
      <c r="A51" s="48" t="s">
        <v>296</v>
      </c>
      <c r="B51" s="46" t="s">
        <v>297</v>
      </c>
      <c r="C51" s="46" t="s">
        <v>247</v>
      </c>
      <c r="D51" t="s">
        <v>201</v>
      </c>
      <c r="E51" s="43" t="s">
        <v>196</v>
      </c>
    </row>
    <row r="52" spans="1:5" ht="12.75" customHeight="1">
      <c r="A52" s="49" t="s">
        <v>298</v>
      </c>
      <c r="B52" s="47" t="s">
        <v>299</v>
      </c>
      <c r="C52" s="47" t="s">
        <v>247</v>
      </c>
      <c r="D52" t="s">
        <v>201</v>
      </c>
      <c r="E52" s="43" t="s">
        <v>196</v>
      </c>
    </row>
    <row r="53" spans="1:5" ht="12.75" customHeight="1">
      <c r="A53" s="48" t="s">
        <v>300</v>
      </c>
      <c r="B53" s="46" t="s">
        <v>301</v>
      </c>
      <c r="C53" s="46" t="s">
        <v>247</v>
      </c>
      <c r="E53" s="43" t="s">
        <v>196</v>
      </c>
    </row>
    <row r="54" spans="1:5" ht="12.75" customHeight="1">
      <c r="A54" s="49" t="s">
        <v>302</v>
      </c>
      <c r="B54" s="47" t="s">
        <v>303</v>
      </c>
      <c r="C54" s="47" t="s">
        <v>247</v>
      </c>
      <c r="D54" t="s">
        <v>201</v>
      </c>
      <c r="E54" s="43" t="s">
        <v>196</v>
      </c>
    </row>
    <row r="55" spans="1:5" ht="12.75" customHeight="1">
      <c r="A55" s="48" t="s">
        <v>304</v>
      </c>
      <c r="B55" s="46" t="s">
        <v>305</v>
      </c>
      <c r="C55" s="46" t="s">
        <v>247</v>
      </c>
      <c r="D55" t="s">
        <v>201</v>
      </c>
      <c r="E55" s="43" t="s">
        <v>196</v>
      </c>
    </row>
    <row r="56" spans="1:5" ht="12.75" customHeight="1">
      <c r="A56" s="49" t="s">
        <v>306</v>
      </c>
      <c r="B56" s="47" t="s">
        <v>307</v>
      </c>
      <c r="C56" s="47" t="s">
        <v>247</v>
      </c>
      <c r="D56" t="s">
        <v>201</v>
      </c>
      <c r="E56" s="43" t="s">
        <v>196</v>
      </c>
    </row>
    <row r="57" spans="1:5" ht="12.75" customHeight="1">
      <c r="A57" s="48" t="s">
        <v>308</v>
      </c>
      <c r="B57" s="46" t="s">
        <v>309</v>
      </c>
      <c r="C57" s="46" t="s">
        <v>310</v>
      </c>
      <c r="E57" s="43" t="s">
        <v>196</v>
      </c>
    </row>
    <row r="58" spans="1:5" ht="12.75" customHeight="1">
      <c r="A58" s="49" t="s">
        <v>311</v>
      </c>
      <c r="B58" s="47" t="s">
        <v>312</v>
      </c>
      <c r="C58" s="47" t="s">
        <v>310</v>
      </c>
      <c r="E58" s="43" t="s">
        <v>196</v>
      </c>
    </row>
    <row r="59" spans="1:5" ht="12.75" customHeight="1">
      <c r="A59" s="48" t="s">
        <v>313</v>
      </c>
      <c r="B59" s="46" t="s">
        <v>314</v>
      </c>
      <c r="C59" s="46" t="s">
        <v>310</v>
      </c>
      <c r="E59" s="43" t="s">
        <v>196</v>
      </c>
    </row>
    <row r="60" spans="1:5" ht="12.75" customHeight="1">
      <c r="A60" s="49" t="s">
        <v>315</v>
      </c>
      <c r="B60" s="47" t="s">
        <v>316</v>
      </c>
      <c r="C60" s="47" t="s">
        <v>310</v>
      </c>
      <c r="E60" s="43" t="s">
        <v>196</v>
      </c>
    </row>
    <row r="61" spans="1:5" ht="12.75" customHeight="1">
      <c r="A61" s="48" t="s">
        <v>317</v>
      </c>
      <c r="B61" s="46" t="s">
        <v>318</v>
      </c>
      <c r="C61" s="46" t="s">
        <v>310</v>
      </c>
      <c r="E61" s="43" t="s">
        <v>196</v>
      </c>
    </row>
    <row r="62" spans="1:5" ht="12.75" customHeight="1">
      <c r="A62" s="49" t="s">
        <v>319</v>
      </c>
      <c r="B62" s="47" t="s">
        <v>320</v>
      </c>
      <c r="C62" s="47" t="s">
        <v>310</v>
      </c>
      <c r="E62" s="43" t="s">
        <v>196</v>
      </c>
    </row>
    <row r="63" spans="1:5" ht="12.75" customHeight="1">
      <c r="A63" s="46" t="s">
        <v>321</v>
      </c>
      <c r="B63" s="46" t="s">
        <v>322</v>
      </c>
      <c r="C63" s="46" t="s">
        <v>310</v>
      </c>
      <c r="E63" s="43" t="s">
        <v>196</v>
      </c>
    </row>
    <row r="64" spans="1:5" ht="12.75" customHeight="1">
      <c r="A64" s="49" t="s">
        <v>323</v>
      </c>
      <c r="B64" s="47" t="s">
        <v>324</v>
      </c>
      <c r="C64" s="47" t="s">
        <v>310</v>
      </c>
      <c r="E64" s="43" t="s">
        <v>196</v>
      </c>
    </row>
    <row r="65" spans="1:5" ht="12.75" customHeight="1">
      <c r="A65" s="48" t="s">
        <v>325</v>
      </c>
      <c r="B65" s="46" t="s">
        <v>326</v>
      </c>
      <c r="C65" s="46" t="s">
        <v>310</v>
      </c>
      <c r="E65" s="43" t="s">
        <v>196</v>
      </c>
    </row>
    <row r="66" spans="1:5" ht="12.75" customHeight="1">
      <c r="A66" t="s">
        <v>327</v>
      </c>
      <c r="B66" t="s">
        <v>328</v>
      </c>
      <c r="C66" t="s">
        <v>194</v>
      </c>
      <c r="D66" t="s">
        <v>201</v>
      </c>
      <c r="E66" s="43" t="s">
        <v>196</v>
      </c>
    </row>
    <row r="67" spans="1:5" ht="12.75" customHeight="1">
      <c r="A67" t="s">
        <v>329</v>
      </c>
      <c r="B67" t="s">
        <v>330</v>
      </c>
      <c r="C67" t="s">
        <v>194</v>
      </c>
      <c r="D67" t="s">
        <v>201</v>
      </c>
      <c r="E67" s="43" t="s">
        <v>196</v>
      </c>
    </row>
    <row r="68" spans="1:5" ht="12.75" customHeight="1">
      <c r="A68" t="s">
        <v>331</v>
      </c>
      <c r="B68" t="s">
        <v>332</v>
      </c>
      <c r="C68" t="s">
        <v>194</v>
      </c>
      <c r="D68" t="s">
        <v>201</v>
      </c>
      <c r="E68" s="43" t="s">
        <v>196</v>
      </c>
    </row>
    <row r="69" spans="1:5" ht="12.75" customHeight="1">
      <c r="A69" t="s">
        <v>333</v>
      </c>
      <c r="B69" t="s">
        <v>334</v>
      </c>
      <c r="C69" t="s">
        <v>194</v>
      </c>
      <c r="D69" t="s">
        <v>201</v>
      </c>
      <c r="E69" s="43" t="s">
        <v>196</v>
      </c>
    </row>
  </sheetData>
  <conditionalFormatting sqref="A4:A69">
    <cfRule type="duplicateValues" dxfId="0" priority="13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E3716282-BFD2-4ED2-BA47-BFA1123827F0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2024-11-20T04:34:28Z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2024-09-10T20:31:50Z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59b25017-7668-478e-8124-a57e7da4335d</vt:lpwstr>
  </property>
  <property fmtid="{D5CDD505-2E9C-101B-9397-08002B2CF9AE}" pid="9" name="MSIP_Label_9d817c99-0b37-4a07-8277-96aa1f96b74b_ContentBits">
    <vt:lpwstr>0</vt:lpwstr>
  </property>
</Properties>
</file>