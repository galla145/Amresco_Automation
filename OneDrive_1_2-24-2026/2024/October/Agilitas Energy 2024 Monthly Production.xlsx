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Agilitas\"/>
    </mc:Choice>
  </mc:AlternateContent>
  <xr:revisionPtr revIDLastSave="122" documentId="13_ncr:1_{A84E2E0E-0E34-44E5-930C-D34D3F201535}" xr6:coauthVersionLast="47" xr6:coauthVersionMax="47" xr10:uidLastSave="{963EA31C-9244-475C-B434-879E3E8BBA3B}"/>
  <bookViews>
    <workbookView xWindow="2508" yWindow="2508" windowWidth="17304" windowHeight="8892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0" l="1"/>
  <c r="I7" i="30"/>
  <c r="I8" i="30"/>
  <c r="H7" i="30"/>
  <c r="H8" i="30"/>
  <c r="H9" i="30"/>
  <c r="F5" i="30"/>
  <c r="E8" i="30"/>
  <c r="F8" i="30" s="1"/>
  <c r="D9" i="30"/>
  <c r="E9" i="30" s="1"/>
  <c r="F9" i="30" s="1"/>
  <c r="G9" i="30"/>
  <c r="G6" i="30"/>
  <c r="G7" i="30"/>
  <c r="G8" i="30"/>
  <c r="G5" i="30"/>
  <c r="G4" i="30"/>
  <c r="H9" i="31"/>
  <c r="I7" i="31"/>
  <c r="I8" i="31"/>
  <c r="I9" i="31"/>
  <c r="F7" i="31"/>
  <c r="F8" i="31"/>
  <c r="F5" i="31"/>
  <c r="E9" i="31"/>
  <c r="F9" i="31" s="1"/>
  <c r="H4" i="29"/>
  <c r="H5" i="29"/>
  <c r="H6" i="29"/>
  <c r="H7" i="29"/>
  <c r="H8" i="29"/>
  <c r="H9" i="29"/>
  <c r="D9" i="29"/>
  <c r="C9" i="29"/>
  <c r="E9" i="29" s="1"/>
  <c r="F9" i="29" s="1"/>
  <c r="G9" i="29"/>
  <c r="I9" i="29" s="1"/>
  <c r="G5" i="29"/>
  <c r="G6" i="29"/>
  <c r="G7" i="29"/>
  <c r="G8" i="29"/>
  <c r="G4" i="29"/>
  <c r="H9" i="28"/>
  <c r="I9" i="28" s="1"/>
  <c r="E9" i="28"/>
  <c r="F9" i="28" s="1"/>
  <c r="E6" i="26"/>
  <c r="G4" i="18"/>
  <c r="G5" i="18"/>
  <c r="G6" i="18"/>
  <c r="G7" i="18"/>
  <c r="G8" i="18"/>
  <c r="E4" i="4"/>
  <c r="E4" i="72"/>
  <c r="F4" i="72" s="1"/>
  <c r="E5" i="72"/>
  <c r="E6" i="72"/>
  <c r="E7" i="72"/>
  <c r="F7" i="72" s="1"/>
  <c r="E8" i="72"/>
  <c r="F8" i="72" s="1"/>
  <c r="F5" i="72"/>
  <c r="F6" i="72"/>
  <c r="I9" i="30" l="1"/>
  <c r="C2" i="3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D7" i="30"/>
  <c r="C7" i="30"/>
  <c r="D6" i="30"/>
  <c r="C6" i="30"/>
  <c r="D5" i="30"/>
  <c r="C5" i="30"/>
  <c r="E5" i="30" s="1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E8" i="31"/>
  <c r="H7" i="31"/>
  <c r="E7" i="31"/>
  <c r="H6" i="31"/>
  <c r="I6" i="31" s="1"/>
  <c r="E6" i="31"/>
  <c r="F6" i="31" s="1"/>
  <c r="H5" i="31"/>
  <c r="I5" i="31" s="1"/>
  <c r="E5" i="3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F6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8" i="29" l="1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5" i="30"/>
  <c r="I5" i="30" s="1"/>
  <c r="E7" i="29"/>
  <c r="F7" i="29" s="1"/>
  <c r="I8" i="29"/>
  <c r="I6" i="26"/>
  <c r="I4" i="29"/>
  <c r="I5" i="29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<sst xmlns="http://schemas.openxmlformats.org/spreadsheetml/2006/main" count="323" uniqueCount="119">
  <si>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</si>
  <si>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</si>
  <si>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</si>
  <si>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</si>
  <si>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</si>
  <si>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</si>
  <si>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</si>
  <si>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</si>
  <si>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</si>
  <si>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</si>
  <si>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</si>
  <si>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</si>
  <si>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</si>
  <si>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</si>
  <si>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</si>
  <si>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</si>
  <si>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</si>
  <si>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</si>
  <si>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</si>
  <si>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</si>
  <si>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</si>
  <si>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</si>
  <si>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</si>
  <si>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</si>
  <si>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</si>
  <si>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</si>
  <si>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</si>
  <si>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</si>
  <si>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</si>
  <si>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</si>
  <si>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</si>
  <si>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</si>
  <si>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</si>
  <si>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</si>
  <si>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</si>
  <si>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</si>
  <si>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</si>
  <si>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</si>
  <si>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</si>
  <si>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</si>
  <si>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</si>
  <si>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</si>
  <si>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</si>
  <si>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</si>
  <si>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</si>
  <si>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
3. Inverter 21 is derating by 5kW during peak hours from 04/25</t>
  </si>
  <si>
    <t>1. SR083024
2. SR083071
3. 	SR083818</t>
  </si>
  <si>
    <t>May Actual v. Expected</t>
  </si>
  <si>
    <t>May Actual v. Forecasted</t>
  </si>
  <si>
    <t xml:space="preserve">1. Inverter 13 is overheating on high irradiance days and is about 7 kW down for multiple days.  </t>
  </si>
  <si>
    <t>1. SR085127</t>
  </si>
  <si>
    <t>1. Inverter 21 is derating by 5kW during peak hours from 04/25
2. Inverter 5 is derating by 8kW during peak hours from 05/21</t>
  </si>
  <si>
    <t>1. 	SR083818
2. 	SR084975</t>
  </si>
  <si>
    <t>June Actual v. Expected</t>
  </si>
  <si>
    <t>June Actual v. Forecasted</t>
  </si>
  <si>
    <t>1. Inverter 13 is derating due to overheating on sunny days. Issue occurred throughout the month</t>
  </si>
  <si>
    <t>1. Site tripped offline at 19:50 on 06/19 and back online at 10:45 on 06/20</t>
  </si>
  <si>
    <t>1. SR086453</t>
  </si>
  <si>
    <t>1. Inverter 21 is derating by 5kW during peak hours from 04/25 throughout the month
2. Inverter 5 is derating by 8kW during peak hours from 05/21 throughout the month</t>
  </si>
  <si>
    <t>July Actual v. Expected</t>
  </si>
  <si>
    <t>July Actual v. Forecasted</t>
  </si>
  <si>
    <t xml:space="preserve">1. Inverters 25, 26 and 27 are offline on 07/05 and back online on 07/08 at 10:15 AM
2. Site tripped offline at 17:30 on 07/23 and back online on 07/24 at 06:00 AM </t>
  </si>
  <si>
    <t>1. SR087391
2. SR088075</t>
  </si>
  <si>
    <t xml:space="preserve">1. Inverter 1 stopped communicating, as per meter offline on 07/11 at 13:00 and back online on 07/12 at 08:30 AM 
2. Inverter 2 tripped offline at 15:15 on 07/11 and back online on 07/12 at 13:00
again tripped offline on 07/14 at 10:00 AM, back online on 07/15 at 07:30 AM
  Inverter 2 tripped offline at 17:30 on 07/18 and back online on 07/19 at 07:45
3. Inverter 1 tripped offline at 13:00 on 07/22 and back online on 07/24 at 12:15
4. Inverter 2 and 3 are offline on 07/23 and back online on 07/24 </t>
  </si>
  <si>
    <t>1. SR087558
2. SR087558, SR087578
3. SR087988, SR087990
4. SR088071</t>
  </si>
  <si>
    <t>August Actual v. Expected</t>
  </si>
  <si>
    <t>August Actual v. Forecasted</t>
  </si>
  <si>
    <t>1. Inverter 9 tripped offline at 11:30AM and later stopped communication at 13:30 on 8/10 and back online on 8/11</t>
  </si>
  <si>
    <t>1.	SR088882</t>
  </si>
  <si>
    <t>1.Inverter 1,2,3 tripped offline at 14:30 on 8/7 back online on 8/8</t>
  </si>
  <si>
    <t>1.SR088748</t>
  </si>
  <si>
    <t>1.Inverter 2 having multiple trippings through out the month 
2.Inverter 1 tripped offline at 15:45pm on 8/18 and back online on 8/19 at 13:00 again inverter 1 offline on 8/24 back online on 8/26</t>
  </si>
  <si>
    <t>1.	SR088490
2.SR089238</t>
  </si>
  <si>
    <t xml:space="preserve">1. Inverter 5 is under-performing vs its peers (about 15 amps lower). Possibly fan issue. </t>
  </si>
  <si>
    <t>1.	SR089574</t>
  </si>
  <si>
    <t>1. Inverter 2 is offline on 8/10 and back online on 8/11 at 02:00PM
2. Inverter 13 is offline on 8/26 back online on 8/27 and again inverter offline on 8/30 back online on 8/31</t>
  </si>
  <si>
    <t>1.SR088890
2.	SR089571</t>
  </si>
  <si>
    <t>September Actual v. Expected</t>
  </si>
  <si>
    <t>September Actual v. Forecasted</t>
  </si>
  <si>
    <t>1.Inverters 1, 2 and 3 tripped offline on 09/24 at 12":30 and back online on 09/26 at 09:30</t>
  </si>
  <si>
    <t>1.SR091142</t>
  </si>
  <si>
    <t>1.Inverter 1 is offline at 01:45 on 09/07 and back online at 17:30 on 09/13</t>
  </si>
  <si>
    <t>1.SR089238</t>
  </si>
  <si>
    <t>October Actual v. Expected</t>
  </si>
  <si>
    <t>October Actual v. Forecasted</t>
  </si>
  <si>
    <t>1. Inverter 9 being RMA'D since 08/10/2024.
2. Due to technician dispatch, Site offline from 8:30AM to 9:40AM on 10/09/2024.
3. Inverter 13 RMA'D from 09/06 and Inverter 3 is being RMA'D from 09/27.</t>
  </si>
  <si>
    <t>1. SR088882
2. PM4489
3.SR085127,SR090147,SR090151,SR093008</t>
  </si>
  <si>
    <t xml:space="preserve">1. Inverters 4,5,6 tripped offline at 10:15AM on 10/13/2024 and back online on 10/14/2024 again offline from 08:45AM to 16:00 on 10/18/2024 and  pad 2 is offline from 08:45AM to 11:45AM on 10/15
2. DC meter 10 is not capturing correct values.
</t>
  </si>
  <si>
    <t>1. SR092116
2. SR091730,SR091878</t>
  </si>
  <si>
    <t>1. Inverter 13 was offline on 10/01, 10/27, 10/29/2024.</t>
  </si>
  <si>
    <t>1. SR091590, SR092635</t>
  </si>
  <si>
    <t>1.  Inverter 28 tripped offline at 11:15 on 10/18 and back online on 10/19.
2. Site is offline at 12:00 on 10/27 and back online at 13:30 on 10/28
3. The production meter energy data has been reporting negative values since 11:45 on 09/27.
Note : We have taken the actual data into postive values</t>
  </si>
  <si>
    <t>1. SR092302
2. SR092633
3. SR093220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</si>
  <si>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</si>
  <si>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</si>
  <si>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</si>
  <si>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</si>
  <si>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</si>
  <si>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</si>
  <si>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</si>
  <si>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</si>
  <si>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</si>
  <si>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</si>
  <si>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</si>
  <si>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</si>
  <si>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</si>
  <si>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</si>
  <si>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</si>
  <si>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</si>
  <si>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</si>
  <si>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</si>
  <si>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</si>
  <si>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</si>
  <si>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</si>
  <si>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</si>
  <si>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</si>
  <si>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</si>
  <si>
    <t>Frankland Solar</t>
  </si>
  <si>
    <t>Hopkinton - 71 Frankland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</si>
</sst>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36" fillId="0" borderId="0" xfId="0" applyNumberFormat="1" applyFont="1" applyAlignment="1">
      <alignment vertical="center" wrapText="1"/>
    </xf>
    <xf numFmtId="9" fontId="30" fillId="37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49" fontId="36" fillId="0" borderId="0" xfId="0" applyNumberFormat="1" applyFont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6" sqref="H26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Agilitas Energy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SUM(C4:C80)</f>
        <v>4674498.8207722306</v>
      </c>
      <c r="D2" s="5">
        <f>SUM(D4:D80)</f>
        <v>4052534.9309999999</v>
      </c>
      <c r="E2" s="5">
        <f>C2-D2</f>
        <v>621963.88977223076</v>
      </c>
      <c r="F2" s="6">
        <f>IFERROR(E2/D2, 0)</f>
        <v>0.15347526927269581</v>
      </c>
      <c r="G2" s="5">
        <f>SUM(G4:G80)</f>
        <v>7355219.7000000011</v>
      </c>
      <c r="H2" s="7">
        <f>C2-G2</f>
        <v>-2680720.8792277705</v>
      </c>
      <c r="I2" s="6">
        <f>IFERROR(H2/G2, 0)</f>
        <v>-0.36446509942154004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1" t="str" cm="1">
        <f t="array" ref="A4:A9">Sites[Site]</f>
        <v>Rowley - Central Street Solar</v>
      </c>
      <c r="B4" s="31" t="str" cm="1">
        <f t="array" ref="B4:B9">Sites[State]</f>
        <v>MA</v>
      </c>
      <c r="C4" s="23">
        <f>SUM('1st Qtr'!C4, '2nd Qtr'!C4, '3rd Qtr'!C4, '4th Qtr'!C4)</f>
        <v>750320.84210556501</v>
      </c>
      <c r="D4" s="12">
        <f>SUM('1st Qtr'!D4, '2nd Qtr'!D4, '3rd Qtr'!D4, '4th Qtr'!D4)</f>
        <v>768828.39</v>
      </c>
      <c r="E4" s="12">
        <f>IF(AND(ISNUMBER(C4),ISNUMBER(D4)), C4-D4, "")</f>
        <v>-18507.547894435003</v>
      </c>
      <c r="F4" s="13">
        <f>IFERROR(E4/D4, "")</f>
        <v>-2.4072404368984088E-2</v>
      </c>
      <c r="G4" s="14">
        <f>SUM('1st Qtr'!G4, '2nd Qtr'!G4, '3rd Qtr'!G4, '4th Qtr'!G4)</f>
        <v>740292.48</v>
      </c>
      <c r="H4" s="14">
        <f>SUM('1st Qtr'!H4, '2nd Qtr'!H4, '3rd Qtr'!H4, '4th Qtr'!H4)</f>
        <v>10028.362105565102</v>
      </c>
      <c r="I4" s="15">
        <f>IFERROR(H4/G4, "")</f>
        <v>1.3546486525927026E-2</v>
      </c>
    </row>
    <row r="5" spans="1:9" ht="15.6">
      <c r="A5" s="52" t="str">
        <v>Auburn - Leicester Street Solar</v>
      </c>
      <c r="B5" s="29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53" t="str">
        <v>Rochester - Old Middleboro</v>
      </c>
      <c r="B6" s="27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SUM('1st Qtr'!G6, '2nd Qtr'!G6, '3rd Qtr'!G6, '4th Qtr'!G6)</f>
        <v>6614927.2200000007</v>
      </c>
      <c r="H6" s="14">
        <f>SUM(Jan!H6, Feb!H6, Mar!H6)</f>
        <v>585028.85200000007</v>
      </c>
      <c r="I6" s="15">
        <f t="shared" ref="I6:I8" si="2">IFERROR(H6/G6, "")</f>
        <v>8.8440708800421236E-2</v>
      </c>
    </row>
    <row r="7" spans="1:9" ht="15.6">
      <c r="A7" s="52" t="str">
        <v>Dover - Littleworth Road</v>
      </c>
      <c r="B7" s="29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53" t="str">
        <v>Milton - Landfill</v>
      </c>
      <c r="B8" s="27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231101</v>
      </c>
      <c r="I8" s="15" t="str">
        <f t="shared" si="2"/>
        <v/>
      </c>
    </row>
    <row r="9" spans="1:9" ht="13.9">
      <c r="A9" s="20" t="str">
        <v>Hopkinton - 71 Frankland Rd</v>
      </c>
      <c r="B9" s="20" t="str">
        <v>MA</v>
      </c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19" sqref="G1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Agilitas Energy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6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6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 ht="13.9">
      <c r="A9" s="20" t="str">
        <v>Hopkinton - 71 Frankland Rd</v>
      </c>
      <c r="B9" s="20" t="str">
        <v>MA</v>
      </c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5" sqref="G5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Agilitas Energy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SUM(C4:C80)</f>
        <v>7162125.6251099482</v>
      </c>
      <c r="D2" s="5">
        <f>SUM(D4:D80)</f>
        <v>6142431.2199999997</v>
      </c>
      <c r="E2" s="5">
        <f>C2-D2</f>
        <v>1019694.4051099485</v>
      </c>
      <c r="F2" s="6">
        <f>IFERROR(E2/D2, 0)</f>
        <v>0.16600827401856499</v>
      </c>
      <c r="G2" s="5">
        <f>SUM(G4:G80)</f>
        <v>2544607.8600000003</v>
      </c>
      <c r="H2" s="7">
        <f>C2-G2</f>
        <v>4617517.7651099479</v>
      </c>
      <c r="I2" s="6">
        <f>IFERROR(H2/G2, 0)</f>
        <v>1.8146284296669379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SUM(Apr!C4, May!C4, Jun!C4)</f>
        <v>265030.19762126857</v>
      </c>
      <c r="D4" s="12">
        <f>SUM(Apr!D4, May!D4, Jun!D4)</f>
        <v>268035.71999999997</v>
      </c>
      <c r="E4" s="12">
        <f>IF(AND(ISNUMBER(C4),ISNUMBER(D4)), C4-D4, "")</f>
        <v>-3005.5223787314026</v>
      </c>
      <c r="F4" s="13">
        <f>IFERROR(E4/D4, "")</f>
        <v>-1.121314121390762E-2</v>
      </c>
      <c r="G4" s="14">
        <f>SUM(Apr!G4+May!G4+Jun!G4)</f>
        <v>257263.74</v>
      </c>
      <c r="H4" s="14">
        <f>SUM(Apr!H4, May!H4, Jun!H4)</f>
        <v>7766.4576212685934</v>
      </c>
      <c r="I4" s="15">
        <f>IFERROR(H4/G4, "")</f>
        <v>3.0188699041958238E-2</v>
      </c>
    </row>
    <row r="5" spans="1:9" ht="15.6">
      <c r="A5" s="49" t="str">
        <v>Auburn - Leicester Street Solar</v>
      </c>
      <c r="B5" s="10" t="str">
        <v>MA</v>
      </c>
      <c r="C5" s="11">
        <f>SUM(Apr!C5, May!C5, Jun!C5)</f>
        <v>2706720</v>
      </c>
      <c r="D5" s="17">
        <f>SUM(Apr!D5, May!D5, Jun!D5)</f>
        <v>2809460.8</v>
      </c>
      <c r="E5" s="17">
        <f t="shared" ref="E5:E8" si="0">IF(AND(ISNUMBER(C5),ISNUMBER(D5)), C5-D5, "")</f>
        <v>-102740.79999999981</v>
      </c>
      <c r="F5" s="18">
        <f>IFERROR(E5/D5, "")</f>
        <v>-3.6569579472331422E-2</v>
      </c>
      <c r="G5" s="19">
        <f>SUM(Apr!G5+May!G5+Jun!G5)</f>
        <v>0</v>
      </c>
      <c r="H5" s="19">
        <f>SUM(Apr!H5, May!H5, Jun!H5)</f>
        <v>2706720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SUM(Apr!C6, May!C6, Jun!C6)</f>
        <v>3706056.42748868</v>
      </c>
      <c r="D6" s="12">
        <f>SUM(Apr!D6, May!D6, Jun!D6)</f>
        <v>3064934.7</v>
      </c>
      <c r="E6" s="12">
        <f t="shared" si="0"/>
        <v>641121.72748867981</v>
      </c>
      <c r="F6" s="13">
        <f t="shared" ref="F6:F8" si="1">IFERROR(E6/D6, "")</f>
        <v>0.20917957158717926</v>
      </c>
      <c r="G6" s="14">
        <f>SUM(Apr!G6+May!G6+Jun!G6)</f>
        <v>2287344.12</v>
      </c>
      <c r="H6" s="14">
        <f>SUM(Apr!H6, May!H6, Jun!H6)</f>
        <v>1418712.3074886799</v>
      </c>
      <c r="I6" s="15">
        <f t="shared" ref="I6:I8" si="2">IFERROR(H6/G6, "")</f>
        <v>0.62024436772927716</v>
      </c>
    </row>
    <row r="7" spans="1:9" ht="15.6">
      <c r="A7" s="49" t="str">
        <v>Dover - Littleworth Road</v>
      </c>
      <c r="B7" s="10" t="str">
        <v>NH</v>
      </c>
      <c r="C7" s="11">
        <f>SUM(Apr!C7, May!C7, Jun!C7)</f>
        <v>128040</v>
      </c>
      <c r="D7" s="17">
        <f>SUM(Apr!D7, May!D7, Jun!D7)</f>
        <v>0</v>
      </c>
      <c r="E7" s="17">
        <f t="shared" si="0"/>
        <v>128040</v>
      </c>
      <c r="F7" s="18" t="str">
        <f t="shared" si="1"/>
        <v/>
      </c>
      <c r="G7" s="19">
        <f>SUM(Apr!G7+May!G7+Jun!G7)</f>
        <v>0</v>
      </c>
      <c r="H7" s="19">
        <f>SUM(Apr!H7, May!H7, Jun!H7)</f>
        <v>128040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SUM(Apr!C8, May!C8, Jun!C8)</f>
        <v>356279</v>
      </c>
      <c r="D8" s="12">
        <f>SUM(Apr!D8, May!D8, Jun!D8)</f>
        <v>0</v>
      </c>
      <c r="E8" s="12">
        <f t="shared" si="0"/>
        <v>356279</v>
      </c>
      <c r="F8" s="13" t="str">
        <f t="shared" si="1"/>
        <v/>
      </c>
      <c r="G8" s="14">
        <f>SUM(Apr!G8+May!G8+Jun!G8)</f>
        <v>0</v>
      </c>
      <c r="H8" s="14">
        <f>SUM(Apr!H8, May!H8, Jun!H8)</f>
        <v>356279</v>
      </c>
      <c r="I8" s="15" t="str">
        <f t="shared" si="2"/>
        <v/>
      </c>
    </row>
    <row r="9" spans="1:9" ht="13.9">
      <c r="A9" s="20" t="str">
        <v>Hopkinton - 71 Frankland Rd</v>
      </c>
      <c r="B9" s="20" t="str">
        <v>MA</v>
      </c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A9" sqref="A9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Agilitas Energy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SUM(C4:C79)</f>
        <v>6887197.4569417387</v>
      </c>
      <c r="D2" s="5">
        <f>SUM(D4:D79)</f>
        <v>16025020.220000001</v>
      </c>
      <c r="E2" s="5">
        <f>C2-D2</f>
        <v>-9137822.7630582619</v>
      </c>
      <c r="F2" s="6">
        <f>IFERROR(E2/D2, 0)</f>
        <v>-0.57022222983867543</v>
      </c>
      <c r="G2" s="5">
        <f>SUM(G4:G79)</f>
        <v>3178729.29</v>
      </c>
      <c r="H2" s="7">
        <f>C2-G2</f>
        <v>3708468.1669417387</v>
      </c>
      <c r="I2" s="6">
        <f>IFERROR(H2/G2, 0)</f>
        <v>1.1666511453517763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SUM(Jul!C4, Aug!C4, Sep!C4)</f>
        <v>257834.21599999999</v>
      </c>
      <c r="D4" s="12">
        <f>SUM(Jul!D4, Aug!D4, Sep!D4)</f>
        <v>262970.24300000002</v>
      </c>
      <c r="E4" s="12">
        <f>IF(AND(ISNUMBER(C4),ISNUMBER(D4)), C4-D4, "")</f>
        <v>-5136.027000000031</v>
      </c>
      <c r="F4" s="13">
        <f>IFERROR(E4/D4, "")</f>
        <v>-1.9530829577550455E-2</v>
      </c>
      <c r="G4" s="14">
        <f>SUM(Jul!G4,Aug!G4,Sep!G4)</f>
        <v>259322.45</v>
      </c>
      <c r="H4" s="14">
        <f>SUM(Jul!H4, Aug!H4, Sep!H4)</f>
        <v>-1488.2339999999967</v>
      </c>
      <c r="I4" s="15">
        <f t="shared" ref="I4:I9" si="0">IFERROR(H4/G4, "")</f>
        <v>-5.7389323600791084E-3</v>
      </c>
    </row>
    <row r="5" spans="1:9" ht="15.6">
      <c r="A5" s="49" t="str">
        <v>Auburn - Leicester Street Solar</v>
      </c>
      <c r="B5" s="10" t="str">
        <v>MA</v>
      </c>
      <c r="C5" s="11">
        <f>SUM(Jul!C5, Aug!C5, Sep!C5)</f>
        <v>2654465.4</v>
      </c>
      <c r="D5" s="17">
        <f>SUM(Jul!D5, Aug!D5, Sep!D5)</f>
        <v>2846908.602</v>
      </c>
      <c r="E5" s="17">
        <f t="shared" ref="E5:E9" si="1">IF(AND(ISNUMBER(C5),ISNUMBER(D5)), C5-D5, "")</f>
        <v>-192443.20200000005</v>
      </c>
      <c r="F5" s="18">
        <f>IFERROR(E5/D5, "")</f>
        <v>-6.7597253338166727E-2</v>
      </c>
      <c r="G5" s="17">
        <f>SUM(Jul!G5,Aug!G5,Sep!G5)</f>
        <v>0</v>
      </c>
      <c r="H5" s="19">
        <f>SUM(Jul!H5, Aug!H5, Sep!H5)</f>
        <v>2654465.4</v>
      </c>
      <c r="I5" s="18" t="str">
        <f t="shared" si="0"/>
        <v/>
      </c>
    </row>
    <row r="6" spans="1:9" ht="15.6">
      <c r="A6" s="48" t="str">
        <v>Rochester - Old Middleboro</v>
      </c>
      <c r="B6" s="9" t="str">
        <v>MA</v>
      </c>
      <c r="C6" s="23">
        <f>SUM(Jul!C6, Aug!C6, Sep!C6)</f>
        <v>3015377.8409417383</v>
      </c>
      <c r="D6" s="12">
        <f>SUM(Jul!D6, Aug!D6, Sep!D6)</f>
        <v>12250861.975</v>
      </c>
      <c r="E6" s="12">
        <f t="shared" si="1"/>
        <v>-9235484.1340582613</v>
      </c>
      <c r="F6" s="13">
        <f t="shared" ref="F6:F9" si="2">IFERROR(E6/D6, "")</f>
        <v>-0.75386402629503635</v>
      </c>
      <c r="G6" s="14">
        <f>SUM(Jul!G6,Aug!G6,Sep!G6)</f>
        <v>2237487.14</v>
      </c>
      <c r="H6" s="14">
        <f>SUM(Jul!H6, Aug!H6, Sep!H6)</f>
        <v>777890.70094173786</v>
      </c>
      <c r="I6" s="15">
        <f t="shared" si="0"/>
        <v>0.34766264665178714</v>
      </c>
    </row>
    <row r="7" spans="1:9" ht="15.6">
      <c r="A7" s="49" t="str">
        <v>Dover - Littleworth Road</v>
      </c>
      <c r="B7" s="10" t="str">
        <v>NH</v>
      </c>
      <c r="C7" s="11">
        <f>SUM(Jul!C7, Aug!C7, Sep!C7)</f>
        <v>127938</v>
      </c>
      <c r="D7" s="17">
        <f>SUM(Jul!D7, Aug!D7, Sep!D7)</f>
        <v>0</v>
      </c>
      <c r="E7" s="17">
        <f t="shared" si="1"/>
        <v>127938</v>
      </c>
      <c r="F7" s="18" t="str">
        <f t="shared" si="2"/>
        <v/>
      </c>
      <c r="G7" s="17">
        <f>SUM(Jul!G7,Aug!G7,Sep!G7)</f>
        <v>0</v>
      </c>
      <c r="H7" s="19">
        <f>SUM(Jul!H7, Aug!H7, Sep!H7)</f>
        <v>127938</v>
      </c>
      <c r="I7" s="18" t="str">
        <f t="shared" si="0"/>
        <v/>
      </c>
    </row>
    <row r="8" spans="1:9" ht="15.6">
      <c r="A8" s="48" t="str">
        <v>Milton - Landfill</v>
      </c>
      <c r="B8" s="9" t="str">
        <v>NH</v>
      </c>
      <c r="C8" s="23">
        <f>SUM(Jul!C8, Aug!C8, Sep!C8)</f>
        <v>379901</v>
      </c>
      <c r="D8" s="12">
        <f>SUM(Jul!D8, Aug!D8, Sep!D8)</f>
        <v>0</v>
      </c>
      <c r="E8" s="12">
        <f t="shared" si="1"/>
        <v>379901</v>
      </c>
      <c r="F8" s="13" t="str">
        <f t="shared" si="2"/>
        <v/>
      </c>
      <c r="G8" s="14">
        <f>SUM(Jul!G8,Aug!G8,Sep!G8)</f>
        <v>0</v>
      </c>
      <c r="H8" s="14">
        <f>SUM(Jul!H8, Aug!H8, Sep!H8)</f>
        <v>379901</v>
      </c>
      <c r="I8" s="15" t="str">
        <f t="shared" si="0"/>
        <v/>
      </c>
    </row>
    <row r="9" spans="1:9" ht="15.6">
      <c r="A9" s="49" t="str">
        <v>Hopkinton - 71 Frankland Rd</v>
      </c>
      <c r="B9" s="10" t="str">
        <v>MA</v>
      </c>
      <c r="C9" s="11">
        <f>SUM(Jul!C9, Aug!C9, Sep!C9)</f>
        <v>451681</v>
      </c>
      <c r="D9" s="17">
        <f>SUM(Jul!D9, Aug!D9, Sep!D9)</f>
        <v>664279.4</v>
      </c>
      <c r="E9" s="17">
        <f t="shared" si="1"/>
        <v>-212598.40000000002</v>
      </c>
      <c r="F9" s="18">
        <f t="shared" si="2"/>
        <v>-0.3200436442858231</v>
      </c>
      <c r="G9" s="17">
        <f>SUM(Jul!G9,Aug!G9,Sep!G9)</f>
        <v>681919.7</v>
      </c>
      <c r="H9" s="19">
        <f>SUM(Jul!H9, Aug!H9, Sep!H9)</f>
        <v>-230238.69999999995</v>
      </c>
      <c r="I9" s="18">
        <f t="shared" si="0"/>
        <v>-0.33763315534072408</v>
      </c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G15" sqref="G15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Agilitas Energy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SUM(C4:C80)</f>
        <v>2565717.6785658402</v>
      </c>
      <c r="D2" s="5">
        <f>SUM(D4:D80)</f>
        <v>2549580.21</v>
      </c>
      <c r="E2" s="5">
        <f>C2-D2</f>
        <v>16137.468565840274</v>
      </c>
      <c r="F2" s="6">
        <f>IFERROR(E2/D2, 0)</f>
        <v>6.3294610236405442E-3</v>
      </c>
      <c r="G2" s="5">
        <f>SUM(G4:G80)</f>
        <v>1101543.76</v>
      </c>
      <c r="H2" s="7">
        <f>C2-G2</f>
        <v>1464173.9185658402</v>
      </c>
      <c r="I2" s="6">
        <f>IFERROR(H2/G2, 0)</f>
        <v>1.3292017727610206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9">Sites[Site]</f>
        <v>Rowley - Central Street Solar</v>
      </c>
      <c r="B4" s="9" t="str" cm="1">
        <f t="array" ref="B4:B9">Sites[State]</f>
        <v>MA</v>
      </c>
      <c r="C4" s="23">
        <f>SUM(Oct!C4, Nov!C4, Dec!C4)</f>
        <v>70279.1875</v>
      </c>
      <c r="D4" s="12">
        <f>SUM(Oct!D4, Nov!D4, Dec!D4)</f>
        <v>72285.61</v>
      </c>
      <c r="E4" s="12">
        <f>IF(AND(ISNUMBER(C4),ISNUMBER(D4)), C4-D4, "")</f>
        <v>-2006.4225000000006</v>
      </c>
      <c r="F4" s="13">
        <f>IFERROR(E4/D4, "")</f>
        <v>-2.7756873048453218E-2</v>
      </c>
      <c r="G4" s="14">
        <f>SUM(Oct!G4,Nov!G4,Dec!G4)</f>
        <v>60314.26</v>
      </c>
      <c r="H4" s="14">
        <f>SUM(Oct!H4, Nov!H4, Dec!H4)</f>
        <v>9964.927499999998</v>
      </c>
      <c r="I4" s="15">
        <f>IFERROR(H4/G4, "")</f>
        <v>0.1652167746068674</v>
      </c>
    </row>
    <row r="5" spans="1:9" ht="15.6">
      <c r="A5" s="49" t="str">
        <v>Auburn - Leicester Street Solar</v>
      </c>
      <c r="B5" s="10" t="str">
        <v>MA</v>
      </c>
      <c r="C5" s="11">
        <f>SUM(Oct!C5, Nov!C5, Dec!C5)</f>
        <v>776008</v>
      </c>
      <c r="D5" s="17">
        <f>SUM(Oct!D5, Nov!D5, Dec!D5)</f>
        <v>1001527</v>
      </c>
      <c r="E5" s="17">
        <f t="shared" ref="E5:E9" si="0">IF(AND(ISNUMBER(C5),ISNUMBER(D5)), C5-D5, "")</f>
        <v>-225519</v>
      </c>
      <c r="F5" s="18">
        <f>IFERROR(E5/D5, "")</f>
        <v>-0.22517515753444489</v>
      </c>
      <c r="G5" s="17">
        <f>SUM(Oct!G5,Nov!G5,Dec!G5)</f>
        <v>0</v>
      </c>
      <c r="H5" s="19">
        <f>SUM(Oct!H5, Nov!H5, Dec!H5)</f>
        <v>776008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SUM(Oct!C6, Nov!C6, Dec!C6)</f>
        <v>1059803.49106584</v>
      </c>
      <c r="D6" s="12">
        <f>SUM(Oct!D6, Nov!D6, Dec!D6)</f>
        <v>892672</v>
      </c>
      <c r="E6" s="12">
        <f t="shared" si="0"/>
        <v>167131.49106584</v>
      </c>
      <c r="F6" s="13">
        <f t="shared" ref="F6:F9" si="1">IFERROR(E6/D6, "")</f>
        <v>0.18722609319642602</v>
      </c>
      <c r="G6" s="14">
        <f>SUM(Oct!G6,Nov!G6,Dec!G6)</f>
        <v>540491.5</v>
      </c>
      <c r="H6" s="14">
        <f>SUM(Oct!H6, Nov!H6, Dec!H6)</f>
        <v>519311.99106584</v>
      </c>
      <c r="I6" s="15">
        <f t="shared" ref="I6:I9" si="2">IFERROR(H6/G6, "")</f>
        <v>0.960814353354012</v>
      </c>
    </row>
    <row r="7" spans="1:9" ht="15.6">
      <c r="A7" s="49" t="str">
        <v>Dover - Littleworth Road</v>
      </c>
      <c r="B7" s="10" t="str">
        <v>NH</v>
      </c>
      <c r="C7" s="11">
        <f>SUM(Oct!C7, Nov!C7, Dec!C7)</f>
        <v>36138</v>
      </c>
      <c r="D7" s="17">
        <f>SUM(Oct!D7, Nov!D7, Dec!D7)</f>
        <v>0</v>
      </c>
      <c r="E7" s="17">
        <f t="shared" si="0"/>
        <v>36138</v>
      </c>
      <c r="F7" s="18" t="str">
        <f t="shared" si="1"/>
        <v/>
      </c>
      <c r="G7" s="17">
        <f>SUM(Oct!G7,Nov!G7,Dec!G7)</f>
        <v>0</v>
      </c>
      <c r="H7" s="19">
        <f>SUM(Oct!H7, Nov!H7, Dec!H7)</f>
        <v>36138</v>
      </c>
      <c r="I7" s="18" t="str">
        <f>IFERROR(H7/G7, "")</f>
        <v/>
      </c>
    </row>
    <row r="8" spans="1:9" ht="15.6">
      <c r="A8" s="48" t="str">
        <v>Milton - Landfill</v>
      </c>
      <c r="B8" s="9" t="str">
        <v>NH</v>
      </c>
      <c r="C8" s="23">
        <f>SUM(Oct!C8, Nov!C8, Dec!C8)</f>
        <v>107854</v>
      </c>
      <c r="D8" s="12">
        <f>SUM(Oct!D8, Nov!D8, Dec!D8)</f>
        <v>0</v>
      </c>
      <c r="E8" s="12">
        <f t="shared" si="0"/>
        <v>107854</v>
      </c>
      <c r="F8" s="13" t="str">
        <f t="shared" si="1"/>
        <v/>
      </c>
      <c r="G8" s="14">
        <f>SUM(Oct!G8,Nov!G8,Dec!G8)</f>
        <v>0</v>
      </c>
      <c r="H8" s="14">
        <f>SUM(Oct!H8, Nov!H8, Dec!H8)</f>
        <v>107854</v>
      </c>
      <c r="I8" s="15" t="str">
        <f>IFERROR(H8/G8, "")</f>
        <v/>
      </c>
    </row>
    <row r="9" spans="1:9" ht="15.75">
      <c r="A9" s="49" t="str">
        <v>Hopkinton - 71 Frankland Rd</v>
      </c>
      <c r="B9" s="10" t="str">
        <v>MA</v>
      </c>
      <c r="C9" s="11">
        <f>SUM(Oct!C9, Nov!C9, Dec!C9)</f>
        <v>515635</v>
      </c>
      <c r="D9" s="17">
        <f>SUM(Oct!D9, Nov!D9, Dec!D9)</f>
        <v>583095.6</v>
      </c>
      <c r="E9" s="17">
        <f t="shared" si="0"/>
        <v>-67460.599999999977</v>
      </c>
      <c r="F9" s="18">
        <f t="shared" si="1"/>
        <v>-0.11569389307688135</v>
      </c>
      <c r="G9" s="17">
        <f>SUM(Oct!G9,Nov!G9,Dec!G9)</f>
        <v>500738</v>
      </c>
      <c r="H9" s="19">
        <f>SUM(Oct!H9, Nov!H9, Dec!H9)</f>
        <v>14897</v>
      </c>
      <c r="I9" s="18">
        <f t="shared" si="2"/>
        <v>2.9750088868829606E-2</v>
      </c>
    </row>
    <row r="10" spans="1:9" ht="14.45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9">Sites[Site]</f>
        <v>Rowley - Central Street Solar</v>
      </c>
      <c r="B4" s="28" t="str" cm="1">
        <f t="array" ref="B4:B9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57.6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17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28.9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6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17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6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5.6">
      <c r="A9" s="52" t="str">
        <v>Hopkinton - 71 Frankland Rd</v>
      </c>
      <c r="B9" s="30" t="str">
        <v>MA</v>
      </c>
      <c r="C9" s="17"/>
      <c r="D9" s="17"/>
      <c r="E9" s="17"/>
      <c r="F9" s="17"/>
      <c r="G9" s="19"/>
      <c r="H9" s="19"/>
      <c r="I9" s="18"/>
      <c r="J9" s="41"/>
      <c r="K9" s="41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10:F79">
    <cfRule type="cellIs" dxfId="40" priority="6" stopIfTrue="1" operator="lessThanOrEqual">
      <formula>-0.1</formula>
    </cfRule>
    <cfRule type="expression" dxfId="39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27</v>
      </c>
      <c r="E1" s="66"/>
      <c r="F1" s="66"/>
      <c r="G1" s="64" t="s">
        <v>28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9">Sites[Site]</f>
        <v>Rowley - Central Street Solar</v>
      </c>
      <c r="B4" s="28" t="str" cm="1">
        <f t="array" ref="B4:B9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6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6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6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6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80 I4:I8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33</v>
      </c>
      <c r="E1" s="66"/>
      <c r="F1" s="66"/>
      <c r="G1" s="64" t="s">
        <v>34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6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28.9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4:F80 I4:I8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J6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41</v>
      </c>
      <c r="E1" s="66"/>
      <c r="F1" s="66"/>
      <c r="G1" s="64" t="s">
        <v>42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85.5" customHeight="1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6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80 I4:I8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J6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47</v>
      </c>
      <c r="E1" s="66"/>
      <c r="F1" s="66"/>
      <c r="G1" s="64" t="s">
        <v>48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2378796</v>
      </c>
      <c r="D2" s="5">
        <f>SUM(D4:D80)</f>
        <v>2044259.92</v>
      </c>
      <c r="E2" s="5">
        <f>C2-D2</f>
        <v>334536.08000000007</v>
      </c>
      <c r="F2" s="6">
        <f>IFERROR(E2/D2, 0)</f>
        <v>0.16364654842912543</v>
      </c>
      <c r="G2" s="5">
        <f>SUM(G4:G80)</f>
        <v>881066.60000000009</v>
      </c>
      <c r="H2" s="7">
        <f>C2-G2</f>
        <v>1497729.4</v>
      </c>
      <c r="I2" s="6">
        <f>IFERROR(H2/G2, 0)</f>
        <v>1.6999048653075712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90222.8</v>
      </c>
      <c r="D4" s="12">
        <v>90753.52</v>
      </c>
      <c r="E4" s="12">
        <f>IF(AND(ISNUMBER(C4),ISNUMBER(D4)), C4-D4, "")</f>
        <v>-530.72000000000116</v>
      </c>
      <c r="F4" s="13">
        <f>IFERROR(E4/D4, "")</f>
        <v>-5.847927441271712E-3</v>
      </c>
      <c r="G4" s="14">
        <v>88730.3</v>
      </c>
      <c r="H4" s="14">
        <f>IF(AND(ISNUMBER(C4),ISNUMBER(G4)), C4-G4, "")</f>
        <v>1492.5</v>
      </c>
      <c r="I4" s="15">
        <f>IFERROR(H4/G4, "")</f>
        <v>1.6820635115625666E-2</v>
      </c>
      <c r="J4" s="40" t="s">
        <v>49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891783</v>
      </c>
      <c r="D5" s="17">
        <v>932322.4</v>
      </c>
      <c r="E5" s="17">
        <f t="shared" ref="E5:E8" si="0">IF(AND(ISNUMBER(C5),ISNUMBER(D5)), C5-D5, "")</f>
        <v>-40539.400000000023</v>
      </c>
      <c r="F5" s="18">
        <f>IFERROR(E5/D5, "")</f>
        <v>-4.3482168829151825E-2</v>
      </c>
      <c r="G5" s="19">
        <v>0</v>
      </c>
      <c r="H5" s="19">
        <f t="shared" ref="H5:H8" si="1">IF(AND(ISNUMBER(C5),ISNUMBER(G5)), C5-G5, "")</f>
        <v>891783</v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>
        <v>1235742.2</v>
      </c>
      <c r="D6" s="12">
        <v>1021184</v>
      </c>
      <c r="E6" s="12">
        <f t="shared" si="0"/>
        <v>214558.19999999995</v>
      </c>
      <c r="F6" s="13">
        <f t="shared" ref="F6:F8" si="3">IFERROR(E6/D6, "")</f>
        <v>0.21010728722737523</v>
      </c>
      <c r="G6" s="14">
        <v>792336.3</v>
      </c>
      <c r="H6" s="14">
        <f t="shared" si="1"/>
        <v>443405.89999999991</v>
      </c>
      <c r="I6" s="15">
        <f t="shared" si="2"/>
        <v>0.55961830853893713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42525</v>
      </c>
      <c r="D7" s="17">
        <v>0</v>
      </c>
      <c r="E7" s="17">
        <f t="shared" si="0"/>
        <v>42525</v>
      </c>
      <c r="F7" s="18" t="str">
        <f t="shared" si="3"/>
        <v/>
      </c>
      <c r="G7" s="19">
        <v>0</v>
      </c>
      <c r="H7" s="19">
        <f t="shared" si="1"/>
        <v>42525</v>
      </c>
      <c r="I7" s="18" t="str">
        <f t="shared" si="2"/>
        <v/>
      </c>
      <c r="J7" s="41"/>
      <c r="K7" s="42"/>
    </row>
    <row r="8" spans="1:11" ht="28.9">
      <c r="A8" s="27" t="str">
        <v>Milton - Landfill</v>
      </c>
      <c r="B8" s="28" t="str">
        <v>NH</v>
      </c>
      <c r="C8" s="23">
        <v>118523</v>
      </c>
      <c r="D8" s="12">
        <v>0</v>
      </c>
      <c r="E8" s="12">
        <f t="shared" si="0"/>
        <v>118523</v>
      </c>
      <c r="F8" s="13" t="str">
        <f t="shared" si="3"/>
        <v/>
      </c>
      <c r="G8" s="14">
        <v>0</v>
      </c>
      <c r="H8" s="14">
        <f t="shared" si="1"/>
        <v>118523</v>
      </c>
      <c r="I8" s="15" t="str">
        <f t="shared" si="2"/>
        <v/>
      </c>
      <c r="J8" s="40" t="s">
        <v>51</v>
      </c>
      <c r="K8" s="40" t="s">
        <v>52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80 I4:I8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53</v>
      </c>
      <c r="E1" s="66"/>
      <c r="F1" s="66"/>
      <c r="G1" s="64" t="s">
        <v>54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2696426</v>
      </c>
      <c r="D2" s="5">
        <f>SUM(D4:D80)</f>
        <v>2283590</v>
      </c>
      <c r="E2" s="5">
        <f>C2-D2</f>
        <v>412836</v>
      </c>
      <c r="F2" s="6">
        <f>IFERROR(E2/D2, 0)</f>
        <v>0.18078376591244488</v>
      </c>
      <c r="G2" s="5">
        <f>SUM(G4:G80)</f>
        <v>883334.92</v>
      </c>
      <c r="H2" s="7">
        <f>C2-G2</f>
        <v>1813091.08</v>
      </c>
      <c r="I2" s="6">
        <f>IFERROR(H2/G2, 0)</f>
        <v>2.0525522527740665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95579</v>
      </c>
      <c r="D4" s="12">
        <v>97442</v>
      </c>
      <c r="E4" s="12">
        <f>IF(AND(ISNUMBER(C4),ISNUMBER(D4)), C4-D4, "")</f>
        <v>-1863</v>
      </c>
      <c r="F4" s="13">
        <f>IFERROR(E4/D4, "")</f>
        <v>-1.9119065700621909E-2</v>
      </c>
      <c r="G4" s="14">
        <v>86272</v>
      </c>
      <c r="H4" s="14">
        <f>IF(AND(ISNUMBER(C4),ISNUMBER(G4)), C4-G4, "")</f>
        <v>9307</v>
      </c>
      <c r="I4" s="15">
        <f>IFERROR(H4/G4, "")</f>
        <v>0.10787972922848665</v>
      </c>
      <c r="J4" s="40" t="s">
        <v>55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1008493</v>
      </c>
      <c r="D5" s="17">
        <v>1029524</v>
      </c>
      <c r="E5" s="17">
        <f t="shared" ref="E5:E8" si="0">IF(AND(ISNUMBER(C5),ISNUMBER(D5)), C5-D5, "")</f>
        <v>-21031</v>
      </c>
      <c r="F5" s="18">
        <f>IFERROR(E5/D5, "")</f>
        <v>-2.0427887062370573E-2</v>
      </c>
      <c r="G5" s="19">
        <v>0</v>
      </c>
      <c r="H5" s="19">
        <f t="shared" ref="H5:H8" si="1">IF(AND(ISNUMBER(C5),ISNUMBER(G5)), C5-G5, "")</f>
        <v>1008493</v>
      </c>
      <c r="I5" s="18" t="str">
        <f t="shared" ref="I5:I8" si="2">IFERROR(H5/G5, "")</f>
        <v/>
      </c>
      <c r="J5" s="41" t="s">
        <v>56</v>
      </c>
      <c r="K5" s="41" t="s">
        <v>57</v>
      </c>
    </row>
    <row r="6" spans="1:11" ht="15.6">
      <c r="A6" s="27" t="str">
        <v>Rochester - Old Middleboro</v>
      </c>
      <c r="B6" s="28" t="str">
        <v>MA</v>
      </c>
      <c r="C6" s="23">
        <v>1418818</v>
      </c>
      <c r="D6" s="12">
        <v>1156624</v>
      </c>
      <c r="E6" s="12">
        <f t="shared" si="0"/>
        <v>262194</v>
      </c>
      <c r="F6" s="13">
        <f t="shared" ref="F6:F8" si="3">IFERROR(E6/D6, "")</f>
        <v>0.22668905365961625</v>
      </c>
      <c r="G6" s="14">
        <v>797062.92</v>
      </c>
      <c r="H6" s="14">
        <f t="shared" si="1"/>
        <v>621755.07999999996</v>
      </c>
      <c r="I6" s="15">
        <f t="shared" si="2"/>
        <v>0.78005771489156706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45862</v>
      </c>
      <c r="D7" s="17">
        <v>0</v>
      </c>
      <c r="E7" s="17">
        <f t="shared" si="0"/>
        <v>45862</v>
      </c>
      <c r="F7" s="18" t="str">
        <f t="shared" si="3"/>
        <v/>
      </c>
      <c r="G7" s="19">
        <v>0</v>
      </c>
      <c r="H7" s="19">
        <f t="shared" si="1"/>
        <v>45862</v>
      </c>
      <c r="I7" s="18" t="str">
        <f t="shared" si="2"/>
        <v/>
      </c>
      <c r="J7" s="41"/>
      <c r="K7" s="42"/>
    </row>
    <row r="8" spans="1:11" ht="34.9" customHeight="1">
      <c r="A8" s="27" t="str">
        <v>Milton - Landfill</v>
      </c>
      <c r="B8" s="28" t="str">
        <v>NH</v>
      </c>
      <c r="C8" s="23">
        <v>127674</v>
      </c>
      <c r="D8" s="12">
        <v>0</v>
      </c>
      <c r="E8" s="12">
        <f t="shared" si="0"/>
        <v>127674</v>
      </c>
      <c r="F8" s="13" t="str">
        <f t="shared" si="3"/>
        <v/>
      </c>
      <c r="G8" s="14">
        <v>0</v>
      </c>
      <c r="H8" s="14">
        <f t="shared" si="1"/>
        <v>127674</v>
      </c>
      <c r="I8" s="15" t="str">
        <f t="shared" si="2"/>
        <v/>
      </c>
      <c r="J8" s="40" t="s">
        <v>58</v>
      </c>
      <c r="K8" s="40" t="s">
        <v>52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80 I4:I8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F4" activePane="bottomRight" state="frozen"/>
      <selection pane="bottomRight" activeCell="A9" sqref="A9:K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59</v>
      </c>
      <c r="E1" s="66"/>
      <c r="F1" s="66"/>
      <c r="G1" s="64" t="s">
        <v>60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2397003.7419999996</v>
      </c>
      <c r="D2" s="5">
        <f>SUM(D4:D80)</f>
        <v>11418182.1</v>
      </c>
      <c r="E2" s="5">
        <f>C2-D2</f>
        <v>-9021178.3579999991</v>
      </c>
      <c r="F2" s="6">
        <f>IFERROR(E2/D2, 0)</f>
        <v>-0.79007133350938585</v>
      </c>
      <c r="G2" s="5">
        <f>SUM(G4:G80)</f>
        <v>903589.68</v>
      </c>
      <c r="H2" s="7">
        <f>C2-G2</f>
        <v>1493414.0619999995</v>
      </c>
      <c r="I2" s="6">
        <f>IFERROR(H2/G2, 0)</f>
        <v>1.6527568818625722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93398.466</v>
      </c>
      <c r="D4" s="12">
        <v>95319.722999999998</v>
      </c>
      <c r="E4" s="12">
        <f>IF(AND(ISNUMBER(C4),ISNUMBER(D4)), C4-D4, "")</f>
        <v>-1921.2569999999978</v>
      </c>
      <c r="F4" s="13">
        <f>IFERROR(E4/D4, "")</f>
        <v>-2.0155923029696571E-2</v>
      </c>
      <c r="G4" s="14">
        <v>92363.64</v>
      </c>
      <c r="H4" s="14">
        <f>IF(AND(ISNUMBER(C4),ISNUMBER(G4)), C4-G4, "")</f>
        <v>1034.8260000000009</v>
      </c>
      <c r="I4" s="15">
        <f>IFERROR(H4/G4, "")</f>
        <v>1.1203824362054169E-2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964199.4</v>
      </c>
      <c r="D5" s="17">
        <v>991770.10199999996</v>
      </c>
      <c r="E5" s="17">
        <f t="shared" ref="E5:E8" si="0">IF(AND(ISNUMBER(C5),ISNUMBER(D5)), C5-D5, "")</f>
        <v>-27570.701999999932</v>
      </c>
      <c r="F5" s="18">
        <f>IFERROR(E5/D5, "")</f>
        <v>-2.7799488958581184E-2</v>
      </c>
      <c r="G5" s="19">
        <v>0</v>
      </c>
      <c r="H5" s="19">
        <f t="shared" ref="H5:H8" si="1">IF(AND(ISNUMBER(C5),ISNUMBER(G5)), C5-G5, "")</f>
        <v>964199.4</v>
      </c>
      <c r="I5" s="18" t="str">
        <f t="shared" ref="I5:I8" si="2">IFERROR(H5/G5, "")</f>
        <v/>
      </c>
      <c r="J5" s="41" t="s">
        <v>61</v>
      </c>
      <c r="K5" s="41" t="s">
        <v>62</v>
      </c>
    </row>
    <row r="6" spans="1:11" ht="100.9">
      <c r="A6" s="27" t="str">
        <v>Rochester - Old Middleboro</v>
      </c>
      <c r="B6" s="28" t="str">
        <v>MA</v>
      </c>
      <c r="C6" s="23">
        <v>1152335.8759999999</v>
      </c>
      <c r="D6" s="12">
        <v>10331092.275</v>
      </c>
      <c r="E6" s="12">
        <f>IF(AND(ISNUMBER(C6),ISNUMBER(D6)), C6-D6, "")</f>
        <v>-9178756.3990000002</v>
      </c>
      <c r="F6" s="13">
        <f t="shared" ref="F6:F8" si="3">IFERROR(E6/D6, "")</f>
        <v>-0.88845943436314911</v>
      </c>
      <c r="G6" s="14">
        <v>811226.04</v>
      </c>
      <c r="H6" s="14">
        <f t="shared" si="1"/>
        <v>341109.83599999989</v>
      </c>
      <c r="I6" s="15">
        <f t="shared" si="2"/>
        <v>0.42048679305215581</v>
      </c>
      <c r="J6" s="40" t="s">
        <v>63</v>
      </c>
      <c r="K6" s="40" t="s">
        <v>64</v>
      </c>
    </row>
    <row r="7" spans="1:11" ht="15.6">
      <c r="A7" s="29" t="str">
        <v>Dover - Littleworth Road</v>
      </c>
      <c r="B7" s="30" t="str">
        <v>NH</v>
      </c>
      <c r="C7" s="11">
        <v>47158</v>
      </c>
      <c r="D7" s="17">
        <v>0</v>
      </c>
      <c r="E7" s="17">
        <f t="shared" si="0"/>
        <v>47158</v>
      </c>
      <c r="F7" s="18" t="str">
        <f t="shared" si="3"/>
        <v/>
      </c>
      <c r="G7" s="19">
        <v>0</v>
      </c>
      <c r="H7" s="19">
        <f t="shared" si="1"/>
        <v>47158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139912</v>
      </c>
      <c r="D8" s="12">
        <v>0</v>
      </c>
      <c r="E8" s="12">
        <f t="shared" si="0"/>
        <v>139912</v>
      </c>
      <c r="F8" s="13" t="str">
        <f t="shared" si="3"/>
        <v/>
      </c>
      <c r="G8" s="14">
        <v>0</v>
      </c>
      <c r="H8" s="14">
        <f t="shared" si="1"/>
        <v>139912</v>
      </c>
      <c r="I8" s="15" t="str">
        <f t="shared" si="2"/>
        <v/>
      </c>
      <c r="J8" s="40"/>
      <c r="K8" s="40"/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80 I4:I8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65</v>
      </c>
      <c r="E1" s="66"/>
      <c r="F1" s="66"/>
      <c r="G1" s="64" t="s">
        <v>66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2174088.2834327603</v>
      </c>
      <c r="D2" s="5">
        <f>SUM(D4:D80)</f>
        <v>2112723.4900000002</v>
      </c>
      <c r="E2" s="5">
        <f>C2-D2</f>
        <v>61364.793432760052</v>
      </c>
      <c r="F2" s="6">
        <f>IFERROR(E2/D2, 0)</f>
        <v>2.9045350100575653E-2</v>
      </c>
      <c r="G2" s="5">
        <f>SUM(G4:G80)</f>
        <v>851867.88</v>
      </c>
      <c r="H2" s="7">
        <f>C2-G2</f>
        <v>1322220.4034327604</v>
      </c>
      <c r="I2" s="6">
        <f>IFERROR(H2/G2, 0)</f>
        <v>1.5521425733680208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86826.842499999999</v>
      </c>
      <c r="D4" s="12">
        <v>88596.39</v>
      </c>
      <c r="E4" s="12">
        <f>IF(AND(ISNUMBER(C4),ISNUMBER(D4)), C4-D4, "")</f>
        <v>-1769.5475000000006</v>
      </c>
      <c r="F4" s="13">
        <f>IFERROR(E4/D4, "")</f>
        <v>-1.9973133216827463E-2</v>
      </c>
      <c r="G4" s="14">
        <v>89067.58</v>
      </c>
      <c r="H4" s="14">
        <f>IF(AND(ISNUMBER(C4),ISNUMBER(G4)), C4-G4, "")</f>
        <v>-2240.7375000000029</v>
      </c>
      <c r="I4" s="15">
        <f>IFERROR(H4/G4, "")</f>
        <v>-2.515772293352983E-2</v>
      </c>
      <c r="J4" s="40" t="s">
        <v>67</v>
      </c>
      <c r="K4" s="40" t="s">
        <v>68</v>
      </c>
    </row>
    <row r="5" spans="1:11" ht="15.6">
      <c r="A5" s="29" t="str">
        <v>Auburn - Leicester Street Solar</v>
      </c>
      <c r="B5" s="30" t="str">
        <v>MA</v>
      </c>
      <c r="C5" s="11">
        <v>905688</v>
      </c>
      <c r="D5" s="17">
        <v>964745.1</v>
      </c>
      <c r="E5" s="17">
        <f t="shared" ref="E5:E8" si="0">IF(AND(ISNUMBER(C5),ISNUMBER(D5)), C5-D5, "")</f>
        <v>-59057.099999999977</v>
      </c>
      <c r="F5" s="18">
        <f>IFERROR(E5/D5, "")</f>
        <v>-6.1215237061064083E-2</v>
      </c>
      <c r="G5" s="19">
        <v>0</v>
      </c>
      <c r="H5" s="19">
        <f t="shared" ref="H5:H8" si="1">IF(AND(ISNUMBER(C5),ISNUMBER(G5)), C5-G5, "")</f>
        <v>905688</v>
      </c>
      <c r="I5" s="18" t="str">
        <f t="shared" ref="I5:I8" si="2">IFERROR(H5/G5, "")</f>
        <v/>
      </c>
      <c r="J5" s="41" t="s">
        <v>69</v>
      </c>
      <c r="K5" s="41" t="s">
        <v>70</v>
      </c>
    </row>
    <row r="6" spans="1:11" ht="43.15">
      <c r="A6" s="27" t="str">
        <v>Rochester - Old Middleboro</v>
      </c>
      <c r="B6" s="28" t="str">
        <v>MA</v>
      </c>
      <c r="C6" s="23">
        <v>1019650.44093276</v>
      </c>
      <c r="D6" s="12">
        <v>1059382</v>
      </c>
      <c r="E6" s="12">
        <f t="shared" si="0"/>
        <v>-39731.559067239985</v>
      </c>
      <c r="F6" s="13">
        <f t="shared" ref="F6:F8" si="3">IFERROR(E6/D6, "")</f>
        <v>-3.7504468706510009E-2</v>
      </c>
      <c r="G6" s="14">
        <v>762800.3</v>
      </c>
      <c r="H6" s="14">
        <f t="shared" si="1"/>
        <v>256850.14093275997</v>
      </c>
      <c r="I6" s="15">
        <f t="shared" si="2"/>
        <v>0.33672003135389428</v>
      </c>
      <c r="J6" s="40" t="s">
        <v>71</v>
      </c>
      <c r="K6" s="40" t="s">
        <v>72</v>
      </c>
    </row>
    <row r="7" spans="1:11" ht="28.9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 t="s">
        <v>73</v>
      </c>
      <c r="K7" s="42" t="s">
        <v>74</v>
      </c>
    </row>
    <row r="8" spans="1:11" ht="43.15">
      <c r="A8" s="27" t="str">
        <v>Milton - Landfill</v>
      </c>
      <c r="B8" s="28" t="str">
        <v>NH</v>
      </c>
      <c r="C8" s="23">
        <v>121533</v>
      </c>
      <c r="D8" s="12">
        <v>0</v>
      </c>
      <c r="E8" s="12">
        <f t="shared" si="0"/>
        <v>121533</v>
      </c>
      <c r="F8" s="13" t="str">
        <f t="shared" si="3"/>
        <v/>
      </c>
      <c r="G8" s="14">
        <v>0</v>
      </c>
      <c r="H8" s="14">
        <f t="shared" si="1"/>
        <v>121533</v>
      </c>
      <c r="I8" s="15" t="str">
        <f t="shared" si="2"/>
        <v/>
      </c>
      <c r="J8" s="40" t="s">
        <v>75</v>
      </c>
      <c r="K8" s="40" t="s">
        <v>76</v>
      </c>
    </row>
    <row r="9" spans="1:11" ht="15.6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J16" sqref="J16:J1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77</v>
      </c>
      <c r="E1" s="66"/>
      <c r="F1" s="66"/>
      <c r="G1" s="64" t="s">
        <v>78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2316105.4315089779</v>
      </c>
      <c r="D2" s="5">
        <f>SUM(D4:D80)</f>
        <v>2494114.63</v>
      </c>
      <c r="E2" s="5">
        <f>C2-D2</f>
        <v>-178009.19849102199</v>
      </c>
      <c r="F2" s="6">
        <f>IFERROR(E2/D2, 0)</f>
        <v>-7.1371698938722E-2</v>
      </c>
      <c r="G2" s="5">
        <f>SUM(G4:G80)</f>
        <v>1423271.73</v>
      </c>
      <c r="H2" s="7">
        <f>C2-G2</f>
        <v>892833.70150897792</v>
      </c>
      <c r="I2" s="6">
        <f>IFERROR(H2/G2, 0)</f>
        <v>0.62731078169379362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>
        <v>77608.907500000001</v>
      </c>
      <c r="D4" s="12">
        <v>79054.13</v>
      </c>
      <c r="E4" s="12">
        <f>IF(AND(ISNUMBER(C4),ISNUMBER(D4)), C4-D4, "")</f>
        <v>-1445.2225000000035</v>
      </c>
      <c r="F4" s="13">
        <f>IFERROR(E4/D4, "")</f>
        <v>-1.8281429445874662E-2</v>
      </c>
      <c r="G4" s="14">
        <v>77891.23</v>
      </c>
      <c r="H4" s="14">
        <f>IF(AND(ISNUMBER(C4),ISNUMBER(G4)), C4-G4, "")</f>
        <v>-282.32249999999476</v>
      </c>
      <c r="I4" s="15">
        <f>IFERROR(H4/G4, "")</f>
        <v>-3.6245736522583453E-3</v>
      </c>
      <c r="J4" s="40"/>
      <c r="K4" s="40"/>
    </row>
    <row r="5" spans="1:11" ht="28.9">
      <c r="A5" s="29" t="str">
        <v>Auburn - Leicester Street Solar</v>
      </c>
      <c r="B5" s="30" t="str">
        <v>MA</v>
      </c>
      <c r="C5" s="11">
        <v>784578</v>
      </c>
      <c r="D5" s="17">
        <v>890393.4</v>
      </c>
      <c r="E5" s="17">
        <f t="shared" ref="E5:E9" si="0">IF(AND(ISNUMBER(C5),ISNUMBER(D5)), C5-D5, "")</f>
        <v>-105815.40000000002</v>
      </c>
      <c r="F5" s="18">
        <f>IFERROR(E5/D5, "")</f>
        <v>-0.11884117739417208</v>
      </c>
      <c r="G5" s="19">
        <v>0</v>
      </c>
      <c r="H5" s="19">
        <f t="shared" ref="H5:H9" si="1">IF(AND(ISNUMBER(C5),ISNUMBER(G5)), C5-G5, "")</f>
        <v>784578</v>
      </c>
      <c r="I5" s="18" t="str">
        <f t="shared" ref="I5:I9" si="2">IFERROR(H5/G5, "")</f>
        <v/>
      </c>
      <c r="J5" s="41" t="s">
        <v>79</v>
      </c>
      <c r="K5" s="41" t="s">
        <v>80</v>
      </c>
    </row>
    <row r="6" spans="1:11" ht="15.6">
      <c r="A6" s="27" t="str">
        <v>Rochester - Old Middleboro</v>
      </c>
      <c r="B6" s="28" t="str">
        <v>MA</v>
      </c>
      <c r="C6" s="23">
        <v>843391.52400897804</v>
      </c>
      <c r="D6" s="12">
        <v>860387.7</v>
      </c>
      <c r="E6" s="12">
        <f t="shared" si="0"/>
        <v>-16996.175991021912</v>
      </c>
      <c r="F6" s="13">
        <f t="shared" ref="F6:F9" si="3">IFERROR(E6/D6, "")</f>
        <v>-1.9754089919023613E-2</v>
      </c>
      <c r="G6" s="14">
        <v>663460.80000000005</v>
      </c>
      <c r="H6" s="14">
        <f t="shared" si="1"/>
        <v>179930.724008978</v>
      </c>
      <c r="I6" s="15">
        <f t="shared" si="2"/>
        <v>0.27120023369727042</v>
      </c>
      <c r="J6" s="40" t="s">
        <v>81</v>
      </c>
      <c r="K6" s="40" t="s">
        <v>82</v>
      </c>
    </row>
    <row r="7" spans="1:11" ht="15.6">
      <c r="A7" s="29" t="str">
        <v>Dover - Littleworth Road</v>
      </c>
      <c r="B7" s="30" t="str">
        <v>NH</v>
      </c>
      <c r="C7" s="11">
        <v>40390</v>
      </c>
      <c r="D7" s="17">
        <v>0</v>
      </c>
      <c r="E7" s="17">
        <f t="shared" si="0"/>
        <v>40390</v>
      </c>
      <c r="F7" s="18" t="str">
        <f t="shared" si="3"/>
        <v/>
      </c>
      <c r="G7" s="19">
        <v>0</v>
      </c>
      <c r="H7" s="19">
        <f t="shared" si="1"/>
        <v>40390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118456</v>
      </c>
      <c r="D8" s="12">
        <v>0</v>
      </c>
      <c r="E8" s="12">
        <f t="shared" si="0"/>
        <v>118456</v>
      </c>
      <c r="F8" s="13" t="str">
        <f t="shared" si="3"/>
        <v/>
      </c>
      <c r="G8" s="14">
        <v>0</v>
      </c>
      <c r="H8" s="14">
        <f t="shared" si="1"/>
        <v>118456</v>
      </c>
      <c r="I8" s="15" t="str">
        <f t="shared" si="2"/>
        <v/>
      </c>
      <c r="J8" s="40"/>
      <c r="K8" s="40"/>
    </row>
    <row r="9" spans="1:11" ht="15.6">
      <c r="A9" s="29" t="str">
        <v>Hopkinton - 71 Frankland Rd</v>
      </c>
      <c r="B9" s="30" t="str">
        <v>MA</v>
      </c>
      <c r="C9" s="11">
        <v>451681</v>
      </c>
      <c r="D9" s="17">
        <v>664279.4</v>
      </c>
      <c r="E9" s="17">
        <f t="shared" si="0"/>
        <v>-212598.40000000002</v>
      </c>
      <c r="F9" s="18">
        <f t="shared" si="3"/>
        <v>-0.3200436442858231</v>
      </c>
      <c r="G9" s="19">
        <v>681919.7</v>
      </c>
      <c r="H9" s="19">
        <f t="shared" si="1"/>
        <v>-230238.69999999995</v>
      </c>
      <c r="I9" s="18">
        <f t="shared" si="2"/>
        <v>-0.33763315534072408</v>
      </c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J13" sqref="J13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0.8554687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83</v>
      </c>
      <c r="E1" s="66"/>
      <c r="F1" s="66"/>
      <c r="G1" s="64" t="s">
        <v>84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2565717.6785658402</v>
      </c>
      <c r="D2" s="5">
        <f>SUM(D4:D80)</f>
        <v>2549580.21</v>
      </c>
      <c r="E2" s="5">
        <f>C2-D2</f>
        <v>16137.468565840274</v>
      </c>
      <c r="F2" s="6">
        <f>IFERROR(E2/D2, 0)</f>
        <v>6.3294610236405442E-3</v>
      </c>
      <c r="G2" s="5">
        <f>SUM(G4:G80)</f>
        <v>1101543.76</v>
      </c>
      <c r="H2" s="7">
        <f>C2-G2</f>
        <v>1464173.9185658402</v>
      </c>
      <c r="I2" s="6">
        <f>IFERROR(H2/G2, 0)</f>
        <v>1.3292017727610206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76.5">
      <c r="A4" s="63" t="str" cm="1">
        <f t="array" ref="A4:A9">Sites[Site]</f>
        <v>Rowley - Central Street Solar</v>
      </c>
      <c r="B4" s="28" t="str" cm="1">
        <f t="array" ref="B4:B9">Sites[State]</f>
        <v>MA</v>
      </c>
      <c r="C4" s="23">
        <v>70279.1875</v>
      </c>
      <c r="D4" s="12">
        <v>72285.61</v>
      </c>
      <c r="E4" s="12">
        <f>IF(AND(ISNUMBER(C4),ISNUMBER(D4)), C4-D4, "")</f>
        <v>-2006.4225000000006</v>
      </c>
      <c r="F4" s="13">
        <f>IFERROR(E4/D4, "")</f>
        <v>-2.7756873048453218E-2</v>
      </c>
      <c r="G4" s="14">
        <v>60314.26</v>
      </c>
      <c r="H4" s="14">
        <f>IF(AND(ISNUMBER(C4),ISNUMBER(G4)), C4-G4, "")</f>
        <v>9964.927499999998</v>
      </c>
      <c r="I4" s="15">
        <f>IFERROR(H4/G4, "")</f>
        <v>0.1652167746068674</v>
      </c>
      <c r="J4" s="40" t="s">
        <v>85</v>
      </c>
      <c r="K4" s="40" t="s">
        <v>86</v>
      </c>
    </row>
    <row r="5" spans="1:11" ht="76.5">
      <c r="A5" s="29" t="str">
        <v>Auburn - Leicester Street Solar</v>
      </c>
      <c r="B5" s="30" t="str">
        <v>MA</v>
      </c>
      <c r="C5" s="11">
        <v>776008</v>
      </c>
      <c r="D5" s="17">
        <v>1001527</v>
      </c>
      <c r="E5" s="17">
        <f t="shared" ref="E5:E8" si="0">IF(AND(ISNUMBER(C5),ISNUMBER(D5)), C5-D5, "")</f>
        <v>-225519</v>
      </c>
      <c r="F5" s="18">
        <f>IFERROR(E5/D5, "")</f>
        <v>-0.22517515753444489</v>
      </c>
      <c r="G5" s="19">
        <v>0</v>
      </c>
      <c r="H5" s="19">
        <f t="shared" ref="H5:H8" si="1">IF(AND(ISNUMBER(C5),ISNUMBER(G5)), C5-G5, "")</f>
        <v>776008</v>
      </c>
      <c r="I5" s="18" t="str">
        <f t="shared" ref="I5:I8" si="2">IFERROR(H5/G5, "")</f>
        <v/>
      </c>
      <c r="J5" s="41" t="s">
        <v>87</v>
      </c>
      <c r="K5" s="54" t="s">
        <v>88</v>
      </c>
    </row>
    <row r="6" spans="1:11" ht="15.6">
      <c r="A6" s="27" t="str">
        <v>Rochester - Old Middleboro</v>
      </c>
      <c r="B6" s="28" t="str">
        <v>MA</v>
      </c>
      <c r="C6" s="23">
        <v>1059803.49106584</v>
      </c>
      <c r="D6" s="12">
        <v>892672</v>
      </c>
      <c r="E6" s="12">
        <f t="shared" si="0"/>
        <v>167131.49106584</v>
      </c>
      <c r="F6" s="13">
        <f t="shared" ref="F6:F8" si="3">IFERROR(E6/D6, "")</f>
        <v>0.18722609319642602</v>
      </c>
      <c r="G6" s="14">
        <v>540491.5</v>
      </c>
      <c r="H6" s="14">
        <f t="shared" si="1"/>
        <v>519311.99106584</v>
      </c>
      <c r="I6" s="15">
        <f t="shared" si="2"/>
        <v>0.960814353354012</v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>
        <v>36138</v>
      </c>
      <c r="D7" s="17">
        <v>0</v>
      </c>
      <c r="E7" s="17">
        <f t="shared" si="0"/>
        <v>36138</v>
      </c>
      <c r="F7" s="18" t="str">
        <f>IFERROR(E7/D7, "")</f>
        <v/>
      </c>
      <c r="G7" s="19">
        <v>0</v>
      </c>
      <c r="H7" s="19">
        <f t="shared" si="1"/>
        <v>36138</v>
      </c>
      <c r="I7" s="60" t="str">
        <f>IFERROR(H7/G7, "")</f>
        <v/>
      </c>
      <c r="J7" s="41"/>
      <c r="K7" s="59"/>
    </row>
    <row r="8" spans="1:11" ht="30.75">
      <c r="A8" s="27" t="str">
        <v>Milton - Landfill</v>
      </c>
      <c r="B8" s="28" t="str">
        <v>NH</v>
      </c>
      <c r="C8" s="23">
        <v>107854</v>
      </c>
      <c r="D8" s="12">
        <v>0</v>
      </c>
      <c r="E8" s="12">
        <f t="shared" si="0"/>
        <v>107854</v>
      </c>
      <c r="F8" s="13" t="str">
        <f>IFERROR(E8/D8, "")</f>
        <v/>
      </c>
      <c r="G8" s="14">
        <v>0</v>
      </c>
      <c r="H8" s="14">
        <f t="shared" si="1"/>
        <v>107854</v>
      </c>
      <c r="I8" s="61" t="str">
        <f>IFERROR(H8/G8, "")</f>
        <v/>
      </c>
      <c r="J8" s="40" t="s">
        <v>89</v>
      </c>
      <c r="K8" s="40" t="s">
        <v>90</v>
      </c>
    </row>
    <row r="9" spans="1:11" ht="78" customHeight="1">
      <c r="A9" s="29" t="str">
        <v>Hopkinton - 71 Frankland Rd</v>
      </c>
      <c r="B9" s="30" t="str">
        <v>MA</v>
      </c>
      <c r="C9" s="11">
        <v>515635</v>
      </c>
      <c r="D9" s="17">
        <v>583095.6</v>
      </c>
      <c r="E9" s="17">
        <f>IF(AND(ISNUMBER(C9),ISNUMBER(D9)), C9-D9, "")</f>
        <v>-67460.599999999977</v>
      </c>
      <c r="F9" s="18">
        <f>IFERROR(E9/D9, "")</f>
        <v>-0.11569389307688135</v>
      </c>
      <c r="G9" s="19">
        <v>500738</v>
      </c>
      <c r="H9" s="62">
        <f>IF(AND(ISNUMBER(C9),ISNUMBER(G9)), C9-G9, "")</f>
        <v>14897</v>
      </c>
      <c r="I9" s="60">
        <f>IFERROR(H9/G9, "")</f>
        <v>2.9750088868829606E-2</v>
      </c>
      <c r="J9" s="41" t="s">
        <v>91</v>
      </c>
      <c r="K9" s="68" t="s">
        <v>92</v>
      </c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80 I4:I8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A14" sqref="A14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93</v>
      </c>
      <c r="E1" s="66"/>
      <c r="F1" s="66"/>
      <c r="G1" s="64" t="s">
        <v>94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G25" sqref="G25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Agilitas Energy</v>
      </c>
      <c r="B1" s="65"/>
      <c r="C1" s="65"/>
      <c r="D1" s="66" t="s">
        <v>95</v>
      </c>
      <c r="E1" s="66"/>
      <c r="F1" s="66"/>
      <c r="G1" s="64" t="s">
        <v>96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9">Sites[Site]</f>
        <v>Rowley - Central Street Solar</v>
      </c>
      <c r="B4" s="28" t="str" cm="1">
        <f t="array" ref="B4:B9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.75">
      <c r="A9" s="29" t="str">
        <v>Hopkinton - 71 Frankland Rd</v>
      </c>
      <c r="B9" s="30" t="str">
        <v>MA</v>
      </c>
      <c r="C9" s="11"/>
      <c r="D9" s="17"/>
      <c r="E9" s="17"/>
      <c r="F9" s="18"/>
      <c r="G9" s="19"/>
      <c r="H9" s="19"/>
      <c r="I9" s="18"/>
      <c r="J9" s="41"/>
      <c r="K9" s="42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12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97</v>
      </c>
      <c r="B1" t="s">
        <v>98</v>
      </c>
    </row>
    <row r="3" spans="1:12" ht="13.15">
      <c r="A3" t="s">
        <v>99</v>
      </c>
      <c r="B3" t="s">
        <v>3</v>
      </c>
      <c r="C3" t="s">
        <v>4</v>
      </c>
      <c r="D3" t="s">
        <v>100</v>
      </c>
      <c r="E3" s="2" t="s">
        <v>101</v>
      </c>
    </row>
    <row r="4" spans="1:12" ht="14.45">
      <c r="A4" s="50" t="s">
        <v>102</v>
      </c>
      <c r="B4" t="s">
        <v>103</v>
      </c>
      <c r="C4" s="47" t="s">
        <v>104</v>
      </c>
      <c r="D4" s="46" t="s">
        <v>105</v>
      </c>
      <c r="E4" t="s">
        <v>106</v>
      </c>
      <c r="G4" s="3"/>
    </row>
    <row r="5" spans="1:12" ht="14.45">
      <c r="A5" s="50" t="s">
        <v>107</v>
      </c>
      <c r="B5" t="s">
        <v>108</v>
      </c>
      <c r="C5" s="47" t="s">
        <v>104</v>
      </c>
      <c r="D5" s="46" t="s">
        <v>105</v>
      </c>
      <c r="E5" t="s">
        <v>106</v>
      </c>
      <c r="G5" s="3"/>
    </row>
    <row r="6" spans="1:12" ht="14.45">
      <c r="A6" s="50" t="s">
        <v>109</v>
      </c>
      <c r="B6" t="s">
        <v>110</v>
      </c>
      <c r="C6" s="47" t="s">
        <v>104</v>
      </c>
      <c r="D6" s="46" t="s">
        <v>105</v>
      </c>
      <c r="E6" t="s">
        <v>106</v>
      </c>
      <c r="G6" s="3"/>
    </row>
    <row r="7" spans="1:12" ht="12.75" customHeight="1">
      <c r="A7" s="50" t="s">
        <v>111</v>
      </c>
      <c r="B7" t="s">
        <v>112</v>
      </c>
      <c r="C7" s="47" t="s">
        <v>113</v>
      </c>
      <c r="D7" s="46"/>
      <c r="E7" t="s">
        <v>114</v>
      </c>
    </row>
    <row r="8" spans="1:12" ht="12.75" customHeight="1">
      <c r="A8" s="50" t="s">
        <v>115</v>
      </c>
      <c r="B8" t="s">
        <v>116</v>
      </c>
      <c r="C8" s="47" t="s">
        <v>113</v>
      </c>
      <c r="D8" s="46"/>
      <c r="E8" t="s">
        <v>114</v>
      </c>
    </row>
    <row r="9" spans="1:12" ht="12.75" customHeight="1">
      <c r="A9" s="57" t="s">
        <v>117</v>
      </c>
      <c r="B9" s="58" t="s">
        <v>118</v>
      </c>
      <c r="C9" s="47" t="s">
        <v>104</v>
      </c>
      <c r="D9" t="s">
        <v>105</v>
      </c>
      <c r="E9" t="s">
        <v>106</v>
      </c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2024-11-14T11:52:45Z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